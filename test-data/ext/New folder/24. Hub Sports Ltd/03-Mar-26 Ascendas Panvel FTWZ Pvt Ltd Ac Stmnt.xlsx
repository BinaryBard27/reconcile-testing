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 (K)\1. Tax and assurance\Capital Land\24. Hub Sports Ltd\"/>
    </mc:Choice>
  </mc:AlternateContent>
  <xr:revisionPtr revIDLastSave="0" documentId="13_ncr:1_{5C333F52-17CB-4694-8D77-169C021EBEE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working" sheetId="2" r:id="rId2"/>
  </sheets>
  <externalReferences>
    <externalReference r:id="rId3"/>
  </externalReferences>
  <definedNames>
    <definedName name="_xlnm._FilterDatabase" localSheetId="0" hidden="1">Sheet1!$B$17:$O$103</definedName>
    <definedName name="_xlnm._FilterDatabase" localSheetId="1" hidden="1">working!$B$2:$V$88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8" i="2" l="1"/>
  <c r="J88" i="2" s="1"/>
  <c r="I87" i="2"/>
  <c r="I86" i="2"/>
  <c r="I85" i="2"/>
  <c r="I84" i="2"/>
  <c r="I83" i="2"/>
  <c r="I82" i="2"/>
  <c r="J82" i="2" s="1"/>
  <c r="I81" i="2"/>
  <c r="I80" i="2"/>
  <c r="I79" i="2"/>
  <c r="I77" i="2"/>
  <c r="I76" i="2"/>
  <c r="I75" i="2"/>
  <c r="I74" i="2"/>
  <c r="I73" i="2"/>
  <c r="I72" i="2"/>
  <c r="I71" i="2"/>
  <c r="I70" i="2"/>
  <c r="I69" i="2"/>
  <c r="I68" i="2"/>
  <c r="I67" i="2"/>
  <c r="I66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J48" i="2" s="1"/>
  <c r="I46" i="2"/>
  <c r="J46" i="2" s="1"/>
  <c r="I45" i="2"/>
  <c r="J45" i="2" s="1"/>
  <c r="I44" i="2"/>
  <c r="I43" i="2"/>
  <c r="I42" i="2"/>
  <c r="I41" i="2"/>
  <c r="I40" i="2"/>
  <c r="J40" i="2" s="1"/>
  <c r="I39" i="2"/>
  <c r="J39" i="2" s="1"/>
  <c r="I38" i="2"/>
  <c r="J38" i="2" s="1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H88" i="2"/>
  <c r="H87" i="2"/>
  <c r="H86" i="2"/>
  <c r="H85" i="2"/>
  <c r="H84" i="2"/>
  <c r="H83" i="2"/>
  <c r="H82" i="2"/>
  <c r="H81" i="2"/>
  <c r="H80" i="2"/>
  <c r="H79" i="2"/>
  <c r="H77" i="2"/>
  <c r="H76" i="2"/>
  <c r="H75" i="2"/>
  <c r="H74" i="2"/>
  <c r="H73" i="2"/>
  <c r="H72" i="2"/>
  <c r="H71" i="2"/>
  <c r="H70" i="2"/>
  <c r="H69" i="2"/>
  <c r="H68" i="2"/>
  <c r="H67" i="2"/>
  <c r="H66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3" i="2"/>
  <c r="D1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J83" i="2" s="1"/>
  <c r="G82" i="2"/>
  <c r="F82" i="2"/>
  <c r="E82" i="2"/>
  <c r="G81" i="2"/>
  <c r="F81" i="2"/>
  <c r="E81" i="2"/>
  <c r="G80" i="2"/>
  <c r="F80" i="2"/>
  <c r="E80" i="2"/>
  <c r="G79" i="2"/>
  <c r="F79" i="2"/>
  <c r="E79" i="2"/>
  <c r="H78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J72" i="2" s="1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H65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J61" i="2" s="1"/>
  <c r="G60" i="2"/>
  <c r="F60" i="2"/>
  <c r="E60" i="2"/>
  <c r="J60" i="2" s="1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H47" i="2"/>
  <c r="G47" i="2"/>
  <c r="F47" i="2"/>
  <c r="E47" i="2"/>
  <c r="G46" i="2"/>
  <c r="F46" i="2"/>
  <c r="E46" i="2"/>
  <c r="G45" i="2"/>
  <c r="F45" i="2"/>
  <c r="E45" i="2"/>
  <c r="G44" i="2"/>
  <c r="F44" i="2"/>
  <c r="E44" i="2"/>
  <c r="J44" i="2" s="1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J26" i="2" s="1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J20" i="2" s="1"/>
  <c r="G19" i="2"/>
  <c r="F19" i="2"/>
  <c r="E19" i="2"/>
  <c r="G18" i="2"/>
  <c r="F18" i="2"/>
  <c r="G17" i="2"/>
  <c r="F17" i="2"/>
  <c r="G16" i="2"/>
  <c r="F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L18" i="2"/>
  <c r="E18" i="2" s="1"/>
  <c r="L17" i="2"/>
  <c r="E17" i="2" s="1"/>
  <c r="L16" i="2"/>
  <c r="E16" i="2" s="1"/>
  <c r="J18" i="2" l="1"/>
  <c r="J68" i="2"/>
  <c r="J5" i="2"/>
  <c r="J17" i="2"/>
  <c r="J54" i="2"/>
  <c r="J80" i="2"/>
  <c r="J69" i="2"/>
  <c r="J8" i="2"/>
  <c r="J9" i="2"/>
  <c r="J21" i="2"/>
  <c r="J33" i="2"/>
  <c r="J58" i="2"/>
  <c r="J81" i="2"/>
  <c r="J12" i="2"/>
  <c r="J22" i="2"/>
  <c r="J34" i="2"/>
  <c r="J32" i="2"/>
  <c r="J25" i="2"/>
  <c r="J37" i="2"/>
  <c r="J66" i="2"/>
  <c r="J29" i="2"/>
  <c r="J41" i="2"/>
  <c r="J4" i="2"/>
  <c r="J16" i="2"/>
  <c r="J53" i="2"/>
  <c r="J79" i="2"/>
  <c r="J55" i="2"/>
  <c r="J36" i="2"/>
  <c r="J49" i="2"/>
  <c r="J50" i="2"/>
  <c r="J63" i="2"/>
  <c r="J76" i="2"/>
  <c r="J3" i="2"/>
  <c r="J15" i="2"/>
  <c r="J52" i="2"/>
  <c r="J64" i="2"/>
  <c r="J77" i="2"/>
  <c r="J56" i="2"/>
  <c r="J7" i="2"/>
  <c r="J57" i="2"/>
  <c r="J70" i="2"/>
  <c r="J30" i="2"/>
  <c r="J42" i="2"/>
  <c r="J6" i="2"/>
  <c r="J31" i="2"/>
  <c r="J43" i="2"/>
  <c r="J73" i="2"/>
  <c r="J62" i="2"/>
  <c r="J13" i="2"/>
  <c r="J85" i="2"/>
  <c r="J51" i="2"/>
  <c r="J59" i="2"/>
  <c r="J84" i="2"/>
  <c r="J74" i="2"/>
  <c r="J14" i="2"/>
  <c r="J23" i="2"/>
  <c r="J67" i="2"/>
  <c r="J71" i="2"/>
  <c r="J75" i="2"/>
  <c r="J10" i="2"/>
  <c r="J27" i="2"/>
  <c r="J35" i="2"/>
  <c r="J86" i="2"/>
  <c r="J11" i="2"/>
  <c r="J24" i="2"/>
  <c r="J87" i="2"/>
  <c r="J28" i="2"/>
  <c r="J19" i="2"/>
  <c r="F1" i="2"/>
  <c r="E1" i="2"/>
  <c r="H1" i="2"/>
  <c r="G1" i="2"/>
  <c r="E33" i="1"/>
  <c r="E32" i="1"/>
  <c r="E31" i="1"/>
  <c r="F16" i="1"/>
  <c r="G16" i="1"/>
  <c r="H16" i="1"/>
  <c r="I16" i="1"/>
  <c r="J16" i="1"/>
  <c r="K16" i="1"/>
  <c r="L16" i="1"/>
  <c r="M16" i="1"/>
  <c r="N16" i="1"/>
  <c r="O16" i="1"/>
  <c r="D16" i="1"/>
  <c r="E16" i="1"/>
</calcChain>
</file>

<file path=xl/sharedStrings.xml><?xml version="1.0" encoding="utf-8"?>
<sst xmlns="http://schemas.openxmlformats.org/spreadsheetml/2006/main" count="300" uniqueCount="121">
  <si>
    <t>HUB SPORTS EQUIPMENT PRIVATE LIMITED</t>
  </si>
  <si>
    <t>Office No 815 / 816</t>
  </si>
  <si>
    <t>8th Floor Vision One Mall</t>
  </si>
  <si>
    <t>Bhumkar Chowk</t>
  </si>
  <si>
    <t>PUNE 411057</t>
  </si>
  <si>
    <t>CIN: U74999PN2017PTC172752</t>
  </si>
  <si>
    <t>E-Mail : hubshootingsports@gmail.com</t>
  </si>
  <si>
    <t>Ascendas Panvel FTWZ Pvt Ltd AAICA2250K</t>
  </si>
  <si>
    <t>Ledger Account</t>
  </si>
  <si>
    <t>Arshiya FTWZ, Village: Sai,</t>
  </si>
  <si>
    <t>Taluka: Panvel, Dist: Raigad,</t>
  </si>
  <si>
    <t xml:space="preserve">Panvel-410206 </t>
  </si>
  <si>
    <t>1-Apr-25 to 31-Mar-26</t>
  </si>
  <si>
    <t>Date</t>
  </si>
  <si>
    <t>Voucher No.</t>
  </si>
  <si>
    <t>Gross Total</t>
  </si>
  <si>
    <t>In &amp; Out bound LCL Handling Transport Charges</t>
  </si>
  <si>
    <t>Input IGST18 %</t>
  </si>
  <si>
    <t>TDS-194C-Contract</t>
  </si>
  <si>
    <t>Round Off</t>
  </si>
  <si>
    <t>Storage Charges</t>
  </si>
  <si>
    <t>TDS-194I-Rent</t>
  </si>
  <si>
    <t>Noting Charges</t>
  </si>
  <si>
    <t>Yes Bank - CC - 041263400005960</t>
  </si>
  <si>
    <t>RE-WAREHOUSEING CHARGES</t>
  </si>
  <si>
    <t>Axis Bank - Current A/c - 917020054833682</t>
  </si>
  <si>
    <t>ARSIL25003698</t>
  </si>
  <si>
    <t>ARSIL25004380</t>
  </si>
  <si>
    <t>ARSIL25004844</t>
  </si>
  <si>
    <t>256779410123</t>
  </si>
  <si>
    <t>256779410067</t>
  </si>
  <si>
    <t>256779410066</t>
  </si>
  <si>
    <t>256779410122</t>
  </si>
  <si>
    <t>256779410759</t>
  </si>
  <si>
    <t>256779410639</t>
  </si>
  <si>
    <t>256779410420</t>
  </si>
  <si>
    <t>256779411446</t>
  </si>
  <si>
    <t>256779411086</t>
  </si>
  <si>
    <t>246779414454</t>
  </si>
  <si>
    <t>256779411448</t>
  </si>
  <si>
    <t>256779411447</t>
  </si>
  <si>
    <t>256779411085</t>
  </si>
  <si>
    <t>256779411444</t>
  </si>
  <si>
    <t>256779411449</t>
  </si>
  <si>
    <t>256779411445</t>
  </si>
  <si>
    <t>256772001313</t>
  </si>
  <si>
    <t>256772001314</t>
  </si>
  <si>
    <t>256779411860</t>
  </si>
  <si>
    <t>256779411785</t>
  </si>
  <si>
    <t>256779411861</t>
  </si>
  <si>
    <t>256779410887</t>
  </si>
  <si>
    <t>256779411784</t>
  </si>
  <si>
    <t>256772001315</t>
  </si>
  <si>
    <t>256779635949</t>
  </si>
  <si>
    <t>256779404563</t>
  </si>
  <si>
    <t>256779412399</t>
  </si>
  <si>
    <t>256779412249</t>
  </si>
  <si>
    <t>256779412646</t>
  </si>
  <si>
    <t>256779412607</t>
  </si>
  <si>
    <t>256779412915</t>
  </si>
  <si>
    <t>256779412743</t>
  </si>
  <si>
    <t>256779412744</t>
  </si>
  <si>
    <t>256779413612</t>
  </si>
  <si>
    <t>256779705489</t>
  </si>
  <si>
    <t>256779413305</t>
  </si>
  <si>
    <t>256779413343</t>
  </si>
  <si>
    <t>256779413478</t>
  </si>
  <si>
    <t>256779413878</t>
  </si>
  <si>
    <t>256779413758</t>
  </si>
  <si>
    <t>256779413451</t>
  </si>
  <si>
    <t>256779959864</t>
  </si>
  <si>
    <t>256779414200</t>
  </si>
  <si>
    <t>256779414307</t>
  </si>
  <si>
    <t>256779414119</t>
  </si>
  <si>
    <t>256779414688</t>
  </si>
  <si>
    <t>256779414795</t>
  </si>
  <si>
    <t>256779414822</t>
  </si>
  <si>
    <t>256779414981</t>
  </si>
  <si>
    <t>256779415026</t>
  </si>
  <si>
    <t>256779415122</t>
  </si>
  <si>
    <t>256779415515</t>
  </si>
  <si>
    <t>256779415671</t>
  </si>
  <si>
    <t>256779415735</t>
  </si>
  <si>
    <t>256779415985</t>
  </si>
  <si>
    <t>256779416168</t>
  </si>
  <si>
    <t>256779416210</t>
  </si>
  <si>
    <t>256779416317</t>
  </si>
  <si>
    <t>256779416523</t>
  </si>
  <si>
    <t>256779416836</t>
  </si>
  <si>
    <t>256779416737</t>
  </si>
  <si>
    <t>256779416868</t>
  </si>
  <si>
    <t>256779417047</t>
  </si>
  <si>
    <t>256779417220</t>
  </si>
  <si>
    <t>256779417278</t>
  </si>
  <si>
    <t>256779417312</t>
  </si>
  <si>
    <t>256779417968</t>
  </si>
  <si>
    <t>256779418065</t>
  </si>
  <si>
    <t>256779418366</t>
  </si>
  <si>
    <t>256779418303</t>
  </si>
  <si>
    <t>256779418581</t>
  </si>
  <si>
    <t>256779418649</t>
  </si>
  <si>
    <t>256779418687</t>
  </si>
  <si>
    <t>256779419119</t>
  </si>
  <si>
    <t>256779419035</t>
  </si>
  <si>
    <t>256779419163</t>
  </si>
  <si>
    <t>256779419254</t>
  </si>
  <si>
    <t>256779419408</t>
  </si>
  <si>
    <t>256779419616</t>
  </si>
  <si>
    <t>256779419689</t>
  </si>
  <si>
    <t>Taxable Value</t>
  </si>
  <si>
    <t>TDS</t>
  </si>
  <si>
    <t>Total Payment</t>
  </si>
  <si>
    <t>IGST</t>
  </si>
  <si>
    <t>Vlookup</t>
  </si>
  <si>
    <t>Diff</t>
  </si>
  <si>
    <t>Remarks</t>
  </si>
  <si>
    <t>Matched</t>
  </si>
  <si>
    <t>Invoices not booked by CL</t>
  </si>
  <si>
    <t>Matched_inclusive of GST</t>
  </si>
  <si>
    <t>Diff found in invoices</t>
  </si>
  <si>
    <t>Matched_invoice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</si>
</sst>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3" fontId="2" fillId="0" borderId="0" xfId="1" applyFont="1"/>
    <xf numFmtId="43" fontId="1" fillId="0" borderId="0" xfId="1" applyFont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NumberFormat="1" applyFont="1" applyBorder="1" applyAlignment="1">
      <alignment horizontal="center"/>
    </xf>
    <xf numFmtId="43" fontId="2" fillId="0" borderId="1" xfId="1" applyFont="1" applyBorder="1"/>
    <xf numFmtId="0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NumberFormat="1" applyFont="1" applyFill="1" applyBorder="1" applyAlignment="1">
      <alignment horizontal="center"/>
    </xf>
    <xf numFmtId="43" fontId="3" fillId="3" borderId="1" xfId="1" applyFont="1" applyFill="1" applyBorder="1"/>
    <xf numFmtId="43" fontId="3" fillId="4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43" fontId="0" fillId="4" borderId="0" xfId="1" applyFont="1" applyFill="1" applyAlignment="1">
      <alignment vertical="top"/>
    </xf>
    <xf numFmtId="4" fontId="0" fillId="0" borderId="0" xfId="0" applyNumberFormat="1" applyAlignment="1">
      <alignment horizontal="right" vertical="top"/>
    </xf>
    <xf numFmtId="165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UB%20SPORTS%20EQUIPMENT%20PRIV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orking"/>
    </sheetNames>
    <sheetDataSet>
      <sheetData sheetId="0"/>
      <sheetData sheetId="1">
        <row r="1">
          <cell r="M1" t="str">
            <v>.</v>
          </cell>
          <cell r="U1">
            <v>550127.42999999959</v>
          </cell>
        </row>
        <row r="2">
          <cell r="M2" t="str">
            <v>Reference</v>
          </cell>
          <cell r="N2" t="str">
            <v>G/L Account</v>
          </cell>
          <cell r="O2" t="str">
            <v>G/L Account: Short Text</v>
          </cell>
          <cell r="P2" t="str">
            <v>Special G/L Ind.</v>
          </cell>
          <cell r="Q2" t="str">
            <v>Posting Key</v>
          </cell>
          <cell r="R2" t="str">
            <v>Document Currency Key</v>
          </cell>
          <cell r="S2" t="str">
            <v>Document Currency Value</v>
          </cell>
          <cell r="T2" t="str">
            <v>Company Code Currency Key</v>
          </cell>
          <cell r="U2" t="str">
            <v>Company Code Currency Value</v>
          </cell>
        </row>
        <row r="3">
          <cell r="M3" t="str">
            <v/>
          </cell>
          <cell r="N3" t="str">
            <v>212100</v>
          </cell>
          <cell r="O3" t="str">
            <v>Trade Debtors (Ctrl)</v>
          </cell>
          <cell r="P3" t="str">
            <v/>
          </cell>
          <cell r="Q3" t="str">
            <v>17</v>
          </cell>
          <cell r="R3" t="str">
            <v>INR</v>
          </cell>
          <cell r="S3">
            <v>-10000</v>
          </cell>
          <cell r="T3" t="str">
            <v>INR</v>
          </cell>
          <cell r="U3">
            <v>-10000</v>
          </cell>
        </row>
        <row r="4">
          <cell r="M4" t="str">
            <v/>
          </cell>
          <cell r="N4" t="str">
            <v>212100</v>
          </cell>
          <cell r="O4" t="str">
            <v>Trade Debtors (Ctrl)</v>
          </cell>
          <cell r="P4" t="str">
            <v/>
          </cell>
          <cell r="Q4" t="str">
            <v>07</v>
          </cell>
          <cell r="R4" t="str">
            <v>INR</v>
          </cell>
          <cell r="S4">
            <v>10000</v>
          </cell>
          <cell r="T4" t="str">
            <v>INR</v>
          </cell>
          <cell r="U4">
            <v>10000</v>
          </cell>
        </row>
        <row r="5">
          <cell r="M5" t="str">
            <v/>
          </cell>
          <cell r="N5" t="str">
            <v>212100</v>
          </cell>
          <cell r="O5" t="str">
            <v>Trade Debtors (Ctrl)</v>
          </cell>
          <cell r="P5" t="str">
            <v/>
          </cell>
          <cell r="Q5" t="str">
            <v>07</v>
          </cell>
          <cell r="R5" t="str">
            <v>INR</v>
          </cell>
          <cell r="S5">
            <v>1</v>
          </cell>
          <cell r="T5" t="str">
            <v>INR</v>
          </cell>
          <cell r="U5">
            <v>1</v>
          </cell>
        </row>
        <row r="6">
          <cell r="M6" t="str">
            <v/>
          </cell>
          <cell r="N6" t="str">
            <v>212100</v>
          </cell>
          <cell r="O6" t="str">
            <v>Trade Debtors (Ctrl)</v>
          </cell>
          <cell r="P6" t="str">
            <v/>
          </cell>
          <cell r="Q6" t="str">
            <v>17</v>
          </cell>
          <cell r="R6" t="str">
            <v>INR</v>
          </cell>
          <cell r="S6">
            <v>-1</v>
          </cell>
          <cell r="T6" t="str">
            <v>INR</v>
          </cell>
          <cell r="U6">
            <v>-1</v>
          </cell>
        </row>
        <row r="7">
          <cell r="M7" t="str">
            <v/>
          </cell>
          <cell r="N7" t="str">
            <v>212100</v>
          </cell>
          <cell r="O7" t="str">
            <v>Trade Debtors (Ctrl)</v>
          </cell>
          <cell r="P7" t="str">
            <v/>
          </cell>
          <cell r="Q7" t="str">
            <v>01</v>
          </cell>
          <cell r="R7" t="str">
            <v>INR</v>
          </cell>
          <cell r="S7">
            <v>10000</v>
          </cell>
          <cell r="T7" t="str">
            <v>INR</v>
          </cell>
          <cell r="U7">
            <v>10000</v>
          </cell>
        </row>
        <row r="8">
          <cell r="M8" t="str">
            <v/>
          </cell>
          <cell r="N8" t="str">
            <v>212100</v>
          </cell>
          <cell r="O8" t="str">
            <v>Trade Debtors (Ctrl)</v>
          </cell>
          <cell r="P8" t="str">
            <v/>
          </cell>
          <cell r="Q8" t="str">
            <v>15</v>
          </cell>
          <cell r="R8" t="str">
            <v>INR</v>
          </cell>
          <cell r="S8">
            <v>-10000</v>
          </cell>
          <cell r="T8" t="str">
            <v>INR</v>
          </cell>
          <cell r="U8">
            <v>-10000</v>
          </cell>
        </row>
        <row r="9">
          <cell r="M9" t="str">
            <v/>
          </cell>
          <cell r="N9" t="str">
            <v>212100</v>
          </cell>
          <cell r="O9" t="str">
            <v>Trade Debtors (Ctrl)</v>
          </cell>
          <cell r="P9" t="str">
            <v/>
          </cell>
          <cell r="Q9" t="str">
            <v>15</v>
          </cell>
          <cell r="R9" t="str">
            <v>INR</v>
          </cell>
          <cell r="S9">
            <v>-332509</v>
          </cell>
          <cell r="T9" t="str">
            <v>INR</v>
          </cell>
          <cell r="U9">
            <v>-332509</v>
          </cell>
        </row>
        <row r="10">
          <cell r="M10" t="str">
            <v/>
          </cell>
          <cell r="N10" t="str">
            <v>212100</v>
          </cell>
          <cell r="O10" t="str">
            <v>Trade Debtors (Ctrl)</v>
          </cell>
          <cell r="P10" t="str">
            <v/>
          </cell>
          <cell r="Q10" t="str">
            <v>15</v>
          </cell>
          <cell r="R10" t="str">
            <v>INR</v>
          </cell>
          <cell r="S10">
            <v>-663896</v>
          </cell>
          <cell r="T10" t="str">
            <v>INR</v>
          </cell>
          <cell r="U10">
            <v>-663896</v>
          </cell>
        </row>
        <row r="11">
          <cell r="M11" t="str">
            <v/>
          </cell>
          <cell r="N11" t="str">
            <v>212100</v>
          </cell>
          <cell r="O11" t="str">
            <v>Trade Debtors (Ctrl)</v>
          </cell>
          <cell r="P11" t="str">
            <v/>
          </cell>
          <cell r="Q11" t="str">
            <v>15</v>
          </cell>
          <cell r="R11" t="str">
            <v>INR</v>
          </cell>
          <cell r="S11">
            <v>-241321</v>
          </cell>
          <cell r="T11" t="str">
            <v>INR</v>
          </cell>
          <cell r="U11">
            <v>-241321</v>
          </cell>
        </row>
        <row r="12">
          <cell r="M12" t="str">
            <v>6779ZP25000173</v>
          </cell>
          <cell r="N12" t="str">
            <v>212100</v>
          </cell>
          <cell r="O12" t="str">
            <v>Trade Debtors (Ctrl)</v>
          </cell>
          <cell r="P12" t="str">
            <v/>
          </cell>
          <cell r="Q12" t="str">
            <v>11</v>
          </cell>
          <cell r="R12" t="str">
            <v>INR</v>
          </cell>
          <cell r="S12">
            <v>-10000</v>
          </cell>
          <cell r="T12" t="str">
            <v>INR</v>
          </cell>
          <cell r="U12">
            <v>-10000</v>
          </cell>
        </row>
        <row r="13">
          <cell r="M13" t="str">
            <v>6779ZR25000046</v>
          </cell>
          <cell r="N13" t="str">
            <v>212100</v>
          </cell>
          <cell r="O13" t="str">
            <v>Trade Debtors (Ctrl)</v>
          </cell>
          <cell r="P13" t="str">
            <v/>
          </cell>
          <cell r="Q13" t="str">
            <v>01</v>
          </cell>
          <cell r="R13" t="str">
            <v>INR</v>
          </cell>
          <cell r="S13">
            <v>10000</v>
          </cell>
          <cell r="T13" t="str">
            <v>INR</v>
          </cell>
          <cell r="U13">
            <v>10000</v>
          </cell>
        </row>
        <row r="14">
          <cell r="M14" t="str">
            <v>6779ZR25000004</v>
          </cell>
          <cell r="N14" t="str">
            <v>212100</v>
          </cell>
          <cell r="O14" t="str">
            <v>Trade Debtors (Ctrl)</v>
          </cell>
          <cell r="P14" t="str">
            <v/>
          </cell>
          <cell r="Q14" t="str">
            <v>01</v>
          </cell>
          <cell r="R14" t="str">
            <v>INR</v>
          </cell>
          <cell r="S14">
            <v>1</v>
          </cell>
          <cell r="T14" t="str">
            <v>INR</v>
          </cell>
          <cell r="U14">
            <v>1</v>
          </cell>
        </row>
        <row r="15">
          <cell r="M15" t="str">
            <v>6779ZP25000114</v>
          </cell>
          <cell r="N15" t="str">
            <v>212100</v>
          </cell>
          <cell r="O15" t="str">
            <v>Trade Debtors (Ctrl)</v>
          </cell>
          <cell r="P15" t="str">
            <v/>
          </cell>
          <cell r="Q15" t="str">
            <v>11</v>
          </cell>
          <cell r="R15" t="str">
            <v>INR</v>
          </cell>
          <cell r="S15">
            <v>-1</v>
          </cell>
          <cell r="T15" t="str">
            <v>INR</v>
          </cell>
          <cell r="U15">
            <v>-1</v>
          </cell>
        </row>
        <row r="16">
          <cell r="M16" t="str">
            <v>KNOCK OFF ENTRY</v>
          </cell>
          <cell r="N16" t="str">
            <v>212100</v>
          </cell>
          <cell r="O16" t="str">
            <v>Trade Debtors (Ctrl)</v>
          </cell>
          <cell r="P16" t="str">
            <v/>
          </cell>
          <cell r="Q16" t="str">
            <v>08</v>
          </cell>
          <cell r="R16" t="str">
            <v>USD</v>
          </cell>
          <cell r="S16">
            <v>28.32</v>
          </cell>
          <cell r="T16" t="str">
            <v>INR</v>
          </cell>
          <cell r="U16">
            <v>2497.56</v>
          </cell>
        </row>
        <row r="17">
          <cell r="M17" t="str">
            <v>KNOCK OFF ENTRY</v>
          </cell>
          <cell r="N17" t="str">
            <v>212100</v>
          </cell>
          <cell r="O17" t="str">
            <v>Trade Debtors (Ctrl)</v>
          </cell>
          <cell r="P17" t="str">
            <v/>
          </cell>
          <cell r="Q17" t="str">
            <v>15</v>
          </cell>
          <cell r="R17" t="str">
            <v>USD</v>
          </cell>
          <cell r="S17">
            <v>-28.32</v>
          </cell>
          <cell r="T17" t="str">
            <v>INR</v>
          </cell>
          <cell r="U17">
            <v>-2497.56</v>
          </cell>
        </row>
        <row r="18">
          <cell r="M18" t="str">
            <v>246779414110</v>
          </cell>
          <cell r="N18" t="str">
            <v>212100</v>
          </cell>
          <cell r="O18" t="str">
            <v>Trade Debtors (Ctrl)</v>
          </cell>
          <cell r="P18" t="str">
            <v/>
          </cell>
          <cell r="Q18" t="str">
            <v>01</v>
          </cell>
          <cell r="R18" t="str">
            <v>USD</v>
          </cell>
          <cell r="S18">
            <v>10.62</v>
          </cell>
          <cell r="T18" t="str">
            <v>INR</v>
          </cell>
          <cell r="U18">
            <v>920.66</v>
          </cell>
        </row>
        <row r="19">
          <cell r="M19" t="str">
            <v>246779414287</v>
          </cell>
          <cell r="N19" t="str">
            <v>212100</v>
          </cell>
          <cell r="O19" t="str">
            <v>Trade Debtors (Ctrl)</v>
          </cell>
          <cell r="P19" t="str">
            <v/>
          </cell>
          <cell r="Q19" t="str">
            <v>01</v>
          </cell>
          <cell r="R19" t="str">
            <v>USD</v>
          </cell>
          <cell r="S19">
            <v>10.62</v>
          </cell>
          <cell r="T19" t="str">
            <v>INR</v>
          </cell>
          <cell r="U19">
            <v>920.66</v>
          </cell>
        </row>
        <row r="20">
          <cell r="M20" t="str">
            <v>246779414580</v>
          </cell>
          <cell r="N20" t="str">
            <v>212100</v>
          </cell>
          <cell r="O20" t="str">
            <v>Trade Debtors (Ctrl)</v>
          </cell>
          <cell r="P20" t="str">
            <v/>
          </cell>
          <cell r="Q20" t="str">
            <v>01</v>
          </cell>
          <cell r="R20" t="str">
            <v>USD</v>
          </cell>
          <cell r="S20">
            <v>11.8</v>
          </cell>
          <cell r="T20" t="str">
            <v>INR</v>
          </cell>
          <cell r="U20">
            <v>1022.96</v>
          </cell>
        </row>
        <row r="21">
          <cell r="M21" t="str">
            <v>256779411448</v>
          </cell>
          <cell r="N21" t="str">
            <v>212100</v>
          </cell>
          <cell r="O21" t="str">
            <v>Trade Debtors (Ctrl)</v>
          </cell>
          <cell r="P21" t="str">
            <v/>
          </cell>
          <cell r="Q21" t="str">
            <v>01</v>
          </cell>
          <cell r="R21" t="str">
            <v>USD</v>
          </cell>
          <cell r="S21">
            <v>11.8</v>
          </cell>
          <cell r="T21" t="str">
            <v>INR</v>
          </cell>
          <cell r="U21">
            <v>1025.68</v>
          </cell>
        </row>
        <row r="22">
          <cell r="M22" t="str">
            <v>256779410420</v>
          </cell>
          <cell r="N22" t="str">
            <v>212100</v>
          </cell>
          <cell r="O22" t="str">
            <v>Trade Debtors (Ctrl)</v>
          </cell>
          <cell r="P22" t="str">
            <v/>
          </cell>
          <cell r="Q22" t="str">
            <v>01</v>
          </cell>
          <cell r="R22" t="str">
            <v>USD</v>
          </cell>
          <cell r="S22">
            <v>343.03</v>
          </cell>
          <cell r="T22" t="str">
            <v>INR</v>
          </cell>
          <cell r="U22">
            <v>29816.79</v>
          </cell>
        </row>
        <row r="23">
          <cell r="M23" t="str">
            <v>256779410639</v>
          </cell>
          <cell r="N23" t="str">
            <v>212100</v>
          </cell>
          <cell r="O23" t="str">
            <v>Trade Debtors (Ctrl)</v>
          </cell>
          <cell r="P23" t="str">
            <v/>
          </cell>
          <cell r="Q23" t="str">
            <v>01</v>
          </cell>
          <cell r="R23" t="str">
            <v>USD</v>
          </cell>
          <cell r="S23">
            <v>584.1</v>
          </cell>
          <cell r="T23" t="str">
            <v>INR</v>
          </cell>
          <cell r="U23">
            <v>50771.040000000001</v>
          </cell>
        </row>
        <row r="24">
          <cell r="M24" t="str">
            <v>256779410759</v>
          </cell>
          <cell r="N24" t="str">
            <v>212100</v>
          </cell>
          <cell r="O24" t="str">
            <v>Trade Debtors (Ctrl)</v>
          </cell>
          <cell r="P24" t="str">
            <v/>
          </cell>
          <cell r="Q24" t="str">
            <v>01</v>
          </cell>
          <cell r="R24" t="str">
            <v>USD</v>
          </cell>
          <cell r="S24">
            <v>573.48</v>
          </cell>
          <cell r="T24" t="str">
            <v>INR</v>
          </cell>
          <cell r="U24">
            <v>49847.93</v>
          </cell>
        </row>
        <row r="25">
          <cell r="M25" t="str">
            <v>256779419408</v>
          </cell>
          <cell r="N25" t="str">
            <v>212100</v>
          </cell>
          <cell r="O25" t="str">
            <v>Trade Debtors (Ctrl)</v>
          </cell>
          <cell r="P25" t="str">
            <v/>
          </cell>
          <cell r="Q25" t="str">
            <v>01</v>
          </cell>
          <cell r="R25" t="str">
            <v>USD</v>
          </cell>
          <cell r="S25">
            <v>355.24</v>
          </cell>
          <cell r="T25" t="str">
            <v>INR</v>
          </cell>
          <cell r="U25">
            <v>31262.32</v>
          </cell>
        </row>
        <row r="26">
          <cell r="M26" t="str">
            <v>256779414119</v>
          </cell>
          <cell r="N26" t="str">
            <v>212100</v>
          </cell>
          <cell r="O26" t="str">
            <v>Trade Debtors (Ctrl)</v>
          </cell>
          <cell r="P26" t="str">
            <v/>
          </cell>
          <cell r="Q26" t="str">
            <v>01</v>
          </cell>
          <cell r="R26" t="str">
            <v>USD</v>
          </cell>
          <cell r="S26">
            <v>463.56</v>
          </cell>
          <cell r="T26" t="str">
            <v>INR</v>
          </cell>
          <cell r="U26">
            <v>39630.11</v>
          </cell>
        </row>
        <row r="27">
          <cell r="M27" t="str">
            <v>256779411085</v>
          </cell>
          <cell r="N27" t="str">
            <v>212100</v>
          </cell>
          <cell r="O27" t="str">
            <v>Trade Debtors (Ctrl)</v>
          </cell>
          <cell r="P27" t="str">
            <v/>
          </cell>
          <cell r="Q27" t="str">
            <v>01</v>
          </cell>
          <cell r="R27" t="str">
            <v>USD</v>
          </cell>
          <cell r="S27">
            <v>42.48</v>
          </cell>
          <cell r="T27" t="str">
            <v>INR</v>
          </cell>
          <cell r="U27">
            <v>3692.44</v>
          </cell>
        </row>
        <row r="28">
          <cell r="M28" t="str">
            <v>256779411086</v>
          </cell>
          <cell r="N28" t="str">
            <v>212100</v>
          </cell>
          <cell r="O28" t="str">
            <v>Trade Debtors (Ctrl)</v>
          </cell>
          <cell r="P28" t="str">
            <v/>
          </cell>
          <cell r="Q28" t="str">
            <v>01</v>
          </cell>
          <cell r="R28" t="str">
            <v>USD</v>
          </cell>
          <cell r="S28">
            <v>38.94</v>
          </cell>
          <cell r="T28" t="str">
            <v>INR</v>
          </cell>
          <cell r="U28">
            <v>3384.74</v>
          </cell>
        </row>
        <row r="29">
          <cell r="M29" t="str">
            <v>256779411444</v>
          </cell>
          <cell r="N29" t="str">
            <v>212100</v>
          </cell>
          <cell r="O29" t="str">
            <v>Trade Debtors (Ctrl)</v>
          </cell>
          <cell r="P29" t="str">
            <v/>
          </cell>
          <cell r="Q29" t="str">
            <v>01</v>
          </cell>
          <cell r="R29" t="str">
            <v>USD</v>
          </cell>
          <cell r="S29">
            <v>6.27</v>
          </cell>
          <cell r="T29" t="str">
            <v>INR</v>
          </cell>
          <cell r="U29">
            <v>545</v>
          </cell>
        </row>
        <row r="30">
          <cell r="M30" t="str">
            <v>256779411445</v>
          </cell>
          <cell r="N30" t="str">
            <v>212100</v>
          </cell>
          <cell r="O30" t="str">
            <v>Trade Debtors (Ctrl)</v>
          </cell>
          <cell r="P30" t="str">
            <v/>
          </cell>
          <cell r="Q30" t="str">
            <v>01</v>
          </cell>
          <cell r="R30" t="str">
            <v>USD</v>
          </cell>
          <cell r="S30">
            <v>15.36</v>
          </cell>
          <cell r="T30" t="str">
            <v>INR</v>
          </cell>
          <cell r="U30">
            <v>1335.12</v>
          </cell>
        </row>
        <row r="31">
          <cell r="M31" t="str">
            <v>256779411446</v>
          </cell>
          <cell r="N31" t="str">
            <v>212100</v>
          </cell>
          <cell r="O31" t="str">
            <v>Trade Debtors (Ctrl)</v>
          </cell>
          <cell r="P31" t="str">
            <v/>
          </cell>
          <cell r="Q31" t="str">
            <v>01</v>
          </cell>
          <cell r="R31" t="str">
            <v>USD</v>
          </cell>
          <cell r="S31">
            <v>4.72</v>
          </cell>
          <cell r="T31" t="str">
            <v>INR</v>
          </cell>
          <cell r="U31">
            <v>410.27</v>
          </cell>
        </row>
        <row r="32">
          <cell r="M32" t="str">
            <v>256779411447</v>
          </cell>
          <cell r="N32" t="str">
            <v>212100</v>
          </cell>
          <cell r="O32" t="str">
            <v>Trade Debtors (Ctrl)</v>
          </cell>
          <cell r="P32" t="str">
            <v/>
          </cell>
          <cell r="Q32" t="str">
            <v>01</v>
          </cell>
          <cell r="R32" t="str">
            <v>USD</v>
          </cell>
          <cell r="S32">
            <v>18.88</v>
          </cell>
          <cell r="T32" t="str">
            <v>INR</v>
          </cell>
          <cell r="U32">
            <v>1641.08</v>
          </cell>
        </row>
        <row r="33">
          <cell r="M33" t="str">
            <v>256779411449</v>
          </cell>
          <cell r="N33" t="str">
            <v>212100</v>
          </cell>
          <cell r="O33" t="str">
            <v>Trade Debtors (Ctrl)</v>
          </cell>
          <cell r="P33" t="str">
            <v/>
          </cell>
          <cell r="Q33" t="str">
            <v>01</v>
          </cell>
          <cell r="R33" t="str">
            <v>USD</v>
          </cell>
          <cell r="S33">
            <v>14.44</v>
          </cell>
          <cell r="T33" t="str">
            <v>INR</v>
          </cell>
          <cell r="U33">
            <v>1255.1500000000001</v>
          </cell>
        </row>
        <row r="34">
          <cell r="M34" t="str">
            <v>256779413612</v>
          </cell>
          <cell r="N34" t="str">
            <v>212100</v>
          </cell>
          <cell r="O34" t="str">
            <v>Trade Debtors (Ctrl)</v>
          </cell>
          <cell r="P34" t="str">
            <v/>
          </cell>
          <cell r="Q34" t="str">
            <v>01</v>
          </cell>
          <cell r="R34" t="str">
            <v>USD</v>
          </cell>
          <cell r="S34">
            <v>354.18</v>
          </cell>
          <cell r="T34" t="str">
            <v>INR</v>
          </cell>
          <cell r="U34">
            <v>30453.71</v>
          </cell>
        </row>
        <row r="35">
          <cell r="M35" t="str">
            <v>256779422003</v>
          </cell>
          <cell r="N35" t="str">
            <v>212100</v>
          </cell>
          <cell r="O35" t="str">
            <v>Trade Debtors (Ctrl)</v>
          </cell>
          <cell r="P35" t="str">
            <v/>
          </cell>
          <cell r="Q35" t="str">
            <v>11</v>
          </cell>
          <cell r="R35" t="str">
            <v>USD</v>
          </cell>
          <cell r="S35">
            <v>-28.32</v>
          </cell>
          <cell r="T35" t="str">
            <v>INR</v>
          </cell>
          <cell r="U35">
            <v>-2497.56</v>
          </cell>
        </row>
        <row r="36">
          <cell r="M36" t="str">
            <v>256779411784</v>
          </cell>
          <cell r="N36" t="str">
            <v>212100</v>
          </cell>
          <cell r="O36" t="str">
            <v>Trade Debtors (Ctrl)</v>
          </cell>
          <cell r="P36" t="str">
            <v/>
          </cell>
          <cell r="Q36" t="str">
            <v>01</v>
          </cell>
          <cell r="R36" t="str">
            <v>USD</v>
          </cell>
          <cell r="S36">
            <v>39.97</v>
          </cell>
          <cell r="T36" t="str">
            <v>INR</v>
          </cell>
          <cell r="U36">
            <v>3474.27</v>
          </cell>
        </row>
        <row r="37">
          <cell r="M37" t="str">
            <v>256779411785</v>
          </cell>
          <cell r="N37" t="str">
            <v>212100</v>
          </cell>
          <cell r="O37" t="str">
            <v>Trade Debtors (Ctrl)</v>
          </cell>
          <cell r="P37" t="str">
            <v/>
          </cell>
          <cell r="Q37" t="str">
            <v>01</v>
          </cell>
          <cell r="R37" t="str">
            <v>USD</v>
          </cell>
          <cell r="S37">
            <v>141.6</v>
          </cell>
          <cell r="T37" t="str">
            <v>INR</v>
          </cell>
          <cell r="U37">
            <v>12308.13</v>
          </cell>
        </row>
        <row r="38">
          <cell r="M38" t="str">
            <v>256779411860</v>
          </cell>
          <cell r="N38" t="str">
            <v>212100</v>
          </cell>
          <cell r="O38" t="str">
            <v>Trade Debtors (Ctrl)</v>
          </cell>
          <cell r="P38" t="str">
            <v/>
          </cell>
          <cell r="Q38" t="str">
            <v>01</v>
          </cell>
          <cell r="R38" t="str">
            <v>USD</v>
          </cell>
          <cell r="S38">
            <v>58.62</v>
          </cell>
          <cell r="T38" t="str">
            <v>INR</v>
          </cell>
          <cell r="U38">
            <v>5095.3599999999997</v>
          </cell>
        </row>
        <row r="39">
          <cell r="M39" t="str">
            <v>256779411861</v>
          </cell>
          <cell r="N39" t="str">
            <v>212100</v>
          </cell>
          <cell r="O39" t="str">
            <v>Trade Debtors (Ctrl)</v>
          </cell>
          <cell r="P39" t="str">
            <v/>
          </cell>
          <cell r="Q39" t="str">
            <v>01</v>
          </cell>
          <cell r="R39" t="str">
            <v>USD</v>
          </cell>
          <cell r="S39">
            <v>8.92</v>
          </cell>
          <cell r="T39" t="str">
            <v>INR</v>
          </cell>
          <cell r="U39">
            <v>775.34</v>
          </cell>
        </row>
        <row r="40">
          <cell r="M40" t="str">
            <v>256779410887</v>
          </cell>
          <cell r="N40" t="str">
            <v>212100</v>
          </cell>
          <cell r="O40" t="str">
            <v>Trade Debtors (Ctrl)</v>
          </cell>
          <cell r="P40" t="str">
            <v/>
          </cell>
          <cell r="Q40" t="str">
            <v>01</v>
          </cell>
          <cell r="R40" t="str">
            <v>USD</v>
          </cell>
          <cell r="S40">
            <v>388.16</v>
          </cell>
          <cell r="T40" t="str">
            <v>INR</v>
          </cell>
          <cell r="U40">
            <v>33739.57</v>
          </cell>
        </row>
        <row r="41">
          <cell r="M41" t="str">
            <v>256779415985</v>
          </cell>
          <cell r="N41" t="str">
            <v>212100</v>
          </cell>
          <cell r="O41" t="str">
            <v>Trade Debtors (Ctrl)</v>
          </cell>
          <cell r="P41" t="str">
            <v/>
          </cell>
          <cell r="Q41" t="str">
            <v>01</v>
          </cell>
          <cell r="R41" t="str">
            <v>USD</v>
          </cell>
          <cell r="S41">
            <v>24.15</v>
          </cell>
          <cell r="T41" t="str">
            <v>INR</v>
          </cell>
          <cell r="U41">
            <v>2076.92</v>
          </cell>
        </row>
        <row r="42">
          <cell r="M42" t="str">
            <v>256779417047</v>
          </cell>
          <cell r="N42" t="str">
            <v>212100</v>
          </cell>
          <cell r="O42" t="str">
            <v>Trade Debtors (Ctrl)</v>
          </cell>
          <cell r="P42" t="str">
            <v/>
          </cell>
          <cell r="Q42" t="str">
            <v>01</v>
          </cell>
          <cell r="R42" t="str">
            <v>USD</v>
          </cell>
          <cell r="S42">
            <v>259.13</v>
          </cell>
          <cell r="T42" t="str">
            <v>INR</v>
          </cell>
          <cell r="U42">
            <v>22677.59</v>
          </cell>
        </row>
        <row r="43">
          <cell r="M43" t="str">
            <v>256779417220</v>
          </cell>
          <cell r="N43" t="str">
            <v>212100</v>
          </cell>
          <cell r="O43" t="str">
            <v>Trade Debtors (Ctrl)</v>
          </cell>
          <cell r="P43" t="str">
            <v/>
          </cell>
          <cell r="Q43" t="str">
            <v>01</v>
          </cell>
          <cell r="R43" t="str">
            <v>USD</v>
          </cell>
          <cell r="S43">
            <v>819.36</v>
          </cell>
          <cell r="T43" t="str">
            <v>INR</v>
          </cell>
          <cell r="U43">
            <v>71705.740000000005</v>
          </cell>
        </row>
        <row r="44">
          <cell r="M44" t="str">
            <v>256779417278</v>
          </cell>
          <cell r="N44" t="str">
            <v>212100</v>
          </cell>
          <cell r="O44" t="str">
            <v>Trade Debtors (Ctrl)</v>
          </cell>
          <cell r="P44" t="str">
            <v/>
          </cell>
          <cell r="Q44" t="str">
            <v>01</v>
          </cell>
          <cell r="R44" t="str">
            <v>USD</v>
          </cell>
          <cell r="S44">
            <v>82.76</v>
          </cell>
          <cell r="T44" t="str">
            <v>INR</v>
          </cell>
          <cell r="U44">
            <v>7242.69</v>
          </cell>
        </row>
        <row r="45">
          <cell r="M45" t="str">
            <v>256779417312</v>
          </cell>
          <cell r="N45" t="str">
            <v>212100</v>
          </cell>
          <cell r="O45" t="str">
            <v>Trade Debtors (Ctrl)</v>
          </cell>
          <cell r="P45" t="str">
            <v/>
          </cell>
          <cell r="Q45" t="str">
            <v>01</v>
          </cell>
          <cell r="R45" t="str">
            <v>USD</v>
          </cell>
          <cell r="S45">
            <v>24.28</v>
          </cell>
          <cell r="T45" t="str">
            <v>INR</v>
          </cell>
          <cell r="U45">
            <v>2124.85</v>
          </cell>
        </row>
        <row r="46">
          <cell r="M46" t="str">
            <v>256779414981</v>
          </cell>
          <cell r="N46" t="str">
            <v>212100</v>
          </cell>
          <cell r="O46" t="str">
            <v>Trade Debtors (Ctrl)</v>
          </cell>
          <cell r="P46" t="str">
            <v/>
          </cell>
          <cell r="Q46" t="str">
            <v>01</v>
          </cell>
          <cell r="R46" t="str">
            <v>USD</v>
          </cell>
          <cell r="S46">
            <v>1331.19</v>
          </cell>
          <cell r="T46" t="str">
            <v>INR</v>
          </cell>
          <cell r="U46">
            <v>114483.23</v>
          </cell>
        </row>
        <row r="47">
          <cell r="M47" t="str">
            <v>256779415026</v>
          </cell>
          <cell r="N47" t="str">
            <v>212100</v>
          </cell>
          <cell r="O47" t="str">
            <v>Trade Debtors (Ctrl)</v>
          </cell>
          <cell r="P47" t="str">
            <v/>
          </cell>
          <cell r="Q47" t="str">
            <v>01</v>
          </cell>
          <cell r="R47" t="str">
            <v>USD</v>
          </cell>
          <cell r="S47">
            <v>78.05</v>
          </cell>
          <cell r="T47" t="str">
            <v>INR</v>
          </cell>
          <cell r="U47">
            <v>6712.35</v>
          </cell>
        </row>
        <row r="48">
          <cell r="M48" t="str">
            <v>256779415122</v>
          </cell>
          <cell r="N48" t="str">
            <v>212100</v>
          </cell>
          <cell r="O48" t="str">
            <v>Trade Debtors (Ctrl)</v>
          </cell>
          <cell r="P48" t="str">
            <v/>
          </cell>
          <cell r="Q48" t="str">
            <v>01</v>
          </cell>
          <cell r="R48" t="str">
            <v>USD</v>
          </cell>
          <cell r="S48">
            <v>195.41</v>
          </cell>
          <cell r="T48" t="str">
            <v>INR</v>
          </cell>
          <cell r="U48">
            <v>16805.39</v>
          </cell>
        </row>
        <row r="49">
          <cell r="M49" t="str">
            <v>256779414795</v>
          </cell>
          <cell r="N49" t="str">
            <v>212100</v>
          </cell>
          <cell r="O49" t="str">
            <v>Trade Debtors (Ctrl)</v>
          </cell>
          <cell r="P49" t="str">
            <v/>
          </cell>
          <cell r="Q49" t="str">
            <v>01</v>
          </cell>
          <cell r="R49" t="str">
            <v>USD</v>
          </cell>
          <cell r="S49">
            <v>87.72</v>
          </cell>
          <cell r="T49" t="str">
            <v>INR</v>
          </cell>
          <cell r="U49">
            <v>7543.98</v>
          </cell>
        </row>
        <row r="50">
          <cell r="M50" t="str">
            <v>256779414822</v>
          </cell>
          <cell r="N50" t="str">
            <v>212100</v>
          </cell>
          <cell r="O50" t="str">
            <v>Trade Debtors (Ctrl)</v>
          </cell>
          <cell r="P50" t="str">
            <v/>
          </cell>
          <cell r="Q50" t="str">
            <v>01</v>
          </cell>
          <cell r="R50" t="str">
            <v>USD</v>
          </cell>
          <cell r="S50">
            <v>91.25</v>
          </cell>
          <cell r="T50" t="str">
            <v>INR</v>
          </cell>
          <cell r="U50">
            <v>7847.56</v>
          </cell>
        </row>
        <row r="51">
          <cell r="M51" t="str">
            <v>256779419035</v>
          </cell>
          <cell r="N51" t="str">
            <v>212100</v>
          </cell>
          <cell r="O51" t="str">
            <v>Trade Debtors (Ctrl)</v>
          </cell>
          <cell r="P51" t="str">
            <v/>
          </cell>
          <cell r="Q51" t="str">
            <v>01</v>
          </cell>
          <cell r="R51" t="str">
            <v>USD</v>
          </cell>
          <cell r="S51">
            <v>398.25</v>
          </cell>
          <cell r="T51" t="str">
            <v>INR</v>
          </cell>
          <cell r="U51">
            <v>35047.35</v>
          </cell>
        </row>
        <row r="52">
          <cell r="M52" t="str">
            <v>256779419163</v>
          </cell>
          <cell r="N52" t="str">
            <v>212100</v>
          </cell>
          <cell r="O52" t="str">
            <v>Trade Debtors (Ctrl)</v>
          </cell>
          <cell r="P52" t="str">
            <v/>
          </cell>
          <cell r="Q52" t="str">
            <v>01</v>
          </cell>
          <cell r="R52" t="str">
            <v>USD</v>
          </cell>
          <cell r="S52">
            <v>33.04</v>
          </cell>
          <cell r="T52" t="str">
            <v>INR</v>
          </cell>
          <cell r="U52">
            <v>2907.63</v>
          </cell>
        </row>
        <row r="53">
          <cell r="M53" t="str">
            <v>256779419254</v>
          </cell>
          <cell r="N53" t="str">
            <v>212100</v>
          </cell>
          <cell r="O53" t="str">
            <v>Trade Debtors (Ctrl)</v>
          </cell>
          <cell r="P53" t="str">
            <v/>
          </cell>
          <cell r="Q53" t="str">
            <v>01</v>
          </cell>
          <cell r="R53" t="str">
            <v>USD</v>
          </cell>
          <cell r="S53">
            <v>738.08</v>
          </cell>
          <cell r="T53" t="str">
            <v>INR</v>
          </cell>
          <cell r="U53">
            <v>64953.54</v>
          </cell>
        </row>
        <row r="54">
          <cell r="M54" t="str">
            <v>256779419119</v>
          </cell>
          <cell r="N54" t="str">
            <v>212100</v>
          </cell>
          <cell r="O54" t="str">
            <v>Trade Debtors (Ctrl)</v>
          </cell>
          <cell r="P54" t="str">
            <v/>
          </cell>
          <cell r="Q54" t="str">
            <v>01</v>
          </cell>
          <cell r="R54" t="str">
            <v>USD</v>
          </cell>
          <cell r="S54">
            <v>102.79</v>
          </cell>
          <cell r="T54" t="str">
            <v>INR</v>
          </cell>
          <cell r="U54">
            <v>9045.8700000000008</v>
          </cell>
        </row>
        <row r="55">
          <cell r="M55" t="str">
            <v>256779416168</v>
          </cell>
          <cell r="N55" t="str">
            <v>212100</v>
          </cell>
          <cell r="O55" t="str">
            <v>Trade Debtors (Ctrl)</v>
          </cell>
          <cell r="P55" t="str">
            <v/>
          </cell>
          <cell r="Q55" t="str">
            <v>01</v>
          </cell>
          <cell r="R55" t="str">
            <v>USD</v>
          </cell>
          <cell r="S55">
            <v>81.739999999999995</v>
          </cell>
          <cell r="T55" t="str">
            <v>INR</v>
          </cell>
          <cell r="U55">
            <v>7032.1</v>
          </cell>
        </row>
        <row r="56">
          <cell r="M56" t="str">
            <v>256779416210</v>
          </cell>
          <cell r="N56" t="str">
            <v>212100</v>
          </cell>
          <cell r="O56" t="str">
            <v>Trade Debtors (Ctrl)</v>
          </cell>
          <cell r="P56" t="str">
            <v/>
          </cell>
          <cell r="Q56" t="str">
            <v>01</v>
          </cell>
          <cell r="R56" t="str">
            <v>USD</v>
          </cell>
          <cell r="S56">
            <v>41.77</v>
          </cell>
          <cell r="T56" t="str">
            <v>INR</v>
          </cell>
          <cell r="U56">
            <v>3593.48</v>
          </cell>
        </row>
        <row r="57">
          <cell r="M57" t="str">
            <v>256779416317</v>
          </cell>
          <cell r="N57" t="str">
            <v>212100</v>
          </cell>
          <cell r="O57" t="str">
            <v>Trade Debtors (Ctrl)</v>
          </cell>
          <cell r="P57" t="str">
            <v/>
          </cell>
          <cell r="Q57" t="str">
            <v>01</v>
          </cell>
          <cell r="R57" t="str">
            <v>USD</v>
          </cell>
          <cell r="S57">
            <v>220.9</v>
          </cell>
          <cell r="T57" t="str">
            <v>INR</v>
          </cell>
          <cell r="U57">
            <v>19004.05</v>
          </cell>
        </row>
        <row r="58">
          <cell r="M58" t="str">
            <v>256779416523</v>
          </cell>
          <cell r="N58" t="str">
            <v>212100</v>
          </cell>
          <cell r="O58" t="str">
            <v>Trade Debtors (Ctrl)</v>
          </cell>
          <cell r="P58" t="str">
            <v/>
          </cell>
          <cell r="Q58" t="str">
            <v>01</v>
          </cell>
          <cell r="R58" t="str">
            <v>USD</v>
          </cell>
          <cell r="S58">
            <v>559.33000000000004</v>
          </cell>
          <cell r="T58" t="str">
            <v>INR</v>
          </cell>
          <cell r="U58">
            <v>48119.23</v>
          </cell>
        </row>
        <row r="59">
          <cell r="M59" t="str">
            <v>256779414200</v>
          </cell>
          <cell r="N59" t="str">
            <v>212100</v>
          </cell>
          <cell r="O59" t="str">
            <v>Trade Debtors (Ctrl)</v>
          </cell>
          <cell r="P59" t="str">
            <v/>
          </cell>
          <cell r="Q59" t="str">
            <v>01</v>
          </cell>
          <cell r="R59" t="str">
            <v>USD</v>
          </cell>
          <cell r="S59">
            <v>39.75</v>
          </cell>
          <cell r="T59" t="str">
            <v>INR</v>
          </cell>
          <cell r="U59">
            <v>3398.26</v>
          </cell>
        </row>
        <row r="60">
          <cell r="M60" t="str">
            <v>256779414307</v>
          </cell>
          <cell r="N60" t="str">
            <v>212100</v>
          </cell>
          <cell r="O60" t="str">
            <v>Trade Debtors (Ctrl)</v>
          </cell>
          <cell r="P60" t="str">
            <v/>
          </cell>
          <cell r="Q60" t="str">
            <v>01</v>
          </cell>
          <cell r="R60" t="str">
            <v>USD</v>
          </cell>
          <cell r="S60">
            <v>48.57</v>
          </cell>
          <cell r="T60" t="str">
            <v>INR</v>
          </cell>
          <cell r="U60">
            <v>4152.29</v>
          </cell>
        </row>
        <row r="61">
          <cell r="M61" t="str">
            <v>256779413305</v>
          </cell>
          <cell r="N61" t="str">
            <v>212100</v>
          </cell>
          <cell r="O61" t="str">
            <v>Trade Debtors (Ctrl)</v>
          </cell>
          <cell r="P61" t="str">
            <v/>
          </cell>
          <cell r="Q61" t="str">
            <v>01</v>
          </cell>
          <cell r="R61" t="str">
            <v>USD</v>
          </cell>
          <cell r="S61">
            <v>46.02</v>
          </cell>
          <cell r="T61" t="str">
            <v>INR</v>
          </cell>
          <cell r="U61">
            <v>3956.97</v>
          </cell>
        </row>
        <row r="62">
          <cell r="M62" t="str">
            <v>256779413343</v>
          </cell>
          <cell r="N62" t="str">
            <v>212100</v>
          </cell>
          <cell r="O62" t="str">
            <v>Trade Debtors (Ctrl)</v>
          </cell>
          <cell r="P62" t="str">
            <v/>
          </cell>
          <cell r="Q62" t="str">
            <v>01</v>
          </cell>
          <cell r="R62" t="str">
            <v>USD</v>
          </cell>
          <cell r="S62">
            <v>33.04</v>
          </cell>
          <cell r="T62" t="str">
            <v>INR</v>
          </cell>
          <cell r="U62">
            <v>2840.9</v>
          </cell>
        </row>
        <row r="63">
          <cell r="M63" t="str">
            <v>256779415515</v>
          </cell>
          <cell r="N63" t="str">
            <v>212100</v>
          </cell>
          <cell r="O63" t="str">
            <v>Trade Debtors (Ctrl)</v>
          </cell>
          <cell r="P63" t="str">
            <v/>
          </cell>
          <cell r="Q63" t="str">
            <v>01</v>
          </cell>
          <cell r="R63" t="str">
            <v>USD</v>
          </cell>
          <cell r="S63">
            <v>26.85</v>
          </cell>
          <cell r="T63" t="str">
            <v>INR</v>
          </cell>
          <cell r="U63">
            <v>2309.12</v>
          </cell>
        </row>
        <row r="64">
          <cell r="M64" t="str">
            <v>246779413862</v>
          </cell>
          <cell r="N64" t="str">
            <v>212100</v>
          </cell>
          <cell r="O64" t="str">
            <v>Trade Debtors (Ctrl)</v>
          </cell>
          <cell r="P64" t="str">
            <v/>
          </cell>
          <cell r="Q64" t="str">
            <v>01</v>
          </cell>
          <cell r="R64" t="str">
            <v>USD</v>
          </cell>
          <cell r="S64">
            <v>4.72</v>
          </cell>
          <cell r="T64" t="str">
            <v>INR</v>
          </cell>
          <cell r="U64">
            <v>409.18</v>
          </cell>
        </row>
        <row r="65">
          <cell r="M65" t="str">
            <v>246779413863</v>
          </cell>
          <cell r="N65" t="str">
            <v>212100</v>
          </cell>
          <cell r="O65" t="str">
            <v>Trade Debtors (Ctrl)</v>
          </cell>
          <cell r="P65" t="str">
            <v/>
          </cell>
          <cell r="Q65" t="str">
            <v>01</v>
          </cell>
          <cell r="R65" t="str">
            <v>USD</v>
          </cell>
          <cell r="S65">
            <v>7.27</v>
          </cell>
          <cell r="T65" t="str">
            <v>INR</v>
          </cell>
          <cell r="U65">
            <v>630.25</v>
          </cell>
        </row>
        <row r="66">
          <cell r="M66" t="str">
            <v>246779413865</v>
          </cell>
          <cell r="N66" t="str">
            <v>212100</v>
          </cell>
          <cell r="O66" t="str">
            <v>Trade Debtors (Ctrl)</v>
          </cell>
          <cell r="P66" t="str">
            <v/>
          </cell>
          <cell r="Q66" t="str">
            <v>01</v>
          </cell>
          <cell r="R66" t="str">
            <v>USD</v>
          </cell>
          <cell r="S66">
            <v>4.72</v>
          </cell>
          <cell r="T66" t="str">
            <v>INR</v>
          </cell>
          <cell r="U66">
            <v>409.18</v>
          </cell>
        </row>
        <row r="67">
          <cell r="M67" t="str">
            <v>246779414111</v>
          </cell>
          <cell r="N67" t="str">
            <v>212100</v>
          </cell>
          <cell r="O67" t="str">
            <v>Trade Debtors (Ctrl)</v>
          </cell>
          <cell r="P67" t="str">
            <v/>
          </cell>
          <cell r="Q67" t="str">
            <v>01</v>
          </cell>
          <cell r="R67" t="str">
            <v>USD</v>
          </cell>
          <cell r="S67">
            <v>28.32</v>
          </cell>
          <cell r="T67" t="str">
            <v>INR</v>
          </cell>
          <cell r="U67">
            <v>2455.1</v>
          </cell>
        </row>
        <row r="68">
          <cell r="M68" t="str">
            <v>246779414197</v>
          </cell>
          <cell r="N68" t="str">
            <v>212100</v>
          </cell>
          <cell r="O68" t="str">
            <v>Trade Debtors (Ctrl)</v>
          </cell>
          <cell r="P68" t="str">
            <v/>
          </cell>
          <cell r="Q68" t="str">
            <v>01</v>
          </cell>
          <cell r="R68" t="str">
            <v>USD</v>
          </cell>
          <cell r="S68">
            <v>53.61</v>
          </cell>
          <cell r="T68" t="str">
            <v>INR</v>
          </cell>
          <cell r="U68">
            <v>4647.5200000000004</v>
          </cell>
        </row>
        <row r="69">
          <cell r="M69" t="str">
            <v>246779414198</v>
          </cell>
          <cell r="N69" t="str">
            <v>212100</v>
          </cell>
          <cell r="O69" t="str">
            <v>Trade Debtors (Ctrl)</v>
          </cell>
          <cell r="P69" t="str">
            <v/>
          </cell>
          <cell r="Q69" t="str">
            <v>01</v>
          </cell>
          <cell r="R69" t="str">
            <v>USD</v>
          </cell>
          <cell r="S69">
            <v>12.24</v>
          </cell>
          <cell r="T69" t="str">
            <v>INR</v>
          </cell>
          <cell r="U69">
            <v>1061.0999999999999</v>
          </cell>
        </row>
        <row r="70">
          <cell r="M70" t="str">
            <v>246779414373</v>
          </cell>
          <cell r="N70" t="str">
            <v>212100</v>
          </cell>
          <cell r="O70" t="str">
            <v>Trade Debtors (Ctrl)</v>
          </cell>
          <cell r="P70" t="str">
            <v/>
          </cell>
          <cell r="Q70" t="str">
            <v>01</v>
          </cell>
          <cell r="R70" t="str">
            <v>USD</v>
          </cell>
          <cell r="S70">
            <v>32.65</v>
          </cell>
          <cell r="T70" t="str">
            <v>INR</v>
          </cell>
          <cell r="U70">
            <v>2830.47</v>
          </cell>
        </row>
        <row r="71">
          <cell r="M71" t="str">
            <v>246779414374</v>
          </cell>
          <cell r="N71" t="str">
            <v>212100</v>
          </cell>
          <cell r="O71" t="str">
            <v>Trade Debtors (Ctrl)</v>
          </cell>
          <cell r="P71" t="str">
            <v/>
          </cell>
          <cell r="Q71" t="str">
            <v>01</v>
          </cell>
          <cell r="R71" t="str">
            <v>USD</v>
          </cell>
          <cell r="S71">
            <v>56.64</v>
          </cell>
          <cell r="T71" t="str">
            <v>INR</v>
          </cell>
          <cell r="U71">
            <v>4910.1899999999996</v>
          </cell>
        </row>
        <row r="72">
          <cell r="M72" t="str">
            <v>246779414453</v>
          </cell>
          <cell r="N72" t="str">
            <v>212100</v>
          </cell>
          <cell r="O72" t="str">
            <v>Trade Debtors (Ctrl)</v>
          </cell>
          <cell r="P72" t="str">
            <v/>
          </cell>
          <cell r="Q72" t="str">
            <v>01</v>
          </cell>
          <cell r="R72" t="str">
            <v>USD</v>
          </cell>
          <cell r="S72">
            <v>16.04</v>
          </cell>
          <cell r="T72" t="str">
            <v>INR</v>
          </cell>
          <cell r="U72">
            <v>1390.53</v>
          </cell>
        </row>
        <row r="73">
          <cell r="M73" t="str">
            <v>246779414454</v>
          </cell>
          <cell r="N73" t="str">
            <v>212100</v>
          </cell>
          <cell r="O73" t="str">
            <v>Trade Debtors (Ctrl)</v>
          </cell>
          <cell r="P73" t="str">
            <v/>
          </cell>
          <cell r="Q73" t="str">
            <v>01</v>
          </cell>
          <cell r="R73" t="str">
            <v>USD</v>
          </cell>
          <cell r="S73">
            <v>28.32</v>
          </cell>
          <cell r="T73" t="str">
            <v>INR</v>
          </cell>
          <cell r="U73">
            <v>2455.1</v>
          </cell>
        </row>
        <row r="74">
          <cell r="M74" t="str">
            <v>246779414514</v>
          </cell>
          <cell r="N74" t="str">
            <v>212100</v>
          </cell>
          <cell r="O74" t="str">
            <v>Trade Debtors (Ctrl)</v>
          </cell>
          <cell r="P74" t="str">
            <v/>
          </cell>
          <cell r="Q74" t="str">
            <v>01</v>
          </cell>
          <cell r="R74" t="str">
            <v>USD</v>
          </cell>
          <cell r="S74">
            <v>17.579999999999998</v>
          </cell>
          <cell r="T74" t="str">
            <v>INR</v>
          </cell>
          <cell r="U74">
            <v>1524.03</v>
          </cell>
        </row>
        <row r="75">
          <cell r="M75" t="str">
            <v>246779414515</v>
          </cell>
          <cell r="N75" t="str">
            <v>212100</v>
          </cell>
          <cell r="O75" t="str">
            <v>Trade Debtors (Ctrl)</v>
          </cell>
          <cell r="P75" t="str">
            <v/>
          </cell>
          <cell r="Q75" t="str">
            <v>01</v>
          </cell>
          <cell r="R75" t="str">
            <v>USD</v>
          </cell>
          <cell r="S75">
            <v>28.32</v>
          </cell>
          <cell r="T75" t="str">
            <v>INR</v>
          </cell>
          <cell r="U75">
            <v>2455.1</v>
          </cell>
        </row>
        <row r="76">
          <cell r="M76" t="str">
            <v>246779414776</v>
          </cell>
          <cell r="N76" t="str">
            <v>212100</v>
          </cell>
          <cell r="O76" t="str">
            <v>Trade Debtors (Ctrl)</v>
          </cell>
          <cell r="P76" t="str">
            <v/>
          </cell>
          <cell r="Q76" t="str">
            <v>01</v>
          </cell>
          <cell r="R76" t="str">
            <v>USD</v>
          </cell>
          <cell r="S76">
            <v>21.24</v>
          </cell>
          <cell r="T76" t="str">
            <v>INR</v>
          </cell>
          <cell r="U76">
            <v>1841.32</v>
          </cell>
        </row>
        <row r="77">
          <cell r="M77" t="str">
            <v>246779414777</v>
          </cell>
          <cell r="N77" t="str">
            <v>212100</v>
          </cell>
          <cell r="O77" t="str">
            <v>Trade Debtors (Ctrl)</v>
          </cell>
          <cell r="P77" t="str">
            <v/>
          </cell>
          <cell r="Q77" t="str">
            <v>01</v>
          </cell>
          <cell r="R77" t="str">
            <v>USD</v>
          </cell>
          <cell r="S77">
            <v>3.54</v>
          </cell>
          <cell r="T77" t="str">
            <v>INR</v>
          </cell>
          <cell r="U77">
            <v>306.89</v>
          </cell>
        </row>
        <row r="78">
          <cell r="M78" t="str">
            <v>246779414849</v>
          </cell>
          <cell r="N78" t="str">
            <v>212100</v>
          </cell>
          <cell r="O78" t="str">
            <v>Trade Debtors (Ctrl)</v>
          </cell>
          <cell r="P78" t="str">
            <v/>
          </cell>
          <cell r="Q78" t="str">
            <v>01</v>
          </cell>
          <cell r="R78" t="str">
            <v>USD</v>
          </cell>
          <cell r="S78">
            <v>4.72</v>
          </cell>
          <cell r="T78" t="str">
            <v>INR</v>
          </cell>
          <cell r="U78">
            <v>409.18</v>
          </cell>
        </row>
        <row r="79">
          <cell r="M79" t="str">
            <v>246779414850</v>
          </cell>
          <cell r="N79" t="str">
            <v>212100</v>
          </cell>
          <cell r="O79" t="str">
            <v>Trade Debtors (Ctrl)</v>
          </cell>
          <cell r="P79" t="str">
            <v/>
          </cell>
          <cell r="Q79" t="str">
            <v>01</v>
          </cell>
          <cell r="R79" t="str">
            <v>USD</v>
          </cell>
          <cell r="S79">
            <v>4.72</v>
          </cell>
          <cell r="T79" t="str">
            <v>INR</v>
          </cell>
          <cell r="U79">
            <v>409.18</v>
          </cell>
        </row>
        <row r="80">
          <cell r="M80" t="str">
            <v>246779414853</v>
          </cell>
          <cell r="N80" t="str">
            <v>212100</v>
          </cell>
          <cell r="O80" t="str">
            <v>Trade Debtors (Ctrl)</v>
          </cell>
          <cell r="P80" t="str">
            <v/>
          </cell>
          <cell r="Q80" t="str">
            <v>01</v>
          </cell>
          <cell r="R80" t="str">
            <v>USD</v>
          </cell>
          <cell r="S80">
            <v>4.72</v>
          </cell>
          <cell r="T80" t="str">
            <v>INR</v>
          </cell>
          <cell r="U80">
            <v>409.18</v>
          </cell>
        </row>
        <row r="81">
          <cell r="M81" t="str">
            <v>246779414854</v>
          </cell>
          <cell r="N81" t="str">
            <v>212100</v>
          </cell>
          <cell r="O81" t="str">
            <v>Trade Debtors (Ctrl)</v>
          </cell>
          <cell r="P81" t="str">
            <v/>
          </cell>
          <cell r="Q81" t="str">
            <v>01</v>
          </cell>
          <cell r="R81" t="str">
            <v>USD</v>
          </cell>
          <cell r="S81">
            <v>4.72</v>
          </cell>
          <cell r="T81" t="str">
            <v>INR</v>
          </cell>
          <cell r="U81">
            <v>409.18</v>
          </cell>
        </row>
        <row r="82">
          <cell r="M82" t="str">
            <v>246779414581</v>
          </cell>
          <cell r="N82" t="str">
            <v>212100</v>
          </cell>
          <cell r="O82" t="str">
            <v>Trade Debtors (Ctrl)</v>
          </cell>
          <cell r="P82" t="str">
            <v/>
          </cell>
          <cell r="Q82" t="str">
            <v>01</v>
          </cell>
          <cell r="R82" t="str">
            <v>USD</v>
          </cell>
          <cell r="S82">
            <v>81.42</v>
          </cell>
          <cell r="T82" t="str">
            <v>INR</v>
          </cell>
          <cell r="U82">
            <v>7058.4</v>
          </cell>
        </row>
        <row r="83">
          <cell r="M83" t="str">
            <v>246779414655</v>
          </cell>
          <cell r="N83" t="str">
            <v>212100</v>
          </cell>
          <cell r="O83" t="str">
            <v>Trade Debtors (Ctrl)</v>
          </cell>
          <cell r="P83" t="str">
            <v/>
          </cell>
          <cell r="Q83" t="str">
            <v>01</v>
          </cell>
          <cell r="R83" t="str">
            <v>USD</v>
          </cell>
          <cell r="S83">
            <v>13.33</v>
          </cell>
          <cell r="T83" t="str">
            <v>INR</v>
          </cell>
          <cell r="U83">
            <v>1155.5899999999999</v>
          </cell>
        </row>
        <row r="84">
          <cell r="M84" t="str">
            <v>246779414656</v>
          </cell>
          <cell r="N84" t="str">
            <v>212100</v>
          </cell>
          <cell r="O84" t="str">
            <v>Trade Debtors (Ctrl)</v>
          </cell>
          <cell r="P84" t="str">
            <v/>
          </cell>
          <cell r="Q84" t="str">
            <v>01</v>
          </cell>
          <cell r="R84" t="str">
            <v>USD</v>
          </cell>
          <cell r="S84">
            <v>74.41</v>
          </cell>
          <cell r="T84" t="str">
            <v>INR</v>
          </cell>
          <cell r="U84">
            <v>6450.7</v>
          </cell>
        </row>
        <row r="85">
          <cell r="M85" t="str">
            <v>246779414722</v>
          </cell>
          <cell r="N85" t="str">
            <v>212100</v>
          </cell>
          <cell r="O85" t="str">
            <v>Trade Debtors (Ctrl)</v>
          </cell>
          <cell r="P85" t="str">
            <v/>
          </cell>
          <cell r="Q85" t="str">
            <v>01</v>
          </cell>
          <cell r="R85" t="str">
            <v>USD</v>
          </cell>
          <cell r="S85">
            <v>24.78</v>
          </cell>
          <cell r="T85" t="str">
            <v>INR</v>
          </cell>
          <cell r="U85">
            <v>2148.21</v>
          </cell>
        </row>
        <row r="86">
          <cell r="M86" t="str">
            <v>246779414723</v>
          </cell>
          <cell r="N86" t="str">
            <v>212100</v>
          </cell>
          <cell r="O86" t="str">
            <v>Trade Debtors (Ctrl)</v>
          </cell>
          <cell r="P86" t="str">
            <v/>
          </cell>
          <cell r="Q86" t="str">
            <v>01</v>
          </cell>
          <cell r="R86" t="str">
            <v>USD</v>
          </cell>
          <cell r="S86">
            <v>8.25</v>
          </cell>
          <cell r="T86" t="str">
            <v>INR</v>
          </cell>
          <cell r="U86">
            <v>715.2</v>
          </cell>
        </row>
        <row r="87">
          <cell r="M87" t="str">
            <v>246779414851</v>
          </cell>
          <cell r="N87" t="str">
            <v>212100</v>
          </cell>
          <cell r="O87" t="str">
            <v>Trade Debtors (Ctrl)</v>
          </cell>
          <cell r="P87" t="str">
            <v/>
          </cell>
          <cell r="Q87" t="str">
            <v>01</v>
          </cell>
          <cell r="R87" t="str">
            <v>USD</v>
          </cell>
          <cell r="S87">
            <v>31.53</v>
          </cell>
          <cell r="T87" t="str">
            <v>INR</v>
          </cell>
          <cell r="U87">
            <v>2733.38</v>
          </cell>
        </row>
        <row r="88">
          <cell r="M88" t="str">
            <v>246779414852</v>
          </cell>
          <cell r="N88" t="str">
            <v>212100</v>
          </cell>
          <cell r="O88" t="str">
            <v>Trade Debtors (Ctrl)</v>
          </cell>
          <cell r="P88" t="str">
            <v/>
          </cell>
          <cell r="Q88" t="str">
            <v>01</v>
          </cell>
          <cell r="R88" t="str">
            <v>USD</v>
          </cell>
          <cell r="S88">
            <v>4.72</v>
          </cell>
          <cell r="T88" t="str">
            <v>INR</v>
          </cell>
          <cell r="U88">
            <v>409.18</v>
          </cell>
        </row>
        <row r="89">
          <cell r="M89" t="str">
            <v>256779416737</v>
          </cell>
          <cell r="N89" t="str">
            <v>212100</v>
          </cell>
          <cell r="O89" t="str">
            <v>Trade Debtors (Ctrl)</v>
          </cell>
          <cell r="P89" t="str">
            <v/>
          </cell>
          <cell r="Q89" t="str">
            <v>01</v>
          </cell>
          <cell r="R89" t="str">
            <v>USD</v>
          </cell>
          <cell r="S89">
            <v>221.43</v>
          </cell>
          <cell r="T89" t="str">
            <v>INR</v>
          </cell>
          <cell r="U89">
            <v>19049.650000000001</v>
          </cell>
        </row>
        <row r="90">
          <cell r="M90" t="str">
            <v>256779416836</v>
          </cell>
          <cell r="N90" t="str">
            <v>212100</v>
          </cell>
          <cell r="O90" t="str">
            <v>Trade Debtors (Ctrl)</v>
          </cell>
          <cell r="P90" t="str">
            <v/>
          </cell>
          <cell r="Q90" t="str">
            <v>01</v>
          </cell>
          <cell r="R90" t="str">
            <v>USD</v>
          </cell>
          <cell r="S90">
            <v>45.89</v>
          </cell>
          <cell r="T90" t="str">
            <v>INR</v>
          </cell>
          <cell r="U90">
            <v>3947.92</v>
          </cell>
        </row>
        <row r="91">
          <cell r="M91" t="str">
            <v>256779416868</v>
          </cell>
          <cell r="N91" t="str">
            <v>212100</v>
          </cell>
          <cell r="O91" t="str">
            <v>Trade Debtors (Ctrl)</v>
          </cell>
          <cell r="P91" t="str">
            <v/>
          </cell>
          <cell r="Q91" t="str">
            <v>01</v>
          </cell>
          <cell r="R91" t="str">
            <v>USD</v>
          </cell>
          <cell r="S91">
            <v>31.26</v>
          </cell>
          <cell r="T91" t="str">
            <v>INR</v>
          </cell>
          <cell r="U91">
            <v>2689.3</v>
          </cell>
        </row>
        <row r="92">
          <cell r="M92" t="str">
            <v>256779419815</v>
          </cell>
          <cell r="N92" t="str">
            <v>212100</v>
          </cell>
          <cell r="O92" t="str">
            <v>Trade Debtors (Ctrl)</v>
          </cell>
          <cell r="P92" t="str">
            <v/>
          </cell>
          <cell r="Q92" t="str">
            <v>01</v>
          </cell>
          <cell r="R92" t="str">
            <v>USD</v>
          </cell>
          <cell r="S92">
            <v>1011.7</v>
          </cell>
          <cell r="T92" t="str">
            <v>INR</v>
          </cell>
          <cell r="U92">
            <v>89737.93</v>
          </cell>
        </row>
        <row r="93">
          <cell r="M93" t="str">
            <v>256779419856</v>
          </cell>
          <cell r="N93" t="str">
            <v>212100</v>
          </cell>
          <cell r="O93" t="str">
            <v>Trade Debtors (Ctrl)</v>
          </cell>
          <cell r="P93" t="str">
            <v/>
          </cell>
          <cell r="Q93" t="str">
            <v>01</v>
          </cell>
          <cell r="R93" t="str">
            <v>USD</v>
          </cell>
          <cell r="S93">
            <v>185.63</v>
          </cell>
          <cell r="T93" t="str">
            <v>INR</v>
          </cell>
          <cell r="U93">
            <v>16465.41</v>
          </cell>
        </row>
        <row r="94">
          <cell r="M94" t="str">
            <v>256779413478</v>
          </cell>
          <cell r="N94" t="str">
            <v>212100</v>
          </cell>
          <cell r="O94" t="str">
            <v>Trade Debtors (Ctrl)</v>
          </cell>
          <cell r="P94" t="str">
            <v/>
          </cell>
          <cell r="Q94" t="str">
            <v>01</v>
          </cell>
          <cell r="R94" t="str">
            <v>USD</v>
          </cell>
          <cell r="S94">
            <v>9.44</v>
          </cell>
          <cell r="T94" t="str">
            <v>INR</v>
          </cell>
          <cell r="U94">
            <v>811.69</v>
          </cell>
        </row>
        <row r="95">
          <cell r="M95" t="str">
            <v>256779413878</v>
          </cell>
          <cell r="N95" t="str">
            <v>212100</v>
          </cell>
          <cell r="O95" t="str">
            <v>Trade Debtors (Ctrl)</v>
          </cell>
          <cell r="P95" t="str">
            <v/>
          </cell>
          <cell r="Q95" t="str">
            <v>01</v>
          </cell>
          <cell r="R95" t="str">
            <v>USD</v>
          </cell>
          <cell r="S95">
            <v>68.180000000000007</v>
          </cell>
          <cell r="T95" t="str">
            <v>INR</v>
          </cell>
          <cell r="U95">
            <v>5862.37</v>
          </cell>
        </row>
        <row r="96">
          <cell r="M96" t="str">
            <v>256779410066</v>
          </cell>
          <cell r="N96" t="str">
            <v>212100</v>
          </cell>
          <cell r="O96" t="str">
            <v>Trade Debtors (Ctrl)</v>
          </cell>
          <cell r="P96" t="str">
            <v/>
          </cell>
          <cell r="Q96" t="str">
            <v>01</v>
          </cell>
          <cell r="R96" t="str">
            <v>USD</v>
          </cell>
          <cell r="S96">
            <v>17.61</v>
          </cell>
          <cell r="T96" t="str">
            <v>INR</v>
          </cell>
          <cell r="U96">
            <v>1530.69</v>
          </cell>
        </row>
        <row r="97">
          <cell r="M97" t="str">
            <v>256779410067</v>
          </cell>
          <cell r="N97" t="str">
            <v>212100</v>
          </cell>
          <cell r="O97" t="str">
            <v>Trade Debtors (Ctrl)</v>
          </cell>
          <cell r="P97" t="str">
            <v/>
          </cell>
          <cell r="Q97" t="str">
            <v>01</v>
          </cell>
          <cell r="R97" t="str">
            <v>USD</v>
          </cell>
          <cell r="S97">
            <v>28.32</v>
          </cell>
          <cell r="T97" t="str">
            <v>INR</v>
          </cell>
          <cell r="U97">
            <v>2461.63</v>
          </cell>
        </row>
        <row r="98">
          <cell r="M98" t="str">
            <v>256779410122</v>
          </cell>
          <cell r="N98" t="str">
            <v>212100</v>
          </cell>
          <cell r="O98" t="str">
            <v>Trade Debtors (Ctrl)</v>
          </cell>
          <cell r="P98" t="str">
            <v/>
          </cell>
          <cell r="Q98" t="str">
            <v>01</v>
          </cell>
          <cell r="R98" t="str">
            <v>USD</v>
          </cell>
          <cell r="S98">
            <v>18.86</v>
          </cell>
          <cell r="T98" t="str">
            <v>INR</v>
          </cell>
          <cell r="U98">
            <v>1639.35</v>
          </cell>
        </row>
        <row r="99">
          <cell r="M99" t="str">
            <v>256779410123</v>
          </cell>
          <cell r="N99" t="str">
            <v>212100</v>
          </cell>
          <cell r="O99" t="str">
            <v>Trade Debtors (Ctrl)</v>
          </cell>
          <cell r="P99" t="str">
            <v/>
          </cell>
          <cell r="Q99" t="str">
            <v>01</v>
          </cell>
          <cell r="R99" t="str">
            <v>USD</v>
          </cell>
          <cell r="S99">
            <v>6.29</v>
          </cell>
          <cell r="T99" t="str">
            <v>INR</v>
          </cell>
          <cell r="U99">
            <v>546.74</v>
          </cell>
        </row>
        <row r="100">
          <cell r="M100" t="str">
            <v>256779418649</v>
          </cell>
          <cell r="N100" t="str">
            <v>212100</v>
          </cell>
          <cell r="O100" t="str">
            <v>Trade Debtors (Ctrl)</v>
          </cell>
          <cell r="P100" t="str">
            <v/>
          </cell>
          <cell r="Q100" t="str">
            <v>01</v>
          </cell>
          <cell r="R100" t="str">
            <v>USD</v>
          </cell>
          <cell r="S100">
            <v>118.91</v>
          </cell>
          <cell r="T100" t="str">
            <v>INR</v>
          </cell>
          <cell r="U100">
            <v>10486.76</v>
          </cell>
        </row>
        <row r="101">
          <cell r="M101" t="str">
            <v>256779418687</v>
          </cell>
          <cell r="N101" t="str">
            <v>212100</v>
          </cell>
          <cell r="O101" t="str">
            <v>Trade Debtors (Ctrl)</v>
          </cell>
          <cell r="P101" t="str">
            <v/>
          </cell>
          <cell r="Q101" t="str">
            <v>01</v>
          </cell>
          <cell r="R101" t="str">
            <v>USD</v>
          </cell>
          <cell r="S101">
            <v>28.32</v>
          </cell>
          <cell r="T101" t="str">
            <v>INR</v>
          </cell>
          <cell r="U101">
            <v>2497.56</v>
          </cell>
        </row>
        <row r="102">
          <cell r="M102" t="str">
            <v>256779412249</v>
          </cell>
          <cell r="N102" t="str">
            <v>212100</v>
          </cell>
          <cell r="O102" t="str">
            <v>Trade Debtors (Ctrl)</v>
          </cell>
          <cell r="P102" t="str">
            <v/>
          </cell>
          <cell r="Q102" t="str">
            <v>01</v>
          </cell>
          <cell r="R102" t="str">
            <v>USD</v>
          </cell>
          <cell r="S102">
            <v>283.55</v>
          </cell>
          <cell r="T102" t="str">
            <v>INR</v>
          </cell>
          <cell r="U102">
            <v>24646.68</v>
          </cell>
        </row>
        <row r="103">
          <cell r="M103" t="str">
            <v>256779412399</v>
          </cell>
          <cell r="N103" t="str">
            <v>212100</v>
          </cell>
          <cell r="O103" t="str">
            <v>Trade Debtors (Ctrl)</v>
          </cell>
          <cell r="P103" t="str">
            <v/>
          </cell>
          <cell r="Q103" t="str">
            <v>01</v>
          </cell>
          <cell r="R103" t="str">
            <v>USD</v>
          </cell>
          <cell r="S103">
            <v>266.02999999999997</v>
          </cell>
          <cell r="T103" t="str">
            <v>INR</v>
          </cell>
          <cell r="U103">
            <v>23123.81</v>
          </cell>
        </row>
        <row r="104">
          <cell r="M104" t="str">
            <v>246779412466</v>
          </cell>
          <cell r="N104" t="str">
            <v>212100</v>
          </cell>
          <cell r="O104" t="str">
            <v>Trade Debtors (Ctrl)</v>
          </cell>
          <cell r="P104" t="str">
            <v/>
          </cell>
          <cell r="Q104" t="str">
            <v>01</v>
          </cell>
          <cell r="R104" t="str">
            <v>USD</v>
          </cell>
          <cell r="S104">
            <v>291.52</v>
          </cell>
          <cell r="T104" t="str">
            <v>INR</v>
          </cell>
          <cell r="U104">
            <v>25272.240000000002</v>
          </cell>
        </row>
        <row r="105">
          <cell r="M105" t="str">
            <v>246779412515</v>
          </cell>
          <cell r="N105" t="str">
            <v>212100</v>
          </cell>
          <cell r="O105" t="str">
            <v>Trade Debtors (Ctrl)</v>
          </cell>
          <cell r="P105" t="str">
            <v/>
          </cell>
          <cell r="Q105" t="str">
            <v>01</v>
          </cell>
          <cell r="R105" t="str">
            <v>USD</v>
          </cell>
          <cell r="S105">
            <v>307.98</v>
          </cell>
          <cell r="T105" t="str">
            <v>INR</v>
          </cell>
          <cell r="U105">
            <v>26699.17</v>
          </cell>
        </row>
        <row r="106">
          <cell r="M106" t="str">
            <v>246779412567</v>
          </cell>
          <cell r="N106" t="str">
            <v>212100</v>
          </cell>
          <cell r="O106" t="str">
            <v>Trade Debtors (Ctrl)</v>
          </cell>
          <cell r="P106" t="str">
            <v/>
          </cell>
          <cell r="Q106" t="str">
            <v>01</v>
          </cell>
          <cell r="R106" t="str">
            <v>USD</v>
          </cell>
          <cell r="S106">
            <v>472.06</v>
          </cell>
          <cell r="T106" t="str">
            <v>INR</v>
          </cell>
          <cell r="U106">
            <v>40923.480000000003</v>
          </cell>
        </row>
        <row r="107">
          <cell r="M107" t="str">
            <v>256779413451</v>
          </cell>
          <cell r="N107" t="str">
            <v>212100</v>
          </cell>
          <cell r="O107" t="str">
            <v>Trade Debtors (Ctrl)</v>
          </cell>
          <cell r="P107" t="str">
            <v/>
          </cell>
          <cell r="Q107" t="str">
            <v>01</v>
          </cell>
          <cell r="R107" t="str">
            <v>USD</v>
          </cell>
          <cell r="S107">
            <v>1743.01</v>
          </cell>
          <cell r="T107" t="str">
            <v>INR</v>
          </cell>
          <cell r="U107">
            <v>149870.45000000001</v>
          </cell>
        </row>
        <row r="108">
          <cell r="M108" t="str">
            <v>256779417688</v>
          </cell>
          <cell r="N108" t="str">
            <v>212100</v>
          </cell>
          <cell r="O108" t="str">
            <v>Trade Debtors (Ctrl)</v>
          </cell>
          <cell r="P108" t="str">
            <v/>
          </cell>
          <cell r="Q108" t="str">
            <v>01</v>
          </cell>
          <cell r="R108" t="str">
            <v>USD</v>
          </cell>
          <cell r="S108">
            <v>263.38</v>
          </cell>
          <cell r="T108" t="str">
            <v>INR</v>
          </cell>
          <cell r="U108">
            <v>23049.52</v>
          </cell>
        </row>
        <row r="109">
          <cell r="M109" t="str">
            <v>256779413758</v>
          </cell>
          <cell r="N109" t="str">
            <v>212100</v>
          </cell>
          <cell r="O109" t="str">
            <v>Trade Debtors (Ctrl)</v>
          </cell>
          <cell r="P109" t="str">
            <v/>
          </cell>
          <cell r="Q109" t="str">
            <v>01</v>
          </cell>
          <cell r="R109" t="str">
            <v>USD</v>
          </cell>
          <cell r="S109">
            <v>365.33</v>
          </cell>
          <cell r="T109" t="str">
            <v>INR</v>
          </cell>
          <cell r="U109">
            <v>31412.43</v>
          </cell>
        </row>
        <row r="110">
          <cell r="M110" t="str">
            <v>256779412743</v>
          </cell>
          <cell r="N110" t="str">
            <v>212100</v>
          </cell>
          <cell r="O110" t="str">
            <v>Trade Debtors (Ctrl)</v>
          </cell>
          <cell r="P110" t="str">
            <v/>
          </cell>
          <cell r="Q110" t="str">
            <v>01</v>
          </cell>
          <cell r="R110" t="str">
            <v>USD</v>
          </cell>
          <cell r="S110">
            <v>352.05</v>
          </cell>
          <cell r="T110" t="str">
            <v>INR</v>
          </cell>
          <cell r="U110">
            <v>30600.83</v>
          </cell>
        </row>
        <row r="111">
          <cell r="M111" t="str">
            <v>256779414688</v>
          </cell>
          <cell r="N111" t="str">
            <v>212100</v>
          </cell>
          <cell r="O111" t="str">
            <v>Trade Debtors (Ctrl)</v>
          </cell>
          <cell r="P111" t="str">
            <v/>
          </cell>
          <cell r="Q111" t="str">
            <v>01</v>
          </cell>
          <cell r="R111" t="str">
            <v>USD</v>
          </cell>
          <cell r="S111">
            <v>366.39</v>
          </cell>
          <cell r="T111" t="str">
            <v>INR</v>
          </cell>
          <cell r="U111">
            <v>31322.97</v>
          </cell>
        </row>
        <row r="112">
          <cell r="M112" t="str">
            <v>256779419616</v>
          </cell>
          <cell r="N112" t="str">
            <v>212100</v>
          </cell>
          <cell r="O112" t="str">
            <v>Trade Debtors (Ctrl)</v>
          </cell>
          <cell r="P112" t="str">
            <v/>
          </cell>
          <cell r="Q112" t="str">
            <v>01</v>
          </cell>
          <cell r="R112" t="str">
            <v>USD</v>
          </cell>
          <cell r="S112">
            <v>43.98</v>
          </cell>
          <cell r="T112" t="str">
            <v>INR</v>
          </cell>
          <cell r="U112">
            <v>3870.39</v>
          </cell>
        </row>
        <row r="113">
          <cell r="M113" t="str">
            <v>256779412607</v>
          </cell>
          <cell r="N113" t="str">
            <v>212100</v>
          </cell>
          <cell r="O113" t="str">
            <v>Trade Debtors (Ctrl)</v>
          </cell>
          <cell r="P113" t="str">
            <v/>
          </cell>
          <cell r="Q113" t="str">
            <v>01</v>
          </cell>
          <cell r="R113" t="str">
            <v>USD</v>
          </cell>
          <cell r="S113">
            <v>36.4</v>
          </cell>
          <cell r="T113" t="str">
            <v>INR</v>
          </cell>
          <cell r="U113">
            <v>3163.95</v>
          </cell>
        </row>
        <row r="114">
          <cell r="M114" t="str">
            <v>256779412646</v>
          </cell>
          <cell r="N114" t="str">
            <v>212100</v>
          </cell>
          <cell r="O114" t="str">
            <v>Trade Debtors (Ctrl)</v>
          </cell>
          <cell r="P114" t="str">
            <v/>
          </cell>
          <cell r="Q114" t="str">
            <v>01</v>
          </cell>
          <cell r="R114" t="str">
            <v>USD</v>
          </cell>
          <cell r="S114">
            <v>36.67</v>
          </cell>
          <cell r="T114" t="str">
            <v>INR</v>
          </cell>
          <cell r="U114">
            <v>3187.42</v>
          </cell>
        </row>
        <row r="115">
          <cell r="M115" t="str">
            <v>256779417514</v>
          </cell>
          <cell r="N115" t="str">
            <v>212100</v>
          </cell>
          <cell r="O115" t="str">
            <v>Trade Debtors (Ctrl)</v>
          </cell>
          <cell r="P115" t="str">
            <v/>
          </cell>
          <cell r="Q115" t="str">
            <v>01</v>
          </cell>
          <cell r="R115" t="str">
            <v>USD</v>
          </cell>
          <cell r="S115">
            <v>24.41</v>
          </cell>
          <cell r="T115" t="str">
            <v>INR</v>
          </cell>
          <cell r="U115">
            <v>2136.2199999999998</v>
          </cell>
        </row>
        <row r="116">
          <cell r="M116" t="str">
            <v>256779417555</v>
          </cell>
          <cell r="N116" t="str">
            <v>212100</v>
          </cell>
          <cell r="O116" t="str">
            <v>Trade Debtors (Ctrl)</v>
          </cell>
          <cell r="P116" t="str">
            <v/>
          </cell>
          <cell r="Q116" t="str">
            <v>01</v>
          </cell>
          <cell r="R116" t="str">
            <v>USD</v>
          </cell>
          <cell r="S116">
            <v>56.84</v>
          </cell>
          <cell r="T116" t="str">
            <v>INR</v>
          </cell>
          <cell r="U116">
            <v>4974.3100000000004</v>
          </cell>
        </row>
        <row r="117">
          <cell r="M117" t="str">
            <v>256779419904</v>
          </cell>
          <cell r="N117" t="str">
            <v>212100</v>
          </cell>
          <cell r="O117" t="str">
            <v>Trade Debtors (Ctrl)</v>
          </cell>
          <cell r="P117" t="str">
            <v/>
          </cell>
          <cell r="Q117" t="str">
            <v>01</v>
          </cell>
          <cell r="R117" t="str">
            <v>USD</v>
          </cell>
          <cell r="S117">
            <v>65.03</v>
          </cell>
          <cell r="T117" t="str">
            <v>INR</v>
          </cell>
          <cell r="U117">
            <v>5768.17</v>
          </cell>
        </row>
        <row r="118">
          <cell r="M118" t="str">
            <v>256779412915</v>
          </cell>
          <cell r="N118" t="str">
            <v>212100</v>
          </cell>
          <cell r="O118" t="str">
            <v>Trade Debtors (Ctrl)</v>
          </cell>
          <cell r="P118" t="str">
            <v/>
          </cell>
          <cell r="Q118" t="str">
            <v>01</v>
          </cell>
          <cell r="R118" t="str">
            <v>USD</v>
          </cell>
          <cell r="S118">
            <v>9.44</v>
          </cell>
          <cell r="T118" t="str">
            <v>INR</v>
          </cell>
          <cell r="U118">
            <v>820.54</v>
          </cell>
        </row>
        <row r="119">
          <cell r="M119" t="str">
            <v>256779419689</v>
          </cell>
          <cell r="N119" t="str">
            <v>212100</v>
          </cell>
          <cell r="O119" t="str">
            <v>Trade Debtors (Ctrl)</v>
          </cell>
          <cell r="P119" t="str">
            <v/>
          </cell>
          <cell r="Q119" t="str">
            <v>01</v>
          </cell>
          <cell r="R119" t="str">
            <v>USD</v>
          </cell>
          <cell r="S119">
            <v>393.47</v>
          </cell>
          <cell r="T119" t="str">
            <v>INR</v>
          </cell>
          <cell r="U119">
            <v>34900.839999999997</v>
          </cell>
        </row>
        <row r="120">
          <cell r="M120" t="str">
            <v>246779414288</v>
          </cell>
          <cell r="N120" t="str">
            <v>212100</v>
          </cell>
          <cell r="O120" t="str">
            <v>Trade Debtors (Ctrl)</v>
          </cell>
          <cell r="P120" t="str">
            <v/>
          </cell>
          <cell r="Q120" t="str">
            <v>01</v>
          </cell>
          <cell r="R120" t="str">
            <v>USD</v>
          </cell>
          <cell r="S120">
            <v>28.32</v>
          </cell>
          <cell r="T120" t="str">
            <v>INR</v>
          </cell>
          <cell r="U120">
            <v>2455.1</v>
          </cell>
        </row>
        <row r="121">
          <cell r="M121" t="str">
            <v>256779418303</v>
          </cell>
          <cell r="N121" t="str">
            <v>212100</v>
          </cell>
          <cell r="O121" t="str">
            <v>Trade Debtors (Ctrl)</v>
          </cell>
          <cell r="P121" t="str">
            <v/>
          </cell>
          <cell r="Q121" t="str">
            <v>01</v>
          </cell>
          <cell r="R121" t="str">
            <v>USD</v>
          </cell>
          <cell r="S121">
            <v>285.68</v>
          </cell>
          <cell r="T121" t="str">
            <v>INR</v>
          </cell>
          <cell r="U121">
            <v>25194.34</v>
          </cell>
        </row>
        <row r="122">
          <cell r="M122" t="str">
            <v>256779415671</v>
          </cell>
          <cell r="N122" t="str">
            <v>212100</v>
          </cell>
          <cell r="O122" t="str">
            <v>Trade Debtors (Ctrl)</v>
          </cell>
          <cell r="P122" t="str">
            <v/>
          </cell>
          <cell r="Q122" t="str">
            <v>01</v>
          </cell>
          <cell r="R122" t="str">
            <v>USD</v>
          </cell>
          <cell r="S122">
            <v>127.44</v>
          </cell>
          <cell r="T122" t="str">
            <v>INR</v>
          </cell>
          <cell r="U122">
            <v>10959.93</v>
          </cell>
        </row>
        <row r="123">
          <cell r="M123" t="str">
            <v>256779415735</v>
          </cell>
          <cell r="N123" t="str">
            <v>212100</v>
          </cell>
          <cell r="O123" t="str">
            <v>Trade Debtors (Ctrl)</v>
          </cell>
          <cell r="P123" t="str">
            <v/>
          </cell>
          <cell r="Q123" t="str">
            <v>01</v>
          </cell>
          <cell r="R123" t="str">
            <v>USD</v>
          </cell>
          <cell r="S123">
            <v>19.25</v>
          </cell>
          <cell r="T123" t="str">
            <v>INR</v>
          </cell>
          <cell r="U123">
            <v>1655.51</v>
          </cell>
        </row>
        <row r="124">
          <cell r="M124" t="str">
            <v>256779418581</v>
          </cell>
          <cell r="N124" t="str">
            <v>212100</v>
          </cell>
          <cell r="O124" t="str">
            <v>Trade Debtors (Ctrl)</v>
          </cell>
          <cell r="P124" t="str">
            <v/>
          </cell>
          <cell r="Q124" t="str">
            <v>01</v>
          </cell>
          <cell r="R124" t="str">
            <v>USD</v>
          </cell>
          <cell r="S124">
            <v>326.57</v>
          </cell>
          <cell r="T124" t="str">
            <v>INR</v>
          </cell>
          <cell r="U124">
            <v>28800.46</v>
          </cell>
        </row>
        <row r="125">
          <cell r="M125" t="str">
            <v>256779417968</v>
          </cell>
          <cell r="N125" t="str">
            <v>212100</v>
          </cell>
          <cell r="O125" t="str">
            <v>Trade Debtors (Ctrl)</v>
          </cell>
          <cell r="P125" t="str">
            <v/>
          </cell>
          <cell r="Q125" t="str">
            <v>01</v>
          </cell>
          <cell r="R125" t="str">
            <v>USD</v>
          </cell>
          <cell r="S125">
            <v>28.32</v>
          </cell>
          <cell r="T125" t="str">
            <v>INR</v>
          </cell>
          <cell r="U125">
            <v>2497.56</v>
          </cell>
        </row>
        <row r="126">
          <cell r="M126" t="str">
            <v>256779418366</v>
          </cell>
          <cell r="N126" t="str">
            <v>212100</v>
          </cell>
          <cell r="O126" t="str">
            <v>Trade Debtors (Ctrl)</v>
          </cell>
          <cell r="P126" t="str">
            <v/>
          </cell>
          <cell r="Q126" t="str">
            <v>01</v>
          </cell>
          <cell r="R126" t="str">
            <v>USD</v>
          </cell>
          <cell r="S126">
            <v>704.35</v>
          </cell>
          <cell r="T126" t="str">
            <v>INR</v>
          </cell>
          <cell r="U126">
            <v>62117.17</v>
          </cell>
        </row>
        <row r="127">
          <cell r="M127" t="str">
            <v>256779418065</v>
          </cell>
          <cell r="N127" t="str">
            <v>212100</v>
          </cell>
          <cell r="O127" t="str">
            <v>Trade Debtors (Ctrl)</v>
          </cell>
          <cell r="P127" t="str">
            <v/>
          </cell>
          <cell r="Q127" t="str">
            <v>01</v>
          </cell>
          <cell r="R127" t="str">
            <v>USD</v>
          </cell>
          <cell r="S127">
            <v>28.32</v>
          </cell>
          <cell r="T127" t="str">
            <v>INR</v>
          </cell>
          <cell r="U127">
            <v>2497.56</v>
          </cell>
        </row>
        <row r="128">
          <cell r="M128" t="str">
            <v>256779450176</v>
          </cell>
          <cell r="N128" t="str">
            <v>212100</v>
          </cell>
          <cell r="O128" t="str">
            <v>Trade Debtors (Ctrl)</v>
          </cell>
          <cell r="P128" t="str">
            <v/>
          </cell>
          <cell r="Q128" t="str">
            <v>01</v>
          </cell>
          <cell r="R128" t="str">
            <v>USD</v>
          </cell>
          <cell r="S128">
            <v>440.2</v>
          </cell>
          <cell r="T128" t="str">
            <v>INR</v>
          </cell>
          <cell r="U128">
            <v>39945.129999999997</v>
          </cell>
        </row>
        <row r="129">
          <cell r="M129" t="str">
            <v>256779450259</v>
          </cell>
          <cell r="N129" t="str">
            <v>212100</v>
          </cell>
          <cell r="O129" t="str">
            <v>Trade Debtors (Ctrl)</v>
          </cell>
          <cell r="P129" t="str">
            <v/>
          </cell>
          <cell r="Q129" t="str">
            <v>01</v>
          </cell>
          <cell r="R129" t="str">
            <v>USD</v>
          </cell>
          <cell r="S129">
            <v>84.64</v>
          </cell>
          <cell r="T129" t="str">
            <v>INR</v>
          </cell>
          <cell r="U129">
            <v>7680.5</v>
          </cell>
        </row>
        <row r="130">
          <cell r="M130" t="str">
            <v>256779450389</v>
          </cell>
          <cell r="N130" t="str">
            <v>212100</v>
          </cell>
          <cell r="O130" t="str">
            <v>Trade Debtors (Ctrl)</v>
          </cell>
          <cell r="P130" t="str">
            <v/>
          </cell>
          <cell r="Q130" t="str">
            <v>01</v>
          </cell>
          <cell r="R130" t="str">
            <v>USD</v>
          </cell>
          <cell r="S130">
            <v>708.71</v>
          </cell>
          <cell r="T130" t="str">
            <v>INR</v>
          </cell>
          <cell r="U130">
            <v>64310.57</v>
          </cell>
        </row>
        <row r="131">
          <cell r="M131" t="str">
            <v>256779450527</v>
          </cell>
          <cell r="N131" t="str">
            <v>212100</v>
          </cell>
          <cell r="O131" t="str">
            <v>Trade Debtors (Ctrl)</v>
          </cell>
          <cell r="P131" t="str">
            <v/>
          </cell>
          <cell r="Q131" t="str">
            <v>01</v>
          </cell>
          <cell r="R131" t="str">
            <v>USD</v>
          </cell>
          <cell r="S131">
            <v>42.48</v>
          </cell>
          <cell r="T131" t="str">
            <v>INR</v>
          </cell>
          <cell r="U131">
            <v>3854.77</v>
          </cell>
        </row>
        <row r="132">
          <cell r="M132" t="str">
            <v>256779450556</v>
          </cell>
          <cell r="N132" t="str">
            <v>212100</v>
          </cell>
          <cell r="O132" t="str">
            <v>Trade Debtors (Ctrl)</v>
          </cell>
          <cell r="P132" t="str">
            <v/>
          </cell>
          <cell r="Q132" t="str">
            <v>01</v>
          </cell>
          <cell r="R132" t="str">
            <v>USD</v>
          </cell>
          <cell r="S132">
            <v>42.48</v>
          </cell>
          <cell r="T132" t="str">
            <v>INR</v>
          </cell>
          <cell r="U132">
            <v>3854.77</v>
          </cell>
        </row>
        <row r="133">
          <cell r="M133" t="str">
            <v>256779450647</v>
          </cell>
          <cell r="N133" t="str">
            <v>212100</v>
          </cell>
          <cell r="O133" t="str">
            <v>Trade Debtors (Ctrl)</v>
          </cell>
          <cell r="P133" t="str">
            <v/>
          </cell>
          <cell r="Q133" t="str">
            <v>01</v>
          </cell>
          <cell r="R133" t="str">
            <v>USD</v>
          </cell>
          <cell r="S133">
            <v>497.02</v>
          </cell>
          <cell r="T133" t="str">
            <v>INR</v>
          </cell>
          <cell r="U133">
            <v>45101.16</v>
          </cell>
        </row>
        <row r="134">
          <cell r="M134" t="str">
            <v>256779450735</v>
          </cell>
          <cell r="N134" t="str">
            <v>212100</v>
          </cell>
          <cell r="O134" t="str">
            <v>Trade Debtors (Ctrl)</v>
          </cell>
          <cell r="P134" t="str">
            <v/>
          </cell>
          <cell r="Q134" t="str">
            <v>01</v>
          </cell>
          <cell r="R134" t="str">
            <v>USD</v>
          </cell>
          <cell r="S134">
            <v>50.79</v>
          </cell>
          <cell r="T134" t="str">
            <v>INR</v>
          </cell>
          <cell r="U134">
            <v>4608.84</v>
          </cell>
        </row>
        <row r="135">
          <cell r="M135" t="str">
            <v>256779450889</v>
          </cell>
          <cell r="N135" t="str">
            <v>212100</v>
          </cell>
          <cell r="O135" t="str">
            <v>Trade Debtors (Ctrl)</v>
          </cell>
          <cell r="P135" t="str">
            <v/>
          </cell>
          <cell r="Q135" t="str">
            <v>01</v>
          </cell>
          <cell r="R135" t="str">
            <v>USD</v>
          </cell>
          <cell r="S135">
            <v>454.01</v>
          </cell>
          <cell r="T135" t="str">
            <v>INR</v>
          </cell>
          <cell r="U135">
            <v>41198.29</v>
          </cell>
        </row>
        <row r="136">
          <cell r="M136" t="str">
            <v>256779450983</v>
          </cell>
          <cell r="N136" t="str">
            <v>212100</v>
          </cell>
          <cell r="O136" t="str">
            <v>Trade Debtors (Ctrl)</v>
          </cell>
          <cell r="P136" t="str">
            <v/>
          </cell>
          <cell r="Q136" t="str">
            <v>01</v>
          </cell>
          <cell r="R136" t="str">
            <v>USD</v>
          </cell>
          <cell r="S136">
            <v>17.7</v>
          </cell>
          <cell r="T136" t="str">
            <v>INR</v>
          </cell>
          <cell r="U136">
            <v>1606.15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3"/>
  <sheetViews>
    <sheetView workbookViewId="0">
      <pane xSplit="3" ySplit="17" topLeftCell="D99" activePane="bottomRight" state="frozen"/>
      <selection pane="topRight" activeCell="D1" sqref="D1"/>
      <selection pane="bottomLeft" activeCell="A17" sqref="A17"/>
      <selection pane="bottomRight" activeCell="C101" sqref="C101"/>
    </sheetView>
  </sheetViews>
  <sheetFormatPr defaultRowHeight="14.4" x14ac:dyDescent="0.3"/>
  <cols>
    <col min="1" max="1" width="2.77734375" customWidth="1"/>
    <col min="2" max="2" width="12.77734375" customWidth="1"/>
    <col min="3" max="3" width="15.77734375" style="4" customWidth="1"/>
    <col min="4" max="15" width="14.77734375" style="6" customWidth="1"/>
  </cols>
  <sheetData>
    <row r="1" spans="2:15" ht="1.95" customHeight="1" x14ac:dyDescent="0.3"/>
    <row r="2" spans="2:15" x14ac:dyDescent="0.3">
      <c r="B2" s="1" t="s">
        <v>0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5" x14ac:dyDescent="0.3">
      <c r="B3" s="1" t="s">
        <v>1</v>
      </c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3">
      <c r="B4" s="1" t="s">
        <v>2</v>
      </c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x14ac:dyDescent="0.3">
      <c r="B5" s="1" t="s">
        <v>3</v>
      </c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x14ac:dyDescent="0.3">
      <c r="B6" s="1" t="s">
        <v>4</v>
      </c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x14ac:dyDescent="0.3">
      <c r="B7" s="1" t="s">
        <v>5</v>
      </c>
      <c r="C7" s="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2:15" x14ac:dyDescent="0.3">
      <c r="B8" s="1" t="s">
        <v>6</v>
      </c>
      <c r="C8" s="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2:15" x14ac:dyDescent="0.3">
      <c r="B9" s="1" t="s">
        <v>7</v>
      </c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2:15" x14ac:dyDescent="0.3">
      <c r="B10" s="1" t="s">
        <v>8</v>
      </c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x14ac:dyDescent="0.3">
      <c r="B11" s="1" t="s">
        <v>9</v>
      </c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3">
      <c r="B12" s="1" t="s">
        <v>10</v>
      </c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2:15" x14ac:dyDescent="0.3">
      <c r="B13" s="1" t="s">
        <v>11</v>
      </c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15" x14ac:dyDescent="0.3">
      <c r="B14" s="1"/>
      <c r="C14" s="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5" x14ac:dyDescent="0.3">
      <c r="B15" s="1" t="s">
        <v>12</v>
      </c>
      <c r="C15" s="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 x14ac:dyDescent="0.3">
      <c r="B16" s="14"/>
      <c r="C16" s="15"/>
      <c r="D16" s="16">
        <f>SUM(D18:D103)</f>
        <v>219764.86</v>
      </c>
      <c r="E16" s="16">
        <f t="shared" ref="E16:O16" si="0">SUM(E18:E103)</f>
        <v>231686.38</v>
      </c>
      <c r="F16" s="16">
        <f t="shared" si="0"/>
        <v>229329.71000000011</v>
      </c>
      <c r="G16" s="16">
        <f t="shared" si="0"/>
        <v>-7060</v>
      </c>
      <c r="H16" s="16">
        <f t="shared" si="0"/>
        <v>-155.85000000000002</v>
      </c>
      <c r="I16" s="16">
        <f t="shared" si="0"/>
        <v>647989.19999999995</v>
      </c>
      <c r="J16" s="16">
        <f t="shared" si="0"/>
        <v>-40158</v>
      </c>
      <c r="K16" s="16">
        <f t="shared" si="0"/>
        <v>380621</v>
      </c>
      <c r="L16" s="16">
        <f t="shared" si="0"/>
        <v>-663896</v>
      </c>
      <c r="M16" s="16">
        <f t="shared" si="0"/>
        <v>-600</v>
      </c>
      <c r="N16" s="16">
        <f t="shared" si="0"/>
        <v>2100</v>
      </c>
      <c r="O16" s="16">
        <f t="shared" si="0"/>
        <v>-573830</v>
      </c>
    </row>
    <row r="17" spans="2:15" s="2" customFormat="1" ht="66" x14ac:dyDescent="0.3">
      <c r="B17" s="11" t="s">
        <v>13</v>
      </c>
      <c r="C17" s="12" t="s">
        <v>14</v>
      </c>
      <c r="D17" s="13" t="s">
        <v>15</v>
      </c>
      <c r="E17" s="13" t="s">
        <v>16</v>
      </c>
      <c r="F17" s="13" t="s">
        <v>17</v>
      </c>
      <c r="G17" s="13" t="s">
        <v>18</v>
      </c>
      <c r="H17" s="13" t="s">
        <v>19</v>
      </c>
      <c r="I17" s="13" t="s">
        <v>20</v>
      </c>
      <c r="J17" s="13" t="s">
        <v>21</v>
      </c>
      <c r="K17" s="13" t="s">
        <v>22</v>
      </c>
      <c r="L17" s="13" t="s">
        <v>23</v>
      </c>
      <c r="M17" s="13" t="s">
        <v>24</v>
      </c>
      <c r="N17" s="13" t="s">
        <v>7</v>
      </c>
      <c r="O17" s="13" t="s">
        <v>25</v>
      </c>
    </row>
    <row r="18" spans="2:15" x14ac:dyDescent="0.3">
      <c r="B18" s="7">
        <v>45750</v>
      </c>
      <c r="C18" s="8" t="s">
        <v>29</v>
      </c>
      <c r="D18" s="9">
        <v>538</v>
      </c>
      <c r="E18" s="9">
        <v>463</v>
      </c>
      <c r="F18" s="9">
        <v>83.74</v>
      </c>
      <c r="G18" s="9">
        <v>-9</v>
      </c>
      <c r="H18" s="9">
        <v>0.26</v>
      </c>
      <c r="I18" s="9"/>
      <c r="J18" s="9"/>
      <c r="K18" s="9"/>
      <c r="L18" s="9"/>
      <c r="M18" s="9"/>
      <c r="N18" s="9"/>
      <c r="O18" s="9"/>
    </row>
    <row r="19" spans="2:15" x14ac:dyDescent="0.3">
      <c r="B19" s="7">
        <v>45750</v>
      </c>
      <c r="C19" s="8" t="s">
        <v>30</v>
      </c>
      <c r="D19" s="9">
        <v>2420</v>
      </c>
      <c r="E19" s="9">
        <v>2086</v>
      </c>
      <c r="F19" s="9">
        <v>375.63</v>
      </c>
      <c r="G19" s="9">
        <v>-42</v>
      </c>
      <c r="H19" s="9">
        <v>0.37</v>
      </c>
      <c r="I19" s="9"/>
      <c r="J19" s="9"/>
      <c r="K19" s="9"/>
      <c r="L19" s="9"/>
      <c r="M19" s="9"/>
      <c r="N19" s="9"/>
      <c r="O19" s="9"/>
    </row>
    <row r="20" spans="2:15" x14ac:dyDescent="0.3">
      <c r="B20" s="7">
        <v>45750</v>
      </c>
      <c r="C20" s="8" t="s">
        <v>31</v>
      </c>
      <c r="D20" s="9">
        <v>1505</v>
      </c>
      <c r="E20" s="9">
        <v>1297</v>
      </c>
      <c r="F20" s="9">
        <v>233.69</v>
      </c>
      <c r="G20" s="9">
        <v>-26</v>
      </c>
      <c r="H20" s="9">
        <v>0.31</v>
      </c>
      <c r="I20" s="9"/>
      <c r="J20" s="9"/>
      <c r="K20" s="9"/>
      <c r="L20" s="9"/>
      <c r="M20" s="9"/>
      <c r="N20" s="9"/>
      <c r="O20" s="9"/>
    </row>
    <row r="21" spans="2:15" x14ac:dyDescent="0.3">
      <c r="B21" s="7">
        <v>45750</v>
      </c>
      <c r="C21" s="8" t="s">
        <v>32</v>
      </c>
      <c r="D21" s="9">
        <v>1611</v>
      </c>
      <c r="E21" s="9">
        <v>1389</v>
      </c>
      <c r="F21" s="9">
        <v>250.35</v>
      </c>
      <c r="G21" s="9">
        <v>-28</v>
      </c>
      <c r="H21" s="9">
        <v>-0.35</v>
      </c>
      <c r="I21" s="9"/>
      <c r="J21" s="9"/>
      <c r="K21" s="9"/>
      <c r="L21" s="9"/>
      <c r="M21" s="9"/>
      <c r="N21" s="9"/>
      <c r="O21" s="9"/>
    </row>
    <row r="22" spans="2:15" x14ac:dyDescent="0.3">
      <c r="B22" s="7">
        <v>45751</v>
      </c>
      <c r="C22" s="8" t="s">
        <v>33</v>
      </c>
      <c r="D22" s="9">
        <v>45624</v>
      </c>
      <c r="E22" s="9"/>
      <c r="F22" s="9">
        <v>7603.93</v>
      </c>
      <c r="G22" s="9"/>
      <c r="H22" s="9">
        <v>7.0000000000000007E-2</v>
      </c>
      <c r="I22" s="9">
        <v>42244</v>
      </c>
      <c r="J22" s="9">
        <v>-4224</v>
      </c>
      <c r="K22" s="9"/>
      <c r="L22" s="9"/>
      <c r="M22" s="9"/>
      <c r="N22" s="9"/>
      <c r="O22" s="9"/>
    </row>
    <row r="23" spans="2:15" x14ac:dyDescent="0.3">
      <c r="B23" s="7">
        <v>45751</v>
      </c>
      <c r="C23" s="8" t="s">
        <v>34</v>
      </c>
      <c r="D23" s="9">
        <v>46468</v>
      </c>
      <c r="E23" s="9"/>
      <c r="F23" s="9">
        <v>7745.04</v>
      </c>
      <c r="G23" s="9"/>
      <c r="H23" s="9">
        <v>-0.04</v>
      </c>
      <c r="I23" s="9">
        <v>43026</v>
      </c>
      <c r="J23" s="9">
        <v>-4303</v>
      </c>
      <c r="K23" s="9"/>
      <c r="L23" s="9"/>
      <c r="M23" s="9"/>
      <c r="N23" s="9"/>
      <c r="O23" s="9"/>
    </row>
    <row r="24" spans="2:15" x14ac:dyDescent="0.3">
      <c r="B24" s="7">
        <v>45751</v>
      </c>
      <c r="C24" s="8" t="s">
        <v>35</v>
      </c>
      <c r="D24" s="9">
        <v>27290</v>
      </c>
      <c r="E24" s="9"/>
      <c r="F24" s="9">
        <v>4548.79</v>
      </c>
      <c r="G24" s="9"/>
      <c r="H24" s="9">
        <v>0.21</v>
      </c>
      <c r="I24" s="9">
        <v>25268</v>
      </c>
      <c r="J24" s="9">
        <v>-2527</v>
      </c>
      <c r="K24" s="9"/>
      <c r="L24" s="9"/>
      <c r="M24" s="9"/>
      <c r="N24" s="9"/>
      <c r="O24" s="9"/>
    </row>
    <row r="25" spans="2:15" x14ac:dyDescent="0.3">
      <c r="B25" s="7">
        <v>45762</v>
      </c>
      <c r="C25" s="8" t="s">
        <v>36</v>
      </c>
      <c r="D25" s="9">
        <v>404</v>
      </c>
      <c r="E25" s="9">
        <v>348</v>
      </c>
      <c r="F25" s="9">
        <v>62.27</v>
      </c>
      <c r="G25" s="9">
        <v>-7</v>
      </c>
      <c r="H25" s="9">
        <v>0.73</v>
      </c>
      <c r="I25" s="9"/>
      <c r="J25" s="9"/>
      <c r="K25" s="9"/>
      <c r="L25" s="9"/>
      <c r="M25" s="9"/>
      <c r="N25" s="9"/>
      <c r="O25" s="9"/>
    </row>
    <row r="26" spans="2:15" x14ac:dyDescent="0.3">
      <c r="B26" s="7">
        <v>45762</v>
      </c>
      <c r="C26" s="8" t="s">
        <v>37</v>
      </c>
      <c r="D26" s="9">
        <v>3327</v>
      </c>
      <c r="E26" s="9">
        <v>2868</v>
      </c>
      <c r="F26" s="9">
        <v>516.74</v>
      </c>
      <c r="G26" s="9">
        <v>-58</v>
      </c>
      <c r="H26" s="9">
        <v>0.26</v>
      </c>
      <c r="I26" s="9"/>
      <c r="J26" s="9"/>
      <c r="K26" s="9"/>
      <c r="L26" s="9"/>
      <c r="M26" s="9"/>
      <c r="N26" s="9"/>
      <c r="O26" s="9"/>
    </row>
    <row r="27" spans="2:15" x14ac:dyDescent="0.3">
      <c r="B27" s="7">
        <v>45762</v>
      </c>
      <c r="C27" s="8" t="s">
        <v>38</v>
      </c>
      <c r="D27" s="9">
        <v>2413</v>
      </c>
      <c r="E27" s="9">
        <v>2081</v>
      </c>
      <c r="F27" s="9">
        <v>374.1</v>
      </c>
      <c r="G27" s="9">
        <v>-42</v>
      </c>
      <c r="H27" s="9">
        <v>-0.1</v>
      </c>
      <c r="I27" s="9"/>
      <c r="J27" s="9"/>
      <c r="K27" s="9"/>
      <c r="L27" s="9"/>
      <c r="M27" s="9"/>
      <c r="N27" s="9"/>
      <c r="O27" s="9"/>
    </row>
    <row r="28" spans="2:15" x14ac:dyDescent="0.3">
      <c r="B28" s="7">
        <v>45762</v>
      </c>
      <c r="C28" s="8" t="s">
        <v>39</v>
      </c>
      <c r="D28" s="9">
        <v>1008</v>
      </c>
      <c r="E28" s="9">
        <v>869</v>
      </c>
      <c r="F28" s="9">
        <v>156.68</v>
      </c>
      <c r="G28" s="9">
        <v>-17</v>
      </c>
      <c r="H28" s="9">
        <v>-0.68</v>
      </c>
      <c r="I28" s="9"/>
      <c r="J28" s="9"/>
      <c r="K28" s="9"/>
      <c r="L28" s="9"/>
      <c r="M28" s="9"/>
      <c r="N28" s="9"/>
      <c r="O28" s="9"/>
    </row>
    <row r="29" spans="2:15" x14ac:dyDescent="0.3">
      <c r="B29" s="7">
        <v>45762</v>
      </c>
      <c r="C29" s="8" t="s">
        <v>40</v>
      </c>
      <c r="D29" s="9">
        <v>1614</v>
      </c>
      <c r="E29" s="9">
        <v>1391</v>
      </c>
      <c r="F29" s="9">
        <v>250.08</v>
      </c>
      <c r="G29" s="9">
        <v>-28</v>
      </c>
      <c r="H29" s="9">
        <v>0.92</v>
      </c>
      <c r="I29" s="9"/>
      <c r="J29" s="9"/>
      <c r="K29" s="9"/>
      <c r="L29" s="9"/>
      <c r="M29" s="9"/>
      <c r="N29" s="9"/>
      <c r="O29" s="9"/>
    </row>
    <row r="30" spans="2:15" x14ac:dyDescent="0.3">
      <c r="B30" s="7">
        <v>45762</v>
      </c>
      <c r="C30" s="8" t="s">
        <v>41</v>
      </c>
      <c r="D30" s="9">
        <v>3630</v>
      </c>
      <c r="E30" s="9">
        <v>3129</v>
      </c>
      <c r="F30" s="9">
        <v>563.44000000000005</v>
      </c>
      <c r="G30" s="9">
        <v>-63</v>
      </c>
      <c r="H30" s="9">
        <v>0.56000000000000005</v>
      </c>
      <c r="I30" s="9"/>
      <c r="J30" s="9"/>
      <c r="K30" s="9"/>
      <c r="L30" s="9"/>
      <c r="M30" s="9"/>
      <c r="N30" s="9"/>
      <c r="O30" s="9"/>
    </row>
    <row r="31" spans="2:15" x14ac:dyDescent="0.3">
      <c r="B31" s="7">
        <v>45762</v>
      </c>
      <c r="C31" s="8" t="s">
        <v>42</v>
      </c>
      <c r="D31" s="9">
        <v>545</v>
      </c>
      <c r="E31" s="9">
        <f>345.98+115.57</f>
        <v>461.55</v>
      </c>
      <c r="F31" s="9">
        <v>83.08</v>
      </c>
      <c r="G31" s="9"/>
      <c r="H31" s="9">
        <v>0.37</v>
      </c>
      <c r="I31" s="9"/>
      <c r="J31" s="9"/>
      <c r="K31" s="9"/>
      <c r="L31" s="9"/>
      <c r="M31" s="9"/>
      <c r="N31" s="9"/>
      <c r="O31" s="9"/>
    </row>
    <row r="32" spans="2:15" x14ac:dyDescent="0.3">
      <c r="B32" s="7">
        <v>45762</v>
      </c>
      <c r="C32" s="8" t="s">
        <v>43</v>
      </c>
      <c r="D32" s="9">
        <v>1255</v>
      </c>
      <c r="E32" s="9">
        <f>797.94+265.97</f>
        <v>1063.9100000000001</v>
      </c>
      <c r="F32" s="9">
        <v>191.51</v>
      </c>
      <c r="G32" s="9"/>
      <c r="H32" s="9">
        <v>-0.42</v>
      </c>
      <c r="I32" s="9"/>
      <c r="J32" s="9"/>
      <c r="K32" s="9"/>
      <c r="L32" s="9"/>
      <c r="M32" s="9"/>
      <c r="N32" s="9"/>
      <c r="O32" s="9"/>
    </row>
    <row r="33" spans="2:15" x14ac:dyDescent="0.3">
      <c r="B33" s="7">
        <v>45762</v>
      </c>
      <c r="C33" s="8" t="s">
        <v>44</v>
      </c>
      <c r="D33" s="9">
        <v>1335</v>
      </c>
      <c r="E33" s="9">
        <f>1043.04+88.67</f>
        <v>1131.71</v>
      </c>
      <c r="F33" s="9">
        <v>203.71</v>
      </c>
      <c r="G33" s="9"/>
      <c r="H33" s="9">
        <v>-0.42</v>
      </c>
      <c r="I33" s="9"/>
      <c r="J33" s="9"/>
      <c r="K33" s="9"/>
      <c r="L33" s="9"/>
      <c r="M33" s="9"/>
      <c r="N33" s="9"/>
      <c r="O33" s="9"/>
    </row>
    <row r="34" spans="2:15" x14ac:dyDescent="0.3">
      <c r="B34" s="7">
        <v>45762</v>
      </c>
      <c r="C34" s="8" t="s">
        <v>45</v>
      </c>
      <c r="D34" s="9">
        <v>30601</v>
      </c>
      <c r="E34" s="9"/>
      <c r="F34" s="9">
        <v>4667.7</v>
      </c>
      <c r="G34" s="9"/>
      <c r="H34" s="9">
        <v>0.17</v>
      </c>
      <c r="I34" s="9">
        <v>25933.13</v>
      </c>
      <c r="J34" s="9"/>
      <c r="K34" s="9"/>
      <c r="L34" s="9"/>
      <c r="M34" s="9"/>
      <c r="N34" s="9"/>
      <c r="O34" s="9"/>
    </row>
    <row r="35" spans="2:15" x14ac:dyDescent="0.3">
      <c r="B35" s="7">
        <v>45762</v>
      </c>
      <c r="C35" s="8" t="s">
        <v>46</v>
      </c>
      <c r="D35" s="9">
        <v>821</v>
      </c>
      <c r="E35" s="9">
        <v>695</v>
      </c>
      <c r="F35" s="9">
        <v>125.16</v>
      </c>
      <c r="G35" s="9"/>
      <c r="H35" s="9">
        <v>0.84</v>
      </c>
      <c r="I35" s="9"/>
      <c r="J35" s="9"/>
      <c r="K35" s="9"/>
      <c r="L35" s="9"/>
      <c r="M35" s="9"/>
      <c r="N35" s="9"/>
      <c r="O35" s="9"/>
    </row>
    <row r="36" spans="2:15" x14ac:dyDescent="0.3">
      <c r="B36" s="7">
        <v>45763</v>
      </c>
      <c r="C36" s="8" t="s">
        <v>47</v>
      </c>
      <c r="D36" s="9">
        <v>5009</v>
      </c>
      <c r="E36" s="9">
        <v>4318</v>
      </c>
      <c r="F36" s="9">
        <v>777.36</v>
      </c>
      <c r="G36" s="9">
        <v>-86</v>
      </c>
      <c r="H36" s="9">
        <v>-0.36</v>
      </c>
      <c r="I36" s="9"/>
      <c r="J36" s="9"/>
      <c r="K36" s="9"/>
      <c r="L36" s="9"/>
      <c r="M36" s="9"/>
      <c r="N36" s="9"/>
      <c r="O36" s="9"/>
    </row>
    <row r="37" spans="2:15" x14ac:dyDescent="0.3">
      <c r="B37" s="7">
        <v>45763</v>
      </c>
      <c r="C37" s="8" t="s">
        <v>48</v>
      </c>
      <c r="D37" s="9">
        <v>12099</v>
      </c>
      <c r="E37" s="9">
        <v>10431</v>
      </c>
      <c r="F37" s="9">
        <v>1877.1</v>
      </c>
      <c r="G37" s="9">
        <v>-209</v>
      </c>
      <c r="H37" s="9">
        <v>-0.1</v>
      </c>
      <c r="I37" s="9"/>
      <c r="J37" s="9"/>
      <c r="K37" s="9"/>
      <c r="L37" s="9"/>
      <c r="M37" s="9"/>
      <c r="N37" s="9"/>
      <c r="O37" s="9"/>
    </row>
    <row r="38" spans="2:15" x14ac:dyDescent="0.3">
      <c r="B38" s="7">
        <v>45763</v>
      </c>
      <c r="C38" s="8" t="s">
        <v>49</v>
      </c>
      <c r="D38" s="9">
        <v>762</v>
      </c>
      <c r="E38" s="9">
        <v>657</v>
      </c>
      <c r="F38" s="9">
        <v>118.28</v>
      </c>
      <c r="G38" s="9">
        <v>-13</v>
      </c>
      <c r="H38" s="9">
        <v>-0.28000000000000003</v>
      </c>
      <c r="I38" s="9"/>
      <c r="J38" s="9"/>
      <c r="K38" s="9"/>
      <c r="L38" s="9"/>
      <c r="M38" s="9"/>
      <c r="N38" s="9"/>
      <c r="O38" s="9"/>
    </row>
    <row r="39" spans="2:15" x14ac:dyDescent="0.3">
      <c r="B39" s="7">
        <v>45763</v>
      </c>
      <c r="C39" s="8" t="s">
        <v>50</v>
      </c>
      <c r="D39" s="9">
        <v>30880</v>
      </c>
      <c r="E39" s="9"/>
      <c r="F39" s="9">
        <v>5146.57</v>
      </c>
      <c r="G39" s="9"/>
      <c r="H39" s="9">
        <v>-0.56999999999999995</v>
      </c>
      <c r="I39" s="9">
        <v>28593</v>
      </c>
      <c r="J39" s="9">
        <v>-2859</v>
      </c>
      <c r="K39" s="9"/>
      <c r="L39" s="9"/>
      <c r="M39" s="9"/>
      <c r="N39" s="9"/>
      <c r="O39" s="9"/>
    </row>
    <row r="40" spans="2:15" x14ac:dyDescent="0.3">
      <c r="B40" s="7">
        <v>45763</v>
      </c>
      <c r="C40" s="8" t="s">
        <v>51</v>
      </c>
      <c r="D40" s="9">
        <v>3415</v>
      </c>
      <c r="E40" s="9">
        <v>2944</v>
      </c>
      <c r="F40" s="9">
        <v>530.27</v>
      </c>
      <c r="G40" s="9">
        <v>-59</v>
      </c>
      <c r="H40" s="9">
        <v>-0.27</v>
      </c>
      <c r="I40" s="9"/>
      <c r="J40" s="9"/>
      <c r="K40" s="9"/>
      <c r="L40" s="9"/>
      <c r="M40" s="9"/>
      <c r="N40" s="9"/>
      <c r="O40" s="9"/>
    </row>
    <row r="41" spans="2:15" x14ac:dyDescent="0.3">
      <c r="B41" s="7">
        <v>45763</v>
      </c>
      <c r="C41" s="8" t="s">
        <v>52</v>
      </c>
      <c r="D41" s="9">
        <v>30453.71</v>
      </c>
      <c r="E41" s="9"/>
      <c r="F41" s="9">
        <v>4645.7</v>
      </c>
      <c r="G41" s="9"/>
      <c r="H41" s="9"/>
      <c r="I41" s="9">
        <v>25808.01</v>
      </c>
      <c r="J41" s="9"/>
      <c r="K41" s="9"/>
      <c r="L41" s="9"/>
      <c r="M41" s="9"/>
      <c r="N41" s="9"/>
      <c r="O41" s="9"/>
    </row>
    <row r="42" spans="2:15" x14ac:dyDescent="0.3">
      <c r="B42" s="7">
        <v>45764</v>
      </c>
      <c r="C42" s="8" t="s">
        <v>53</v>
      </c>
      <c r="D42" s="9">
        <v>3956.97</v>
      </c>
      <c r="E42" s="9"/>
      <c r="F42" s="9">
        <v>603.61</v>
      </c>
      <c r="G42" s="9"/>
      <c r="H42" s="9"/>
      <c r="I42" s="9"/>
      <c r="J42" s="9"/>
      <c r="K42" s="9"/>
      <c r="L42" s="9"/>
      <c r="M42" s="9"/>
      <c r="N42" s="9"/>
      <c r="O42" s="9"/>
    </row>
    <row r="43" spans="2:15" x14ac:dyDescent="0.3">
      <c r="B43" s="7">
        <v>45767</v>
      </c>
      <c r="C43" s="8" t="s">
        <v>54</v>
      </c>
      <c r="D43" s="9">
        <v>2840.9</v>
      </c>
      <c r="E43" s="9">
        <v>1805.66</v>
      </c>
      <c r="F43" s="9">
        <v>433.35</v>
      </c>
      <c r="G43" s="9"/>
      <c r="H43" s="9"/>
      <c r="I43" s="9"/>
      <c r="J43" s="9"/>
      <c r="K43" s="9"/>
      <c r="L43" s="9"/>
      <c r="M43" s="9"/>
      <c r="N43" s="9"/>
      <c r="O43" s="9"/>
    </row>
    <row r="44" spans="2:15" x14ac:dyDescent="0.3">
      <c r="B44" s="7">
        <v>45768</v>
      </c>
      <c r="C44" s="8" t="s">
        <v>55</v>
      </c>
      <c r="D44" s="9">
        <v>21164</v>
      </c>
      <c r="E44" s="9"/>
      <c r="F44" s="9">
        <v>3527.81</v>
      </c>
      <c r="G44" s="9"/>
      <c r="H44" s="9">
        <v>0.19</v>
      </c>
      <c r="I44" s="9">
        <v>19596</v>
      </c>
      <c r="J44" s="9">
        <v>-1960</v>
      </c>
      <c r="K44" s="9"/>
      <c r="L44" s="9"/>
      <c r="M44" s="9"/>
      <c r="N44" s="9"/>
      <c r="O44" s="9"/>
    </row>
    <row r="45" spans="2:15" x14ac:dyDescent="0.3">
      <c r="B45" s="7">
        <v>45768</v>
      </c>
      <c r="C45" s="8" t="s">
        <v>56</v>
      </c>
      <c r="D45" s="9">
        <v>24646</v>
      </c>
      <c r="E45" s="9"/>
      <c r="F45" s="9">
        <v>3759.72</v>
      </c>
      <c r="G45" s="9"/>
      <c r="H45" s="9">
        <v>-1.03</v>
      </c>
      <c r="I45" s="9">
        <v>20887.310000000001</v>
      </c>
      <c r="J45" s="9"/>
      <c r="K45" s="9"/>
      <c r="L45" s="9"/>
      <c r="M45" s="9"/>
      <c r="N45" s="9"/>
      <c r="O45" s="9"/>
    </row>
    <row r="46" spans="2:15" x14ac:dyDescent="0.3">
      <c r="B46" s="7">
        <v>45769</v>
      </c>
      <c r="C46" s="8" t="s">
        <v>57</v>
      </c>
      <c r="D46" s="9">
        <v>3134</v>
      </c>
      <c r="E46" s="9">
        <v>2701</v>
      </c>
      <c r="F46" s="9">
        <v>486.42</v>
      </c>
      <c r="G46" s="9">
        <v>-53</v>
      </c>
      <c r="H46" s="9">
        <v>-0.42</v>
      </c>
      <c r="I46" s="9"/>
      <c r="J46" s="9"/>
      <c r="K46" s="9"/>
      <c r="L46" s="9"/>
      <c r="M46" s="9"/>
      <c r="N46" s="9"/>
      <c r="O46" s="9"/>
    </row>
    <row r="47" spans="2:15" x14ac:dyDescent="0.3">
      <c r="B47" s="7">
        <v>45769</v>
      </c>
      <c r="C47" s="8" t="s">
        <v>58</v>
      </c>
      <c r="D47" s="9">
        <v>3110</v>
      </c>
      <c r="E47" s="9">
        <v>2681</v>
      </c>
      <c r="F47" s="9">
        <v>482.95</v>
      </c>
      <c r="G47" s="9">
        <v>-54</v>
      </c>
      <c r="H47" s="9">
        <v>0.05</v>
      </c>
      <c r="I47" s="9"/>
      <c r="J47" s="9"/>
      <c r="K47" s="9"/>
      <c r="L47" s="9"/>
      <c r="M47" s="9"/>
      <c r="N47" s="9"/>
      <c r="O47" s="9"/>
    </row>
    <row r="48" spans="2:15" x14ac:dyDescent="0.3">
      <c r="B48" s="7">
        <v>45770</v>
      </c>
      <c r="C48" s="8" t="s">
        <v>59</v>
      </c>
      <c r="D48" s="9">
        <v>807</v>
      </c>
      <c r="E48" s="9">
        <v>696</v>
      </c>
      <c r="F48" s="9">
        <v>125.54</v>
      </c>
      <c r="G48" s="9">
        <v>-13</v>
      </c>
      <c r="H48" s="9">
        <v>-1.54</v>
      </c>
      <c r="I48" s="9"/>
      <c r="J48" s="9"/>
      <c r="K48" s="9"/>
      <c r="L48" s="9"/>
      <c r="M48" s="9"/>
      <c r="N48" s="9"/>
      <c r="O48" s="9"/>
    </row>
    <row r="49" spans="2:15" x14ac:dyDescent="0.3">
      <c r="B49" s="7">
        <v>45771</v>
      </c>
      <c r="C49" s="8" t="s">
        <v>60</v>
      </c>
      <c r="D49" s="9">
        <v>28008</v>
      </c>
      <c r="E49" s="9"/>
      <c r="F49" s="9">
        <v>4667.83</v>
      </c>
      <c r="G49" s="9"/>
      <c r="H49" s="9">
        <v>0.17</v>
      </c>
      <c r="I49" s="9">
        <v>25933</v>
      </c>
      <c r="J49" s="9">
        <v>-2593</v>
      </c>
      <c r="K49" s="9"/>
      <c r="L49" s="9"/>
      <c r="M49" s="9"/>
      <c r="N49" s="9"/>
      <c r="O49" s="9"/>
    </row>
    <row r="50" spans="2:15" x14ac:dyDescent="0.3">
      <c r="B50" s="7">
        <v>45777</v>
      </c>
      <c r="C50" s="8" t="s">
        <v>61</v>
      </c>
      <c r="D50" s="9">
        <v>149870</v>
      </c>
      <c r="E50" s="9"/>
      <c r="F50" s="9">
        <v>22861.63</v>
      </c>
      <c r="G50" s="9"/>
      <c r="H50" s="9">
        <v>-0.63</v>
      </c>
      <c r="I50" s="9"/>
      <c r="J50" s="9"/>
      <c r="K50" s="9">
        <v>127009</v>
      </c>
      <c r="L50" s="9"/>
      <c r="M50" s="9"/>
      <c r="N50" s="9"/>
      <c r="O50" s="9"/>
    </row>
    <row r="51" spans="2:15" x14ac:dyDescent="0.3">
      <c r="B51" s="7">
        <v>45785</v>
      </c>
      <c r="C51" s="8" t="s">
        <v>62</v>
      </c>
      <c r="D51" s="9">
        <v>30454</v>
      </c>
      <c r="E51" s="9"/>
      <c r="F51" s="9">
        <v>4645.4399999999996</v>
      </c>
      <c r="G51" s="9"/>
      <c r="H51" s="9">
        <v>0.55000000000000004</v>
      </c>
      <c r="I51" s="9">
        <v>25808.01</v>
      </c>
      <c r="J51" s="9"/>
      <c r="K51" s="9"/>
      <c r="L51" s="9"/>
      <c r="M51" s="9"/>
      <c r="N51" s="9"/>
      <c r="O51" s="9"/>
    </row>
    <row r="52" spans="2:15" x14ac:dyDescent="0.3">
      <c r="B52" s="7">
        <v>45792</v>
      </c>
      <c r="C52" s="8" t="s">
        <v>63</v>
      </c>
      <c r="D52" s="9">
        <v>811.68</v>
      </c>
      <c r="E52" s="9">
        <v>515.9</v>
      </c>
      <c r="F52" s="9">
        <v>123.81</v>
      </c>
      <c r="G52" s="9"/>
      <c r="H52" s="9"/>
      <c r="I52" s="9"/>
      <c r="J52" s="9"/>
      <c r="K52" s="9"/>
      <c r="L52" s="9"/>
      <c r="M52" s="9"/>
      <c r="N52" s="9"/>
      <c r="O52" s="9"/>
    </row>
    <row r="53" spans="2:15" x14ac:dyDescent="0.3">
      <c r="B53" s="7">
        <v>45793</v>
      </c>
      <c r="C53" s="8" t="s">
        <v>64</v>
      </c>
      <c r="D53" s="9">
        <v>3957</v>
      </c>
      <c r="E53" s="9"/>
      <c r="F53" s="9">
        <v>603.61</v>
      </c>
      <c r="G53" s="9"/>
      <c r="H53" s="9">
        <v>0.04</v>
      </c>
      <c r="I53" s="9"/>
      <c r="J53" s="9"/>
      <c r="K53" s="9"/>
      <c r="L53" s="9"/>
      <c r="M53" s="9"/>
      <c r="N53" s="9"/>
      <c r="O53" s="9"/>
    </row>
    <row r="54" spans="2:15" x14ac:dyDescent="0.3">
      <c r="B54" s="7">
        <v>45793</v>
      </c>
      <c r="C54" s="8" t="s">
        <v>65</v>
      </c>
      <c r="D54" s="9">
        <v>2841</v>
      </c>
      <c r="E54" s="9">
        <v>1805.65</v>
      </c>
      <c r="F54" s="9">
        <v>433.36</v>
      </c>
      <c r="G54" s="9"/>
      <c r="H54" s="9">
        <v>0.11</v>
      </c>
      <c r="I54" s="9"/>
      <c r="J54" s="9"/>
      <c r="K54" s="9"/>
      <c r="L54" s="9"/>
      <c r="M54" s="9"/>
      <c r="N54" s="9"/>
      <c r="O54" s="9"/>
    </row>
    <row r="55" spans="2:15" x14ac:dyDescent="0.3">
      <c r="B55" s="7">
        <v>45797</v>
      </c>
      <c r="C55" s="8" t="s">
        <v>66</v>
      </c>
      <c r="D55" s="9">
        <v>812</v>
      </c>
      <c r="E55" s="9"/>
      <c r="F55" s="9">
        <v>123.82</v>
      </c>
      <c r="G55" s="9"/>
      <c r="H55" s="9">
        <v>0.32</v>
      </c>
      <c r="I55" s="9"/>
      <c r="J55" s="9"/>
      <c r="K55" s="9"/>
      <c r="L55" s="9"/>
      <c r="M55" s="9"/>
      <c r="N55" s="9"/>
      <c r="O55" s="9"/>
    </row>
    <row r="56" spans="2:15" x14ac:dyDescent="0.3">
      <c r="B56" s="7">
        <v>45797</v>
      </c>
      <c r="C56" s="8" t="s">
        <v>67</v>
      </c>
      <c r="D56" s="9">
        <v>5763</v>
      </c>
      <c r="E56" s="9">
        <v>4968</v>
      </c>
      <c r="F56" s="9">
        <v>894.26</v>
      </c>
      <c r="G56" s="9">
        <v>-99</v>
      </c>
      <c r="H56" s="9">
        <v>-0.26</v>
      </c>
      <c r="I56" s="9"/>
      <c r="J56" s="9"/>
      <c r="K56" s="9"/>
      <c r="L56" s="9"/>
      <c r="M56" s="9"/>
      <c r="N56" s="9"/>
      <c r="O56" s="9"/>
    </row>
    <row r="57" spans="2:15" x14ac:dyDescent="0.3">
      <c r="B57" s="7">
        <v>45798</v>
      </c>
      <c r="C57" s="8" t="s">
        <v>68</v>
      </c>
      <c r="D57" s="9">
        <v>31412</v>
      </c>
      <c r="E57" s="9"/>
      <c r="F57" s="9">
        <v>4791.87</v>
      </c>
      <c r="G57" s="9"/>
      <c r="H57" s="9">
        <v>-0.43</v>
      </c>
      <c r="I57" s="9">
        <v>26620.560000000001</v>
      </c>
      <c r="J57" s="9"/>
      <c r="K57" s="9"/>
      <c r="L57" s="9"/>
      <c r="M57" s="9"/>
      <c r="N57" s="9"/>
      <c r="O57" s="9"/>
    </row>
    <row r="58" spans="2:15" x14ac:dyDescent="0.3">
      <c r="B58" s="7">
        <v>45800</v>
      </c>
      <c r="C58" s="8" t="s">
        <v>69</v>
      </c>
      <c r="D58" s="9">
        <v>149870</v>
      </c>
      <c r="E58" s="9"/>
      <c r="F58" s="9">
        <v>22861.35</v>
      </c>
      <c r="G58" s="9"/>
      <c r="H58" s="9">
        <v>-0.45</v>
      </c>
      <c r="I58" s="9">
        <v>127009.1</v>
      </c>
      <c r="J58" s="9"/>
      <c r="K58" s="9"/>
      <c r="L58" s="9"/>
      <c r="M58" s="9"/>
      <c r="N58" s="9"/>
      <c r="O58" s="9"/>
    </row>
    <row r="59" spans="2:15" x14ac:dyDescent="0.3">
      <c r="B59" s="7">
        <v>45802</v>
      </c>
      <c r="C59" s="8" t="s">
        <v>70</v>
      </c>
      <c r="D59" s="9">
        <v>5862.37</v>
      </c>
      <c r="E59" s="9"/>
      <c r="F59" s="9">
        <v>894.26</v>
      </c>
      <c r="G59" s="9"/>
      <c r="H59" s="9"/>
      <c r="I59" s="9"/>
      <c r="J59" s="9"/>
      <c r="K59" s="9"/>
      <c r="L59" s="9"/>
      <c r="M59" s="9"/>
      <c r="N59" s="9"/>
      <c r="O59" s="9"/>
    </row>
    <row r="60" spans="2:15" x14ac:dyDescent="0.3">
      <c r="B60" s="7">
        <v>45812</v>
      </c>
      <c r="C60" s="8" t="s">
        <v>71</v>
      </c>
      <c r="D60" s="9">
        <v>2831</v>
      </c>
      <c r="E60" s="9">
        <v>2441</v>
      </c>
      <c r="F60" s="9">
        <v>439.18</v>
      </c>
      <c r="G60" s="9">
        <v>-49</v>
      </c>
      <c r="H60" s="9">
        <v>-0.18</v>
      </c>
      <c r="I60" s="9"/>
      <c r="J60" s="9"/>
      <c r="K60" s="9"/>
      <c r="L60" s="9"/>
      <c r="M60" s="9"/>
      <c r="N60" s="9"/>
      <c r="O60" s="9"/>
    </row>
    <row r="61" spans="2:15" x14ac:dyDescent="0.3">
      <c r="B61" s="7">
        <v>45812</v>
      </c>
      <c r="C61" s="8" t="s">
        <v>72</v>
      </c>
      <c r="D61" s="9">
        <v>3459</v>
      </c>
      <c r="E61" s="9">
        <v>2982</v>
      </c>
      <c r="F61" s="9">
        <v>536.79999999999995</v>
      </c>
      <c r="G61" s="9">
        <v>-60</v>
      </c>
      <c r="H61" s="9">
        <v>0.2</v>
      </c>
      <c r="I61" s="9"/>
      <c r="J61" s="9"/>
      <c r="K61" s="9"/>
      <c r="L61" s="9"/>
      <c r="M61" s="9"/>
      <c r="N61" s="9"/>
      <c r="O61" s="9"/>
    </row>
    <row r="62" spans="2:15" x14ac:dyDescent="0.3">
      <c r="B62" s="7">
        <v>45813</v>
      </c>
      <c r="C62" s="10"/>
      <c r="D62" s="9">
        <v>-663896</v>
      </c>
      <c r="E62" s="9"/>
      <c r="F62" s="9"/>
      <c r="G62" s="9"/>
      <c r="H62" s="9"/>
      <c r="I62" s="9"/>
      <c r="J62" s="9"/>
      <c r="K62" s="9"/>
      <c r="L62" s="9">
        <v>-663896</v>
      </c>
      <c r="M62" s="9"/>
      <c r="N62" s="9"/>
      <c r="O62" s="9"/>
    </row>
    <row r="63" spans="2:15" x14ac:dyDescent="0.3">
      <c r="B63" s="7">
        <v>45813</v>
      </c>
      <c r="C63" s="8" t="s">
        <v>73</v>
      </c>
      <c r="D63" s="9">
        <v>30739</v>
      </c>
      <c r="E63" s="9"/>
      <c r="F63" s="9">
        <v>5123.0600000000004</v>
      </c>
      <c r="G63" s="9"/>
      <c r="H63" s="9">
        <v>-0.06</v>
      </c>
      <c r="I63" s="9">
        <v>28462</v>
      </c>
      <c r="J63" s="9">
        <v>-2846</v>
      </c>
      <c r="K63" s="9"/>
      <c r="L63" s="9"/>
      <c r="M63" s="9"/>
      <c r="N63" s="9"/>
      <c r="O63" s="9"/>
    </row>
    <row r="64" spans="2:15" x14ac:dyDescent="0.3">
      <c r="B64" s="7">
        <v>45826</v>
      </c>
      <c r="C64" s="8" t="s">
        <v>74</v>
      </c>
      <c r="D64" s="9">
        <v>28669</v>
      </c>
      <c r="E64" s="9"/>
      <c r="F64" s="9">
        <v>4777.97</v>
      </c>
      <c r="G64" s="9"/>
      <c r="H64" s="9">
        <v>0.03</v>
      </c>
      <c r="I64" s="9">
        <v>26545</v>
      </c>
      <c r="J64" s="9">
        <v>-2654</v>
      </c>
      <c r="K64" s="9"/>
      <c r="L64" s="9"/>
      <c r="M64" s="9"/>
      <c r="N64" s="9"/>
      <c r="O64" s="9"/>
    </row>
    <row r="65" spans="2:15" x14ac:dyDescent="0.3">
      <c r="B65" s="7">
        <v>45842</v>
      </c>
      <c r="C65" s="8" t="s">
        <v>75</v>
      </c>
      <c r="D65" s="9">
        <v>7415</v>
      </c>
      <c r="E65" s="9">
        <v>6393</v>
      </c>
      <c r="F65" s="9">
        <v>1150.69</v>
      </c>
      <c r="G65" s="9">
        <v>-129</v>
      </c>
      <c r="H65" s="9">
        <v>0.31</v>
      </c>
      <c r="I65" s="9"/>
      <c r="J65" s="9"/>
      <c r="K65" s="9"/>
      <c r="L65" s="9"/>
      <c r="M65" s="9"/>
      <c r="N65" s="9"/>
      <c r="O65" s="9"/>
    </row>
    <row r="66" spans="2:15" x14ac:dyDescent="0.3">
      <c r="B66" s="7">
        <v>45842</v>
      </c>
      <c r="C66" s="8" t="s">
        <v>76</v>
      </c>
      <c r="D66" s="9">
        <v>7715</v>
      </c>
      <c r="E66" s="9">
        <v>6650</v>
      </c>
      <c r="F66" s="9">
        <v>1197.0899999999999</v>
      </c>
      <c r="G66" s="9">
        <v>-132</v>
      </c>
      <c r="H66" s="9">
        <v>-0.09</v>
      </c>
      <c r="I66" s="9"/>
      <c r="J66" s="9"/>
      <c r="K66" s="9"/>
      <c r="L66" s="9"/>
      <c r="M66" s="9"/>
      <c r="N66" s="9"/>
      <c r="O66" s="9"/>
    </row>
    <row r="67" spans="2:15" x14ac:dyDescent="0.3">
      <c r="B67" s="7">
        <v>45842</v>
      </c>
      <c r="C67" s="8" t="s">
        <v>77</v>
      </c>
      <c r="D67" s="9">
        <v>112543.23</v>
      </c>
      <c r="E67" s="9"/>
      <c r="F67" s="9">
        <v>17463.54</v>
      </c>
      <c r="G67" s="9">
        <v>-1940</v>
      </c>
      <c r="H67" s="9">
        <v>-0.31</v>
      </c>
      <c r="I67" s="9"/>
      <c r="J67" s="9"/>
      <c r="K67" s="9">
        <v>97020</v>
      </c>
      <c r="L67" s="9"/>
      <c r="M67" s="9"/>
      <c r="N67" s="9"/>
      <c r="O67" s="9"/>
    </row>
    <row r="68" spans="2:15" x14ac:dyDescent="0.3">
      <c r="B68" s="7">
        <v>45842</v>
      </c>
      <c r="C68" s="8" t="s">
        <v>78</v>
      </c>
      <c r="D68" s="9">
        <v>6145</v>
      </c>
      <c r="E68" s="9">
        <v>5688</v>
      </c>
      <c r="F68" s="9">
        <v>1023.92</v>
      </c>
      <c r="G68" s="9"/>
      <c r="H68" s="9">
        <v>0.08</v>
      </c>
      <c r="I68" s="9"/>
      <c r="J68" s="9">
        <v>-567</v>
      </c>
      <c r="K68" s="9"/>
      <c r="L68" s="9"/>
      <c r="M68" s="9"/>
      <c r="N68" s="9"/>
      <c r="O68" s="9"/>
    </row>
    <row r="69" spans="2:15" x14ac:dyDescent="0.3">
      <c r="B69" s="7">
        <v>45842</v>
      </c>
      <c r="C69" s="8" t="s">
        <v>79</v>
      </c>
      <c r="D69" s="9">
        <v>15381</v>
      </c>
      <c r="E69" s="9"/>
      <c r="F69" s="9">
        <v>2563.5300000000002</v>
      </c>
      <c r="G69" s="9"/>
      <c r="H69" s="9">
        <v>-0.53</v>
      </c>
      <c r="I69" s="9">
        <v>14242</v>
      </c>
      <c r="J69" s="9">
        <v>-1424</v>
      </c>
      <c r="K69" s="9"/>
      <c r="L69" s="9"/>
      <c r="M69" s="9"/>
      <c r="N69" s="9"/>
      <c r="O69" s="9"/>
    </row>
    <row r="70" spans="2:15" x14ac:dyDescent="0.3">
      <c r="B70" s="7">
        <v>45850</v>
      </c>
      <c r="C70" s="10" t="s">
        <v>26</v>
      </c>
      <c r="D70" s="9">
        <v>500</v>
      </c>
      <c r="E70" s="9"/>
      <c r="F70" s="9"/>
      <c r="G70" s="9"/>
      <c r="H70" s="9"/>
      <c r="I70" s="9"/>
      <c r="J70" s="9"/>
      <c r="K70" s="9"/>
      <c r="L70" s="9"/>
      <c r="M70" s="9">
        <v>-200</v>
      </c>
      <c r="N70" s="9">
        <v>700</v>
      </c>
      <c r="O70" s="9"/>
    </row>
    <row r="71" spans="2:15" x14ac:dyDescent="0.3">
      <c r="B71" s="7">
        <v>45856</v>
      </c>
      <c r="C71" s="8" t="s">
        <v>80</v>
      </c>
      <c r="D71" s="9">
        <v>2270</v>
      </c>
      <c r="E71" s="9">
        <v>1957</v>
      </c>
      <c r="F71" s="9">
        <v>352.24</v>
      </c>
      <c r="G71" s="9">
        <v>-39</v>
      </c>
      <c r="H71" s="9">
        <v>-0.24</v>
      </c>
      <c r="I71" s="9"/>
      <c r="J71" s="9"/>
      <c r="K71" s="9"/>
      <c r="L71" s="9"/>
      <c r="M71" s="9"/>
      <c r="N71" s="9"/>
      <c r="O71" s="9"/>
    </row>
    <row r="72" spans="2:15" x14ac:dyDescent="0.3">
      <c r="B72" s="7">
        <v>45857</v>
      </c>
      <c r="C72" s="8" t="s">
        <v>81</v>
      </c>
      <c r="D72" s="9">
        <v>10031</v>
      </c>
      <c r="E72" s="9"/>
      <c r="F72" s="9">
        <v>1671.85</v>
      </c>
      <c r="G72" s="9"/>
      <c r="H72" s="9">
        <v>7.0000000000000007E-2</v>
      </c>
      <c r="I72" s="9">
        <v>9288.08</v>
      </c>
      <c r="J72" s="9">
        <v>-929</v>
      </c>
      <c r="K72" s="9"/>
      <c r="L72" s="9"/>
      <c r="M72" s="9"/>
      <c r="N72" s="9"/>
      <c r="O72" s="9"/>
    </row>
    <row r="73" spans="2:15" x14ac:dyDescent="0.3">
      <c r="B73" s="7">
        <v>45857</v>
      </c>
      <c r="C73" s="8" t="s">
        <v>82</v>
      </c>
      <c r="D73" s="9">
        <v>1628</v>
      </c>
      <c r="E73" s="9">
        <v>1403</v>
      </c>
      <c r="F73" s="9">
        <v>252.54</v>
      </c>
      <c r="G73" s="9">
        <v>-28</v>
      </c>
      <c r="H73" s="9">
        <v>0.46</v>
      </c>
      <c r="I73" s="9"/>
      <c r="J73" s="9"/>
      <c r="K73" s="9"/>
      <c r="L73" s="9"/>
      <c r="M73" s="9"/>
      <c r="N73" s="9"/>
      <c r="O73" s="9"/>
    </row>
    <row r="74" spans="2:15" x14ac:dyDescent="0.3">
      <c r="B74" s="7">
        <v>45863</v>
      </c>
      <c r="C74" s="8" t="s">
        <v>83</v>
      </c>
      <c r="D74" s="9">
        <v>2042</v>
      </c>
      <c r="E74" s="9">
        <v>1760</v>
      </c>
      <c r="F74" s="9">
        <v>316.82</v>
      </c>
      <c r="G74" s="9">
        <v>-35</v>
      </c>
      <c r="H74" s="9">
        <v>0.18</v>
      </c>
      <c r="I74" s="9"/>
      <c r="J74" s="9"/>
      <c r="K74" s="9"/>
      <c r="L74" s="9"/>
      <c r="M74" s="9"/>
      <c r="N74" s="9"/>
      <c r="O74" s="9"/>
    </row>
    <row r="75" spans="2:15" x14ac:dyDescent="0.3">
      <c r="B75" s="7">
        <v>45874</v>
      </c>
      <c r="C75" s="10" t="s">
        <v>27</v>
      </c>
      <c r="D75" s="9">
        <v>500</v>
      </c>
      <c r="E75" s="9"/>
      <c r="F75" s="9"/>
      <c r="G75" s="9"/>
      <c r="H75" s="9"/>
      <c r="I75" s="9"/>
      <c r="J75" s="9"/>
      <c r="K75" s="9"/>
      <c r="L75" s="9"/>
      <c r="M75" s="9">
        <v>-200</v>
      </c>
      <c r="N75" s="9">
        <v>700</v>
      </c>
      <c r="O75" s="9"/>
    </row>
    <row r="76" spans="2:15" x14ac:dyDescent="0.3">
      <c r="B76" s="7">
        <v>45874</v>
      </c>
      <c r="C76" s="10" t="s">
        <v>28</v>
      </c>
      <c r="D76" s="9">
        <v>500</v>
      </c>
      <c r="E76" s="9"/>
      <c r="F76" s="9"/>
      <c r="G76" s="9"/>
      <c r="H76" s="9"/>
      <c r="I76" s="9"/>
      <c r="J76" s="9"/>
      <c r="K76" s="9"/>
      <c r="L76" s="9"/>
      <c r="M76" s="9">
        <v>-200</v>
      </c>
      <c r="N76" s="9">
        <v>700</v>
      </c>
      <c r="O76" s="9"/>
    </row>
    <row r="77" spans="2:15" x14ac:dyDescent="0.3">
      <c r="B77" s="7">
        <v>45874</v>
      </c>
      <c r="C77" s="8" t="s">
        <v>84</v>
      </c>
      <c r="D77" s="9">
        <v>6913</v>
      </c>
      <c r="E77" s="9">
        <v>5959</v>
      </c>
      <c r="F77" s="9">
        <v>1072.69</v>
      </c>
      <c r="G77" s="9">
        <v>-119</v>
      </c>
      <c r="H77" s="9">
        <v>0.31</v>
      </c>
      <c r="I77" s="9"/>
      <c r="J77" s="9"/>
      <c r="K77" s="9"/>
      <c r="L77" s="9"/>
      <c r="M77" s="9"/>
      <c r="N77" s="9"/>
      <c r="O77" s="9"/>
    </row>
    <row r="78" spans="2:15" x14ac:dyDescent="0.3">
      <c r="B78" s="7">
        <v>45874</v>
      </c>
      <c r="C78" s="8" t="s">
        <v>85</v>
      </c>
      <c r="D78" s="9">
        <v>3532</v>
      </c>
      <c r="E78" s="9">
        <v>3045</v>
      </c>
      <c r="F78" s="9">
        <v>548.16</v>
      </c>
      <c r="G78" s="9">
        <v>-61</v>
      </c>
      <c r="H78" s="9">
        <v>-0.16</v>
      </c>
      <c r="I78" s="9"/>
      <c r="J78" s="9"/>
      <c r="K78" s="9"/>
      <c r="L78" s="9"/>
      <c r="M78" s="9"/>
      <c r="N78" s="9"/>
      <c r="O78" s="9"/>
    </row>
    <row r="79" spans="2:15" x14ac:dyDescent="0.3">
      <c r="B79" s="7">
        <v>45874</v>
      </c>
      <c r="C79" s="8" t="s">
        <v>86</v>
      </c>
      <c r="D79" s="9">
        <v>17393</v>
      </c>
      <c r="E79" s="9"/>
      <c r="F79" s="9">
        <v>2898.92</v>
      </c>
      <c r="G79" s="9"/>
      <c r="H79" s="9">
        <v>0.08</v>
      </c>
      <c r="I79" s="9">
        <v>16105</v>
      </c>
      <c r="J79" s="9">
        <v>-1611</v>
      </c>
      <c r="K79" s="9"/>
      <c r="L79" s="9"/>
      <c r="M79" s="9"/>
      <c r="N79" s="9"/>
      <c r="O79" s="9"/>
    </row>
    <row r="80" spans="2:15" x14ac:dyDescent="0.3">
      <c r="B80" s="7">
        <v>45883</v>
      </c>
      <c r="C80" s="10"/>
      <c r="D80" s="9">
        <v>-332509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>
        <v>-332509</v>
      </c>
    </row>
    <row r="81" spans="2:15" x14ac:dyDescent="0.3">
      <c r="B81" s="7">
        <v>45887</v>
      </c>
      <c r="C81" s="8" t="s">
        <v>87</v>
      </c>
      <c r="D81" s="9">
        <v>47303</v>
      </c>
      <c r="E81" s="9"/>
      <c r="F81" s="9">
        <v>7340.22</v>
      </c>
      <c r="G81" s="9">
        <v>-816</v>
      </c>
      <c r="H81" s="9">
        <v>-0.22</v>
      </c>
      <c r="I81" s="9"/>
      <c r="J81" s="9"/>
      <c r="K81" s="9">
        <v>40779</v>
      </c>
      <c r="L81" s="9"/>
      <c r="M81" s="9"/>
      <c r="N81" s="9"/>
      <c r="O81" s="9"/>
    </row>
    <row r="82" spans="2:15" x14ac:dyDescent="0.3">
      <c r="B82" s="7">
        <v>45887</v>
      </c>
      <c r="C82" s="8" t="s">
        <v>88</v>
      </c>
      <c r="D82" s="9">
        <v>3881</v>
      </c>
      <c r="E82" s="9">
        <v>3346</v>
      </c>
      <c r="F82" s="9">
        <v>602.23</v>
      </c>
      <c r="G82" s="9">
        <v>-67</v>
      </c>
      <c r="H82" s="9">
        <v>-0.23</v>
      </c>
      <c r="I82" s="9"/>
      <c r="J82" s="9"/>
      <c r="K82" s="9"/>
      <c r="L82" s="9"/>
      <c r="M82" s="9"/>
      <c r="N82" s="9"/>
      <c r="O82" s="9"/>
    </row>
    <row r="83" spans="2:15" x14ac:dyDescent="0.3">
      <c r="B83" s="7">
        <v>45887</v>
      </c>
      <c r="C83" s="8" t="s">
        <v>89</v>
      </c>
      <c r="D83" s="9">
        <v>17436</v>
      </c>
      <c r="E83" s="9"/>
      <c r="F83" s="9">
        <v>2905.88</v>
      </c>
      <c r="G83" s="9"/>
      <c r="H83" s="9">
        <v>0.12</v>
      </c>
      <c r="I83" s="9">
        <v>16144</v>
      </c>
      <c r="J83" s="9">
        <v>-1614</v>
      </c>
      <c r="K83" s="9"/>
      <c r="L83" s="9"/>
      <c r="M83" s="9"/>
      <c r="N83" s="9"/>
      <c r="O83" s="9"/>
    </row>
    <row r="84" spans="2:15" x14ac:dyDescent="0.3">
      <c r="B84" s="7">
        <v>45888</v>
      </c>
      <c r="C84" s="8" t="s">
        <v>90</v>
      </c>
      <c r="D84" s="9">
        <v>2643</v>
      </c>
      <c r="E84" s="9">
        <v>2279</v>
      </c>
      <c r="F84" s="9">
        <v>410.23</v>
      </c>
      <c r="G84" s="9">
        <v>-46</v>
      </c>
      <c r="H84" s="9">
        <v>-0.23</v>
      </c>
      <c r="I84" s="9"/>
      <c r="J84" s="9"/>
      <c r="K84" s="9"/>
      <c r="L84" s="9"/>
      <c r="M84" s="9"/>
      <c r="N84" s="9"/>
      <c r="O84" s="9"/>
    </row>
    <row r="85" spans="2:15" x14ac:dyDescent="0.3">
      <c r="B85" s="7">
        <v>45888</v>
      </c>
      <c r="C85" s="8" t="s">
        <v>91</v>
      </c>
      <c r="D85" s="9">
        <v>20756</v>
      </c>
      <c r="E85" s="9"/>
      <c r="F85" s="9">
        <v>3459.29</v>
      </c>
      <c r="G85" s="9"/>
      <c r="H85" s="9">
        <v>-0.28999999999999998</v>
      </c>
      <c r="I85" s="9">
        <v>19218</v>
      </c>
      <c r="J85" s="9">
        <v>-1921</v>
      </c>
      <c r="K85" s="9"/>
      <c r="L85" s="9"/>
      <c r="M85" s="9"/>
      <c r="N85" s="9"/>
      <c r="O85" s="9"/>
    </row>
    <row r="86" spans="2:15" x14ac:dyDescent="0.3">
      <c r="B86" s="7">
        <v>45904</v>
      </c>
      <c r="C86" s="8" t="s">
        <v>92</v>
      </c>
      <c r="D86" s="9">
        <v>70491</v>
      </c>
      <c r="E86" s="9"/>
      <c r="F86" s="9">
        <v>10938.16</v>
      </c>
      <c r="G86" s="9">
        <v>-1215</v>
      </c>
      <c r="H86" s="9">
        <v>-0.16</v>
      </c>
      <c r="I86" s="9"/>
      <c r="J86" s="9"/>
      <c r="K86" s="9">
        <v>60768</v>
      </c>
      <c r="L86" s="9"/>
      <c r="M86" s="9"/>
      <c r="N86" s="9"/>
      <c r="O86" s="9"/>
    </row>
    <row r="87" spans="2:15" x14ac:dyDescent="0.3">
      <c r="B87" s="7">
        <v>45904</v>
      </c>
      <c r="C87" s="8" t="s">
        <v>93</v>
      </c>
      <c r="D87" s="9">
        <v>7120</v>
      </c>
      <c r="E87" s="9">
        <v>6138</v>
      </c>
      <c r="F87" s="9">
        <v>1104.82</v>
      </c>
      <c r="G87" s="9">
        <v>-123</v>
      </c>
      <c r="H87" s="9">
        <v>0.18</v>
      </c>
      <c r="I87" s="9"/>
      <c r="J87" s="9"/>
      <c r="K87" s="9"/>
      <c r="L87" s="9"/>
      <c r="M87" s="9"/>
      <c r="N87" s="9"/>
      <c r="O87" s="9"/>
    </row>
    <row r="88" spans="2:15" x14ac:dyDescent="0.3">
      <c r="B88" s="7">
        <v>45904</v>
      </c>
      <c r="C88" s="8" t="s">
        <v>94</v>
      </c>
      <c r="D88" s="9">
        <v>2089</v>
      </c>
      <c r="E88" s="9">
        <v>1801</v>
      </c>
      <c r="F88" s="9">
        <v>324.13</v>
      </c>
      <c r="G88" s="9">
        <v>-36</v>
      </c>
      <c r="H88" s="9">
        <v>-0.13</v>
      </c>
      <c r="I88" s="9"/>
      <c r="J88" s="9"/>
      <c r="K88" s="9"/>
      <c r="L88" s="9"/>
      <c r="M88" s="9"/>
      <c r="N88" s="9"/>
      <c r="O88" s="9"/>
    </row>
    <row r="89" spans="2:15" x14ac:dyDescent="0.3">
      <c r="B89" s="7">
        <v>45935</v>
      </c>
      <c r="C89" s="8" t="s">
        <v>95</v>
      </c>
      <c r="D89" s="9">
        <v>2455</v>
      </c>
      <c r="E89" s="9">
        <v>2117</v>
      </c>
      <c r="F89" s="9">
        <v>380.98</v>
      </c>
      <c r="G89" s="9">
        <v>-43</v>
      </c>
      <c r="H89" s="9">
        <v>0.02</v>
      </c>
      <c r="I89" s="9"/>
      <c r="J89" s="9"/>
      <c r="K89" s="9"/>
      <c r="L89" s="9"/>
      <c r="M89" s="9"/>
      <c r="N89" s="9"/>
      <c r="O89" s="9"/>
    </row>
    <row r="90" spans="2:15" x14ac:dyDescent="0.3">
      <c r="B90" s="7">
        <v>45935</v>
      </c>
      <c r="C90" s="8" t="s">
        <v>96</v>
      </c>
      <c r="D90" s="9">
        <v>2498</v>
      </c>
      <c r="E90" s="9">
        <v>2117</v>
      </c>
      <c r="F90" s="9">
        <v>380.98</v>
      </c>
      <c r="G90" s="9"/>
      <c r="H90" s="9">
        <v>0.02</v>
      </c>
      <c r="I90" s="9"/>
      <c r="J90" s="9"/>
      <c r="K90" s="9"/>
      <c r="L90" s="9"/>
      <c r="M90" s="9"/>
      <c r="N90" s="9"/>
      <c r="O90" s="9"/>
    </row>
    <row r="91" spans="2:15" x14ac:dyDescent="0.3">
      <c r="B91" s="7">
        <v>45935</v>
      </c>
      <c r="C91" s="8" t="s">
        <v>97</v>
      </c>
      <c r="D91" s="9">
        <v>62117</v>
      </c>
      <c r="E91" s="9">
        <v>52642</v>
      </c>
      <c r="F91" s="9">
        <v>9475.2199999999993</v>
      </c>
      <c r="G91" s="9"/>
      <c r="H91" s="9">
        <v>-0.22</v>
      </c>
      <c r="I91" s="9"/>
      <c r="J91" s="9"/>
      <c r="K91" s="9"/>
      <c r="L91" s="9"/>
      <c r="M91" s="9"/>
      <c r="N91" s="9"/>
      <c r="O91" s="9"/>
    </row>
    <row r="92" spans="2:15" x14ac:dyDescent="0.3">
      <c r="B92" s="7">
        <v>45937</v>
      </c>
      <c r="C92" s="8" t="s">
        <v>98</v>
      </c>
      <c r="D92" s="9">
        <v>25194</v>
      </c>
      <c r="E92" s="9">
        <v>21351</v>
      </c>
      <c r="F92" s="9">
        <v>3843.35</v>
      </c>
      <c r="G92" s="9"/>
      <c r="H92" s="9">
        <v>-0.35</v>
      </c>
      <c r="I92" s="9"/>
      <c r="J92" s="9"/>
      <c r="K92" s="9"/>
      <c r="L92" s="9"/>
      <c r="M92" s="9"/>
      <c r="N92" s="9"/>
      <c r="O92" s="9"/>
    </row>
    <row r="93" spans="2:15" x14ac:dyDescent="0.3">
      <c r="B93" s="7">
        <v>45938</v>
      </c>
      <c r="C93" s="10"/>
      <c r="D93" s="9">
        <v>-241321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>
        <v>-241321</v>
      </c>
    </row>
    <row r="94" spans="2:15" x14ac:dyDescent="0.3">
      <c r="B94" s="7">
        <v>45948</v>
      </c>
      <c r="C94" s="8" t="s">
        <v>99</v>
      </c>
      <c r="D94" s="9">
        <v>28800</v>
      </c>
      <c r="E94" s="9">
        <v>24407</v>
      </c>
      <c r="F94" s="9">
        <v>4393.66</v>
      </c>
      <c r="G94" s="9"/>
      <c r="H94" s="9">
        <v>-0.66</v>
      </c>
      <c r="I94" s="9"/>
      <c r="J94" s="9"/>
      <c r="K94" s="9"/>
      <c r="L94" s="9"/>
      <c r="M94" s="9"/>
      <c r="N94" s="9"/>
      <c r="O94" s="9"/>
    </row>
    <row r="95" spans="2:15" x14ac:dyDescent="0.3">
      <c r="B95" s="7">
        <v>45950</v>
      </c>
      <c r="C95" s="8" t="s">
        <v>100</v>
      </c>
      <c r="D95" s="9">
        <v>10487</v>
      </c>
      <c r="E95" s="9">
        <v>8887</v>
      </c>
      <c r="F95" s="9">
        <v>1599.78</v>
      </c>
      <c r="G95" s="9"/>
      <c r="H95" s="9">
        <v>0.22</v>
      </c>
      <c r="I95" s="9"/>
      <c r="J95" s="9"/>
      <c r="K95" s="9"/>
      <c r="L95" s="9"/>
      <c r="M95" s="9"/>
      <c r="N95" s="9"/>
      <c r="O95" s="9"/>
    </row>
    <row r="96" spans="2:15" x14ac:dyDescent="0.3">
      <c r="B96" s="7">
        <v>45950</v>
      </c>
      <c r="C96" s="8" t="s">
        <v>101</v>
      </c>
      <c r="D96" s="9">
        <v>2498</v>
      </c>
      <c r="E96" s="9">
        <v>2117</v>
      </c>
      <c r="F96" s="9">
        <v>380.98</v>
      </c>
      <c r="G96" s="9"/>
      <c r="H96" s="9">
        <v>0.02</v>
      </c>
      <c r="I96" s="9"/>
      <c r="J96" s="9"/>
      <c r="K96" s="9"/>
      <c r="L96" s="9"/>
      <c r="M96" s="9"/>
      <c r="N96" s="9"/>
      <c r="O96" s="9"/>
    </row>
    <row r="97" spans="2:15" x14ac:dyDescent="0.3">
      <c r="B97" s="7">
        <v>45964</v>
      </c>
      <c r="C97" s="8" t="s">
        <v>102</v>
      </c>
      <c r="D97" s="9">
        <v>8893</v>
      </c>
      <c r="E97" s="9">
        <v>7666</v>
      </c>
      <c r="F97" s="9">
        <v>1379.89</v>
      </c>
      <c r="G97" s="9"/>
      <c r="H97" s="9">
        <v>-152.88999999999999</v>
      </c>
      <c r="I97" s="9"/>
      <c r="J97" s="9"/>
      <c r="K97" s="9"/>
      <c r="L97" s="9"/>
      <c r="M97" s="9"/>
      <c r="N97" s="9"/>
      <c r="O97" s="9"/>
    </row>
    <row r="98" spans="2:15" x14ac:dyDescent="0.3">
      <c r="B98" s="7">
        <v>45966</v>
      </c>
      <c r="C98" s="8" t="s">
        <v>103</v>
      </c>
      <c r="D98" s="9">
        <v>32077</v>
      </c>
      <c r="E98" s="9"/>
      <c r="F98" s="9">
        <v>5346.21</v>
      </c>
      <c r="G98" s="9"/>
      <c r="H98" s="9">
        <v>-0.21</v>
      </c>
      <c r="I98" s="9">
        <v>29701</v>
      </c>
      <c r="J98" s="9">
        <v>-2970</v>
      </c>
      <c r="K98" s="9"/>
      <c r="L98" s="9"/>
      <c r="M98" s="9"/>
      <c r="N98" s="9"/>
      <c r="O98" s="9"/>
    </row>
    <row r="99" spans="2:15" x14ac:dyDescent="0.3">
      <c r="B99" s="7">
        <v>45966</v>
      </c>
      <c r="C99" s="8" t="s">
        <v>104</v>
      </c>
      <c r="D99" s="9">
        <v>2858</v>
      </c>
      <c r="E99" s="9">
        <v>2464</v>
      </c>
      <c r="F99" s="9">
        <v>443.54</v>
      </c>
      <c r="G99" s="9">
        <v>-50</v>
      </c>
      <c r="H99" s="9">
        <v>0.46</v>
      </c>
      <c r="I99" s="9"/>
      <c r="J99" s="9"/>
      <c r="K99" s="9"/>
      <c r="L99" s="9"/>
      <c r="M99" s="9"/>
      <c r="N99" s="9"/>
      <c r="O99" s="9"/>
    </row>
    <row r="100" spans="2:15" x14ac:dyDescent="0.3">
      <c r="B100" s="7">
        <v>45966</v>
      </c>
      <c r="C100" s="8" t="s">
        <v>105</v>
      </c>
      <c r="D100" s="9">
        <v>63853</v>
      </c>
      <c r="E100" s="9"/>
      <c r="F100" s="9">
        <v>9908.2999999999993</v>
      </c>
      <c r="G100" s="9">
        <v>-1100</v>
      </c>
      <c r="H100" s="9">
        <v>-0.3</v>
      </c>
      <c r="I100" s="9"/>
      <c r="J100" s="9"/>
      <c r="K100" s="9">
        <v>55045</v>
      </c>
      <c r="L100" s="9"/>
      <c r="M100" s="9"/>
      <c r="N100" s="9"/>
      <c r="O100" s="9"/>
    </row>
    <row r="101" spans="2:15" x14ac:dyDescent="0.3">
      <c r="B101" s="7">
        <v>45980</v>
      </c>
      <c r="C101" s="8" t="s">
        <v>106</v>
      </c>
      <c r="D101" s="9">
        <v>28613</v>
      </c>
      <c r="E101" s="9"/>
      <c r="F101" s="9">
        <v>4768.8999999999996</v>
      </c>
      <c r="G101" s="9"/>
      <c r="H101" s="9">
        <v>0.1</v>
      </c>
      <c r="I101" s="9">
        <v>26493</v>
      </c>
      <c r="J101" s="9">
        <v>-2649</v>
      </c>
      <c r="K101" s="9"/>
      <c r="L101" s="9"/>
      <c r="M101" s="9"/>
      <c r="N101" s="9"/>
      <c r="O101" s="9"/>
    </row>
    <row r="102" spans="2:15" x14ac:dyDescent="0.3">
      <c r="B102" s="7">
        <v>45981</v>
      </c>
      <c r="C102" s="8" t="s">
        <v>107</v>
      </c>
      <c r="D102" s="9">
        <v>3804</v>
      </c>
      <c r="E102" s="9">
        <v>3280</v>
      </c>
      <c r="F102" s="9">
        <v>590.4</v>
      </c>
      <c r="G102" s="9">
        <v>-66</v>
      </c>
      <c r="H102" s="9">
        <v>-0.4</v>
      </c>
      <c r="I102" s="9"/>
      <c r="J102" s="9"/>
      <c r="K102" s="9"/>
      <c r="L102" s="9"/>
      <c r="M102" s="9"/>
      <c r="N102" s="9"/>
      <c r="O102" s="9"/>
    </row>
    <row r="103" spans="2:15" x14ac:dyDescent="0.3">
      <c r="B103" s="7">
        <v>45993</v>
      </c>
      <c r="C103" s="8" t="s">
        <v>108</v>
      </c>
      <c r="D103" s="9">
        <v>27071</v>
      </c>
      <c r="E103" s="9"/>
      <c r="F103" s="9">
        <v>4512</v>
      </c>
      <c r="G103" s="9"/>
      <c r="H103" s="9">
        <v>1</v>
      </c>
      <c r="I103" s="9">
        <v>25065</v>
      </c>
      <c r="J103" s="9">
        <v>-2507</v>
      </c>
      <c r="K103" s="9"/>
      <c r="L103" s="9"/>
      <c r="M103" s="9"/>
      <c r="N103" s="9"/>
      <c r="O103" s="9"/>
    </row>
  </sheetData>
  <autoFilter ref="B17:O1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88"/>
  <sheetViews>
    <sheetView tabSelected="1" topLeftCell="B13" workbookViewId="0">
      <selection activeCell="J38" sqref="J38"/>
    </sheetView>
  </sheetViews>
  <sheetFormatPr defaultRowHeight="14.4" x14ac:dyDescent="0.3"/>
  <cols>
    <col min="1" max="1" width="2.77734375" customWidth="1"/>
    <col min="2" max="2" width="12.77734375" customWidth="1"/>
    <col min="3" max="3" width="15.77734375" style="4" customWidth="1"/>
    <col min="4" max="22" width="14.77734375" style="6" customWidth="1"/>
  </cols>
  <sheetData>
    <row r="1" spans="2:22" x14ac:dyDescent="0.3">
      <c r="D1" s="6">
        <f>SUBTOTAL(9,D3:D88)</f>
        <v>219764.86</v>
      </c>
      <c r="E1" s="6">
        <f>SUBTOTAL(9,E3:E88)</f>
        <v>1261640.4700000002</v>
      </c>
      <c r="F1" s="6">
        <f t="shared" ref="F1:H1" si="0">SUBTOTAL(9,F3:F88)</f>
        <v>-47218</v>
      </c>
      <c r="G1" s="6">
        <f t="shared" si="0"/>
        <v>-1237726</v>
      </c>
      <c r="H1" s="6">
        <f t="shared" si="0"/>
        <v>229173.86</v>
      </c>
    </row>
    <row r="2" spans="2:22" s="2" customFormat="1" ht="66" x14ac:dyDescent="0.3">
      <c r="B2" s="11" t="s">
        <v>13</v>
      </c>
      <c r="C2" s="12" t="s">
        <v>14</v>
      </c>
      <c r="D2" s="13" t="s">
        <v>15</v>
      </c>
      <c r="E2" s="17" t="s">
        <v>109</v>
      </c>
      <c r="F2" s="17" t="s">
        <v>110</v>
      </c>
      <c r="G2" s="17" t="s">
        <v>111</v>
      </c>
      <c r="H2" s="17" t="s">
        <v>112</v>
      </c>
      <c r="I2" s="18" t="s">
        <v>113</v>
      </c>
      <c r="J2" s="19" t="s">
        <v>114</v>
      </c>
      <c r="K2" s="18" t="s">
        <v>115</v>
      </c>
      <c r="L2" s="13" t="s">
        <v>16</v>
      </c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  <c r="R2" s="13" t="s">
        <v>22</v>
      </c>
      <c r="S2" s="13" t="s">
        <v>23</v>
      </c>
      <c r="T2" s="13" t="s">
        <v>24</v>
      </c>
      <c r="U2" s="13" t="s">
        <v>7</v>
      </c>
      <c r="V2" s="13" t="s">
        <v>25</v>
      </c>
    </row>
    <row r="3" spans="2:22" x14ac:dyDescent="0.3">
      <c r="B3" s="7">
        <v>45750</v>
      </c>
      <c r="C3" s="8" t="s">
        <v>29</v>
      </c>
      <c r="D3" s="9">
        <v>538</v>
      </c>
      <c r="E3" s="9">
        <f>L3+P3+R3+T3+U3</f>
        <v>463</v>
      </c>
      <c r="F3" s="9">
        <f>N3+Q3</f>
        <v>-9</v>
      </c>
      <c r="G3" s="9">
        <f>S3+V3</f>
        <v>0</v>
      </c>
      <c r="H3" s="9">
        <f>M3+O3</f>
        <v>84</v>
      </c>
      <c r="I3" s="9">
        <f>VLOOKUP(C3,[1]working!$M:$U,9,0)</f>
        <v>546.74</v>
      </c>
      <c r="J3" s="9">
        <f>E3-I3</f>
        <v>-83.740000000000009</v>
      </c>
      <c r="K3" s="9" t="s">
        <v>118</v>
      </c>
      <c r="L3" s="9">
        <v>463</v>
      </c>
      <c r="M3" s="9">
        <v>83.74</v>
      </c>
      <c r="N3" s="9">
        <v>-9</v>
      </c>
      <c r="O3" s="9">
        <v>0.26</v>
      </c>
      <c r="P3" s="9"/>
      <c r="Q3" s="9"/>
      <c r="R3" s="9"/>
      <c r="S3" s="9"/>
      <c r="T3" s="9"/>
      <c r="U3" s="9"/>
      <c r="V3" s="9"/>
    </row>
    <row r="4" spans="2:22" x14ac:dyDescent="0.3">
      <c r="B4" s="7">
        <v>45750</v>
      </c>
      <c r="C4" s="8" t="s">
        <v>30</v>
      </c>
      <c r="D4" s="9">
        <v>2420</v>
      </c>
      <c r="E4" s="9">
        <f t="shared" ref="E4:E67" si="1">L4+P4+R4+T4+U4+O4</f>
        <v>2086.37</v>
      </c>
      <c r="F4" s="9">
        <f t="shared" ref="F4:F67" si="2">N4+Q4</f>
        <v>-42</v>
      </c>
      <c r="G4" s="9">
        <f t="shared" ref="G4:G67" si="3">S4+V4</f>
        <v>0</v>
      </c>
      <c r="H4" s="9">
        <f t="shared" ref="H4:H46" si="4">M4+O4</f>
        <v>376</v>
      </c>
      <c r="I4" s="9">
        <f>VLOOKUP(C4,[1]working!$M:$U,9,0)</f>
        <v>2461.63</v>
      </c>
      <c r="J4" s="9">
        <f t="shared" ref="J4:J18" si="5">E4-I4</f>
        <v>-375.26000000000022</v>
      </c>
      <c r="K4" s="9" t="s">
        <v>118</v>
      </c>
      <c r="L4" s="9">
        <v>2086</v>
      </c>
      <c r="M4" s="9">
        <v>375.63</v>
      </c>
      <c r="N4" s="9">
        <v>-42</v>
      </c>
      <c r="O4" s="9">
        <v>0.37</v>
      </c>
      <c r="P4" s="9"/>
      <c r="Q4" s="9"/>
      <c r="R4" s="9"/>
      <c r="S4" s="9"/>
      <c r="T4" s="9"/>
      <c r="U4" s="9"/>
      <c r="V4" s="9"/>
    </row>
    <row r="5" spans="2:22" x14ac:dyDescent="0.3">
      <c r="B5" s="7">
        <v>45750</v>
      </c>
      <c r="C5" s="8" t="s">
        <v>31</v>
      </c>
      <c r="D5" s="9">
        <v>1505</v>
      </c>
      <c r="E5" s="9">
        <f t="shared" si="1"/>
        <v>1297.31</v>
      </c>
      <c r="F5" s="9">
        <f t="shared" si="2"/>
        <v>-26</v>
      </c>
      <c r="G5" s="9">
        <f t="shared" si="3"/>
        <v>0</v>
      </c>
      <c r="H5" s="9">
        <f t="shared" si="4"/>
        <v>234</v>
      </c>
      <c r="I5" s="9">
        <f>VLOOKUP(C5,[1]working!$M:$U,9,0)</f>
        <v>1530.69</v>
      </c>
      <c r="J5" s="9">
        <f t="shared" si="5"/>
        <v>-233.38000000000011</v>
      </c>
      <c r="K5" s="9" t="s">
        <v>118</v>
      </c>
      <c r="L5" s="9">
        <v>1297</v>
      </c>
      <c r="M5" s="9">
        <v>233.69</v>
      </c>
      <c r="N5" s="9">
        <v>-26</v>
      </c>
      <c r="O5" s="9">
        <v>0.31</v>
      </c>
      <c r="P5" s="9"/>
      <c r="Q5" s="9"/>
      <c r="R5" s="9"/>
      <c r="S5" s="9"/>
      <c r="T5" s="9"/>
      <c r="U5" s="9"/>
      <c r="V5" s="9"/>
    </row>
    <row r="6" spans="2:22" x14ac:dyDescent="0.3">
      <c r="B6" s="7">
        <v>45750</v>
      </c>
      <c r="C6" s="8" t="s">
        <v>32</v>
      </c>
      <c r="D6" s="9">
        <v>1611</v>
      </c>
      <c r="E6" s="9">
        <f t="shared" si="1"/>
        <v>1388.65</v>
      </c>
      <c r="F6" s="9">
        <f t="shared" si="2"/>
        <v>-28</v>
      </c>
      <c r="G6" s="9">
        <f t="shared" si="3"/>
        <v>0</v>
      </c>
      <c r="H6" s="9">
        <f t="shared" si="4"/>
        <v>250</v>
      </c>
      <c r="I6" s="9">
        <f>VLOOKUP(C6,[1]working!$M:$U,9,0)</f>
        <v>1639.35</v>
      </c>
      <c r="J6" s="9">
        <f t="shared" si="5"/>
        <v>-250.69999999999982</v>
      </c>
      <c r="K6" s="9" t="s">
        <v>118</v>
      </c>
      <c r="L6" s="9">
        <v>1389</v>
      </c>
      <c r="M6" s="9">
        <v>250.35</v>
      </c>
      <c r="N6" s="9">
        <v>-28</v>
      </c>
      <c r="O6" s="9">
        <v>-0.35</v>
      </c>
      <c r="P6" s="9"/>
      <c r="Q6" s="9"/>
      <c r="R6" s="9"/>
      <c r="S6" s="9"/>
      <c r="T6" s="9"/>
      <c r="U6" s="9"/>
      <c r="V6" s="9"/>
    </row>
    <row r="7" spans="2:22" x14ac:dyDescent="0.3">
      <c r="B7" s="7">
        <v>45751</v>
      </c>
      <c r="C7" s="8" t="s">
        <v>33</v>
      </c>
      <c r="D7" s="9">
        <v>45624</v>
      </c>
      <c r="E7" s="9">
        <f t="shared" si="1"/>
        <v>42244.07</v>
      </c>
      <c r="F7" s="9">
        <f t="shared" si="2"/>
        <v>-4224</v>
      </c>
      <c r="G7" s="9">
        <f t="shared" si="3"/>
        <v>0</v>
      </c>
      <c r="H7" s="9">
        <f t="shared" si="4"/>
        <v>7604</v>
      </c>
      <c r="I7" s="9">
        <f>VLOOKUP(C7,[1]working!$M:$U,9,0)</f>
        <v>49847.93</v>
      </c>
      <c r="J7" s="9">
        <f t="shared" si="5"/>
        <v>-7603.8600000000006</v>
      </c>
      <c r="K7" s="9" t="s">
        <v>118</v>
      </c>
      <c r="L7" s="9"/>
      <c r="M7" s="9">
        <v>7603.93</v>
      </c>
      <c r="N7" s="9"/>
      <c r="O7" s="9">
        <v>7.0000000000000007E-2</v>
      </c>
      <c r="P7" s="9">
        <v>42244</v>
      </c>
      <c r="Q7" s="9">
        <v>-4224</v>
      </c>
      <c r="R7" s="9"/>
      <c r="S7" s="9"/>
      <c r="T7" s="9"/>
      <c r="U7" s="9"/>
      <c r="V7" s="9"/>
    </row>
    <row r="8" spans="2:22" x14ac:dyDescent="0.3">
      <c r="B8" s="7">
        <v>45751</v>
      </c>
      <c r="C8" s="8" t="s">
        <v>34</v>
      </c>
      <c r="D8" s="9">
        <v>46468</v>
      </c>
      <c r="E8" s="9">
        <f t="shared" si="1"/>
        <v>43025.96</v>
      </c>
      <c r="F8" s="9">
        <f t="shared" si="2"/>
        <v>-4303</v>
      </c>
      <c r="G8" s="9">
        <f t="shared" si="3"/>
        <v>0</v>
      </c>
      <c r="H8" s="9">
        <f t="shared" si="4"/>
        <v>7745</v>
      </c>
      <c r="I8" s="9">
        <f>VLOOKUP(C8,[1]working!$M:$U,9,0)</f>
        <v>50771.040000000001</v>
      </c>
      <c r="J8" s="9">
        <f t="shared" si="5"/>
        <v>-7745.0800000000017</v>
      </c>
      <c r="K8" s="9" t="s">
        <v>118</v>
      </c>
      <c r="L8" s="9"/>
      <c r="M8" s="9">
        <v>7745.04</v>
      </c>
      <c r="N8" s="9"/>
      <c r="O8" s="9">
        <v>-0.04</v>
      </c>
      <c r="P8" s="9">
        <v>43026</v>
      </c>
      <c r="Q8" s="9">
        <v>-4303</v>
      </c>
      <c r="R8" s="9"/>
      <c r="S8" s="9"/>
      <c r="T8" s="9"/>
      <c r="U8" s="9"/>
      <c r="V8" s="9"/>
    </row>
    <row r="9" spans="2:22" x14ac:dyDescent="0.3">
      <c r="B9" s="7">
        <v>45751</v>
      </c>
      <c r="C9" s="8" t="s">
        <v>35</v>
      </c>
      <c r="D9" s="9">
        <v>27290</v>
      </c>
      <c r="E9" s="9">
        <f t="shared" si="1"/>
        <v>25268.21</v>
      </c>
      <c r="F9" s="9">
        <f t="shared" si="2"/>
        <v>-2527</v>
      </c>
      <c r="G9" s="9">
        <f t="shared" si="3"/>
        <v>0</v>
      </c>
      <c r="H9" s="9">
        <f t="shared" si="4"/>
        <v>4549</v>
      </c>
      <c r="I9" s="9">
        <f>VLOOKUP(C9,[1]working!$M:$U,9,0)</f>
        <v>29816.79</v>
      </c>
      <c r="J9" s="9">
        <f t="shared" si="5"/>
        <v>-4548.5800000000017</v>
      </c>
      <c r="K9" s="9" t="s">
        <v>118</v>
      </c>
      <c r="L9" s="9"/>
      <c r="M9" s="9">
        <v>4548.79</v>
      </c>
      <c r="N9" s="9"/>
      <c r="O9" s="9">
        <v>0.21</v>
      </c>
      <c r="P9" s="9">
        <v>25268</v>
      </c>
      <c r="Q9" s="9">
        <v>-2527</v>
      </c>
      <c r="R9" s="9"/>
      <c r="S9" s="9"/>
      <c r="T9" s="9"/>
      <c r="U9" s="9"/>
      <c r="V9" s="9"/>
    </row>
    <row r="10" spans="2:22" x14ac:dyDescent="0.3">
      <c r="B10" s="7">
        <v>45762</v>
      </c>
      <c r="C10" s="8" t="s">
        <v>36</v>
      </c>
      <c r="D10" s="9">
        <v>404</v>
      </c>
      <c r="E10" s="9">
        <f t="shared" si="1"/>
        <v>348.73</v>
      </c>
      <c r="F10" s="9">
        <f t="shared" si="2"/>
        <v>-7</v>
      </c>
      <c r="G10" s="9">
        <f t="shared" si="3"/>
        <v>0</v>
      </c>
      <c r="H10" s="9">
        <f t="shared" si="4"/>
        <v>63</v>
      </c>
      <c r="I10" s="9">
        <f>VLOOKUP(C10,[1]working!$M:$U,9,0)</f>
        <v>410.27</v>
      </c>
      <c r="J10" s="9">
        <f t="shared" si="5"/>
        <v>-61.539999999999964</v>
      </c>
      <c r="K10" s="9" t="s">
        <v>118</v>
      </c>
      <c r="L10" s="9">
        <v>348</v>
      </c>
      <c r="M10" s="9">
        <v>62.27</v>
      </c>
      <c r="N10" s="9">
        <v>-7</v>
      </c>
      <c r="O10" s="9">
        <v>0.73</v>
      </c>
      <c r="P10" s="9"/>
      <c r="Q10" s="9"/>
      <c r="R10" s="9"/>
      <c r="S10" s="9"/>
      <c r="T10" s="9"/>
      <c r="U10" s="9"/>
      <c r="V10" s="9"/>
    </row>
    <row r="11" spans="2:22" x14ac:dyDescent="0.3">
      <c r="B11" s="7">
        <v>45762</v>
      </c>
      <c r="C11" s="8" t="s">
        <v>37</v>
      </c>
      <c r="D11" s="9">
        <v>3327</v>
      </c>
      <c r="E11" s="9">
        <f t="shared" si="1"/>
        <v>2868.26</v>
      </c>
      <c r="F11" s="9">
        <f t="shared" si="2"/>
        <v>-58</v>
      </c>
      <c r="G11" s="9">
        <f t="shared" si="3"/>
        <v>0</v>
      </c>
      <c r="H11" s="9">
        <f t="shared" si="4"/>
        <v>517</v>
      </c>
      <c r="I11" s="9">
        <f>VLOOKUP(C11,[1]working!$M:$U,9,0)</f>
        <v>3384.74</v>
      </c>
      <c r="J11" s="9">
        <f t="shared" si="5"/>
        <v>-516.47999999999956</v>
      </c>
      <c r="K11" s="9" t="s">
        <v>118</v>
      </c>
      <c r="L11" s="9">
        <v>2868</v>
      </c>
      <c r="M11" s="9">
        <v>516.74</v>
      </c>
      <c r="N11" s="9">
        <v>-58</v>
      </c>
      <c r="O11" s="9">
        <v>0.26</v>
      </c>
      <c r="P11" s="9"/>
      <c r="Q11" s="9"/>
      <c r="R11" s="9"/>
      <c r="S11" s="9"/>
      <c r="T11" s="9"/>
      <c r="U11" s="9"/>
      <c r="V11" s="9"/>
    </row>
    <row r="12" spans="2:22" x14ac:dyDescent="0.3">
      <c r="B12" s="7">
        <v>45762</v>
      </c>
      <c r="C12" s="8" t="s">
        <v>38</v>
      </c>
      <c r="D12" s="9">
        <v>2413</v>
      </c>
      <c r="E12" s="9">
        <f t="shared" si="1"/>
        <v>2080.9</v>
      </c>
      <c r="F12" s="9">
        <f t="shared" si="2"/>
        <v>-42</v>
      </c>
      <c r="G12" s="9">
        <f t="shared" si="3"/>
        <v>0</v>
      </c>
      <c r="H12" s="9">
        <f t="shared" si="4"/>
        <v>374</v>
      </c>
      <c r="I12" s="9">
        <f>VLOOKUP(C12,[1]working!$M:$U,9,0)</f>
        <v>2455.1</v>
      </c>
      <c r="J12" s="9">
        <f t="shared" si="5"/>
        <v>-374.19999999999982</v>
      </c>
      <c r="K12" s="9" t="s">
        <v>118</v>
      </c>
      <c r="L12" s="9">
        <v>2081</v>
      </c>
      <c r="M12" s="9">
        <v>374.1</v>
      </c>
      <c r="N12" s="9">
        <v>-42</v>
      </c>
      <c r="O12" s="9">
        <v>-0.1</v>
      </c>
      <c r="P12" s="9"/>
      <c r="Q12" s="9"/>
      <c r="R12" s="9"/>
      <c r="S12" s="9"/>
      <c r="T12" s="9"/>
      <c r="U12" s="9"/>
      <c r="V12" s="9"/>
    </row>
    <row r="13" spans="2:22" x14ac:dyDescent="0.3">
      <c r="B13" s="7">
        <v>45762</v>
      </c>
      <c r="C13" s="8" t="s">
        <v>39</v>
      </c>
      <c r="D13" s="9">
        <v>1008</v>
      </c>
      <c r="E13" s="9">
        <f t="shared" si="1"/>
        <v>868.32</v>
      </c>
      <c r="F13" s="9">
        <f t="shared" si="2"/>
        <v>-17</v>
      </c>
      <c r="G13" s="9">
        <f t="shared" si="3"/>
        <v>0</v>
      </c>
      <c r="H13" s="9">
        <f t="shared" si="4"/>
        <v>156</v>
      </c>
      <c r="I13" s="9">
        <f>VLOOKUP(C13,[1]working!$M:$U,9,0)</f>
        <v>1025.68</v>
      </c>
      <c r="J13" s="9">
        <f t="shared" si="5"/>
        <v>-157.36000000000001</v>
      </c>
      <c r="K13" s="9" t="s">
        <v>118</v>
      </c>
      <c r="L13" s="9">
        <v>869</v>
      </c>
      <c r="M13" s="9">
        <v>156.68</v>
      </c>
      <c r="N13" s="9">
        <v>-17</v>
      </c>
      <c r="O13" s="9">
        <v>-0.68</v>
      </c>
      <c r="P13" s="9"/>
      <c r="Q13" s="9"/>
      <c r="R13" s="9"/>
      <c r="S13" s="9"/>
      <c r="T13" s="9"/>
      <c r="U13" s="9"/>
      <c r="V13" s="9"/>
    </row>
    <row r="14" spans="2:22" x14ac:dyDescent="0.3">
      <c r="B14" s="7">
        <v>45762</v>
      </c>
      <c r="C14" s="8" t="s">
        <v>40</v>
      </c>
      <c r="D14" s="9">
        <v>1614</v>
      </c>
      <c r="E14" s="9">
        <f t="shared" si="1"/>
        <v>1391.92</v>
      </c>
      <c r="F14" s="9">
        <f t="shared" si="2"/>
        <v>-28</v>
      </c>
      <c r="G14" s="9">
        <f t="shared" si="3"/>
        <v>0</v>
      </c>
      <c r="H14" s="9">
        <f t="shared" si="4"/>
        <v>251</v>
      </c>
      <c r="I14" s="9">
        <f>VLOOKUP(C14,[1]working!$M:$U,9,0)</f>
        <v>1641.08</v>
      </c>
      <c r="J14" s="9">
        <f t="shared" si="5"/>
        <v>-249.15999999999985</v>
      </c>
      <c r="K14" s="9" t="s">
        <v>118</v>
      </c>
      <c r="L14" s="9">
        <v>1391</v>
      </c>
      <c r="M14" s="9">
        <v>250.08</v>
      </c>
      <c r="N14" s="9">
        <v>-28</v>
      </c>
      <c r="O14" s="9">
        <v>0.92</v>
      </c>
      <c r="P14" s="9"/>
      <c r="Q14" s="9"/>
      <c r="R14" s="9"/>
      <c r="S14" s="9"/>
      <c r="T14" s="9"/>
      <c r="U14" s="9"/>
      <c r="V14" s="9"/>
    </row>
    <row r="15" spans="2:22" x14ac:dyDescent="0.3">
      <c r="B15" s="7">
        <v>45762</v>
      </c>
      <c r="C15" s="8" t="s">
        <v>41</v>
      </c>
      <c r="D15" s="9">
        <v>3630</v>
      </c>
      <c r="E15" s="9">
        <f t="shared" si="1"/>
        <v>3129.56</v>
      </c>
      <c r="F15" s="9">
        <f t="shared" si="2"/>
        <v>-63</v>
      </c>
      <c r="G15" s="9">
        <f t="shared" si="3"/>
        <v>0</v>
      </c>
      <c r="H15" s="9">
        <f t="shared" si="4"/>
        <v>564</v>
      </c>
      <c r="I15" s="9">
        <f>VLOOKUP(C15,[1]working!$M:$U,9,0)</f>
        <v>3692.44</v>
      </c>
      <c r="J15" s="9">
        <f t="shared" si="5"/>
        <v>-562.88000000000011</v>
      </c>
      <c r="K15" s="9" t="s">
        <v>118</v>
      </c>
      <c r="L15" s="9">
        <v>3129</v>
      </c>
      <c r="M15" s="9">
        <v>563.44000000000005</v>
      </c>
      <c r="N15" s="9">
        <v>-63</v>
      </c>
      <c r="O15" s="9">
        <v>0.56000000000000005</v>
      </c>
      <c r="P15" s="9"/>
      <c r="Q15" s="9"/>
      <c r="R15" s="9"/>
      <c r="S15" s="9"/>
      <c r="T15" s="9"/>
      <c r="U15" s="9"/>
      <c r="V15" s="9"/>
    </row>
    <row r="16" spans="2:22" x14ac:dyDescent="0.3">
      <c r="B16" s="7">
        <v>45762</v>
      </c>
      <c r="C16" s="8" t="s">
        <v>42</v>
      </c>
      <c r="D16" s="9">
        <v>545</v>
      </c>
      <c r="E16" s="9">
        <f t="shared" si="1"/>
        <v>461.92</v>
      </c>
      <c r="F16" s="9">
        <f t="shared" si="2"/>
        <v>0</v>
      </c>
      <c r="G16" s="9">
        <f t="shared" si="3"/>
        <v>0</v>
      </c>
      <c r="H16" s="9">
        <f t="shared" si="4"/>
        <v>83.45</v>
      </c>
      <c r="I16" s="9">
        <f>VLOOKUP(C16,[1]working!$M:$U,9,0)</f>
        <v>545</v>
      </c>
      <c r="J16" s="9">
        <f t="shared" si="5"/>
        <v>-83.079999999999984</v>
      </c>
      <c r="K16" s="9" t="s">
        <v>118</v>
      </c>
      <c r="L16" s="9">
        <f>345.98+115.57</f>
        <v>461.55</v>
      </c>
      <c r="M16" s="9">
        <v>83.08</v>
      </c>
      <c r="N16" s="9"/>
      <c r="O16" s="9">
        <v>0.37</v>
      </c>
      <c r="P16" s="9"/>
      <c r="Q16" s="9"/>
      <c r="R16" s="9"/>
      <c r="S16" s="9"/>
      <c r="T16" s="9"/>
      <c r="U16" s="9"/>
      <c r="V16" s="9"/>
    </row>
    <row r="17" spans="2:22" x14ac:dyDescent="0.3">
      <c r="B17" s="7">
        <v>45762</v>
      </c>
      <c r="C17" s="8" t="s">
        <v>43</v>
      </c>
      <c r="D17" s="9">
        <v>1255</v>
      </c>
      <c r="E17" s="9">
        <f t="shared" si="1"/>
        <v>1063.49</v>
      </c>
      <c r="F17" s="9">
        <f t="shared" si="2"/>
        <v>0</v>
      </c>
      <c r="G17" s="9">
        <f t="shared" si="3"/>
        <v>0</v>
      </c>
      <c r="H17" s="9">
        <f t="shared" si="4"/>
        <v>191.09</v>
      </c>
      <c r="I17" s="9">
        <f>VLOOKUP(C17,[1]working!$M:$U,9,0)</f>
        <v>1255.1500000000001</v>
      </c>
      <c r="J17" s="9">
        <f t="shared" si="5"/>
        <v>-191.66000000000008</v>
      </c>
      <c r="K17" s="9" t="s">
        <v>118</v>
      </c>
      <c r="L17" s="9">
        <f>797.94+265.97</f>
        <v>1063.9100000000001</v>
      </c>
      <c r="M17" s="9">
        <v>191.51</v>
      </c>
      <c r="N17" s="9"/>
      <c r="O17" s="9">
        <v>-0.42</v>
      </c>
      <c r="P17" s="9"/>
      <c r="Q17" s="9"/>
      <c r="R17" s="9"/>
      <c r="S17" s="9"/>
      <c r="T17" s="9"/>
      <c r="U17" s="9"/>
      <c r="V17" s="9"/>
    </row>
    <row r="18" spans="2:22" x14ac:dyDescent="0.3">
      <c r="B18" s="7">
        <v>45762</v>
      </c>
      <c r="C18" s="8" t="s">
        <v>44</v>
      </c>
      <c r="D18" s="9">
        <v>1335</v>
      </c>
      <c r="E18" s="9">
        <f t="shared" si="1"/>
        <v>1131.29</v>
      </c>
      <c r="F18" s="9">
        <f t="shared" si="2"/>
        <v>0</v>
      </c>
      <c r="G18" s="9">
        <f t="shared" si="3"/>
        <v>0</v>
      </c>
      <c r="H18" s="9">
        <f t="shared" si="4"/>
        <v>203.29000000000002</v>
      </c>
      <c r="I18" s="9">
        <f>VLOOKUP(C18,[1]working!$M:$U,9,0)</f>
        <v>1335.12</v>
      </c>
      <c r="J18" s="9">
        <f t="shared" si="5"/>
        <v>-203.82999999999993</v>
      </c>
      <c r="K18" s="9" t="s">
        <v>118</v>
      </c>
      <c r="L18" s="9">
        <f>1043.04+88.67</f>
        <v>1131.71</v>
      </c>
      <c r="M18" s="9">
        <v>203.71</v>
      </c>
      <c r="N18" s="9"/>
      <c r="O18" s="9">
        <v>-0.42</v>
      </c>
      <c r="P18" s="9"/>
      <c r="Q18" s="9"/>
      <c r="R18" s="9"/>
      <c r="S18" s="9"/>
      <c r="T18" s="9"/>
      <c r="U18" s="9"/>
      <c r="V18" s="9"/>
    </row>
    <row r="19" spans="2:22" x14ac:dyDescent="0.3">
      <c r="B19" s="7">
        <v>45762</v>
      </c>
      <c r="C19" s="8" t="s">
        <v>45</v>
      </c>
      <c r="D19" s="9">
        <v>30601</v>
      </c>
      <c r="E19" s="9">
        <f t="shared" si="1"/>
        <v>25933.3</v>
      </c>
      <c r="F19" s="9">
        <f t="shared" si="2"/>
        <v>0</v>
      </c>
      <c r="G19" s="9">
        <f t="shared" si="3"/>
        <v>0</v>
      </c>
      <c r="H19" s="9">
        <f t="shared" si="4"/>
        <v>4667.87</v>
      </c>
      <c r="I19" s="9" t="e">
        <f>VLOOKUP(C19,[1]working!$M:$U,9,0)</f>
        <v>#N/A</v>
      </c>
      <c r="J19" s="9" t="e">
        <f>E19-I19</f>
        <v>#N/A</v>
      </c>
      <c r="K19" s="9" t="s">
        <v>117</v>
      </c>
      <c r="L19" s="9"/>
      <c r="M19" s="9">
        <v>4667.7</v>
      </c>
      <c r="N19" s="9"/>
      <c r="O19" s="9">
        <v>0.17</v>
      </c>
      <c r="P19" s="9">
        <v>25933.13</v>
      </c>
      <c r="Q19" s="9"/>
      <c r="R19" s="9"/>
      <c r="S19" s="9"/>
      <c r="T19" s="9"/>
      <c r="U19" s="9"/>
      <c r="V19" s="9"/>
    </row>
    <row r="20" spans="2:22" x14ac:dyDescent="0.3">
      <c r="B20" s="7">
        <v>45762</v>
      </c>
      <c r="C20" s="8" t="s">
        <v>46</v>
      </c>
      <c r="D20" s="9">
        <v>821</v>
      </c>
      <c r="E20" s="9">
        <f t="shared" si="1"/>
        <v>695.84</v>
      </c>
      <c r="F20" s="9">
        <f t="shared" si="2"/>
        <v>0</v>
      </c>
      <c r="G20" s="9">
        <f t="shared" si="3"/>
        <v>0</v>
      </c>
      <c r="H20" s="9">
        <f t="shared" si="4"/>
        <v>126</v>
      </c>
      <c r="I20" s="9" t="e">
        <f>VLOOKUP(C20,[1]working!$M:$U,9,0)</f>
        <v>#N/A</v>
      </c>
      <c r="J20" s="9" t="e">
        <f t="shared" ref="J20:J25" si="6">E20-I20</f>
        <v>#N/A</v>
      </c>
      <c r="K20" s="9" t="s">
        <v>117</v>
      </c>
      <c r="L20" s="9">
        <v>695</v>
      </c>
      <c r="M20" s="9">
        <v>125.16</v>
      </c>
      <c r="N20" s="9"/>
      <c r="O20" s="9">
        <v>0.84</v>
      </c>
      <c r="P20" s="9"/>
      <c r="Q20" s="9"/>
      <c r="R20" s="9"/>
      <c r="S20" s="9"/>
      <c r="T20" s="9"/>
      <c r="U20" s="9"/>
      <c r="V20" s="9"/>
    </row>
    <row r="21" spans="2:22" x14ac:dyDescent="0.3">
      <c r="B21" s="7">
        <v>45763</v>
      </c>
      <c r="C21" s="8" t="s">
        <v>47</v>
      </c>
      <c r="D21" s="9">
        <v>5009</v>
      </c>
      <c r="E21" s="9">
        <f t="shared" si="1"/>
        <v>4317.6400000000003</v>
      </c>
      <c r="F21" s="9">
        <f t="shared" si="2"/>
        <v>-86</v>
      </c>
      <c r="G21" s="9">
        <f t="shared" si="3"/>
        <v>0</v>
      </c>
      <c r="H21" s="9">
        <f t="shared" si="4"/>
        <v>777</v>
      </c>
      <c r="I21" s="9">
        <f>VLOOKUP(C21,[1]working!$M:$U,9,0)</f>
        <v>5095.3599999999997</v>
      </c>
      <c r="J21" s="9">
        <f t="shared" si="6"/>
        <v>-777.71999999999935</v>
      </c>
      <c r="K21" s="9" t="s">
        <v>118</v>
      </c>
      <c r="L21" s="9">
        <v>4318</v>
      </c>
      <c r="M21" s="9">
        <v>777.36</v>
      </c>
      <c r="N21" s="9">
        <v>-86</v>
      </c>
      <c r="O21" s="9">
        <v>-0.36</v>
      </c>
      <c r="P21" s="9"/>
      <c r="Q21" s="9"/>
      <c r="R21" s="9"/>
      <c r="S21" s="9"/>
      <c r="T21" s="9"/>
      <c r="U21" s="9"/>
      <c r="V21" s="9"/>
    </row>
    <row r="22" spans="2:22" x14ac:dyDescent="0.3">
      <c r="B22" s="7">
        <v>45763</v>
      </c>
      <c r="C22" s="8" t="s">
        <v>48</v>
      </c>
      <c r="D22" s="9">
        <v>12099</v>
      </c>
      <c r="E22" s="9">
        <f t="shared" si="1"/>
        <v>10430.9</v>
      </c>
      <c r="F22" s="9">
        <f t="shared" si="2"/>
        <v>-209</v>
      </c>
      <c r="G22" s="9">
        <f t="shared" si="3"/>
        <v>0</v>
      </c>
      <c r="H22" s="9">
        <f t="shared" si="4"/>
        <v>1877</v>
      </c>
      <c r="I22" s="9">
        <f>VLOOKUP(C22,[1]working!$M:$U,9,0)</f>
        <v>12308.13</v>
      </c>
      <c r="J22" s="9">
        <f t="shared" si="6"/>
        <v>-1877.2299999999996</v>
      </c>
      <c r="K22" s="9" t="s">
        <v>118</v>
      </c>
      <c r="L22" s="9">
        <v>10431</v>
      </c>
      <c r="M22" s="9">
        <v>1877.1</v>
      </c>
      <c r="N22" s="9">
        <v>-209</v>
      </c>
      <c r="O22" s="9">
        <v>-0.1</v>
      </c>
      <c r="P22" s="9"/>
      <c r="Q22" s="9"/>
      <c r="R22" s="9"/>
      <c r="S22" s="9"/>
      <c r="T22" s="9"/>
      <c r="U22" s="9"/>
      <c r="V22" s="9"/>
    </row>
    <row r="23" spans="2:22" x14ac:dyDescent="0.3">
      <c r="B23" s="7">
        <v>45763</v>
      </c>
      <c r="C23" s="8" t="s">
        <v>49</v>
      </c>
      <c r="D23" s="9">
        <v>762</v>
      </c>
      <c r="E23" s="9">
        <f t="shared" si="1"/>
        <v>656.72</v>
      </c>
      <c r="F23" s="9">
        <f t="shared" si="2"/>
        <v>-13</v>
      </c>
      <c r="G23" s="9">
        <f t="shared" si="3"/>
        <v>0</v>
      </c>
      <c r="H23" s="9">
        <f t="shared" si="4"/>
        <v>118</v>
      </c>
      <c r="I23" s="9">
        <f>VLOOKUP(C23,[1]working!$M:$U,9,0)</f>
        <v>775.34</v>
      </c>
      <c r="J23" s="9">
        <f t="shared" si="6"/>
        <v>-118.62</v>
      </c>
      <c r="K23" s="9" t="s">
        <v>118</v>
      </c>
      <c r="L23" s="9">
        <v>657</v>
      </c>
      <c r="M23" s="9">
        <v>118.28</v>
      </c>
      <c r="N23" s="9">
        <v>-13</v>
      </c>
      <c r="O23" s="9">
        <v>-0.28000000000000003</v>
      </c>
      <c r="P23" s="9"/>
      <c r="Q23" s="9"/>
      <c r="R23" s="9"/>
      <c r="S23" s="9"/>
      <c r="T23" s="9"/>
      <c r="U23" s="9"/>
      <c r="V23" s="9"/>
    </row>
    <row r="24" spans="2:22" x14ac:dyDescent="0.3">
      <c r="B24" s="7">
        <v>45763</v>
      </c>
      <c r="C24" s="8" t="s">
        <v>50</v>
      </c>
      <c r="D24" s="9">
        <v>30880</v>
      </c>
      <c r="E24" s="9">
        <f t="shared" si="1"/>
        <v>28592.43</v>
      </c>
      <c r="F24" s="9">
        <f t="shared" si="2"/>
        <v>-2859</v>
      </c>
      <c r="G24" s="9">
        <f t="shared" si="3"/>
        <v>0</v>
      </c>
      <c r="H24" s="9">
        <f t="shared" si="4"/>
        <v>5146</v>
      </c>
      <c r="I24" s="9">
        <f>VLOOKUP(C24,[1]working!$M:$U,9,0)</f>
        <v>33739.57</v>
      </c>
      <c r="J24" s="9">
        <f t="shared" si="6"/>
        <v>-5147.1399999999994</v>
      </c>
      <c r="K24" s="9" t="s">
        <v>118</v>
      </c>
      <c r="L24" s="9"/>
      <c r="M24" s="9">
        <v>5146.57</v>
      </c>
      <c r="N24" s="9"/>
      <c r="O24" s="9">
        <v>-0.56999999999999995</v>
      </c>
      <c r="P24" s="9">
        <v>28593</v>
      </c>
      <c r="Q24" s="9">
        <v>-2859</v>
      </c>
      <c r="R24" s="9"/>
      <c r="S24" s="9"/>
      <c r="T24" s="9"/>
      <c r="U24" s="9"/>
      <c r="V24" s="9"/>
    </row>
    <row r="25" spans="2:22" x14ac:dyDescent="0.3">
      <c r="B25" s="7">
        <v>45763</v>
      </c>
      <c r="C25" s="8" t="s">
        <v>51</v>
      </c>
      <c r="D25" s="9">
        <v>3415</v>
      </c>
      <c r="E25" s="9">
        <f t="shared" si="1"/>
        <v>2943.73</v>
      </c>
      <c r="F25" s="9">
        <f t="shared" si="2"/>
        <v>-59</v>
      </c>
      <c r="G25" s="9">
        <f t="shared" si="3"/>
        <v>0</v>
      </c>
      <c r="H25" s="9">
        <f t="shared" si="4"/>
        <v>530</v>
      </c>
      <c r="I25" s="9">
        <f>VLOOKUP(C25,[1]working!$M:$U,9,0)</f>
        <v>3474.27</v>
      </c>
      <c r="J25" s="9">
        <f t="shared" si="6"/>
        <v>-530.54</v>
      </c>
      <c r="K25" s="9" t="s">
        <v>118</v>
      </c>
      <c r="L25" s="9">
        <v>2944</v>
      </c>
      <c r="M25" s="9">
        <v>530.27</v>
      </c>
      <c r="N25" s="9">
        <v>-59</v>
      </c>
      <c r="O25" s="9">
        <v>-0.27</v>
      </c>
      <c r="P25" s="9"/>
      <c r="Q25" s="9"/>
      <c r="R25" s="9"/>
      <c r="S25" s="9"/>
      <c r="T25" s="9"/>
      <c r="U25" s="9"/>
      <c r="V25" s="9"/>
    </row>
    <row r="26" spans="2:22" x14ac:dyDescent="0.3">
      <c r="B26" s="7">
        <v>45763</v>
      </c>
      <c r="C26" s="8" t="s">
        <v>52</v>
      </c>
      <c r="D26" s="9">
        <v>30453.71</v>
      </c>
      <c r="E26" s="9">
        <f t="shared" si="1"/>
        <v>25808.01</v>
      </c>
      <c r="F26" s="9">
        <f t="shared" si="2"/>
        <v>0</v>
      </c>
      <c r="G26" s="9">
        <f t="shared" si="3"/>
        <v>0</v>
      </c>
      <c r="H26" s="9">
        <f t="shared" si="4"/>
        <v>4645.7</v>
      </c>
      <c r="I26" s="9" t="e">
        <f>VLOOKUP(C26,[1]working!$M:$U,9,0)</f>
        <v>#N/A</v>
      </c>
      <c r="J26" s="9" t="e">
        <f t="shared" ref="J26:J34" si="7">E26-I26</f>
        <v>#N/A</v>
      </c>
      <c r="K26" s="9" t="s">
        <v>117</v>
      </c>
      <c r="L26" s="9"/>
      <c r="M26" s="9">
        <v>4645.7</v>
      </c>
      <c r="N26" s="9"/>
      <c r="O26" s="9"/>
      <c r="P26" s="9">
        <v>25808.01</v>
      </c>
      <c r="Q26" s="9"/>
      <c r="R26" s="9"/>
      <c r="S26" s="9"/>
      <c r="T26" s="9"/>
      <c r="U26" s="9"/>
      <c r="V26" s="9"/>
    </row>
    <row r="27" spans="2:22" x14ac:dyDescent="0.3">
      <c r="B27" s="7">
        <v>45764</v>
      </c>
      <c r="C27" s="8" t="s">
        <v>53</v>
      </c>
      <c r="D27" s="9">
        <v>3956.97</v>
      </c>
      <c r="E27" s="9">
        <f t="shared" si="1"/>
        <v>0</v>
      </c>
      <c r="F27" s="9">
        <f t="shared" si="2"/>
        <v>0</v>
      </c>
      <c r="G27" s="9">
        <f t="shared" si="3"/>
        <v>0</v>
      </c>
      <c r="H27" s="9">
        <f t="shared" si="4"/>
        <v>603.61</v>
      </c>
      <c r="I27" s="9" t="e">
        <f>VLOOKUP(C27,[1]working!$M:$U,9,0)</f>
        <v>#N/A</v>
      </c>
      <c r="J27" s="9" t="e">
        <f t="shared" si="7"/>
        <v>#N/A</v>
      </c>
      <c r="K27" s="9" t="s">
        <v>117</v>
      </c>
      <c r="L27" s="9"/>
      <c r="M27" s="9">
        <v>603.61</v>
      </c>
      <c r="N27" s="9"/>
      <c r="O27" s="9"/>
      <c r="P27" s="9"/>
      <c r="Q27" s="9"/>
      <c r="R27" s="9"/>
      <c r="S27" s="9"/>
      <c r="T27" s="9"/>
      <c r="U27" s="9"/>
      <c r="V27" s="9"/>
    </row>
    <row r="28" spans="2:22" x14ac:dyDescent="0.3">
      <c r="B28" s="7">
        <v>45767</v>
      </c>
      <c r="C28" s="8" t="s">
        <v>54</v>
      </c>
      <c r="D28" s="9">
        <v>2840.9</v>
      </c>
      <c r="E28" s="9">
        <f t="shared" si="1"/>
        <v>1805.66</v>
      </c>
      <c r="F28" s="9">
        <f t="shared" si="2"/>
        <v>0</v>
      </c>
      <c r="G28" s="9">
        <f t="shared" si="3"/>
        <v>0</v>
      </c>
      <c r="H28" s="9">
        <f t="shared" si="4"/>
        <v>433.35</v>
      </c>
      <c r="I28" s="9" t="e">
        <f>VLOOKUP(C28,[1]working!$M:$U,9,0)</f>
        <v>#N/A</v>
      </c>
      <c r="J28" s="9" t="e">
        <f t="shared" si="7"/>
        <v>#N/A</v>
      </c>
      <c r="K28" s="9" t="s">
        <v>117</v>
      </c>
      <c r="L28" s="9">
        <v>1805.66</v>
      </c>
      <c r="M28" s="9">
        <v>433.35</v>
      </c>
      <c r="N28" s="9"/>
      <c r="O28" s="9"/>
      <c r="P28" s="9"/>
      <c r="Q28" s="9"/>
      <c r="R28" s="9"/>
      <c r="S28" s="9"/>
      <c r="T28" s="9"/>
      <c r="U28" s="9"/>
      <c r="V28" s="9"/>
    </row>
    <row r="29" spans="2:22" x14ac:dyDescent="0.3">
      <c r="B29" s="7">
        <v>45768</v>
      </c>
      <c r="C29" s="8" t="s">
        <v>55</v>
      </c>
      <c r="D29" s="9">
        <v>21164</v>
      </c>
      <c r="E29" s="9">
        <f t="shared" si="1"/>
        <v>19596.189999999999</v>
      </c>
      <c r="F29" s="9">
        <f t="shared" si="2"/>
        <v>-1960</v>
      </c>
      <c r="G29" s="9">
        <f t="shared" si="3"/>
        <v>0</v>
      </c>
      <c r="H29" s="9">
        <f t="shared" si="4"/>
        <v>3528</v>
      </c>
      <c r="I29" s="9">
        <f>VLOOKUP(C29,[1]working!$M:$U,9,0)</f>
        <v>23123.81</v>
      </c>
      <c r="J29" s="9">
        <f t="shared" si="7"/>
        <v>-3527.6200000000026</v>
      </c>
      <c r="K29" s="9" t="s">
        <v>118</v>
      </c>
      <c r="L29" s="9"/>
      <c r="M29" s="9">
        <v>3527.81</v>
      </c>
      <c r="N29" s="9"/>
      <c r="O29" s="9">
        <v>0.19</v>
      </c>
      <c r="P29" s="9">
        <v>19596</v>
      </c>
      <c r="Q29" s="9">
        <v>-1960</v>
      </c>
      <c r="R29" s="9"/>
      <c r="S29" s="9"/>
      <c r="T29" s="9"/>
      <c r="U29" s="9"/>
      <c r="V29" s="9"/>
    </row>
    <row r="30" spans="2:22" x14ac:dyDescent="0.3">
      <c r="B30" s="7">
        <v>45768</v>
      </c>
      <c r="C30" s="8" t="s">
        <v>56</v>
      </c>
      <c r="D30" s="9">
        <v>24646</v>
      </c>
      <c r="E30" s="9">
        <f t="shared" si="1"/>
        <v>20886.280000000002</v>
      </c>
      <c r="F30" s="9">
        <f t="shared" si="2"/>
        <v>0</v>
      </c>
      <c r="G30" s="9">
        <f t="shared" si="3"/>
        <v>0</v>
      </c>
      <c r="H30" s="9">
        <f t="shared" si="4"/>
        <v>3758.6899999999996</v>
      </c>
      <c r="I30" s="9">
        <f>VLOOKUP(C30,[1]working!$M:$U,9,0)</f>
        <v>24646.68</v>
      </c>
      <c r="J30" s="9">
        <f t="shared" si="7"/>
        <v>-3760.3999999999978</v>
      </c>
      <c r="K30" s="9" t="s">
        <v>118</v>
      </c>
      <c r="L30" s="9"/>
      <c r="M30" s="9">
        <v>3759.72</v>
      </c>
      <c r="N30" s="9"/>
      <c r="O30" s="9">
        <v>-1.03</v>
      </c>
      <c r="P30" s="9">
        <v>20887.310000000001</v>
      </c>
      <c r="Q30" s="9"/>
      <c r="R30" s="9"/>
      <c r="S30" s="9"/>
      <c r="T30" s="9"/>
      <c r="U30" s="9"/>
      <c r="V30" s="9"/>
    </row>
    <row r="31" spans="2:22" x14ac:dyDescent="0.3">
      <c r="B31" s="7">
        <v>45769</v>
      </c>
      <c r="C31" s="8" t="s">
        <v>57</v>
      </c>
      <c r="D31" s="9">
        <v>3134</v>
      </c>
      <c r="E31" s="9">
        <f t="shared" si="1"/>
        <v>2700.58</v>
      </c>
      <c r="F31" s="9">
        <f t="shared" si="2"/>
        <v>-53</v>
      </c>
      <c r="G31" s="9">
        <f t="shared" si="3"/>
        <v>0</v>
      </c>
      <c r="H31" s="9">
        <f t="shared" si="4"/>
        <v>486</v>
      </c>
      <c r="I31" s="9">
        <f>VLOOKUP(C31,[1]working!$M:$U,9,0)</f>
        <v>3187.42</v>
      </c>
      <c r="J31" s="9">
        <f t="shared" si="7"/>
        <v>-486.84000000000015</v>
      </c>
      <c r="K31" s="9" t="s">
        <v>118</v>
      </c>
      <c r="L31" s="9">
        <v>2701</v>
      </c>
      <c r="M31" s="9">
        <v>486.42</v>
      </c>
      <c r="N31" s="9">
        <v>-53</v>
      </c>
      <c r="O31" s="9">
        <v>-0.42</v>
      </c>
      <c r="P31" s="9"/>
      <c r="Q31" s="9"/>
      <c r="R31" s="9"/>
      <c r="S31" s="9"/>
      <c r="T31" s="9"/>
      <c r="U31" s="9"/>
      <c r="V31" s="9"/>
    </row>
    <row r="32" spans="2:22" x14ac:dyDescent="0.3">
      <c r="B32" s="7">
        <v>45769</v>
      </c>
      <c r="C32" s="8" t="s">
        <v>58</v>
      </c>
      <c r="D32" s="9">
        <v>3110</v>
      </c>
      <c r="E32" s="9">
        <f t="shared" si="1"/>
        <v>2681.05</v>
      </c>
      <c r="F32" s="9">
        <f t="shared" si="2"/>
        <v>-54</v>
      </c>
      <c r="G32" s="9">
        <f t="shared" si="3"/>
        <v>0</v>
      </c>
      <c r="H32" s="9">
        <f t="shared" si="4"/>
        <v>483</v>
      </c>
      <c r="I32" s="9">
        <f>VLOOKUP(C32,[1]working!$M:$U,9,0)</f>
        <v>3163.95</v>
      </c>
      <c r="J32" s="9">
        <f t="shared" si="7"/>
        <v>-482.89999999999964</v>
      </c>
      <c r="K32" s="9" t="s">
        <v>118</v>
      </c>
      <c r="L32" s="9">
        <v>2681</v>
      </c>
      <c r="M32" s="9">
        <v>482.95</v>
      </c>
      <c r="N32" s="9">
        <v>-54</v>
      </c>
      <c r="O32" s="9">
        <v>0.05</v>
      </c>
      <c r="P32" s="9"/>
      <c r="Q32" s="9"/>
      <c r="R32" s="9"/>
      <c r="S32" s="9"/>
      <c r="T32" s="9"/>
      <c r="U32" s="9"/>
      <c r="V32" s="9"/>
    </row>
    <row r="33" spans="2:22" x14ac:dyDescent="0.3">
      <c r="B33" s="7">
        <v>45770</v>
      </c>
      <c r="C33" s="8" t="s">
        <v>59</v>
      </c>
      <c r="D33" s="9">
        <v>807</v>
      </c>
      <c r="E33" s="9">
        <f t="shared" si="1"/>
        <v>694.46</v>
      </c>
      <c r="F33" s="9">
        <f t="shared" si="2"/>
        <v>-13</v>
      </c>
      <c r="G33" s="9">
        <f t="shared" si="3"/>
        <v>0</v>
      </c>
      <c r="H33" s="9">
        <f t="shared" si="4"/>
        <v>124</v>
      </c>
      <c r="I33" s="9">
        <f>VLOOKUP(C33,[1]working!$M:$U,9,0)</f>
        <v>820.54</v>
      </c>
      <c r="J33" s="9">
        <f t="shared" si="7"/>
        <v>-126.07999999999993</v>
      </c>
      <c r="K33" s="9" t="s">
        <v>118</v>
      </c>
      <c r="L33" s="9">
        <v>696</v>
      </c>
      <c r="M33" s="9">
        <v>125.54</v>
      </c>
      <c r="N33" s="9">
        <v>-13</v>
      </c>
      <c r="O33" s="9">
        <v>-1.54</v>
      </c>
      <c r="P33" s="9"/>
      <c r="Q33" s="9"/>
      <c r="R33" s="9"/>
      <c r="S33" s="9"/>
      <c r="T33" s="9"/>
      <c r="U33" s="9"/>
      <c r="V33" s="9"/>
    </row>
    <row r="34" spans="2:22" x14ac:dyDescent="0.3">
      <c r="B34" s="7">
        <v>45771</v>
      </c>
      <c r="C34" s="8" t="s">
        <v>60</v>
      </c>
      <c r="D34" s="9">
        <v>28008</v>
      </c>
      <c r="E34" s="9">
        <f t="shared" si="1"/>
        <v>25933.17</v>
      </c>
      <c r="F34" s="9">
        <f t="shared" si="2"/>
        <v>-2593</v>
      </c>
      <c r="G34" s="9">
        <f t="shared" si="3"/>
        <v>0</v>
      </c>
      <c r="H34" s="9">
        <f t="shared" si="4"/>
        <v>4668</v>
      </c>
      <c r="I34" s="9">
        <f>VLOOKUP(C34,[1]working!$M:$U,9,0)</f>
        <v>30600.83</v>
      </c>
      <c r="J34" s="9">
        <f t="shared" si="7"/>
        <v>-4667.6600000000035</v>
      </c>
      <c r="K34" s="9" t="s">
        <v>118</v>
      </c>
      <c r="L34" s="9"/>
      <c r="M34" s="9">
        <v>4667.83</v>
      </c>
      <c r="N34" s="9"/>
      <c r="O34" s="9">
        <v>0.17</v>
      </c>
      <c r="P34" s="9">
        <v>25933</v>
      </c>
      <c r="Q34" s="9">
        <v>-2593</v>
      </c>
      <c r="R34" s="9"/>
      <c r="S34" s="9"/>
      <c r="T34" s="9"/>
      <c r="U34" s="9"/>
      <c r="V34" s="9"/>
    </row>
    <row r="35" spans="2:22" x14ac:dyDescent="0.3">
      <c r="B35" s="7">
        <v>45777</v>
      </c>
      <c r="C35" s="8" t="s">
        <v>61</v>
      </c>
      <c r="D35" s="9">
        <v>149870</v>
      </c>
      <c r="E35" s="9">
        <f t="shared" si="1"/>
        <v>127008.37</v>
      </c>
      <c r="F35" s="9">
        <f t="shared" si="2"/>
        <v>0</v>
      </c>
      <c r="G35" s="9">
        <f t="shared" si="3"/>
        <v>0</v>
      </c>
      <c r="H35" s="9">
        <f t="shared" si="4"/>
        <v>22861</v>
      </c>
      <c r="I35" s="9" t="e">
        <f>VLOOKUP(C35,[1]working!$M:$U,9,0)</f>
        <v>#N/A</v>
      </c>
      <c r="J35" s="9" t="e">
        <f>E35-I35</f>
        <v>#N/A</v>
      </c>
      <c r="K35" s="9" t="s">
        <v>117</v>
      </c>
      <c r="L35" s="9"/>
      <c r="M35" s="9">
        <v>22861.63</v>
      </c>
      <c r="N35" s="9"/>
      <c r="O35" s="9">
        <v>-0.63</v>
      </c>
      <c r="P35" s="9"/>
      <c r="Q35" s="9"/>
      <c r="R35" s="9">
        <v>127009</v>
      </c>
      <c r="S35" s="9"/>
      <c r="T35" s="9"/>
      <c r="U35" s="9"/>
      <c r="V35" s="9"/>
    </row>
    <row r="36" spans="2:22" x14ac:dyDescent="0.3">
      <c r="B36" s="7">
        <v>45785</v>
      </c>
      <c r="C36" s="8" t="s">
        <v>62</v>
      </c>
      <c r="D36" s="9">
        <v>30454</v>
      </c>
      <c r="E36" s="9">
        <f t="shared" si="1"/>
        <v>25808.559999999998</v>
      </c>
      <c r="F36" s="9">
        <f t="shared" si="2"/>
        <v>0</v>
      </c>
      <c r="G36" s="9">
        <f t="shared" si="3"/>
        <v>0</v>
      </c>
      <c r="H36" s="9">
        <f t="shared" si="4"/>
        <v>4645.99</v>
      </c>
      <c r="I36" s="9">
        <f>VLOOKUP(C36,[1]working!$M:$U,9,0)</f>
        <v>30453.71</v>
      </c>
      <c r="J36" s="9">
        <f>E36-I36</f>
        <v>-4645.1500000000015</v>
      </c>
      <c r="K36" s="9" t="s">
        <v>118</v>
      </c>
      <c r="L36" s="9"/>
      <c r="M36" s="9">
        <v>4645.4399999999996</v>
      </c>
      <c r="N36" s="9"/>
      <c r="O36" s="9">
        <v>0.55000000000000004</v>
      </c>
      <c r="P36" s="9">
        <v>25808.01</v>
      </c>
      <c r="Q36" s="9"/>
      <c r="R36" s="9"/>
      <c r="S36" s="9"/>
      <c r="T36" s="9"/>
      <c r="U36" s="9"/>
      <c r="V36" s="9"/>
    </row>
    <row r="37" spans="2:22" x14ac:dyDescent="0.3">
      <c r="B37" s="7">
        <v>45792</v>
      </c>
      <c r="C37" s="8" t="s">
        <v>63</v>
      </c>
      <c r="D37" s="9">
        <v>811.68</v>
      </c>
      <c r="E37" s="9">
        <f t="shared" si="1"/>
        <v>515.9</v>
      </c>
      <c r="F37" s="9">
        <f t="shared" si="2"/>
        <v>0</v>
      </c>
      <c r="G37" s="9">
        <f t="shared" si="3"/>
        <v>0</v>
      </c>
      <c r="H37" s="9">
        <f t="shared" si="4"/>
        <v>123.81</v>
      </c>
      <c r="I37" s="9" t="e">
        <f>VLOOKUP(C37,[1]working!$M:$U,9,0)</f>
        <v>#N/A</v>
      </c>
      <c r="J37" s="9" t="e">
        <f>E37-I37</f>
        <v>#N/A</v>
      </c>
      <c r="K37" s="9" t="s">
        <v>117</v>
      </c>
      <c r="L37" s="9">
        <v>515.9</v>
      </c>
      <c r="M37" s="9">
        <v>123.81</v>
      </c>
      <c r="N37" s="9"/>
      <c r="O37" s="9"/>
      <c r="P37" s="9"/>
      <c r="Q37" s="9"/>
      <c r="R37" s="9"/>
      <c r="S37" s="9"/>
      <c r="T37" s="9"/>
      <c r="U37" s="9"/>
      <c r="V37" s="9"/>
    </row>
    <row r="38" spans="2:22" x14ac:dyDescent="0.3">
      <c r="B38" s="7">
        <v>45793</v>
      </c>
      <c r="C38" s="8" t="s">
        <v>64</v>
      </c>
      <c r="D38" s="9">
        <v>3957</v>
      </c>
      <c r="E38" s="9">
        <f t="shared" si="1"/>
        <v>0.04</v>
      </c>
      <c r="F38" s="9">
        <f t="shared" si="2"/>
        <v>0</v>
      </c>
      <c r="G38" s="9">
        <f t="shared" si="3"/>
        <v>0</v>
      </c>
      <c r="H38" s="9">
        <f t="shared" si="4"/>
        <v>603.65</v>
      </c>
      <c r="I38" s="9">
        <f>VLOOKUP(C38,[1]working!$M:$U,9,0)</f>
        <v>3956.97</v>
      </c>
      <c r="J38" s="21">
        <f>D38-I38</f>
        <v>3.0000000000200089E-2</v>
      </c>
      <c r="K38" s="9" t="s">
        <v>120</v>
      </c>
      <c r="L38" s="9"/>
      <c r="M38" s="9">
        <v>603.61</v>
      </c>
      <c r="N38" s="9"/>
      <c r="O38" s="9">
        <v>0.04</v>
      </c>
      <c r="P38" s="9"/>
      <c r="Q38" s="9"/>
      <c r="R38" s="9"/>
      <c r="S38" s="9"/>
      <c r="T38" s="9"/>
      <c r="U38" s="9"/>
      <c r="V38" s="9"/>
    </row>
    <row r="39" spans="2:22" x14ac:dyDescent="0.3">
      <c r="B39" s="7">
        <v>45793</v>
      </c>
      <c r="C39" s="8" t="s">
        <v>65</v>
      </c>
      <c r="D39" s="9">
        <v>2841</v>
      </c>
      <c r="E39" s="9">
        <f t="shared" si="1"/>
        <v>1805.76</v>
      </c>
      <c r="F39" s="9">
        <f t="shared" si="2"/>
        <v>0</v>
      </c>
      <c r="G39" s="9">
        <f t="shared" si="3"/>
        <v>0</v>
      </c>
      <c r="H39" s="9">
        <f t="shared" si="4"/>
        <v>433.47</v>
      </c>
      <c r="I39" s="9">
        <f>VLOOKUP(C39,[1]working!$M:$U,9,0)</f>
        <v>2840.9</v>
      </c>
      <c r="J39" s="21">
        <f t="shared" ref="J39:J40" si="8">D39-I39</f>
        <v>9.9999999999909051E-2</v>
      </c>
      <c r="K39" s="9" t="s">
        <v>120</v>
      </c>
      <c r="L39" s="9">
        <v>1805.65</v>
      </c>
      <c r="M39" s="9">
        <v>433.36</v>
      </c>
      <c r="N39" s="9"/>
      <c r="O39" s="9">
        <v>0.11</v>
      </c>
      <c r="P39" s="9"/>
      <c r="Q39" s="9"/>
      <c r="R39" s="9"/>
      <c r="S39" s="9"/>
      <c r="T39" s="9"/>
      <c r="U39" s="9"/>
      <c r="V39" s="9"/>
    </row>
    <row r="40" spans="2:22" x14ac:dyDescent="0.3">
      <c r="B40" s="7">
        <v>45797</v>
      </c>
      <c r="C40" s="8" t="s">
        <v>66</v>
      </c>
      <c r="D40" s="9">
        <v>812</v>
      </c>
      <c r="E40" s="9">
        <f t="shared" si="1"/>
        <v>0.32</v>
      </c>
      <c r="F40" s="9">
        <f t="shared" si="2"/>
        <v>0</v>
      </c>
      <c r="G40" s="9">
        <f t="shared" si="3"/>
        <v>0</v>
      </c>
      <c r="H40" s="9">
        <f t="shared" si="4"/>
        <v>124.13999999999999</v>
      </c>
      <c r="I40" s="9">
        <f>VLOOKUP(C40,[1]working!$M:$U,9,0)</f>
        <v>811.69</v>
      </c>
      <c r="J40" s="21">
        <f t="shared" si="8"/>
        <v>0.30999999999994543</v>
      </c>
      <c r="K40" s="9" t="s">
        <v>120</v>
      </c>
      <c r="L40" s="9"/>
      <c r="M40" s="9">
        <v>123.82</v>
      </c>
      <c r="N40" s="9"/>
      <c r="O40" s="9">
        <v>0.32</v>
      </c>
      <c r="P40" s="9"/>
      <c r="Q40" s="9"/>
      <c r="R40" s="9"/>
      <c r="S40" s="9"/>
      <c r="T40" s="9"/>
      <c r="U40" s="9"/>
      <c r="V40" s="9"/>
    </row>
    <row r="41" spans="2:22" x14ac:dyDescent="0.3">
      <c r="B41" s="7">
        <v>45797</v>
      </c>
      <c r="C41" s="8" t="s">
        <v>67</v>
      </c>
      <c r="D41" s="9">
        <v>5763</v>
      </c>
      <c r="E41" s="9">
        <f t="shared" si="1"/>
        <v>4967.74</v>
      </c>
      <c r="F41" s="9">
        <f t="shared" si="2"/>
        <v>-99</v>
      </c>
      <c r="G41" s="9">
        <f t="shared" si="3"/>
        <v>0</v>
      </c>
      <c r="H41" s="9">
        <f t="shared" si="4"/>
        <v>894</v>
      </c>
      <c r="I41" s="9">
        <f>VLOOKUP(C41,[1]working!$M:$U,9,0)</f>
        <v>5862.37</v>
      </c>
      <c r="J41" s="9">
        <f t="shared" ref="J38:J43" si="9">E41-I41</f>
        <v>-894.63000000000011</v>
      </c>
      <c r="K41" s="9" t="s">
        <v>118</v>
      </c>
      <c r="L41" s="9">
        <v>4968</v>
      </c>
      <c r="M41" s="9">
        <v>894.26</v>
      </c>
      <c r="N41" s="9">
        <v>-99</v>
      </c>
      <c r="O41" s="9">
        <v>-0.26</v>
      </c>
      <c r="P41" s="9"/>
      <c r="Q41" s="9"/>
      <c r="R41" s="9"/>
      <c r="S41" s="9"/>
      <c r="T41" s="9"/>
      <c r="U41" s="9"/>
      <c r="V41" s="9"/>
    </row>
    <row r="42" spans="2:22" x14ac:dyDescent="0.3">
      <c r="B42" s="7">
        <v>45798</v>
      </c>
      <c r="C42" s="8" t="s">
        <v>68</v>
      </c>
      <c r="D42" s="9">
        <v>31412</v>
      </c>
      <c r="E42" s="9">
        <f t="shared" si="1"/>
        <v>26620.13</v>
      </c>
      <c r="F42" s="9">
        <f t="shared" si="2"/>
        <v>0</v>
      </c>
      <c r="G42" s="9">
        <f t="shared" si="3"/>
        <v>0</v>
      </c>
      <c r="H42" s="9">
        <f t="shared" si="4"/>
        <v>4791.4399999999996</v>
      </c>
      <c r="I42" s="9">
        <f>VLOOKUP(C42,[1]working!$M:$U,9,0)</f>
        <v>31412.43</v>
      </c>
      <c r="J42" s="9">
        <f t="shared" si="9"/>
        <v>-4792.2999999999993</v>
      </c>
      <c r="K42" s="9" t="s">
        <v>118</v>
      </c>
      <c r="L42" s="9"/>
      <c r="M42" s="9">
        <v>4791.87</v>
      </c>
      <c r="N42" s="9"/>
      <c r="O42" s="9">
        <v>-0.43</v>
      </c>
      <c r="P42" s="9">
        <v>26620.560000000001</v>
      </c>
      <c r="Q42" s="9"/>
      <c r="R42" s="9"/>
      <c r="S42" s="9"/>
      <c r="T42" s="9"/>
      <c r="U42" s="9"/>
      <c r="V42" s="9"/>
    </row>
    <row r="43" spans="2:22" x14ac:dyDescent="0.3">
      <c r="B43" s="7">
        <v>45800</v>
      </c>
      <c r="C43" s="8" t="s">
        <v>69</v>
      </c>
      <c r="D43" s="9">
        <v>149870</v>
      </c>
      <c r="E43" s="9">
        <f t="shared" si="1"/>
        <v>127008.65000000001</v>
      </c>
      <c r="F43" s="9">
        <f t="shared" si="2"/>
        <v>0</v>
      </c>
      <c r="G43" s="9">
        <f t="shared" si="3"/>
        <v>0</v>
      </c>
      <c r="H43" s="9">
        <f t="shared" si="4"/>
        <v>22860.899999999998</v>
      </c>
      <c r="I43" s="9">
        <f>VLOOKUP(C43,[1]working!$M:$U,9,0)</f>
        <v>149870.45000000001</v>
      </c>
      <c r="J43" s="9">
        <f t="shared" si="9"/>
        <v>-22861.800000000003</v>
      </c>
      <c r="K43" s="9" t="s">
        <v>118</v>
      </c>
      <c r="L43" s="9"/>
      <c r="M43" s="9">
        <v>22861.35</v>
      </c>
      <c r="N43" s="9"/>
      <c r="O43" s="9">
        <v>-0.45</v>
      </c>
      <c r="P43" s="9">
        <v>127009.1</v>
      </c>
      <c r="Q43" s="9"/>
      <c r="R43" s="9"/>
      <c r="S43" s="9"/>
      <c r="T43" s="9"/>
      <c r="U43" s="9"/>
      <c r="V43" s="9"/>
    </row>
    <row r="44" spans="2:22" x14ac:dyDescent="0.3">
      <c r="B44" s="7">
        <v>45802</v>
      </c>
      <c r="C44" s="8" t="s">
        <v>70</v>
      </c>
      <c r="D44" s="9">
        <v>5862.37</v>
      </c>
      <c r="E44" s="9">
        <f t="shared" si="1"/>
        <v>0</v>
      </c>
      <c r="F44" s="9">
        <f t="shared" si="2"/>
        <v>0</v>
      </c>
      <c r="G44" s="9">
        <f t="shared" si="3"/>
        <v>0</v>
      </c>
      <c r="H44" s="9">
        <f t="shared" si="4"/>
        <v>894.26</v>
      </c>
      <c r="I44" s="9" t="e">
        <f>VLOOKUP(C44,[1]working!$M:$U,9,0)</f>
        <v>#N/A</v>
      </c>
      <c r="J44" s="9" t="e">
        <f>E44-I44</f>
        <v>#N/A</v>
      </c>
      <c r="K44" s="9" t="s">
        <v>117</v>
      </c>
      <c r="L44" s="9"/>
      <c r="M44" s="9">
        <v>894.26</v>
      </c>
      <c r="N44" s="9"/>
      <c r="O44" s="9"/>
      <c r="P44" s="9"/>
      <c r="Q44" s="9"/>
      <c r="R44" s="9"/>
      <c r="S44" s="9"/>
      <c r="T44" s="9"/>
      <c r="U44" s="9"/>
      <c r="V44" s="9"/>
    </row>
    <row r="45" spans="2:22" x14ac:dyDescent="0.3">
      <c r="B45" s="7">
        <v>45812</v>
      </c>
      <c r="C45" s="8" t="s">
        <v>71</v>
      </c>
      <c r="D45" s="9">
        <v>2831</v>
      </c>
      <c r="E45" s="9">
        <f t="shared" si="1"/>
        <v>2440.8200000000002</v>
      </c>
      <c r="F45" s="9">
        <f t="shared" si="2"/>
        <v>-49</v>
      </c>
      <c r="G45" s="9">
        <f t="shared" si="3"/>
        <v>0</v>
      </c>
      <c r="H45" s="9">
        <f t="shared" si="4"/>
        <v>439</v>
      </c>
      <c r="I45" s="9">
        <f>VLOOKUP(C45,[1]working!$M:$U,9,0)</f>
        <v>3398.26</v>
      </c>
      <c r="J45" s="9">
        <f t="shared" ref="J45:J46" si="10">D45-I45</f>
        <v>-567.26000000000022</v>
      </c>
      <c r="K45" s="9" t="s">
        <v>119</v>
      </c>
      <c r="L45" s="9">
        <v>2441</v>
      </c>
      <c r="M45" s="9">
        <v>439.18</v>
      </c>
      <c r="N45" s="9">
        <v>-49</v>
      </c>
      <c r="O45" s="9">
        <v>-0.18</v>
      </c>
      <c r="P45" s="9"/>
      <c r="Q45" s="9"/>
      <c r="R45" s="9"/>
      <c r="S45" s="9"/>
      <c r="T45" s="9"/>
      <c r="U45" s="9"/>
      <c r="V45" s="9"/>
    </row>
    <row r="46" spans="2:22" x14ac:dyDescent="0.3">
      <c r="B46" s="7">
        <v>45812</v>
      </c>
      <c r="C46" s="8" t="s">
        <v>72</v>
      </c>
      <c r="D46" s="9">
        <v>3459</v>
      </c>
      <c r="E46" s="9">
        <f t="shared" si="1"/>
        <v>2982.2</v>
      </c>
      <c r="F46" s="9">
        <f t="shared" si="2"/>
        <v>-60</v>
      </c>
      <c r="G46" s="9">
        <f t="shared" si="3"/>
        <v>0</v>
      </c>
      <c r="H46" s="9">
        <f t="shared" si="4"/>
        <v>537</v>
      </c>
      <c r="I46" s="9">
        <f>VLOOKUP(C46,[1]working!$M:$U,9,0)</f>
        <v>4152.29</v>
      </c>
      <c r="J46" s="9">
        <f t="shared" si="10"/>
        <v>-693.29</v>
      </c>
      <c r="K46" s="9" t="s">
        <v>119</v>
      </c>
      <c r="L46" s="9">
        <v>2982</v>
      </c>
      <c r="M46" s="9">
        <v>536.79999999999995</v>
      </c>
      <c r="N46" s="9">
        <v>-60</v>
      </c>
      <c r="O46" s="9">
        <v>0.2</v>
      </c>
      <c r="P46" s="9"/>
      <c r="Q46" s="9"/>
      <c r="R46" s="9"/>
      <c r="S46" s="9"/>
      <c r="T46" s="9"/>
      <c r="U46" s="9"/>
      <c r="V46" s="9"/>
    </row>
    <row r="47" spans="2:22" x14ac:dyDescent="0.3">
      <c r="B47" s="7">
        <v>45813</v>
      </c>
      <c r="C47" s="10"/>
      <c r="D47" s="9">
        <v>-663896</v>
      </c>
      <c r="E47" s="9">
        <f t="shared" si="1"/>
        <v>0</v>
      </c>
      <c r="F47" s="9">
        <f t="shared" si="2"/>
        <v>0</v>
      </c>
      <c r="G47" s="9">
        <f t="shared" si="3"/>
        <v>-663896</v>
      </c>
      <c r="H47" s="9">
        <f t="shared" ref="H47:H65" si="11">M47</f>
        <v>0</v>
      </c>
      <c r="I47" s="9"/>
      <c r="J47" s="9"/>
      <c r="K47" s="20" t="s">
        <v>116</v>
      </c>
      <c r="L47" s="9"/>
      <c r="M47" s="9"/>
      <c r="N47" s="9"/>
      <c r="O47" s="9"/>
      <c r="P47" s="9"/>
      <c r="Q47" s="9"/>
      <c r="R47" s="9"/>
      <c r="S47" s="9">
        <v>-663896</v>
      </c>
      <c r="T47" s="9"/>
      <c r="U47" s="9"/>
      <c r="V47" s="9"/>
    </row>
    <row r="48" spans="2:22" x14ac:dyDescent="0.3">
      <c r="B48" s="7">
        <v>45813</v>
      </c>
      <c r="C48" s="8" t="s">
        <v>73</v>
      </c>
      <c r="D48" s="9">
        <v>30739</v>
      </c>
      <c r="E48" s="9">
        <f t="shared" si="1"/>
        <v>28461.94</v>
      </c>
      <c r="F48" s="9">
        <f t="shared" si="2"/>
        <v>-2846</v>
      </c>
      <c r="G48" s="9">
        <f t="shared" si="3"/>
        <v>0</v>
      </c>
      <c r="H48" s="9">
        <f t="shared" ref="H48:H64" si="12">M48+O48</f>
        <v>5123</v>
      </c>
      <c r="I48" s="9">
        <f>VLOOKUP(C48,[1]working!$M:$U,9,0)</f>
        <v>39630.11</v>
      </c>
      <c r="J48" s="9">
        <f>D48-I48</f>
        <v>-8891.11</v>
      </c>
      <c r="K48" s="9" t="s">
        <v>119</v>
      </c>
      <c r="L48" s="9"/>
      <c r="M48" s="9">
        <v>5123.0600000000004</v>
      </c>
      <c r="N48" s="9"/>
      <c r="O48" s="9">
        <v>-0.06</v>
      </c>
      <c r="P48" s="9">
        <v>28462</v>
      </c>
      <c r="Q48" s="9">
        <v>-2846</v>
      </c>
      <c r="R48" s="9"/>
      <c r="S48" s="9"/>
      <c r="T48" s="9"/>
      <c r="U48" s="9"/>
      <c r="V48" s="9"/>
    </row>
    <row r="49" spans="2:22" x14ac:dyDescent="0.3">
      <c r="B49" s="7">
        <v>45826</v>
      </c>
      <c r="C49" s="8" t="s">
        <v>74</v>
      </c>
      <c r="D49" s="9">
        <v>28669</v>
      </c>
      <c r="E49" s="9">
        <f t="shared" si="1"/>
        <v>26545.03</v>
      </c>
      <c r="F49" s="9">
        <f t="shared" si="2"/>
        <v>-2654</v>
      </c>
      <c r="G49" s="9">
        <f t="shared" si="3"/>
        <v>0</v>
      </c>
      <c r="H49" s="9">
        <f t="shared" si="12"/>
        <v>4778</v>
      </c>
      <c r="I49" s="9">
        <f>VLOOKUP(C49,[1]working!$M:$U,9,0)</f>
        <v>31322.97</v>
      </c>
      <c r="J49" s="9">
        <f t="shared" ref="J48:J54" si="13">E49-I49</f>
        <v>-4777.9400000000023</v>
      </c>
      <c r="K49" s="9" t="s">
        <v>118</v>
      </c>
      <c r="L49" s="9"/>
      <c r="M49" s="9">
        <v>4777.97</v>
      </c>
      <c r="N49" s="9"/>
      <c r="O49" s="9">
        <v>0.03</v>
      </c>
      <c r="P49" s="9">
        <v>26545</v>
      </c>
      <c r="Q49" s="9">
        <v>-2654</v>
      </c>
      <c r="R49" s="9"/>
      <c r="S49" s="9"/>
      <c r="T49" s="9"/>
      <c r="U49" s="9"/>
      <c r="V49" s="9"/>
    </row>
    <row r="50" spans="2:22" x14ac:dyDescent="0.3">
      <c r="B50" s="7">
        <v>45842</v>
      </c>
      <c r="C50" s="8" t="s">
        <v>75</v>
      </c>
      <c r="D50" s="9">
        <v>7415</v>
      </c>
      <c r="E50" s="9">
        <f t="shared" si="1"/>
        <v>6393.31</v>
      </c>
      <c r="F50" s="9">
        <f t="shared" si="2"/>
        <v>-129</v>
      </c>
      <c r="G50" s="9">
        <f t="shared" si="3"/>
        <v>0</v>
      </c>
      <c r="H50" s="9">
        <f t="shared" si="12"/>
        <v>1151</v>
      </c>
      <c r="I50" s="9">
        <f>VLOOKUP(C50,[1]working!$M:$U,9,0)</f>
        <v>7543.98</v>
      </c>
      <c r="J50" s="9">
        <f t="shared" si="13"/>
        <v>-1150.6699999999992</v>
      </c>
      <c r="K50" s="9" t="s">
        <v>118</v>
      </c>
      <c r="L50" s="9">
        <v>6393</v>
      </c>
      <c r="M50" s="9">
        <v>1150.69</v>
      </c>
      <c r="N50" s="9">
        <v>-129</v>
      </c>
      <c r="O50" s="9">
        <v>0.31</v>
      </c>
      <c r="P50" s="9"/>
      <c r="Q50" s="9"/>
      <c r="R50" s="9"/>
      <c r="S50" s="9"/>
      <c r="T50" s="9"/>
      <c r="U50" s="9"/>
      <c r="V50" s="9"/>
    </row>
    <row r="51" spans="2:22" x14ac:dyDescent="0.3">
      <c r="B51" s="7">
        <v>45842</v>
      </c>
      <c r="C51" s="8" t="s">
        <v>76</v>
      </c>
      <c r="D51" s="9">
        <v>7715</v>
      </c>
      <c r="E51" s="9">
        <f t="shared" si="1"/>
        <v>6649.91</v>
      </c>
      <c r="F51" s="9">
        <f t="shared" si="2"/>
        <v>-132</v>
      </c>
      <c r="G51" s="9">
        <f t="shared" si="3"/>
        <v>0</v>
      </c>
      <c r="H51" s="9">
        <f t="shared" si="12"/>
        <v>1197</v>
      </c>
      <c r="I51" s="9">
        <f>VLOOKUP(C51,[1]working!$M:$U,9,0)</f>
        <v>7847.56</v>
      </c>
      <c r="J51" s="9">
        <f t="shared" si="13"/>
        <v>-1197.6500000000005</v>
      </c>
      <c r="K51" s="9" t="s">
        <v>118</v>
      </c>
      <c r="L51" s="9">
        <v>6650</v>
      </c>
      <c r="M51" s="9">
        <v>1197.0899999999999</v>
      </c>
      <c r="N51" s="9">
        <v>-132</v>
      </c>
      <c r="O51" s="9">
        <v>-0.09</v>
      </c>
      <c r="P51" s="9"/>
      <c r="Q51" s="9"/>
      <c r="R51" s="9"/>
      <c r="S51" s="9"/>
      <c r="T51" s="9"/>
      <c r="U51" s="9"/>
      <c r="V51" s="9"/>
    </row>
    <row r="52" spans="2:22" x14ac:dyDescent="0.3">
      <c r="B52" s="7">
        <v>45842</v>
      </c>
      <c r="C52" s="8" t="s">
        <v>77</v>
      </c>
      <c r="D52" s="9">
        <v>112543.23</v>
      </c>
      <c r="E52" s="9">
        <f t="shared" si="1"/>
        <v>97019.69</v>
      </c>
      <c r="F52" s="9">
        <f t="shared" si="2"/>
        <v>-1940</v>
      </c>
      <c r="G52" s="9">
        <f t="shared" si="3"/>
        <v>0</v>
      </c>
      <c r="H52" s="9">
        <f t="shared" si="12"/>
        <v>17463.23</v>
      </c>
      <c r="I52" s="9">
        <f>VLOOKUP(C52,[1]working!$M:$U,9,0)</f>
        <v>114483.23</v>
      </c>
      <c r="J52" s="9">
        <f t="shared" si="13"/>
        <v>-17463.539999999994</v>
      </c>
      <c r="K52" s="9" t="s">
        <v>118</v>
      </c>
      <c r="L52" s="9"/>
      <c r="M52" s="9">
        <v>17463.54</v>
      </c>
      <c r="N52" s="9">
        <v>-1940</v>
      </c>
      <c r="O52" s="9">
        <v>-0.31</v>
      </c>
      <c r="P52" s="9"/>
      <c r="Q52" s="9"/>
      <c r="R52" s="9">
        <v>97020</v>
      </c>
      <c r="S52" s="9"/>
      <c r="T52" s="9"/>
      <c r="U52" s="9"/>
      <c r="V52" s="9"/>
    </row>
    <row r="53" spans="2:22" x14ac:dyDescent="0.3">
      <c r="B53" s="7">
        <v>45842</v>
      </c>
      <c r="C53" s="8" t="s">
        <v>78</v>
      </c>
      <c r="D53" s="9">
        <v>6145</v>
      </c>
      <c r="E53" s="9">
        <f t="shared" si="1"/>
        <v>5688.08</v>
      </c>
      <c r="F53" s="9">
        <f t="shared" si="2"/>
        <v>-567</v>
      </c>
      <c r="G53" s="9">
        <f t="shared" si="3"/>
        <v>0</v>
      </c>
      <c r="H53" s="9">
        <f t="shared" si="12"/>
        <v>1024</v>
      </c>
      <c r="I53" s="9">
        <f>VLOOKUP(C53,[1]working!$M:$U,9,0)</f>
        <v>6712.35</v>
      </c>
      <c r="J53" s="9">
        <f t="shared" si="13"/>
        <v>-1024.2700000000004</v>
      </c>
      <c r="K53" s="9" t="s">
        <v>118</v>
      </c>
      <c r="L53" s="9">
        <v>5688</v>
      </c>
      <c r="M53" s="9">
        <v>1023.92</v>
      </c>
      <c r="N53" s="9"/>
      <c r="O53" s="9">
        <v>0.08</v>
      </c>
      <c r="P53" s="9"/>
      <c r="Q53" s="9">
        <v>-567</v>
      </c>
      <c r="R53" s="9"/>
      <c r="S53" s="9"/>
      <c r="T53" s="9"/>
      <c r="U53" s="9"/>
      <c r="V53" s="9"/>
    </row>
    <row r="54" spans="2:22" x14ac:dyDescent="0.3">
      <c r="B54" s="7">
        <v>45842</v>
      </c>
      <c r="C54" s="8" t="s">
        <v>79</v>
      </c>
      <c r="D54" s="9">
        <v>15381</v>
      </c>
      <c r="E54" s="9">
        <f t="shared" si="1"/>
        <v>14241.47</v>
      </c>
      <c r="F54" s="9">
        <f t="shared" si="2"/>
        <v>-1424</v>
      </c>
      <c r="G54" s="9">
        <f t="shared" si="3"/>
        <v>0</v>
      </c>
      <c r="H54" s="9">
        <f t="shared" si="12"/>
        <v>2563</v>
      </c>
      <c r="I54" s="9">
        <f>VLOOKUP(C54,[1]working!$M:$U,9,0)</f>
        <v>16805.39</v>
      </c>
      <c r="J54" s="9">
        <f t="shared" si="13"/>
        <v>-2563.92</v>
      </c>
      <c r="K54" s="9" t="s">
        <v>118</v>
      </c>
      <c r="L54" s="9"/>
      <c r="M54" s="9">
        <v>2563.5300000000002</v>
      </c>
      <c r="N54" s="9"/>
      <c r="O54" s="9">
        <v>-0.53</v>
      </c>
      <c r="P54" s="9">
        <v>14242</v>
      </c>
      <c r="Q54" s="9">
        <v>-1424</v>
      </c>
      <c r="R54" s="9"/>
      <c r="S54" s="9"/>
      <c r="T54" s="9"/>
      <c r="U54" s="9"/>
      <c r="V54" s="9"/>
    </row>
    <row r="55" spans="2:22" x14ac:dyDescent="0.3">
      <c r="B55" s="7">
        <v>45850</v>
      </c>
      <c r="C55" s="10" t="s">
        <v>26</v>
      </c>
      <c r="D55" s="9">
        <v>500</v>
      </c>
      <c r="E55" s="9">
        <f t="shared" si="1"/>
        <v>500</v>
      </c>
      <c r="F55" s="9">
        <f t="shared" si="2"/>
        <v>0</v>
      </c>
      <c r="G55" s="9">
        <f t="shared" si="3"/>
        <v>0</v>
      </c>
      <c r="H55" s="9">
        <f t="shared" si="12"/>
        <v>0</v>
      </c>
      <c r="I55" s="9" t="e">
        <f>VLOOKUP(C55,[1]working!$M:$U,9,0)</f>
        <v>#N/A</v>
      </c>
      <c r="J55" s="9" t="e">
        <f>E55-I55</f>
        <v>#N/A</v>
      </c>
      <c r="K55" s="9" t="s">
        <v>117</v>
      </c>
      <c r="L55" s="9"/>
      <c r="M55" s="9"/>
      <c r="N55" s="9"/>
      <c r="O55" s="9"/>
      <c r="P55" s="9"/>
      <c r="Q55" s="9"/>
      <c r="R55" s="9"/>
      <c r="S55" s="9"/>
      <c r="T55" s="9">
        <v>-200</v>
      </c>
      <c r="U55" s="9">
        <v>700</v>
      </c>
      <c r="V55" s="9"/>
    </row>
    <row r="56" spans="2:22" x14ac:dyDescent="0.3">
      <c r="B56" s="7">
        <v>45856</v>
      </c>
      <c r="C56" s="8" t="s">
        <v>80</v>
      </c>
      <c r="D56" s="9">
        <v>2270</v>
      </c>
      <c r="E56" s="9">
        <f t="shared" si="1"/>
        <v>1956.76</v>
      </c>
      <c r="F56" s="9">
        <f t="shared" si="2"/>
        <v>-39</v>
      </c>
      <c r="G56" s="9">
        <f t="shared" si="3"/>
        <v>0</v>
      </c>
      <c r="H56" s="9">
        <f t="shared" si="12"/>
        <v>352</v>
      </c>
      <c r="I56" s="9">
        <f>VLOOKUP(C56,[1]working!$M:$U,9,0)</f>
        <v>2309.12</v>
      </c>
      <c r="J56" s="9">
        <f t="shared" ref="J56:J59" si="14">E56-I56</f>
        <v>-352.3599999999999</v>
      </c>
      <c r="K56" s="9" t="s">
        <v>118</v>
      </c>
      <c r="L56" s="9">
        <v>1957</v>
      </c>
      <c r="M56" s="9">
        <v>352.24</v>
      </c>
      <c r="N56" s="9">
        <v>-39</v>
      </c>
      <c r="O56" s="9">
        <v>-0.24</v>
      </c>
      <c r="P56" s="9"/>
      <c r="Q56" s="9"/>
      <c r="R56" s="9"/>
      <c r="S56" s="9"/>
      <c r="T56" s="9"/>
      <c r="U56" s="9"/>
      <c r="V56" s="9"/>
    </row>
    <row r="57" spans="2:22" x14ac:dyDescent="0.3">
      <c r="B57" s="7">
        <v>45857</v>
      </c>
      <c r="C57" s="8" t="s">
        <v>81</v>
      </c>
      <c r="D57" s="9">
        <v>10031</v>
      </c>
      <c r="E57" s="9">
        <f t="shared" si="1"/>
        <v>9288.15</v>
      </c>
      <c r="F57" s="9">
        <f t="shared" si="2"/>
        <v>-929</v>
      </c>
      <c r="G57" s="9">
        <f t="shared" si="3"/>
        <v>0</v>
      </c>
      <c r="H57" s="9">
        <f t="shared" si="12"/>
        <v>1671.9199999999998</v>
      </c>
      <c r="I57" s="9">
        <f>VLOOKUP(C57,[1]working!$M:$U,9,0)</f>
        <v>10959.93</v>
      </c>
      <c r="J57" s="9">
        <f t="shared" si="14"/>
        <v>-1671.7800000000007</v>
      </c>
      <c r="K57" s="9" t="s">
        <v>118</v>
      </c>
      <c r="L57" s="9"/>
      <c r="M57" s="9">
        <v>1671.85</v>
      </c>
      <c r="N57" s="9"/>
      <c r="O57" s="9">
        <v>7.0000000000000007E-2</v>
      </c>
      <c r="P57" s="9">
        <v>9288.08</v>
      </c>
      <c r="Q57" s="9">
        <v>-929</v>
      </c>
      <c r="R57" s="9"/>
      <c r="S57" s="9"/>
      <c r="T57" s="9"/>
      <c r="U57" s="9"/>
      <c r="V57" s="9"/>
    </row>
    <row r="58" spans="2:22" x14ac:dyDescent="0.3">
      <c r="B58" s="7">
        <v>45857</v>
      </c>
      <c r="C58" s="8" t="s">
        <v>82</v>
      </c>
      <c r="D58" s="9">
        <v>1628</v>
      </c>
      <c r="E58" s="9">
        <f t="shared" si="1"/>
        <v>1403.46</v>
      </c>
      <c r="F58" s="9">
        <f t="shared" si="2"/>
        <v>-28</v>
      </c>
      <c r="G58" s="9">
        <f t="shared" si="3"/>
        <v>0</v>
      </c>
      <c r="H58" s="9">
        <f t="shared" si="12"/>
        <v>253</v>
      </c>
      <c r="I58" s="9">
        <f>VLOOKUP(C58,[1]working!$M:$U,9,0)</f>
        <v>1655.51</v>
      </c>
      <c r="J58" s="9">
        <f t="shared" si="14"/>
        <v>-252.04999999999995</v>
      </c>
      <c r="K58" s="9" t="s">
        <v>118</v>
      </c>
      <c r="L58" s="9">
        <v>1403</v>
      </c>
      <c r="M58" s="9">
        <v>252.54</v>
      </c>
      <c r="N58" s="9">
        <v>-28</v>
      </c>
      <c r="O58" s="9">
        <v>0.46</v>
      </c>
      <c r="P58" s="9"/>
      <c r="Q58" s="9"/>
      <c r="R58" s="9"/>
      <c r="S58" s="9"/>
      <c r="T58" s="9"/>
      <c r="U58" s="9"/>
      <c r="V58" s="9"/>
    </row>
    <row r="59" spans="2:22" x14ac:dyDescent="0.3">
      <c r="B59" s="7">
        <v>45863</v>
      </c>
      <c r="C59" s="8" t="s">
        <v>83</v>
      </c>
      <c r="D59" s="9">
        <v>2042</v>
      </c>
      <c r="E59" s="9">
        <f t="shared" si="1"/>
        <v>1760.18</v>
      </c>
      <c r="F59" s="9">
        <f t="shared" si="2"/>
        <v>-35</v>
      </c>
      <c r="G59" s="9">
        <f t="shared" si="3"/>
        <v>0</v>
      </c>
      <c r="H59" s="9">
        <f t="shared" si="12"/>
        <v>317</v>
      </c>
      <c r="I59" s="9">
        <f>VLOOKUP(C59,[1]working!$M:$U,9,0)</f>
        <v>2076.92</v>
      </c>
      <c r="J59" s="9">
        <f t="shared" si="14"/>
        <v>-316.74</v>
      </c>
      <c r="K59" s="9" t="s">
        <v>118</v>
      </c>
      <c r="L59" s="9">
        <v>1760</v>
      </c>
      <c r="M59" s="9">
        <v>316.82</v>
      </c>
      <c r="N59" s="9">
        <v>-35</v>
      </c>
      <c r="O59" s="9">
        <v>0.18</v>
      </c>
      <c r="P59" s="9"/>
      <c r="Q59" s="9"/>
      <c r="R59" s="9"/>
      <c r="S59" s="9"/>
      <c r="T59" s="9"/>
      <c r="U59" s="9"/>
      <c r="V59" s="9"/>
    </row>
    <row r="60" spans="2:22" x14ac:dyDescent="0.3">
      <c r="B60" s="7">
        <v>45874</v>
      </c>
      <c r="C60" s="10" t="s">
        <v>27</v>
      </c>
      <c r="D60" s="9">
        <v>500</v>
      </c>
      <c r="E60" s="9">
        <f t="shared" si="1"/>
        <v>500</v>
      </c>
      <c r="F60" s="9">
        <f t="shared" si="2"/>
        <v>0</v>
      </c>
      <c r="G60" s="9">
        <f t="shared" si="3"/>
        <v>0</v>
      </c>
      <c r="H60" s="9">
        <f t="shared" si="12"/>
        <v>0</v>
      </c>
      <c r="I60" s="9" t="e">
        <f>VLOOKUP(C60,[1]working!$M:$U,9,0)</f>
        <v>#N/A</v>
      </c>
      <c r="J60" s="9" t="e">
        <f t="shared" ref="J60:J64" si="15">E60-I60</f>
        <v>#N/A</v>
      </c>
      <c r="K60" s="9" t="s">
        <v>117</v>
      </c>
      <c r="L60" s="9"/>
      <c r="M60" s="9"/>
      <c r="N60" s="9"/>
      <c r="O60" s="9"/>
      <c r="P60" s="9"/>
      <c r="Q60" s="9"/>
      <c r="R60" s="9"/>
      <c r="S60" s="9"/>
      <c r="T60" s="9">
        <v>-200</v>
      </c>
      <c r="U60" s="9">
        <v>700</v>
      </c>
      <c r="V60" s="9"/>
    </row>
    <row r="61" spans="2:22" x14ac:dyDescent="0.3">
      <c r="B61" s="7">
        <v>45874</v>
      </c>
      <c r="C61" s="10" t="s">
        <v>28</v>
      </c>
      <c r="D61" s="9">
        <v>500</v>
      </c>
      <c r="E61" s="9">
        <f t="shared" si="1"/>
        <v>500</v>
      </c>
      <c r="F61" s="9">
        <f t="shared" si="2"/>
        <v>0</v>
      </c>
      <c r="G61" s="9">
        <f t="shared" si="3"/>
        <v>0</v>
      </c>
      <c r="H61" s="9">
        <f t="shared" si="12"/>
        <v>0</v>
      </c>
      <c r="I61" s="9" t="e">
        <f>VLOOKUP(C61,[1]working!$M:$U,9,0)</f>
        <v>#N/A</v>
      </c>
      <c r="J61" s="9" t="e">
        <f t="shared" si="15"/>
        <v>#N/A</v>
      </c>
      <c r="K61" s="9" t="s">
        <v>117</v>
      </c>
      <c r="L61" s="9"/>
      <c r="M61" s="9"/>
      <c r="N61" s="9"/>
      <c r="O61" s="9"/>
      <c r="P61" s="9"/>
      <c r="Q61" s="9"/>
      <c r="R61" s="9"/>
      <c r="S61" s="9"/>
      <c r="T61" s="9">
        <v>-200</v>
      </c>
      <c r="U61" s="9">
        <v>700</v>
      </c>
      <c r="V61" s="9"/>
    </row>
    <row r="62" spans="2:22" x14ac:dyDescent="0.3">
      <c r="B62" s="7">
        <v>45874</v>
      </c>
      <c r="C62" s="8" t="s">
        <v>84</v>
      </c>
      <c r="D62" s="9">
        <v>6913</v>
      </c>
      <c r="E62" s="9">
        <f t="shared" si="1"/>
        <v>5959.31</v>
      </c>
      <c r="F62" s="9">
        <f t="shared" si="2"/>
        <v>-119</v>
      </c>
      <c r="G62" s="9">
        <f t="shared" si="3"/>
        <v>0</v>
      </c>
      <c r="H62" s="9">
        <f t="shared" si="12"/>
        <v>1073</v>
      </c>
      <c r="I62" s="9">
        <f>VLOOKUP(C62,[1]working!$M:$U,9,0)</f>
        <v>7032.1</v>
      </c>
      <c r="J62" s="9">
        <f t="shared" si="15"/>
        <v>-1072.79</v>
      </c>
      <c r="K62" s="9" t="s">
        <v>118</v>
      </c>
      <c r="L62" s="9">
        <v>5959</v>
      </c>
      <c r="M62" s="9">
        <v>1072.69</v>
      </c>
      <c r="N62" s="9">
        <v>-119</v>
      </c>
      <c r="O62" s="9">
        <v>0.31</v>
      </c>
      <c r="P62" s="9"/>
      <c r="Q62" s="9"/>
      <c r="R62" s="9"/>
      <c r="S62" s="9"/>
      <c r="T62" s="9"/>
      <c r="U62" s="9"/>
      <c r="V62" s="9"/>
    </row>
    <row r="63" spans="2:22" x14ac:dyDescent="0.3">
      <c r="B63" s="7">
        <v>45874</v>
      </c>
      <c r="C63" s="8" t="s">
        <v>85</v>
      </c>
      <c r="D63" s="9">
        <v>3532</v>
      </c>
      <c r="E63" s="9">
        <f t="shared" si="1"/>
        <v>3044.84</v>
      </c>
      <c r="F63" s="9">
        <f t="shared" si="2"/>
        <v>-61</v>
      </c>
      <c r="G63" s="9">
        <f t="shared" si="3"/>
        <v>0</v>
      </c>
      <c r="H63" s="9">
        <f t="shared" si="12"/>
        <v>548</v>
      </c>
      <c r="I63" s="9">
        <f>VLOOKUP(C63,[1]working!$M:$U,9,0)</f>
        <v>3593.48</v>
      </c>
      <c r="J63" s="9">
        <f t="shared" si="15"/>
        <v>-548.63999999999987</v>
      </c>
      <c r="K63" s="9" t="s">
        <v>118</v>
      </c>
      <c r="L63" s="9">
        <v>3045</v>
      </c>
      <c r="M63" s="9">
        <v>548.16</v>
      </c>
      <c r="N63" s="9">
        <v>-61</v>
      </c>
      <c r="O63" s="9">
        <v>-0.16</v>
      </c>
      <c r="P63" s="9"/>
      <c r="Q63" s="9"/>
      <c r="R63" s="9"/>
      <c r="S63" s="9"/>
      <c r="T63" s="9"/>
      <c r="U63" s="9"/>
      <c r="V63" s="9"/>
    </row>
    <row r="64" spans="2:22" x14ac:dyDescent="0.3">
      <c r="B64" s="7">
        <v>45874</v>
      </c>
      <c r="C64" s="8" t="s">
        <v>86</v>
      </c>
      <c r="D64" s="9">
        <v>17393</v>
      </c>
      <c r="E64" s="9">
        <f t="shared" si="1"/>
        <v>16105.08</v>
      </c>
      <c r="F64" s="9">
        <f t="shared" si="2"/>
        <v>-1611</v>
      </c>
      <c r="G64" s="9">
        <f t="shared" si="3"/>
        <v>0</v>
      </c>
      <c r="H64" s="9">
        <f t="shared" si="12"/>
        <v>2899</v>
      </c>
      <c r="I64" s="9">
        <f>VLOOKUP(C64,[1]working!$M:$U,9,0)</f>
        <v>19004.05</v>
      </c>
      <c r="J64" s="9">
        <f t="shared" si="15"/>
        <v>-2898.9699999999993</v>
      </c>
      <c r="K64" s="9" t="s">
        <v>118</v>
      </c>
      <c r="L64" s="9"/>
      <c r="M64" s="9">
        <v>2898.92</v>
      </c>
      <c r="N64" s="9"/>
      <c r="O64" s="9">
        <v>0.08</v>
      </c>
      <c r="P64" s="9">
        <v>16105</v>
      </c>
      <c r="Q64" s="9">
        <v>-1611</v>
      </c>
      <c r="R64" s="9"/>
      <c r="S64" s="9"/>
      <c r="T64" s="9"/>
      <c r="U64" s="9"/>
      <c r="V64" s="9"/>
    </row>
    <row r="65" spans="2:22" x14ac:dyDescent="0.3">
      <c r="B65" s="7">
        <v>45883</v>
      </c>
      <c r="C65" s="10"/>
      <c r="D65" s="9">
        <v>-332509</v>
      </c>
      <c r="E65" s="9">
        <f t="shared" si="1"/>
        <v>0</v>
      </c>
      <c r="F65" s="9">
        <f t="shared" si="2"/>
        <v>0</v>
      </c>
      <c r="G65" s="9">
        <f t="shared" si="3"/>
        <v>-332509</v>
      </c>
      <c r="H65" s="9">
        <f t="shared" si="11"/>
        <v>0</v>
      </c>
      <c r="I65" s="9"/>
      <c r="J65" s="9"/>
      <c r="K65" s="20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>
        <v>-332509</v>
      </c>
    </row>
    <row r="66" spans="2:22" x14ac:dyDescent="0.3">
      <c r="B66" s="7">
        <v>45887</v>
      </c>
      <c r="C66" s="8" t="s">
        <v>87</v>
      </c>
      <c r="D66" s="9">
        <v>47303</v>
      </c>
      <c r="E66" s="9">
        <f t="shared" si="1"/>
        <v>40778.78</v>
      </c>
      <c r="F66" s="9">
        <f t="shared" si="2"/>
        <v>-816</v>
      </c>
      <c r="G66" s="9">
        <f t="shared" si="3"/>
        <v>0</v>
      </c>
      <c r="H66" s="9">
        <f t="shared" ref="H66:H77" si="16">M66+O66</f>
        <v>7340</v>
      </c>
      <c r="I66" s="9">
        <f>VLOOKUP(C66,[1]working!$M:$U,9,0)</f>
        <v>48119.23</v>
      </c>
      <c r="J66" s="9">
        <f t="shared" ref="J66:J77" si="17">E66-I66</f>
        <v>-7340.4500000000044</v>
      </c>
      <c r="K66" s="9" t="s">
        <v>118</v>
      </c>
      <c r="L66" s="9"/>
      <c r="M66" s="9">
        <v>7340.22</v>
      </c>
      <c r="N66" s="9">
        <v>-816</v>
      </c>
      <c r="O66" s="9">
        <v>-0.22</v>
      </c>
      <c r="P66" s="9"/>
      <c r="Q66" s="9"/>
      <c r="R66" s="9">
        <v>40779</v>
      </c>
      <c r="S66" s="9"/>
      <c r="T66" s="9"/>
      <c r="U66" s="9"/>
      <c r="V66" s="9"/>
    </row>
    <row r="67" spans="2:22" x14ac:dyDescent="0.3">
      <c r="B67" s="7">
        <v>45887</v>
      </c>
      <c r="C67" s="8" t="s">
        <v>88</v>
      </c>
      <c r="D67" s="9">
        <v>3881</v>
      </c>
      <c r="E67" s="9">
        <f t="shared" si="1"/>
        <v>3345.77</v>
      </c>
      <c r="F67" s="9">
        <f t="shared" si="2"/>
        <v>-67</v>
      </c>
      <c r="G67" s="9">
        <f t="shared" si="3"/>
        <v>0</v>
      </c>
      <c r="H67" s="9">
        <f t="shared" si="16"/>
        <v>602</v>
      </c>
      <c r="I67" s="9">
        <f>VLOOKUP(C67,[1]working!$M:$U,9,0)</f>
        <v>3947.92</v>
      </c>
      <c r="J67" s="9">
        <f t="shared" si="17"/>
        <v>-602.15000000000009</v>
      </c>
      <c r="K67" s="9" t="s">
        <v>118</v>
      </c>
      <c r="L67" s="9">
        <v>3346</v>
      </c>
      <c r="M67" s="9">
        <v>602.23</v>
      </c>
      <c r="N67" s="9">
        <v>-67</v>
      </c>
      <c r="O67" s="9">
        <v>-0.23</v>
      </c>
      <c r="P67" s="9"/>
      <c r="Q67" s="9"/>
      <c r="R67" s="9"/>
      <c r="S67" s="9"/>
      <c r="T67" s="9"/>
      <c r="U67" s="9"/>
      <c r="V67" s="9"/>
    </row>
    <row r="68" spans="2:22" x14ac:dyDescent="0.3">
      <c r="B68" s="7">
        <v>45887</v>
      </c>
      <c r="C68" s="8" t="s">
        <v>89</v>
      </c>
      <c r="D68" s="9">
        <v>17436</v>
      </c>
      <c r="E68" s="9">
        <f t="shared" ref="E68:E88" si="18">L68+P68+R68+T68+U68+O68</f>
        <v>16144.12</v>
      </c>
      <c r="F68" s="9">
        <f t="shared" ref="F68:F88" si="19">N68+Q68</f>
        <v>-1614</v>
      </c>
      <c r="G68" s="9">
        <f t="shared" ref="G68:G88" si="20">S68+V68</f>
        <v>0</v>
      </c>
      <c r="H68" s="9">
        <f t="shared" si="16"/>
        <v>2906</v>
      </c>
      <c r="I68" s="9">
        <f>VLOOKUP(C68,[1]working!$M:$U,9,0)</f>
        <v>19049.650000000001</v>
      </c>
      <c r="J68" s="9">
        <f t="shared" si="17"/>
        <v>-2905.5300000000007</v>
      </c>
      <c r="K68" s="9" t="s">
        <v>118</v>
      </c>
      <c r="L68" s="9"/>
      <c r="M68" s="9">
        <v>2905.88</v>
      </c>
      <c r="N68" s="9"/>
      <c r="O68" s="9">
        <v>0.12</v>
      </c>
      <c r="P68" s="9">
        <v>16144</v>
      </c>
      <c r="Q68" s="9">
        <v>-1614</v>
      </c>
      <c r="R68" s="9"/>
      <c r="S68" s="9"/>
      <c r="T68" s="9"/>
      <c r="U68" s="9"/>
      <c r="V68" s="9"/>
    </row>
    <row r="69" spans="2:22" x14ac:dyDescent="0.3">
      <c r="B69" s="7">
        <v>45888</v>
      </c>
      <c r="C69" s="8" t="s">
        <v>90</v>
      </c>
      <c r="D69" s="9">
        <v>2643</v>
      </c>
      <c r="E69" s="9">
        <f t="shared" si="18"/>
        <v>2278.77</v>
      </c>
      <c r="F69" s="9">
        <f t="shared" si="19"/>
        <v>-46</v>
      </c>
      <c r="G69" s="9">
        <f t="shared" si="20"/>
        <v>0</v>
      </c>
      <c r="H69" s="9">
        <f t="shared" si="16"/>
        <v>410</v>
      </c>
      <c r="I69" s="9">
        <f>VLOOKUP(C69,[1]working!$M:$U,9,0)</f>
        <v>2689.3</v>
      </c>
      <c r="J69" s="9">
        <f t="shared" si="17"/>
        <v>-410.5300000000002</v>
      </c>
      <c r="K69" s="9" t="s">
        <v>118</v>
      </c>
      <c r="L69" s="9">
        <v>2279</v>
      </c>
      <c r="M69" s="9">
        <v>410.23</v>
      </c>
      <c r="N69" s="9">
        <v>-46</v>
      </c>
      <c r="O69" s="9">
        <v>-0.23</v>
      </c>
      <c r="P69" s="9"/>
      <c r="Q69" s="9"/>
      <c r="R69" s="9"/>
      <c r="S69" s="9"/>
      <c r="T69" s="9"/>
      <c r="U69" s="9"/>
      <c r="V69" s="9"/>
    </row>
    <row r="70" spans="2:22" x14ac:dyDescent="0.3">
      <c r="B70" s="7">
        <v>45888</v>
      </c>
      <c r="C70" s="8" t="s">
        <v>91</v>
      </c>
      <c r="D70" s="9">
        <v>20756</v>
      </c>
      <c r="E70" s="9">
        <f t="shared" si="18"/>
        <v>19217.71</v>
      </c>
      <c r="F70" s="9">
        <f t="shared" si="19"/>
        <v>-1921</v>
      </c>
      <c r="G70" s="9">
        <f t="shared" si="20"/>
        <v>0</v>
      </c>
      <c r="H70" s="9">
        <f t="shared" si="16"/>
        <v>3459</v>
      </c>
      <c r="I70" s="9">
        <f>VLOOKUP(C70,[1]working!$M:$U,9,0)</f>
        <v>22677.59</v>
      </c>
      <c r="J70" s="9">
        <f t="shared" si="17"/>
        <v>-3459.880000000001</v>
      </c>
      <c r="K70" s="9" t="s">
        <v>118</v>
      </c>
      <c r="L70" s="9"/>
      <c r="M70" s="9">
        <v>3459.29</v>
      </c>
      <c r="N70" s="9"/>
      <c r="O70" s="9">
        <v>-0.28999999999999998</v>
      </c>
      <c r="P70" s="9">
        <v>19218</v>
      </c>
      <c r="Q70" s="9">
        <v>-1921</v>
      </c>
      <c r="R70" s="9"/>
      <c r="S70" s="9"/>
      <c r="T70" s="9"/>
      <c r="U70" s="9"/>
      <c r="V70" s="9"/>
    </row>
    <row r="71" spans="2:22" x14ac:dyDescent="0.3">
      <c r="B71" s="7">
        <v>45904</v>
      </c>
      <c r="C71" s="8" t="s">
        <v>92</v>
      </c>
      <c r="D71" s="9">
        <v>70491</v>
      </c>
      <c r="E71" s="9">
        <f t="shared" si="18"/>
        <v>60767.839999999997</v>
      </c>
      <c r="F71" s="9">
        <f t="shared" si="19"/>
        <v>-1215</v>
      </c>
      <c r="G71" s="9">
        <f t="shared" si="20"/>
        <v>0</v>
      </c>
      <c r="H71" s="9">
        <f t="shared" si="16"/>
        <v>10938</v>
      </c>
      <c r="I71" s="9">
        <f>VLOOKUP(C71,[1]working!$M:$U,9,0)</f>
        <v>71705.740000000005</v>
      </c>
      <c r="J71" s="9">
        <f t="shared" si="17"/>
        <v>-10937.900000000009</v>
      </c>
      <c r="K71" s="9" t="s">
        <v>118</v>
      </c>
      <c r="L71" s="9"/>
      <c r="M71" s="9">
        <v>10938.16</v>
      </c>
      <c r="N71" s="9">
        <v>-1215</v>
      </c>
      <c r="O71" s="9">
        <v>-0.16</v>
      </c>
      <c r="P71" s="9"/>
      <c r="Q71" s="9"/>
      <c r="R71" s="9">
        <v>60768</v>
      </c>
      <c r="S71" s="9"/>
      <c r="T71" s="9"/>
      <c r="U71" s="9"/>
      <c r="V71" s="9"/>
    </row>
    <row r="72" spans="2:22" x14ac:dyDescent="0.3">
      <c r="B72" s="7">
        <v>45904</v>
      </c>
      <c r="C72" s="8" t="s">
        <v>93</v>
      </c>
      <c r="D72" s="9">
        <v>7120</v>
      </c>
      <c r="E72" s="9">
        <f t="shared" si="18"/>
        <v>6138.18</v>
      </c>
      <c r="F72" s="9">
        <f t="shared" si="19"/>
        <v>-123</v>
      </c>
      <c r="G72" s="9">
        <f t="shared" si="20"/>
        <v>0</v>
      </c>
      <c r="H72" s="9">
        <f t="shared" si="16"/>
        <v>1105</v>
      </c>
      <c r="I72" s="9">
        <f>VLOOKUP(C72,[1]working!$M:$U,9,0)</f>
        <v>7242.69</v>
      </c>
      <c r="J72" s="9">
        <f t="shared" si="17"/>
        <v>-1104.5099999999993</v>
      </c>
      <c r="K72" s="9" t="s">
        <v>118</v>
      </c>
      <c r="L72" s="9">
        <v>6138</v>
      </c>
      <c r="M72" s="9">
        <v>1104.82</v>
      </c>
      <c r="N72" s="9">
        <v>-123</v>
      </c>
      <c r="O72" s="9">
        <v>0.18</v>
      </c>
      <c r="P72" s="9"/>
      <c r="Q72" s="9"/>
      <c r="R72" s="9"/>
      <c r="S72" s="9"/>
      <c r="T72" s="9"/>
      <c r="U72" s="9"/>
      <c r="V72" s="9"/>
    </row>
    <row r="73" spans="2:22" x14ac:dyDescent="0.3">
      <c r="B73" s="7">
        <v>45904</v>
      </c>
      <c r="C73" s="8" t="s">
        <v>94</v>
      </c>
      <c r="D73" s="9">
        <v>2089</v>
      </c>
      <c r="E73" s="9">
        <f t="shared" si="18"/>
        <v>1800.87</v>
      </c>
      <c r="F73" s="9">
        <f t="shared" si="19"/>
        <v>-36</v>
      </c>
      <c r="G73" s="9">
        <f t="shared" si="20"/>
        <v>0</v>
      </c>
      <c r="H73" s="9">
        <f t="shared" si="16"/>
        <v>324</v>
      </c>
      <c r="I73" s="9">
        <f>VLOOKUP(C73,[1]working!$M:$U,9,0)</f>
        <v>2124.85</v>
      </c>
      <c r="J73" s="9">
        <f t="shared" si="17"/>
        <v>-323.98</v>
      </c>
      <c r="K73" s="9" t="s">
        <v>118</v>
      </c>
      <c r="L73" s="9">
        <v>1801</v>
      </c>
      <c r="M73" s="9">
        <v>324.13</v>
      </c>
      <c r="N73" s="9">
        <v>-36</v>
      </c>
      <c r="O73" s="9">
        <v>-0.13</v>
      </c>
      <c r="P73" s="9"/>
      <c r="Q73" s="9"/>
      <c r="R73" s="9"/>
      <c r="S73" s="9"/>
      <c r="T73" s="9"/>
      <c r="U73" s="9"/>
      <c r="V73" s="9"/>
    </row>
    <row r="74" spans="2:22" x14ac:dyDescent="0.3">
      <c r="B74" s="7">
        <v>45935</v>
      </c>
      <c r="C74" s="8" t="s">
        <v>95</v>
      </c>
      <c r="D74" s="9">
        <v>2455</v>
      </c>
      <c r="E74" s="9">
        <f t="shared" si="18"/>
        <v>2117.02</v>
      </c>
      <c r="F74" s="9">
        <f t="shared" si="19"/>
        <v>-43</v>
      </c>
      <c r="G74" s="9">
        <f t="shared" si="20"/>
        <v>0</v>
      </c>
      <c r="H74" s="9">
        <f t="shared" si="16"/>
        <v>381</v>
      </c>
      <c r="I74" s="9">
        <f>VLOOKUP(C74,[1]working!$M:$U,9,0)</f>
        <v>2497.56</v>
      </c>
      <c r="J74" s="9">
        <f t="shared" si="17"/>
        <v>-380.53999999999996</v>
      </c>
      <c r="K74" s="9" t="s">
        <v>118</v>
      </c>
      <c r="L74" s="9">
        <v>2117</v>
      </c>
      <c r="M74" s="9">
        <v>380.98</v>
      </c>
      <c r="N74" s="9">
        <v>-43</v>
      </c>
      <c r="O74" s="9">
        <v>0.02</v>
      </c>
      <c r="P74" s="9"/>
      <c r="Q74" s="9"/>
      <c r="R74" s="9"/>
      <c r="S74" s="9"/>
      <c r="T74" s="9"/>
      <c r="U74" s="9"/>
      <c r="V74" s="9"/>
    </row>
    <row r="75" spans="2:22" x14ac:dyDescent="0.3">
      <c r="B75" s="7">
        <v>45935</v>
      </c>
      <c r="C75" s="8" t="s">
        <v>96</v>
      </c>
      <c r="D75" s="9">
        <v>2498</v>
      </c>
      <c r="E75" s="9">
        <f t="shared" si="18"/>
        <v>2117.02</v>
      </c>
      <c r="F75" s="9">
        <f t="shared" si="19"/>
        <v>0</v>
      </c>
      <c r="G75" s="9">
        <f t="shared" si="20"/>
        <v>0</v>
      </c>
      <c r="H75" s="9">
        <f t="shared" si="16"/>
        <v>381</v>
      </c>
      <c r="I75" s="9">
        <f>VLOOKUP(C75,[1]working!$M:$U,9,0)</f>
        <v>2497.56</v>
      </c>
      <c r="J75" s="9">
        <f t="shared" si="17"/>
        <v>-380.53999999999996</v>
      </c>
      <c r="K75" s="9" t="s">
        <v>118</v>
      </c>
      <c r="L75" s="9">
        <v>2117</v>
      </c>
      <c r="M75" s="9">
        <v>380.98</v>
      </c>
      <c r="N75" s="9"/>
      <c r="O75" s="9">
        <v>0.02</v>
      </c>
      <c r="P75" s="9"/>
      <c r="Q75" s="9"/>
      <c r="R75" s="9"/>
      <c r="S75" s="9"/>
      <c r="T75" s="9"/>
      <c r="U75" s="9"/>
      <c r="V75" s="9"/>
    </row>
    <row r="76" spans="2:22" x14ac:dyDescent="0.3">
      <c r="B76" s="7">
        <v>45935</v>
      </c>
      <c r="C76" s="8" t="s">
        <v>97</v>
      </c>
      <c r="D76" s="9">
        <v>62117</v>
      </c>
      <c r="E76" s="9">
        <f t="shared" si="18"/>
        <v>52641.78</v>
      </c>
      <c r="F76" s="9">
        <f t="shared" si="19"/>
        <v>0</v>
      </c>
      <c r="G76" s="9">
        <f t="shared" si="20"/>
        <v>0</v>
      </c>
      <c r="H76" s="9">
        <f t="shared" si="16"/>
        <v>9475</v>
      </c>
      <c r="I76" s="9">
        <f>VLOOKUP(C76,[1]working!$M:$U,9,0)</f>
        <v>62117.17</v>
      </c>
      <c r="J76" s="9">
        <f t="shared" si="17"/>
        <v>-9475.39</v>
      </c>
      <c r="K76" s="9" t="s">
        <v>118</v>
      </c>
      <c r="L76" s="9">
        <v>52642</v>
      </c>
      <c r="M76" s="9">
        <v>9475.2199999999993</v>
      </c>
      <c r="N76" s="9"/>
      <c r="O76" s="9">
        <v>-0.22</v>
      </c>
      <c r="P76" s="9"/>
      <c r="Q76" s="9"/>
      <c r="R76" s="9"/>
      <c r="S76" s="9"/>
      <c r="T76" s="9"/>
      <c r="U76" s="9"/>
      <c r="V76" s="9"/>
    </row>
    <row r="77" spans="2:22" x14ac:dyDescent="0.3">
      <c r="B77" s="7">
        <v>45937</v>
      </c>
      <c r="C77" s="8" t="s">
        <v>98</v>
      </c>
      <c r="D77" s="9">
        <v>25194</v>
      </c>
      <c r="E77" s="9">
        <f t="shared" si="18"/>
        <v>21350.65</v>
      </c>
      <c r="F77" s="9">
        <f t="shared" si="19"/>
        <v>0</v>
      </c>
      <c r="G77" s="9">
        <f t="shared" si="20"/>
        <v>0</v>
      </c>
      <c r="H77" s="9">
        <f t="shared" si="16"/>
        <v>3843</v>
      </c>
      <c r="I77" s="9">
        <f>VLOOKUP(C77,[1]working!$M:$U,9,0)</f>
        <v>25194.34</v>
      </c>
      <c r="J77" s="9">
        <f t="shared" si="17"/>
        <v>-3843.6899999999987</v>
      </c>
      <c r="K77" s="9" t="s">
        <v>118</v>
      </c>
      <c r="L77" s="9">
        <v>21351</v>
      </c>
      <c r="M77" s="9">
        <v>3843.35</v>
      </c>
      <c r="N77" s="9"/>
      <c r="O77" s="9">
        <v>-0.35</v>
      </c>
      <c r="P77" s="9"/>
      <c r="Q77" s="9"/>
      <c r="R77" s="9"/>
      <c r="S77" s="9"/>
      <c r="T77" s="9"/>
      <c r="U77" s="9"/>
      <c r="V77" s="9"/>
    </row>
    <row r="78" spans="2:22" x14ac:dyDescent="0.3">
      <c r="B78" s="7">
        <v>45938</v>
      </c>
      <c r="C78" s="10"/>
      <c r="D78" s="9">
        <v>-241321</v>
      </c>
      <c r="E78" s="9">
        <f t="shared" si="18"/>
        <v>0</v>
      </c>
      <c r="F78" s="9">
        <f t="shared" si="19"/>
        <v>0</v>
      </c>
      <c r="G78" s="9">
        <f t="shared" si="20"/>
        <v>-241321</v>
      </c>
      <c r="H78" s="9">
        <f t="shared" ref="H78" si="21">M78</f>
        <v>0</v>
      </c>
      <c r="I78" s="9"/>
      <c r="J78" s="9"/>
      <c r="K78" s="20" t="s">
        <v>116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>
        <v>-241321</v>
      </c>
    </row>
    <row r="79" spans="2:22" x14ac:dyDescent="0.3">
      <c r="B79" s="7">
        <v>45948</v>
      </c>
      <c r="C79" s="8" t="s">
        <v>99</v>
      </c>
      <c r="D79" s="9">
        <v>28800</v>
      </c>
      <c r="E79" s="9">
        <f t="shared" si="18"/>
        <v>24406.34</v>
      </c>
      <c r="F79" s="9">
        <f t="shared" si="19"/>
        <v>0</v>
      </c>
      <c r="G79" s="9">
        <f t="shared" si="20"/>
        <v>0</v>
      </c>
      <c r="H79" s="9">
        <f t="shared" ref="H79:H88" si="22">M79+O79</f>
        <v>4393</v>
      </c>
      <c r="I79" s="9">
        <f>VLOOKUP(C79,[1]working!$M:$U,9,0)</f>
        <v>28800.46</v>
      </c>
      <c r="J79" s="9">
        <f t="shared" ref="J79:J88" si="23">E79-I79</f>
        <v>-4394.119999999999</v>
      </c>
      <c r="K79" s="9" t="s">
        <v>118</v>
      </c>
      <c r="L79" s="9">
        <v>24407</v>
      </c>
      <c r="M79" s="9">
        <v>4393.66</v>
      </c>
      <c r="N79" s="9"/>
      <c r="O79" s="9">
        <v>-0.66</v>
      </c>
      <c r="P79" s="9"/>
      <c r="Q79" s="9"/>
      <c r="R79" s="9"/>
      <c r="S79" s="9"/>
      <c r="T79" s="9"/>
      <c r="U79" s="9"/>
      <c r="V79" s="9"/>
    </row>
    <row r="80" spans="2:22" x14ac:dyDescent="0.3">
      <c r="B80" s="7">
        <v>45950</v>
      </c>
      <c r="C80" s="8" t="s">
        <v>100</v>
      </c>
      <c r="D80" s="9">
        <v>10487</v>
      </c>
      <c r="E80" s="9">
        <f t="shared" si="18"/>
        <v>8887.2199999999993</v>
      </c>
      <c r="F80" s="9">
        <f t="shared" si="19"/>
        <v>0</v>
      </c>
      <c r="G80" s="9">
        <f t="shared" si="20"/>
        <v>0</v>
      </c>
      <c r="H80" s="9">
        <f t="shared" si="22"/>
        <v>1600</v>
      </c>
      <c r="I80" s="9">
        <f>VLOOKUP(C80,[1]working!$M:$U,9,0)</f>
        <v>10486.76</v>
      </c>
      <c r="J80" s="9">
        <f t="shared" si="23"/>
        <v>-1599.5400000000009</v>
      </c>
      <c r="K80" s="9" t="s">
        <v>118</v>
      </c>
      <c r="L80" s="9">
        <v>8887</v>
      </c>
      <c r="M80" s="9">
        <v>1599.78</v>
      </c>
      <c r="N80" s="9"/>
      <c r="O80" s="9">
        <v>0.22</v>
      </c>
      <c r="P80" s="9"/>
      <c r="Q80" s="9"/>
      <c r="R80" s="9"/>
      <c r="S80" s="9"/>
      <c r="T80" s="9"/>
      <c r="U80" s="9"/>
      <c r="V80" s="9"/>
    </row>
    <row r="81" spans="2:22" x14ac:dyDescent="0.3">
      <c r="B81" s="7">
        <v>45950</v>
      </c>
      <c r="C81" s="8" t="s">
        <v>101</v>
      </c>
      <c r="D81" s="9">
        <v>2498</v>
      </c>
      <c r="E81" s="9">
        <f t="shared" si="18"/>
        <v>2117.02</v>
      </c>
      <c r="F81" s="9">
        <f t="shared" si="19"/>
        <v>0</v>
      </c>
      <c r="G81" s="9">
        <f t="shared" si="20"/>
        <v>0</v>
      </c>
      <c r="H81" s="9">
        <f t="shared" si="22"/>
        <v>381</v>
      </c>
      <c r="I81" s="9">
        <f>VLOOKUP(C81,[1]working!$M:$U,9,0)</f>
        <v>2497.56</v>
      </c>
      <c r="J81" s="9">
        <f t="shared" si="23"/>
        <v>-380.53999999999996</v>
      </c>
      <c r="K81" s="9" t="s">
        <v>118</v>
      </c>
      <c r="L81" s="9">
        <v>2117</v>
      </c>
      <c r="M81" s="9">
        <v>380.98</v>
      </c>
      <c r="N81" s="9"/>
      <c r="O81" s="9">
        <v>0.02</v>
      </c>
      <c r="P81" s="9"/>
      <c r="Q81" s="9"/>
      <c r="R81" s="9"/>
      <c r="S81" s="9"/>
      <c r="T81" s="9"/>
      <c r="U81" s="9"/>
      <c r="V81" s="9"/>
    </row>
    <row r="82" spans="2:22" x14ac:dyDescent="0.3">
      <c r="B82" s="7">
        <v>45964</v>
      </c>
      <c r="C82" s="8" t="s">
        <v>102</v>
      </c>
      <c r="D82" s="9">
        <v>8893</v>
      </c>
      <c r="E82" s="9">
        <f t="shared" si="18"/>
        <v>7513.11</v>
      </c>
      <c r="F82" s="9">
        <f t="shared" si="19"/>
        <v>0</v>
      </c>
      <c r="G82" s="9">
        <f t="shared" si="20"/>
        <v>0</v>
      </c>
      <c r="H82" s="9">
        <f t="shared" si="22"/>
        <v>1227</v>
      </c>
      <c r="I82" s="9">
        <f>VLOOKUP(C82,[1]working!$M:$U,9,0)</f>
        <v>9045.8700000000008</v>
      </c>
      <c r="J82" s="9">
        <f>D82-I82</f>
        <v>-152.8700000000008</v>
      </c>
      <c r="K82" s="9" t="s">
        <v>118</v>
      </c>
      <c r="L82" s="9">
        <v>7666</v>
      </c>
      <c r="M82" s="9">
        <v>1379.89</v>
      </c>
      <c r="N82" s="9"/>
      <c r="O82" s="9">
        <v>-152.88999999999999</v>
      </c>
      <c r="P82" s="9"/>
      <c r="Q82" s="9"/>
      <c r="R82" s="9"/>
      <c r="S82" s="9"/>
      <c r="T82" s="9"/>
      <c r="U82" s="9"/>
      <c r="V82" s="9"/>
    </row>
    <row r="83" spans="2:22" x14ac:dyDescent="0.3">
      <c r="B83" s="7">
        <v>45966</v>
      </c>
      <c r="C83" s="8" t="s">
        <v>103</v>
      </c>
      <c r="D83" s="9">
        <v>32077</v>
      </c>
      <c r="E83" s="9">
        <f t="shared" si="18"/>
        <v>29700.79</v>
      </c>
      <c r="F83" s="9">
        <f t="shared" si="19"/>
        <v>-2970</v>
      </c>
      <c r="G83" s="9">
        <f t="shared" si="20"/>
        <v>0</v>
      </c>
      <c r="H83" s="9">
        <f t="shared" si="22"/>
        <v>5346</v>
      </c>
      <c r="I83" s="9">
        <f>VLOOKUP(C83,[1]working!$M:$U,9,0)</f>
        <v>35047.35</v>
      </c>
      <c r="J83" s="9">
        <f t="shared" si="23"/>
        <v>-5346.5599999999977</v>
      </c>
      <c r="K83" s="9" t="s">
        <v>118</v>
      </c>
      <c r="L83" s="9"/>
      <c r="M83" s="9">
        <v>5346.21</v>
      </c>
      <c r="N83" s="9"/>
      <c r="O83" s="9">
        <v>-0.21</v>
      </c>
      <c r="P83" s="9">
        <v>29701</v>
      </c>
      <c r="Q83" s="9">
        <v>-2970</v>
      </c>
      <c r="R83" s="9"/>
      <c r="S83" s="9"/>
      <c r="T83" s="9"/>
      <c r="U83" s="9"/>
      <c r="V83" s="9"/>
    </row>
    <row r="84" spans="2:22" x14ac:dyDescent="0.3">
      <c r="B84" s="7">
        <v>45966</v>
      </c>
      <c r="C84" s="8" t="s">
        <v>104</v>
      </c>
      <c r="D84" s="9">
        <v>2858</v>
      </c>
      <c r="E84" s="9">
        <f t="shared" si="18"/>
        <v>2464.46</v>
      </c>
      <c r="F84" s="9">
        <f t="shared" si="19"/>
        <v>-50</v>
      </c>
      <c r="G84" s="9">
        <f t="shared" si="20"/>
        <v>0</v>
      </c>
      <c r="H84" s="9">
        <f t="shared" si="22"/>
        <v>444</v>
      </c>
      <c r="I84" s="9">
        <f>VLOOKUP(C84,[1]working!$M:$U,9,0)</f>
        <v>2907.63</v>
      </c>
      <c r="J84" s="9">
        <f t="shared" si="23"/>
        <v>-443.17000000000007</v>
      </c>
      <c r="K84" s="9" t="s">
        <v>118</v>
      </c>
      <c r="L84" s="9">
        <v>2464</v>
      </c>
      <c r="M84" s="9">
        <v>443.54</v>
      </c>
      <c r="N84" s="9">
        <v>-50</v>
      </c>
      <c r="O84" s="9">
        <v>0.46</v>
      </c>
      <c r="P84" s="9"/>
      <c r="Q84" s="9"/>
      <c r="R84" s="9"/>
      <c r="S84" s="9"/>
      <c r="T84" s="9"/>
      <c r="U84" s="9"/>
      <c r="V84" s="9"/>
    </row>
    <row r="85" spans="2:22" x14ac:dyDescent="0.3">
      <c r="B85" s="7">
        <v>45966</v>
      </c>
      <c r="C85" s="8" t="s">
        <v>105</v>
      </c>
      <c r="D85" s="9">
        <v>63853</v>
      </c>
      <c r="E85" s="9">
        <f t="shared" si="18"/>
        <v>55044.7</v>
      </c>
      <c r="F85" s="9">
        <f t="shared" si="19"/>
        <v>-1100</v>
      </c>
      <c r="G85" s="9">
        <f t="shared" si="20"/>
        <v>0</v>
      </c>
      <c r="H85" s="9">
        <f t="shared" si="22"/>
        <v>9908</v>
      </c>
      <c r="I85" s="9">
        <f>VLOOKUP(C85,[1]working!$M:$U,9,0)</f>
        <v>64953.54</v>
      </c>
      <c r="J85" s="9">
        <f t="shared" si="23"/>
        <v>-9908.8400000000038</v>
      </c>
      <c r="K85" s="9" t="s">
        <v>118</v>
      </c>
      <c r="L85" s="9"/>
      <c r="M85" s="9">
        <v>9908.2999999999993</v>
      </c>
      <c r="N85" s="9">
        <v>-1100</v>
      </c>
      <c r="O85" s="9">
        <v>-0.3</v>
      </c>
      <c r="P85" s="9"/>
      <c r="Q85" s="9"/>
      <c r="R85" s="9">
        <v>55045</v>
      </c>
      <c r="S85" s="9"/>
      <c r="T85" s="9"/>
      <c r="U85" s="9"/>
      <c r="V85" s="9"/>
    </row>
    <row r="86" spans="2:22" x14ac:dyDescent="0.3">
      <c r="B86" s="7">
        <v>45980</v>
      </c>
      <c r="C86" s="8" t="s">
        <v>106</v>
      </c>
      <c r="D86" s="9">
        <v>28613</v>
      </c>
      <c r="E86" s="9">
        <f t="shared" si="18"/>
        <v>26493.1</v>
      </c>
      <c r="F86" s="9">
        <f t="shared" si="19"/>
        <v>-2649</v>
      </c>
      <c r="G86" s="9">
        <f t="shared" si="20"/>
        <v>0</v>
      </c>
      <c r="H86" s="9">
        <f t="shared" si="22"/>
        <v>4769</v>
      </c>
      <c r="I86" s="9">
        <f>VLOOKUP(C86,[1]working!$M:$U,9,0)</f>
        <v>31262.32</v>
      </c>
      <c r="J86" s="9">
        <f t="shared" si="23"/>
        <v>-4769.2200000000012</v>
      </c>
      <c r="K86" s="9" t="s">
        <v>118</v>
      </c>
      <c r="L86" s="9"/>
      <c r="M86" s="9">
        <v>4768.8999999999996</v>
      </c>
      <c r="N86" s="9"/>
      <c r="O86" s="9">
        <v>0.1</v>
      </c>
      <c r="P86" s="9">
        <v>26493</v>
      </c>
      <c r="Q86" s="9">
        <v>-2649</v>
      </c>
      <c r="R86" s="9"/>
      <c r="S86" s="9"/>
      <c r="T86" s="9"/>
      <c r="U86" s="9"/>
      <c r="V86" s="9"/>
    </row>
    <row r="87" spans="2:22" x14ac:dyDescent="0.3">
      <c r="B87" s="7">
        <v>45981</v>
      </c>
      <c r="C87" s="8" t="s">
        <v>107</v>
      </c>
      <c r="D87" s="9">
        <v>3804</v>
      </c>
      <c r="E87" s="9">
        <f t="shared" si="18"/>
        <v>3279.6</v>
      </c>
      <c r="F87" s="9">
        <f t="shared" si="19"/>
        <v>-66</v>
      </c>
      <c r="G87" s="9">
        <f t="shared" si="20"/>
        <v>0</v>
      </c>
      <c r="H87" s="9">
        <f t="shared" si="22"/>
        <v>590</v>
      </c>
      <c r="I87" s="9">
        <f>VLOOKUP(C87,[1]working!$M:$U,9,0)</f>
        <v>3870.39</v>
      </c>
      <c r="J87" s="9">
        <f t="shared" si="23"/>
        <v>-590.79</v>
      </c>
      <c r="K87" s="9" t="s">
        <v>118</v>
      </c>
      <c r="L87" s="9">
        <v>3280</v>
      </c>
      <c r="M87" s="9">
        <v>590.4</v>
      </c>
      <c r="N87" s="9">
        <v>-66</v>
      </c>
      <c r="O87" s="9">
        <v>-0.4</v>
      </c>
      <c r="P87" s="9"/>
      <c r="Q87" s="9"/>
      <c r="R87" s="9"/>
      <c r="S87" s="9"/>
      <c r="T87" s="9"/>
      <c r="U87" s="9"/>
      <c r="V87" s="9"/>
    </row>
    <row r="88" spans="2:22" x14ac:dyDescent="0.3">
      <c r="B88" s="7">
        <v>45993</v>
      </c>
      <c r="C88" s="8" t="s">
        <v>108</v>
      </c>
      <c r="D88" s="9">
        <v>27071</v>
      </c>
      <c r="E88" s="9">
        <f t="shared" si="18"/>
        <v>25066</v>
      </c>
      <c r="F88" s="9">
        <f t="shared" si="19"/>
        <v>-2507</v>
      </c>
      <c r="G88" s="9">
        <f t="shared" si="20"/>
        <v>0</v>
      </c>
      <c r="H88" s="9">
        <f t="shared" si="22"/>
        <v>4513</v>
      </c>
      <c r="I88" s="9">
        <f>VLOOKUP(C88,[1]working!$M:$U,9,0)</f>
        <v>34900.839999999997</v>
      </c>
      <c r="J88" s="9">
        <f>D88-I88</f>
        <v>-7829.8399999999965</v>
      </c>
      <c r="K88" s="9" t="s">
        <v>119</v>
      </c>
      <c r="L88" s="9"/>
      <c r="M88" s="9">
        <v>4512</v>
      </c>
      <c r="N88" s="9"/>
      <c r="O88" s="9">
        <v>1</v>
      </c>
      <c r="P88" s="9">
        <v>25065</v>
      </c>
      <c r="Q88" s="9">
        <v>-2507</v>
      </c>
      <c r="R88" s="9"/>
      <c r="S88" s="9"/>
      <c r="T88" s="9"/>
      <c r="U88" s="9"/>
      <c r="V88" s="9"/>
    </row>
  </sheetData>
  <autoFilter ref="B2:V8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</dc:creator>
  <cp:lastModifiedBy>Achal Thakkar</cp:lastModifiedBy>
  <dcterms:created xsi:type="dcterms:W3CDTF">2015-06-05T18:17:20Z</dcterms:created>
  <dcterms:modified xsi:type="dcterms:W3CDTF">2026-04-13T14:40:44Z</dcterms:modified>
</cp:coreProperties>
</file>