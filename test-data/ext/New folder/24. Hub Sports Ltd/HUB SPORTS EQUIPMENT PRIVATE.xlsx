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bmcserver\E\Server (K)\1. Tax and assurance\Capital Land\24. Hub Sports Ltd\"/>
    </mc:Choice>
  </mc:AlternateContent>
  <xr:revisionPtr revIDLastSave="0" documentId="13_ncr:1_{63E19056-E7F3-42F2-A1DB-7484E6D85CE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working" sheetId="2" r:id="rId2"/>
  </sheets>
  <externalReferences>
    <externalReference r:id="rId3"/>
  </externalReferences>
  <definedNames>
    <definedName name="_xlnm._FilterDatabase" localSheetId="1" hidden="1">working!$A$2:$AM$136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19" i="2" l="1"/>
  <c r="V94" i="2"/>
  <c r="V62" i="2"/>
  <c r="V61" i="2"/>
  <c r="V60" i="2"/>
  <c r="V59" i="2"/>
  <c r="V54" i="2"/>
  <c r="V26" i="2"/>
  <c r="Y136" i="2"/>
  <c r="Y135" i="2"/>
  <c r="Y134" i="2"/>
  <c r="Y133" i="2"/>
  <c r="Y132" i="2"/>
  <c r="Y131" i="2"/>
  <c r="Y130" i="2"/>
  <c r="Y129" i="2"/>
  <c r="Y128" i="2"/>
  <c r="Y120" i="2"/>
  <c r="Y117" i="2"/>
  <c r="Y116" i="2"/>
  <c r="Y115" i="2"/>
  <c r="Y108" i="2"/>
  <c r="Y106" i="2"/>
  <c r="Y105" i="2"/>
  <c r="Y104" i="2"/>
  <c r="Y93" i="2"/>
  <c r="Y92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2" i="2"/>
  <c r="Y71" i="2"/>
  <c r="Y70" i="2"/>
  <c r="Y69" i="2"/>
  <c r="Y68" i="2"/>
  <c r="Y67" i="2"/>
  <c r="Y66" i="2"/>
  <c r="Y65" i="2"/>
  <c r="Y64" i="2"/>
  <c r="Y35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119" i="2"/>
  <c r="Y112" i="2"/>
  <c r="Y25" i="2"/>
  <c r="Y53" i="2"/>
  <c r="Y52" i="2"/>
  <c r="Y51" i="2"/>
  <c r="Y54" i="2"/>
  <c r="Y101" i="2"/>
  <c r="Y100" i="2"/>
  <c r="Y124" i="2"/>
  <c r="Y121" i="2"/>
  <c r="Y126" i="2"/>
  <c r="Y127" i="2"/>
  <c r="Y125" i="2"/>
  <c r="Y45" i="2"/>
  <c r="Y44" i="2"/>
  <c r="Y43" i="2"/>
  <c r="Y42" i="2"/>
  <c r="Y91" i="2"/>
  <c r="Y89" i="2"/>
  <c r="Y90" i="2"/>
  <c r="Y58" i="2"/>
  <c r="Y57" i="2"/>
  <c r="Y56" i="2"/>
  <c r="Y55" i="2"/>
  <c r="Y41" i="2"/>
  <c r="Y123" i="2"/>
  <c r="Y122" i="2"/>
  <c r="Y63" i="2"/>
  <c r="Y48" i="2"/>
  <c r="Y47" i="2"/>
  <c r="Y46" i="2"/>
  <c r="Y50" i="2"/>
  <c r="Y49" i="2"/>
  <c r="Y111" i="2"/>
  <c r="Y26" i="2"/>
  <c r="Y60" i="2"/>
  <c r="Y59" i="2"/>
  <c r="Y107" i="2"/>
  <c r="Y109" i="2"/>
  <c r="Y95" i="2"/>
  <c r="Y94" i="2"/>
  <c r="Y62" i="2"/>
  <c r="Y61" i="2"/>
  <c r="Y34" i="2"/>
  <c r="Y110" i="2"/>
  <c r="Y118" i="2"/>
  <c r="Y113" i="2"/>
  <c r="Y114" i="2"/>
  <c r="Y102" i="2"/>
  <c r="Y103" i="2"/>
  <c r="Y36" i="2"/>
  <c r="Y40" i="2"/>
  <c r="Y39" i="2"/>
  <c r="Y37" i="2"/>
  <c r="Y38" i="2"/>
  <c r="Y30" i="2"/>
  <c r="Y33" i="2"/>
  <c r="Y29" i="2"/>
  <c r="Y27" i="2"/>
  <c r="Y32" i="2"/>
  <c r="Y21" i="2"/>
  <c r="Y73" i="2"/>
  <c r="Y28" i="2"/>
  <c r="Y31" i="2"/>
  <c r="Y22" i="2"/>
  <c r="Y23" i="2"/>
  <c r="Y24" i="2"/>
  <c r="Y98" i="2"/>
  <c r="Y96" i="2"/>
  <c r="Y97" i="2"/>
  <c r="Y99" i="2"/>
  <c r="X25" i="2" l="1"/>
  <c r="X53" i="2"/>
  <c r="X52" i="2"/>
  <c r="X51" i="2"/>
  <c r="X54" i="2"/>
  <c r="X101" i="2"/>
  <c r="X100" i="2"/>
  <c r="X124" i="2"/>
  <c r="X121" i="2"/>
  <c r="X126" i="2"/>
  <c r="X45" i="2"/>
  <c r="X44" i="2"/>
  <c r="X43" i="2"/>
  <c r="X42" i="2"/>
  <c r="X91" i="2"/>
  <c r="X89" i="2"/>
  <c r="X90" i="2"/>
  <c r="X58" i="2"/>
  <c r="X57" i="2"/>
  <c r="X56" i="2"/>
  <c r="X41" i="2"/>
  <c r="X123" i="2"/>
  <c r="X122" i="2"/>
  <c r="X63" i="2"/>
  <c r="X48" i="2"/>
  <c r="X47" i="2"/>
  <c r="X46" i="2"/>
  <c r="X50" i="2"/>
  <c r="X111" i="2"/>
  <c r="X26" i="2"/>
  <c r="X60" i="2"/>
  <c r="X59" i="2"/>
  <c r="X107" i="2"/>
  <c r="X109" i="2"/>
  <c r="X95" i="2"/>
  <c r="X94" i="2"/>
  <c r="X62" i="2"/>
  <c r="X61" i="2"/>
  <c r="X110" i="2"/>
  <c r="X118" i="2"/>
  <c r="X113" i="2"/>
  <c r="X114" i="2"/>
  <c r="X102" i="2"/>
  <c r="X103" i="2"/>
  <c r="X40" i="2"/>
  <c r="X39" i="2"/>
  <c r="X37" i="2"/>
  <c r="X38" i="2"/>
  <c r="X30" i="2"/>
  <c r="X33" i="2"/>
  <c r="X29" i="2"/>
  <c r="X27" i="2"/>
  <c r="X32" i="2"/>
  <c r="X73" i="2"/>
  <c r="X28" i="2"/>
  <c r="X22" i="2"/>
  <c r="X23" i="2"/>
  <c r="X24" i="2"/>
  <c r="X98" i="2"/>
  <c r="X96" i="2"/>
  <c r="X97" i="2"/>
  <c r="X99" i="2"/>
  <c r="V99" i="2"/>
  <c r="W99" i="2" s="1"/>
  <c r="X127" i="2"/>
  <c r="X125" i="2"/>
  <c r="X119" i="2"/>
  <c r="X112" i="2"/>
  <c r="X55" i="2"/>
  <c r="X49" i="2"/>
  <c r="X36" i="2"/>
  <c r="X34" i="2"/>
  <c r="X31" i="2"/>
  <c r="X21" i="2"/>
  <c r="V136" i="2"/>
  <c r="W136" i="2" s="1"/>
  <c r="V135" i="2"/>
  <c r="W135" i="2" s="1"/>
  <c r="V134" i="2"/>
  <c r="W134" i="2" s="1"/>
  <c r="V133" i="2"/>
  <c r="W133" i="2" s="1"/>
  <c r="V132" i="2"/>
  <c r="W132" i="2" s="1"/>
  <c r="V131" i="2"/>
  <c r="W131" i="2" s="1"/>
  <c r="V130" i="2"/>
  <c r="W130" i="2" s="1"/>
  <c r="V129" i="2"/>
  <c r="W129" i="2" s="1"/>
  <c r="V128" i="2"/>
  <c r="W128" i="2" s="1"/>
  <c r="V120" i="2"/>
  <c r="W120" i="2" s="1"/>
  <c r="V117" i="2"/>
  <c r="W117" i="2" s="1"/>
  <c r="V116" i="2"/>
  <c r="W116" i="2" s="1"/>
  <c r="V115" i="2"/>
  <c r="W115" i="2" s="1"/>
  <c r="V108" i="2"/>
  <c r="W108" i="2" s="1"/>
  <c r="V106" i="2"/>
  <c r="W106" i="2" s="1"/>
  <c r="V105" i="2"/>
  <c r="W105" i="2" s="1"/>
  <c r="V104" i="2"/>
  <c r="W104" i="2" s="1"/>
  <c r="V93" i="2"/>
  <c r="W93" i="2" s="1"/>
  <c r="V92" i="2"/>
  <c r="W92" i="2" s="1"/>
  <c r="V88" i="2"/>
  <c r="W88" i="2" s="1"/>
  <c r="V87" i="2"/>
  <c r="W87" i="2" s="1"/>
  <c r="V86" i="2"/>
  <c r="W86" i="2" s="1"/>
  <c r="V85" i="2"/>
  <c r="W85" i="2" s="1"/>
  <c r="V84" i="2"/>
  <c r="W84" i="2" s="1"/>
  <c r="V83" i="2"/>
  <c r="W83" i="2" s="1"/>
  <c r="V82" i="2"/>
  <c r="W82" i="2" s="1"/>
  <c r="V81" i="2"/>
  <c r="W81" i="2" s="1"/>
  <c r="V80" i="2"/>
  <c r="W80" i="2" s="1"/>
  <c r="V79" i="2"/>
  <c r="W79" i="2" s="1"/>
  <c r="V78" i="2"/>
  <c r="W78" i="2" s="1"/>
  <c r="V77" i="2"/>
  <c r="W77" i="2" s="1"/>
  <c r="V76" i="2"/>
  <c r="W76" i="2" s="1"/>
  <c r="V75" i="2"/>
  <c r="W75" i="2" s="1"/>
  <c r="V74" i="2"/>
  <c r="W74" i="2" s="1"/>
  <c r="V72" i="2"/>
  <c r="W72" i="2" s="1"/>
  <c r="V71" i="2"/>
  <c r="W71" i="2" s="1"/>
  <c r="V70" i="2"/>
  <c r="W70" i="2" s="1"/>
  <c r="V69" i="2"/>
  <c r="W69" i="2" s="1"/>
  <c r="V68" i="2"/>
  <c r="W68" i="2" s="1"/>
  <c r="V67" i="2"/>
  <c r="W67" i="2" s="1"/>
  <c r="V66" i="2"/>
  <c r="W66" i="2" s="1"/>
  <c r="V65" i="2"/>
  <c r="W65" i="2" s="1"/>
  <c r="V64" i="2"/>
  <c r="W64" i="2" s="1"/>
  <c r="V35" i="2"/>
  <c r="W35" i="2" s="1"/>
  <c r="V20" i="2"/>
  <c r="W20" i="2" s="1"/>
  <c r="V19" i="2"/>
  <c r="W19" i="2" s="1"/>
  <c r="V18" i="2"/>
  <c r="W18" i="2" s="1"/>
  <c r="V17" i="2"/>
  <c r="W17" i="2" s="1"/>
  <c r="V16" i="2"/>
  <c r="W16" i="2" s="1"/>
  <c r="V15" i="2"/>
  <c r="W15" i="2" s="1"/>
  <c r="V14" i="2"/>
  <c r="W14" i="2" s="1"/>
  <c r="V13" i="2"/>
  <c r="W13" i="2" s="1"/>
  <c r="V12" i="2"/>
  <c r="W12" i="2" s="1"/>
  <c r="V7" i="2"/>
  <c r="W7" i="2" s="1"/>
  <c r="V6" i="2"/>
  <c r="W6" i="2" s="1"/>
  <c r="V5" i="2"/>
  <c r="W5" i="2" s="1"/>
  <c r="V4" i="2"/>
  <c r="W4" i="2" s="1"/>
  <c r="V3" i="2"/>
  <c r="W3" i="2" s="1"/>
  <c r="W119" i="2"/>
  <c r="V112" i="2"/>
  <c r="W112" i="2" s="1"/>
  <c r="V25" i="2"/>
  <c r="W25" i="2" s="1"/>
  <c r="V53" i="2"/>
  <c r="W53" i="2" s="1"/>
  <c r="V52" i="2"/>
  <c r="W52" i="2" s="1"/>
  <c r="V51" i="2"/>
  <c r="W51" i="2" s="1"/>
  <c r="W54" i="2"/>
  <c r="V101" i="2"/>
  <c r="W101" i="2" s="1"/>
  <c r="V100" i="2"/>
  <c r="W100" i="2" s="1"/>
  <c r="V124" i="2"/>
  <c r="W124" i="2" s="1"/>
  <c r="V121" i="2"/>
  <c r="W121" i="2" s="1"/>
  <c r="V126" i="2"/>
  <c r="W126" i="2" s="1"/>
  <c r="V127" i="2"/>
  <c r="W127" i="2" s="1"/>
  <c r="V125" i="2"/>
  <c r="W125" i="2" s="1"/>
  <c r="V45" i="2"/>
  <c r="W45" i="2" s="1"/>
  <c r="V44" i="2"/>
  <c r="W44" i="2" s="1"/>
  <c r="V43" i="2"/>
  <c r="W43" i="2" s="1"/>
  <c r="V42" i="2"/>
  <c r="W42" i="2" s="1"/>
  <c r="V91" i="2"/>
  <c r="W91" i="2" s="1"/>
  <c r="V89" i="2"/>
  <c r="W89" i="2" s="1"/>
  <c r="V90" i="2"/>
  <c r="W90" i="2" s="1"/>
  <c r="V58" i="2"/>
  <c r="W58" i="2" s="1"/>
  <c r="V57" i="2"/>
  <c r="W57" i="2" s="1"/>
  <c r="V56" i="2"/>
  <c r="W56" i="2" s="1"/>
  <c r="V55" i="2"/>
  <c r="W55" i="2" s="1"/>
  <c r="V41" i="2"/>
  <c r="W41" i="2" s="1"/>
  <c r="V123" i="2"/>
  <c r="W123" i="2" s="1"/>
  <c r="V122" i="2"/>
  <c r="W122" i="2" s="1"/>
  <c r="V63" i="2"/>
  <c r="W63" i="2" s="1"/>
  <c r="V48" i="2"/>
  <c r="W48" i="2" s="1"/>
  <c r="V47" i="2"/>
  <c r="W47" i="2" s="1"/>
  <c r="V46" i="2"/>
  <c r="W46" i="2" s="1"/>
  <c r="V50" i="2"/>
  <c r="W50" i="2" s="1"/>
  <c r="V49" i="2"/>
  <c r="W49" i="2" s="1"/>
  <c r="V111" i="2"/>
  <c r="W111" i="2" s="1"/>
  <c r="W26" i="2"/>
  <c r="W60" i="2"/>
  <c r="W59" i="2"/>
  <c r="V107" i="2"/>
  <c r="W107" i="2" s="1"/>
  <c r="V109" i="2"/>
  <c r="W109" i="2" s="1"/>
  <c r="V95" i="2"/>
  <c r="W95" i="2" s="1"/>
  <c r="W94" i="2"/>
  <c r="W62" i="2"/>
  <c r="W61" i="2"/>
  <c r="V34" i="2"/>
  <c r="W34" i="2" s="1"/>
  <c r="V110" i="2"/>
  <c r="W110" i="2" s="1"/>
  <c r="V118" i="2"/>
  <c r="W118" i="2" s="1"/>
  <c r="V113" i="2"/>
  <c r="W113" i="2" s="1"/>
  <c r="V114" i="2"/>
  <c r="W114" i="2" s="1"/>
  <c r="V102" i="2"/>
  <c r="W102" i="2" s="1"/>
  <c r="V103" i="2"/>
  <c r="W103" i="2" s="1"/>
  <c r="V36" i="2"/>
  <c r="W36" i="2" s="1"/>
  <c r="V40" i="2"/>
  <c r="W40" i="2" s="1"/>
  <c r="V39" i="2"/>
  <c r="W39" i="2" s="1"/>
  <c r="V37" i="2"/>
  <c r="W37" i="2" s="1"/>
  <c r="V38" i="2"/>
  <c r="W38" i="2" s="1"/>
  <c r="V27" i="2"/>
  <c r="W27" i="2" s="1"/>
  <c r="V32" i="2"/>
  <c r="W32" i="2" s="1"/>
  <c r="V21" i="2"/>
  <c r="W21" i="2" s="1"/>
  <c r="V73" i="2"/>
  <c r="W73" i="2" s="1"/>
  <c r="V28" i="2"/>
  <c r="W28" i="2" s="1"/>
  <c r="V31" i="2"/>
  <c r="W31" i="2" s="1"/>
  <c r="V22" i="2"/>
  <c r="W22" i="2" s="1"/>
  <c r="V23" i="2"/>
  <c r="W23" i="2" s="1"/>
  <c r="V24" i="2"/>
  <c r="W24" i="2" s="1"/>
  <c r="V98" i="2"/>
  <c r="W98" i="2" s="1"/>
  <c r="V96" i="2"/>
  <c r="W96" i="2" s="1"/>
  <c r="V97" i="2"/>
  <c r="W97" i="2" s="1"/>
  <c r="V30" i="2"/>
  <c r="W30" i="2" s="1"/>
  <c r="V33" i="2"/>
  <c r="W33" i="2" s="1"/>
  <c r="V29" i="2"/>
  <c r="W29" i="2" s="1"/>
  <c r="U1" i="2"/>
  <c r="Z102" i="2" l="1"/>
  <c r="Z97" i="2"/>
  <c r="Z21" i="2"/>
  <c r="Z98" i="2"/>
  <c r="Z29" i="2"/>
  <c r="Z28" i="2"/>
  <c r="Z118" i="2"/>
  <c r="Z61" i="2"/>
  <c r="Z22" i="2"/>
  <c r="Z60" i="2"/>
  <c r="Z90" i="2"/>
  <c r="Z113" i="2"/>
  <c r="Z34" i="2"/>
  <c r="Z112" i="2"/>
  <c r="Z31" i="2"/>
  <c r="Z62" i="2"/>
  <c r="Z25" i="2"/>
  <c r="Z27" i="2"/>
  <c r="Z121" i="2"/>
  <c r="Z59" i="2"/>
  <c r="Z45" i="2"/>
  <c r="Z37" i="2"/>
  <c r="Z53" i="2"/>
  <c r="Z55" i="2"/>
  <c r="Z107" i="2"/>
  <c r="Z54" i="2"/>
  <c r="Z41" i="2"/>
  <c r="Z33" i="2"/>
  <c r="Z124" i="2"/>
  <c r="Z47" i="2"/>
  <c r="Z110" i="2"/>
  <c r="Z109" i="2"/>
  <c r="Z101" i="2"/>
  <c r="Z73" i="2"/>
  <c r="Z23" i="2"/>
  <c r="Z89" i="2"/>
  <c r="Z91" i="2"/>
  <c r="Z63" i="2"/>
  <c r="Z96" i="2"/>
  <c r="Z58" i="2"/>
  <c r="Z42" i="2"/>
  <c r="Z39" i="2"/>
  <c r="Z99" i="2"/>
  <c r="Z26" i="2"/>
  <c r="Z103" i="2"/>
  <c r="Z94" i="2"/>
  <c r="Z46" i="2"/>
  <c r="Z30" i="2"/>
  <c r="Z48" i="2"/>
  <c r="Z24" i="2"/>
  <c r="Z114" i="2"/>
  <c r="Z40" i="2"/>
  <c r="Z125" i="2"/>
  <c r="Z56" i="2"/>
  <c r="Z57" i="2"/>
  <c r="Z44" i="2"/>
  <c r="Z126" i="2"/>
  <c r="Z122" i="2"/>
  <c r="Z49" i="2"/>
  <c r="Z32" i="2"/>
  <c r="Z127" i="2"/>
  <c r="Z36" i="2"/>
  <c r="Z95" i="2"/>
  <c r="Z100" i="2"/>
  <c r="Z119" i="2"/>
  <c r="Z50" i="2"/>
  <c r="Z123" i="2"/>
  <c r="Z43" i="2"/>
  <c r="Z51" i="2"/>
  <c r="Z38" i="2"/>
  <c r="Z111" i="2"/>
  <c r="Z52" i="2"/>
</calcChain>
</file>

<file path=xl/sharedStrings.xml><?xml version="1.0" encoding="utf-8"?>
<sst xmlns="http://schemas.openxmlformats.org/spreadsheetml/2006/main" count="7279" uniqueCount="485">
  <si>
    <t>Selected</t>
  </si>
  <si>
    <t>6779</t>
  </si>
  <si>
    <t>100222421</t>
  </si>
  <si>
    <t>HUB SPORTS EQUIPMENT PRIVATE</t>
  </si>
  <si>
    <t>2025</t>
  </si>
  <si>
    <t>11</t>
  </si>
  <si>
    <t>1600002610</t>
  </si>
  <si>
    <t>DA</t>
  </si>
  <si>
    <t/>
  </si>
  <si>
    <t>212100</t>
  </si>
  <si>
    <t>Trade Debtors (Ctrl)</t>
  </si>
  <si>
    <t>17</t>
  </si>
  <si>
    <t>INR</t>
  </si>
  <si>
    <t>6779220000</t>
  </si>
  <si>
    <t>1</t>
  </si>
  <si>
    <t>As per SME confirmation parked under overpay</t>
  </si>
  <si>
    <t>07</t>
  </si>
  <si>
    <t>2</t>
  </si>
  <si>
    <t>4</t>
  </si>
  <si>
    <t>1600000087</t>
  </si>
  <si>
    <t>6779224500</t>
  </si>
  <si>
    <t>Overpayment</t>
  </si>
  <si>
    <t>90000017</t>
  </si>
  <si>
    <t>RV</t>
  </si>
  <si>
    <t>NA</t>
  </si>
  <si>
    <t>01</t>
  </si>
  <si>
    <t>O0</t>
  </si>
  <si>
    <t>6779224501</t>
  </si>
  <si>
    <t>2128973</t>
  </si>
  <si>
    <t>Security Deposit GL code - 468201</t>
  </si>
  <si>
    <t>1400001986</t>
  </si>
  <si>
    <t>DZ</t>
  </si>
  <si>
    <t>SBINN52025022832108297</t>
  </si>
  <si>
    <t>15</t>
  </si>
  <si>
    <t>Not Selected</t>
  </si>
  <si>
    <t>8</t>
  </si>
  <si>
    <t>1400001024</t>
  </si>
  <si>
    <t>DHN1MLY5MSLS</t>
  </si>
  <si>
    <t>7</t>
  </si>
  <si>
    <t>1400000108</t>
  </si>
  <si>
    <t>RBINR52025060555700671</t>
  </si>
  <si>
    <t>10</t>
  </si>
  <si>
    <t>1400001405</t>
  </si>
  <si>
    <t>UTIBN62025100850554823</t>
  </si>
  <si>
    <t>3</t>
  </si>
  <si>
    <t>7000000174</t>
  </si>
  <si>
    <t>XC</t>
  </si>
  <si>
    <t>6779ZP25000173</t>
  </si>
  <si>
    <t>7000000264</t>
  </si>
  <si>
    <t>6779ZR25000046</t>
  </si>
  <si>
    <t>7000000196</t>
  </si>
  <si>
    <t>6779ZR25000004</t>
  </si>
  <si>
    <t>6779ZP25000114</t>
  </si>
  <si>
    <t>151</t>
  </si>
  <si>
    <t>7000000123</t>
  </si>
  <si>
    <t>1400001850</t>
  </si>
  <si>
    <t>DY</t>
  </si>
  <si>
    <t>KNOCK OFF ENTRY</t>
  </si>
  <si>
    <t>08</t>
  </si>
  <si>
    <t>USD</t>
  </si>
  <si>
    <t>1800004242</t>
  </si>
  <si>
    <t>DR</t>
  </si>
  <si>
    <t>246779414110</t>
  </si>
  <si>
    <t>O2</t>
  </si>
  <si>
    <t>Inbound Handling charges for Sep 2024</t>
  </si>
  <si>
    <t>1800004419</t>
  </si>
  <si>
    <t>246779414287</t>
  </si>
  <si>
    <t>Inbound Handling charges for Oct 2024</t>
  </si>
  <si>
    <t>1800004712</t>
  </si>
  <si>
    <t>246779414580</t>
  </si>
  <si>
    <t>Loose handling Charges for Oct 2024</t>
  </si>
  <si>
    <t>1800006557</t>
  </si>
  <si>
    <t>256779411448</t>
  </si>
  <si>
    <t>Outbound Handling Charges Aug 2024</t>
  </si>
  <si>
    <t>1800005528</t>
  </si>
  <si>
    <t>256779410420</t>
  </si>
  <si>
    <t>Storage charges for March 2025</t>
  </si>
  <si>
    <t>1800005747</t>
  </si>
  <si>
    <t>256779410639</t>
  </si>
  <si>
    <t>Storage charges for Jan2025</t>
  </si>
  <si>
    <t>1800005867</t>
  </si>
  <si>
    <t>256779410759</t>
  </si>
  <si>
    <t>Storage charges for Feb 2025</t>
  </si>
  <si>
    <t>1800014926</t>
  </si>
  <si>
    <t>256779419408</t>
  </si>
  <si>
    <t>2130539</t>
  </si>
  <si>
    <t>Storage WH 12-1-15 NOV 25</t>
  </si>
  <si>
    <t>6</t>
  </si>
  <si>
    <t>1800009355</t>
  </si>
  <si>
    <t>256779414119</t>
  </si>
  <si>
    <t>Storage 16-31 May-25,WH-12</t>
  </si>
  <si>
    <t>1800006194</t>
  </si>
  <si>
    <t>256779411085</t>
  </si>
  <si>
    <t>LCL Charges August 2024</t>
  </si>
  <si>
    <t>1800006195</t>
  </si>
  <si>
    <t>256779411086</t>
  </si>
  <si>
    <t>1800006553</t>
  </si>
  <si>
    <t>256779411444</t>
  </si>
  <si>
    <t>1800006554</t>
  </si>
  <si>
    <t>256779411445</t>
  </si>
  <si>
    <t>1800006555</t>
  </si>
  <si>
    <t>256779411446</t>
  </si>
  <si>
    <t>1800006556</t>
  </si>
  <si>
    <t>256779411447</t>
  </si>
  <si>
    <t>1800006558</t>
  </si>
  <si>
    <t>256779411449</t>
  </si>
  <si>
    <t>5</t>
  </si>
  <si>
    <t>1800008848</t>
  </si>
  <si>
    <t>256779413612</t>
  </si>
  <si>
    <t>Storage 16-30 April-25-WH12</t>
  </si>
  <si>
    <t>1600002461</t>
  </si>
  <si>
    <t>DG</t>
  </si>
  <si>
    <t>256779422003</t>
  </si>
  <si>
    <t>2117487</t>
  </si>
  <si>
    <t>Credit note raised against 256779418065</t>
  </si>
  <si>
    <t>1800006893</t>
  </si>
  <si>
    <t>256779411784</t>
  </si>
  <si>
    <t>Inbound Handling charges for Dec 2024</t>
  </si>
  <si>
    <t>1800006894</t>
  </si>
  <si>
    <t>256779411785</t>
  </si>
  <si>
    <t>LCL charges for Dec 2024</t>
  </si>
  <si>
    <t>1800006969</t>
  </si>
  <si>
    <t>256779411860</t>
  </si>
  <si>
    <t>Outbound Handling charges for Dec 2024</t>
  </si>
  <si>
    <t>1800006970</t>
  </si>
  <si>
    <t>256779411861</t>
  </si>
  <si>
    <t>Loose loading Handling charges for Dec 2024</t>
  </si>
  <si>
    <t>1800005996</t>
  </si>
  <si>
    <t>256779410887</t>
  </si>
  <si>
    <t>1800011253</t>
  </si>
  <si>
    <t>256779415985</t>
  </si>
  <si>
    <t>VAS 16-31 May 25 Ex.85.48</t>
  </si>
  <si>
    <t>9</t>
  </si>
  <si>
    <t>1800012411</t>
  </si>
  <si>
    <t>256779417047</t>
  </si>
  <si>
    <t>WH 12- Storage - 16-31 Aug 25</t>
  </si>
  <si>
    <t>1800012538</t>
  </si>
  <si>
    <t>256779417220</t>
  </si>
  <si>
    <t>Noting Chgs - 01 - 31 AUG 25</t>
  </si>
  <si>
    <t>1800012638</t>
  </si>
  <si>
    <t>256779417278</t>
  </si>
  <si>
    <t>LCL Chgs - 16 - 31 AUG 25</t>
  </si>
  <si>
    <t>1800012672</t>
  </si>
  <si>
    <t>256779417312</t>
  </si>
  <si>
    <t>2096996</t>
  </si>
  <si>
    <t>Outbound chgs - 16 - 31 Aug 25</t>
  </si>
  <si>
    <t>1800010221</t>
  </si>
  <si>
    <t>256779414981</t>
  </si>
  <si>
    <t>Noting Chgs - 01 - 30 JUN 25</t>
  </si>
  <si>
    <t>1800010266</t>
  </si>
  <si>
    <t>256779415026</t>
  </si>
  <si>
    <t>Outbound chgs - 16 - 30 Jun 25</t>
  </si>
  <si>
    <t>1800010362</t>
  </si>
  <si>
    <t>256779415122</t>
  </si>
  <si>
    <t>Storage 16-30 June-25,WH-12</t>
  </si>
  <si>
    <t>1800010031</t>
  </si>
  <si>
    <t>256779414795</t>
  </si>
  <si>
    <t>LCL Chgs - 01 - 15 JUN 25</t>
  </si>
  <si>
    <t>1800010058</t>
  </si>
  <si>
    <t>256779414822</t>
  </si>
  <si>
    <t>Outbound chgs - 01 - 15 Jun 25</t>
  </si>
  <si>
    <t>1800014309</t>
  </si>
  <si>
    <t>256779419035</t>
  </si>
  <si>
    <t>2123401</t>
  </si>
  <si>
    <t>Storage WH 12-16-31 OCT 25</t>
  </si>
  <si>
    <t>1800014514</t>
  </si>
  <si>
    <t>256779419163</t>
  </si>
  <si>
    <t>2123410</t>
  </si>
  <si>
    <t>Outbound chgs - 16 - 31 Oct 25</t>
  </si>
  <si>
    <t>1800014753</t>
  </si>
  <si>
    <t>256779419254</t>
  </si>
  <si>
    <t>2123697</t>
  </si>
  <si>
    <t>Noting Chgs - 01 - 31 OCT 25</t>
  </si>
  <si>
    <t>1800014397</t>
  </si>
  <si>
    <t>256779419119</t>
  </si>
  <si>
    <t>2123409</t>
  </si>
  <si>
    <t>LCL Chgs - 16 - 31 OCT 25</t>
  </si>
  <si>
    <t>1800011777</t>
  </si>
  <si>
    <t>256779416168</t>
  </si>
  <si>
    <t>LCL Chgs - 16 - 31 JUL 25</t>
  </si>
  <si>
    <t>1800011692</t>
  </si>
  <si>
    <t>256779416210</t>
  </si>
  <si>
    <t>Outbound chgs - 16 - 31 Jul 25</t>
  </si>
  <si>
    <t>1800011467</t>
  </si>
  <si>
    <t>256779416317</t>
  </si>
  <si>
    <t>Storage 16-31 Jul -25,WH-12</t>
  </si>
  <si>
    <t>1800011872</t>
  </si>
  <si>
    <t>256779416523</t>
  </si>
  <si>
    <t>Noting Chgs - 01 - 31 JUL 25</t>
  </si>
  <si>
    <t>1800009436</t>
  </si>
  <si>
    <t>256779414200</t>
  </si>
  <si>
    <t>Outbound chgs - 16 - 31 MAY 25</t>
  </si>
  <si>
    <t>1800009543</t>
  </si>
  <si>
    <t>256779414307</t>
  </si>
  <si>
    <t>LCL Chgs - 16-31 MAY 25</t>
  </si>
  <si>
    <t>1800008541</t>
  </si>
  <si>
    <t>256779413305</t>
  </si>
  <si>
    <t>LCL Chgs - 16 - 30 Apr 25</t>
  </si>
  <si>
    <t>1800008579</t>
  </si>
  <si>
    <t>256779413343</t>
  </si>
  <si>
    <t>Outbound chgs - 16 - 30 Apr 25</t>
  </si>
  <si>
    <t>1800010731</t>
  </si>
  <si>
    <t>256779415515</t>
  </si>
  <si>
    <t>Outbound chgs - 01 - 15 Jul 25</t>
  </si>
  <si>
    <t>1800004006</t>
  </si>
  <si>
    <t>246779413862</t>
  </si>
  <si>
    <t>Outbound Handling charges for Feb 2025</t>
  </si>
  <si>
    <t>1800004007</t>
  </si>
  <si>
    <t>246779413863</t>
  </si>
  <si>
    <t>1800004009</t>
  </si>
  <si>
    <t>246779413865</t>
  </si>
  <si>
    <t>1800004243</t>
  </si>
  <si>
    <t>246779414111</t>
  </si>
  <si>
    <t>LCL charges for Sep 2024</t>
  </si>
  <si>
    <t>1800004329</t>
  </si>
  <si>
    <t>246779414197</t>
  </si>
  <si>
    <t>Outbound Handling charges for Sep 2024</t>
  </si>
  <si>
    <t>1800004330</t>
  </si>
  <si>
    <t>246779414198</t>
  </si>
  <si>
    <t>Loose loading Handling charges for Sep 2024</t>
  </si>
  <si>
    <t>1800004505</t>
  </si>
  <si>
    <t>246779414373</t>
  </si>
  <si>
    <t>Inbound Handling charges for Nov 2024</t>
  </si>
  <si>
    <t>1800004506</t>
  </si>
  <si>
    <t>246779414374</t>
  </si>
  <si>
    <t>LCL Movement Charges for Nov 2024</t>
  </si>
  <si>
    <t>1800004585</t>
  </si>
  <si>
    <t>246779414453</t>
  </si>
  <si>
    <t>Inbound Handling charges for Jan 2025</t>
  </si>
  <si>
    <t>1800004586</t>
  </si>
  <si>
    <t>246779414454</t>
  </si>
  <si>
    <t>LCL charges for Jan 2025</t>
  </si>
  <si>
    <t>1800004646</t>
  </si>
  <si>
    <t>246779414514</t>
  </si>
  <si>
    <t>Inbound Handling charges for Feb 2025</t>
  </si>
  <si>
    <t>1800004647</t>
  </si>
  <si>
    <t>246779414515</t>
  </si>
  <si>
    <t>LCL Movement Charges for Feb 2025</t>
  </si>
  <si>
    <t>1800004908</t>
  </si>
  <si>
    <t>246779414776</t>
  </si>
  <si>
    <t>1800004909</t>
  </si>
  <si>
    <t>246779414777</t>
  </si>
  <si>
    <t>Loose handling Charges for Feb 2025</t>
  </si>
  <si>
    <t>1800004981</t>
  </si>
  <si>
    <t>246779414849</t>
  </si>
  <si>
    <t>Outbound Handling charges for Jan 2025</t>
  </si>
  <si>
    <t>1800004982</t>
  </si>
  <si>
    <t>246779414850</t>
  </si>
  <si>
    <t>1800004985</t>
  </si>
  <si>
    <t>246779414853</t>
  </si>
  <si>
    <t>1800004986</t>
  </si>
  <si>
    <t>246779414854</t>
  </si>
  <si>
    <t>1800004713</t>
  </si>
  <si>
    <t>246779414581</t>
  </si>
  <si>
    <t>Outbound Handling charges for Oct 2024</t>
  </si>
  <si>
    <t>1800004787</t>
  </si>
  <si>
    <t>246779414655</t>
  </si>
  <si>
    <t>Loose handling Charges for Nov 2024</t>
  </si>
  <si>
    <t>1800004788</t>
  </si>
  <si>
    <t>246779414656</t>
  </si>
  <si>
    <t>Outbound Handling charges for Nov 2024</t>
  </si>
  <si>
    <t>1800004854</t>
  </si>
  <si>
    <t>246779414722</t>
  </si>
  <si>
    <t>1800004855</t>
  </si>
  <si>
    <t>246779414723</t>
  </si>
  <si>
    <t>Loose Loading Handling charges for Jan 2025</t>
  </si>
  <si>
    <t>1800004983</t>
  </si>
  <si>
    <t>246779414851</t>
  </si>
  <si>
    <t>1800004984</t>
  </si>
  <si>
    <t>246779414852</t>
  </si>
  <si>
    <t>1800012016</t>
  </si>
  <si>
    <t>256779416737</t>
  </si>
  <si>
    <t>Storage 1-15 Aug-25,WH-12</t>
  </si>
  <si>
    <t>1800012240</t>
  </si>
  <si>
    <t>256779416836</t>
  </si>
  <si>
    <t>LCL Chgs - 01 - 15 AUG 25</t>
  </si>
  <si>
    <t>1800012206</t>
  </si>
  <si>
    <t>256779416868</t>
  </si>
  <si>
    <t>Outbound chgs - 01 - 15 Aug 25</t>
  </si>
  <si>
    <t>12</t>
  </si>
  <si>
    <t>1800015366</t>
  </si>
  <si>
    <t>256779419815</t>
  </si>
  <si>
    <t>2140078</t>
  </si>
  <si>
    <t>Noting Chgs - 01 - 30 NOV 25</t>
  </si>
  <si>
    <t>1800015407</t>
  </si>
  <si>
    <t>256779419856</t>
  </si>
  <si>
    <t>2140083</t>
  </si>
  <si>
    <t>LCL Chgs - 16 - 30 NOV 25</t>
  </si>
  <si>
    <t>1800008714</t>
  </si>
  <si>
    <t>256779413478</t>
  </si>
  <si>
    <t>Outbound chgs - 01 - 15 MAY 25</t>
  </si>
  <si>
    <t>1800009114</t>
  </si>
  <si>
    <t>256779413878</t>
  </si>
  <si>
    <t>LCL Chgs - 01-15 MAY 25</t>
  </si>
  <si>
    <t>1800005120</t>
  </si>
  <si>
    <t>256779410066</t>
  </si>
  <si>
    <t>Inbound Handling charges for Mar 2025</t>
  </si>
  <si>
    <t>1800005121</t>
  </si>
  <si>
    <t>256779410067</t>
  </si>
  <si>
    <t>LCL charges for Mar 2025</t>
  </si>
  <si>
    <t>1800005176</t>
  </si>
  <si>
    <t>256779410122</t>
  </si>
  <si>
    <t>Outbound Handling charges for Mar 25</t>
  </si>
  <si>
    <t>1800005177</t>
  </si>
  <si>
    <t>256779410123</t>
  </si>
  <si>
    <t>Loose loading Handling charges for Mar 25</t>
  </si>
  <si>
    <t>1800013831</t>
  </si>
  <si>
    <t>256779418649</t>
  </si>
  <si>
    <t>2114881</t>
  </si>
  <si>
    <t>LCL Chgs - 01 - 15 OCT 25</t>
  </si>
  <si>
    <t>1800013910</t>
  </si>
  <si>
    <t>256779418687</t>
  </si>
  <si>
    <t>2114883</t>
  </si>
  <si>
    <t>Outbound chgs - 01 - 15 Oct 25</t>
  </si>
  <si>
    <t>1800007358</t>
  </si>
  <si>
    <t>256779412249</t>
  </si>
  <si>
    <t>Storage Charges for Aug 2024</t>
  </si>
  <si>
    <t>1800007508</t>
  </si>
  <si>
    <t>256779412399</t>
  </si>
  <si>
    <t>Storage charges for Sept 2024</t>
  </si>
  <si>
    <t>1800002599</t>
  </si>
  <si>
    <t>246779412466</t>
  </si>
  <si>
    <t>Storage charges for OCT 2024</t>
  </si>
  <si>
    <t>1800002648</t>
  </si>
  <si>
    <t>246779412515</t>
  </si>
  <si>
    <t>Storage charges for Nov 2024</t>
  </si>
  <si>
    <t>1800002700</t>
  </si>
  <si>
    <t>246779412567</t>
  </si>
  <si>
    <t>Storage Charges for Dec 2024</t>
  </si>
  <si>
    <t>1800008687</t>
  </si>
  <si>
    <t>256779413451</t>
  </si>
  <si>
    <t>Noting-16 Feb to 30 Apr 25</t>
  </si>
  <si>
    <t>1800013062</t>
  </si>
  <si>
    <t>256779417688</t>
  </si>
  <si>
    <t>2102536</t>
  </si>
  <si>
    <t>Storage WH 12-1-15 Sep 25</t>
  </si>
  <si>
    <t>1800008994</t>
  </si>
  <si>
    <t>256779413758</t>
  </si>
  <si>
    <t>Storage 1-15 May-25,WH-12</t>
  </si>
  <si>
    <t>1800007852</t>
  </si>
  <si>
    <t>256779412743</t>
  </si>
  <si>
    <t>Storage 1-15 April-25</t>
  </si>
  <si>
    <t>1800009924</t>
  </si>
  <si>
    <t>256779414688</t>
  </si>
  <si>
    <t>Storage 1-15 June-25,WH-12</t>
  </si>
  <si>
    <t>1800015117</t>
  </si>
  <si>
    <t>256779419616</t>
  </si>
  <si>
    <t>2130612</t>
  </si>
  <si>
    <t>Outbound chgs - 01 - 15 Nov 25</t>
  </si>
  <si>
    <t>1800007716</t>
  </si>
  <si>
    <t>256779412607</t>
  </si>
  <si>
    <t>Inbound Handling charges for 31 Mar 2025</t>
  </si>
  <si>
    <t>1800007755</t>
  </si>
  <si>
    <t>256779412646</t>
  </si>
  <si>
    <t>Outbound Handling charges for 31 Mar 25</t>
  </si>
  <si>
    <t>1800012979</t>
  </si>
  <si>
    <t>256779417514</t>
  </si>
  <si>
    <t>2102483</t>
  </si>
  <si>
    <t>Outbound chgs - 01 - 15 Sep 25</t>
  </si>
  <si>
    <t>1800012916</t>
  </si>
  <si>
    <t>256779417555</t>
  </si>
  <si>
    <t>2102480</t>
  </si>
  <si>
    <t>LCL Chgs - 01 - 15 SEP 25</t>
  </si>
  <si>
    <t>1800015275</t>
  </si>
  <si>
    <t>256779419904</t>
  </si>
  <si>
    <t>2140088</t>
  </si>
  <si>
    <t>Outbound chgs - 16 - 30 Nov 25</t>
  </si>
  <si>
    <t>1800008024</t>
  </si>
  <si>
    <t>256779412915</t>
  </si>
  <si>
    <t>Outbound chgs - 01 - 15 Apr 25</t>
  </si>
  <si>
    <t>1800015188</t>
  </si>
  <si>
    <t>256779419689</t>
  </si>
  <si>
    <t>Storage WH 12-16-30 Nov 25</t>
  </si>
  <si>
    <t>1800004420</t>
  </si>
  <si>
    <t>246779414288</t>
  </si>
  <si>
    <t>LCL Movement Charges for Oct 2024</t>
  </si>
  <si>
    <t>1800013543</t>
  </si>
  <si>
    <t>256779418303</t>
  </si>
  <si>
    <t>2110831</t>
  </si>
  <si>
    <t>Storage WH 12-16-30 Sep 25</t>
  </si>
  <si>
    <t>1800010911</t>
  </si>
  <si>
    <t>256779415671</t>
  </si>
  <si>
    <t>Storage 1-15 July-25,WH-12</t>
  </si>
  <si>
    <t>1800010975</t>
  </si>
  <si>
    <t>256779415735</t>
  </si>
  <si>
    <t>VAS - 1-15 July 25</t>
  </si>
  <si>
    <t>1800014097</t>
  </si>
  <si>
    <t>256779418581</t>
  </si>
  <si>
    <t>2114874</t>
  </si>
  <si>
    <t>Storage WH 12-1-15 OCT 25</t>
  </si>
  <si>
    <t>1800013372</t>
  </si>
  <si>
    <t>256779417968</t>
  </si>
  <si>
    <t>2110504</t>
  </si>
  <si>
    <t>Outbound chgs - 16 - 30 Sep 25</t>
  </si>
  <si>
    <t>1800013780</t>
  </si>
  <si>
    <t>256779418366</t>
  </si>
  <si>
    <t>Noting Chgs - 01 - 30 SEP 25</t>
  </si>
  <si>
    <t>1800013418</t>
  </si>
  <si>
    <t>256779418065</t>
  </si>
  <si>
    <t>2110503</t>
  </si>
  <si>
    <t>2026</t>
  </si>
  <si>
    <t>1800015892</t>
  </si>
  <si>
    <t>256779450176</t>
  </si>
  <si>
    <t>2156425</t>
  </si>
  <si>
    <t>Storage WH 12-1-15 DEC 25</t>
  </si>
  <si>
    <t>1800015951</t>
  </si>
  <si>
    <t>2156419</t>
  </si>
  <si>
    <t>256779450259</t>
  </si>
  <si>
    <t>Outbound chgs - 01 - 15 Dec 25</t>
  </si>
  <si>
    <t>1800016178</t>
  </si>
  <si>
    <t>256779450389</t>
  </si>
  <si>
    <t>2158325</t>
  </si>
  <si>
    <t>Noting Chgs - 01 - 31 DEC 25</t>
  </si>
  <si>
    <t>1800016493</t>
  </si>
  <si>
    <t>2158404</t>
  </si>
  <si>
    <t>256779450527</t>
  </si>
  <si>
    <t>LCL Chgs - 16 - 31 DEC 25</t>
  </si>
  <si>
    <t>1800016401</t>
  </si>
  <si>
    <t>2158406</t>
  </si>
  <si>
    <t>256779450556</t>
  </si>
  <si>
    <t>Outbound chgs - 16 - 31 Dec 25</t>
  </si>
  <si>
    <t>1800016568</t>
  </si>
  <si>
    <t>2158397</t>
  </si>
  <si>
    <t>256779450647</t>
  </si>
  <si>
    <t>Storage WH 12-16-31 DEC 25</t>
  </si>
  <si>
    <t>1800016799</t>
  </si>
  <si>
    <t>2159212</t>
  </si>
  <si>
    <t>256779450735</t>
  </si>
  <si>
    <t>VAS - NOV 25,16-30</t>
  </si>
  <si>
    <t>1800016947</t>
  </si>
  <si>
    <t>2163065</t>
  </si>
  <si>
    <t>256779450889</t>
  </si>
  <si>
    <t>Storage WH 12-1-15 JAN 26</t>
  </si>
  <si>
    <t>1800017096</t>
  </si>
  <si>
    <t>2163152</t>
  </si>
  <si>
    <t>256779450983</t>
  </si>
  <si>
    <t>Outbound chgs - 01 - 15 JAN 26</t>
  </si>
  <si>
    <t>Cleared Item</t>
  </si>
  <si>
    <t>Company Code</t>
  </si>
  <si>
    <t>Customer</t>
  </si>
  <si>
    <t>Customer Account: Name 1</t>
  </si>
  <si>
    <t>Fiscal Year</t>
  </si>
  <si>
    <t>Posting period</t>
  </si>
  <si>
    <t>Posting Date</t>
  </si>
  <si>
    <t>Document Number</t>
  </si>
  <si>
    <t>Document Type</t>
  </si>
  <si>
    <t>Document Date</t>
  </si>
  <si>
    <t>Entry Date</t>
  </si>
  <si>
    <t>Document Header Text</t>
  </si>
  <si>
    <t>Reference</t>
  </si>
  <si>
    <t>G/L Account</t>
  </si>
  <si>
    <t>G/L Account: Short Text</t>
  </si>
  <si>
    <t>Special G/L Ind.</t>
  </si>
  <si>
    <t>Posting Key</t>
  </si>
  <si>
    <t>Document Currency Key</t>
  </si>
  <si>
    <t>Document Currency Value</t>
  </si>
  <si>
    <t>Company Code Currency Key</t>
  </si>
  <si>
    <t>Company Code Currency Value</t>
  </si>
  <si>
    <t>Tax Code</t>
  </si>
  <si>
    <t>Profit Center</t>
  </si>
  <si>
    <t>Trading Partner No.</t>
  </si>
  <si>
    <t>Assignment</t>
  </si>
  <si>
    <t>Item</t>
  </si>
  <si>
    <t>Text</t>
  </si>
  <si>
    <t>Reference Key 1</t>
  </si>
  <si>
    <t>Reference Key 2</t>
  </si>
  <si>
    <t>Reference Key 3</t>
  </si>
  <si>
    <t>Baseline Payment Dte</t>
  </si>
  <si>
    <t>Clearing Date</t>
  </si>
  <si>
    <t>Clearing Document</t>
  </si>
  <si>
    <t>.</t>
  </si>
  <si>
    <t>Vlookup</t>
  </si>
  <si>
    <t>Diff</t>
  </si>
  <si>
    <t>Remarks</t>
  </si>
  <si>
    <t>Payment not in HUB's books</t>
  </si>
  <si>
    <t>Matched</t>
  </si>
  <si>
    <t>Diff found in invoices</t>
  </si>
  <si>
    <t>Matched_inclusive of GST</t>
  </si>
  <si>
    <t>Ok, knockked off</t>
  </si>
  <si>
    <t>CN not found in Customer's books</t>
  </si>
  <si>
    <t>Invoices not booked by HUB</t>
  </si>
  <si>
    <t>RV, not found in customer's books</t>
  </si>
  <si>
    <t>GST</t>
  </si>
  <si>
    <t>TDS not booked by CL</t>
  </si>
  <si>
    <t>Matched_invoice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</si>
</sst>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43" fontId="0" fillId="0" borderId="0" xfId="1" applyFont="1" applyAlignment="1">
      <alignment vertical="top"/>
    </xf>
    <xf numFmtId="0" fontId="0" fillId="5" borderId="1" xfId="0" applyFill="1" applyBorder="1" applyAlignment="1">
      <alignment vertical="top" wrapText="1"/>
    </xf>
    <xf numFmtId="43" fontId="0" fillId="5" borderId="0" xfId="1" applyFont="1" applyFill="1" applyAlignment="1">
      <alignment vertical="top"/>
    </xf>
    <xf numFmtId="3" fontId="0" fillId="0" borderId="0" xfId="0" applyNumberFormat="1" applyAlignment="1">
      <alignment horizontal="right" vertical="top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3-Mar-26%20Ascendas%20Panvel%20FTWZ%20Pvt%20Ltd%20Ac%20Stm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working"/>
    </sheetNames>
    <sheetDataSet>
      <sheetData sheetId="0"/>
      <sheetData sheetId="1">
        <row r="1">
          <cell r="D1">
            <v>219764.86</v>
          </cell>
          <cell r="E1">
            <v>1261640.4700000002</v>
          </cell>
          <cell r="F1">
            <v>-47218</v>
          </cell>
          <cell r="G1">
            <v>-1237726</v>
          </cell>
          <cell r="H1">
            <v>229173.86</v>
          </cell>
        </row>
        <row r="2">
          <cell r="C2" t="str">
            <v>Voucher No.</v>
          </cell>
          <cell r="D2" t="str">
            <v>Gross Total</v>
          </cell>
          <cell r="E2" t="str">
            <v>Taxable Value</v>
          </cell>
          <cell r="F2" t="str">
            <v>TDS</v>
          </cell>
          <cell r="G2" t="str">
            <v>Total Payment</v>
          </cell>
          <cell r="H2" t="str">
            <v>IGST</v>
          </cell>
        </row>
        <row r="3">
          <cell r="C3" t="str">
            <v>256779410123</v>
          </cell>
          <cell r="D3">
            <v>538</v>
          </cell>
          <cell r="E3">
            <v>463</v>
          </cell>
          <cell r="F3">
            <v>-9</v>
          </cell>
          <cell r="G3">
            <v>0</v>
          </cell>
          <cell r="H3">
            <v>84</v>
          </cell>
        </row>
        <row r="4">
          <cell r="C4" t="str">
            <v>256779410067</v>
          </cell>
          <cell r="D4">
            <v>2420</v>
          </cell>
          <cell r="E4">
            <v>2086.37</v>
          </cell>
          <cell r="F4">
            <v>-42</v>
          </cell>
          <cell r="G4">
            <v>0</v>
          </cell>
          <cell r="H4">
            <v>376</v>
          </cell>
        </row>
        <row r="5">
          <cell r="C5" t="str">
            <v>256779410066</v>
          </cell>
          <cell r="D5">
            <v>1505</v>
          </cell>
          <cell r="E5">
            <v>1297.31</v>
          </cell>
          <cell r="F5">
            <v>-26</v>
          </cell>
          <cell r="G5">
            <v>0</v>
          </cell>
          <cell r="H5">
            <v>234</v>
          </cell>
        </row>
        <row r="6">
          <cell r="C6" t="str">
            <v>256779410122</v>
          </cell>
          <cell r="D6">
            <v>1611</v>
          </cell>
          <cell r="E6">
            <v>1388.65</v>
          </cell>
          <cell r="F6">
            <v>-28</v>
          </cell>
          <cell r="G6">
            <v>0</v>
          </cell>
          <cell r="H6">
            <v>250</v>
          </cell>
        </row>
        <row r="7">
          <cell r="C7" t="str">
            <v>256779410759</v>
          </cell>
          <cell r="D7">
            <v>45624</v>
          </cell>
          <cell r="E7">
            <v>42244.07</v>
          </cell>
          <cell r="F7">
            <v>-4224</v>
          </cell>
          <cell r="G7">
            <v>0</v>
          </cell>
          <cell r="H7">
            <v>7604</v>
          </cell>
        </row>
        <row r="8">
          <cell r="C8" t="str">
            <v>256779410639</v>
          </cell>
          <cell r="D8">
            <v>46468</v>
          </cell>
          <cell r="E8">
            <v>43025.96</v>
          </cell>
          <cell r="F8">
            <v>-4303</v>
          </cell>
          <cell r="G8">
            <v>0</v>
          </cell>
          <cell r="H8">
            <v>7745</v>
          </cell>
        </row>
        <row r="9">
          <cell r="C9" t="str">
            <v>256779410420</v>
          </cell>
          <cell r="D9">
            <v>27290</v>
          </cell>
          <cell r="E9">
            <v>25268.21</v>
          </cell>
          <cell r="F9">
            <v>-2527</v>
          </cell>
          <cell r="G9">
            <v>0</v>
          </cell>
          <cell r="H9">
            <v>4549</v>
          </cell>
        </row>
        <row r="10">
          <cell r="C10" t="str">
            <v>256779411446</v>
          </cell>
          <cell r="D10">
            <v>404</v>
          </cell>
          <cell r="E10">
            <v>348.73</v>
          </cell>
          <cell r="F10">
            <v>-7</v>
          </cell>
          <cell r="G10">
            <v>0</v>
          </cell>
          <cell r="H10">
            <v>63</v>
          </cell>
        </row>
        <row r="11">
          <cell r="C11" t="str">
            <v>256779411086</v>
          </cell>
          <cell r="D11">
            <v>3327</v>
          </cell>
          <cell r="E11">
            <v>2868.26</v>
          </cell>
          <cell r="F11">
            <v>-58</v>
          </cell>
          <cell r="G11">
            <v>0</v>
          </cell>
          <cell r="H11">
            <v>517</v>
          </cell>
        </row>
        <row r="12">
          <cell r="C12" t="str">
            <v>246779414454</v>
          </cell>
          <cell r="D12">
            <v>2413</v>
          </cell>
          <cell r="E12">
            <v>2080.9</v>
          </cell>
          <cell r="F12">
            <v>-42</v>
          </cell>
          <cell r="G12">
            <v>0</v>
          </cell>
          <cell r="H12">
            <v>374</v>
          </cell>
        </row>
        <row r="13">
          <cell r="C13" t="str">
            <v>256779411448</v>
          </cell>
          <cell r="D13">
            <v>1008</v>
          </cell>
          <cell r="E13">
            <v>868.32</v>
          </cell>
          <cell r="F13">
            <v>-17</v>
          </cell>
          <cell r="G13">
            <v>0</v>
          </cell>
          <cell r="H13">
            <v>156</v>
          </cell>
        </row>
        <row r="14">
          <cell r="C14" t="str">
            <v>256779411447</v>
          </cell>
          <cell r="D14">
            <v>1614</v>
          </cell>
          <cell r="E14">
            <v>1391.92</v>
          </cell>
          <cell r="F14">
            <v>-28</v>
          </cell>
          <cell r="G14">
            <v>0</v>
          </cell>
          <cell r="H14">
            <v>251</v>
          </cell>
        </row>
        <row r="15">
          <cell r="C15" t="str">
            <v>256779411085</v>
          </cell>
          <cell r="D15">
            <v>3630</v>
          </cell>
          <cell r="E15">
            <v>3129.56</v>
          </cell>
          <cell r="F15">
            <v>-63</v>
          </cell>
          <cell r="G15">
            <v>0</v>
          </cell>
          <cell r="H15">
            <v>564</v>
          </cell>
        </row>
        <row r="16">
          <cell r="C16" t="str">
            <v>256779411444</v>
          </cell>
          <cell r="D16">
            <v>545</v>
          </cell>
          <cell r="E16">
            <v>461.92</v>
          </cell>
          <cell r="F16">
            <v>0</v>
          </cell>
          <cell r="G16">
            <v>0</v>
          </cell>
          <cell r="H16">
            <v>83.45</v>
          </cell>
        </row>
        <row r="17">
          <cell r="C17" t="str">
            <v>256779411449</v>
          </cell>
          <cell r="D17">
            <v>1255</v>
          </cell>
          <cell r="E17">
            <v>1063.49</v>
          </cell>
          <cell r="F17">
            <v>0</v>
          </cell>
          <cell r="G17">
            <v>0</v>
          </cell>
          <cell r="H17">
            <v>191.09</v>
          </cell>
        </row>
        <row r="18">
          <cell r="C18" t="str">
            <v>256779411445</v>
          </cell>
          <cell r="D18">
            <v>1335</v>
          </cell>
          <cell r="E18">
            <v>1131.29</v>
          </cell>
          <cell r="F18">
            <v>0</v>
          </cell>
          <cell r="G18">
            <v>0</v>
          </cell>
          <cell r="H18">
            <v>203.29000000000002</v>
          </cell>
        </row>
        <row r="19">
          <cell r="C19" t="str">
            <v>256772001313</v>
          </cell>
          <cell r="D19">
            <v>30601</v>
          </cell>
          <cell r="E19">
            <v>25933.3</v>
          </cell>
          <cell r="F19">
            <v>0</v>
          </cell>
          <cell r="G19">
            <v>0</v>
          </cell>
          <cell r="H19">
            <v>4667.87</v>
          </cell>
        </row>
        <row r="20">
          <cell r="C20" t="str">
            <v>256772001314</v>
          </cell>
          <cell r="D20">
            <v>821</v>
          </cell>
          <cell r="E20">
            <v>695.84</v>
          </cell>
          <cell r="F20">
            <v>0</v>
          </cell>
          <cell r="G20">
            <v>0</v>
          </cell>
          <cell r="H20">
            <v>126</v>
          </cell>
        </row>
        <row r="21">
          <cell r="C21" t="str">
            <v>256779411860</v>
          </cell>
          <cell r="D21">
            <v>5009</v>
          </cell>
          <cell r="E21">
            <v>4317.6400000000003</v>
          </cell>
          <cell r="F21">
            <v>-86</v>
          </cell>
          <cell r="G21">
            <v>0</v>
          </cell>
          <cell r="H21">
            <v>777</v>
          </cell>
        </row>
        <row r="22">
          <cell r="C22" t="str">
            <v>256779411785</v>
          </cell>
          <cell r="D22">
            <v>12099</v>
          </cell>
          <cell r="E22">
            <v>10430.9</v>
          </cell>
          <cell r="F22">
            <v>-209</v>
          </cell>
          <cell r="G22">
            <v>0</v>
          </cell>
          <cell r="H22">
            <v>1877</v>
          </cell>
        </row>
        <row r="23">
          <cell r="C23" t="str">
            <v>256779411861</v>
          </cell>
          <cell r="D23">
            <v>762</v>
          </cell>
          <cell r="E23">
            <v>656.72</v>
          </cell>
          <cell r="F23">
            <v>-13</v>
          </cell>
          <cell r="G23">
            <v>0</v>
          </cell>
          <cell r="H23">
            <v>118</v>
          </cell>
        </row>
        <row r="24">
          <cell r="C24" t="str">
            <v>256779410887</v>
          </cell>
          <cell r="D24">
            <v>30880</v>
          </cell>
          <cell r="E24">
            <v>28592.43</v>
          </cell>
          <cell r="F24">
            <v>-2859</v>
          </cell>
          <cell r="G24">
            <v>0</v>
          </cell>
          <cell r="H24">
            <v>5146</v>
          </cell>
        </row>
        <row r="25">
          <cell r="C25" t="str">
            <v>256779411784</v>
          </cell>
          <cell r="D25">
            <v>3415</v>
          </cell>
          <cell r="E25">
            <v>2943.73</v>
          </cell>
          <cell r="F25">
            <v>-59</v>
          </cell>
          <cell r="G25">
            <v>0</v>
          </cell>
          <cell r="H25">
            <v>530</v>
          </cell>
        </row>
        <row r="26">
          <cell r="C26" t="str">
            <v>256772001315</v>
          </cell>
          <cell r="D26">
            <v>30453.71</v>
          </cell>
          <cell r="E26">
            <v>25808.01</v>
          </cell>
          <cell r="F26">
            <v>0</v>
          </cell>
          <cell r="G26">
            <v>0</v>
          </cell>
          <cell r="H26">
            <v>4645.7</v>
          </cell>
        </row>
        <row r="27">
          <cell r="C27" t="str">
            <v>256779635949</v>
          </cell>
          <cell r="D27">
            <v>3956.97</v>
          </cell>
          <cell r="E27">
            <v>0</v>
          </cell>
          <cell r="F27">
            <v>0</v>
          </cell>
          <cell r="G27">
            <v>0</v>
          </cell>
          <cell r="H27">
            <v>603.61</v>
          </cell>
        </row>
        <row r="28">
          <cell r="C28" t="str">
            <v>256779404563</v>
          </cell>
          <cell r="D28">
            <v>2840.9</v>
          </cell>
          <cell r="E28">
            <v>1805.66</v>
          </cell>
          <cell r="F28">
            <v>0</v>
          </cell>
          <cell r="G28">
            <v>0</v>
          </cell>
          <cell r="H28">
            <v>433.35</v>
          </cell>
        </row>
        <row r="29">
          <cell r="C29" t="str">
            <v>256779412399</v>
          </cell>
          <cell r="D29">
            <v>21164</v>
          </cell>
          <cell r="E29">
            <v>19596.189999999999</v>
          </cell>
          <cell r="F29">
            <v>-1960</v>
          </cell>
          <cell r="G29">
            <v>0</v>
          </cell>
          <cell r="H29">
            <v>3528</v>
          </cell>
        </row>
        <row r="30">
          <cell r="C30" t="str">
            <v>256779412249</v>
          </cell>
          <cell r="D30">
            <v>24646</v>
          </cell>
          <cell r="E30">
            <v>20886.280000000002</v>
          </cell>
          <cell r="F30">
            <v>0</v>
          </cell>
          <cell r="G30">
            <v>0</v>
          </cell>
          <cell r="H30">
            <v>3758.6899999999996</v>
          </cell>
        </row>
        <row r="31">
          <cell r="C31" t="str">
            <v>256779412646</v>
          </cell>
          <cell r="D31">
            <v>3134</v>
          </cell>
          <cell r="E31">
            <v>2700.58</v>
          </cell>
          <cell r="F31">
            <v>-53</v>
          </cell>
          <cell r="G31">
            <v>0</v>
          </cell>
          <cell r="H31">
            <v>486</v>
          </cell>
        </row>
        <row r="32">
          <cell r="C32" t="str">
            <v>256779412607</v>
          </cell>
          <cell r="D32">
            <v>3110</v>
          </cell>
          <cell r="E32">
            <v>2681.05</v>
          </cell>
          <cell r="F32">
            <v>-54</v>
          </cell>
          <cell r="G32">
            <v>0</v>
          </cell>
          <cell r="H32">
            <v>483</v>
          </cell>
        </row>
        <row r="33">
          <cell r="C33" t="str">
            <v>256779412915</v>
          </cell>
          <cell r="D33">
            <v>807</v>
          </cell>
          <cell r="E33">
            <v>694.46</v>
          </cell>
          <cell r="F33">
            <v>-13</v>
          </cell>
          <cell r="G33">
            <v>0</v>
          </cell>
          <cell r="H33">
            <v>124</v>
          </cell>
        </row>
        <row r="34">
          <cell r="C34" t="str">
            <v>256779412743</v>
          </cell>
          <cell r="D34">
            <v>28008</v>
          </cell>
          <cell r="E34">
            <v>25933.17</v>
          </cell>
          <cell r="F34">
            <v>-2593</v>
          </cell>
          <cell r="G34">
            <v>0</v>
          </cell>
          <cell r="H34">
            <v>4668</v>
          </cell>
        </row>
        <row r="35">
          <cell r="C35" t="str">
            <v>256779412744</v>
          </cell>
          <cell r="D35">
            <v>149870</v>
          </cell>
          <cell r="E35">
            <v>127008.37</v>
          </cell>
          <cell r="F35">
            <v>0</v>
          </cell>
          <cell r="G35">
            <v>0</v>
          </cell>
          <cell r="H35">
            <v>22861</v>
          </cell>
        </row>
        <row r="36">
          <cell r="C36" t="str">
            <v>256779413612</v>
          </cell>
          <cell r="D36">
            <v>30454</v>
          </cell>
          <cell r="E36">
            <v>25808.559999999998</v>
          </cell>
          <cell r="F36">
            <v>0</v>
          </cell>
          <cell r="G36">
            <v>0</v>
          </cell>
          <cell r="H36">
            <v>4645.99</v>
          </cell>
        </row>
        <row r="37">
          <cell r="C37" t="str">
            <v>256779705489</v>
          </cell>
          <cell r="D37">
            <v>811.68</v>
          </cell>
          <cell r="E37">
            <v>515.9</v>
          </cell>
          <cell r="F37">
            <v>0</v>
          </cell>
          <cell r="G37">
            <v>0</v>
          </cell>
          <cell r="H37">
            <v>123.81</v>
          </cell>
        </row>
        <row r="38">
          <cell r="C38" t="str">
            <v>256779413305</v>
          </cell>
          <cell r="D38">
            <v>3957</v>
          </cell>
          <cell r="E38">
            <v>0.04</v>
          </cell>
          <cell r="F38">
            <v>0</v>
          </cell>
          <cell r="G38">
            <v>0</v>
          </cell>
          <cell r="H38">
            <v>603.65</v>
          </cell>
        </row>
        <row r="39">
          <cell r="C39" t="str">
            <v>256779413343</v>
          </cell>
          <cell r="D39">
            <v>2841</v>
          </cell>
          <cell r="E39">
            <v>1805.76</v>
          </cell>
          <cell r="F39">
            <v>0</v>
          </cell>
          <cell r="G39">
            <v>0</v>
          </cell>
          <cell r="H39">
            <v>433.47</v>
          </cell>
        </row>
        <row r="40">
          <cell r="C40" t="str">
            <v>256779413478</v>
          </cell>
          <cell r="D40">
            <v>812</v>
          </cell>
          <cell r="E40">
            <v>0.32</v>
          </cell>
          <cell r="F40">
            <v>0</v>
          </cell>
          <cell r="G40">
            <v>0</v>
          </cell>
          <cell r="H40">
            <v>124.13999999999999</v>
          </cell>
        </row>
        <row r="41">
          <cell r="C41" t="str">
            <v>256779413878</v>
          </cell>
          <cell r="D41">
            <v>5763</v>
          </cell>
          <cell r="E41">
            <v>4967.74</v>
          </cell>
          <cell r="F41">
            <v>-99</v>
          </cell>
          <cell r="G41">
            <v>0</v>
          </cell>
          <cell r="H41">
            <v>894</v>
          </cell>
        </row>
        <row r="42">
          <cell r="C42" t="str">
            <v>256779413758</v>
          </cell>
          <cell r="D42">
            <v>31412</v>
          </cell>
          <cell r="E42">
            <v>26620.13</v>
          </cell>
          <cell r="F42">
            <v>0</v>
          </cell>
          <cell r="G42">
            <v>0</v>
          </cell>
          <cell r="H42">
            <v>4791.4399999999996</v>
          </cell>
        </row>
        <row r="43">
          <cell r="C43" t="str">
            <v>256779413451</v>
          </cell>
          <cell r="D43">
            <v>149870</v>
          </cell>
          <cell r="E43">
            <v>127008.65000000001</v>
          </cell>
          <cell r="F43">
            <v>0</v>
          </cell>
          <cell r="G43">
            <v>0</v>
          </cell>
          <cell r="H43">
            <v>22860.899999999998</v>
          </cell>
        </row>
        <row r="44">
          <cell r="C44" t="str">
            <v>256779959864</v>
          </cell>
          <cell r="D44">
            <v>5862.37</v>
          </cell>
          <cell r="E44">
            <v>0</v>
          </cell>
          <cell r="F44">
            <v>0</v>
          </cell>
          <cell r="G44">
            <v>0</v>
          </cell>
          <cell r="H44">
            <v>894.26</v>
          </cell>
        </row>
        <row r="45">
          <cell r="C45" t="str">
            <v>256779414200</v>
          </cell>
          <cell r="D45">
            <v>2831</v>
          </cell>
          <cell r="E45">
            <v>2440.8200000000002</v>
          </cell>
          <cell r="F45">
            <v>-49</v>
          </cell>
          <cell r="G45">
            <v>0</v>
          </cell>
          <cell r="H45">
            <v>439</v>
          </cell>
        </row>
        <row r="46">
          <cell r="C46" t="str">
            <v>256779414307</v>
          </cell>
          <cell r="D46">
            <v>3459</v>
          </cell>
          <cell r="E46">
            <v>2982.2</v>
          </cell>
          <cell r="F46">
            <v>-60</v>
          </cell>
          <cell r="G46">
            <v>0</v>
          </cell>
          <cell r="H46">
            <v>537</v>
          </cell>
        </row>
        <row r="47">
          <cell r="D47">
            <v>-663896</v>
          </cell>
          <cell r="E47">
            <v>0</v>
          </cell>
          <cell r="F47">
            <v>0</v>
          </cell>
          <cell r="G47">
            <v>-663896</v>
          </cell>
          <cell r="H47">
            <v>0</v>
          </cell>
        </row>
        <row r="48">
          <cell r="C48" t="str">
            <v>256779414119</v>
          </cell>
          <cell r="D48">
            <v>30739</v>
          </cell>
          <cell r="E48">
            <v>28461.94</v>
          </cell>
          <cell r="F48">
            <v>-2846</v>
          </cell>
          <cell r="G48">
            <v>0</v>
          </cell>
          <cell r="H48">
            <v>5123</v>
          </cell>
        </row>
        <row r="49">
          <cell r="C49" t="str">
            <v>256779414688</v>
          </cell>
          <cell r="D49">
            <v>28669</v>
          </cell>
          <cell r="E49">
            <v>26545.03</v>
          </cell>
          <cell r="F49">
            <v>-2654</v>
          </cell>
          <cell r="G49">
            <v>0</v>
          </cell>
          <cell r="H49">
            <v>4778</v>
          </cell>
        </row>
        <row r="50">
          <cell r="C50" t="str">
            <v>256779414795</v>
          </cell>
          <cell r="D50">
            <v>7415</v>
          </cell>
          <cell r="E50">
            <v>6393.31</v>
          </cell>
          <cell r="F50">
            <v>-129</v>
          </cell>
          <cell r="G50">
            <v>0</v>
          </cell>
          <cell r="H50">
            <v>1151</v>
          </cell>
        </row>
        <row r="51">
          <cell r="C51" t="str">
            <v>256779414822</v>
          </cell>
          <cell r="D51">
            <v>7715</v>
          </cell>
          <cell r="E51">
            <v>6649.91</v>
          </cell>
          <cell r="F51">
            <v>-132</v>
          </cell>
          <cell r="G51">
            <v>0</v>
          </cell>
          <cell r="H51">
            <v>1197</v>
          </cell>
        </row>
        <row r="52">
          <cell r="C52" t="str">
            <v>256779414981</v>
          </cell>
          <cell r="D52">
            <v>112543.23</v>
          </cell>
          <cell r="E52">
            <v>97019.69</v>
          </cell>
          <cell r="F52">
            <v>-1940</v>
          </cell>
          <cell r="G52">
            <v>0</v>
          </cell>
          <cell r="H52">
            <v>17463.23</v>
          </cell>
        </row>
        <row r="53">
          <cell r="C53" t="str">
            <v>256779415026</v>
          </cell>
          <cell r="D53">
            <v>6145</v>
          </cell>
          <cell r="E53">
            <v>5688.08</v>
          </cell>
          <cell r="F53">
            <v>-567</v>
          </cell>
          <cell r="G53">
            <v>0</v>
          </cell>
          <cell r="H53">
            <v>1024</v>
          </cell>
        </row>
        <row r="54">
          <cell r="C54" t="str">
            <v>256779415122</v>
          </cell>
          <cell r="D54">
            <v>15381</v>
          </cell>
          <cell r="E54">
            <v>14241.47</v>
          </cell>
          <cell r="F54">
            <v>-1424</v>
          </cell>
          <cell r="G54">
            <v>0</v>
          </cell>
          <cell r="H54">
            <v>2563</v>
          </cell>
        </row>
        <row r="55">
          <cell r="C55" t="str">
            <v>ARSIL25003698</v>
          </cell>
          <cell r="D55">
            <v>500</v>
          </cell>
          <cell r="E55">
            <v>500</v>
          </cell>
          <cell r="F55">
            <v>0</v>
          </cell>
          <cell r="G55">
            <v>0</v>
          </cell>
          <cell r="H55">
            <v>0</v>
          </cell>
        </row>
        <row r="56">
          <cell r="C56" t="str">
            <v>256779415515</v>
          </cell>
          <cell r="D56">
            <v>2270</v>
          </cell>
          <cell r="E56">
            <v>1956.76</v>
          </cell>
          <cell r="F56">
            <v>-39</v>
          </cell>
          <cell r="G56">
            <v>0</v>
          </cell>
          <cell r="H56">
            <v>352</v>
          </cell>
        </row>
        <row r="57">
          <cell r="C57" t="str">
            <v>256779415671</v>
          </cell>
          <cell r="D57">
            <v>10031</v>
          </cell>
          <cell r="E57">
            <v>9288.15</v>
          </cell>
          <cell r="F57">
            <v>-929</v>
          </cell>
          <cell r="G57">
            <v>0</v>
          </cell>
          <cell r="H57">
            <v>1671.9199999999998</v>
          </cell>
        </row>
        <row r="58">
          <cell r="C58" t="str">
            <v>256779415735</v>
          </cell>
          <cell r="D58">
            <v>1628</v>
          </cell>
          <cell r="E58">
            <v>1403.46</v>
          </cell>
          <cell r="F58">
            <v>-28</v>
          </cell>
          <cell r="G58">
            <v>0</v>
          </cell>
          <cell r="H58">
            <v>253</v>
          </cell>
        </row>
        <row r="59">
          <cell r="C59" t="str">
            <v>256779415985</v>
          </cell>
          <cell r="D59">
            <v>2042</v>
          </cell>
          <cell r="E59">
            <v>1760.18</v>
          </cell>
          <cell r="F59">
            <v>-35</v>
          </cell>
          <cell r="G59">
            <v>0</v>
          </cell>
          <cell r="H59">
            <v>317</v>
          </cell>
        </row>
        <row r="60">
          <cell r="C60" t="str">
            <v>ARSIL25004380</v>
          </cell>
          <cell r="D60">
            <v>500</v>
          </cell>
          <cell r="E60">
            <v>500</v>
          </cell>
          <cell r="F60">
            <v>0</v>
          </cell>
          <cell r="G60">
            <v>0</v>
          </cell>
          <cell r="H60">
            <v>0</v>
          </cell>
        </row>
        <row r="61">
          <cell r="C61" t="str">
            <v>ARSIL25004844</v>
          </cell>
          <cell r="D61">
            <v>500</v>
          </cell>
          <cell r="E61">
            <v>500</v>
          </cell>
          <cell r="F61">
            <v>0</v>
          </cell>
          <cell r="G61">
            <v>0</v>
          </cell>
          <cell r="H61">
            <v>0</v>
          </cell>
        </row>
        <row r="62">
          <cell r="C62" t="str">
            <v>256779416168</v>
          </cell>
          <cell r="D62">
            <v>6913</v>
          </cell>
          <cell r="E62">
            <v>5959.31</v>
          </cell>
          <cell r="F62">
            <v>-119</v>
          </cell>
          <cell r="G62">
            <v>0</v>
          </cell>
          <cell r="H62">
            <v>1073</v>
          </cell>
        </row>
        <row r="63">
          <cell r="C63" t="str">
            <v>256779416210</v>
          </cell>
          <cell r="D63">
            <v>3532</v>
          </cell>
          <cell r="E63">
            <v>3044.84</v>
          </cell>
          <cell r="F63">
            <v>-61</v>
          </cell>
          <cell r="G63">
            <v>0</v>
          </cell>
          <cell r="H63">
            <v>548</v>
          </cell>
        </row>
        <row r="64">
          <cell r="C64" t="str">
            <v>256779416317</v>
          </cell>
          <cell r="D64">
            <v>17393</v>
          </cell>
          <cell r="E64">
            <v>16105.08</v>
          </cell>
          <cell r="F64">
            <v>-1611</v>
          </cell>
          <cell r="G64">
            <v>0</v>
          </cell>
          <cell r="H64">
            <v>2899</v>
          </cell>
        </row>
        <row r="65">
          <cell r="D65">
            <v>-332509</v>
          </cell>
          <cell r="E65">
            <v>0</v>
          </cell>
          <cell r="F65">
            <v>0</v>
          </cell>
          <cell r="G65">
            <v>-332509</v>
          </cell>
          <cell r="H65">
            <v>0</v>
          </cell>
        </row>
        <row r="66">
          <cell r="C66" t="str">
            <v>256779416523</v>
          </cell>
          <cell r="D66">
            <v>47303</v>
          </cell>
          <cell r="E66">
            <v>40778.78</v>
          </cell>
          <cell r="F66">
            <v>-816</v>
          </cell>
          <cell r="G66">
            <v>0</v>
          </cell>
          <cell r="H66">
            <v>7340</v>
          </cell>
        </row>
        <row r="67">
          <cell r="C67" t="str">
            <v>256779416836</v>
          </cell>
          <cell r="D67">
            <v>3881</v>
          </cell>
          <cell r="E67">
            <v>3345.77</v>
          </cell>
          <cell r="F67">
            <v>-67</v>
          </cell>
          <cell r="G67">
            <v>0</v>
          </cell>
          <cell r="H67">
            <v>602</v>
          </cell>
        </row>
        <row r="68">
          <cell r="C68" t="str">
            <v>256779416737</v>
          </cell>
          <cell r="D68">
            <v>17436</v>
          </cell>
          <cell r="E68">
            <v>16144.12</v>
          </cell>
          <cell r="F68">
            <v>-1614</v>
          </cell>
          <cell r="G68">
            <v>0</v>
          </cell>
          <cell r="H68">
            <v>2906</v>
          </cell>
        </row>
        <row r="69">
          <cell r="C69" t="str">
            <v>256779416868</v>
          </cell>
          <cell r="D69">
            <v>2643</v>
          </cell>
          <cell r="E69">
            <v>2278.77</v>
          </cell>
          <cell r="F69">
            <v>-46</v>
          </cell>
          <cell r="G69">
            <v>0</v>
          </cell>
          <cell r="H69">
            <v>410</v>
          </cell>
        </row>
        <row r="70">
          <cell r="C70" t="str">
            <v>256779417047</v>
          </cell>
          <cell r="D70">
            <v>20756</v>
          </cell>
          <cell r="E70">
            <v>19217.71</v>
          </cell>
          <cell r="F70">
            <v>-1921</v>
          </cell>
          <cell r="G70">
            <v>0</v>
          </cell>
          <cell r="H70">
            <v>3459</v>
          </cell>
        </row>
        <row r="71">
          <cell r="C71" t="str">
            <v>256779417220</v>
          </cell>
          <cell r="D71">
            <v>70491</v>
          </cell>
          <cell r="E71">
            <v>60767.839999999997</v>
          </cell>
          <cell r="F71">
            <v>-1215</v>
          </cell>
          <cell r="G71">
            <v>0</v>
          </cell>
          <cell r="H71">
            <v>10938</v>
          </cell>
        </row>
        <row r="72">
          <cell r="C72" t="str">
            <v>256779417278</v>
          </cell>
          <cell r="D72">
            <v>7120</v>
          </cell>
          <cell r="E72">
            <v>6138.18</v>
          </cell>
          <cell r="F72">
            <v>-123</v>
          </cell>
          <cell r="G72">
            <v>0</v>
          </cell>
          <cell r="H72">
            <v>1105</v>
          </cell>
        </row>
        <row r="73">
          <cell r="C73" t="str">
            <v>256779417312</v>
          </cell>
          <cell r="D73">
            <v>2089</v>
          </cell>
          <cell r="E73">
            <v>1800.87</v>
          </cell>
          <cell r="F73">
            <v>-36</v>
          </cell>
          <cell r="G73">
            <v>0</v>
          </cell>
          <cell r="H73">
            <v>324</v>
          </cell>
        </row>
        <row r="74">
          <cell r="C74" t="str">
            <v>256779417968</v>
          </cell>
          <cell r="D74">
            <v>2455</v>
          </cell>
          <cell r="E74">
            <v>2117.02</v>
          </cell>
          <cell r="F74">
            <v>-43</v>
          </cell>
          <cell r="G74">
            <v>0</v>
          </cell>
          <cell r="H74">
            <v>381</v>
          </cell>
        </row>
        <row r="75">
          <cell r="C75" t="str">
            <v>256779418065</v>
          </cell>
          <cell r="D75">
            <v>2498</v>
          </cell>
          <cell r="E75">
            <v>2117.02</v>
          </cell>
          <cell r="F75">
            <v>0</v>
          </cell>
          <cell r="G75">
            <v>0</v>
          </cell>
          <cell r="H75">
            <v>381</v>
          </cell>
        </row>
        <row r="76">
          <cell r="C76" t="str">
            <v>256779418366</v>
          </cell>
          <cell r="D76">
            <v>62117</v>
          </cell>
          <cell r="E76">
            <v>52641.78</v>
          </cell>
          <cell r="F76">
            <v>0</v>
          </cell>
          <cell r="G76">
            <v>0</v>
          </cell>
          <cell r="H76">
            <v>9475</v>
          </cell>
        </row>
        <row r="77">
          <cell r="C77" t="str">
            <v>256779418303</v>
          </cell>
          <cell r="D77">
            <v>25194</v>
          </cell>
          <cell r="E77">
            <v>21350.65</v>
          </cell>
          <cell r="F77">
            <v>0</v>
          </cell>
          <cell r="G77">
            <v>0</v>
          </cell>
          <cell r="H77">
            <v>3843</v>
          </cell>
        </row>
        <row r="78">
          <cell r="D78">
            <v>-241321</v>
          </cell>
          <cell r="E78">
            <v>0</v>
          </cell>
          <cell r="F78">
            <v>0</v>
          </cell>
          <cell r="G78">
            <v>-241321</v>
          </cell>
          <cell r="H78">
            <v>0</v>
          </cell>
        </row>
        <row r="79">
          <cell r="C79" t="str">
            <v>256779418581</v>
          </cell>
          <cell r="D79">
            <v>28800</v>
          </cell>
          <cell r="E79">
            <v>24406.34</v>
          </cell>
          <cell r="F79">
            <v>0</v>
          </cell>
          <cell r="G79">
            <v>0</v>
          </cell>
          <cell r="H79">
            <v>4393</v>
          </cell>
        </row>
        <row r="80">
          <cell r="C80" t="str">
            <v>256779418649</v>
          </cell>
          <cell r="D80">
            <v>10487</v>
          </cell>
          <cell r="E80">
            <v>8887.2199999999993</v>
          </cell>
          <cell r="F80">
            <v>0</v>
          </cell>
          <cell r="G80">
            <v>0</v>
          </cell>
          <cell r="H80">
            <v>1600</v>
          </cell>
        </row>
        <row r="81">
          <cell r="C81" t="str">
            <v>256779418687</v>
          </cell>
          <cell r="D81">
            <v>2498</v>
          </cell>
          <cell r="E81">
            <v>2117.02</v>
          </cell>
          <cell r="F81">
            <v>0</v>
          </cell>
          <cell r="G81">
            <v>0</v>
          </cell>
          <cell r="H81">
            <v>381</v>
          </cell>
        </row>
        <row r="82">
          <cell r="C82" t="str">
            <v>256779419119</v>
          </cell>
          <cell r="D82">
            <v>8893</v>
          </cell>
          <cell r="E82">
            <v>7513.11</v>
          </cell>
          <cell r="F82">
            <v>0</v>
          </cell>
          <cell r="G82">
            <v>0</v>
          </cell>
          <cell r="H82">
            <v>1227</v>
          </cell>
        </row>
        <row r="83">
          <cell r="C83" t="str">
            <v>256779419035</v>
          </cell>
          <cell r="D83">
            <v>32077</v>
          </cell>
          <cell r="E83">
            <v>29700.79</v>
          </cell>
          <cell r="F83">
            <v>-2970</v>
          </cell>
          <cell r="G83">
            <v>0</v>
          </cell>
          <cell r="H83">
            <v>5346</v>
          </cell>
        </row>
        <row r="84">
          <cell r="C84" t="str">
            <v>256779419163</v>
          </cell>
          <cell r="D84">
            <v>2858</v>
          </cell>
          <cell r="E84">
            <v>2464.46</v>
          </cell>
          <cell r="F84">
            <v>-50</v>
          </cell>
          <cell r="G84">
            <v>0</v>
          </cell>
          <cell r="H84">
            <v>444</v>
          </cell>
        </row>
        <row r="85">
          <cell r="C85" t="str">
            <v>256779419254</v>
          </cell>
          <cell r="D85">
            <v>63853</v>
          </cell>
          <cell r="E85">
            <v>55044.7</v>
          </cell>
          <cell r="F85">
            <v>-1100</v>
          </cell>
          <cell r="G85">
            <v>0</v>
          </cell>
          <cell r="H85">
            <v>9908</v>
          </cell>
        </row>
        <row r="86">
          <cell r="C86" t="str">
            <v>256779419408</v>
          </cell>
          <cell r="D86">
            <v>28613</v>
          </cell>
          <cell r="E86">
            <v>26493.1</v>
          </cell>
          <cell r="F86">
            <v>-2649</v>
          </cell>
          <cell r="G86">
            <v>0</v>
          </cell>
          <cell r="H86">
            <v>4769</v>
          </cell>
        </row>
        <row r="87">
          <cell r="C87" t="str">
            <v>256779419616</v>
          </cell>
          <cell r="D87">
            <v>3804</v>
          </cell>
          <cell r="E87">
            <v>3279.6</v>
          </cell>
          <cell r="F87">
            <v>-66</v>
          </cell>
          <cell r="G87">
            <v>0</v>
          </cell>
          <cell r="H87">
            <v>590</v>
          </cell>
        </row>
        <row r="88">
          <cell r="C88" t="str">
            <v>256779419689</v>
          </cell>
          <cell r="D88">
            <v>27071</v>
          </cell>
          <cell r="E88">
            <v>25066</v>
          </cell>
          <cell r="F88">
            <v>-2507</v>
          </cell>
          <cell r="G88">
            <v>0</v>
          </cell>
          <cell r="H88">
            <v>4513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9"/>
  <sheetViews>
    <sheetView topLeftCell="K112" workbookViewId="0">
      <selection activeCell="U136" sqref="U136"/>
    </sheetView>
  </sheetViews>
  <sheetFormatPr defaultRowHeight="13.2" outlineLevelRow="2" x14ac:dyDescent="0.25"/>
  <cols>
    <col min="1" max="2" width="14" bestFit="1" customWidth="1"/>
    <col min="3" max="3" width="11" bestFit="1" customWidth="1"/>
    <col min="4" max="4" width="30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4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3" bestFit="1" customWidth="1"/>
    <col min="20" max="20" width="16" bestFit="1" customWidth="1"/>
    <col min="21" max="21" width="12" bestFit="1" customWidth="1"/>
    <col min="22" max="22" width="10" bestFit="1" customWidth="1"/>
    <col min="23" max="23" width="15" bestFit="1" customWidth="1"/>
    <col min="24" max="24" width="21" bestFit="1" customWidth="1"/>
    <col min="25" max="25" width="16" bestFit="1" customWidth="1"/>
    <col min="26" max="26" width="6" bestFit="1" customWidth="1"/>
    <col min="27" max="27" width="46" bestFit="1" customWidth="1"/>
    <col min="28" max="30" width="17" bestFit="1" customWidth="1"/>
    <col min="31" max="31" width="22" bestFit="1" customWidth="1"/>
    <col min="32" max="32" width="15" bestFit="1" customWidth="1"/>
    <col min="33" max="33" width="19" bestFit="1" customWidth="1"/>
  </cols>
  <sheetData>
    <row r="1" spans="1:33" ht="52.8" x14ac:dyDescent="0.25">
      <c r="A1" s="1" t="s">
        <v>437</v>
      </c>
      <c r="B1" s="1" t="s">
        <v>438</v>
      </c>
      <c r="C1" s="1" t="s">
        <v>439</v>
      </c>
      <c r="D1" s="1" t="s">
        <v>440</v>
      </c>
      <c r="E1" s="1" t="s">
        <v>441</v>
      </c>
      <c r="F1" s="12" t="s">
        <v>442</v>
      </c>
      <c r="G1" s="1" t="s">
        <v>443</v>
      </c>
      <c r="H1" s="1" t="s">
        <v>444</v>
      </c>
      <c r="I1" s="12" t="s">
        <v>445</v>
      </c>
      <c r="J1" s="1" t="s">
        <v>446</v>
      </c>
      <c r="K1" s="1" t="s">
        <v>447</v>
      </c>
      <c r="L1" s="1" t="s">
        <v>448</v>
      </c>
      <c r="M1" s="1" t="s">
        <v>449</v>
      </c>
      <c r="N1" s="1" t="s">
        <v>450</v>
      </c>
      <c r="O1" s="1" t="s">
        <v>451</v>
      </c>
      <c r="P1" s="1" t="s">
        <v>452</v>
      </c>
      <c r="Q1" s="1" t="s">
        <v>453</v>
      </c>
      <c r="R1" s="12" t="s">
        <v>454</v>
      </c>
      <c r="S1" s="12" t="s">
        <v>455</v>
      </c>
      <c r="T1" s="12" t="s">
        <v>456</v>
      </c>
      <c r="U1" s="12" t="s">
        <v>457</v>
      </c>
      <c r="V1" s="1" t="s">
        <v>458</v>
      </c>
      <c r="W1" s="1" t="s">
        <v>459</v>
      </c>
      <c r="X1" s="1" t="s">
        <v>460</v>
      </c>
      <c r="Y1" s="1" t="s">
        <v>461</v>
      </c>
      <c r="Z1" s="1" t="s">
        <v>462</v>
      </c>
      <c r="AA1" s="1" t="s">
        <v>463</v>
      </c>
      <c r="AB1" s="1" t="s">
        <v>464</v>
      </c>
      <c r="AC1" s="1" t="s">
        <v>465</v>
      </c>
      <c r="AD1" s="1" t="s">
        <v>466</v>
      </c>
      <c r="AE1" s="1" t="s">
        <v>467</v>
      </c>
      <c r="AF1" s="1" t="s">
        <v>468</v>
      </c>
      <c r="AG1" s="1" t="s">
        <v>469</v>
      </c>
    </row>
    <row r="2" spans="1:33" outlineLevel="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45988</v>
      </c>
      <c r="H2" t="s">
        <v>6</v>
      </c>
      <c r="I2" t="s">
        <v>7</v>
      </c>
      <c r="J2" s="2">
        <v>45988</v>
      </c>
      <c r="K2" s="2">
        <v>45988</v>
      </c>
      <c r="L2" t="s">
        <v>8</v>
      </c>
      <c r="M2" t="s">
        <v>8</v>
      </c>
      <c r="N2" t="s">
        <v>9</v>
      </c>
      <c r="O2" t="s">
        <v>10</v>
      </c>
      <c r="P2" t="s">
        <v>8</v>
      </c>
      <c r="Q2" t="s">
        <v>11</v>
      </c>
      <c r="R2" t="s">
        <v>12</v>
      </c>
      <c r="S2" s="3">
        <v>-10000</v>
      </c>
      <c r="T2" t="s">
        <v>12</v>
      </c>
      <c r="U2" s="3">
        <v>-10000</v>
      </c>
      <c r="V2" t="s">
        <v>8</v>
      </c>
      <c r="W2" t="s">
        <v>13</v>
      </c>
      <c r="X2" t="s">
        <v>8</v>
      </c>
      <c r="Y2" t="s">
        <v>8</v>
      </c>
      <c r="Z2" t="s">
        <v>14</v>
      </c>
      <c r="AA2" t="s">
        <v>15</v>
      </c>
      <c r="AB2" t="s">
        <v>8</v>
      </c>
      <c r="AC2" t="s">
        <v>8</v>
      </c>
      <c r="AD2" t="s">
        <v>8</v>
      </c>
      <c r="AE2" s="2">
        <v>45988</v>
      </c>
      <c r="AF2" s="2">
        <v>45988</v>
      </c>
      <c r="AG2" t="s">
        <v>6</v>
      </c>
    </row>
    <row r="3" spans="1:33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45988</v>
      </c>
      <c r="H3" t="s">
        <v>6</v>
      </c>
      <c r="I3" t="s">
        <v>7</v>
      </c>
      <c r="J3" s="2">
        <v>45988</v>
      </c>
      <c r="K3" s="2">
        <v>45988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16</v>
      </c>
      <c r="R3" t="s">
        <v>12</v>
      </c>
      <c r="S3" s="3">
        <v>10000</v>
      </c>
      <c r="T3" t="s">
        <v>12</v>
      </c>
      <c r="U3" s="3">
        <v>10000</v>
      </c>
      <c r="V3" t="s">
        <v>8</v>
      </c>
      <c r="W3" t="s">
        <v>13</v>
      </c>
      <c r="X3" t="s">
        <v>8</v>
      </c>
      <c r="Y3" t="s">
        <v>8</v>
      </c>
      <c r="Z3" t="s">
        <v>17</v>
      </c>
      <c r="AA3" t="s">
        <v>15</v>
      </c>
      <c r="AB3" t="s">
        <v>8</v>
      </c>
      <c r="AC3" t="s">
        <v>8</v>
      </c>
      <c r="AD3" t="s">
        <v>8</v>
      </c>
      <c r="AE3" s="2">
        <v>45988</v>
      </c>
      <c r="AF3" s="2">
        <v>45988</v>
      </c>
      <c r="AG3" t="s">
        <v>6</v>
      </c>
    </row>
    <row r="4" spans="1:33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18</v>
      </c>
      <c r="G4" s="2">
        <v>45758</v>
      </c>
      <c r="H4" t="s">
        <v>19</v>
      </c>
      <c r="I4" t="s">
        <v>7</v>
      </c>
      <c r="J4" s="2">
        <v>45758</v>
      </c>
      <c r="K4" s="2">
        <v>45758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16</v>
      </c>
      <c r="R4" t="s">
        <v>12</v>
      </c>
      <c r="S4" s="3">
        <v>1</v>
      </c>
      <c r="T4" t="s">
        <v>12</v>
      </c>
      <c r="U4" s="3">
        <v>1</v>
      </c>
      <c r="V4" t="s">
        <v>8</v>
      </c>
      <c r="W4" t="s">
        <v>20</v>
      </c>
      <c r="X4" t="s">
        <v>8</v>
      </c>
      <c r="Y4" t="s">
        <v>8</v>
      </c>
      <c r="Z4" t="s">
        <v>14</v>
      </c>
      <c r="AA4" t="s">
        <v>21</v>
      </c>
      <c r="AB4" t="s">
        <v>8</v>
      </c>
      <c r="AC4" t="s">
        <v>8</v>
      </c>
      <c r="AD4" t="s">
        <v>8</v>
      </c>
      <c r="AE4" s="2">
        <v>45758</v>
      </c>
      <c r="AF4" s="2">
        <v>45758</v>
      </c>
      <c r="AG4" t="s">
        <v>19</v>
      </c>
    </row>
    <row r="5" spans="1:33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45758</v>
      </c>
      <c r="H5" t="s">
        <v>19</v>
      </c>
      <c r="I5" t="s">
        <v>7</v>
      </c>
      <c r="J5" s="2">
        <v>45758</v>
      </c>
      <c r="K5" s="2">
        <v>45758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11</v>
      </c>
      <c r="R5" t="s">
        <v>12</v>
      </c>
      <c r="S5" s="3">
        <v>-1</v>
      </c>
      <c r="T5" t="s">
        <v>12</v>
      </c>
      <c r="U5" s="3">
        <v>-1</v>
      </c>
      <c r="V5" t="s">
        <v>8</v>
      </c>
      <c r="W5" t="s">
        <v>20</v>
      </c>
      <c r="X5" t="s">
        <v>8</v>
      </c>
      <c r="Y5" t="s">
        <v>8</v>
      </c>
      <c r="Z5" t="s">
        <v>17</v>
      </c>
      <c r="AA5" t="s">
        <v>21</v>
      </c>
      <c r="AB5" t="s">
        <v>8</v>
      </c>
      <c r="AC5" t="s">
        <v>8</v>
      </c>
      <c r="AD5" t="s">
        <v>8</v>
      </c>
      <c r="AE5" s="2">
        <v>45758</v>
      </c>
      <c r="AF5" s="2">
        <v>45758</v>
      </c>
      <c r="AG5" t="s">
        <v>19</v>
      </c>
    </row>
    <row r="6" spans="1:33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s="2">
        <v>45985</v>
      </c>
      <c r="H6" t="s">
        <v>22</v>
      </c>
      <c r="I6" t="s">
        <v>23</v>
      </c>
      <c r="J6" s="2">
        <v>45985</v>
      </c>
      <c r="K6" s="2">
        <v>45985</v>
      </c>
      <c r="L6" t="s">
        <v>24</v>
      </c>
      <c r="M6" t="s">
        <v>8</v>
      </c>
      <c r="N6" t="s">
        <v>9</v>
      </c>
      <c r="O6" t="s">
        <v>10</v>
      </c>
      <c r="P6" t="s">
        <v>8</v>
      </c>
      <c r="Q6" t="s">
        <v>25</v>
      </c>
      <c r="R6" t="s">
        <v>12</v>
      </c>
      <c r="S6" s="3">
        <v>10000</v>
      </c>
      <c r="T6" t="s">
        <v>12</v>
      </c>
      <c r="U6" s="3">
        <v>10000</v>
      </c>
      <c r="V6" t="s">
        <v>26</v>
      </c>
      <c r="W6" t="s">
        <v>27</v>
      </c>
      <c r="X6" t="s">
        <v>8</v>
      </c>
      <c r="Y6" t="s">
        <v>28</v>
      </c>
      <c r="Z6" t="s">
        <v>14</v>
      </c>
      <c r="AA6" t="s">
        <v>29</v>
      </c>
      <c r="AB6" t="s">
        <v>8</v>
      </c>
      <c r="AC6" t="s">
        <v>8</v>
      </c>
      <c r="AD6" t="s">
        <v>8</v>
      </c>
      <c r="AE6" s="2">
        <v>45985</v>
      </c>
      <c r="AF6" s="2">
        <v>45985</v>
      </c>
      <c r="AG6" t="s">
        <v>30</v>
      </c>
    </row>
    <row r="7" spans="1:33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45985</v>
      </c>
      <c r="H7" t="s">
        <v>30</v>
      </c>
      <c r="I7" t="s">
        <v>31</v>
      </c>
      <c r="J7" s="2">
        <v>45985</v>
      </c>
      <c r="K7" s="2">
        <v>45985</v>
      </c>
      <c r="L7" t="s">
        <v>32</v>
      </c>
      <c r="M7" t="s">
        <v>8</v>
      </c>
      <c r="N7" t="s">
        <v>9</v>
      </c>
      <c r="O7" t="s">
        <v>10</v>
      </c>
      <c r="P7" t="s">
        <v>8</v>
      </c>
      <c r="Q7" t="s">
        <v>33</v>
      </c>
      <c r="R7" t="s">
        <v>12</v>
      </c>
      <c r="S7" s="3">
        <v>-10000</v>
      </c>
      <c r="T7" t="s">
        <v>12</v>
      </c>
      <c r="U7" s="3">
        <v>-10000</v>
      </c>
      <c r="V7" t="s">
        <v>8</v>
      </c>
      <c r="W7" t="s">
        <v>27</v>
      </c>
      <c r="X7" t="s">
        <v>8</v>
      </c>
      <c r="Y7" t="s">
        <v>8</v>
      </c>
      <c r="Z7" t="s">
        <v>17</v>
      </c>
      <c r="AA7" t="s">
        <v>32</v>
      </c>
      <c r="AB7" t="s">
        <v>8</v>
      </c>
      <c r="AC7" t="s">
        <v>8</v>
      </c>
      <c r="AD7" t="s">
        <v>8</v>
      </c>
      <c r="AE7" s="2">
        <v>45985</v>
      </c>
      <c r="AF7" s="2">
        <v>45985</v>
      </c>
      <c r="AG7" t="s">
        <v>30</v>
      </c>
    </row>
    <row r="8" spans="1:33" outlineLevel="2" x14ac:dyDescent="0.25">
      <c r="A8" t="s">
        <v>34</v>
      </c>
      <c r="B8" t="s">
        <v>1</v>
      </c>
      <c r="C8" t="s">
        <v>2</v>
      </c>
      <c r="D8" t="s">
        <v>3</v>
      </c>
      <c r="E8" t="s">
        <v>4</v>
      </c>
      <c r="F8" t="s">
        <v>35</v>
      </c>
      <c r="G8" s="2">
        <v>45894</v>
      </c>
      <c r="H8" t="s">
        <v>36</v>
      </c>
      <c r="I8" t="s">
        <v>31</v>
      </c>
      <c r="J8" s="2">
        <v>45894</v>
      </c>
      <c r="K8" s="2">
        <v>45894</v>
      </c>
      <c r="L8" t="s">
        <v>37</v>
      </c>
      <c r="M8" t="s">
        <v>8</v>
      </c>
      <c r="N8" t="s">
        <v>9</v>
      </c>
      <c r="O8" t="s">
        <v>10</v>
      </c>
      <c r="P8" t="s">
        <v>8</v>
      </c>
      <c r="Q8" t="s">
        <v>33</v>
      </c>
      <c r="R8" t="s">
        <v>12</v>
      </c>
      <c r="S8" s="3">
        <v>-332509</v>
      </c>
      <c r="T8" t="s">
        <v>12</v>
      </c>
      <c r="U8" s="3">
        <v>-332509</v>
      </c>
      <c r="V8" t="s">
        <v>8</v>
      </c>
      <c r="W8" t="s">
        <v>13</v>
      </c>
      <c r="X8" t="s">
        <v>8</v>
      </c>
      <c r="Y8" t="s">
        <v>8</v>
      </c>
      <c r="Z8" t="s">
        <v>17</v>
      </c>
      <c r="AA8" t="s">
        <v>8</v>
      </c>
      <c r="AB8" t="s">
        <v>8</v>
      </c>
      <c r="AC8" t="s">
        <v>8</v>
      </c>
      <c r="AD8" t="s">
        <v>8</v>
      </c>
      <c r="AE8" s="2">
        <v>45894</v>
      </c>
      <c r="AF8" s="2"/>
      <c r="AG8" t="s">
        <v>8</v>
      </c>
    </row>
    <row r="9" spans="1:33" outlineLevel="2" x14ac:dyDescent="0.25">
      <c r="A9" t="s">
        <v>34</v>
      </c>
      <c r="B9" t="s">
        <v>1</v>
      </c>
      <c r="C9" t="s">
        <v>2</v>
      </c>
      <c r="D9" t="s">
        <v>3</v>
      </c>
      <c r="E9" t="s">
        <v>4</v>
      </c>
      <c r="F9" t="s">
        <v>38</v>
      </c>
      <c r="G9" s="2">
        <v>45839</v>
      </c>
      <c r="H9" t="s">
        <v>39</v>
      </c>
      <c r="I9" t="s">
        <v>31</v>
      </c>
      <c r="J9" s="2">
        <v>45832</v>
      </c>
      <c r="K9" s="2">
        <v>45832</v>
      </c>
      <c r="L9" t="s">
        <v>40</v>
      </c>
      <c r="M9" t="s">
        <v>8</v>
      </c>
      <c r="N9" t="s">
        <v>9</v>
      </c>
      <c r="O9" t="s">
        <v>10</v>
      </c>
      <c r="P9" t="s">
        <v>8</v>
      </c>
      <c r="Q9" t="s">
        <v>33</v>
      </c>
      <c r="R9" t="s">
        <v>12</v>
      </c>
      <c r="S9" s="3">
        <v>-663896</v>
      </c>
      <c r="T9" t="s">
        <v>12</v>
      </c>
      <c r="U9" s="3">
        <v>-663896</v>
      </c>
      <c r="V9" t="s">
        <v>8</v>
      </c>
      <c r="W9" t="s">
        <v>13</v>
      </c>
      <c r="X9" t="s">
        <v>8</v>
      </c>
      <c r="Y9" t="s">
        <v>8</v>
      </c>
      <c r="Z9" t="s">
        <v>17</v>
      </c>
      <c r="AA9" t="s">
        <v>8</v>
      </c>
      <c r="AB9" t="s">
        <v>8</v>
      </c>
      <c r="AC9" t="s">
        <v>8</v>
      </c>
      <c r="AD9" t="s">
        <v>8</v>
      </c>
      <c r="AE9" s="2">
        <v>45832</v>
      </c>
      <c r="AF9" s="2"/>
      <c r="AG9" t="s">
        <v>8</v>
      </c>
    </row>
    <row r="10" spans="1:33" outlineLevel="2" x14ac:dyDescent="0.25">
      <c r="A10" t="s">
        <v>34</v>
      </c>
      <c r="B10" t="s">
        <v>1</v>
      </c>
      <c r="C10" t="s">
        <v>2</v>
      </c>
      <c r="D10" t="s">
        <v>3</v>
      </c>
      <c r="E10" t="s">
        <v>4</v>
      </c>
      <c r="F10" t="s">
        <v>41</v>
      </c>
      <c r="G10" s="2">
        <v>45944</v>
      </c>
      <c r="H10" t="s">
        <v>42</v>
      </c>
      <c r="I10" t="s">
        <v>31</v>
      </c>
      <c r="J10" s="2">
        <v>45944</v>
      </c>
      <c r="K10" s="2">
        <v>45944</v>
      </c>
      <c r="L10" t="s">
        <v>43</v>
      </c>
      <c r="M10" t="s">
        <v>8</v>
      </c>
      <c r="N10" t="s">
        <v>9</v>
      </c>
      <c r="O10" t="s">
        <v>10</v>
      </c>
      <c r="P10" t="s">
        <v>8</v>
      </c>
      <c r="Q10" t="s">
        <v>33</v>
      </c>
      <c r="R10" t="s">
        <v>12</v>
      </c>
      <c r="S10" s="3">
        <v>-241321</v>
      </c>
      <c r="T10" t="s">
        <v>12</v>
      </c>
      <c r="U10" s="3">
        <v>-241321</v>
      </c>
      <c r="V10" t="s">
        <v>8</v>
      </c>
      <c r="W10" t="s">
        <v>13</v>
      </c>
      <c r="X10" t="s">
        <v>8</v>
      </c>
      <c r="Y10" t="s">
        <v>8</v>
      </c>
      <c r="Z10" t="s">
        <v>17</v>
      </c>
      <c r="AA10" t="s">
        <v>8</v>
      </c>
      <c r="AB10" t="s">
        <v>8</v>
      </c>
      <c r="AC10" t="s">
        <v>8</v>
      </c>
      <c r="AD10" t="s">
        <v>8</v>
      </c>
      <c r="AE10" s="2">
        <v>45944</v>
      </c>
      <c r="AF10" s="2"/>
      <c r="AG10" t="s">
        <v>8</v>
      </c>
    </row>
    <row r="11" spans="1:33" outlineLevel="2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44</v>
      </c>
      <c r="G11" s="2">
        <v>45717</v>
      </c>
      <c r="H11" t="s">
        <v>45</v>
      </c>
      <c r="I11" t="s">
        <v>46</v>
      </c>
      <c r="J11" s="2">
        <v>45716</v>
      </c>
      <c r="K11" s="2">
        <v>45727</v>
      </c>
      <c r="L11" t="s">
        <v>47</v>
      </c>
      <c r="M11" t="s">
        <v>47</v>
      </c>
      <c r="N11" t="s">
        <v>9</v>
      </c>
      <c r="O11" t="s">
        <v>10</v>
      </c>
      <c r="P11" t="s">
        <v>8</v>
      </c>
      <c r="Q11" t="s">
        <v>5</v>
      </c>
      <c r="R11" t="s">
        <v>12</v>
      </c>
      <c r="S11" s="3">
        <v>-10000</v>
      </c>
      <c r="T11" t="s">
        <v>12</v>
      </c>
      <c r="U11" s="3">
        <v>-10000</v>
      </c>
      <c r="V11" t="s">
        <v>8</v>
      </c>
      <c r="W11" t="s">
        <v>13</v>
      </c>
      <c r="X11" t="s">
        <v>8</v>
      </c>
      <c r="Y11" t="s">
        <v>47</v>
      </c>
      <c r="Z11" t="s">
        <v>14</v>
      </c>
      <c r="AA11" t="s">
        <v>15</v>
      </c>
      <c r="AB11" t="s">
        <v>2</v>
      </c>
      <c r="AC11" t="s">
        <v>8</v>
      </c>
      <c r="AD11" t="s">
        <v>2</v>
      </c>
      <c r="AE11" s="2">
        <v>45716</v>
      </c>
      <c r="AF11" s="2">
        <v>45988</v>
      </c>
      <c r="AG11" t="s">
        <v>6</v>
      </c>
    </row>
    <row r="12" spans="1:33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s="2">
        <v>45986</v>
      </c>
      <c r="H12" t="s">
        <v>48</v>
      </c>
      <c r="I12" t="s">
        <v>46</v>
      </c>
      <c r="J12" s="2">
        <v>45716</v>
      </c>
      <c r="K12" s="2">
        <v>45987</v>
      </c>
      <c r="L12" t="s">
        <v>49</v>
      </c>
      <c r="M12" t="s">
        <v>49</v>
      </c>
      <c r="N12" t="s">
        <v>9</v>
      </c>
      <c r="O12" t="s">
        <v>10</v>
      </c>
      <c r="P12" t="s">
        <v>8</v>
      </c>
      <c r="Q12" t="s">
        <v>25</v>
      </c>
      <c r="R12" t="s">
        <v>12</v>
      </c>
      <c r="S12" s="3">
        <v>10000</v>
      </c>
      <c r="T12" t="s">
        <v>12</v>
      </c>
      <c r="U12" s="3">
        <v>10000</v>
      </c>
      <c r="V12" t="s">
        <v>8</v>
      </c>
      <c r="W12" t="s">
        <v>13</v>
      </c>
      <c r="X12" t="s">
        <v>8</v>
      </c>
      <c r="Y12" t="s">
        <v>47</v>
      </c>
      <c r="Z12" t="s">
        <v>14</v>
      </c>
      <c r="AA12" t="s">
        <v>15</v>
      </c>
      <c r="AB12" t="s">
        <v>2</v>
      </c>
      <c r="AC12" t="s">
        <v>8</v>
      </c>
      <c r="AD12" t="s">
        <v>2</v>
      </c>
      <c r="AE12" s="2">
        <v>45716</v>
      </c>
      <c r="AF12" s="2">
        <v>45988</v>
      </c>
      <c r="AG12" t="s">
        <v>6</v>
      </c>
    </row>
    <row r="13" spans="1:33" outlineLevel="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44</v>
      </c>
      <c r="G13" s="2">
        <v>45744</v>
      </c>
      <c r="H13" t="s">
        <v>50</v>
      </c>
      <c r="I13" t="s">
        <v>46</v>
      </c>
      <c r="J13" s="2">
        <v>45701</v>
      </c>
      <c r="K13" s="2">
        <v>45744</v>
      </c>
      <c r="L13" t="s">
        <v>51</v>
      </c>
      <c r="M13" t="s">
        <v>51</v>
      </c>
      <c r="N13" t="s">
        <v>9</v>
      </c>
      <c r="O13" t="s">
        <v>10</v>
      </c>
      <c r="P13" t="s">
        <v>8</v>
      </c>
      <c r="Q13" t="s">
        <v>25</v>
      </c>
      <c r="R13" t="s">
        <v>12</v>
      </c>
      <c r="S13" s="3">
        <v>1</v>
      </c>
      <c r="T13" t="s">
        <v>12</v>
      </c>
      <c r="U13" s="3">
        <v>1</v>
      </c>
      <c r="V13" t="s">
        <v>8</v>
      </c>
      <c r="W13" t="s">
        <v>20</v>
      </c>
      <c r="X13" t="s">
        <v>8</v>
      </c>
      <c r="Y13" t="s">
        <v>52</v>
      </c>
      <c r="Z13" t="s">
        <v>53</v>
      </c>
      <c r="AA13" t="s">
        <v>21</v>
      </c>
      <c r="AB13" t="s">
        <v>2</v>
      </c>
      <c r="AC13" t="s">
        <v>8</v>
      </c>
      <c r="AD13" t="s">
        <v>2</v>
      </c>
      <c r="AE13" s="2">
        <v>45701</v>
      </c>
      <c r="AF13" s="2">
        <v>45758</v>
      </c>
      <c r="AG13" t="s">
        <v>19</v>
      </c>
    </row>
    <row r="14" spans="1:33" outlineLevel="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17</v>
      </c>
      <c r="G14" s="2">
        <v>45701</v>
      </c>
      <c r="H14" t="s">
        <v>54</v>
      </c>
      <c r="I14" t="s">
        <v>46</v>
      </c>
      <c r="J14" s="2">
        <v>45701</v>
      </c>
      <c r="K14" s="2">
        <v>45701</v>
      </c>
      <c r="L14" t="s">
        <v>52</v>
      </c>
      <c r="M14" t="s">
        <v>52</v>
      </c>
      <c r="N14" t="s">
        <v>9</v>
      </c>
      <c r="O14" t="s">
        <v>10</v>
      </c>
      <c r="P14" t="s">
        <v>8</v>
      </c>
      <c r="Q14" t="s">
        <v>5</v>
      </c>
      <c r="R14" t="s">
        <v>12</v>
      </c>
      <c r="S14" s="3">
        <v>-1</v>
      </c>
      <c r="T14" t="s">
        <v>12</v>
      </c>
      <c r="U14" s="3">
        <v>-1</v>
      </c>
      <c r="V14" t="s">
        <v>8</v>
      </c>
      <c r="W14" t="s">
        <v>20</v>
      </c>
      <c r="X14" t="s">
        <v>8</v>
      </c>
      <c r="Y14" t="s">
        <v>52</v>
      </c>
      <c r="Z14" t="s">
        <v>14</v>
      </c>
      <c r="AA14" t="s">
        <v>21</v>
      </c>
      <c r="AB14" t="s">
        <v>2</v>
      </c>
      <c r="AC14" t="s">
        <v>8</v>
      </c>
      <c r="AD14" t="s">
        <v>2</v>
      </c>
      <c r="AE14" s="2">
        <v>45701</v>
      </c>
      <c r="AF14" s="2">
        <v>45758</v>
      </c>
      <c r="AG14" t="s">
        <v>19</v>
      </c>
    </row>
    <row r="15" spans="1:33" outlineLevel="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s="2">
        <v>45975</v>
      </c>
      <c r="H15" t="s">
        <v>55</v>
      </c>
      <c r="I15" t="s">
        <v>56</v>
      </c>
      <c r="J15" s="2">
        <v>45975</v>
      </c>
      <c r="K15" s="2">
        <v>45975</v>
      </c>
      <c r="L15" t="s">
        <v>24</v>
      </c>
      <c r="M15" t="s">
        <v>57</v>
      </c>
      <c r="N15" t="s">
        <v>9</v>
      </c>
      <c r="O15" t="s">
        <v>10</v>
      </c>
      <c r="P15" t="s">
        <v>8</v>
      </c>
      <c r="Q15" t="s">
        <v>58</v>
      </c>
      <c r="R15" t="s">
        <v>59</v>
      </c>
      <c r="S15" s="3">
        <v>28.32</v>
      </c>
      <c r="T15" t="s">
        <v>12</v>
      </c>
      <c r="U15" s="3">
        <v>2497.56</v>
      </c>
      <c r="V15" t="s">
        <v>8</v>
      </c>
      <c r="W15" t="s">
        <v>27</v>
      </c>
      <c r="X15" t="s">
        <v>8</v>
      </c>
      <c r="Y15" t="s">
        <v>8</v>
      </c>
      <c r="Z15" t="s">
        <v>14</v>
      </c>
      <c r="AA15" t="s">
        <v>8</v>
      </c>
      <c r="AB15" t="s">
        <v>8</v>
      </c>
      <c r="AC15" t="s">
        <v>8</v>
      </c>
      <c r="AD15" t="s">
        <v>8</v>
      </c>
      <c r="AE15" s="2">
        <v>45975</v>
      </c>
      <c r="AF15" s="2">
        <v>45975</v>
      </c>
      <c r="AG15" t="s">
        <v>55</v>
      </c>
    </row>
    <row r="16" spans="1:33" outlineLevel="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45975</v>
      </c>
      <c r="H16" t="s">
        <v>55</v>
      </c>
      <c r="I16" t="s">
        <v>56</v>
      </c>
      <c r="J16" s="2">
        <v>45975</v>
      </c>
      <c r="K16" s="2">
        <v>45975</v>
      </c>
      <c r="L16" t="s">
        <v>24</v>
      </c>
      <c r="M16" t="s">
        <v>57</v>
      </c>
      <c r="N16" t="s">
        <v>9</v>
      </c>
      <c r="O16" t="s">
        <v>10</v>
      </c>
      <c r="P16" t="s">
        <v>8</v>
      </c>
      <c r="Q16" t="s">
        <v>33</v>
      </c>
      <c r="R16" t="s">
        <v>59</v>
      </c>
      <c r="S16" s="3">
        <v>-28.32</v>
      </c>
      <c r="T16" t="s">
        <v>12</v>
      </c>
      <c r="U16" s="3">
        <v>-2497.56</v>
      </c>
      <c r="V16" t="s">
        <v>8</v>
      </c>
      <c r="W16" t="s">
        <v>27</v>
      </c>
      <c r="X16" t="s">
        <v>8</v>
      </c>
      <c r="Y16" t="s">
        <v>8</v>
      </c>
      <c r="Z16" t="s">
        <v>17</v>
      </c>
      <c r="AA16" t="s">
        <v>8</v>
      </c>
      <c r="AB16" t="s">
        <v>8</v>
      </c>
      <c r="AC16" t="s">
        <v>8</v>
      </c>
      <c r="AD16" t="s">
        <v>8</v>
      </c>
      <c r="AE16" s="2">
        <v>45975</v>
      </c>
      <c r="AF16" s="2">
        <v>45975</v>
      </c>
      <c r="AG16" t="s">
        <v>55</v>
      </c>
    </row>
    <row r="17" spans="1:33" outlineLevel="2" x14ac:dyDescent="0.25">
      <c r="A17" t="s">
        <v>34</v>
      </c>
      <c r="B17" t="s">
        <v>1</v>
      </c>
      <c r="C17" t="s">
        <v>2</v>
      </c>
      <c r="D17" t="s">
        <v>3</v>
      </c>
      <c r="E17" t="s">
        <v>4</v>
      </c>
      <c r="F17" t="s">
        <v>44</v>
      </c>
      <c r="G17" s="2">
        <v>45736</v>
      </c>
      <c r="H17" t="s">
        <v>60</v>
      </c>
      <c r="I17" t="s">
        <v>61</v>
      </c>
      <c r="J17" s="2">
        <v>45736</v>
      </c>
      <c r="K17" s="2">
        <v>45737</v>
      </c>
      <c r="L17" t="s">
        <v>24</v>
      </c>
      <c r="M17" t="s">
        <v>62</v>
      </c>
      <c r="N17" t="s">
        <v>9</v>
      </c>
      <c r="O17" t="s">
        <v>10</v>
      </c>
      <c r="P17" t="s">
        <v>8</v>
      </c>
      <c r="Q17" t="s">
        <v>25</v>
      </c>
      <c r="R17" t="s">
        <v>59</v>
      </c>
      <c r="S17" s="3">
        <v>10.62</v>
      </c>
      <c r="T17" t="s">
        <v>12</v>
      </c>
      <c r="U17" s="3">
        <v>920.66</v>
      </c>
      <c r="V17" t="s">
        <v>63</v>
      </c>
      <c r="W17" t="s">
        <v>20</v>
      </c>
      <c r="X17" t="s">
        <v>8</v>
      </c>
      <c r="Y17" t="s">
        <v>24</v>
      </c>
      <c r="Z17" t="s">
        <v>14</v>
      </c>
      <c r="AA17" t="s">
        <v>64</v>
      </c>
      <c r="AB17" t="s">
        <v>8</v>
      </c>
      <c r="AC17" t="s">
        <v>8</v>
      </c>
      <c r="AD17" t="s">
        <v>8</v>
      </c>
      <c r="AE17" s="2">
        <v>45736</v>
      </c>
      <c r="AF17" s="2"/>
      <c r="AG17" t="s">
        <v>8</v>
      </c>
    </row>
    <row r="18" spans="1:33" outlineLevel="2" x14ac:dyDescent="0.25">
      <c r="A18" t="s">
        <v>34</v>
      </c>
      <c r="B18" t="s">
        <v>1</v>
      </c>
      <c r="C18" t="s">
        <v>2</v>
      </c>
      <c r="D18" t="s">
        <v>3</v>
      </c>
      <c r="E18" t="s">
        <v>4</v>
      </c>
      <c r="F18" t="s">
        <v>44</v>
      </c>
      <c r="G18" s="2">
        <v>45737</v>
      </c>
      <c r="H18" t="s">
        <v>65</v>
      </c>
      <c r="I18" t="s">
        <v>61</v>
      </c>
      <c r="J18" s="2">
        <v>45737</v>
      </c>
      <c r="K18" s="2">
        <v>45737</v>
      </c>
      <c r="L18" t="s">
        <v>24</v>
      </c>
      <c r="M18" t="s">
        <v>66</v>
      </c>
      <c r="N18" t="s">
        <v>9</v>
      </c>
      <c r="O18" t="s">
        <v>10</v>
      </c>
      <c r="P18" t="s">
        <v>8</v>
      </c>
      <c r="Q18" t="s">
        <v>25</v>
      </c>
      <c r="R18" t="s">
        <v>59</v>
      </c>
      <c r="S18" s="3">
        <v>10.62</v>
      </c>
      <c r="T18" t="s">
        <v>12</v>
      </c>
      <c r="U18" s="3">
        <v>920.66</v>
      </c>
      <c r="V18" t="s">
        <v>63</v>
      </c>
      <c r="W18" t="s">
        <v>20</v>
      </c>
      <c r="X18" t="s">
        <v>8</v>
      </c>
      <c r="Y18" t="s">
        <v>24</v>
      </c>
      <c r="Z18" t="s">
        <v>14</v>
      </c>
      <c r="AA18" t="s">
        <v>67</v>
      </c>
      <c r="AB18" t="s">
        <v>8</v>
      </c>
      <c r="AC18" t="s">
        <v>8</v>
      </c>
      <c r="AD18" t="s">
        <v>8</v>
      </c>
      <c r="AE18" s="2">
        <v>45737</v>
      </c>
      <c r="AF18" s="2"/>
      <c r="AG18" t="s">
        <v>8</v>
      </c>
    </row>
    <row r="19" spans="1:33" outlineLevel="2" x14ac:dyDescent="0.25">
      <c r="A19" t="s">
        <v>34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45736</v>
      </c>
      <c r="H19" t="s">
        <v>68</v>
      </c>
      <c r="I19" t="s">
        <v>61</v>
      </c>
      <c r="J19" s="2">
        <v>45736</v>
      </c>
      <c r="K19" s="2">
        <v>45737</v>
      </c>
      <c r="L19" t="s">
        <v>24</v>
      </c>
      <c r="M19" t="s">
        <v>69</v>
      </c>
      <c r="N19" t="s">
        <v>9</v>
      </c>
      <c r="O19" t="s">
        <v>10</v>
      </c>
      <c r="P19" t="s">
        <v>8</v>
      </c>
      <c r="Q19" t="s">
        <v>25</v>
      </c>
      <c r="R19" t="s">
        <v>59</v>
      </c>
      <c r="S19" s="3">
        <v>11.8</v>
      </c>
      <c r="T19" t="s">
        <v>12</v>
      </c>
      <c r="U19" s="3">
        <v>1022.96</v>
      </c>
      <c r="V19" t="s">
        <v>63</v>
      </c>
      <c r="W19" t="s">
        <v>20</v>
      </c>
      <c r="X19" t="s">
        <v>8</v>
      </c>
      <c r="Y19" t="s">
        <v>24</v>
      </c>
      <c r="Z19" t="s">
        <v>14</v>
      </c>
      <c r="AA19" t="s">
        <v>70</v>
      </c>
      <c r="AB19" t="s">
        <v>8</v>
      </c>
      <c r="AC19" t="s">
        <v>8</v>
      </c>
      <c r="AD19" t="s">
        <v>8</v>
      </c>
      <c r="AE19" s="2">
        <v>45736</v>
      </c>
      <c r="AF19" s="2"/>
      <c r="AG19" t="s">
        <v>8</v>
      </c>
    </row>
    <row r="20" spans="1:33" outlineLevel="2" x14ac:dyDescent="0.25">
      <c r="A20" t="s">
        <v>34</v>
      </c>
      <c r="B20" t="s">
        <v>1</v>
      </c>
      <c r="C20" t="s">
        <v>2</v>
      </c>
      <c r="D20" t="s">
        <v>3</v>
      </c>
      <c r="E20" t="s">
        <v>4</v>
      </c>
      <c r="F20" t="s">
        <v>18</v>
      </c>
      <c r="G20" s="2">
        <v>45762</v>
      </c>
      <c r="H20" t="s">
        <v>71</v>
      </c>
      <c r="I20" t="s">
        <v>61</v>
      </c>
      <c r="J20" s="2">
        <v>45762</v>
      </c>
      <c r="K20" s="2">
        <v>45763</v>
      </c>
      <c r="L20" t="s">
        <v>24</v>
      </c>
      <c r="M20" t="s">
        <v>72</v>
      </c>
      <c r="N20" t="s">
        <v>9</v>
      </c>
      <c r="O20" t="s">
        <v>10</v>
      </c>
      <c r="P20" t="s">
        <v>8</v>
      </c>
      <c r="Q20" t="s">
        <v>25</v>
      </c>
      <c r="R20" t="s">
        <v>59</v>
      </c>
      <c r="S20" s="3">
        <v>11.8</v>
      </c>
      <c r="T20" t="s">
        <v>12</v>
      </c>
      <c r="U20" s="3">
        <v>1025.68</v>
      </c>
      <c r="V20" t="s">
        <v>63</v>
      </c>
      <c r="W20" t="s">
        <v>8</v>
      </c>
      <c r="X20" t="s">
        <v>8</v>
      </c>
      <c r="Y20" t="s">
        <v>24</v>
      </c>
      <c r="Z20" t="s">
        <v>14</v>
      </c>
      <c r="AA20" t="s">
        <v>73</v>
      </c>
      <c r="AB20" t="s">
        <v>8</v>
      </c>
      <c r="AC20" t="s">
        <v>8</v>
      </c>
      <c r="AD20" t="s">
        <v>8</v>
      </c>
      <c r="AE20" s="2">
        <v>45762</v>
      </c>
      <c r="AF20" s="2"/>
      <c r="AG20" t="s">
        <v>8</v>
      </c>
    </row>
    <row r="21" spans="1:33" outlineLevel="2" x14ac:dyDescent="0.25">
      <c r="A21" t="s">
        <v>34</v>
      </c>
      <c r="B21" t="s">
        <v>1</v>
      </c>
      <c r="C21" t="s">
        <v>2</v>
      </c>
      <c r="D21" t="s">
        <v>3</v>
      </c>
      <c r="E21" t="s">
        <v>4</v>
      </c>
      <c r="F21" t="s">
        <v>18</v>
      </c>
      <c r="G21" s="2">
        <v>45751</v>
      </c>
      <c r="H21" t="s">
        <v>74</v>
      </c>
      <c r="I21" t="s">
        <v>61</v>
      </c>
      <c r="J21" s="2">
        <v>45751</v>
      </c>
      <c r="K21" s="2">
        <v>45752</v>
      </c>
      <c r="L21" t="s">
        <v>24</v>
      </c>
      <c r="M21" t="s">
        <v>75</v>
      </c>
      <c r="N21" t="s">
        <v>9</v>
      </c>
      <c r="O21" t="s">
        <v>10</v>
      </c>
      <c r="P21" t="s">
        <v>8</v>
      </c>
      <c r="Q21" t="s">
        <v>25</v>
      </c>
      <c r="R21" t="s">
        <v>59</v>
      </c>
      <c r="S21" s="3">
        <v>343.03</v>
      </c>
      <c r="T21" t="s">
        <v>12</v>
      </c>
      <c r="U21" s="3">
        <v>29816.79</v>
      </c>
      <c r="V21" t="s">
        <v>63</v>
      </c>
      <c r="W21" t="s">
        <v>8</v>
      </c>
      <c r="X21" t="s">
        <v>8</v>
      </c>
      <c r="Y21" t="s">
        <v>24</v>
      </c>
      <c r="Z21" t="s">
        <v>14</v>
      </c>
      <c r="AA21" t="s">
        <v>76</v>
      </c>
      <c r="AB21" t="s">
        <v>8</v>
      </c>
      <c r="AC21" t="s">
        <v>8</v>
      </c>
      <c r="AD21" t="s">
        <v>8</v>
      </c>
      <c r="AE21" s="2">
        <v>45751</v>
      </c>
      <c r="AF21" s="2"/>
      <c r="AG21" t="s">
        <v>8</v>
      </c>
    </row>
    <row r="22" spans="1:33" outlineLevel="2" x14ac:dyDescent="0.25">
      <c r="A22" t="s">
        <v>34</v>
      </c>
      <c r="B22" t="s">
        <v>1</v>
      </c>
      <c r="C22" t="s">
        <v>2</v>
      </c>
      <c r="D22" t="s">
        <v>3</v>
      </c>
      <c r="E22" t="s">
        <v>4</v>
      </c>
      <c r="F22" t="s">
        <v>18</v>
      </c>
      <c r="G22" s="2">
        <v>45751</v>
      </c>
      <c r="H22" t="s">
        <v>77</v>
      </c>
      <c r="I22" t="s">
        <v>61</v>
      </c>
      <c r="J22" s="2">
        <v>45751</v>
      </c>
      <c r="K22" s="2">
        <v>45752</v>
      </c>
      <c r="L22" t="s">
        <v>24</v>
      </c>
      <c r="M22" t="s">
        <v>78</v>
      </c>
      <c r="N22" t="s">
        <v>9</v>
      </c>
      <c r="O22" t="s">
        <v>10</v>
      </c>
      <c r="P22" t="s">
        <v>8</v>
      </c>
      <c r="Q22" t="s">
        <v>25</v>
      </c>
      <c r="R22" t="s">
        <v>59</v>
      </c>
      <c r="S22" s="3">
        <v>584.1</v>
      </c>
      <c r="T22" t="s">
        <v>12</v>
      </c>
      <c r="U22" s="3">
        <v>50771.040000000001</v>
      </c>
      <c r="V22" t="s">
        <v>63</v>
      </c>
      <c r="W22" t="s">
        <v>8</v>
      </c>
      <c r="X22" t="s">
        <v>8</v>
      </c>
      <c r="Y22" t="s">
        <v>24</v>
      </c>
      <c r="Z22" t="s">
        <v>14</v>
      </c>
      <c r="AA22" t="s">
        <v>79</v>
      </c>
      <c r="AB22" t="s">
        <v>8</v>
      </c>
      <c r="AC22" t="s">
        <v>8</v>
      </c>
      <c r="AD22" t="s">
        <v>8</v>
      </c>
      <c r="AE22" s="2">
        <v>45751</v>
      </c>
      <c r="AF22" s="2"/>
      <c r="AG22" t="s">
        <v>8</v>
      </c>
    </row>
    <row r="23" spans="1:33" outlineLevel="2" x14ac:dyDescent="0.25">
      <c r="A23" t="s">
        <v>34</v>
      </c>
      <c r="B23" t="s">
        <v>1</v>
      </c>
      <c r="C23" t="s">
        <v>2</v>
      </c>
      <c r="D23" t="s">
        <v>3</v>
      </c>
      <c r="E23" t="s">
        <v>4</v>
      </c>
      <c r="F23" t="s">
        <v>18</v>
      </c>
      <c r="G23" s="2">
        <v>45751</v>
      </c>
      <c r="H23" t="s">
        <v>80</v>
      </c>
      <c r="I23" t="s">
        <v>61</v>
      </c>
      <c r="J23" s="2">
        <v>45751</v>
      </c>
      <c r="K23" s="2">
        <v>45752</v>
      </c>
      <c r="L23" t="s">
        <v>24</v>
      </c>
      <c r="M23" t="s">
        <v>81</v>
      </c>
      <c r="N23" t="s">
        <v>9</v>
      </c>
      <c r="O23" t="s">
        <v>10</v>
      </c>
      <c r="P23" t="s">
        <v>8</v>
      </c>
      <c r="Q23" t="s">
        <v>25</v>
      </c>
      <c r="R23" t="s">
        <v>59</v>
      </c>
      <c r="S23" s="3">
        <v>573.48</v>
      </c>
      <c r="T23" t="s">
        <v>12</v>
      </c>
      <c r="U23" s="3">
        <v>49847.93</v>
      </c>
      <c r="V23" t="s">
        <v>63</v>
      </c>
      <c r="W23" t="s">
        <v>8</v>
      </c>
      <c r="X23" t="s">
        <v>8</v>
      </c>
      <c r="Y23" t="s">
        <v>24</v>
      </c>
      <c r="Z23" t="s">
        <v>14</v>
      </c>
      <c r="AA23" t="s">
        <v>82</v>
      </c>
      <c r="AB23" t="s">
        <v>8</v>
      </c>
      <c r="AC23" t="s">
        <v>8</v>
      </c>
      <c r="AD23" t="s">
        <v>8</v>
      </c>
      <c r="AE23" s="2">
        <v>45751</v>
      </c>
      <c r="AF23" s="2"/>
      <c r="AG23" t="s">
        <v>8</v>
      </c>
    </row>
    <row r="24" spans="1:33" outlineLevel="2" x14ac:dyDescent="0.25">
      <c r="A24" t="s">
        <v>34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s="2">
        <v>45980</v>
      </c>
      <c r="H24" t="s">
        <v>83</v>
      </c>
      <c r="I24" t="s">
        <v>61</v>
      </c>
      <c r="J24" s="2">
        <v>45980</v>
      </c>
      <c r="K24" s="2">
        <v>45982</v>
      </c>
      <c r="L24" t="s">
        <v>24</v>
      </c>
      <c r="M24" t="s">
        <v>84</v>
      </c>
      <c r="N24" t="s">
        <v>9</v>
      </c>
      <c r="O24" t="s">
        <v>10</v>
      </c>
      <c r="P24" t="s">
        <v>8</v>
      </c>
      <c r="Q24" t="s">
        <v>25</v>
      </c>
      <c r="R24" t="s">
        <v>59</v>
      </c>
      <c r="S24" s="3">
        <v>355.24</v>
      </c>
      <c r="T24" t="s">
        <v>12</v>
      </c>
      <c r="U24" s="3">
        <v>31262.32</v>
      </c>
      <c r="V24" t="s">
        <v>63</v>
      </c>
      <c r="W24" t="s">
        <v>27</v>
      </c>
      <c r="X24" t="s">
        <v>8</v>
      </c>
      <c r="Y24" t="s">
        <v>85</v>
      </c>
      <c r="Z24" t="s">
        <v>14</v>
      </c>
      <c r="AA24" t="s">
        <v>86</v>
      </c>
      <c r="AB24" t="s">
        <v>8</v>
      </c>
      <c r="AC24" t="s">
        <v>8</v>
      </c>
      <c r="AD24" t="s">
        <v>8</v>
      </c>
      <c r="AE24" s="2">
        <v>45980</v>
      </c>
      <c r="AF24" s="2"/>
      <c r="AG24" t="s">
        <v>8</v>
      </c>
    </row>
    <row r="25" spans="1:33" outlineLevel="2" x14ac:dyDescent="0.25">
      <c r="A25" t="s">
        <v>34</v>
      </c>
      <c r="B25" t="s">
        <v>1</v>
      </c>
      <c r="C25" t="s">
        <v>2</v>
      </c>
      <c r="D25" t="s">
        <v>3</v>
      </c>
      <c r="E25" t="s">
        <v>4</v>
      </c>
      <c r="F25" t="s">
        <v>87</v>
      </c>
      <c r="G25" s="2">
        <v>45813</v>
      </c>
      <c r="H25" t="s">
        <v>88</v>
      </c>
      <c r="I25" t="s">
        <v>61</v>
      </c>
      <c r="J25" s="2">
        <v>45813</v>
      </c>
      <c r="K25" s="2">
        <v>45817</v>
      </c>
      <c r="L25" t="s">
        <v>24</v>
      </c>
      <c r="M25" t="s">
        <v>89</v>
      </c>
      <c r="N25" t="s">
        <v>9</v>
      </c>
      <c r="O25" t="s">
        <v>10</v>
      </c>
      <c r="P25" t="s">
        <v>8</v>
      </c>
      <c r="Q25" t="s">
        <v>25</v>
      </c>
      <c r="R25" t="s">
        <v>59</v>
      </c>
      <c r="S25" s="3">
        <v>463.56</v>
      </c>
      <c r="T25" t="s">
        <v>12</v>
      </c>
      <c r="U25" s="3">
        <v>39630.11</v>
      </c>
      <c r="V25" t="s">
        <v>63</v>
      </c>
      <c r="W25" t="s">
        <v>27</v>
      </c>
      <c r="X25" t="s">
        <v>8</v>
      </c>
      <c r="Y25" t="s">
        <v>24</v>
      </c>
      <c r="Z25" t="s">
        <v>14</v>
      </c>
      <c r="AA25" t="s">
        <v>90</v>
      </c>
      <c r="AB25" t="s">
        <v>8</v>
      </c>
      <c r="AC25" t="s">
        <v>8</v>
      </c>
      <c r="AD25" t="s">
        <v>8</v>
      </c>
      <c r="AE25" s="2">
        <v>45813</v>
      </c>
      <c r="AF25" s="2"/>
      <c r="AG25" t="s">
        <v>8</v>
      </c>
    </row>
    <row r="26" spans="1:33" outlineLevel="2" x14ac:dyDescent="0.25">
      <c r="A26" t="s">
        <v>34</v>
      </c>
      <c r="B26" t="s">
        <v>1</v>
      </c>
      <c r="C26" t="s">
        <v>2</v>
      </c>
      <c r="D26" t="s">
        <v>3</v>
      </c>
      <c r="E26" t="s">
        <v>4</v>
      </c>
      <c r="F26" t="s">
        <v>18</v>
      </c>
      <c r="G26" s="2">
        <v>45762</v>
      </c>
      <c r="H26" t="s">
        <v>91</v>
      </c>
      <c r="I26" t="s">
        <v>61</v>
      </c>
      <c r="J26" s="2">
        <v>45762</v>
      </c>
      <c r="K26" s="2">
        <v>45763</v>
      </c>
      <c r="L26" t="s">
        <v>24</v>
      </c>
      <c r="M26" t="s">
        <v>92</v>
      </c>
      <c r="N26" t="s">
        <v>9</v>
      </c>
      <c r="O26" t="s">
        <v>10</v>
      </c>
      <c r="P26" t="s">
        <v>8</v>
      </c>
      <c r="Q26" t="s">
        <v>25</v>
      </c>
      <c r="R26" t="s">
        <v>59</v>
      </c>
      <c r="S26" s="3">
        <v>42.48</v>
      </c>
      <c r="T26" t="s">
        <v>12</v>
      </c>
      <c r="U26" s="3">
        <v>3692.44</v>
      </c>
      <c r="V26" t="s">
        <v>63</v>
      </c>
      <c r="W26" t="s">
        <v>8</v>
      </c>
      <c r="X26" t="s">
        <v>8</v>
      </c>
      <c r="Y26" t="s">
        <v>24</v>
      </c>
      <c r="Z26" t="s">
        <v>14</v>
      </c>
      <c r="AA26" t="s">
        <v>93</v>
      </c>
      <c r="AB26" t="s">
        <v>8</v>
      </c>
      <c r="AC26" t="s">
        <v>8</v>
      </c>
      <c r="AD26" t="s">
        <v>8</v>
      </c>
      <c r="AE26" s="2">
        <v>45762</v>
      </c>
      <c r="AF26" s="2"/>
      <c r="AG26" t="s">
        <v>8</v>
      </c>
    </row>
    <row r="27" spans="1:33" outlineLevel="2" x14ac:dyDescent="0.25">
      <c r="A27" t="s">
        <v>34</v>
      </c>
      <c r="B27" t="s">
        <v>1</v>
      </c>
      <c r="C27" t="s">
        <v>2</v>
      </c>
      <c r="D27" t="s">
        <v>3</v>
      </c>
      <c r="E27" t="s">
        <v>4</v>
      </c>
      <c r="F27" t="s">
        <v>18</v>
      </c>
      <c r="G27" s="2">
        <v>45762</v>
      </c>
      <c r="H27" t="s">
        <v>94</v>
      </c>
      <c r="I27" t="s">
        <v>61</v>
      </c>
      <c r="J27" s="2">
        <v>45762</v>
      </c>
      <c r="K27" s="2">
        <v>45763</v>
      </c>
      <c r="L27" t="s">
        <v>24</v>
      </c>
      <c r="M27" t="s">
        <v>95</v>
      </c>
      <c r="N27" t="s">
        <v>9</v>
      </c>
      <c r="O27" t="s">
        <v>10</v>
      </c>
      <c r="P27" t="s">
        <v>8</v>
      </c>
      <c r="Q27" t="s">
        <v>25</v>
      </c>
      <c r="R27" t="s">
        <v>59</v>
      </c>
      <c r="S27" s="3">
        <v>38.94</v>
      </c>
      <c r="T27" t="s">
        <v>12</v>
      </c>
      <c r="U27" s="3">
        <v>3384.74</v>
      </c>
      <c r="V27" t="s">
        <v>63</v>
      </c>
      <c r="W27" t="s">
        <v>8</v>
      </c>
      <c r="X27" t="s">
        <v>8</v>
      </c>
      <c r="Y27" t="s">
        <v>24</v>
      </c>
      <c r="Z27" t="s">
        <v>14</v>
      </c>
      <c r="AA27" t="s">
        <v>93</v>
      </c>
      <c r="AB27" t="s">
        <v>8</v>
      </c>
      <c r="AC27" t="s">
        <v>8</v>
      </c>
      <c r="AD27" t="s">
        <v>8</v>
      </c>
      <c r="AE27" s="2">
        <v>45762</v>
      </c>
      <c r="AF27" s="2"/>
      <c r="AG27" t="s">
        <v>8</v>
      </c>
    </row>
    <row r="28" spans="1:33" outlineLevel="2" x14ac:dyDescent="0.25">
      <c r="A28" t="s">
        <v>34</v>
      </c>
      <c r="B28" t="s">
        <v>1</v>
      </c>
      <c r="C28" t="s">
        <v>2</v>
      </c>
      <c r="D28" t="s">
        <v>3</v>
      </c>
      <c r="E28" t="s">
        <v>4</v>
      </c>
      <c r="F28" t="s">
        <v>18</v>
      </c>
      <c r="G28" s="2">
        <v>45762</v>
      </c>
      <c r="H28" t="s">
        <v>96</v>
      </c>
      <c r="I28" t="s">
        <v>61</v>
      </c>
      <c r="J28" s="2">
        <v>45762</v>
      </c>
      <c r="K28" s="2">
        <v>45763</v>
      </c>
      <c r="L28" t="s">
        <v>24</v>
      </c>
      <c r="M28" t="s">
        <v>97</v>
      </c>
      <c r="N28" t="s">
        <v>9</v>
      </c>
      <c r="O28" t="s">
        <v>10</v>
      </c>
      <c r="P28" t="s">
        <v>8</v>
      </c>
      <c r="Q28" t="s">
        <v>25</v>
      </c>
      <c r="R28" t="s">
        <v>59</v>
      </c>
      <c r="S28" s="3">
        <v>6.27</v>
      </c>
      <c r="T28" t="s">
        <v>12</v>
      </c>
      <c r="U28" s="3">
        <v>545</v>
      </c>
      <c r="V28" t="s">
        <v>63</v>
      </c>
      <c r="W28" t="s">
        <v>8</v>
      </c>
      <c r="X28" t="s">
        <v>8</v>
      </c>
      <c r="Y28" t="s">
        <v>24</v>
      </c>
      <c r="Z28" t="s">
        <v>14</v>
      </c>
      <c r="AA28" t="s">
        <v>73</v>
      </c>
      <c r="AB28" t="s">
        <v>8</v>
      </c>
      <c r="AC28" t="s">
        <v>8</v>
      </c>
      <c r="AD28" t="s">
        <v>8</v>
      </c>
      <c r="AE28" s="2">
        <v>45762</v>
      </c>
      <c r="AF28" s="2"/>
      <c r="AG28" t="s">
        <v>8</v>
      </c>
    </row>
    <row r="29" spans="1:33" outlineLevel="2" x14ac:dyDescent="0.25">
      <c r="A29" t="s">
        <v>34</v>
      </c>
      <c r="B29" t="s">
        <v>1</v>
      </c>
      <c r="C29" t="s">
        <v>2</v>
      </c>
      <c r="D29" t="s">
        <v>3</v>
      </c>
      <c r="E29" t="s">
        <v>4</v>
      </c>
      <c r="F29" t="s">
        <v>18</v>
      </c>
      <c r="G29" s="2">
        <v>45762</v>
      </c>
      <c r="H29" t="s">
        <v>98</v>
      </c>
      <c r="I29" t="s">
        <v>61</v>
      </c>
      <c r="J29" s="2">
        <v>45762</v>
      </c>
      <c r="K29" s="2">
        <v>45763</v>
      </c>
      <c r="L29" t="s">
        <v>24</v>
      </c>
      <c r="M29" t="s">
        <v>99</v>
      </c>
      <c r="N29" t="s">
        <v>9</v>
      </c>
      <c r="O29" t="s">
        <v>10</v>
      </c>
      <c r="P29" t="s">
        <v>8</v>
      </c>
      <c r="Q29" t="s">
        <v>25</v>
      </c>
      <c r="R29" t="s">
        <v>59</v>
      </c>
      <c r="S29" s="3">
        <v>15.36</v>
      </c>
      <c r="T29" t="s">
        <v>12</v>
      </c>
      <c r="U29" s="3">
        <v>1335.12</v>
      </c>
      <c r="V29" t="s">
        <v>63</v>
      </c>
      <c r="W29" t="s">
        <v>8</v>
      </c>
      <c r="X29" t="s">
        <v>8</v>
      </c>
      <c r="Y29" t="s">
        <v>24</v>
      </c>
      <c r="Z29" t="s">
        <v>14</v>
      </c>
      <c r="AA29" t="s">
        <v>73</v>
      </c>
      <c r="AB29" t="s">
        <v>8</v>
      </c>
      <c r="AC29" t="s">
        <v>8</v>
      </c>
      <c r="AD29" t="s">
        <v>8</v>
      </c>
      <c r="AE29" s="2">
        <v>45762</v>
      </c>
      <c r="AF29" s="2"/>
      <c r="AG29" t="s">
        <v>8</v>
      </c>
    </row>
    <row r="30" spans="1:33" outlineLevel="2" x14ac:dyDescent="0.25">
      <c r="A30" t="s">
        <v>34</v>
      </c>
      <c r="B30" t="s">
        <v>1</v>
      </c>
      <c r="C30" t="s">
        <v>2</v>
      </c>
      <c r="D30" t="s">
        <v>3</v>
      </c>
      <c r="E30" t="s">
        <v>4</v>
      </c>
      <c r="F30" t="s">
        <v>18</v>
      </c>
      <c r="G30" s="2">
        <v>45762</v>
      </c>
      <c r="H30" t="s">
        <v>100</v>
      </c>
      <c r="I30" t="s">
        <v>61</v>
      </c>
      <c r="J30" s="2">
        <v>45762</v>
      </c>
      <c r="K30" s="2">
        <v>45763</v>
      </c>
      <c r="L30" t="s">
        <v>24</v>
      </c>
      <c r="M30" t="s">
        <v>101</v>
      </c>
      <c r="N30" t="s">
        <v>9</v>
      </c>
      <c r="O30" t="s">
        <v>10</v>
      </c>
      <c r="P30" t="s">
        <v>8</v>
      </c>
      <c r="Q30" t="s">
        <v>25</v>
      </c>
      <c r="R30" t="s">
        <v>59</v>
      </c>
      <c r="S30" s="3">
        <v>4.72</v>
      </c>
      <c r="T30" t="s">
        <v>12</v>
      </c>
      <c r="U30" s="3">
        <v>410.27</v>
      </c>
      <c r="V30" t="s">
        <v>63</v>
      </c>
      <c r="W30" t="s">
        <v>8</v>
      </c>
      <c r="X30" t="s">
        <v>8</v>
      </c>
      <c r="Y30" t="s">
        <v>24</v>
      </c>
      <c r="Z30" t="s">
        <v>14</v>
      </c>
      <c r="AA30" t="s">
        <v>73</v>
      </c>
      <c r="AB30" t="s">
        <v>8</v>
      </c>
      <c r="AC30" t="s">
        <v>8</v>
      </c>
      <c r="AD30" t="s">
        <v>8</v>
      </c>
      <c r="AE30" s="2">
        <v>45762</v>
      </c>
      <c r="AF30" s="2"/>
      <c r="AG30" t="s">
        <v>8</v>
      </c>
    </row>
    <row r="31" spans="1:33" outlineLevel="2" x14ac:dyDescent="0.25">
      <c r="A31" t="s">
        <v>34</v>
      </c>
      <c r="B31" t="s">
        <v>1</v>
      </c>
      <c r="C31" t="s">
        <v>2</v>
      </c>
      <c r="D31" t="s">
        <v>3</v>
      </c>
      <c r="E31" t="s">
        <v>4</v>
      </c>
      <c r="F31" t="s">
        <v>18</v>
      </c>
      <c r="G31" s="2">
        <v>45762</v>
      </c>
      <c r="H31" t="s">
        <v>102</v>
      </c>
      <c r="I31" t="s">
        <v>61</v>
      </c>
      <c r="J31" s="2">
        <v>45762</v>
      </c>
      <c r="K31" s="2">
        <v>45763</v>
      </c>
      <c r="L31" t="s">
        <v>24</v>
      </c>
      <c r="M31" t="s">
        <v>103</v>
      </c>
      <c r="N31" t="s">
        <v>9</v>
      </c>
      <c r="O31" t="s">
        <v>10</v>
      </c>
      <c r="P31" t="s">
        <v>8</v>
      </c>
      <c r="Q31" t="s">
        <v>25</v>
      </c>
      <c r="R31" t="s">
        <v>59</v>
      </c>
      <c r="S31" s="3">
        <v>18.88</v>
      </c>
      <c r="T31" t="s">
        <v>12</v>
      </c>
      <c r="U31" s="3">
        <v>1641.08</v>
      </c>
      <c r="V31" t="s">
        <v>63</v>
      </c>
      <c r="W31" t="s">
        <v>8</v>
      </c>
      <c r="X31" t="s">
        <v>8</v>
      </c>
      <c r="Y31" t="s">
        <v>24</v>
      </c>
      <c r="Z31" t="s">
        <v>14</v>
      </c>
      <c r="AA31" t="s">
        <v>73</v>
      </c>
      <c r="AB31" t="s">
        <v>8</v>
      </c>
      <c r="AC31" t="s">
        <v>8</v>
      </c>
      <c r="AD31" t="s">
        <v>8</v>
      </c>
      <c r="AE31" s="2">
        <v>45762</v>
      </c>
      <c r="AF31" s="2"/>
      <c r="AG31" t="s">
        <v>8</v>
      </c>
    </row>
    <row r="32" spans="1:33" outlineLevel="2" x14ac:dyDescent="0.25">
      <c r="A32" t="s">
        <v>34</v>
      </c>
      <c r="B32" t="s">
        <v>1</v>
      </c>
      <c r="C32" t="s">
        <v>2</v>
      </c>
      <c r="D32" t="s">
        <v>3</v>
      </c>
      <c r="E32" t="s">
        <v>4</v>
      </c>
      <c r="F32" t="s">
        <v>18</v>
      </c>
      <c r="G32" s="2">
        <v>45762</v>
      </c>
      <c r="H32" t="s">
        <v>104</v>
      </c>
      <c r="I32" t="s">
        <v>61</v>
      </c>
      <c r="J32" s="2">
        <v>45762</v>
      </c>
      <c r="K32" s="2">
        <v>45763</v>
      </c>
      <c r="L32" t="s">
        <v>24</v>
      </c>
      <c r="M32" t="s">
        <v>105</v>
      </c>
      <c r="N32" t="s">
        <v>9</v>
      </c>
      <c r="O32" t="s">
        <v>10</v>
      </c>
      <c r="P32" t="s">
        <v>8</v>
      </c>
      <c r="Q32" t="s">
        <v>25</v>
      </c>
      <c r="R32" t="s">
        <v>59</v>
      </c>
      <c r="S32" s="3">
        <v>14.44</v>
      </c>
      <c r="T32" t="s">
        <v>12</v>
      </c>
      <c r="U32" s="3">
        <v>1255.1500000000001</v>
      </c>
      <c r="V32" t="s">
        <v>63</v>
      </c>
      <c r="W32" t="s">
        <v>8</v>
      </c>
      <c r="X32" t="s">
        <v>8</v>
      </c>
      <c r="Y32" t="s">
        <v>24</v>
      </c>
      <c r="Z32" t="s">
        <v>14</v>
      </c>
      <c r="AA32" t="s">
        <v>73</v>
      </c>
      <c r="AB32" t="s">
        <v>8</v>
      </c>
      <c r="AC32" t="s">
        <v>8</v>
      </c>
      <c r="AD32" t="s">
        <v>8</v>
      </c>
      <c r="AE32" s="2">
        <v>45762</v>
      </c>
      <c r="AF32" s="2"/>
      <c r="AG32" t="s">
        <v>8</v>
      </c>
    </row>
    <row r="33" spans="1:33" outlineLevel="2" x14ac:dyDescent="0.25">
      <c r="A33" t="s">
        <v>34</v>
      </c>
      <c r="B33" t="s">
        <v>1</v>
      </c>
      <c r="C33" t="s">
        <v>2</v>
      </c>
      <c r="D33" t="s">
        <v>3</v>
      </c>
      <c r="E33" t="s">
        <v>4</v>
      </c>
      <c r="F33" t="s">
        <v>106</v>
      </c>
      <c r="G33" s="2">
        <v>45785</v>
      </c>
      <c r="H33" t="s">
        <v>107</v>
      </c>
      <c r="I33" t="s">
        <v>61</v>
      </c>
      <c r="J33" s="2">
        <v>45785</v>
      </c>
      <c r="K33" s="2">
        <v>45805</v>
      </c>
      <c r="L33" t="s">
        <v>24</v>
      </c>
      <c r="M33" t="s">
        <v>108</v>
      </c>
      <c r="N33" t="s">
        <v>9</v>
      </c>
      <c r="O33" t="s">
        <v>10</v>
      </c>
      <c r="P33" t="s">
        <v>8</v>
      </c>
      <c r="Q33" t="s">
        <v>25</v>
      </c>
      <c r="R33" t="s">
        <v>59</v>
      </c>
      <c r="S33" s="3">
        <v>354.18</v>
      </c>
      <c r="T33" t="s">
        <v>12</v>
      </c>
      <c r="U33" s="3">
        <v>30453.71</v>
      </c>
      <c r="V33" t="s">
        <v>63</v>
      </c>
      <c r="W33" t="s">
        <v>20</v>
      </c>
      <c r="X33" t="s">
        <v>8</v>
      </c>
      <c r="Y33" t="s">
        <v>24</v>
      </c>
      <c r="Z33" t="s">
        <v>14</v>
      </c>
      <c r="AA33" t="s">
        <v>109</v>
      </c>
      <c r="AB33" t="s">
        <v>8</v>
      </c>
      <c r="AC33" t="s">
        <v>8</v>
      </c>
      <c r="AD33" t="s">
        <v>8</v>
      </c>
      <c r="AE33" s="2">
        <v>45785</v>
      </c>
      <c r="AF33" s="2"/>
      <c r="AG33" t="s">
        <v>8</v>
      </c>
    </row>
    <row r="34" spans="1:33" outlineLevel="2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41</v>
      </c>
      <c r="G34" s="2">
        <v>45947</v>
      </c>
      <c r="H34" t="s">
        <v>110</v>
      </c>
      <c r="I34" t="s">
        <v>111</v>
      </c>
      <c r="J34" s="2">
        <v>45947</v>
      </c>
      <c r="K34" s="2">
        <v>45953</v>
      </c>
      <c r="L34" t="s">
        <v>24</v>
      </c>
      <c r="M34" t="s">
        <v>112</v>
      </c>
      <c r="N34" t="s">
        <v>9</v>
      </c>
      <c r="O34" t="s">
        <v>10</v>
      </c>
      <c r="P34" t="s">
        <v>8</v>
      </c>
      <c r="Q34" t="s">
        <v>5</v>
      </c>
      <c r="R34" t="s">
        <v>59</v>
      </c>
      <c r="S34" s="3">
        <v>-28.32</v>
      </c>
      <c r="T34" t="s">
        <v>12</v>
      </c>
      <c r="U34" s="3">
        <v>-2497.56</v>
      </c>
      <c r="V34" t="s">
        <v>63</v>
      </c>
      <c r="W34" t="s">
        <v>27</v>
      </c>
      <c r="X34" t="s">
        <v>8</v>
      </c>
      <c r="Y34" t="s">
        <v>113</v>
      </c>
      <c r="Z34" t="s">
        <v>14</v>
      </c>
      <c r="AA34" t="s">
        <v>114</v>
      </c>
      <c r="AB34" t="s">
        <v>8</v>
      </c>
      <c r="AC34" t="s">
        <v>8</v>
      </c>
      <c r="AD34" t="s">
        <v>8</v>
      </c>
      <c r="AE34" s="2">
        <v>45947</v>
      </c>
      <c r="AF34" s="2">
        <v>45975</v>
      </c>
      <c r="AG34" t="s">
        <v>55</v>
      </c>
    </row>
    <row r="35" spans="1:33" outlineLevel="2" x14ac:dyDescent="0.25">
      <c r="A35" t="s">
        <v>34</v>
      </c>
      <c r="B35" t="s">
        <v>1</v>
      </c>
      <c r="C35" t="s">
        <v>2</v>
      </c>
      <c r="D35" t="s">
        <v>3</v>
      </c>
      <c r="E35" t="s">
        <v>4</v>
      </c>
      <c r="F35" t="s">
        <v>18</v>
      </c>
      <c r="G35" s="2">
        <v>45763</v>
      </c>
      <c r="H35" t="s">
        <v>115</v>
      </c>
      <c r="I35" t="s">
        <v>61</v>
      </c>
      <c r="J35" s="2">
        <v>45763</v>
      </c>
      <c r="K35" s="2">
        <v>45764</v>
      </c>
      <c r="L35" t="s">
        <v>24</v>
      </c>
      <c r="M35" t="s">
        <v>116</v>
      </c>
      <c r="N35" t="s">
        <v>9</v>
      </c>
      <c r="O35" t="s">
        <v>10</v>
      </c>
      <c r="P35" t="s">
        <v>8</v>
      </c>
      <c r="Q35" t="s">
        <v>25</v>
      </c>
      <c r="R35" t="s">
        <v>59</v>
      </c>
      <c r="S35" s="3">
        <v>39.97</v>
      </c>
      <c r="T35" t="s">
        <v>12</v>
      </c>
      <c r="U35" s="3">
        <v>3474.27</v>
      </c>
      <c r="V35" t="s">
        <v>63</v>
      </c>
      <c r="W35" t="s">
        <v>20</v>
      </c>
      <c r="X35" t="s">
        <v>8</v>
      </c>
      <c r="Y35" t="s">
        <v>24</v>
      </c>
      <c r="Z35" t="s">
        <v>14</v>
      </c>
      <c r="AA35" t="s">
        <v>117</v>
      </c>
      <c r="AB35" t="s">
        <v>8</v>
      </c>
      <c r="AC35" t="s">
        <v>8</v>
      </c>
      <c r="AD35" t="s">
        <v>8</v>
      </c>
      <c r="AE35" s="2">
        <v>45763</v>
      </c>
      <c r="AF35" s="2"/>
      <c r="AG35" t="s">
        <v>8</v>
      </c>
    </row>
    <row r="36" spans="1:33" outlineLevel="2" x14ac:dyDescent="0.25">
      <c r="A36" t="s">
        <v>34</v>
      </c>
      <c r="B36" t="s">
        <v>1</v>
      </c>
      <c r="C36" t="s">
        <v>2</v>
      </c>
      <c r="D36" t="s">
        <v>3</v>
      </c>
      <c r="E36" t="s">
        <v>4</v>
      </c>
      <c r="F36" t="s">
        <v>18</v>
      </c>
      <c r="G36" s="2">
        <v>45763</v>
      </c>
      <c r="H36" t="s">
        <v>118</v>
      </c>
      <c r="I36" t="s">
        <v>61</v>
      </c>
      <c r="J36" s="2">
        <v>45763</v>
      </c>
      <c r="K36" s="2">
        <v>45764</v>
      </c>
      <c r="L36" t="s">
        <v>24</v>
      </c>
      <c r="M36" t="s">
        <v>119</v>
      </c>
      <c r="N36" t="s">
        <v>9</v>
      </c>
      <c r="O36" t="s">
        <v>10</v>
      </c>
      <c r="P36" t="s">
        <v>8</v>
      </c>
      <c r="Q36" t="s">
        <v>25</v>
      </c>
      <c r="R36" t="s">
        <v>59</v>
      </c>
      <c r="S36" s="3">
        <v>141.6</v>
      </c>
      <c r="T36" t="s">
        <v>12</v>
      </c>
      <c r="U36" s="3">
        <v>12308.13</v>
      </c>
      <c r="V36" t="s">
        <v>63</v>
      </c>
      <c r="W36" t="s">
        <v>20</v>
      </c>
      <c r="X36" t="s">
        <v>8</v>
      </c>
      <c r="Y36" t="s">
        <v>24</v>
      </c>
      <c r="Z36" t="s">
        <v>14</v>
      </c>
      <c r="AA36" t="s">
        <v>120</v>
      </c>
      <c r="AB36" t="s">
        <v>8</v>
      </c>
      <c r="AC36" t="s">
        <v>8</v>
      </c>
      <c r="AD36" t="s">
        <v>8</v>
      </c>
      <c r="AE36" s="2">
        <v>45763</v>
      </c>
      <c r="AF36" s="2"/>
      <c r="AG36" t="s">
        <v>8</v>
      </c>
    </row>
    <row r="37" spans="1:33" outlineLevel="2" x14ac:dyDescent="0.25">
      <c r="A37" t="s">
        <v>34</v>
      </c>
      <c r="B37" t="s">
        <v>1</v>
      </c>
      <c r="C37" t="s">
        <v>2</v>
      </c>
      <c r="D37" t="s">
        <v>3</v>
      </c>
      <c r="E37" t="s">
        <v>4</v>
      </c>
      <c r="F37" t="s">
        <v>18</v>
      </c>
      <c r="G37" s="2">
        <v>45763</v>
      </c>
      <c r="H37" t="s">
        <v>121</v>
      </c>
      <c r="I37" t="s">
        <v>61</v>
      </c>
      <c r="J37" s="2">
        <v>45763</v>
      </c>
      <c r="K37" s="2">
        <v>45764</v>
      </c>
      <c r="L37" t="s">
        <v>24</v>
      </c>
      <c r="M37" t="s">
        <v>122</v>
      </c>
      <c r="N37" t="s">
        <v>9</v>
      </c>
      <c r="O37" t="s">
        <v>10</v>
      </c>
      <c r="P37" t="s">
        <v>8</v>
      </c>
      <c r="Q37" t="s">
        <v>25</v>
      </c>
      <c r="R37" t="s">
        <v>59</v>
      </c>
      <c r="S37" s="3">
        <v>58.62</v>
      </c>
      <c r="T37" t="s">
        <v>12</v>
      </c>
      <c r="U37" s="3">
        <v>5095.3599999999997</v>
      </c>
      <c r="V37" t="s">
        <v>63</v>
      </c>
      <c r="W37" t="s">
        <v>20</v>
      </c>
      <c r="X37" t="s">
        <v>8</v>
      </c>
      <c r="Y37" t="s">
        <v>24</v>
      </c>
      <c r="Z37" t="s">
        <v>14</v>
      </c>
      <c r="AA37" t="s">
        <v>123</v>
      </c>
      <c r="AB37" t="s">
        <v>8</v>
      </c>
      <c r="AC37" t="s">
        <v>8</v>
      </c>
      <c r="AD37" t="s">
        <v>8</v>
      </c>
      <c r="AE37" s="2">
        <v>45763</v>
      </c>
      <c r="AF37" s="2"/>
      <c r="AG37" t="s">
        <v>8</v>
      </c>
    </row>
    <row r="38" spans="1:33" outlineLevel="2" x14ac:dyDescent="0.25">
      <c r="A38" t="s">
        <v>34</v>
      </c>
      <c r="B38" t="s">
        <v>1</v>
      </c>
      <c r="C38" t="s">
        <v>2</v>
      </c>
      <c r="D38" t="s">
        <v>3</v>
      </c>
      <c r="E38" t="s">
        <v>4</v>
      </c>
      <c r="F38" t="s">
        <v>18</v>
      </c>
      <c r="G38" s="2">
        <v>45763</v>
      </c>
      <c r="H38" t="s">
        <v>124</v>
      </c>
      <c r="I38" t="s">
        <v>61</v>
      </c>
      <c r="J38" s="2">
        <v>45763</v>
      </c>
      <c r="K38" s="2">
        <v>45764</v>
      </c>
      <c r="L38" t="s">
        <v>24</v>
      </c>
      <c r="M38" t="s">
        <v>125</v>
      </c>
      <c r="N38" t="s">
        <v>9</v>
      </c>
      <c r="O38" t="s">
        <v>10</v>
      </c>
      <c r="P38" t="s">
        <v>8</v>
      </c>
      <c r="Q38" t="s">
        <v>25</v>
      </c>
      <c r="R38" t="s">
        <v>59</v>
      </c>
      <c r="S38" s="3">
        <v>8.92</v>
      </c>
      <c r="T38" t="s">
        <v>12</v>
      </c>
      <c r="U38" s="3">
        <v>775.34</v>
      </c>
      <c r="V38" t="s">
        <v>63</v>
      </c>
      <c r="W38" t="s">
        <v>20</v>
      </c>
      <c r="X38" t="s">
        <v>8</v>
      </c>
      <c r="Y38" t="s">
        <v>24</v>
      </c>
      <c r="Z38" t="s">
        <v>14</v>
      </c>
      <c r="AA38" t="s">
        <v>126</v>
      </c>
      <c r="AB38" t="s">
        <v>8</v>
      </c>
      <c r="AC38" t="s">
        <v>8</v>
      </c>
      <c r="AD38" t="s">
        <v>8</v>
      </c>
      <c r="AE38" s="2">
        <v>45763</v>
      </c>
      <c r="AF38" s="2"/>
      <c r="AG38" t="s">
        <v>8</v>
      </c>
    </row>
    <row r="39" spans="1:33" outlineLevel="2" x14ac:dyDescent="0.25">
      <c r="A39" t="s">
        <v>34</v>
      </c>
      <c r="B39" t="s">
        <v>1</v>
      </c>
      <c r="C39" t="s">
        <v>2</v>
      </c>
      <c r="D39" t="s">
        <v>3</v>
      </c>
      <c r="E39" t="s">
        <v>4</v>
      </c>
      <c r="F39" t="s">
        <v>18</v>
      </c>
      <c r="G39" s="2">
        <v>45763</v>
      </c>
      <c r="H39" t="s">
        <v>127</v>
      </c>
      <c r="I39" t="s">
        <v>61</v>
      </c>
      <c r="J39" s="2">
        <v>45763</v>
      </c>
      <c r="K39" s="2">
        <v>45763</v>
      </c>
      <c r="L39" t="s">
        <v>24</v>
      </c>
      <c r="M39" t="s">
        <v>128</v>
      </c>
      <c r="N39" t="s">
        <v>9</v>
      </c>
      <c r="O39" t="s">
        <v>10</v>
      </c>
      <c r="P39" t="s">
        <v>8</v>
      </c>
      <c r="Q39" t="s">
        <v>25</v>
      </c>
      <c r="R39" t="s">
        <v>59</v>
      </c>
      <c r="S39" s="3">
        <v>388.16</v>
      </c>
      <c r="T39" t="s">
        <v>12</v>
      </c>
      <c r="U39" s="3">
        <v>33739.57</v>
      </c>
      <c r="V39" t="s">
        <v>63</v>
      </c>
      <c r="W39" t="s">
        <v>8</v>
      </c>
      <c r="X39" t="s">
        <v>8</v>
      </c>
      <c r="Y39" t="s">
        <v>24</v>
      </c>
      <c r="Z39" t="s">
        <v>14</v>
      </c>
      <c r="AA39" t="s">
        <v>76</v>
      </c>
      <c r="AB39" t="s">
        <v>8</v>
      </c>
      <c r="AC39" t="s">
        <v>8</v>
      </c>
      <c r="AD39" t="s">
        <v>8</v>
      </c>
      <c r="AE39" s="2">
        <v>45763</v>
      </c>
      <c r="AF39" s="2"/>
      <c r="AG39" t="s">
        <v>8</v>
      </c>
    </row>
    <row r="40" spans="1:33" outlineLevel="2" x14ac:dyDescent="0.25">
      <c r="A40" t="s">
        <v>34</v>
      </c>
      <c r="B40" t="s">
        <v>1</v>
      </c>
      <c r="C40" t="s">
        <v>2</v>
      </c>
      <c r="D40" t="s">
        <v>3</v>
      </c>
      <c r="E40" t="s">
        <v>4</v>
      </c>
      <c r="F40" t="s">
        <v>38</v>
      </c>
      <c r="G40" s="2">
        <v>45863</v>
      </c>
      <c r="H40" t="s">
        <v>129</v>
      </c>
      <c r="I40" t="s">
        <v>61</v>
      </c>
      <c r="J40" s="2">
        <v>45863</v>
      </c>
      <c r="K40" s="2">
        <v>45863</v>
      </c>
      <c r="L40" t="s">
        <v>24</v>
      </c>
      <c r="M40" t="s">
        <v>130</v>
      </c>
      <c r="N40" t="s">
        <v>9</v>
      </c>
      <c r="O40" t="s">
        <v>10</v>
      </c>
      <c r="P40" t="s">
        <v>8</v>
      </c>
      <c r="Q40" t="s">
        <v>25</v>
      </c>
      <c r="R40" t="s">
        <v>59</v>
      </c>
      <c r="S40" s="3">
        <v>24.15</v>
      </c>
      <c r="T40" t="s">
        <v>12</v>
      </c>
      <c r="U40" s="3">
        <v>2076.92</v>
      </c>
      <c r="V40" t="s">
        <v>63</v>
      </c>
      <c r="W40" t="s">
        <v>27</v>
      </c>
      <c r="X40" t="s">
        <v>8</v>
      </c>
      <c r="Y40" t="s">
        <v>24</v>
      </c>
      <c r="Z40" t="s">
        <v>14</v>
      </c>
      <c r="AA40" t="s">
        <v>131</v>
      </c>
      <c r="AB40" t="s">
        <v>8</v>
      </c>
      <c r="AC40" t="s">
        <v>8</v>
      </c>
      <c r="AD40" t="s">
        <v>8</v>
      </c>
      <c r="AE40" s="2">
        <v>45863</v>
      </c>
      <c r="AF40" s="2"/>
      <c r="AG40" t="s">
        <v>8</v>
      </c>
    </row>
    <row r="41" spans="1:33" outlineLevel="2" x14ac:dyDescent="0.25">
      <c r="A41" t="s">
        <v>34</v>
      </c>
      <c r="B41" t="s">
        <v>1</v>
      </c>
      <c r="C41" t="s">
        <v>2</v>
      </c>
      <c r="D41" t="s">
        <v>3</v>
      </c>
      <c r="E41" t="s">
        <v>4</v>
      </c>
      <c r="F41" t="s">
        <v>132</v>
      </c>
      <c r="G41" s="2">
        <v>45904</v>
      </c>
      <c r="H41" t="s">
        <v>133</v>
      </c>
      <c r="I41" t="s">
        <v>61</v>
      </c>
      <c r="J41" s="2">
        <v>45904</v>
      </c>
      <c r="K41" s="2">
        <v>45908</v>
      </c>
      <c r="L41" t="s">
        <v>24</v>
      </c>
      <c r="M41" t="s">
        <v>134</v>
      </c>
      <c r="N41" t="s">
        <v>9</v>
      </c>
      <c r="O41" t="s">
        <v>10</v>
      </c>
      <c r="P41" t="s">
        <v>8</v>
      </c>
      <c r="Q41" t="s">
        <v>25</v>
      </c>
      <c r="R41" t="s">
        <v>59</v>
      </c>
      <c r="S41" s="3">
        <v>259.13</v>
      </c>
      <c r="T41" t="s">
        <v>12</v>
      </c>
      <c r="U41" s="3">
        <v>22677.59</v>
      </c>
      <c r="V41" t="s">
        <v>63</v>
      </c>
      <c r="W41" t="s">
        <v>27</v>
      </c>
      <c r="X41" t="s">
        <v>8</v>
      </c>
      <c r="Y41" t="s">
        <v>24</v>
      </c>
      <c r="Z41" t="s">
        <v>14</v>
      </c>
      <c r="AA41" t="s">
        <v>135</v>
      </c>
      <c r="AB41" t="s">
        <v>8</v>
      </c>
      <c r="AC41" t="s">
        <v>8</v>
      </c>
      <c r="AD41" t="s">
        <v>8</v>
      </c>
      <c r="AE41" s="2">
        <v>45904</v>
      </c>
      <c r="AF41" s="2"/>
      <c r="AG41" t="s">
        <v>8</v>
      </c>
    </row>
    <row r="42" spans="1:33" outlineLevel="2" x14ac:dyDescent="0.25">
      <c r="A42" t="s">
        <v>34</v>
      </c>
      <c r="B42" t="s">
        <v>1</v>
      </c>
      <c r="C42" t="s">
        <v>2</v>
      </c>
      <c r="D42" t="s">
        <v>3</v>
      </c>
      <c r="E42" t="s">
        <v>4</v>
      </c>
      <c r="F42" t="s">
        <v>132</v>
      </c>
      <c r="G42" s="2">
        <v>45904</v>
      </c>
      <c r="H42" t="s">
        <v>136</v>
      </c>
      <c r="I42" t="s">
        <v>61</v>
      </c>
      <c r="J42" s="2">
        <v>45904</v>
      </c>
      <c r="K42" s="2">
        <v>45909</v>
      </c>
      <c r="L42" t="s">
        <v>24</v>
      </c>
      <c r="M42" t="s">
        <v>137</v>
      </c>
      <c r="N42" t="s">
        <v>9</v>
      </c>
      <c r="O42" t="s">
        <v>10</v>
      </c>
      <c r="P42" t="s">
        <v>8</v>
      </c>
      <c r="Q42" t="s">
        <v>25</v>
      </c>
      <c r="R42" t="s">
        <v>59</v>
      </c>
      <c r="S42" s="3">
        <v>819.36</v>
      </c>
      <c r="T42" t="s">
        <v>12</v>
      </c>
      <c r="U42" s="3">
        <v>71705.740000000005</v>
      </c>
      <c r="V42" t="s">
        <v>63</v>
      </c>
      <c r="W42" t="s">
        <v>27</v>
      </c>
      <c r="X42" t="s">
        <v>8</v>
      </c>
      <c r="Y42" t="s">
        <v>24</v>
      </c>
      <c r="Z42" t="s">
        <v>14</v>
      </c>
      <c r="AA42" t="s">
        <v>138</v>
      </c>
      <c r="AB42" t="s">
        <v>8</v>
      </c>
      <c r="AC42" t="s">
        <v>8</v>
      </c>
      <c r="AD42" t="s">
        <v>8</v>
      </c>
      <c r="AE42" s="2">
        <v>45904</v>
      </c>
      <c r="AF42" s="2"/>
      <c r="AG42" t="s">
        <v>8</v>
      </c>
    </row>
    <row r="43" spans="1:33" outlineLevel="2" x14ac:dyDescent="0.25">
      <c r="A43" t="s">
        <v>34</v>
      </c>
      <c r="B43" t="s">
        <v>1</v>
      </c>
      <c r="C43" t="s">
        <v>2</v>
      </c>
      <c r="D43" t="s">
        <v>3</v>
      </c>
      <c r="E43" t="s">
        <v>4</v>
      </c>
      <c r="F43" t="s">
        <v>132</v>
      </c>
      <c r="G43" s="2">
        <v>45904</v>
      </c>
      <c r="H43" t="s">
        <v>139</v>
      </c>
      <c r="I43" t="s">
        <v>61</v>
      </c>
      <c r="J43" s="2">
        <v>45904</v>
      </c>
      <c r="K43" s="2">
        <v>45909</v>
      </c>
      <c r="L43" t="s">
        <v>24</v>
      </c>
      <c r="M43" t="s">
        <v>140</v>
      </c>
      <c r="N43" t="s">
        <v>9</v>
      </c>
      <c r="O43" t="s">
        <v>10</v>
      </c>
      <c r="P43" t="s">
        <v>8</v>
      </c>
      <c r="Q43" t="s">
        <v>25</v>
      </c>
      <c r="R43" t="s">
        <v>59</v>
      </c>
      <c r="S43" s="3">
        <v>82.76</v>
      </c>
      <c r="T43" t="s">
        <v>12</v>
      </c>
      <c r="U43" s="3">
        <v>7242.69</v>
      </c>
      <c r="V43" t="s">
        <v>63</v>
      </c>
      <c r="W43" t="s">
        <v>27</v>
      </c>
      <c r="X43" t="s">
        <v>8</v>
      </c>
      <c r="Y43" t="s">
        <v>24</v>
      </c>
      <c r="Z43" t="s">
        <v>14</v>
      </c>
      <c r="AA43" t="s">
        <v>141</v>
      </c>
      <c r="AB43" t="s">
        <v>8</v>
      </c>
      <c r="AC43" t="s">
        <v>8</v>
      </c>
      <c r="AD43" t="s">
        <v>8</v>
      </c>
      <c r="AE43" s="2">
        <v>45904</v>
      </c>
      <c r="AF43" s="2"/>
      <c r="AG43" t="s">
        <v>8</v>
      </c>
    </row>
    <row r="44" spans="1:33" outlineLevel="2" x14ac:dyDescent="0.25">
      <c r="A44" t="s">
        <v>34</v>
      </c>
      <c r="B44" t="s">
        <v>1</v>
      </c>
      <c r="C44" t="s">
        <v>2</v>
      </c>
      <c r="D44" t="s">
        <v>3</v>
      </c>
      <c r="E44" t="s">
        <v>4</v>
      </c>
      <c r="F44" t="s">
        <v>132</v>
      </c>
      <c r="G44" s="2">
        <v>45904</v>
      </c>
      <c r="H44" t="s">
        <v>142</v>
      </c>
      <c r="I44" t="s">
        <v>61</v>
      </c>
      <c r="J44" s="2">
        <v>45904</v>
      </c>
      <c r="K44" s="2">
        <v>45909</v>
      </c>
      <c r="L44" t="s">
        <v>24</v>
      </c>
      <c r="M44" t="s">
        <v>143</v>
      </c>
      <c r="N44" t="s">
        <v>9</v>
      </c>
      <c r="O44" t="s">
        <v>10</v>
      </c>
      <c r="P44" t="s">
        <v>8</v>
      </c>
      <c r="Q44" t="s">
        <v>25</v>
      </c>
      <c r="R44" t="s">
        <v>59</v>
      </c>
      <c r="S44" s="3">
        <v>24.28</v>
      </c>
      <c r="T44" t="s">
        <v>12</v>
      </c>
      <c r="U44" s="3">
        <v>2124.85</v>
      </c>
      <c r="V44" t="s">
        <v>63</v>
      </c>
      <c r="W44" t="s">
        <v>27</v>
      </c>
      <c r="X44" t="s">
        <v>8</v>
      </c>
      <c r="Y44" t="s">
        <v>144</v>
      </c>
      <c r="Z44" t="s">
        <v>14</v>
      </c>
      <c r="AA44" t="s">
        <v>145</v>
      </c>
      <c r="AB44" t="s">
        <v>8</v>
      </c>
      <c r="AC44" t="s">
        <v>8</v>
      </c>
      <c r="AD44" t="s">
        <v>8</v>
      </c>
      <c r="AE44" s="2">
        <v>45904</v>
      </c>
      <c r="AF44" s="2"/>
      <c r="AG44" t="s">
        <v>8</v>
      </c>
    </row>
    <row r="45" spans="1:33" outlineLevel="2" x14ac:dyDescent="0.25">
      <c r="A45" t="s">
        <v>34</v>
      </c>
      <c r="B45" t="s">
        <v>1</v>
      </c>
      <c r="C45" t="s">
        <v>2</v>
      </c>
      <c r="D45" t="s">
        <v>3</v>
      </c>
      <c r="E45" t="s">
        <v>4</v>
      </c>
      <c r="F45" t="s">
        <v>38</v>
      </c>
      <c r="G45" s="2">
        <v>45842</v>
      </c>
      <c r="H45" t="s">
        <v>146</v>
      </c>
      <c r="I45" t="s">
        <v>61</v>
      </c>
      <c r="J45" s="2">
        <v>45842</v>
      </c>
      <c r="K45" s="2">
        <v>45847</v>
      </c>
      <c r="L45" t="s">
        <v>24</v>
      </c>
      <c r="M45" t="s">
        <v>147</v>
      </c>
      <c r="N45" t="s">
        <v>9</v>
      </c>
      <c r="O45" t="s">
        <v>10</v>
      </c>
      <c r="P45" t="s">
        <v>8</v>
      </c>
      <c r="Q45" t="s">
        <v>25</v>
      </c>
      <c r="R45" t="s">
        <v>59</v>
      </c>
      <c r="S45" s="3">
        <v>1331.19</v>
      </c>
      <c r="T45" t="s">
        <v>12</v>
      </c>
      <c r="U45" s="3">
        <v>114483.23</v>
      </c>
      <c r="V45" t="s">
        <v>63</v>
      </c>
      <c r="W45" t="s">
        <v>27</v>
      </c>
      <c r="X45" t="s">
        <v>8</v>
      </c>
      <c r="Y45" t="s">
        <v>24</v>
      </c>
      <c r="Z45" t="s">
        <v>14</v>
      </c>
      <c r="AA45" t="s">
        <v>148</v>
      </c>
      <c r="AB45" t="s">
        <v>8</v>
      </c>
      <c r="AC45" t="s">
        <v>8</v>
      </c>
      <c r="AD45" t="s">
        <v>8</v>
      </c>
      <c r="AE45" s="2">
        <v>45842</v>
      </c>
      <c r="AF45" s="2"/>
      <c r="AG45" t="s">
        <v>8</v>
      </c>
    </row>
    <row r="46" spans="1:33" outlineLevel="2" x14ac:dyDescent="0.25">
      <c r="A46" t="s">
        <v>34</v>
      </c>
      <c r="B46" t="s">
        <v>1</v>
      </c>
      <c r="C46" t="s">
        <v>2</v>
      </c>
      <c r="D46" t="s">
        <v>3</v>
      </c>
      <c r="E46" t="s">
        <v>4</v>
      </c>
      <c r="F46" t="s">
        <v>38</v>
      </c>
      <c r="G46" s="2">
        <v>45842</v>
      </c>
      <c r="H46" t="s">
        <v>149</v>
      </c>
      <c r="I46" t="s">
        <v>61</v>
      </c>
      <c r="J46" s="2">
        <v>45842</v>
      </c>
      <c r="K46" s="2">
        <v>45847</v>
      </c>
      <c r="L46" t="s">
        <v>24</v>
      </c>
      <c r="M46" t="s">
        <v>150</v>
      </c>
      <c r="N46" t="s">
        <v>9</v>
      </c>
      <c r="O46" t="s">
        <v>10</v>
      </c>
      <c r="P46" t="s">
        <v>8</v>
      </c>
      <c r="Q46" t="s">
        <v>25</v>
      </c>
      <c r="R46" t="s">
        <v>59</v>
      </c>
      <c r="S46" s="3">
        <v>78.05</v>
      </c>
      <c r="T46" t="s">
        <v>12</v>
      </c>
      <c r="U46" s="3">
        <v>6712.35</v>
      </c>
      <c r="V46" t="s">
        <v>63</v>
      </c>
      <c r="W46" t="s">
        <v>27</v>
      </c>
      <c r="X46" t="s">
        <v>8</v>
      </c>
      <c r="Y46" t="s">
        <v>24</v>
      </c>
      <c r="Z46" t="s">
        <v>14</v>
      </c>
      <c r="AA46" t="s">
        <v>151</v>
      </c>
      <c r="AB46" t="s">
        <v>8</v>
      </c>
      <c r="AC46" t="s">
        <v>8</v>
      </c>
      <c r="AD46" t="s">
        <v>8</v>
      </c>
      <c r="AE46" s="2">
        <v>45842</v>
      </c>
      <c r="AF46" s="2"/>
      <c r="AG46" t="s">
        <v>8</v>
      </c>
    </row>
    <row r="47" spans="1:33" outlineLevel="2" x14ac:dyDescent="0.25">
      <c r="A47" t="s">
        <v>34</v>
      </c>
      <c r="B47" t="s">
        <v>1</v>
      </c>
      <c r="C47" t="s">
        <v>2</v>
      </c>
      <c r="D47" t="s">
        <v>3</v>
      </c>
      <c r="E47" t="s">
        <v>4</v>
      </c>
      <c r="F47" t="s">
        <v>38</v>
      </c>
      <c r="G47" s="2">
        <v>45842</v>
      </c>
      <c r="H47" t="s">
        <v>152</v>
      </c>
      <c r="I47" t="s">
        <v>61</v>
      </c>
      <c r="J47" s="2">
        <v>45842</v>
      </c>
      <c r="K47" s="2">
        <v>45847</v>
      </c>
      <c r="L47" t="s">
        <v>24</v>
      </c>
      <c r="M47" t="s">
        <v>153</v>
      </c>
      <c r="N47" t="s">
        <v>9</v>
      </c>
      <c r="O47" t="s">
        <v>10</v>
      </c>
      <c r="P47" t="s">
        <v>8</v>
      </c>
      <c r="Q47" t="s">
        <v>25</v>
      </c>
      <c r="R47" t="s">
        <v>59</v>
      </c>
      <c r="S47" s="3">
        <v>195.41</v>
      </c>
      <c r="T47" t="s">
        <v>12</v>
      </c>
      <c r="U47" s="3">
        <v>16805.39</v>
      </c>
      <c r="V47" t="s">
        <v>63</v>
      </c>
      <c r="W47" t="s">
        <v>27</v>
      </c>
      <c r="X47" t="s">
        <v>8</v>
      </c>
      <c r="Y47" t="s">
        <v>24</v>
      </c>
      <c r="Z47" t="s">
        <v>14</v>
      </c>
      <c r="AA47" t="s">
        <v>154</v>
      </c>
      <c r="AB47" t="s">
        <v>8</v>
      </c>
      <c r="AC47" t="s">
        <v>8</v>
      </c>
      <c r="AD47" t="s">
        <v>8</v>
      </c>
      <c r="AE47" s="2">
        <v>45842</v>
      </c>
      <c r="AF47" s="2"/>
      <c r="AG47" t="s">
        <v>8</v>
      </c>
    </row>
    <row r="48" spans="1:33" outlineLevel="2" x14ac:dyDescent="0.25">
      <c r="A48" t="s">
        <v>34</v>
      </c>
      <c r="B48" t="s">
        <v>1</v>
      </c>
      <c r="C48" t="s">
        <v>2</v>
      </c>
      <c r="D48" t="s">
        <v>3</v>
      </c>
      <c r="E48" t="s">
        <v>4</v>
      </c>
      <c r="F48" t="s">
        <v>38</v>
      </c>
      <c r="G48" s="2">
        <v>45842</v>
      </c>
      <c r="H48" t="s">
        <v>155</v>
      </c>
      <c r="I48" t="s">
        <v>61</v>
      </c>
      <c r="J48" s="2">
        <v>45842</v>
      </c>
      <c r="K48" s="2">
        <v>45845</v>
      </c>
      <c r="L48" t="s">
        <v>24</v>
      </c>
      <c r="M48" t="s">
        <v>156</v>
      </c>
      <c r="N48" t="s">
        <v>9</v>
      </c>
      <c r="O48" t="s">
        <v>10</v>
      </c>
      <c r="P48" t="s">
        <v>8</v>
      </c>
      <c r="Q48" t="s">
        <v>25</v>
      </c>
      <c r="R48" t="s">
        <v>59</v>
      </c>
      <c r="S48" s="3">
        <v>87.72</v>
      </c>
      <c r="T48" t="s">
        <v>12</v>
      </c>
      <c r="U48" s="3">
        <v>7543.98</v>
      </c>
      <c r="V48" t="s">
        <v>63</v>
      </c>
      <c r="W48" t="s">
        <v>27</v>
      </c>
      <c r="X48" t="s">
        <v>8</v>
      </c>
      <c r="Y48" t="s">
        <v>24</v>
      </c>
      <c r="Z48" t="s">
        <v>14</v>
      </c>
      <c r="AA48" t="s">
        <v>157</v>
      </c>
      <c r="AB48" t="s">
        <v>8</v>
      </c>
      <c r="AC48" t="s">
        <v>8</v>
      </c>
      <c r="AD48" t="s">
        <v>8</v>
      </c>
      <c r="AE48" s="2">
        <v>45842</v>
      </c>
      <c r="AF48" s="2"/>
      <c r="AG48" t="s">
        <v>8</v>
      </c>
    </row>
    <row r="49" spans="1:33" outlineLevel="2" x14ac:dyDescent="0.25">
      <c r="A49" t="s">
        <v>34</v>
      </c>
      <c r="B49" t="s">
        <v>1</v>
      </c>
      <c r="C49" t="s">
        <v>2</v>
      </c>
      <c r="D49" t="s">
        <v>3</v>
      </c>
      <c r="E49" t="s">
        <v>4</v>
      </c>
      <c r="F49" t="s">
        <v>38</v>
      </c>
      <c r="G49" s="2">
        <v>45842</v>
      </c>
      <c r="H49" t="s">
        <v>158</v>
      </c>
      <c r="I49" t="s">
        <v>61</v>
      </c>
      <c r="J49" s="2">
        <v>45842</v>
      </c>
      <c r="K49" s="2">
        <v>45845</v>
      </c>
      <c r="L49" t="s">
        <v>24</v>
      </c>
      <c r="M49" t="s">
        <v>159</v>
      </c>
      <c r="N49" t="s">
        <v>9</v>
      </c>
      <c r="O49" t="s">
        <v>10</v>
      </c>
      <c r="P49" t="s">
        <v>8</v>
      </c>
      <c r="Q49" t="s">
        <v>25</v>
      </c>
      <c r="R49" t="s">
        <v>59</v>
      </c>
      <c r="S49" s="3">
        <v>91.25</v>
      </c>
      <c r="T49" t="s">
        <v>12</v>
      </c>
      <c r="U49" s="3">
        <v>7847.56</v>
      </c>
      <c r="V49" t="s">
        <v>63</v>
      </c>
      <c r="W49" t="s">
        <v>27</v>
      </c>
      <c r="X49" t="s">
        <v>8</v>
      </c>
      <c r="Y49" t="s">
        <v>24</v>
      </c>
      <c r="Z49" t="s">
        <v>14</v>
      </c>
      <c r="AA49" t="s">
        <v>160</v>
      </c>
      <c r="AB49" t="s">
        <v>8</v>
      </c>
      <c r="AC49" t="s">
        <v>8</v>
      </c>
      <c r="AD49" t="s">
        <v>8</v>
      </c>
      <c r="AE49" s="2">
        <v>45842</v>
      </c>
      <c r="AF49" s="2"/>
      <c r="AG49" t="s">
        <v>8</v>
      </c>
    </row>
    <row r="50" spans="1:33" outlineLevel="2" x14ac:dyDescent="0.25">
      <c r="A50" t="s">
        <v>34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s="2">
        <v>45966</v>
      </c>
      <c r="H50" t="s">
        <v>161</v>
      </c>
      <c r="I50" t="s">
        <v>61</v>
      </c>
      <c r="J50" s="2">
        <v>45966</v>
      </c>
      <c r="K50" s="2">
        <v>45967</v>
      </c>
      <c r="L50" t="s">
        <v>24</v>
      </c>
      <c r="M50" t="s">
        <v>162</v>
      </c>
      <c r="N50" t="s">
        <v>9</v>
      </c>
      <c r="O50" t="s">
        <v>10</v>
      </c>
      <c r="P50" t="s">
        <v>8</v>
      </c>
      <c r="Q50" t="s">
        <v>25</v>
      </c>
      <c r="R50" t="s">
        <v>59</v>
      </c>
      <c r="S50" s="3">
        <v>398.25</v>
      </c>
      <c r="T50" t="s">
        <v>12</v>
      </c>
      <c r="U50" s="3">
        <v>35047.35</v>
      </c>
      <c r="V50" t="s">
        <v>63</v>
      </c>
      <c r="W50" t="s">
        <v>27</v>
      </c>
      <c r="X50" t="s">
        <v>8</v>
      </c>
      <c r="Y50" t="s">
        <v>163</v>
      </c>
      <c r="Z50" t="s">
        <v>14</v>
      </c>
      <c r="AA50" t="s">
        <v>164</v>
      </c>
      <c r="AB50" t="s">
        <v>8</v>
      </c>
      <c r="AC50" t="s">
        <v>8</v>
      </c>
      <c r="AD50" t="s">
        <v>8</v>
      </c>
      <c r="AE50" s="2">
        <v>45966</v>
      </c>
      <c r="AF50" s="2"/>
      <c r="AG50" t="s">
        <v>8</v>
      </c>
    </row>
    <row r="51" spans="1:33" outlineLevel="2" x14ac:dyDescent="0.25">
      <c r="A51" t="s">
        <v>34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45966</v>
      </c>
      <c r="H51" t="s">
        <v>165</v>
      </c>
      <c r="I51" t="s">
        <v>61</v>
      </c>
      <c r="J51" s="2">
        <v>45966</v>
      </c>
      <c r="K51" s="2">
        <v>45967</v>
      </c>
      <c r="L51" t="s">
        <v>24</v>
      </c>
      <c r="M51" t="s">
        <v>166</v>
      </c>
      <c r="N51" t="s">
        <v>9</v>
      </c>
      <c r="O51" t="s">
        <v>10</v>
      </c>
      <c r="P51" t="s">
        <v>8</v>
      </c>
      <c r="Q51" t="s">
        <v>25</v>
      </c>
      <c r="R51" t="s">
        <v>59</v>
      </c>
      <c r="S51" s="3">
        <v>33.04</v>
      </c>
      <c r="T51" t="s">
        <v>12</v>
      </c>
      <c r="U51" s="3">
        <v>2907.63</v>
      </c>
      <c r="V51" t="s">
        <v>63</v>
      </c>
      <c r="W51" t="s">
        <v>27</v>
      </c>
      <c r="X51" t="s">
        <v>8</v>
      </c>
      <c r="Y51" t="s">
        <v>167</v>
      </c>
      <c r="Z51" t="s">
        <v>14</v>
      </c>
      <c r="AA51" t="s">
        <v>168</v>
      </c>
      <c r="AB51" t="s">
        <v>8</v>
      </c>
      <c r="AC51" t="s">
        <v>8</v>
      </c>
      <c r="AD51" t="s">
        <v>8</v>
      </c>
      <c r="AE51" s="2">
        <v>45966</v>
      </c>
      <c r="AF51" s="2"/>
      <c r="AG51" t="s">
        <v>8</v>
      </c>
    </row>
    <row r="52" spans="1:33" outlineLevel="2" x14ac:dyDescent="0.25">
      <c r="A52" t="s">
        <v>34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45966</v>
      </c>
      <c r="H52" t="s">
        <v>169</v>
      </c>
      <c r="I52" t="s">
        <v>61</v>
      </c>
      <c r="J52" s="2">
        <v>45966</v>
      </c>
      <c r="K52" s="2">
        <v>45968</v>
      </c>
      <c r="L52" t="s">
        <v>24</v>
      </c>
      <c r="M52" t="s">
        <v>170</v>
      </c>
      <c r="N52" t="s">
        <v>9</v>
      </c>
      <c r="O52" t="s">
        <v>10</v>
      </c>
      <c r="P52" t="s">
        <v>8</v>
      </c>
      <c r="Q52" t="s">
        <v>25</v>
      </c>
      <c r="R52" t="s">
        <v>59</v>
      </c>
      <c r="S52" s="3">
        <v>738.08</v>
      </c>
      <c r="T52" t="s">
        <v>12</v>
      </c>
      <c r="U52" s="3">
        <v>64953.54</v>
      </c>
      <c r="V52" t="s">
        <v>63</v>
      </c>
      <c r="W52" t="s">
        <v>27</v>
      </c>
      <c r="X52" t="s">
        <v>8</v>
      </c>
      <c r="Y52" t="s">
        <v>171</v>
      </c>
      <c r="Z52" t="s">
        <v>14</v>
      </c>
      <c r="AA52" t="s">
        <v>172</v>
      </c>
      <c r="AB52" t="s">
        <v>8</v>
      </c>
      <c r="AC52" t="s">
        <v>8</v>
      </c>
      <c r="AD52" t="s">
        <v>8</v>
      </c>
      <c r="AE52" s="2">
        <v>45966</v>
      </c>
      <c r="AF52" s="2"/>
      <c r="AG52" t="s">
        <v>8</v>
      </c>
    </row>
    <row r="53" spans="1:33" outlineLevel="2" x14ac:dyDescent="0.25">
      <c r="A53" t="s">
        <v>34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2">
        <v>45964</v>
      </c>
      <c r="H53" t="s">
        <v>173</v>
      </c>
      <c r="I53" t="s">
        <v>61</v>
      </c>
      <c r="J53" s="2">
        <v>45964</v>
      </c>
      <c r="K53" s="2">
        <v>45967</v>
      </c>
      <c r="L53" t="s">
        <v>24</v>
      </c>
      <c r="M53" t="s">
        <v>174</v>
      </c>
      <c r="N53" t="s">
        <v>9</v>
      </c>
      <c r="O53" t="s">
        <v>10</v>
      </c>
      <c r="P53" t="s">
        <v>8</v>
      </c>
      <c r="Q53" t="s">
        <v>25</v>
      </c>
      <c r="R53" t="s">
        <v>59</v>
      </c>
      <c r="S53" s="3">
        <v>102.79</v>
      </c>
      <c r="T53" t="s">
        <v>12</v>
      </c>
      <c r="U53" s="3">
        <v>9045.8700000000008</v>
      </c>
      <c r="V53" t="s">
        <v>63</v>
      </c>
      <c r="W53" t="s">
        <v>27</v>
      </c>
      <c r="X53" t="s">
        <v>8</v>
      </c>
      <c r="Y53" t="s">
        <v>175</v>
      </c>
      <c r="Z53" t="s">
        <v>14</v>
      </c>
      <c r="AA53" t="s">
        <v>176</v>
      </c>
      <c r="AB53" t="s">
        <v>8</v>
      </c>
      <c r="AC53" t="s">
        <v>8</v>
      </c>
      <c r="AD53" t="s">
        <v>8</v>
      </c>
      <c r="AE53" s="2">
        <v>45964</v>
      </c>
      <c r="AF53" s="2"/>
      <c r="AG53" t="s">
        <v>8</v>
      </c>
    </row>
    <row r="54" spans="1:33" outlineLevel="2" x14ac:dyDescent="0.25">
      <c r="A54" t="s">
        <v>34</v>
      </c>
      <c r="B54" t="s">
        <v>1</v>
      </c>
      <c r="C54" t="s">
        <v>2</v>
      </c>
      <c r="D54" t="s">
        <v>3</v>
      </c>
      <c r="E54" t="s">
        <v>4</v>
      </c>
      <c r="F54" t="s">
        <v>35</v>
      </c>
      <c r="G54" s="2">
        <v>45877</v>
      </c>
      <c r="H54" t="s">
        <v>177</v>
      </c>
      <c r="I54" t="s">
        <v>61</v>
      </c>
      <c r="J54" s="2">
        <v>45877</v>
      </c>
      <c r="K54" s="2">
        <v>45877</v>
      </c>
      <c r="L54" t="s">
        <v>24</v>
      </c>
      <c r="M54" t="s">
        <v>178</v>
      </c>
      <c r="N54" t="s">
        <v>9</v>
      </c>
      <c r="O54" t="s">
        <v>10</v>
      </c>
      <c r="P54" t="s">
        <v>8</v>
      </c>
      <c r="Q54" t="s">
        <v>25</v>
      </c>
      <c r="R54" t="s">
        <v>59</v>
      </c>
      <c r="S54" s="3">
        <v>81.739999999999995</v>
      </c>
      <c r="T54" t="s">
        <v>12</v>
      </c>
      <c r="U54" s="3">
        <v>7032.1</v>
      </c>
      <c r="V54" t="s">
        <v>63</v>
      </c>
      <c r="W54" t="s">
        <v>27</v>
      </c>
      <c r="X54" t="s">
        <v>8</v>
      </c>
      <c r="Y54" t="s">
        <v>24</v>
      </c>
      <c r="Z54" t="s">
        <v>14</v>
      </c>
      <c r="AA54" t="s">
        <v>179</v>
      </c>
      <c r="AB54" t="s">
        <v>8</v>
      </c>
      <c r="AC54" t="s">
        <v>8</v>
      </c>
      <c r="AD54" t="s">
        <v>8</v>
      </c>
      <c r="AE54" s="2">
        <v>45877</v>
      </c>
      <c r="AF54" s="2"/>
      <c r="AG54" t="s">
        <v>8</v>
      </c>
    </row>
    <row r="55" spans="1:33" outlineLevel="2" x14ac:dyDescent="0.25">
      <c r="A55" t="s">
        <v>34</v>
      </c>
      <c r="B55" t="s">
        <v>1</v>
      </c>
      <c r="C55" t="s">
        <v>2</v>
      </c>
      <c r="D55" t="s">
        <v>3</v>
      </c>
      <c r="E55" t="s">
        <v>4</v>
      </c>
      <c r="F55" t="s">
        <v>35</v>
      </c>
      <c r="G55" s="2">
        <v>45877</v>
      </c>
      <c r="H55" t="s">
        <v>180</v>
      </c>
      <c r="I55" t="s">
        <v>61</v>
      </c>
      <c r="J55" s="2">
        <v>45877</v>
      </c>
      <c r="K55" s="2">
        <v>45877</v>
      </c>
      <c r="L55" t="s">
        <v>24</v>
      </c>
      <c r="M55" t="s">
        <v>181</v>
      </c>
      <c r="N55" t="s">
        <v>9</v>
      </c>
      <c r="O55" t="s">
        <v>10</v>
      </c>
      <c r="P55" t="s">
        <v>8</v>
      </c>
      <c r="Q55" t="s">
        <v>25</v>
      </c>
      <c r="R55" t="s">
        <v>59</v>
      </c>
      <c r="S55" s="3">
        <v>41.77</v>
      </c>
      <c r="T55" t="s">
        <v>12</v>
      </c>
      <c r="U55" s="3">
        <v>3593.48</v>
      </c>
      <c r="V55" t="s">
        <v>63</v>
      </c>
      <c r="W55" t="s">
        <v>27</v>
      </c>
      <c r="X55" t="s">
        <v>8</v>
      </c>
      <c r="Y55" t="s">
        <v>24</v>
      </c>
      <c r="Z55" t="s">
        <v>14</v>
      </c>
      <c r="AA55" t="s">
        <v>182</v>
      </c>
      <c r="AB55" t="s">
        <v>8</v>
      </c>
      <c r="AC55" t="s">
        <v>8</v>
      </c>
      <c r="AD55" t="s">
        <v>8</v>
      </c>
      <c r="AE55" s="2">
        <v>45877</v>
      </c>
      <c r="AF55" s="2"/>
      <c r="AG55" t="s">
        <v>8</v>
      </c>
    </row>
    <row r="56" spans="1:33" outlineLevel="2" x14ac:dyDescent="0.25">
      <c r="A56" t="s">
        <v>34</v>
      </c>
      <c r="B56" t="s">
        <v>1</v>
      </c>
      <c r="C56" t="s">
        <v>2</v>
      </c>
      <c r="D56" t="s">
        <v>3</v>
      </c>
      <c r="E56" t="s">
        <v>4</v>
      </c>
      <c r="F56" t="s">
        <v>35</v>
      </c>
      <c r="G56" s="2">
        <v>45877</v>
      </c>
      <c r="H56" t="s">
        <v>183</v>
      </c>
      <c r="I56" t="s">
        <v>61</v>
      </c>
      <c r="J56" s="2">
        <v>45877</v>
      </c>
      <c r="K56" s="2">
        <v>45877</v>
      </c>
      <c r="L56" t="s">
        <v>24</v>
      </c>
      <c r="M56" t="s">
        <v>184</v>
      </c>
      <c r="N56" t="s">
        <v>9</v>
      </c>
      <c r="O56" t="s">
        <v>10</v>
      </c>
      <c r="P56" t="s">
        <v>8</v>
      </c>
      <c r="Q56" t="s">
        <v>25</v>
      </c>
      <c r="R56" t="s">
        <v>59</v>
      </c>
      <c r="S56" s="3">
        <v>220.9</v>
      </c>
      <c r="T56" t="s">
        <v>12</v>
      </c>
      <c r="U56" s="3">
        <v>19004.05</v>
      </c>
      <c r="V56" t="s">
        <v>63</v>
      </c>
      <c r="W56" t="s">
        <v>27</v>
      </c>
      <c r="X56" t="s">
        <v>8</v>
      </c>
      <c r="Y56" t="s">
        <v>24</v>
      </c>
      <c r="Z56" t="s">
        <v>14</v>
      </c>
      <c r="AA56" t="s">
        <v>185</v>
      </c>
      <c r="AB56" t="s">
        <v>8</v>
      </c>
      <c r="AC56" t="s">
        <v>8</v>
      </c>
      <c r="AD56" t="s">
        <v>8</v>
      </c>
      <c r="AE56" s="2">
        <v>45877</v>
      </c>
      <c r="AF56" s="2"/>
      <c r="AG56" t="s">
        <v>8</v>
      </c>
    </row>
    <row r="57" spans="1:33" outlineLevel="2" x14ac:dyDescent="0.25">
      <c r="A57" t="s">
        <v>34</v>
      </c>
      <c r="B57" t="s">
        <v>1</v>
      </c>
      <c r="C57" t="s">
        <v>2</v>
      </c>
      <c r="D57" t="s">
        <v>3</v>
      </c>
      <c r="E57" t="s">
        <v>4</v>
      </c>
      <c r="F57" t="s">
        <v>35</v>
      </c>
      <c r="G57" s="2">
        <v>45877</v>
      </c>
      <c r="H57" t="s">
        <v>186</v>
      </c>
      <c r="I57" t="s">
        <v>61</v>
      </c>
      <c r="J57" s="2">
        <v>45877</v>
      </c>
      <c r="K57" s="2">
        <v>45877</v>
      </c>
      <c r="L57" t="s">
        <v>24</v>
      </c>
      <c r="M57" t="s">
        <v>187</v>
      </c>
      <c r="N57" t="s">
        <v>9</v>
      </c>
      <c r="O57" t="s">
        <v>10</v>
      </c>
      <c r="P57" t="s">
        <v>8</v>
      </c>
      <c r="Q57" t="s">
        <v>25</v>
      </c>
      <c r="R57" t="s">
        <v>59</v>
      </c>
      <c r="S57" s="3">
        <v>559.33000000000004</v>
      </c>
      <c r="T57" t="s">
        <v>12</v>
      </c>
      <c r="U57" s="3">
        <v>48119.23</v>
      </c>
      <c r="V57" t="s">
        <v>63</v>
      </c>
      <c r="W57" t="s">
        <v>27</v>
      </c>
      <c r="X57" t="s">
        <v>8</v>
      </c>
      <c r="Y57" t="s">
        <v>24</v>
      </c>
      <c r="Z57" t="s">
        <v>14</v>
      </c>
      <c r="AA57" t="s">
        <v>188</v>
      </c>
      <c r="AB57" t="s">
        <v>8</v>
      </c>
      <c r="AC57" t="s">
        <v>8</v>
      </c>
      <c r="AD57" t="s">
        <v>8</v>
      </c>
      <c r="AE57" s="2">
        <v>45877</v>
      </c>
      <c r="AF57" s="2"/>
      <c r="AG57" t="s">
        <v>8</v>
      </c>
    </row>
    <row r="58" spans="1:33" outlineLevel="2" x14ac:dyDescent="0.25">
      <c r="A58" t="s">
        <v>34</v>
      </c>
      <c r="B58" t="s">
        <v>1</v>
      </c>
      <c r="C58" t="s">
        <v>2</v>
      </c>
      <c r="D58" t="s">
        <v>3</v>
      </c>
      <c r="E58" t="s">
        <v>4</v>
      </c>
      <c r="F58" t="s">
        <v>87</v>
      </c>
      <c r="G58" s="2">
        <v>45812</v>
      </c>
      <c r="H58" t="s">
        <v>189</v>
      </c>
      <c r="I58" t="s">
        <v>61</v>
      </c>
      <c r="J58" s="2">
        <v>45812</v>
      </c>
      <c r="K58" s="2">
        <v>45817</v>
      </c>
      <c r="L58" t="s">
        <v>24</v>
      </c>
      <c r="M58" t="s">
        <v>190</v>
      </c>
      <c r="N58" t="s">
        <v>9</v>
      </c>
      <c r="O58" t="s">
        <v>10</v>
      </c>
      <c r="P58" t="s">
        <v>8</v>
      </c>
      <c r="Q58" t="s">
        <v>25</v>
      </c>
      <c r="R58" t="s">
        <v>59</v>
      </c>
      <c r="S58" s="3">
        <v>39.75</v>
      </c>
      <c r="T58" t="s">
        <v>12</v>
      </c>
      <c r="U58" s="3">
        <v>3398.26</v>
      </c>
      <c r="V58" t="s">
        <v>63</v>
      </c>
      <c r="W58" t="s">
        <v>27</v>
      </c>
      <c r="X58" t="s">
        <v>8</v>
      </c>
      <c r="Y58" t="s">
        <v>24</v>
      </c>
      <c r="Z58" t="s">
        <v>14</v>
      </c>
      <c r="AA58" t="s">
        <v>191</v>
      </c>
      <c r="AB58" t="s">
        <v>8</v>
      </c>
      <c r="AC58" t="s">
        <v>8</v>
      </c>
      <c r="AD58" t="s">
        <v>8</v>
      </c>
      <c r="AE58" s="2">
        <v>45812</v>
      </c>
      <c r="AF58" s="2"/>
      <c r="AG58" t="s">
        <v>8</v>
      </c>
    </row>
    <row r="59" spans="1:33" outlineLevel="2" x14ac:dyDescent="0.25">
      <c r="A59" t="s">
        <v>34</v>
      </c>
      <c r="B59" t="s">
        <v>1</v>
      </c>
      <c r="C59" t="s">
        <v>2</v>
      </c>
      <c r="D59" t="s">
        <v>3</v>
      </c>
      <c r="E59" t="s">
        <v>4</v>
      </c>
      <c r="F59" t="s">
        <v>87</v>
      </c>
      <c r="G59" s="2">
        <v>45812</v>
      </c>
      <c r="H59" t="s">
        <v>192</v>
      </c>
      <c r="I59" t="s">
        <v>61</v>
      </c>
      <c r="J59" s="2">
        <v>45812</v>
      </c>
      <c r="K59" s="2">
        <v>45817</v>
      </c>
      <c r="L59" t="s">
        <v>24</v>
      </c>
      <c r="M59" t="s">
        <v>193</v>
      </c>
      <c r="N59" t="s">
        <v>9</v>
      </c>
      <c r="O59" t="s">
        <v>10</v>
      </c>
      <c r="P59" t="s">
        <v>8</v>
      </c>
      <c r="Q59" t="s">
        <v>25</v>
      </c>
      <c r="R59" t="s">
        <v>59</v>
      </c>
      <c r="S59" s="3">
        <v>48.57</v>
      </c>
      <c r="T59" t="s">
        <v>12</v>
      </c>
      <c r="U59" s="3">
        <v>4152.29</v>
      </c>
      <c r="V59" t="s">
        <v>63</v>
      </c>
      <c r="W59" t="s">
        <v>27</v>
      </c>
      <c r="X59" t="s">
        <v>8</v>
      </c>
      <c r="Y59" t="s">
        <v>24</v>
      </c>
      <c r="Z59" t="s">
        <v>14</v>
      </c>
      <c r="AA59" t="s">
        <v>194</v>
      </c>
      <c r="AB59" t="s">
        <v>8</v>
      </c>
      <c r="AC59" t="s">
        <v>8</v>
      </c>
      <c r="AD59" t="s">
        <v>8</v>
      </c>
      <c r="AE59" s="2">
        <v>45812</v>
      </c>
      <c r="AF59" s="2"/>
      <c r="AG59" t="s">
        <v>8</v>
      </c>
    </row>
    <row r="60" spans="1:33" outlineLevel="2" x14ac:dyDescent="0.25">
      <c r="A60" t="s">
        <v>34</v>
      </c>
      <c r="B60" t="s">
        <v>1</v>
      </c>
      <c r="C60" t="s">
        <v>2</v>
      </c>
      <c r="D60" t="s">
        <v>3</v>
      </c>
      <c r="E60" t="s">
        <v>4</v>
      </c>
      <c r="F60" t="s">
        <v>106</v>
      </c>
      <c r="G60" s="2">
        <v>45793</v>
      </c>
      <c r="H60" t="s">
        <v>195</v>
      </c>
      <c r="I60" t="s">
        <v>61</v>
      </c>
      <c r="J60" s="2">
        <v>45793</v>
      </c>
      <c r="K60" s="2">
        <v>45800</v>
      </c>
      <c r="L60" t="s">
        <v>24</v>
      </c>
      <c r="M60" t="s">
        <v>196</v>
      </c>
      <c r="N60" t="s">
        <v>9</v>
      </c>
      <c r="O60" t="s">
        <v>10</v>
      </c>
      <c r="P60" t="s">
        <v>8</v>
      </c>
      <c r="Q60" t="s">
        <v>25</v>
      </c>
      <c r="R60" t="s">
        <v>59</v>
      </c>
      <c r="S60" s="3">
        <v>46.02</v>
      </c>
      <c r="T60" t="s">
        <v>12</v>
      </c>
      <c r="U60" s="3">
        <v>3956.97</v>
      </c>
      <c r="V60" t="s">
        <v>63</v>
      </c>
      <c r="W60" t="s">
        <v>27</v>
      </c>
      <c r="X60" t="s">
        <v>8</v>
      </c>
      <c r="Y60" t="s">
        <v>24</v>
      </c>
      <c r="Z60" t="s">
        <v>14</v>
      </c>
      <c r="AA60" t="s">
        <v>197</v>
      </c>
      <c r="AB60" t="s">
        <v>8</v>
      </c>
      <c r="AC60" t="s">
        <v>8</v>
      </c>
      <c r="AD60" t="s">
        <v>8</v>
      </c>
      <c r="AE60" s="2">
        <v>45793</v>
      </c>
      <c r="AF60" s="2"/>
      <c r="AG60" t="s">
        <v>8</v>
      </c>
    </row>
    <row r="61" spans="1:33" outlineLevel="2" x14ac:dyDescent="0.25">
      <c r="A61" t="s">
        <v>34</v>
      </c>
      <c r="B61" t="s">
        <v>1</v>
      </c>
      <c r="C61" t="s">
        <v>2</v>
      </c>
      <c r="D61" t="s">
        <v>3</v>
      </c>
      <c r="E61" t="s">
        <v>4</v>
      </c>
      <c r="F61" t="s">
        <v>106</v>
      </c>
      <c r="G61" s="2">
        <v>45793</v>
      </c>
      <c r="H61" t="s">
        <v>198</v>
      </c>
      <c r="I61" t="s">
        <v>61</v>
      </c>
      <c r="J61" s="2">
        <v>45793</v>
      </c>
      <c r="K61" s="2">
        <v>45800</v>
      </c>
      <c r="L61" t="s">
        <v>24</v>
      </c>
      <c r="M61" t="s">
        <v>199</v>
      </c>
      <c r="N61" t="s">
        <v>9</v>
      </c>
      <c r="O61" t="s">
        <v>10</v>
      </c>
      <c r="P61" t="s">
        <v>8</v>
      </c>
      <c r="Q61" t="s">
        <v>25</v>
      </c>
      <c r="R61" t="s">
        <v>59</v>
      </c>
      <c r="S61" s="3">
        <v>33.04</v>
      </c>
      <c r="T61" t="s">
        <v>12</v>
      </c>
      <c r="U61" s="3">
        <v>2840.9</v>
      </c>
      <c r="V61" t="s">
        <v>63</v>
      </c>
      <c r="W61" t="s">
        <v>27</v>
      </c>
      <c r="X61" t="s">
        <v>8</v>
      </c>
      <c r="Y61" t="s">
        <v>24</v>
      </c>
      <c r="Z61" t="s">
        <v>14</v>
      </c>
      <c r="AA61" t="s">
        <v>200</v>
      </c>
      <c r="AB61" t="s">
        <v>8</v>
      </c>
      <c r="AC61" t="s">
        <v>8</v>
      </c>
      <c r="AD61" t="s">
        <v>8</v>
      </c>
      <c r="AE61" s="2">
        <v>45793</v>
      </c>
      <c r="AF61" s="2"/>
      <c r="AG61" t="s">
        <v>8</v>
      </c>
    </row>
    <row r="62" spans="1:33" outlineLevel="2" x14ac:dyDescent="0.25">
      <c r="A62" t="s">
        <v>34</v>
      </c>
      <c r="B62" t="s">
        <v>1</v>
      </c>
      <c r="C62" t="s">
        <v>2</v>
      </c>
      <c r="D62" t="s">
        <v>3</v>
      </c>
      <c r="E62" t="s">
        <v>4</v>
      </c>
      <c r="F62" t="s">
        <v>38</v>
      </c>
      <c r="G62" s="2">
        <v>45856</v>
      </c>
      <c r="H62" t="s">
        <v>201</v>
      </c>
      <c r="I62" t="s">
        <v>61</v>
      </c>
      <c r="J62" s="2">
        <v>45856</v>
      </c>
      <c r="K62" s="2">
        <v>45859</v>
      </c>
      <c r="L62" t="s">
        <v>24</v>
      </c>
      <c r="M62" t="s">
        <v>202</v>
      </c>
      <c r="N62" t="s">
        <v>9</v>
      </c>
      <c r="O62" t="s">
        <v>10</v>
      </c>
      <c r="P62" t="s">
        <v>8</v>
      </c>
      <c r="Q62" t="s">
        <v>25</v>
      </c>
      <c r="R62" t="s">
        <v>59</v>
      </c>
      <c r="S62" s="3">
        <v>26.85</v>
      </c>
      <c r="T62" t="s">
        <v>12</v>
      </c>
      <c r="U62" s="3">
        <v>2309.12</v>
      </c>
      <c r="V62" t="s">
        <v>63</v>
      </c>
      <c r="W62" t="s">
        <v>27</v>
      </c>
      <c r="X62" t="s">
        <v>8</v>
      </c>
      <c r="Y62" t="s">
        <v>24</v>
      </c>
      <c r="Z62" t="s">
        <v>14</v>
      </c>
      <c r="AA62" t="s">
        <v>203</v>
      </c>
      <c r="AB62" t="s">
        <v>8</v>
      </c>
      <c r="AC62" t="s">
        <v>8</v>
      </c>
      <c r="AD62" t="s">
        <v>8</v>
      </c>
      <c r="AE62" s="2">
        <v>45856</v>
      </c>
      <c r="AF62" s="2"/>
      <c r="AG62" t="s">
        <v>8</v>
      </c>
    </row>
    <row r="63" spans="1:33" outlineLevel="2" x14ac:dyDescent="0.25">
      <c r="A63" t="s">
        <v>34</v>
      </c>
      <c r="B63" t="s">
        <v>1</v>
      </c>
      <c r="C63" t="s">
        <v>2</v>
      </c>
      <c r="D63" t="s">
        <v>3</v>
      </c>
      <c r="E63" t="s">
        <v>4</v>
      </c>
      <c r="F63" t="s">
        <v>44</v>
      </c>
      <c r="G63" s="2">
        <v>45736</v>
      </c>
      <c r="H63" t="s">
        <v>204</v>
      </c>
      <c r="I63" t="s">
        <v>61</v>
      </c>
      <c r="J63" s="2">
        <v>45736</v>
      </c>
      <c r="K63" s="2">
        <v>45737</v>
      </c>
      <c r="L63" t="s">
        <v>24</v>
      </c>
      <c r="M63" t="s">
        <v>205</v>
      </c>
      <c r="N63" t="s">
        <v>9</v>
      </c>
      <c r="O63" t="s">
        <v>10</v>
      </c>
      <c r="P63" t="s">
        <v>8</v>
      </c>
      <c r="Q63" t="s">
        <v>25</v>
      </c>
      <c r="R63" t="s">
        <v>59</v>
      </c>
      <c r="S63" s="3">
        <v>4.72</v>
      </c>
      <c r="T63" t="s">
        <v>12</v>
      </c>
      <c r="U63" s="3">
        <v>409.18</v>
      </c>
      <c r="V63" t="s">
        <v>63</v>
      </c>
      <c r="W63" t="s">
        <v>20</v>
      </c>
      <c r="X63" t="s">
        <v>8</v>
      </c>
      <c r="Y63" t="s">
        <v>24</v>
      </c>
      <c r="Z63" t="s">
        <v>14</v>
      </c>
      <c r="AA63" t="s">
        <v>206</v>
      </c>
      <c r="AB63" t="s">
        <v>8</v>
      </c>
      <c r="AC63" t="s">
        <v>8</v>
      </c>
      <c r="AD63" t="s">
        <v>8</v>
      </c>
      <c r="AE63" s="2">
        <v>45736</v>
      </c>
      <c r="AF63" s="2"/>
      <c r="AG63" t="s">
        <v>8</v>
      </c>
    </row>
    <row r="64" spans="1:33" outlineLevel="2" x14ac:dyDescent="0.25">
      <c r="A64" t="s">
        <v>34</v>
      </c>
      <c r="B64" t="s">
        <v>1</v>
      </c>
      <c r="C64" t="s">
        <v>2</v>
      </c>
      <c r="D64" t="s">
        <v>3</v>
      </c>
      <c r="E64" t="s">
        <v>4</v>
      </c>
      <c r="F64" t="s">
        <v>44</v>
      </c>
      <c r="G64" s="2">
        <v>45736</v>
      </c>
      <c r="H64" t="s">
        <v>207</v>
      </c>
      <c r="I64" t="s">
        <v>61</v>
      </c>
      <c r="J64" s="2">
        <v>45736</v>
      </c>
      <c r="K64" s="2">
        <v>45737</v>
      </c>
      <c r="L64" t="s">
        <v>24</v>
      </c>
      <c r="M64" t="s">
        <v>208</v>
      </c>
      <c r="N64" t="s">
        <v>9</v>
      </c>
      <c r="O64" t="s">
        <v>10</v>
      </c>
      <c r="P64" t="s">
        <v>8</v>
      </c>
      <c r="Q64" t="s">
        <v>25</v>
      </c>
      <c r="R64" t="s">
        <v>59</v>
      </c>
      <c r="S64" s="3">
        <v>7.27</v>
      </c>
      <c r="T64" t="s">
        <v>12</v>
      </c>
      <c r="U64" s="3">
        <v>630.25</v>
      </c>
      <c r="V64" t="s">
        <v>63</v>
      </c>
      <c r="W64" t="s">
        <v>20</v>
      </c>
      <c r="X64" t="s">
        <v>8</v>
      </c>
      <c r="Y64" t="s">
        <v>24</v>
      </c>
      <c r="Z64" t="s">
        <v>14</v>
      </c>
      <c r="AA64" t="s">
        <v>206</v>
      </c>
      <c r="AB64" t="s">
        <v>8</v>
      </c>
      <c r="AC64" t="s">
        <v>8</v>
      </c>
      <c r="AD64" t="s">
        <v>8</v>
      </c>
      <c r="AE64" s="2">
        <v>45736</v>
      </c>
      <c r="AF64" s="2"/>
      <c r="AG64" t="s">
        <v>8</v>
      </c>
    </row>
    <row r="65" spans="1:33" outlineLevel="2" x14ac:dyDescent="0.25">
      <c r="A65" t="s">
        <v>34</v>
      </c>
      <c r="B65" t="s">
        <v>1</v>
      </c>
      <c r="C65" t="s">
        <v>2</v>
      </c>
      <c r="D65" t="s">
        <v>3</v>
      </c>
      <c r="E65" t="s">
        <v>4</v>
      </c>
      <c r="F65" t="s">
        <v>44</v>
      </c>
      <c r="G65" s="2">
        <v>45736</v>
      </c>
      <c r="H65" t="s">
        <v>209</v>
      </c>
      <c r="I65" t="s">
        <v>61</v>
      </c>
      <c r="J65" s="2">
        <v>45736</v>
      </c>
      <c r="K65" s="2">
        <v>45737</v>
      </c>
      <c r="L65" t="s">
        <v>24</v>
      </c>
      <c r="M65" t="s">
        <v>210</v>
      </c>
      <c r="N65" t="s">
        <v>9</v>
      </c>
      <c r="O65" t="s">
        <v>10</v>
      </c>
      <c r="P65" t="s">
        <v>8</v>
      </c>
      <c r="Q65" t="s">
        <v>25</v>
      </c>
      <c r="R65" t="s">
        <v>59</v>
      </c>
      <c r="S65" s="3">
        <v>4.72</v>
      </c>
      <c r="T65" t="s">
        <v>12</v>
      </c>
      <c r="U65" s="3">
        <v>409.18</v>
      </c>
      <c r="V65" t="s">
        <v>63</v>
      </c>
      <c r="W65" t="s">
        <v>20</v>
      </c>
      <c r="X65" t="s">
        <v>8</v>
      </c>
      <c r="Y65" t="s">
        <v>24</v>
      </c>
      <c r="Z65" t="s">
        <v>14</v>
      </c>
      <c r="AA65" t="s">
        <v>206</v>
      </c>
      <c r="AB65" t="s">
        <v>8</v>
      </c>
      <c r="AC65" t="s">
        <v>8</v>
      </c>
      <c r="AD65" t="s">
        <v>8</v>
      </c>
      <c r="AE65" s="2">
        <v>45736</v>
      </c>
      <c r="AF65" s="2"/>
      <c r="AG65" t="s">
        <v>8</v>
      </c>
    </row>
    <row r="66" spans="1:33" outlineLevel="2" x14ac:dyDescent="0.25">
      <c r="A66" t="s">
        <v>34</v>
      </c>
      <c r="B66" t="s">
        <v>1</v>
      </c>
      <c r="C66" t="s">
        <v>2</v>
      </c>
      <c r="D66" t="s">
        <v>3</v>
      </c>
      <c r="E66" t="s">
        <v>4</v>
      </c>
      <c r="F66" t="s">
        <v>44</v>
      </c>
      <c r="G66" s="2">
        <v>45736</v>
      </c>
      <c r="H66" t="s">
        <v>211</v>
      </c>
      <c r="I66" t="s">
        <v>61</v>
      </c>
      <c r="J66" s="2">
        <v>45736</v>
      </c>
      <c r="K66" s="2">
        <v>45737</v>
      </c>
      <c r="L66" t="s">
        <v>24</v>
      </c>
      <c r="M66" t="s">
        <v>212</v>
      </c>
      <c r="N66" t="s">
        <v>9</v>
      </c>
      <c r="O66" t="s">
        <v>10</v>
      </c>
      <c r="P66" t="s">
        <v>8</v>
      </c>
      <c r="Q66" t="s">
        <v>25</v>
      </c>
      <c r="R66" t="s">
        <v>59</v>
      </c>
      <c r="S66" s="3">
        <v>28.32</v>
      </c>
      <c r="T66" t="s">
        <v>12</v>
      </c>
      <c r="U66" s="3">
        <v>2455.1</v>
      </c>
      <c r="V66" t="s">
        <v>63</v>
      </c>
      <c r="W66" t="s">
        <v>20</v>
      </c>
      <c r="X66" t="s">
        <v>8</v>
      </c>
      <c r="Y66" t="s">
        <v>24</v>
      </c>
      <c r="Z66" t="s">
        <v>14</v>
      </c>
      <c r="AA66" t="s">
        <v>213</v>
      </c>
      <c r="AB66" t="s">
        <v>8</v>
      </c>
      <c r="AC66" t="s">
        <v>8</v>
      </c>
      <c r="AD66" t="s">
        <v>8</v>
      </c>
      <c r="AE66" s="2">
        <v>45736</v>
      </c>
      <c r="AF66" s="2"/>
      <c r="AG66" t="s">
        <v>8</v>
      </c>
    </row>
    <row r="67" spans="1:33" outlineLevel="2" x14ac:dyDescent="0.25">
      <c r="A67" t="s">
        <v>34</v>
      </c>
      <c r="B67" t="s">
        <v>1</v>
      </c>
      <c r="C67" t="s">
        <v>2</v>
      </c>
      <c r="D67" t="s">
        <v>3</v>
      </c>
      <c r="E67" t="s">
        <v>4</v>
      </c>
      <c r="F67" t="s">
        <v>44</v>
      </c>
      <c r="G67" s="2">
        <v>45736</v>
      </c>
      <c r="H67" t="s">
        <v>214</v>
      </c>
      <c r="I67" t="s">
        <v>61</v>
      </c>
      <c r="J67" s="2">
        <v>45736</v>
      </c>
      <c r="K67" s="2">
        <v>45737</v>
      </c>
      <c r="L67" t="s">
        <v>24</v>
      </c>
      <c r="M67" t="s">
        <v>215</v>
      </c>
      <c r="N67" t="s">
        <v>9</v>
      </c>
      <c r="O67" t="s">
        <v>10</v>
      </c>
      <c r="P67" t="s">
        <v>8</v>
      </c>
      <c r="Q67" t="s">
        <v>25</v>
      </c>
      <c r="R67" t="s">
        <v>59</v>
      </c>
      <c r="S67" s="3">
        <v>53.61</v>
      </c>
      <c r="T67" t="s">
        <v>12</v>
      </c>
      <c r="U67" s="3">
        <v>4647.5200000000004</v>
      </c>
      <c r="V67" t="s">
        <v>63</v>
      </c>
      <c r="W67" t="s">
        <v>20</v>
      </c>
      <c r="X67" t="s">
        <v>8</v>
      </c>
      <c r="Y67" t="s">
        <v>24</v>
      </c>
      <c r="Z67" t="s">
        <v>14</v>
      </c>
      <c r="AA67" t="s">
        <v>216</v>
      </c>
      <c r="AB67" t="s">
        <v>8</v>
      </c>
      <c r="AC67" t="s">
        <v>8</v>
      </c>
      <c r="AD67" t="s">
        <v>8</v>
      </c>
      <c r="AE67" s="2">
        <v>45736</v>
      </c>
      <c r="AF67" s="2"/>
      <c r="AG67" t="s">
        <v>8</v>
      </c>
    </row>
    <row r="68" spans="1:33" outlineLevel="2" x14ac:dyDescent="0.25">
      <c r="A68" t="s">
        <v>34</v>
      </c>
      <c r="B68" t="s">
        <v>1</v>
      </c>
      <c r="C68" t="s">
        <v>2</v>
      </c>
      <c r="D68" t="s">
        <v>3</v>
      </c>
      <c r="E68" t="s">
        <v>4</v>
      </c>
      <c r="F68" t="s">
        <v>44</v>
      </c>
      <c r="G68" s="2">
        <v>45736</v>
      </c>
      <c r="H68" t="s">
        <v>217</v>
      </c>
      <c r="I68" t="s">
        <v>61</v>
      </c>
      <c r="J68" s="2">
        <v>45736</v>
      </c>
      <c r="K68" s="2">
        <v>45737</v>
      </c>
      <c r="L68" t="s">
        <v>24</v>
      </c>
      <c r="M68" t="s">
        <v>218</v>
      </c>
      <c r="N68" t="s">
        <v>9</v>
      </c>
      <c r="O68" t="s">
        <v>10</v>
      </c>
      <c r="P68" t="s">
        <v>8</v>
      </c>
      <c r="Q68" t="s">
        <v>25</v>
      </c>
      <c r="R68" t="s">
        <v>59</v>
      </c>
      <c r="S68" s="3">
        <v>12.24</v>
      </c>
      <c r="T68" t="s">
        <v>12</v>
      </c>
      <c r="U68" s="3">
        <v>1061.0999999999999</v>
      </c>
      <c r="V68" t="s">
        <v>63</v>
      </c>
      <c r="W68" t="s">
        <v>20</v>
      </c>
      <c r="X68" t="s">
        <v>8</v>
      </c>
      <c r="Y68" t="s">
        <v>24</v>
      </c>
      <c r="Z68" t="s">
        <v>14</v>
      </c>
      <c r="AA68" t="s">
        <v>219</v>
      </c>
      <c r="AB68" t="s">
        <v>8</v>
      </c>
      <c r="AC68" t="s">
        <v>8</v>
      </c>
      <c r="AD68" t="s">
        <v>8</v>
      </c>
      <c r="AE68" s="2">
        <v>45736</v>
      </c>
      <c r="AF68" s="2"/>
      <c r="AG68" t="s">
        <v>8</v>
      </c>
    </row>
    <row r="69" spans="1:33" outlineLevel="2" x14ac:dyDescent="0.25">
      <c r="A69" t="s">
        <v>34</v>
      </c>
      <c r="B69" t="s">
        <v>1</v>
      </c>
      <c r="C69" t="s">
        <v>2</v>
      </c>
      <c r="D69" t="s">
        <v>3</v>
      </c>
      <c r="E69" t="s">
        <v>4</v>
      </c>
      <c r="F69" t="s">
        <v>44</v>
      </c>
      <c r="G69" s="2">
        <v>45736</v>
      </c>
      <c r="H69" t="s">
        <v>220</v>
      </c>
      <c r="I69" t="s">
        <v>61</v>
      </c>
      <c r="J69" s="2">
        <v>45736</v>
      </c>
      <c r="K69" s="2">
        <v>45737</v>
      </c>
      <c r="L69" t="s">
        <v>24</v>
      </c>
      <c r="M69" t="s">
        <v>221</v>
      </c>
      <c r="N69" t="s">
        <v>9</v>
      </c>
      <c r="O69" t="s">
        <v>10</v>
      </c>
      <c r="P69" t="s">
        <v>8</v>
      </c>
      <c r="Q69" t="s">
        <v>25</v>
      </c>
      <c r="R69" t="s">
        <v>59</v>
      </c>
      <c r="S69" s="3">
        <v>32.65</v>
      </c>
      <c r="T69" t="s">
        <v>12</v>
      </c>
      <c r="U69" s="3">
        <v>2830.47</v>
      </c>
      <c r="V69" t="s">
        <v>63</v>
      </c>
      <c r="W69" t="s">
        <v>20</v>
      </c>
      <c r="X69" t="s">
        <v>8</v>
      </c>
      <c r="Y69" t="s">
        <v>24</v>
      </c>
      <c r="Z69" t="s">
        <v>14</v>
      </c>
      <c r="AA69" t="s">
        <v>222</v>
      </c>
      <c r="AB69" t="s">
        <v>8</v>
      </c>
      <c r="AC69" t="s">
        <v>8</v>
      </c>
      <c r="AD69" t="s">
        <v>8</v>
      </c>
      <c r="AE69" s="2">
        <v>45736</v>
      </c>
      <c r="AF69" s="2"/>
      <c r="AG69" t="s">
        <v>8</v>
      </c>
    </row>
    <row r="70" spans="1:33" outlineLevel="2" x14ac:dyDescent="0.25">
      <c r="A70" t="s">
        <v>34</v>
      </c>
      <c r="B70" t="s">
        <v>1</v>
      </c>
      <c r="C70" t="s">
        <v>2</v>
      </c>
      <c r="D70" t="s">
        <v>3</v>
      </c>
      <c r="E70" t="s">
        <v>4</v>
      </c>
      <c r="F70" t="s">
        <v>44</v>
      </c>
      <c r="G70" s="2">
        <v>45736</v>
      </c>
      <c r="H70" t="s">
        <v>223</v>
      </c>
      <c r="I70" t="s">
        <v>61</v>
      </c>
      <c r="J70" s="2">
        <v>45736</v>
      </c>
      <c r="K70" s="2">
        <v>45737</v>
      </c>
      <c r="L70" t="s">
        <v>24</v>
      </c>
      <c r="M70" t="s">
        <v>224</v>
      </c>
      <c r="N70" t="s">
        <v>9</v>
      </c>
      <c r="O70" t="s">
        <v>10</v>
      </c>
      <c r="P70" t="s">
        <v>8</v>
      </c>
      <c r="Q70" t="s">
        <v>25</v>
      </c>
      <c r="R70" t="s">
        <v>59</v>
      </c>
      <c r="S70" s="3">
        <v>56.64</v>
      </c>
      <c r="T70" t="s">
        <v>12</v>
      </c>
      <c r="U70" s="3">
        <v>4910.1899999999996</v>
      </c>
      <c r="V70" t="s">
        <v>63</v>
      </c>
      <c r="W70" t="s">
        <v>20</v>
      </c>
      <c r="X70" t="s">
        <v>8</v>
      </c>
      <c r="Y70" t="s">
        <v>24</v>
      </c>
      <c r="Z70" t="s">
        <v>14</v>
      </c>
      <c r="AA70" t="s">
        <v>225</v>
      </c>
      <c r="AB70" t="s">
        <v>8</v>
      </c>
      <c r="AC70" t="s">
        <v>8</v>
      </c>
      <c r="AD70" t="s">
        <v>8</v>
      </c>
      <c r="AE70" s="2">
        <v>45736</v>
      </c>
      <c r="AF70" s="2"/>
      <c r="AG70" t="s">
        <v>8</v>
      </c>
    </row>
    <row r="71" spans="1:33" outlineLevel="2" x14ac:dyDescent="0.25">
      <c r="A71" t="s">
        <v>34</v>
      </c>
      <c r="B71" t="s">
        <v>1</v>
      </c>
      <c r="C71" t="s">
        <v>2</v>
      </c>
      <c r="D71" t="s">
        <v>3</v>
      </c>
      <c r="E71" t="s">
        <v>4</v>
      </c>
      <c r="F71" t="s">
        <v>44</v>
      </c>
      <c r="G71" s="2">
        <v>45736</v>
      </c>
      <c r="H71" t="s">
        <v>226</v>
      </c>
      <c r="I71" t="s">
        <v>61</v>
      </c>
      <c r="J71" s="2">
        <v>45736</v>
      </c>
      <c r="K71" s="2">
        <v>45737</v>
      </c>
      <c r="L71" t="s">
        <v>24</v>
      </c>
      <c r="M71" t="s">
        <v>227</v>
      </c>
      <c r="N71" t="s">
        <v>9</v>
      </c>
      <c r="O71" t="s">
        <v>10</v>
      </c>
      <c r="P71" t="s">
        <v>8</v>
      </c>
      <c r="Q71" t="s">
        <v>25</v>
      </c>
      <c r="R71" t="s">
        <v>59</v>
      </c>
      <c r="S71" s="3">
        <v>16.04</v>
      </c>
      <c r="T71" t="s">
        <v>12</v>
      </c>
      <c r="U71" s="3">
        <v>1390.53</v>
      </c>
      <c r="V71" t="s">
        <v>63</v>
      </c>
      <c r="W71" t="s">
        <v>20</v>
      </c>
      <c r="X71" t="s">
        <v>8</v>
      </c>
      <c r="Y71" t="s">
        <v>24</v>
      </c>
      <c r="Z71" t="s">
        <v>14</v>
      </c>
      <c r="AA71" t="s">
        <v>228</v>
      </c>
      <c r="AB71" t="s">
        <v>8</v>
      </c>
      <c r="AC71" t="s">
        <v>8</v>
      </c>
      <c r="AD71" t="s">
        <v>8</v>
      </c>
      <c r="AE71" s="2">
        <v>45736</v>
      </c>
      <c r="AF71" s="2"/>
      <c r="AG71" t="s">
        <v>8</v>
      </c>
    </row>
    <row r="72" spans="1:33" outlineLevel="2" x14ac:dyDescent="0.25">
      <c r="A72" t="s">
        <v>34</v>
      </c>
      <c r="B72" t="s">
        <v>1</v>
      </c>
      <c r="C72" t="s">
        <v>2</v>
      </c>
      <c r="D72" t="s">
        <v>3</v>
      </c>
      <c r="E72" t="s">
        <v>4</v>
      </c>
      <c r="F72" t="s">
        <v>44</v>
      </c>
      <c r="G72" s="2">
        <v>45736</v>
      </c>
      <c r="H72" t="s">
        <v>229</v>
      </c>
      <c r="I72" t="s">
        <v>61</v>
      </c>
      <c r="J72" s="2">
        <v>45736</v>
      </c>
      <c r="K72" s="2">
        <v>45737</v>
      </c>
      <c r="L72" t="s">
        <v>24</v>
      </c>
      <c r="M72" t="s">
        <v>230</v>
      </c>
      <c r="N72" t="s">
        <v>9</v>
      </c>
      <c r="O72" t="s">
        <v>10</v>
      </c>
      <c r="P72" t="s">
        <v>8</v>
      </c>
      <c r="Q72" t="s">
        <v>25</v>
      </c>
      <c r="R72" t="s">
        <v>59</v>
      </c>
      <c r="S72" s="3">
        <v>28.32</v>
      </c>
      <c r="T72" t="s">
        <v>12</v>
      </c>
      <c r="U72" s="3">
        <v>2455.1</v>
      </c>
      <c r="V72" t="s">
        <v>63</v>
      </c>
      <c r="W72" t="s">
        <v>20</v>
      </c>
      <c r="X72" t="s">
        <v>8</v>
      </c>
      <c r="Y72" t="s">
        <v>24</v>
      </c>
      <c r="Z72" t="s">
        <v>14</v>
      </c>
      <c r="AA72" t="s">
        <v>231</v>
      </c>
      <c r="AB72" t="s">
        <v>8</v>
      </c>
      <c r="AC72" t="s">
        <v>8</v>
      </c>
      <c r="AD72" t="s">
        <v>8</v>
      </c>
      <c r="AE72" s="2">
        <v>45736</v>
      </c>
      <c r="AF72" s="2"/>
      <c r="AG72" t="s">
        <v>8</v>
      </c>
    </row>
    <row r="73" spans="1:33" outlineLevel="2" x14ac:dyDescent="0.25">
      <c r="A73" t="s">
        <v>34</v>
      </c>
      <c r="B73" t="s">
        <v>1</v>
      </c>
      <c r="C73" t="s">
        <v>2</v>
      </c>
      <c r="D73" t="s">
        <v>3</v>
      </c>
      <c r="E73" t="s">
        <v>4</v>
      </c>
      <c r="F73" t="s">
        <v>44</v>
      </c>
      <c r="G73" s="2">
        <v>45736</v>
      </c>
      <c r="H73" t="s">
        <v>232</v>
      </c>
      <c r="I73" t="s">
        <v>61</v>
      </c>
      <c r="J73" s="2">
        <v>45736</v>
      </c>
      <c r="K73" s="2">
        <v>45737</v>
      </c>
      <c r="L73" t="s">
        <v>24</v>
      </c>
      <c r="M73" t="s">
        <v>233</v>
      </c>
      <c r="N73" t="s">
        <v>9</v>
      </c>
      <c r="O73" t="s">
        <v>10</v>
      </c>
      <c r="P73" t="s">
        <v>8</v>
      </c>
      <c r="Q73" t="s">
        <v>25</v>
      </c>
      <c r="R73" t="s">
        <v>59</v>
      </c>
      <c r="S73" s="3">
        <v>17.579999999999998</v>
      </c>
      <c r="T73" t="s">
        <v>12</v>
      </c>
      <c r="U73" s="3">
        <v>1524.03</v>
      </c>
      <c r="V73" t="s">
        <v>63</v>
      </c>
      <c r="W73" t="s">
        <v>20</v>
      </c>
      <c r="X73" t="s">
        <v>8</v>
      </c>
      <c r="Y73" t="s">
        <v>24</v>
      </c>
      <c r="Z73" t="s">
        <v>14</v>
      </c>
      <c r="AA73" t="s">
        <v>234</v>
      </c>
      <c r="AB73" t="s">
        <v>8</v>
      </c>
      <c r="AC73" t="s">
        <v>8</v>
      </c>
      <c r="AD73" t="s">
        <v>8</v>
      </c>
      <c r="AE73" s="2">
        <v>45736</v>
      </c>
      <c r="AF73" s="2"/>
      <c r="AG73" t="s">
        <v>8</v>
      </c>
    </row>
    <row r="74" spans="1:33" outlineLevel="2" x14ac:dyDescent="0.25">
      <c r="A74" t="s">
        <v>34</v>
      </c>
      <c r="B74" t="s">
        <v>1</v>
      </c>
      <c r="C74" t="s">
        <v>2</v>
      </c>
      <c r="D74" t="s">
        <v>3</v>
      </c>
      <c r="E74" t="s">
        <v>4</v>
      </c>
      <c r="F74" t="s">
        <v>44</v>
      </c>
      <c r="G74" s="2">
        <v>45736</v>
      </c>
      <c r="H74" t="s">
        <v>235</v>
      </c>
      <c r="I74" t="s">
        <v>61</v>
      </c>
      <c r="J74" s="2">
        <v>45736</v>
      </c>
      <c r="K74" s="2">
        <v>45737</v>
      </c>
      <c r="L74" t="s">
        <v>24</v>
      </c>
      <c r="M74" t="s">
        <v>236</v>
      </c>
      <c r="N74" t="s">
        <v>9</v>
      </c>
      <c r="O74" t="s">
        <v>10</v>
      </c>
      <c r="P74" t="s">
        <v>8</v>
      </c>
      <c r="Q74" t="s">
        <v>25</v>
      </c>
      <c r="R74" t="s">
        <v>59</v>
      </c>
      <c r="S74" s="3">
        <v>28.32</v>
      </c>
      <c r="T74" t="s">
        <v>12</v>
      </c>
      <c r="U74" s="3">
        <v>2455.1</v>
      </c>
      <c r="V74" t="s">
        <v>63</v>
      </c>
      <c r="W74" t="s">
        <v>20</v>
      </c>
      <c r="X74" t="s">
        <v>8</v>
      </c>
      <c r="Y74" t="s">
        <v>24</v>
      </c>
      <c r="Z74" t="s">
        <v>14</v>
      </c>
      <c r="AA74" t="s">
        <v>237</v>
      </c>
      <c r="AB74" t="s">
        <v>8</v>
      </c>
      <c r="AC74" t="s">
        <v>8</v>
      </c>
      <c r="AD74" t="s">
        <v>8</v>
      </c>
      <c r="AE74" s="2">
        <v>45736</v>
      </c>
      <c r="AF74" s="2"/>
      <c r="AG74" t="s">
        <v>8</v>
      </c>
    </row>
    <row r="75" spans="1:33" outlineLevel="2" x14ac:dyDescent="0.25">
      <c r="A75" t="s">
        <v>34</v>
      </c>
      <c r="B75" t="s">
        <v>1</v>
      </c>
      <c r="C75" t="s">
        <v>2</v>
      </c>
      <c r="D75" t="s">
        <v>3</v>
      </c>
      <c r="E75" t="s">
        <v>4</v>
      </c>
      <c r="F75" t="s">
        <v>44</v>
      </c>
      <c r="G75" s="2">
        <v>45736</v>
      </c>
      <c r="H75" t="s">
        <v>238</v>
      </c>
      <c r="I75" t="s">
        <v>61</v>
      </c>
      <c r="J75" s="2">
        <v>45736</v>
      </c>
      <c r="K75" s="2">
        <v>45737</v>
      </c>
      <c r="L75" t="s">
        <v>24</v>
      </c>
      <c r="M75" t="s">
        <v>239</v>
      </c>
      <c r="N75" t="s">
        <v>9</v>
      </c>
      <c r="O75" t="s">
        <v>10</v>
      </c>
      <c r="P75" t="s">
        <v>8</v>
      </c>
      <c r="Q75" t="s">
        <v>25</v>
      </c>
      <c r="R75" t="s">
        <v>59</v>
      </c>
      <c r="S75" s="3">
        <v>21.24</v>
      </c>
      <c r="T75" t="s">
        <v>12</v>
      </c>
      <c r="U75" s="3">
        <v>1841.32</v>
      </c>
      <c r="V75" t="s">
        <v>63</v>
      </c>
      <c r="W75" t="s">
        <v>20</v>
      </c>
      <c r="X75" t="s">
        <v>8</v>
      </c>
      <c r="Y75" t="s">
        <v>24</v>
      </c>
      <c r="Z75" t="s">
        <v>14</v>
      </c>
      <c r="AA75" t="s">
        <v>206</v>
      </c>
      <c r="AB75" t="s">
        <v>8</v>
      </c>
      <c r="AC75" t="s">
        <v>8</v>
      </c>
      <c r="AD75" t="s">
        <v>8</v>
      </c>
      <c r="AE75" s="2">
        <v>45736</v>
      </c>
      <c r="AF75" s="2"/>
      <c r="AG75" t="s">
        <v>8</v>
      </c>
    </row>
    <row r="76" spans="1:33" outlineLevel="2" x14ac:dyDescent="0.25">
      <c r="A76" t="s">
        <v>34</v>
      </c>
      <c r="B76" t="s">
        <v>1</v>
      </c>
      <c r="C76" t="s">
        <v>2</v>
      </c>
      <c r="D76" t="s">
        <v>3</v>
      </c>
      <c r="E76" t="s">
        <v>4</v>
      </c>
      <c r="F76" t="s">
        <v>44</v>
      </c>
      <c r="G76" s="2">
        <v>45736</v>
      </c>
      <c r="H76" t="s">
        <v>240</v>
      </c>
      <c r="I76" t="s">
        <v>61</v>
      </c>
      <c r="J76" s="2">
        <v>45736</v>
      </c>
      <c r="K76" s="2">
        <v>45737</v>
      </c>
      <c r="L76" t="s">
        <v>24</v>
      </c>
      <c r="M76" t="s">
        <v>241</v>
      </c>
      <c r="N76" t="s">
        <v>9</v>
      </c>
      <c r="O76" t="s">
        <v>10</v>
      </c>
      <c r="P76" t="s">
        <v>8</v>
      </c>
      <c r="Q76" t="s">
        <v>25</v>
      </c>
      <c r="R76" t="s">
        <v>59</v>
      </c>
      <c r="S76" s="3">
        <v>3.54</v>
      </c>
      <c r="T76" t="s">
        <v>12</v>
      </c>
      <c r="U76" s="3">
        <v>306.89</v>
      </c>
      <c r="V76" t="s">
        <v>63</v>
      </c>
      <c r="W76" t="s">
        <v>20</v>
      </c>
      <c r="X76" t="s">
        <v>8</v>
      </c>
      <c r="Y76" t="s">
        <v>24</v>
      </c>
      <c r="Z76" t="s">
        <v>14</v>
      </c>
      <c r="AA76" t="s">
        <v>242</v>
      </c>
      <c r="AB76" t="s">
        <v>8</v>
      </c>
      <c r="AC76" t="s">
        <v>8</v>
      </c>
      <c r="AD76" t="s">
        <v>8</v>
      </c>
      <c r="AE76" s="2">
        <v>45736</v>
      </c>
      <c r="AF76" s="2"/>
      <c r="AG76" t="s">
        <v>8</v>
      </c>
    </row>
    <row r="77" spans="1:33" outlineLevel="2" x14ac:dyDescent="0.25">
      <c r="A77" t="s">
        <v>34</v>
      </c>
      <c r="B77" t="s">
        <v>1</v>
      </c>
      <c r="C77" t="s">
        <v>2</v>
      </c>
      <c r="D77" t="s">
        <v>3</v>
      </c>
      <c r="E77" t="s">
        <v>4</v>
      </c>
      <c r="F77" t="s">
        <v>44</v>
      </c>
      <c r="G77" s="2">
        <v>45736</v>
      </c>
      <c r="H77" t="s">
        <v>243</v>
      </c>
      <c r="I77" t="s">
        <v>61</v>
      </c>
      <c r="J77" s="2">
        <v>45736</v>
      </c>
      <c r="K77" s="2">
        <v>45737</v>
      </c>
      <c r="L77" t="s">
        <v>24</v>
      </c>
      <c r="M77" t="s">
        <v>244</v>
      </c>
      <c r="N77" t="s">
        <v>9</v>
      </c>
      <c r="O77" t="s">
        <v>10</v>
      </c>
      <c r="P77" t="s">
        <v>8</v>
      </c>
      <c r="Q77" t="s">
        <v>25</v>
      </c>
      <c r="R77" t="s">
        <v>59</v>
      </c>
      <c r="S77" s="3">
        <v>4.72</v>
      </c>
      <c r="T77" t="s">
        <v>12</v>
      </c>
      <c r="U77" s="3">
        <v>409.18</v>
      </c>
      <c r="V77" t="s">
        <v>63</v>
      </c>
      <c r="W77" t="s">
        <v>20</v>
      </c>
      <c r="X77" t="s">
        <v>8</v>
      </c>
      <c r="Y77" t="s">
        <v>24</v>
      </c>
      <c r="Z77" t="s">
        <v>14</v>
      </c>
      <c r="AA77" t="s">
        <v>245</v>
      </c>
      <c r="AB77" t="s">
        <v>8</v>
      </c>
      <c r="AC77" t="s">
        <v>8</v>
      </c>
      <c r="AD77" t="s">
        <v>8</v>
      </c>
      <c r="AE77" s="2">
        <v>45736</v>
      </c>
      <c r="AF77" s="2"/>
      <c r="AG77" t="s">
        <v>8</v>
      </c>
    </row>
    <row r="78" spans="1:33" outlineLevel="2" x14ac:dyDescent="0.25">
      <c r="A78" t="s">
        <v>34</v>
      </c>
      <c r="B78" t="s">
        <v>1</v>
      </c>
      <c r="C78" t="s">
        <v>2</v>
      </c>
      <c r="D78" t="s">
        <v>3</v>
      </c>
      <c r="E78" t="s">
        <v>4</v>
      </c>
      <c r="F78" t="s">
        <v>44</v>
      </c>
      <c r="G78" s="2">
        <v>45736</v>
      </c>
      <c r="H78" t="s">
        <v>246</v>
      </c>
      <c r="I78" t="s">
        <v>61</v>
      </c>
      <c r="J78" s="2">
        <v>45736</v>
      </c>
      <c r="K78" s="2">
        <v>45737</v>
      </c>
      <c r="L78" t="s">
        <v>24</v>
      </c>
      <c r="M78" t="s">
        <v>247</v>
      </c>
      <c r="N78" t="s">
        <v>9</v>
      </c>
      <c r="O78" t="s">
        <v>10</v>
      </c>
      <c r="P78" t="s">
        <v>8</v>
      </c>
      <c r="Q78" t="s">
        <v>25</v>
      </c>
      <c r="R78" t="s">
        <v>59</v>
      </c>
      <c r="S78" s="3">
        <v>4.72</v>
      </c>
      <c r="T78" t="s">
        <v>12</v>
      </c>
      <c r="U78" s="3">
        <v>409.18</v>
      </c>
      <c r="V78" t="s">
        <v>63</v>
      </c>
      <c r="W78" t="s">
        <v>20</v>
      </c>
      <c r="X78" t="s">
        <v>8</v>
      </c>
      <c r="Y78" t="s">
        <v>24</v>
      </c>
      <c r="Z78" t="s">
        <v>14</v>
      </c>
      <c r="AA78" t="s">
        <v>245</v>
      </c>
      <c r="AB78" t="s">
        <v>8</v>
      </c>
      <c r="AC78" t="s">
        <v>8</v>
      </c>
      <c r="AD78" t="s">
        <v>8</v>
      </c>
      <c r="AE78" s="2">
        <v>45736</v>
      </c>
      <c r="AF78" s="2"/>
      <c r="AG78" t="s">
        <v>8</v>
      </c>
    </row>
    <row r="79" spans="1:33" outlineLevel="2" x14ac:dyDescent="0.25">
      <c r="A79" t="s">
        <v>34</v>
      </c>
      <c r="B79" t="s">
        <v>1</v>
      </c>
      <c r="C79" t="s">
        <v>2</v>
      </c>
      <c r="D79" t="s">
        <v>3</v>
      </c>
      <c r="E79" t="s">
        <v>4</v>
      </c>
      <c r="F79" t="s">
        <v>44</v>
      </c>
      <c r="G79" s="2">
        <v>45736</v>
      </c>
      <c r="H79" t="s">
        <v>248</v>
      </c>
      <c r="I79" t="s">
        <v>61</v>
      </c>
      <c r="J79" s="2">
        <v>45736</v>
      </c>
      <c r="K79" s="2">
        <v>45737</v>
      </c>
      <c r="L79" t="s">
        <v>24</v>
      </c>
      <c r="M79" t="s">
        <v>249</v>
      </c>
      <c r="N79" t="s">
        <v>9</v>
      </c>
      <c r="O79" t="s">
        <v>10</v>
      </c>
      <c r="P79" t="s">
        <v>8</v>
      </c>
      <c r="Q79" t="s">
        <v>25</v>
      </c>
      <c r="R79" t="s">
        <v>59</v>
      </c>
      <c r="S79" s="3">
        <v>4.72</v>
      </c>
      <c r="T79" t="s">
        <v>12</v>
      </c>
      <c r="U79" s="3">
        <v>409.18</v>
      </c>
      <c r="V79" t="s">
        <v>63</v>
      </c>
      <c r="W79" t="s">
        <v>20</v>
      </c>
      <c r="X79" t="s">
        <v>8</v>
      </c>
      <c r="Y79" t="s">
        <v>24</v>
      </c>
      <c r="Z79" t="s">
        <v>14</v>
      </c>
      <c r="AA79" t="s">
        <v>245</v>
      </c>
      <c r="AB79" t="s">
        <v>8</v>
      </c>
      <c r="AC79" t="s">
        <v>8</v>
      </c>
      <c r="AD79" t="s">
        <v>8</v>
      </c>
      <c r="AE79" s="2">
        <v>45736</v>
      </c>
      <c r="AF79" s="2"/>
      <c r="AG79" t="s">
        <v>8</v>
      </c>
    </row>
    <row r="80" spans="1:33" outlineLevel="2" x14ac:dyDescent="0.25">
      <c r="A80" t="s">
        <v>34</v>
      </c>
      <c r="B80" t="s">
        <v>1</v>
      </c>
      <c r="C80" t="s">
        <v>2</v>
      </c>
      <c r="D80" t="s">
        <v>3</v>
      </c>
      <c r="E80" t="s">
        <v>4</v>
      </c>
      <c r="F80" t="s">
        <v>44</v>
      </c>
      <c r="G80" s="2">
        <v>45736</v>
      </c>
      <c r="H80" t="s">
        <v>250</v>
      </c>
      <c r="I80" t="s">
        <v>61</v>
      </c>
      <c r="J80" s="2">
        <v>45736</v>
      </c>
      <c r="K80" s="2">
        <v>45737</v>
      </c>
      <c r="L80" t="s">
        <v>24</v>
      </c>
      <c r="M80" t="s">
        <v>251</v>
      </c>
      <c r="N80" t="s">
        <v>9</v>
      </c>
      <c r="O80" t="s">
        <v>10</v>
      </c>
      <c r="P80" t="s">
        <v>8</v>
      </c>
      <c r="Q80" t="s">
        <v>25</v>
      </c>
      <c r="R80" t="s">
        <v>59</v>
      </c>
      <c r="S80" s="3">
        <v>4.72</v>
      </c>
      <c r="T80" t="s">
        <v>12</v>
      </c>
      <c r="U80" s="3">
        <v>409.18</v>
      </c>
      <c r="V80" t="s">
        <v>63</v>
      </c>
      <c r="W80" t="s">
        <v>20</v>
      </c>
      <c r="X80" t="s">
        <v>8</v>
      </c>
      <c r="Y80" t="s">
        <v>24</v>
      </c>
      <c r="Z80" t="s">
        <v>14</v>
      </c>
      <c r="AA80" t="s">
        <v>245</v>
      </c>
      <c r="AB80" t="s">
        <v>8</v>
      </c>
      <c r="AC80" t="s">
        <v>8</v>
      </c>
      <c r="AD80" t="s">
        <v>8</v>
      </c>
      <c r="AE80" s="2">
        <v>45736</v>
      </c>
      <c r="AF80" s="2"/>
      <c r="AG80" t="s">
        <v>8</v>
      </c>
    </row>
    <row r="81" spans="1:33" outlineLevel="2" x14ac:dyDescent="0.25">
      <c r="A81" t="s">
        <v>34</v>
      </c>
      <c r="B81" t="s">
        <v>1</v>
      </c>
      <c r="C81" t="s">
        <v>2</v>
      </c>
      <c r="D81" t="s">
        <v>3</v>
      </c>
      <c r="E81" t="s">
        <v>4</v>
      </c>
      <c r="F81" t="s">
        <v>44</v>
      </c>
      <c r="G81" s="2">
        <v>45736</v>
      </c>
      <c r="H81" t="s">
        <v>252</v>
      </c>
      <c r="I81" t="s">
        <v>61</v>
      </c>
      <c r="J81" s="2">
        <v>45736</v>
      </c>
      <c r="K81" s="2">
        <v>45737</v>
      </c>
      <c r="L81" t="s">
        <v>24</v>
      </c>
      <c r="M81" t="s">
        <v>253</v>
      </c>
      <c r="N81" t="s">
        <v>9</v>
      </c>
      <c r="O81" t="s">
        <v>10</v>
      </c>
      <c r="P81" t="s">
        <v>8</v>
      </c>
      <c r="Q81" t="s">
        <v>25</v>
      </c>
      <c r="R81" t="s">
        <v>59</v>
      </c>
      <c r="S81" s="3">
        <v>81.42</v>
      </c>
      <c r="T81" t="s">
        <v>12</v>
      </c>
      <c r="U81" s="3">
        <v>7058.4</v>
      </c>
      <c r="V81" t="s">
        <v>63</v>
      </c>
      <c r="W81" t="s">
        <v>20</v>
      </c>
      <c r="X81" t="s">
        <v>8</v>
      </c>
      <c r="Y81" t="s">
        <v>24</v>
      </c>
      <c r="Z81" t="s">
        <v>14</v>
      </c>
      <c r="AA81" t="s">
        <v>254</v>
      </c>
      <c r="AB81" t="s">
        <v>8</v>
      </c>
      <c r="AC81" t="s">
        <v>8</v>
      </c>
      <c r="AD81" t="s">
        <v>8</v>
      </c>
      <c r="AE81" s="2">
        <v>45736</v>
      </c>
      <c r="AF81" s="2"/>
      <c r="AG81" t="s">
        <v>8</v>
      </c>
    </row>
    <row r="82" spans="1:33" outlineLevel="2" x14ac:dyDescent="0.25">
      <c r="A82" t="s">
        <v>34</v>
      </c>
      <c r="B82" t="s">
        <v>1</v>
      </c>
      <c r="C82" t="s">
        <v>2</v>
      </c>
      <c r="D82" t="s">
        <v>3</v>
      </c>
      <c r="E82" t="s">
        <v>4</v>
      </c>
      <c r="F82" t="s">
        <v>44</v>
      </c>
      <c r="G82" s="2">
        <v>45736</v>
      </c>
      <c r="H82" t="s">
        <v>255</v>
      </c>
      <c r="I82" t="s">
        <v>61</v>
      </c>
      <c r="J82" s="2">
        <v>45736</v>
      </c>
      <c r="K82" s="2">
        <v>45737</v>
      </c>
      <c r="L82" t="s">
        <v>24</v>
      </c>
      <c r="M82" t="s">
        <v>256</v>
      </c>
      <c r="N82" t="s">
        <v>9</v>
      </c>
      <c r="O82" t="s">
        <v>10</v>
      </c>
      <c r="P82" t="s">
        <v>8</v>
      </c>
      <c r="Q82" t="s">
        <v>25</v>
      </c>
      <c r="R82" t="s">
        <v>59</v>
      </c>
      <c r="S82" s="3">
        <v>13.33</v>
      </c>
      <c r="T82" t="s">
        <v>12</v>
      </c>
      <c r="U82" s="3">
        <v>1155.5899999999999</v>
      </c>
      <c r="V82" t="s">
        <v>63</v>
      </c>
      <c r="W82" t="s">
        <v>20</v>
      </c>
      <c r="X82" t="s">
        <v>8</v>
      </c>
      <c r="Y82" t="s">
        <v>24</v>
      </c>
      <c r="Z82" t="s">
        <v>14</v>
      </c>
      <c r="AA82" t="s">
        <v>257</v>
      </c>
      <c r="AB82" t="s">
        <v>8</v>
      </c>
      <c r="AC82" t="s">
        <v>8</v>
      </c>
      <c r="AD82" t="s">
        <v>8</v>
      </c>
      <c r="AE82" s="2">
        <v>45736</v>
      </c>
      <c r="AF82" s="2"/>
      <c r="AG82" t="s">
        <v>8</v>
      </c>
    </row>
    <row r="83" spans="1:33" outlineLevel="2" x14ac:dyDescent="0.25">
      <c r="A83" t="s">
        <v>34</v>
      </c>
      <c r="B83" t="s">
        <v>1</v>
      </c>
      <c r="C83" t="s">
        <v>2</v>
      </c>
      <c r="D83" t="s">
        <v>3</v>
      </c>
      <c r="E83" t="s">
        <v>4</v>
      </c>
      <c r="F83" t="s">
        <v>44</v>
      </c>
      <c r="G83" s="2">
        <v>45736</v>
      </c>
      <c r="H83" t="s">
        <v>258</v>
      </c>
      <c r="I83" t="s">
        <v>61</v>
      </c>
      <c r="J83" s="2">
        <v>45736</v>
      </c>
      <c r="K83" s="2">
        <v>45737</v>
      </c>
      <c r="L83" t="s">
        <v>24</v>
      </c>
      <c r="M83" t="s">
        <v>259</v>
      </c>
      <c r="N83" t="s">
        <v>9</v>
      </c>
      <c r="O83" t="s">
        <v>10</v>
      </c>
      <c r="P83" t="s">
        <v>8</v>
      </c>
      <c r="Q83" t="s">
        <v>25</v>
      </c>
      <c r="R83" t="s">
        <v>59</v>
      </c>
      <c r="S83" s="3">
        <v>74.41</v>
      </c>
      <c r="T83" t="s">
        <v>12</v>
      </c>
      <c r="U83" s="3">
        <v>6450.7</v>
      </c>
      <c r="V83" t="s">
        <v>63</v>
      </c>
      <c r="W83" t="s">
        <v>20</v>
      </c>
      <c r="X83" t="s">
        <v>8</v>
      </c>
      <c r="Y83" t="s">
        <v>24</v>
      </c>
      <c r="Z83" t="s">
        <v>14</v>
      </c>
      <c r="AA83" t="s">
        <v>260</v>
      </c>
      <c r="AB83" t="s">
        <v>8</v>
      </c>
      <c r="AC83" t="s">
        <v>8</v>
      </c>
      <c r="AD83" t="s">
        <v>8</v>
      </c>
      <c r="AE83" s="2">
        <v>45736</v>
      </c>
      <c r="AF83" s="2"/>
      <c r="AG83" t="s">
        <v>8</v>
      </c>
    </row>
    <row r="84" spans="1:33" outlineLevel="2" x14ac:dyDescent="0.25">
      <c r="A84" t="s">
        <v>34</v>
      </c>
      <c r="B84" t="s">
        <v>1</v>
      </c>
      <c r="C84" t="s">
        <v>2</v>
      </c>
      <c r="D84" t="s">
        <v>3</v>
      </c>
      <c r="E84" t="s">
        <v>4</v>
      </c>
      <c r="F84" t="s">
        <v>44</v>
      </c>
      <c r="G84" s="2">
        <v>45736</v>
      </c>
      <c r="H84" t="s">
        <v>261</v>
      </c>
      <c r="I84" t="s">
        <v>61</v>
      </c>
      <c r="J84" s="2">
        <v>45736</v>
      </c>
      <c r="K84" s="2">
        <v>45737</v>
      </c>
      <c r="L84" t="s">
        <v>24</v>
      </c>
      <c r="M84" t="s">
        <v>262</v>
      </c>
      <c r="N84" t="s">
        <v>9</v>
      </c>
      <c r="O84" t="s">
        <v>10</v>
      </c>
      <c r="P84" t="s">
        <v>8</v>
      </c>
      <c r="Q84" t="s">
        <v>25</v>
      </c>
      <c r="R84" t="s">
        <v>59</v>
      </c>
      <c r="S84" s="3">
        <v>24.78</v>
      </c>
      <c r="T84" t="s">
        <v>12</v>
      </c>
      <c r="U84" s="3">
        <v>2148.21</v>
      </c>
      <c r="V84" t="s">
        <v>63</v>
      </c>
      <c r="W84" t="s">
        <v>20</v>
      </c>
      <c r="X84" t="s">
        <v>8</v>
      </c>
      <c r="Y84" t="s">
        <v>24</v>
      </c>
      <c r="Z84" t="s">
        <v>14</v>
      </c>
      <c r="AA84" t="s">
        <v>245</v>
      </c>
      <c r="AB84" t="s">
        <v>8</v>
      </c>
      <c r="AC84" t="s">
        <v>8</v>
      </c>
      <c r="AD84" t="s">
        <v>8</v>
      </c>
      <c r="AE84" s="2">
        <v>45736</v>
      </c>
      <c r="AF84" s="2"/>
      <c r="AG84" t="s">
        <v>8</v>
      </c>
    </row>
    <row r="85" spans="1:33" outlineLevel="2" x14ac:dyDescent="0.25">
      <c r="A85" t="s">
        <v>34</v>
      </c>
      <c r="B85" t="s">
        <v>1</v>
      </c>
      <c r="C85" t="s">
        <v>2</v>
      </c>
      <c r="D85" t="s">
        <v>3</v>
      </c>
      <c r="E85" t="s">
        <v>4</v>
      </c>
      <c r="F85" t="s">
        <v>44</v>
      </c>
      <c r="G85" s="2">
        <v>45736</v>
      </c>
      <c r="H85" t="s">
        <v>263</v>
      </c>
      <c r="I85" t="s">
        <v>61</v>
      </c>
      <c r="J85" s="2">
        <v>45736</v>
      </c>
      <c r="K85" s="2">
        <v>45737</v>
      </c>
      <c r="L85" t="s">
        <v>24</v>
      </c>
      <c r="M85" t="s">
        <v>264</v>
      </c>
      <c r="N85" t="s">
        <v>9</v>
      </c>
      <c r="O85" t="s">
        <v>10</v>
      </c>
      <c r="P85" t="s">
        <v>8</v>
      </c>
      <c r="Q85" t="s">
        <v>25</v>
      </c>
      <c r="R85" t="s">
        <v>59</v>
      </c>
      <c r="S85" s="3">
        <v>8.25</v>
      </c>
      <c r="T85" t="s">
        <v>12</v>
      </c>
      <c r="U85" s="3">
        <v>715.2</v>
      </c>
      <c r="V85" t="s">
        <v>63</v>
      </c>
      <c r="W85" t="s">
        <v>20</v>
      </c>
      <c r="X85" t="s">
        <v>8</v>
      </c>
      <c r="Y85" t="s">
        <v>24</v>
      </c>
      <c r="Z85" t="s">
        <v>14</v>
      </c>
      <c r="AA85" t="s">
        <v>265</v>
      </c>
      <c r="AB85" t="s">
        <v>8</v>
      </c>
      <c r="AC85" t="s">
        <v>8</v>
      </c>
      <c r="AD85" t="s">
        <v>8</v>
      </c>
      <c r="AE85" s="2">
        <v>45736</v>
      </c>
      <c r="AF85" s="2"/>
      <c r="AG85" t="s">
        <v>8</v>
      </c>
    </row>
    <row r="86" spans="1:33" outlineLevel="2" x14ac:dyDescent="0.25">
      <c r="A86" t="s">
        <v>34</v>
      </c>
      <c r="B86" t="s">
        <v>1</v>
      </c>
      <c r="C86" t="s">
        <v>2</v>
      </c>
      <c r="D86" t="s">
        <v>3</v>
      </c>
      <c r="E86" t="s">
        <v>4</v>
      </c>
      <c r="F86" t="s">
        <v>44</v>
      </c>
      <c r="G86" s="2">
        <v>45736</v>
      </c>
      <c r="H86" t="s">
        <v>266</v>
      </c>
      <c r="I86" t="s">
        <v>61</v>
      </c>
      <c r="J86" s="2">
        <v>45736</v>
      </c>
      <c r="K86" s="2">
        <v>45737</v>
      </c>
      <c r="L86" t="s">
        <v>24</v>
      </c>
      <c r="M86" t="s">
        <v>267</v>
      </c>
      <c r="N86" t="s">
        <v>9</v>
      </c>
      <c r="O86" t="s">
        <v>10</v>
      </c>
      <c r="P86" t="s">
        <v>8</v>
      </c>
      <c r="Q86" t="s">
        <v>25</v>
      </c>
      <c r="R86" t="s">
        <v>59</v>
      </c>
      <c r="S86" s="3">
        <v>31.53</v>
      </c>
      <c r="T86" t="s">
        <v>12</v>
      </c>
      <c r="U86" s="3">
        <v>2733.38</v>
      </c>
      <c r="V86" t="s">
        <v>63</v>
      </c>
      <c r="W86" t="s">
        <v>20</v>
      </c>
      <c r="X86" t="s">
        <v>8</v>
      </c>
      <c r="Y86" t="s">
        <v>24</v>
      </c>
      <c r="Z86" t="s">
        <v>14</v>
      </c>
      <c r="AA86" t="s">
        <v>245</v>
      </c>
      <c r="AB86" t="s">
        <v>8</v>
      </c>
      <c r="AC86" t="s">
        <v>8</v>
      </c>
      <c r="AD86" t="s">
        <v>8</v>
      </c>
      <c r="AE86" s="2">
        <v>45736</v>
      </c>
      <c r="AF86" s="2"/>
      <c r="AG86" t="s">
        <v>8</v>
      </c>
    </row>
    <row r="87" spans="1:33" outlineLevel="2" x14ac:dyDescent="0.25">
      <c r="A87" t="s">
        <v>34</v>
      </c>
      <c r="B87" t="s">
        <v>1</v>
      </c>
      <c r="C87" t="s">
        <v>2</v>
      </c>
      <c r="D87" t="s">
        <v>3</v>
      </c>
      <c r="E87" t="s">
        <v>4</v>
      </c>
      <c r="F87" t="s">
        <v>44</v>
      </c>
      <c r="G87" s="2">
        <v>45736</v>
      </c>
      <c r="H87" t="s">
        <v>268</v>
      </c>
      <c r="I87" t="s">
        <v>61</v>
      </c>
      <c r="J87" s="2">
        <v>45736</v>
      </c>
      <c r="K87" s="2">
        <v>45737</v>
      </c>
      <c r="L87" t="s">
        <v>24</v>
      </c>
      <c r="M87" t="s">
        <v>269</v>
      </c>
      <c r="N87" t="s">
        <v>9</v>
      </c>
      <c r="O87" t="s">
        <v>10</v>
      </c>
      <c r="P87" t="s">
        <v>8</v>
      </c>
      <c r="Q87" t="s">
        <v>25</v>
      </c>
      <c r="R87" t="s">
        <v>59</v>
      </c>
      <c r="S87" s="3">
        <v>4.72</v>
      </c>
      <c r="T87" t="s">
        <v>12</v>
      </c>
      <c r="U87" s="3">
        <v>409.18</v>
      </c>
      <c r="V87" t="s">
        <v>63</v>
      </c>
      <c r="W87" t="s">
        <v>20</v>
      </c>
      <c r="X87" t="s">
        <v>8</v>
      </c>
      <c r="Y87" t="s">
        <v>24</v>
      </c>
      <c r="Z87" t="s">
        <v>14</v>
      </c>
      <c r="AA87" t="s">
        <v>245</v>
      </c>
      <c r="AB87" t="s">
        <v>8</v>
      </c>
      <c r="AC87" t="s">
        <v>8</v>
      </c>
      <c r="AD87" t="s">
        <v>8</v>
      </c>
      <c r="AE87" s="2">
        <v>45736</v>
      </c>
      <c r="AF87" s="2"/>
      <c r="AG87" t="s">
        <v>8</v>
      </c>
    </row>
    <row r="88" spans="1:33" outlineLevel="2" x14ac:dyDescent="0.25">
      <c r="A88" t="s">
        <v>34</v>
      </c>
      <c r="B88" t="s">
        <v>1</v>
      </c>
      <c r="C88" t="s">
        <v>2</v>
      </c>
      <c r="D88" t="s">
        <v>3</v>
      </c>
      <c r="E88" t="s">
        <v>4</v>
      </c>
      <c r="F88" t="s">
        <v>35</v>
      </c>
      <c r="G88" s="2">
        <v>45889</v>
      </c>
      <c r="H88" t="s">
        <v>270</v>
      </c>
      <c r="I88" t="s">
        <v>61</v>
      </c>
      <c r="J88" s="2">
        <v>45889</v>
      </c>
      <c r="K88" s="2">
        <v>45891</v>
      </c>
      <c r="L88" t="s">
        <v>24</v>
      </c>
      <c r="M88" t="s">
        <v>271</v>
      </c>
      <c r="N88" t="s">
        <v>9</v>
      </c>
      <c r="O88" t="s">
        <v>10</v>
      </c>
      <c r="P88" t="s">
        <v>8</v>
      </c>
      <c r="Q88" t="s">
        <v>25</v>
      </c>
      <c r="R88" t="s">
        <v>59</v>
      </c>
      <c r="S88" s="3">
        <v>221.43</v>
      </c>
      <c r="T88" t="s">
        <v>12</v>
      </c>
      <c r="U88" s="3">
        <v>19049.650000000001</v>
      </c>
      <c r="V88" t="s">
        <v>63</v>
      </c>
      <c r="W88" t="s">
        <v>27</v>
      </c>
      <c r="X88" t="s">
        <v>8</v>
      </c>
      <c r="Y88" t="s">
        <v>24</v>
      </c>
      <c r="Z88" t="s">
        <v>14</v>
      </c>
      <c r="AA88" t="s">
        <v>272</v>
      </c>
      <c r="AB88" t="s">
        <v>8</v>
      </c>
      <c r="AC88" t="s">
        <v>8</v>
      </c>
      <c r="AD88" t="s">
        <v>8</v>
      </c>
      <c r="AE88" s="2">
        <v>45889</v>
      </c>
      <c r="AF88" s="2"/>
      <c r="AG88" t="s">
        <v>8</v>
      </c>
    </row>
    <row r="89" spans="1:33" outlineLevel="2" x14ac:dyDescent="0.25">
      <c r="A89" t="s">
        <v>34</v>
      </c>
      <c r="B89" t="s">
        <v>1</v>
      </c>
      <c r="C89" t="s">
        <v>2</v>
      </c>
      <c r="D89" t="s">
        <v>3</v>
      </c>
      <c r="E89" t="s">
        <v>4</v>
      </c>
      <c r="F89" t="s">
        <v>35</v>
      </c>
      <c r="G89" s="2">
        <v>45889</v>
      </c>
      <c r="H89" t="s">
        <v>273</v>
      </c>
      <c r="I89" t="s">
        <v>61</v>
      </c>
      <c r="J89" s="2">
        <v>45889</v>
      </c>
      <c r="K89" s="2">
        <v>45891</v>
      </c>
      <c r="L89" t="s">
        <v>24</v>
      </c>
      <c r="M89" t="s">
        <v>274</v>
      </c>
      <c r="N89" t="s">
        <v>9</v>
      </c>
      <c r="O89" t="s">
        <v>10</v>
      </c>
      <c r="P89" t="s">
        <v>8</v>
      </c>
      <c r="Q89" t="s">
        <v>25</v>
      </c>
      <c r="R89" t="s">
        <v>59</v>
      </c>
      <c r="S89" s="3">
        <v>45.89</v>
      </c>
      <c r="T89" t="s">
        <v>12</v>
      </c>
      <c r="U89" s="3">
        <v>3947.92</v>
      </c>
      <c r="V89" t="s">
        <v>63</v>
      </c>
      <c r="W89" t="s">
        <v>27</v>
      </c>
      <c r="X89" t="s">
        <v>8</v>
      </c>
      <c r="Y89" t="s">
        <v>24</v>
      </c>
      <c r="Z89" t="s">
        <v>14</v>
      </c>
      <c r="AA89" t="s">
        <v>275</v>
      </c>
      <c r="AB89" t="s">
        <v>8</v>
      </c>
      <c r="AC89" t="s">
        <v>8</v>
      </c>
      <c r="AD89" t="s">
        <v>8</v>
      </c>
      <c r="AE89" s="2">
        <v>45889</v>
      </c>
      <c r="AF89" s="2"/>
      <c r="AG89" t="s">
        <v>8</v>
      </c>
    </row>
    <row r="90" spans="1:33" outlineLevel="2" x14ac:dyDescent="0.25">
      <c r="A90" t="s">
        <v>34</v>
      </c>
      <c r="B90" t="s">
        <v>1</v>
      </c>
      <c r="C90" t="s">
        <v>2</v>
      </c>
      <c r="D90" t="s">
        <v>3</v>
      </c>
      <c r="E90" t="s">
        <v>4</v>
      </c>
      <c r="F90" t="s">
        <v>35</v>
      </c>
      <c r="G90" s="2">
        <v>45889</v>
      </c>
      <c r="H90" t="s">
        <v>276</v>
      </c>
      <c r="I90" t="s">
        <v>61</v>
      </c>
      <c r="J90" s="2">
        <v>45889</v>
      </c>
      <c r="K90" s="2">
        <v>45891</v>
      </c>
      <c r="L90" t="s">
        <v>24</v>
      </c>
      <c r="M90" t="s">
        <v>277</v>
      </c>
      <c r="N90" t="s">
        <v>9</v>
      </c>
      <c r="O90" t="s">
        <v>10</v>
      </c>
      <c r="P90" t="s">
        <v>8</v>
      </c>
      <c r="Q90" t="s">
        <v>25</v>
      </c>
      <c r="R90" t="s">
        <v>59</v>
      </c>
      <c r="S90" s="3">
        <v>31.26</v>
      </c>
      <c r="T90" t="s">
        <v>12</v>
      </c>
      <c r="U90" s="3">
        <v>2689.3</v>
      </c>
      <c r="V90" t="s">
        <v>63</v>
      </c>
      <c r="W90" t="s">
        <v>27</v>
      </c>
      <c r="X90" t="s">
        <v>8</v>
      </c>
      <c r="Y90" t="s">
        <v>24</v>
      </c>
      <c r="Z90" t="s">
        <v>14</v>
      </c>
      <c r="AA90" t="s">
        <v>278</v>
      </c>
      <c r="AB90" t="s">
        <v>8</v>
      </c>
      <c r="AC90" t="s">
        <v>8</v>
      </c>
      <c r="AD90" t="s">
        <v>8</v>
      </c>
      <c r="AE90" s="2">
        <v>45889</v>
      </c>
      <c r="AF90" s="2"/>
      <c r="AG90" t="s">
        <v>8</v>
      </c>
    </row>
    <row r="91" spans="1:33" outlineLevel="2" x14ac:dyDescent="0.25">
      <c r="A91" t="s">
        <v>34</v>
      </c>
      <c r="B91" t="s">
        <v>1</v>
      </c>
      <c r="C91" t="s">
        <v>2</v>
      </c>
      <c r="D91" t="s">
        <v>3</v>
      </c>
      <c r="E91" t="s">
        <v>4</v>
      </c>
      <c r="F91" t="s">
        <v>279</v>
      </c>
      <c r="G91" s="2">
        <v>45999</v>
      </c>
      <c r="H91" t="s">
        <v>280</v>
      </c>
      <c r="I91" t="s">
        <v>61</v>
      </c>
      <c r="J91" s="2">
        <v>45999</v>
      </c>
      <c r="K91" s="2">
        <v>46000</v>
      </c>
      <c r="L91" t="s">
        <v>24</v>
      </c>
      <c r="M91" t="s">
        <v>281</v>
      </c>
      <c r="N91" t="s">
        <v>9</v>
      </c>
      <c r="O91" t="s">
        <v>10</v>
      </c>
      <c r="P91" t="s">
        <v>8</v>
      </c>
      <c r="Q91" t="s">
        <v>25</v>
      </c>
      <c r="R91" t="s">
        <v>59</v>
      </c>
      <c r="S91" s="3">
        <v>1011.7</v>
      </c>
      <c r="T91" t="s">
        <v>12</v>
      </c>
      <c r="U91" s="3">
        <v>89737.93</v>
      </c>
      <c r="V91" t="s">
        <v>63</v>
      </c>
      <c r="W91" t="s">
        <v>27</v>
      </c>
      <c r="X91" t="s">
        <v>8</v>
      </c>
      <c r="Y91" t="s">
        <v>282</v>
      </c>
      <c r="Z91" t="s">
        <v>14</v>
      </c>
      <c r="AA91" t="s">
        <v>283</v>
      </c>
      <c r="AB91" t="s">
        <v>8</v>
      </c>
      <c r="AC91" t="s">
        <v>8</v>
      </c>
      <c r="AD91" t="s">
        <v>8</v>
      </c>
      <c r="AE91" s="2">
        <v>45999</v>
      </c>
      <c r="AF91" s="2"/>
      <c r="AG91" t="s">
        <v>8</v>
      </c>
    </row>
    <row r="92" spans="1:33" outlineLevel="2" x14ac:dyDescent="0.25">
      <c r="A92" t="s">
        <v>34</v>
      </c>
      <c r="B92" t="s">
        <v>1</v>
      </c>
      <c r="C92" t="s">
        <v>2</v>
      </c>
      <c r="D92" t="s">
        <v>3</v>
      </c>
      <c r="E92" t="s">
        <v>4</v>
      </c>
      <c r="F92" t="s">
        <v>279</v>
      </c>
      <c r="G92" s="2">
        <v>45999</v>
      </c>
      <c r="H92" t="s">
        <v>284</v>
      </c>
      <c r="I92" t="s">
        <v>61</v>
      </c>
      <c r="J92" s="2">
        <v>45999</v>
      </c>
      <c r="K92" s="2">
        <v>46000</v>
      </c>
      <c r="L92" t="s">
        <v>24</v>
      </c>
      <c r="M92" t="s">
        <v>285</v>
      </c>
      <c r="N92" t="s">
        <v>9</v>
      </c>
      <c r="O92" t="s">
        <v>10</v>
      </c>
      <c r="P92" t="s">
        <v>8</v>
      </c>
      <c r="Q92" t="s">
        <v>25</v>
      </c>
      <c r="R92" t="s">
        <v>59</v>
      </c>
      <c r="S92" s="3">
        <v>185.63</v>
      </c>
      <c r="T92" t="s">
        <v>12</v>
      </c>
      <c r="U92" s="3">
        <v>16465.41</v>
      </c>
      <c r="V92" t="s">
        <v>63</v>
      </c>
      <c r="W92" t="s">
        <v>27</v>
      </c>
      <c r="X92" t="s">
        <v>8</v>
      </c>
      <c r="Y92" t="s">
        <v>286</v>
      </c>
      <c r="Z92" t="s">
        <v>14</v>
      </c>
      <c r="AA92" t="s">
        <v>287</v>
      </c>
      <c r="AB92" t="s">
        <v>8</v>
      </c>
      <c r="AC92" t="s">
        <v>8</v>
      </c>
      <c r="AD92" t="s">
        <v>8</v>
      </c>
      <c r="AE92" s="2">
        <v>45999</v>
      </c>
      <c r="AF92" s="2"/>
      <c r="AG92" t="s">
        <v>8</v>
      </c>
    </row>
    <row r="93" spans="1:33" outlineLevel="2" x14ac:dyDescent="0.25">
      <c r="A93" t="s">
        <v>34</v>
      </c>
      <c r="B93" t="s">
        <v>1</v>
      </c>
      <c r="C93" t="s">
        <v>2</v>
      </c>
      <c r="D93" t="s">
        <v>3</v>
      </c>
      <c r="E93" t="s">
        <v>4</v>
      </c>
      <c r="F93" t="s">
        <v>106</v>
      </c>
      <c r="G93" s="2">
        <v>45797</v>
      </c>
      <c r="H93" t="s">
        <v>288</v>
      </c>
      <c r="I93" t="s">
        <v>61</v>
      </c>
      <c r="J93" s="2">
        <v>45797</v>
      </c>
      <c r="K93" s="2">
        <v>45805</v>
      </c>
      <c r="L93" t="s">
        <v>24</v>
      </c>
      <c r="M93" t="s">
        <v>289</v>
      </c>
      <c r="N93" t="s">
        <v>9</v>
      </c>
      <c r="O93" t="s">
        <v>10</v>
      </c>
      <c r="P93" t="s">
        <v>8</v>
      </c>
      <c r="Q93" t="s">
        <v>25</v>
      </c>
      <c r="R93" t="s">
        <v>59</v>
      </c>
      <c r="S93" s="3">
        <v>9.44</v>
      </c>
      <c r="T93" t="s">
        <v>12</v>
      </c>
      <c r="U93" s="3">
        <v>811.69</v>
      </c>
      <c r="V93" t="s">
        <v>63</v>
      </c>
      <c r="W93" t="s">
        <v>27</v>
      </c>
      <c r="X93" t="s">
        <v>8</v>
      </c>
      <c r="Y93" t="s">
        <v>24</v>
      </c>
      <c r="Z93" t="s">
        <v>14</v>
      </c>
      <c r="AA93" t="s">
        <v>290</v>
      </c>
      <c r="AB93" t="s">
        <v>8</v>
      </c>
      <c r="AC93" t="s">
        <v>8</v>
      </c>
      <c r="AD93" t="s">
        <v>8</v>
      </c>
      <c r="AE93" s="2">
        <v>45797</v>
      </c>
      <c r="AF93" s="2"/>
      <c r="AG93" t="s">
        <v>8</v>
      </c>
    </row>
    <row r="94" spans="1:33" outlineLevel="2" x14ac:dyDescent="0.25">
      <c r="A94" t="s">
        <v>34</v>
      </c>
      <c r="B94" t="s">
        <v>1</v>
      </c>
      <c r="C94" t="s">
        <v>2</v>
      </c>
      <c r="D94" t="s">
        <v>3</v>
      </c>
      <c r="E94" t="s">
        <v>4</v>
      </c>
      <c r="F94" t="s">
        <v>106</v>
      </c>
      <c r="G94" s="2">
        <v>45797</v>
      </c>
      <c r="H94" t="s">
        <v>291</v>
      </c>
      <c r="I94" t="s">
        <v>61</v>
      </c>
      <c r="J94" s="2">
        <v>45797</v>
      </c>
      <c r="K94" s="2">
        <v>45805</v>
      </c>
      <c r="L94" t="s">
        <v>24</v>
      </c>
      <c r="M94" t="s">
        <v>292</v>
      </c>
      <c r="N94" t="s">
        <v>9</v>
      </c>
      <c r="O94" t="s">
        <v>10</v>
      </c>
      <c r="P94" t="s">
        <v>8</v>
      </c>
      <c r="Q94" t="s">
        <v>25</v>
      </c>
      <c r="R94" t="s">
        <v>59</v>
      </c>
      <c r="S94" s="3">
        <v>68.180000000000007</v>
      </c>
      <c r="T94" t="s">
        <v>12</v>
      </c>
      <c r="U94" s="3">
        <v>5862.37</v>
      </c>
      <c r="V94" t="s">
        <v>63</v>
      </c>
      <c r="W94" t="s">
        <v>27</v>
      </c>
      <c r="X94" t="s">
        <v>8</v>
      </c>
      <c r="Y94" t="s">
        <v>24</v>
      </c>
      <c r="Z94" t="s">
        <v>14</v>
      </c>
      <c r="AA94" t="s">
        <v>293</v>
      </c>
      <c r="AB94" t="s">
        <v>8</v>
      </c>
      <c r="AC94" t="s">
        <v>8</v>
      </c>
      <c r="AD94" t="s">
        <v>8</v>
      </c>
      <c r="AE94" s="2">
        <v>45797</v>
      </c>
      <c r="AF94" s="2"/>
      <c r="AG94" t="s">
        <v>8</v>
      </c>
    </row>
    <row r="95" spans="1:33" outlineLevel="2" x14ac:dyDescent="0.25">
      <c r="A95" t="s">
        <v>34</v>
      </c>
      <c r="B95" t="s">
        <v>1</v>
      </c>
      <c r="C95" t="s">
        <v>2</v>
      </c>
      <c r="D95" t="s">
        <v>3</v>
      </c>
      <c r="E95" t="s">
        <v>4</v>
      </c>
      <c r="F95" t="s">
        <v>18</v>
      </c>
      <c r="G95" s="2">
        <v>45750</v>
      </c>
      <c r="H95" t="s">
        <v>294</v>
      </c>
      <c r="I95" t="s">
        <v>61</v>
      </c>
      <c r="J95" s="2">
        <v>45750</v>
      </c>
      <c r="K95" s="2">
        <v>45752</v>
      </c>
      <c r="L95" t="s">
        <v>24</v>
      </c>
      <c r="M95" t="s">
        <v>295</v>
      </c>
      <c r="N95" t="s">
        <v>9</v>
      </c>
      <c r="O95" t="s">
        <v>10</v>
      </c>
      <c r="P95" t="s">
        <v>8</v>
      </c>
      <c r="Q95" t="s">
        <v>25</v>
      </c>
      <c r="R95" t="s">
        <v>59</v>
      </c>
      <c r="S95" s="3">
        <v>17.61</v>
      </c>
      <c r="T95" t="s">
        <v>12</v>
      </c>
      <c r="U95" s="3">
        <v>1530.69</v>
      </c>
      <c r="V95" t="s">
        <v>63</v>
      </c>
      <c r="W95" t="s">
        <v>8</v>
      </c>
      <c r="X95" t="s">
        <v>8</v>
      </c>
      <c r="Y95" t="s">
        <v>24</v>
      </c>
      <c r="Z95" t="s">
        <v>14</v>
      </c>
      <c r="AA95" t="s">
        <v>296</v>
      </c>
      <c r="AB95" t="s">
        <v>8</v>
      </c>
      <c r="AC95" t="s">
        <v>8</v>
      </c>
      <c r="AD95" t="s">
        <v>8</v>
      </c>
      <c r="AE95" s="2">
        <v>45750</v>
      </c>
      <c r="AF95" s="2"/>
      <c r="AG95" t="s">
        <v>8</v>
      </c>
    </row>
    <row r="96" spans="1:33" outlineLevel="2" x14ac:dyDescent="0.25">
      <c r="A96" t="s">
        <v>34</v>
      </c>
      <c r="B96" t="s">
        <v>1</v>
      </c>
      <c r="C96" t="s">
        <v>2</v>
      </c>
      <c r="D96" t="s">
        <v>3</v>
      </c>
      <c r="E96" t="s">
        <v>4</v>
      </c>
      <c r="F96" t="s">
        <v>18</v>
      </c>
      <c r="G96" s="2">
        <v>45750</v>
      </c>
      <c r="H96" t="s">
        <v>297</v>
      </c>
      <c r="I96" t="s">
        <v>61</v>
      </c>
      <c r="J96" s="2">
        <v>45750</v>
      </c>
      <c r="K96" s="2">
        <v>45752</v>
      </c>
      <c r="L96" t="s">
        <v>24</v>
      </c>
      <c r="M96" t="s">
        <v>298</v>
      </c>
      <c r="N96" t="s">
        <v>9</v>
      </c>
      <c r="O96" t="s">
        <v>10</v>
      </c>
      <c r="P96" t="s">
        <v>8</v>
      </c>
      <c r="Q96" t="s">
        <v>25</v>
      </c>
      <c r="R96" t="s">
        <v>59</v>
      </c>
      <c r="S96" s="3">
        <v>28.32</v>
      </c>
      <c r="T96" t="s">
        <v>12</v>
      </c>
      <c r="U96" s="3">
        <v>2461.63</v>
      </c>
      <c r="V96" t="s">
        <v>63</v>
      </c>
      <c r="W96" t="s">
        <v>8</v>
      </c>
      <c r="X96" t="s">
        <v>8</v>
      </c>
      <c r="Y96" t="s">
        <v>24</v>
      </c>
      <c r="Z96" t="s">
        <v>14</v>
      </c>
      <c r="AA96" t="s">
        <v>299</v>
      </c>
      <c r="AB96" t="s">
        <v>8</v>
      </c>
      <c r="AC96" t="s">
        <v>8</v>
      </c>
      <c r="AD96" t="s">
        <v>8</v>
      </c>
      <c r="AE96" s="2">
        <v>45750</v>
      </c>
      <c r="AF96" s="2"/>
      <c r="AG96" t="s">
        <v>8</v>
      </c>
    </row>
    <row r="97" spans="1:33" outlineLevel="2" x14ac:dyDescent="0.25">
      <c r="A97" t="s">
        <v>34</v>
      </c>
      <c r="B97" t="s">
        <v>1</v>
      </c>
      <c r="C97" t="s">
        <v>2</v>
      </c>
      <c r="D97" t="s">
        <v>3</v>
      </c>
      <c r="E97" t="s">
        <v>4</v>
      </c>
      <c r="F97" t="s">
        <v>18</v>
      </c>
      <c r="G97" s="2">
        <v>45750</v>
      </c>
      <c r="H97" t="s">
        <v>300</v>
      </c>
      <c r="I97" t="s">
        <v>61</v>
      </c>
      <c r="J97" s="2">
        <v>45750</v>
      </c>
      <c r="K97" s="2">
        <v>45752</v>
      </c>
      <c r="L97" t="s">
        <v>24</v>
      </c>
      <c r="M97" t="s">
        <v>301</v>
      </c>
      <c r="N97" t="s">
        <v>9</v>
      </c>
      <c r="O97" t="s">
        <v>10</v>
      </c>
      <c r="P97" t="s">
        <v>8</v>
      </c>
      <c r="Q97" t="s">
        <v>25</v>
      </c>
      <c r="R97" t="s">
        <v>59</v>
      </c>
      <c r="S97" s="3">
        <v>18.86</v>
      </c>
      <c r="T97" t="s">
        <v>12</v>
      </c>
      <c r="U97" s="3">
        <v>1639.35</v>
      </c>
      <c r="V97" t="s">
        <v>63</v>
      </c>
      <c r="W97" t="s">
        <v>8</v>
      </c>
      <c r="X97" t="s">
        <v>8</v>
      </c>
      <c r="Y97" t="s">
        <v>24</v>
      </c>
      <c r="Z97" t="s">
        <v>14</v>
      </c>
      <c r="AA97" t="s">
        <v>302</v>
      </c>
      <c r="AB97" t="s">
        <v>8</v>
      </c>
      <c r="AC97" t="s">
        <v>8</v>
      </c>
      <c r="AD97" t="s">
        <v>8</v>
      </c>
      <c r="AE97" s="2">
        <v>45750</v>
      </c>
      <c r="AF97" s="2"/>
      <c r="AG97" t="s">
        <v>8</v>
      </c>
    </row>
    <row r="98" spans="1:33" outlineLevel="2" x14ac:dyDescent="0.25">
      <c r="A98" t="s">
        <v>34</v>
      </c>
      <c r="B98" t="s">
        <v>1</v>
      </c>
      <c r="C98" t="s">
        <v>2</v>
      </c>
      <c r="D98" t="s">
        <v>3</v>
      </c>
      <c r="E98" t="s">
        <v>4</v>
      </c>
      <c r="F98" t="s">
        <v>18</v>
      </c>
      <c r="G98" s="2">
        <v>45750</v>
      </c>
      <c r="H98" t="s">
        <v>303</v>
      </c>
      <c r="I98" t="s">
        <v>61</v>
      </c>
      <c r="J98" s="2">
        <v>45750</v>
      </c>
      <c r="K98" s="2">
        <v>45752</v>
      </c>
      <c r="L98" t="s">
        <v>24</v>
      </c>
      <c r="M98" t="s">
        <v>304</v>
      </c>
      <c r="N98" t="s">
        <v>9</v>
      </c>
      <c r="O98" t="s">
        <v>10</v>
      </c>
      <c r="P98" t="s">
        <v>8</v>
      </c>
      <c r="Q98" t="s">
        <v>25</v>
      </c>
      <c r="R98" t="s">
        <v>59</v>
      </c>
      <c r="S98" s="3">
        <v>6.29</v>
      </c>
      <c r="T98" t="s">
        <v>12</v>
      </c>
      <c r="U98" s="3">
        <v>546.74</v>
      </c>
      <c r="V98" t="s">
        <v>63</v>
      </c>
      <c r="W98" t="s">
        <v>8</v>
      </c>
      <c r="X98" t="s">
        <v>8</v>
      </c>
      <c r="Y98" t="s">
        <v>24</v>
      </c>
      <c r="Z98" t="s">
        <v>14</v>
      </c>
      <c r="AA98" t="s">
        <v>305</v>
      </c>
      <c r="AB98" t="s">
        <v>8</v>
      </c>
      <c r="AC98" t="s">
        <v>8</v>
      </c>
      <c r="AD98" t="s">
        <v>8</v>
      </c>
      <c r="AE98" s="2">
        <v>45750</v>
      </c>
      <c r="AF98" s="2"/>
      <c r="AG98" t="s">
        <v>8</v>
      </c>
    </row>
    <row r="99" spans="1:33" outlineLevel="2" x14ac:dyDescent="0.25">
      <c r="A99" t="s">
        <v>34</v>
      </c>
      <c r="B99" t="s">
        <v>1</v>
      </c>
      <c r="C99" t="s">
        <v>2</v>
      </c>
      <c r="D99" t="s">
        <v>3</v>
      </c>
      <c r="E99" t="s">
        <v>4</v>
      </c>
      <c r="F99" t="s">
        <v>41</v>
      </c>
      <c r="G99" s="2">
        <v>45950</v>
      </c>
      <c r="H99" t="s">
        <v>306</v>
      </c>
      <c r="I99" t="s">
        <v>61</v>
      </c>
      <c r="J99" s="2">
        <v>45950</v>
      </c>
      <c r="K99" s="2">
        <v>45951</v>
      </c>
      <c r="L99" t="s">
        <v>24</v>
      </c>
      <c r="M99" t="s">
        <v>307</v>
      </c>
      <c r="N99" t="s">
        <v>9</v>
      </c>
      <c r="O99" t="s">
        <v>10</v>
      </c>
      <c r="P99" t="s">
        <v>8</v>
      </c>
      <c r="Q99" t="s">
        <v>25</v>
      </c>
      <c r="R99" t="s">
        <v>59</v>
      </c>
      <c r="S99" s="3">
        <v>118.91</v>
      </c>
      <c r="T99" t="s">
        <v>12</v>
      </c>
      <c r="U99" s="3">
        <v>10486.76</v>
      </c>
      <c r="V99" t="s">
        <v>63</v>
      </c>
      <c r="W99" t="s">
        <v>27</v>
      </c>
      <c r="X99" t="s">
        <v>8</v>
      </c>
      <c r="Y99" t="s">
        <v>308</v>
      </c>
      <c r="Z99" t="s">
        <v>14</v>
      </c>
      <c r="AA99" t="s">
        <v>309</v>
      </c>
      <c r="AB99" t="s">
        <v>8</v>
      </c>
      <c r="AC99" t="s">
        <v>8</v>
      </c>
      <c r="AD99" t="s">
        <v>8</v>
      </c>
      <c r="AE99" s="2">
        <v>45950</v>
      </c>
      <c r="AF99" s="2"/>
      <c r="AG99" t="s">
        <v>8</v>
      </c>
    </row>
    <row r="100" spans="1:33" outlineLevel="2" x14ac:dyDescent="0.25">
      <c r="A100" t="s">
        <v>34</v>
      </c>
      <c r="B100" t="s">
        <v>1</v>
      </c>
      <c r="C100" t="s">
        <v>2</v>
      </c>
      <c r="D100" t="s">
        <v>3</v>
      </c>
      <c r="E100" t="s">
        <v>4</v>
      </c>
      <c r="F100" t="s">
        <v>41</v>
      </c>
      <c r="G100" s="2">
        <v>45950</v>
      </c>
      <c r="H100" t="s">
        <v>310</v>
      </c>
      <c r="I100" t="s">
        <v>61</v>
      </c>
      <c r="J100" s="2">
        <v>45950</v>
      </c>
      <c r="K100" s="2">
        <v>45951</v>
      </c>
      <c r="L100" t="s">
        <v>24</v>
      </c>
      <c r="M100" t="s">
        <v>311</v>
      </c>
      <c r="N100" t="s">
        <v>9</v>
      </c>
      <c r="O100" t="s">
        <v>10</v>
      </c>
      <c r="P100" t="s">
        <v>8</v>
      </c>
      <c r="Q100" t="s">
        <v>25</v>
      </c>
      <c r="R100" t="s">
        <v>59</v>
      </c>
      <c r="S100" s="3">
        <v>28.32</v>
      </c>
      <c r="T100" t="s">
        <v>12</v>
      </c>
      <c r="U100" s="3">
        <v>2497.56</v>
      </c>
      <c r="V100" t="s">
        <v>63</v>
      </c>
      <c r="W100" t="s">
        <v>27</v>
      </c>
      <c r="X100" t="s">
        <v>8</v>
      </c>
      <c r="Y100" t="s">
        <v>312</v>
      </c>
      <c r="Z100" t="s">
        <v>14</v>
      </c>
      <c r="AA100" t="s">
        <v>313</v>
      </c>
      <c r="AB100" t="s">
        <v>8</v>
      </c>
      <c r="AC100" t="s">
        <v>8</v>
      </c>
      <c r="AD100" t="s">
        <v>8</v>
      </c>
      <c r="AE100" s="2">
        <v>45950</v>
      </c>
      <c r="AF100" s="2"/>
      <c r="AG100" t="s">
        <v>8</v>
      </c>
    </row>
    <row r="101" spans="1:33" outlineLevel="2" x14ac:dyDescent="0.25">
      <c r="A101" t="s">
        <v>34</v>
      </c>
      <c r="B101" t="s">
        <v>1</v>
      </c>
      <c r="C101" t="s">
        <v>2</v>
      </c>
      <c r="D101" t="s">
        <v>3</v>
      </c>
      <c r="E101" t="s">
        <v>4</v>
      </c>
      <c r="F101" t="s">
        <v>18</v>
      </c>
      <c r="G101" s="2">
        <v>45768</v>
      </c>
      <c r="H101" t="s">
        <v>314</v>
      </c>
      <c r="I101" t="s">
        <v>61</v>
      </c>
      <c r="J101" s="2">
        <v>45768</v>
      </c>
      <c r="K101" s="2">
        <v>45769</v>
      </c>
      <c r="L101" t="s">
        <v>24</v>
      </c>
      <c r="M101" t="s">
        <v>315</v>
      </c>
      <c r="N101" t="s">
        <v>9</v>
      </c>
      <c r="O101" t="s">
        <v>10</v>
      </c>
      <c r="P101" t="s">
        <v>8</v>
      </c>
      <c r="Q101" t="s">
        <v>25</v>
      </c>
      <c r="R101" t="s">
        <v>59</v>
      </c>
      <c r="S101" s="3">
        <v>283.55</v>
      </c>
      <c r="T101" t="s">
        <v>12</v>
      </c>
      <c r="U101" s="3">
        <v>24646.68</v>
      </c>
      <c r="V101" t="s">
        <v>63</v>
      </c>
      <c r="W101" t="s">
        <v>20</v>
      </c>
      <c r="X101" t="s">
        <v>8</v>
      </c>
      <c r="Y101" t="s">
        <v>24</v>
      </c>
      <c r="Z101" t="s">
        <v>14</v>
      </c>
      <c r="AA101" t="s">
        <v>316</v>
      </c>
      <c r="AB101" t="s">
        <v>8</v>
      </c>
      <c r="AC101" t="s">
        <v>8</v>
      </c>
      <c r="AD101" t="s">
        <v>8</v>
      </c>
      <c r="AE101" s="2">
        <v>45768</v>
      </c>
      <c r="AF101" s="2"/>
      <c r="AG101" t="s">
        <v>8</v>
      </c>
    </row>
    <row r="102" spans="1:33" outlineLevel="2" x14ac:dyDescent="0.25">
      <c r="A102" t="s">
        <v>34</v>
      </c>
      <c r="B102" t="s">
        <v>1</v>
      </c>
      <c r="C102" t="s">
        <v>2</v>
      </c>
      <c r="D102" t="s">
        <v>3</v>
      </c>
      <c r="E102" t="s">
        <v>4</v>
      </c>
      <c r="F102" t="s">
        <v>18</v>
      </c>
      <c r="G102" s="2">
        <v>45768</v>
      </c>
      <c r="H102" t="s">
        <v>317</v>
      </c>
      <c r="I102" t="s">
        <v>61</v>
      </c>
      <c r="J102" s="2">
        <v>45768</v>
      </c>
      <c r="K102" s="2">
        <v>45769</v>
      </c>
      <c r="L102" t="s">
        <v>24</v>
      </c>
      <c r="M102" t="s">
        <v>318</v>
      </c>
      <c r="N102" t="s">
        <v>9</v>
      </c>
      <c r="O102" t="s">
        <v>10</v>
      </c>
      <c r="P102" t="s">
        <v>8</v>
      </c>
      <c r="Q102" t="s">
        <v>25</v>
      </c>
      <c r="R102" t="s">
        <v>59</v>
      </c>
      <c r="S102" s="3">
        <v>266.02999999999997</v>
      </c>
      <c r="T102" t="s">
        <v>12</v>
      </c>
      <c r="U102" s="3">
        <v>23123.81</v>
      </c>
      <c r="V102" t="s">
        <v>63</v>
      </c>
      <c r="W102" t="s">
        <v>20</v>
      </c>
      <c r="X102" t="s">
        <v>8</v>
      </c>
      <c r="Y102" t="s">
        <v>24</v>
      </c>
      <c r="Z102" t="s">
        <v>14</v>
      </c>
      <c r="AA102" t="s">
        <v>319</v>
      </c>
      <c r="AB102" t="s">
        <v>8</v>
      </c>
      <c r="AC102" t="s">
        <v>8</v>
      </c>
      <c r="AD102" t="s">
        <v>8</v>
      </c>
      <c r="AE102" s="2">
        <v>45768</v>
      </c>
      <c r="AF102" s="2"/>
      <c r="AG102" t="s">
        <v>8</v>
      </c>
    </row>
    <row r="103" spans="1:33" outlineLevel="2" x14ac:dyDescent="0.25">
      <c r="A103" t="s">
        <v>34</v>
      </c>
      <c r="B103" t="s">
        <v>1</v>
      </c>
      <c r="C103" t="s">
        <v>2</v>
      </c>
      <c r="D103" t="s">
        <v>3</v>
      </c>
      <c r="E103" t="s">
        <v>4</v>
      </c>
      <c r="F103" t="s">
        <v>44</v>
      </c>
      <c r="G103" s="2">
        <v>45734</v>
      </c>
      <c r="H103" t="s">
        <v>320</v>
      </c>
      <c r="I103" t="s">
        <v>61</v>
      </c>
      <c r="J103" s="2">
        <v>45734</v>
      </c>
      <c r="K103" s="2">
        <v>45735</v>
      </c>
      <c r="L103" t="s">
        <v>24</v>
      </c>
      <c r="M103" t="s">
        <v>321</v>
      </c>
      <c r="N103" t="s">
        <v>9</v>
      </c>
      <c r="O103" t="s">
        <v>10</v>
      </c>
      <c r="P103" t="s">
        <v>8</v>
      </c>
      <c r="Q103" t="s">
        <v>25</v>
      </c>
      <c r="R103" t="s">
        <v>59</v>
      </c>
      <c r="S103" s="3">
        <v>291.52</v>
      </c>
      <c r="T103" t="s">
        <v>12</v>
      </c>
      <c r="U103" s="3">
        <v>25272.240000000002</v>
      </c>
      <c r="V103" t="s">
        <v>63</v>
      </c>
      <c r="W103" t="s">
        <v>20</v>
      </c>
      <c r="X103" t="s">
        <v>8</v>
      </c>
      <c r="Y103" t="s">
        <v>24</v>
      </c>
      <c r="Z103" t="s">
        <v>14</v>
      </c>
      <c r="AA103" t="s">
        <v>322</v>
      </c>
      <c r="AB103" t="s">
        <v>8</v>
      </c>
      <c r="AC103" t="s">
        <v>8</v>
      </c>
      <c r="AD103" t="s">
        <v>8</v>
      </c>
      <c r="AE103" s="2">
        <v>45734</v>
      </c>
      <c r="AF103" s="2"/>
      <c r="AG103" t="s">
        <v>8</v>
      </c>
    </row>
    <row r="104" spans="1:33" outlineLevel="2" x14ac:dyDescent="0.25">
      <c r="A104" t="s">
        <v>34</v>
      </c>
      <c r="B104" t="s">
        <v>1</v>
      </c>
      <c r="C104" t="s">
        <v>2</v>
      </c>
      <c r="D104" t="s">
        <v>3</v>
      </c>
      <c r="E104" t="s">
        <v>4</v>
      </c>
      <c r="F104" t="s">
        <v>44</v>
      </c>
      <c r="G104" s="2">
        <v>45734</v>
      </c>
      <c r="H104" t="s">
        <v>323</v>
      </c>
      <c r="I104" t="s">
        <v>61</v>
      </c>
      <c r="J104" s="2">
        <v>45734</v>
      </c>
      <c r="K104" s="2">
        <v>45735</v>
      </c>
      <c r="L104" t="s">
        <v>24</v>
      </c>
      <c r="M104" t="s">
        <v>324</v>
      </c>
      <c r="N104" t="s">
        <v>9</v>
      </c>
      <c r="O104" t="s">
        <v>10</v>
      </c>
      <c r="P104" t="s">
        <v>8</v>
      </c>
      <c r="Q104" t="s">
        <v>25</v>
      </c>
      <c r="R104" t="s">
        <v>59</v>
      </c>
      <c r="S104" s="3">
        <v>307.98</v>
      </c>
      <c r="T104" t="s">
        <v>12</v>
      </c>
      <c r="U104" s="3">
        <v>26699.17</v>
      </c>
      <c r="V104" t="s">
        <v>63</v>
      </c>
      <c r="W104" t="s">
        <v>20</v>
      </c>
      <c r="X104" t="s">
        <v>8</v>
      </c>
      <c r="Y104" t="s">
        <v>24</v>
      </c>
      <c r="Z104" t="s">
        <v>14</v>
      </c>
      <c r="AA104" t="s">
        <v>325</v>
      </c>
      <c r="AB104" t="s">
        <v>8</v>
      </c>
      <c r="AC104" t="s">
        <v>8</v>
      </c>
      <c r="AD104" t="s">
        <v>8</v>
      </c>
      <c r="AE104" s="2">
        <v>45734</v>
      </c>
      <c r="AF104" s="2"/>
      <c r="AG104" t="s">
        <v>8</v>
      </c>
    </row>
    <row r="105" spans="1:33" outlineLevel="2" x14ac:dyDescent="0.25">
      <c r="A105" t="s">
        <v>34</v>
      </c>
      <c r="B105" t="s">
        <v>1</v>
      </c>
      <c r="C105" t="s">
        <v>2</v>
      </c>
      <c r="D105" t="s">
        <v>3</v>
      </c>
      <c r="E105" t="s">
        <v>4</v>
      </c>
      <c r="F105" t="s">
        <v>44</v>
      </c>
      <c r="G105" s="2">
        <v>45734</v>
      </c>
      <c r="H105" t="s">
        <v>326</v>
      </c>
      <c r="I105" t="s">
        <v>61</v>
      </c>
      <c r="J105" s="2">
        <v>45734</v>
      </c>
      <c r="K105" s="2">
        <v>45735</v>
      </c>
      <c r="L105" t="s">
        <v>24</v>
      </c>
      <c r="M105" t="s">
        <v>327</v>
      </c>
      <c r="N105" t="s">
        <v>9</v>
      </c>
      <c r="O105" t="s">
        <v>10</v>
      </c>
      <c r="P105" t="s">
        <v>8</v>
      </c>
      <c r="Q105" t="s">
        <v>25</v>
      </c>
      <c r="R105" t="s">
        <v>59</v>
      </c>
      <c r="S105" s="3">
        <v>472.06</v>
      </c>
      <c r="T105" t="s">
        <v>12</v>
      </c>
      <c r="U105" s="3">
        <v>40923.480000000003</v>
      </c>
      <c r="V105" t="s">
        <v>63</v>
      </c>
      <c r="W105" t="s">
        <v>20</v>
      </c>
      <c r="X105" t="s">
        <v>8</v>
      </c>
      <c r="Y105" t="s">
        <v>24</v>
      </c>
      <c r="Z105" t="s">
        <v>14</v>
      </c>
      <c r="AA105" t="s">
        <v>328</v>
      </c>
      <c r="AB105" t="s">
        <v>8</v>
      </c>
      <c r="AC105" t="s">
        <v>8</v>
      </c>
      <c r="AD105" t="s">
        <v>8</v>
      </c>
      <c r="AE105" s="2">
        <v>45734</v>
      </c>
      <c r="AF105" s="2"/>
      <c r="AG105" t="s">
        <v>8</v>
      </c>
    </row>
    <row r="106" spans="1:33" outlineLevel="2" x14ac:dyDescent="0.25">
      <c r="A106" t="s">
        <v>34</v>
      </c>
      <c r="B106" t="s">
        <v>1</v>
      </c>
      <c r="C106" t="s">
        <v>2</v>
      </c>
      <c r="D106" t="s">
        <v>3</v>
      </c>
      <c r="E106" t="s">
        <v>4</v>
      </c>
      <c r="F106" t="s">
        <v>106</v>
      </c>
      <c r="G106" s="2">
        <v>45800</v>
      </c>
      <c r="H106" t="s">
        <v>329</v>
      </c>
      <c r="I106" t="s">
        <v>61</v>
      </c>
      <c r="J106" s="2">
        <v>45800</v>
      </c>
      <c r="K106" s="2">
        <v>45805</v>
      </c>
      <c r="L106" t="s">
        <v>24</v>
      </c>
      <c r="M106" t="s">
        <v>330</v>
      </c>
      <c r="N106" t="s">
        <v>9</v>
      </c>
      <c r="O106" t="s">
        <v>10</v>
      </c>
      <c r="P106" t="s">
        <v>8</v>
      </c>
      <c r="Q106" t="s">
        <v>25</v>
      </c>
      <c r="R106" t="s">
        <v>59</v>
      </c>
      <c r="S106" s="3">
        <v>1743.01</v>
      </c>
      <c r="T106" t="s">
        <v>12</v>
      </c>
      <c r="U106" s="3">
        <v>149870.45000000001</v>
      </c>
      <c r="V106" t="s">
        <v>63</v>
      </c>
      <c r="W106" t="s">
        <v>27</v>
      </c>
      <c r="X106" t="s">
        <v>8</v>
      </c>
      <c r="Y106" t="s">
        <v>24</v>
      </c>
      <c r="Z106" t="s">
        <v>14</v>
      </c>
      <c r="AA106" t="s">
        <v>331</v>
      </c>
      <c r="AB106" t="s">
        <v>8</v>
      </c>
      <c r="AC106" t="s">
        <v>8</v>
      </c>
      <c r="AD106" t="s">
        <v>8</v>
      </c>
      <c r="AE106" s="2">
        <v>45800</v>
      </c>
      <c r="AF106" s="2"/>
      <c r="AG106" t="s">
        <v>8</v>
      </c>
    </row>
    <row r="107" spans="1:33" outlineLevel="2" x14ac:dyDescent="0.25">
      <c r="A107" t="s">
        <v>34</v>
      </c>
      <c r="B107" t="s">
        <v>1</v>
      </c>
      <c r="C107" t="s">
        <v>2</v>
      </c>
      <c r="D107" t="s">
        <v>3</v>
      </c>
      <c r="E107" t="s">
        <v>4</v>
      </c>
      <c r="F107" t="s">
        <v>132</v>
      </c>
      <c r="G107" s="2">
        <v>45919</v>
      </c>
      <c r="H107" t="s">
        <v>332</v>
      </c>
      <c r="I107" t="s">
        <v>61</v>
      </c>
      <c r="J107" s="2">
        <v>45919</v>
      </c>
      <c r="K107" s="2">
        <v>45922</v>
      </c>
      <c r="L107" t="s">
        <v>24</v>
      </c>
      <c r="M107" t="s">
        <v>333</v>
      </c>
      <c r="N107" t="s">
        <v>9</v>
      </c>
      <c r="O107" t="s">
        <v>10</v>
      </c>
      <c r="P107" t="s">
        <v>8</v>
      </c>
      <c r="Q107" t="s">
        <v>25</v>
      </c>
      <c r="R107" t="s">
        <v>59</v>
      </c>
      <c r="S107" s="3">
        <v>263.38</v>
      </c>
      <c r="T107" t="s">
        <v>12</v>
      </c>
      <c r="U107" s="3">
        <v>23049.52</v>
      </c>
      <c r="V107" t="s">
        <v>63</v>
      </c>
      <c r="W107" t="s">
        <v>27</v>
      </c>
      <c r="X107" t="s">
        <v>8</v>
      </c>
      <c r="Y107" t="s">
        <v>334</v>
      </c>
      <c r="Z107" t="s">
        <v>14</v>
      </c>
      <c r="AA107" t="s">
        <v>335</v>
      </c>
      <c r="AB107" t="s">
        <v>8</v>
      </c>
      <c r="AC107" t="s">
        <v>8</v>
      </c>
      <c r="AD107" t="s">
        <v>8</v>
      </c>
      <c r="AE107" s="2">
        <v>45919</v>
      </c>
      <c r="AF107" s="2"/>
      <c r="AG107" t="s">
        <v>8</v>
      </c>
    </row>
    <row r="108" spans="1:33" outlineLevel="2" x14ac:dyDescent="0.25">
      <c r="A108" t="s">
        <v>34</v>
      </c>
      <c r="B108" t="s">
        <v>1</v>
      </c>
      <c r="C108" t="s">
        <v>2</v>
      </c>
      <c r="D108" t="s">
        <v>3</v>
      </c>
      <c r="E108" t="s">
        <v>4</v>
      </c>
      <c r="F108" t="s">
        <v>106</v>
      </c>
      <c r="G108" s="2">
        <v>45798</v>
      </c>
      <c r="H108" t="s">
        <v>336</v>
      </c>
      <c r="I108" t="s">
        <v>61</v>
      </c>
      <c r="J108" s="2">
        <v>45798</v>
      </c>
      <c r="K108" s="2">
        <v>45805</v>
      </c>
      <c r="L108" t="s">
        <v>24</v>
      </c>
      <c r="M108" t="s">
        <v>337</v>
      </c>
      <c r="N108" t="s">
        <v>9</v>
      </c>
      <c r="O108" t="s">
        <v>10</v>
      </c>
      <c r="P108" t="s">
        <v>8</v>
      </c>
      <c r="Q108" t="s">
        <v>25</v>
      </c>
      <c r="R108" t="s">
        <v>59</v>
      </c>
      <c r="S108" s="3">
        <v>365.33</v>
      </c>
      <c r="T108" t="s">
        <v>12</v>
      </c>
      <c r="U108" s="3">
        <v>31412.43</v>
      </c>
      <c r="V108" t="s">
        <v>63</v>
      </c>
      <c r="W108" t="s">
        <v>27</v>
      </c>
      <c r="X108" t="s">
        <v>8</v>
      </c>
      <c r="Y108" t="s">
        <v>24</v>
      </c>
      <c r="Z108" t="s">
        <v>14</v>
      </c>
      <c r="AA108" t="s">
        <v>338</v>
      </c>
      <c r="AB108" t="s">
        <v>8</v>
      </c>
      <c r="AC108" t="s">
        <v>8</v>
      </c>
      <c r="AD108" t="s">
        <v>8</v>
      </c>
      <c r="AE108" s="2">
        <v>45798</v>
      </c>
      <c r="AF108" s="2"/>
      <c r="AG108" t="s">
        <v>8</v>
      </c>
    </row>
    <row r="109" spans="1:33" outlineLevel="2" x14ac:dyDescent="0.25">
      <c r="A109" t="s">
        <v>34</v>
      </c>
      <c r="B109" t="s">
        <v>1</v>
      </c>
      <c r="C109" t="s">
        <v>2</v>
      </c>
      <c r="D109" t="s">
        <v>3</v>
      </c>
      <c r="E109" t="s">
        <v>4</v>
      </c>
      <c r="F109" t="s">
        <v>18</v>
      </c>
      <c r="G109" s="2">
        <v>45771</v>
      </c>
      <c r="H109" t="s">
        <v>339</v>
      </c>
      <c r="I109" t="s">
        <v>61</v>
      </c>
      <c r="J109" s="2">
        <v>45771</v>
      </c>
      <c r="K109" s="2">
        <v>45773</v>
      </c>
      <c r="L109" t="s">
        <v>24</v>
      </c>
      <c r="M109" t="s">
        <v>340</v>
      </c>
      <c r="N109" t="s">
        <v>9</v>
      </c>
      <c r="O109" t="s">
        <v>10</v>
      </c>
      <c r="P109" t="s">
        <v>8</v>
      </c>
      <c r="Q109" t="s">
        <v>25</v>
      </c>
      <c r="R109" t="s">
        <v>59</v>
      </c>
      <c r="S109" s="3">
        <v>352.05</v>
      </c>
      <c r="T109" t="s">
        <v>12</v>
      </c>
      <c r="U109" s="3">
        <v>30600.83</v>
      </c>
      <c r="V109" t="s">
        <v>63</v>
      </c>
      <c r="W109" t="s">
        <v>20</v>
      </c>
      <c r="X109" t="s">
        <v>8</v>
      </c>
      <c r="Y109" t="s">
        <v>24</v>
      </c>
      <c r="Z109" t="s">
        <v>14</v>
      </c>
      <c r="AA109" t="s">
        <v>341</v>
      </c>
      <c r="AB109" t="s">
        <v>8</v>
      </c>
      <c r="AC109" t="s">
        <v>8</v>
      </c>
      <c r="AD109" t="s">
        <v>8</v>
      </c>
      <c r="AE109" s="2">
        <v>45771</v>
      </c>
      <c r="AF109" s="2"/>
      <c r="AG109" t="s">
        <v>8</v>
      </c>
    </row>
    <row r="110" spans="1:33" outlineLevel="2" x14ac:dyDescent="0.25">
      <c r="A110" t="s">
        <v>34</v>
      </c>
      <c r="B110" t="s">
        <v>1</v>
      </c>
      <c r="C110" t="s">
        <v>2</v>
      </c>
      <c r="D110" t="s">
        <v>3</v>
      </c>
      <c r="E110" t="s">
        <v>4</v>
      </c>
      <c r="F110" t="s">
        <v>87</v>
      </c>
      <c r="G110" s="2">
        <v>45826</v>
      </c>
      <c r="H110" t="s">
        <v>342</v>
      </c>
      <c r="I110" t="s">
        <v>61</v>
      </c>
      <c r="J110" s="2">
        <v>45826</v>
      </c>
      <c r="K110" s="2">
        <v>45829</v>
      </c>
      <c r="L110" t="s">
        <v>24</v>
      </c>
      <c r="M110" t="s">
        <v>343</v>
      </c>
      <c r="N110" t="s">
        <v>9</v>
      </c>
      <c r="O110" t="s">
        <v>10</v>
      </c>
      <c r="P110" t="s">
        <v>8</v>
      </c>
      <c r="Q110" t="s">
        <v>25</v>
      </c>
      <c r="R110" t="s">
        <v>59</v>
      </c>
      <c r="S110" s="3">
        <v>366.39</v>
      </c>
      <c r="T110" t="s">
        <v>12</v>
      </c>
      <c r="U110" s="3">
        <v>31322.97</v>
      </c>
      <c r="V110" t="s">
        <v>63</v>
      </c>
      <c r="W110" t="s">
        <v>27</v>
      </c>
      <c r="X110" t="s">
        <v>8</v>
      </c>
      <c r="Y110" t="s">
        <v>24</v>
      </c>
      <c r="Z110" t="s">
        <v>14</v>
      </c>
      <c r="AA110" t="s">
        <v>344</v>
      </c>
      <c r="AB110" t="s">
        <v>8</v>
      </c>
      <c r="AC110" t="s">
        <v>8</v>
      </c>
      <c r="AD110" t="s">
        <v>8</v>
      </c>
      <c r="AE110" s="2">
        <v>45826</v>
      </c>
      <c r="AF110" s="2"/>
      <c r="AG110" t="s">
        <v>8</v>
      </c>
    </row>
    <row r="111" spans="1:33" outlineLevel="2" x14ac:dyDescent="0.25">
      <c r="A111" t="s">
        <v>34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s="2">
        <v>45981</v>
      </c>
      <c r="H111" t="s">
        <v>345</v>
      </c>
      <c r="I111" t="s">
        <v>61</v>
      </c>
      <c r="J111" s="2">
        <v>45981</v>
      </c>
      <c r="K111" s="2">
        <v>45985</v>
      </c>
      <c r="L111" t="s">
        <v>24</v>
      </c>
      <c r="M111" t="s">
        <v>346</v>
      </c>
      <c r="N111" t="s">
        <v>9</v>
      </c>
      <c r="O111" t="s">
        <v>10</v>
      </c>
      <c r="P111" t="s">
        <v>8</v>
      </c>
      <c r="Q111" t="s">
        <v>25</v>
      </c>
      <c r="R111" t="s">
        <v>59</v>
      </c>
      <c r="S111" s="3">
        <v>43.98</v>
      </c>
      <c r="T111" t="s">
        <v>12</v>
      </c>
      <c r="U111" s="3">
        <v>3870.39</v>
      </c>
      <c r="V111" t="s">
        <v>63</v>
      </c>
      <c r="W111" t="s">
        <v>27</v>
      </c>
      <c r="X111" t="s">
        <v>8</v>
      </c>
      <c r="Y111" t="s">
        <v>347</v>
      </c>
      <c r="Z111" t="s">
        <v>14</v>
      </c>
      <c r="AA111" t="s">
        <v>348</v>
      </c>
      <c r="AB111" t="s">
        <v>8</v>
      </c>
      <c r="AC111" t="s">
        <v>8</v>
      </c>
      <c r="AD111" t="s">
        <v>8</v>
      </c>
      <c r="AE111" s="2">
        <v>45981</v>
      </c>
      <c r="AF111" s="2"/>
      <c r="AG111" t="s">
        <v>8</v>
      </c>
    </row>
    <row r="112" spans="1:33" outlineLevel="2" x14ac:dyDescent="0.25">
      <c r="A112" t="s">
        <v>34</v>
      </c>
      <c r="B112" t="s">
        <v>1</v>
      </c>
      <c r="C112" t="s">
        <v>2</v>
      </c>
      <c r="D112" t="s">
        <v>3</v>
      </c>
      <c r="E112" t="s">
        <v>4</v>
      </c>
      <c r="F112" t="s">
        <v>18</v>
      </c>
      <c r="G112" s="2">
        <v>45769</v>
      </c>
      <c r="H112" t="s">
        <v>349</v>
      </c>
      <c r="I112" t="s">
        <v>61</v>
      </c>
      <c r="J112" s="2">
        <v>45769</v>
      </c>
      <c r="K112" s="2">
        <v>45770</v>
      </c>
      <c r="L112" t="s">
        <v>24</v>
      </c>
      <c r="M112" t="s">
        <v>350</v>
      </c>
      <c r="N112" t="s">
        <v>9</v>
      </c>
      <c r="O112" t="s">
        <v>10</v>
      </c>
      <c r="P112" t="s">
        <v>8</v>
      </c>
      <c r="Q112" t="s">
        <v>25</v>
      </c>
      <c r="R112" t="s">
        <v>59</v>
      </c>
      <c r="S112" s="3">
        <v>36.4</v>
      </c>
      <c r="T112" t="s">
        <v>12</v>
      </c>
      <c r="U112" s="3">
        <v>3163.95</v>
      </c>
      <c r="V112" t="s">
        <v>63</v>
      </c>
      <c r="W112" t="s">
        <v>20</v>
      </c>
      <c r="X112" t="s">
        <v>8</v>
      </c>
      <c r="Y112" t="s">
        <v>24</v>
      </c>
      <c r="Z112" t="s">
        <v>14</v>
      </c>
      <c r="AA112" t="s">
        <v>351</v>
      </c>
      <c r="AB112" t="s">
        <v>8</v>
      </c>
      <c r="AC112" t="s">
        <v>8</v>
      </c>
      <c r="AD112" t="s">
        <v>8</v>
      </c>
      <c r="AE112" s="2">
        <v>45769</v>
      </c>
      <c r="AF112" s="2"/>
      <c r="AG112" t="s">
        <v>8</v>
      </c>
    </row>
    <row r="113" spans="1:33" outlineLevel="2" x14ac:dyDescent="0.25">
      <c r="A113" t="s">
        <v>34</v>
      </c>
      <c r="B113" t="s">
        <v>1</v>
      </c>
      <c r="C113" t="s">
        <v>2</v>
      </c>
      <c r="D113" t="s">
        <v>3</v>
      </c>
      <c r="E113" t="s">
        <v>4</v>
      </c>
      <c r="F113" t="s">
        <v>18</v>
      </c>
      <c r="G113" s="2">
        <v>45769</v>
      </c>
      <c r="H113" t="s">
        <v>352</v>
      </c>
      <c r="I113" t="s">
        <v>61</v>
      </c>
      <c r="J113" s="2">
        <v>45769</v>
      </c>
      <c r="K113" s="2">
        <v>45770</v>
      </c>
      <c r="L113" t="s">
        <v>24</v>
      </c>
      <c r="M113" t="s">
        <v>353</v>
      </c>
      <c r="N113" t="s">
        <v>9</v>
      </c>
      <c r="O113" t="s">
        <v>10</v>
      </c>
      <c r="P113" t="s">
        <v>8</v>
      </c>
      <c r="Q113" t="s">
        <v>25</v>
      </c>
      <c r="R113" t="s">
        <v>59</v>
      </c>
      <c r="S113" s="3">
        <v>36.67</v>
      </c>
      <c r="T113" t="s">
        <v>12</v>
      </c>
      <c r="U113" s="3">
        <v>3187.42</v>
      </c>
      <c r="V113" t="s">
        <v>63</v>
      </c>
      <c r="W113" t="s">
        <v>20</v>
      </c>
      <c r="X113" t="s">
        <v>8</v>
      </c>
      <c r="Y113" t="s">
        <v>24</v>
      </c>
      <c r="Z113" t="s">
        <v>14</v>
      </c>
      <c r="AA113" t="s">
        <v>354</v>
      </c>
      <c r="AB113" t="s">
        <v>8</v>
      </c>
      <c r="AC113" t="s">
        <v>8</v>
      </c>
      <c r="AD113" t="s">
        <v>8</v>
      </c>
      <c r="AE113" s="2">
        <v>45769</v>
      </c>
      <c r="AF113" s="2"/>
      <c r="AG113" t="s">
        <v>8</v>
      </c>
    </row>
    <row r="114" spans="1:33" outlineLevel="2" x14ac:dyDescent="0.25">
      <c r="A114" t="s">
        <v>34</v>
      </c>
      <c r="B114" t="s">
        <v>1</v>
      </c>
      <c r="C114" t="s">
        <v>2</v>
      </c>
      <c r="D114" t="s">
        <v>3</v>
      </c>
      <c r="E114" t="s">
        <v>4</v>
      </c>
      <c r="F114" t="s">
        <v>132</v>
      </c>
      <c r="G114" s="2">
        <v>45918</v>
      </c>
      <c r="H114" t="s">
        <v>355</v>
      </c>
      <c r="I114" t="s">
        <v>61</v>
      </c>
      <c r="J114" s="2">
        <v>45918</v>
      </c>
      <c r="K114" s="2">
        <v>45922</v>
      </c>
      <c r="L114" t="s">
        <v>24</v>
      </c>
      <c r="M114" t="s">
        <v>356</v>
      </c>
      <c r="N114" t="s">
        <v>9</v>
      </c>
      <c r="O114" t="s">
        <v>10</v>
      </c>
      <c r="P114" t="s">
        <v>8</v>
      </c>
      <c r="Q114" t="s">
        <v>25</v>
      </c>
      <c r="R114" t="s">
        <v>59</v>
      </c>
      <c r="S114" s="3">
        <v>24.41</v>
      </c>
      <c r="T114" t="s">
        <v>12</v>
      </c>
      <c r="U114" s="3">
        <v>2136.2199999999998</v>
      </c>
      <c r="V114" t="s">
        <v>63</v>
      </c>
      <c r="W114" t="s">
        <v>27</v>
      </c>
      <c r="X114" t="s">
        <v>8</v>
      </c>
      <c r="Y114" t="s">
        <v>357</v>
      </c>
      <c r="Z114" t="s">
        <v>14</v>
      </c>
      <c r="AA114" t="s">
        <v>358</v>
      </c>
      <c r="AB114" t="s">
        <v>8</v>
      </c>
      <c r="AC114" t="s">
        <v>8</v>
      </c>
      <c r="AD114" t="s">
        <v>8</v>
      </c>
      <c r="AE114" s="2">
        <v>45918</v>
      </c>
      <c r="AF114" s="2"/>
      <c r="AG114" t="s">
        <v>8</v>
      </c>
    </row>
    <row r="115" spans="1:33" outlineLevel="2" x14ac:dyDescent="0.25">
      <c r="A115" t="s">
        <v>34</v>
      </c>
      <c r="B115" t="s">
        <v>1</v>
      </c>
      <c r="C115" t="s">
        <v>2</v>
      </c>
      <c r="D115" t="s">
        <v>3</v>
      </c>
      <c r="E115" t="s">
        <v>4</v>
      </c>
      <c r="F115" t="s">
        <v>132</v>
      </c>
      <c r="G115" s="2">
        <v>45918</v>
      </c>
      <c r="H115" t="s">
        <v>359</v>
      </c>
      <c r="I115" t="s">
        <v>61</v>
      </c>
      <c r="J115" s="2">
        <v>45918</v>
      </c>
      <c r="K115" s="2">
        <v>45922</v>
      </c>
      <c r="L115" t="s">
        <v>24</v>
      </c>
      <c r="M115" t="s">
        <v>360</v>
      </c>
      <c r="N115" t="s">
        <v>9</v>
      </c>
      <c r="O115" t="s">
        <v>10</v>
      </c>
      <c r="P115" t="s">
        <v>8</v>
      </c>
      <c r="Q115" t="s">
        <v>25</v>
      </c>
      <c r="R115" t="s">
        <v>59</v>
      </c>
      <c r="S115" s="3">
        <v>56.84</v>
      </c>
      <c r="T115" t="s">
        <v>12</v>
      </c>
      <c r="U115" s="3">
        <v>4974.3100000000004</v>
      </c>
      <c r="V115" t="s">
        <v>63</v>
      </c>
      <c r="W115" t="s">
        <v>27</v>
      </c>
      <c r="X115" t="s">
        <v>8</v>
      </c>
      <c r="Y115" t="s">
        <v>361</v>
      </c>
      <c r="Z115" t="s">
        <v>14</v>
      </c>
      <c r="AA115" t="s">
        <v>362</v>
      </c>
      <c r="AB115" t="s">
        <v>8</v>
      </c>
      <c r="AC115" t="s">
        <v>8</v>
      </c>
      <c r="AD115" t="s">
        <v>8</v>
      </c>
      <c r="AE115" s="2">
        <v>45918</v>
      </c>
      <c r="AF115" s="2"/>
      <c r="AG115" t="s">
        <v>8</v>
      </c>
    </row>
    <row r="116" spans="1:33" outlineLevel="2" x14ac:dyDescent="0.25">
      <c r="A116" t="s">
        <v>34</v>
      </c>
      <c r="B116" t="s">
        <v>1</v>
      </c>
      <c r="C116" t="s">
        <v>2</v>
      </c>
      <c r="D116" t="s">
        <v>3</v>
      </c>
      <c r="E116" t="s">
        <v>4</v>
      </c>
      <c r="F116" t="s">
        <v>279</v>
      </c>
      <c r="G116" s="2">
        <v>45996</v>
      </c>
      <c r="H116" t="s">
        <v>363</v>
      </c>
      <c r="I116" t="s">
        <v>61</v>
      </c>
      <c r="J116" s="2">
        <v>45996</v>
      </c>
      <c r="K116" s="2">
        <v>46000</v>
      </c>
      <c r="L116" t="s">
        <v>24</v>
      </c>
      <c r="M116" t="s">
        <v>364</v>
      </c>
      <c r="N116" t="s">
        <v>9</v>
      </c>
      <c r="O116" t="s">
        <v>10</v>
      </c>
      <c r="P116" t="s">
        <v>8</v>
      </c>
      <c r="Q116" t="s">
        <v>25</v>
      </c>
      <c r="R116" t="s">
        <v>59</v>
      </c>
      <c r="S116" s="3">
        <v>65.03</v>
      </c>
      <c r="T116" t="s">
        <v>12</v>
      </c>
      <c r="U116" s="3">
        <v>5768.17</v>
      </c>
      <c r="V116" t="s">
        <v>63</v>
      </c>
      <c r="W116" t="s">
        <v>27</v>
      </c>
      <c r="X116" t="s">
        <v>8</v>
      </c>
      <c r="Y116" t="s">
        <v>365</v>
      </c>
      <c r="Z116" t="s">
        <v>14</v>
      </c>
      <c r="AA116" t="s">
        <v>366</v>
      </c>
      <c r="AB116" t="s">
        <v>8</v>
      </c>
      <c r="AC116" t="s">
        <v>8</v>
      </c>
      <c r="AD116" t="s">
        <v>8</v>
      </c>
      <c r="AE116" s="2">
        <v>45996</v>
      </c>
      <c r="AF116" s="2"/>
      <c r="AG116" t="s">
        <v>8</v>
      </c>
    </row>
    <row r="117" spans="1:33" outlineLevel="2" x14ac:dyDescent="0.25">
      <c r="A117" t="s">
        <v>34</v>
      </c>
      <c r="B117" t="s">
        <v>1</v>
      </c>
      <c r="C117" t="s">
        <v>2</v>
      </c>
      <c r="D117" t="s">
        <v>3</v>
      </c>
      <c r="E117" t="s">
        <v>4</v>
      </c>
      <c r="F117" t="s">
        <v>18</v>
      </c>
      <c r="G117" s="2">
        <v>45770</v>
      </c>
      <c r="H117" t="s">
        <v>367</v>
      </c>
      <c r="I117" t="s">
        <v>61</v>
      </c>
      <c r="J117" s="2">
        <v>45770</v>
      </c>
      <c r="K117" s="2">
        <v>45776</v>
      </c>
      <c r="L117" t="s">
        <v>24</v>
      </c>
      <c r="M117" t="s">
        <v>368</v>
      </c>
      <c r="N117" t="s">
        <v>9</v>
      </c>
      <c r="O117" t="s">
        <v>10</v>
      </c>
      <c r="P117" t="s">
        <v>8</v>
      </c>
      <c r="Q117" t="s">
        <v>25</v>
      </c>
      <c r="R117" t="s">
        <v>59</v>
      </c>
      <c r="S117" s="3">
        <v>9.44</v>
      </c>
      <c r="T117" t="s">
        <v>12</v>
      </c>
      <c r="U117" s="3">
        <v>820.54</v>
      </c>
      <c r="V117" t="s">
        <v>63</v>
      </c>
      <c r="W117" t="s">
        <v>20</v>
      </c>
      <c r="X117" t="s">
        <v>8</v>
      </c>
      <c r="Y117" t="s">
        <v>24</v>
      </c>
      <c r="Z117" t="s">
        <v>14</v>
      </c>
      <c r="AA117" t="s">
        <v>369</v>
      </c>
      <c r="AB117" t="s">
        <v>8</v>
      </c>
      <c r="AC117" t="s">
        <v>8</v>
      </c>
      <c r="AD117" t="s">
        <v>8</v>
      </c>
      <c r="AE117" s="2">
        <v>45770</v>
      </c>
      <c r="AF117" s="2"/>
      <c r="AG117" t="s">
        <v>8</v>
      </c>
    </row>
    <row r="118" spans="1:33" outlineLevel="2" x14ac:dyDescent="0.25">
      <c r="A118" t="s">
        <v>34</v>
      </c>
      <c r="B118" t="s">
        <v>1</v>
      </c>
      <c r="C118" t="s">
        <v>2</v>
      </c>
      <c r="D118" t="s">
        <v>3</v>
      </c>
      <c r="E118" t="s">
        <v>4</v>
      </c>
      <c r="F118" t="s">
        <v>279</v>
      </c>
      <c r="G118" s="2">
        <v>45993</v>
      </c>
      <c r="H118" t="s">
        <v>370</v>
      </c>
      <c r="I118" t="s">
        <v>61</v>
      </c>
      <c r="J118" s="2">
        <v>45993</v>
      </c>
      <c r="K118" s="2">
        <v>45995</v>
      </c>
      <c r="L118" t="s">
        <v>24</v>
      </c>
      <c r="M118" t="s">
        <v>371</v>
      </c>
      <c r="N118" t="s">
        <v>9</v>
      </c>
      <c r="O118" t="s">
        <v>10</v>
      </c>
      <c r="P118" t="s">
        <v>8</v>
      </c>
      <c r="Q118" t="s">
        <v>25</v>
      </c>
      <c r="R118" t="s">
        <v>59</v>
      </c>
      <c r="S118" s="3">
        <v>393.47</v>
      </c>
      <c r="T118" t="s">
        <v>12</v>
      </c>
      <c r="U118" s="3">
        <v>34900.839999999997</v>
      </c>
      <c r="V118" t="s">
        <v>63</v>
      </c>
      <c r="W118" t="s">
        <v>27</v>
      </c>
      <c r="X118" t="s">
        <v>8</v>
      </c>
      <c r="Y118" t="s">
        <v>24</v>
      </c>
      <c r="Z118" t="s">
        <v>14</v>
      </c>
      <c r="AA118" t="s">
        <v>372</v>
      </c>
      <c r="AB118" t="s">
        <v>8</v>
      </c>
      <c r="AC118" t="s">
        <v>8</v>
      </c>
      <c r="AD118" t="s">
        <v>8</v>
      </c>
      <c r="AE118" s="2">
        <v>45993</v>
      </c>
      <c r="AF118" s="2"/>
      <c r="AG118" t="s">
        <v>8</v>
      </c>
    </row>
    <row r="119" spans="1:33" outlineLevel="2" x14ac:dyDescent="0.25">
      <c r="A119" t="s">
        <v>34</v>
      </c>
      <c r="B119" t="s">
        <v>1</v>
      </c>
      <c r="C119" t="s">
        <v>2</v>
      </c>
      <c r="D119" t="s">
        <v>3</v>
      </c>
      <c r="E119" t="s">
        <v>4</v>
      </c>
      <c r="F119" t="s">
        <v>44</v>
      </c>
      <c r="G119" s="2">
        <v>45737</v>
      </c>
      <c r="H119" t="s">
        <v>373</v>
      </c>
      <c r="I119" t="s">
        <v>61</v>
      </c>
      <c r="J119" s="2">
        <v>45737</v>
      </c>
      <c r="K119" s="2">
        <v>45737</v>
      </c>
      <c r="L119" t="s">
        <v>24</v>
      </c>
      <c r="M119" t="s">
        <v>374</v>
      </c>
      <c r="N119" t="s">
        <v>9</v>
      </c>
      <c r="O119" t="s">
        <v>10</v>
      </c>
      <c r="P119" t="s">
        <v>8</v>
      </c>
      <c r="Q119" t="s">
        <v>25</v>
      </c>
      <c r="R119" t="s">
        <v>59</v>
      </c>
      <c r="S119" s="3">
        <v>28.32</v>
      </c>
      <c r="T119" t="s">
        <v>12</v>
      </c>
      <c r="U119" s="3">
        <v>2455.1</v>
      </c>
      <c r="V119" t="s">
        <v>63</v>
      </c>
      <c r="W119" t="s">
        <v>20</v>
      </c>
      <c r="X119" t="s">
        <v>8</v>
      </c>
      <c r="Y119" t="s">
        <v>24</v>
      </c>
      <c r="Z119" t="s">
        <v>14</v>
      </c>
      <c r="AA119" t="s">
        <v>375</v>
      </c>
      <c r="AB119" t="s">
        <v>8</v>
      </c>
      <c r="AC119" t="s">
        <v>8</v>
      </c>
      <c r="AD119" t="s">
        <v>8</v>
      </c>
      <c r="AE119" s="2">
        <v>45737</v>
      </c>
      <c r="AF119" s="2"/>
      <c r="AG119" t="s">
        <v>8</v>
      </c>
    </row>
    <row r="120" spans="1:33" outlineLevel="2" x14ac:dyDescent="0.25">
      <c r="A120" t="s">
        <v>34</v>
      </c>
      <c r="B120" t="s">
        <v>1</v>
      </c>
      <c r="C120" t="s">
        <v>2</v>
      </c>
      <c r="D120" t="s">
        <v>3</v>
      </c>
      <c r="E120" t="s">
        <v>4</v>
      </c>
      <c r="F120" t="s">
        <v>41</v>
      </c>
      <c r="G120" s="2">
        <v>45937</v>
      </c>
      <c r="H120" t="s">
        <v>376</v>
      </c>
      <c r="I120" t="s">
        <v>61</v>
      </c>
      <c r="J120" s="2">
        <v>45937</v>
      </c>
      <c r="K120" s="2">
        <v>45940</v>
      </c>
      <c r="L120" t="s">
        <v>24</v>
      </c>
      <c r="M120" t="s">
        <v>377</v>
      </c>
      <c r="N120" t="s">
        <v>9</v>
      </c>
      <c r="O120" t="s">
        <v>10</v>
      </c>
      <c r="P120" t="s">
        <v>8</v>
      </c>
      <c r="Q120" t="s">
        <v>25</v>
      </c>
      <c r="R120" t="s">
        <v>59</v>
      </c>
      <c r="S120" s="3">
        <v>285.68</v>
      </c>
      <c r="T120" t="s">
        <v>12</v>
      </c>
      <c r="U120" s="3">
        <v>25194.34</v>
      </c>
      <c r="V120" t="s">
        <v>63</v>
      </c>
      <c r="W120" t="s">
        <v>27</v>
      </c>
      <c r="X120" t="s">
        <v>8</v>
      </c>
      <c r="Y120" t="s">
        <v>378</v>
      </c>
      <c r="Z120" t="s">
        <v>14</v>
      </c>
      <c r="AA120" t="s">
        <v>379</v>
      </c>
      <c r="AB120" t="s">
        <v>8</v>
      </c>
      <c r="AC120" t="s">
        <v>8</v>
      </c>
      <c r="AD120" t="s">
        <v>8</v>
      </c>
      <c r="AE120" s="2">
        <v>45937</v>
      </c>
      <c r="AF120" s="2"/>
      <c r="AG120" t="s">
        <v>8</v>
      </c>
    </row>
    <row r="121" spans="1:33" outlineLevel="2" x14ac:dyDescent="0.25">
      <c r="A121" t="s">
        <v>34</v>
      </c>
      <c r="B121" t="s">
        <v>1</v>
      </c>
      <c r="C121" t="s">
        <v>2</v>
      </c>
      <c r="D121" t="s">
        <v>3</v>
      </c>
      <c r="E121" t="s">
        <v>4</v>
      </c>
      <c r="F121" t="s">
        <v>38</v>
      </c>
      <c r="G121" s="2">
        <v>45857</v>
      </c>
      <c r="H121" t="s">
        <v>380</v>
      </c>
      <c r="I121" t="s">
        <v>61</v>
      </c>
      <c r="J121" s="2">
        <v>45857</v>
      </c>
      <c r="K121" s="2">
        <v>45859</v>
      </c>
      <c r="L121" t="s">
        <v>24</v>
      </c>
      <c r="M121" t="s">
        <v>381</v>
      </c>
      <c r="N121" t="s">
        <v>9</v>
      </c>
      <c r="O121" t="s">
        <v>10</v>
      </c>
      <c r="P121" t="s">
        <v>8</v>
      </c>
      <c r="Q121" t="s">
        <v>25</v>
      </c>
      <c r="R121" t="s">
        <v>59</v>
      </c>
      <c r="S121" s="3">
        <v>127.44</v>
      </c>
      <c r="T121" t="s">
        <v>12</v>
      </c>
      <c r="U121" s="3">
        <v>10959.93</v>
      </c>
      <c r="V121" t="s">
        <v>63</v>
      </c>
      <c r="W121" t="s">
        <v>27</v>
      </c>
      <c r="X121" t="s">
        <v>8</v>
      </c>
      <c r="Y121" t="s">
        <v>24</v>
      </c>
      <c r="Z121" t="s">
        <v>14</v>
      </c>
      <c r="AA121" t="s">
        <v>382</v>
      </c>
      <c r="AB121" t="s">
        <v>8</v>
      </c>
      <c r="AC121" t="s">
        <v>8</v>
      </c>
      <c r="AD121" t="s">
        <v>8</v>
      </c>
      <c r="AE121" s="2">
        <v>45857</v>
      </c>
      <c r="AF121" s="2"/>
      <c r="AG121" t="s">
        <v>8</v>
      </c>
    </row>
    <row r="122" spans="1:33" outlineLevel="2" x14ac:dyDescent="0.25">
      <c r="A122" t="s">
        <v>34</v>
      </c>
      <c r="B122" t="s">
        <v>1</v>
      </c>
      <c r="C122" t="s">
        <v>2</v>
      </c>
      <c r="D122" t="s">
        <v>3</v>
      </c>
      <c r="E122" t="s">
        <v>4</v>
      </c>
      <c r="F122" t="s">
        <v>38</v>
      </c>
      <c r="G122" s="2">
        <v>45857</v>
      </c>
      <c r="H122" t="s">
        <v>383</v>
      </c>
      <c r="I122" t="s">
        <v>61</v>
      </c>
      <c r="J122" s="2">
        <v>45857</v>
      </c>
      <c r="K122" s="2">
        <v>45859</v>
      </c>
      <c r="L122" t="s">
        <v>24</v>
      </c>
      <c r="M122" t="s">
        <v>384</v>
      </c>
      <c r="N122" t="s">
        <v>9</v>
      </c>
      <c r="O122" t="s">
        <v>10</v>
      </c>
      <c r="P122" t="s">
        <v>8</v>
      </c>
      <c r="Q122" t="s">
        <v>25</v>
      </c>
      <c r="R122" t="s">
        <v>59</v>
      </c>
      <c r="S122" s="3">
        <v>19.25</v>
      </c>
      <c r="T122" t="s">
        <v>12</v>
      </c>
      <c r="U122" s="3">
        <v>1655.51</v>
      </c>
      <c r="V122" t="s">
        <v>63</v>
      </c>
      <c r="W122" t="s">
        <v>27</v>
      </c>
      <c r="X122" t="s">
        <v>8</v>
      </c>
      <c r="Y122" t="s">
        <v>24</v>
      </c>
      <c r="Z122" t="s">
        <v>14</v>
      </c>
      <c r="AA122" t="s">
        <v>385</v>
      </c>
      <c r="AB122" t="s">
        <v>8</v>
      </c>
      <c r="AC122" t="s">
        <v>8</v>
      </c>
      <c r="AD122" t="s">
        <v>8</v>
      </c>
      <c r="AE122" s="2">
        <v>45857</v>
      </c>
      <c r="AF122" s="2"/>
      <c r="AG122" t="s">
        <v>8</v>
      </c>
    </row>
    <row r="123" spans="1:33" outlineLevel="2" x14ac:dyDescent="0.25">
      <c r="A123" t="s">
        <v>34</v>
      </c>
      <c r="B123" t="s">
        <v>1</v>
      </c>
      <c r="C123" t="s">
        <v>2</v>
      </c>
      <c r="D123" t="s">
        <v>3</v>
      </c>
      <c r="E123" t="s">
        <v>4</v>
      </c>
      <c r="F123" t="s">
        <v>41</v>
      </c>
      <c r="G123" s="2">
        <v>45948</v>
      </c>
      <c r="H123" t="s">
        <v>386</v>
      </c>
      <c r="I123" t="s">
        <v>61</v>
      </c>
      <c r="J123" s="2">
        <v>45948</v>
      </c>
      <c r="K123" s="2">
        <v>45951</v>
      </c>
      <c r="L123" t="s">
        <v>24</v>
      </c>
      <c r="M123" t="s">
        <v>387</v>
      </c>
      <c r="N123" t="s">
        <v>9</v>
      </c>
      <c r="O123" t="s">
        <v>10</v>
      </c>
      <c r="P123" t="s">
        <v>8</v>
      </c>
      <c r="Q123" t="s">
        <v>25</v>
      </c>
      <c r="R123" t="s">
        <v>59</v>
      </c>
      <c r="S123" s="3">
        <v>326.57</v>
      </c>
      <c r="T123" t="s">
        <v>12</v>
      </c>
      <c r="U123" s="3">
        <v>28800.46</v>
      </c>
      <c r="V123" t="s">
        <v>63</v>
      </c>
      <c r="W123" t="s">
        <v>27</v>
      </c>
      <c r="X123" t="s">
        <v>8</v>
      </c>
      <c r="Y123" t="s">
        <v>388</v>
      </c>
      <c r="Z123" t="s">
        <v>14</v>
      </c>
      <c r="AA123" t="s">
        <v>389</v>
      </c>
      <c r="AB123" t="s">
        <v>8</v>
      </c>
      <c r="AC123" t="s">
        <v>8</v>
      </c>
      <c r="AD123" t="s">
        <v>8</v>
      </c>
      <c r="AE123" s="2">
        <v>45948</v>
      </c>
      <c r="AF123" s="2"/>
      <c r="AG123" t="s">
        <v>8</v>
      </c>
    </row>
    <row r="124" spans="1:33" outlineLevel="2" x14ac:dyDescent="0.25">
      <c r="A124" t="s">
        <v>34</v>
      </c>
      <c r="B124" t="s">
        <v>1</v>
      </c>
      <c r="C124" t="s">
        <v>2</v>
      </c>
      <c r="D124" t="s">
        <v>3</v>
      </c>
      <c r="E124" t="s">
        <v>4</v>
      </c>
      <c r="F124" t="s">
        <v>41</v>
      </c>
      <c r="G124" s="2">
        <v>45935</v>
      </c>
      <c r="H124" t="s">
        <v>390</v>
      </c>
      <c r="I124" t="s">
        <v>61</v>
      </c>
      <c r="J124" s="2">
        <v>45935</v>
      </c>
      <c r="K124" s="2">
        <v>45937</v>
      </c>
      <c r="L124" t="s">
        <v>24</v>
      </c>
      <c r="M124" t="s">
        <v>391</v>
      </c>
      <c r="N124" t="s">
        <v>9</v>
      </c>
      <c r="O124" t="s">
        <v>10</v>
      </c>
      <c r="P124" t="s">
        <v>8</v>
      </c>
      <c r="Q124" t="s">
        <v>25</v>
      </c>
      <c r="R124" t="s">
        <v>59</v>
      </c>
      <c r="S124" s="3">
        <v>28.32</v>
      </c>
      <c r="T124" t="s">
        <v>12</v>
      </c>
      <c r="U124" s="3">
        <v>2497.56</v>
      </c>
      <c r="V124" t="s">
        <v>63</v>
      </c>
      <c r="W124" t="s">
        <v>27</v>
      </c>
      <c r="X124" t="s">
        <v>8</v>
      </c>
      <c r="Y124" t="s">
        <v>392</v>
      </c>
      <c r="Z124" t="s">
        <v>14</v>
      </c>
      <c r="AA124" t="s">
        <v>393</v>
      </c>
      <c r="AB124" t="s">
        <v>8</v>
      </c>
      <c r="AC124" t="s">
        <v>8</v>
      </c>
      <c r="AD124" t="s">
        <v>8</v>
      </c>
      <c r="AE124" s="2">
        <v>45935</v>
      </c>
      <c r="AF124" s="2"/>
      <c r="AG124" t="s">
        <v>8</v>
      </c>
    </row>
    <row r="125" spans="1:33" outlineLevel="2" x14ac:dyDescent="0.25">
      <c r="A125" t="s">
        <v>34</v>
      </c>
      <c r="B125" t="s">
        <v>1</v>
      </c>
      <c r="C125" t="s">
        <v>2</v>
      </c>
      <c r="D125" t="s">
        <v>3</v>
      </c>
      <c r="E125" t="s">
        <v>4</v>
      </c>
      <c r="F125" t="s">
        <v>41</v>
      </c>
      <c r="G125" s="2">
        <v>45935</v>
      </c>
      <c r="H125" t="s">
        <v>394</v>
      </c>
      <c r="I125" t="s">
        <v>61</v>
      </c>
      <c r="J125" s="2">
        <v>45935</v>
      </c>
      <c r="K125" s="2">
        <v>45940</v>
      </c>
      <c r="L125" t="s">
        <v>24</v>
      </c>
      <c r="M125" t="s">
        <v>395</v>
      </c>
      <c r="N125" t="s">
        <v>9</v>
      </c>
      <c r="O125" t="s">
        <v>10</v>
      </c>
      <c r="P125" t="s">
        <v>8</v>
      </c>
      <c r="Q125" t="s">
        <v>25</v>
      </c>
      <c r="R125" t="s">
        <v>59</v>
      </c>
      <c r="S125" s="3">
        <v>704.35</v>
      </c>
      <c r="T125" t="s">
        <v>12</v>
      </c>
      <c r="U125" s="3">
        <v>62117.17</v>
      </c>
      <c r="V125" t="s">
        <v>63</v>
      </c>
      <c r="W125" t="s">
        <v>27</v>
      </c>
      <c r="X125" t="s">
        <v>8</v>
      </c>
      <c r="Y125" t="s">
        <v>24</v>
      </c>
      <c r="Z125" t="s">
        <v>14</v>
      </c>
      <c r="AA125" t="s">
        <v>396</v>
      </c>
      <c r="AB125" t="s">
        <v>8</v>
      </c>
      <c r="AC125" t="s">
        <v>8</v>
      </c>
      <c r="AD125" t="s">
        <v>8</v>
      </c>
      <c r="AE125" s="2">
        <v>45935</v>
      </c>
      <c r="AF125" s="2"/>
      <c r="AG125" t="s">
        <v>8</v>
      </c>
    </row>
    <row r="126" spans="1:33" outlineLevel="2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41</v>
      </c>
      <c r="G126" s="2">
        <v>45935</v>
      </c>
      <c r="H126" t="s">
        <v>397</v>
      </c>
      <c r="I126" t="s">
        <v>61</v>
      </c>
      <c r="J126" s="2">
        <v>45935</v>
      </c>
      <c r="K126" s="2">
        <v>45937</v>
      </c>
      <c r="L126" t="s">
        <v>24</v>
      </c>
      <c r="M126" t="s">
        <v>398</v>
      </c>
      <c r="N126" t="s">
        <v>9</v>
      </c>
      <c r="O126" t="s">
        <v>10</v>
      </c>
      <c r="P126" t="s">
        <v>8</v>
      </c>
      <c r="Q126" t="s">
        <v>25</v>
      </c>
      <c r="R126" t="s">
        <v>59</v>
      </c>
      <c r="S126" s="3">
        <v>28.32</v>
      </c>
      <c r="T126" t="s">
        <v>12</v>
      </c>
      <c r="U126" s="3">
        <v>2497.56</v>
      </c>
      <c r="V126" t="s">
        <v>63</v>
      </c>
      <c r="W126" t="s">
        <v>27</v>
      </c>
      <c r="X126" t="s">
        <v>8</v>
      </c>
      <c r="Y126" t="s">
        <v>399</v>
      </c>
      <c r="Z126" t="s">
        <v>14</v>
      </c>
      <c r="AA126" t="s">
        <v>393</v>
      </c>
      <c r="AB126" t="s">
        <v>8</v>
      </c>
      <c r="AC126" t="s">
        <v>8</v>
      </c>
      <c r="AD126" t="s">
        <v>8</v>
      </c>
      <c r="AE126" s="2">
        <v>45935</v>
      </c>
      <c r="AF126" s="2">
        <v>45975</v>
      </c>
      <c r="AG126" t="s">
        <v>55</v>
      </c>
    </row>
    <row r="127" spans="1:33" outlineLevel="2" x14ac:dyDescent="0.25">
      <c r="A127" t="s">
        <v>34</v>
      </c>
      <c r="B127" t="s">
        <v>1</v>
      </c>
      <c r="C127" t="s">
        <v>2</v>
      </c>
      <c r="D127" t="s">
        <v>3</v>
      </c>
      <c r="E127" t="s">
        <v>400</v>
      </c>
      <c r="F127" t="s">
        <v>14</v>
      </c>
      <c r="G127" s="2">
        <v>46027</v>
      </c>
      <c r="H127" t="s">
        <v>401</v>
      </c>
      <c r="I127" t="s">
        <v>61</v>
      </c>
      <c r="J127" s="2">
        <v>46027</v>
      </c>
      <c r="K127" s="2">
        <v>46027</v>
      </c>
      <c r="L127" t="s">
        <v>24</v>
      </c>
      <c r="M127" t="s">
        <v>402</v>
      </c>
      <c r="N127" t="s">
        <v>9</v>
      </c>
      <c r="O127" t="s">
        <v>10</v>
      </c>
      <c r="P127" t="s">
        <v>8</v>
      </c>
      <c r="Q127" t="s">
        <v>25</v>
      </c>
      <c r="R127" t="s">
        <v>59</v>
      </c>
      <c r="S127" s="3">
        <v>440.2</v>
      </c>
      <c r="T127" t="s">
        <v>12</v>
      </c>
      <c r="U127" s="3">
        <v>39945.129999999997</v>
      </c>
      <c r="V127" t="s">
        <v>63</v>
      </c>
      <c r="W127" t="s">
        <v>27</v>
      </c>
      <c r="X127" t="s">
        <v>8</v>
      </c>
      <c r="Y127" t="s">
        <v>403</v>
      </c>
      <c r="Z127" t="s">
        <v>14</v>
      </c>
      <c r="AA127" t="s">
        <v>404</v>
      </c>
      <c r="AB127" t="s">
        <v>8</v>
      </c>
      <c r="AC127" t="s">
        <v>8</v>
      </c>
      <c r="AD127" t="s">
        <v>8</v>
      </c>
      <c r="AE127" s="2">
        <v>46027</v>
      </c>
      <c r="AF127" s="2"/>
      <c r="AG127" t="s">
        <v>8</v>
      </c>
    </row>
    <row r="128" spans="1:33" outlineLevel="2" x14ac:dyDescent="0.25">
      <c r="A128" t="s">
        <v>34</v>
      </c>
      <c r="B128" t="s">
        <v>1</v>
      </c>
      <c r="C128" t="s">
        <v>2</v>
      </c>
      <c r="D128" t="s">
        <v>3</v>
      </c>
      <c r="E128" t="s">
        <v>400</v>
      </c>
      <c r="F128" t="s">
        <v>14</v>
      </c>
      <c r="G128" s="2">
        <v>46027</v>
      </c>
      <c r="H128" t="s">
        <v>405</v>
      </c>
      <c r="I128" t="s">
        <v>61</v>
      </c>
      <c r="J128" s="2">
        <v>46027</v>
      </c>
      <c r="K128" s="2">
        <v>46027</v>
      </c>
      <c r="L128" t="s">
        <v>406</v>
      </c>
      <c r="M128" t="s">
        <v>407</v>
      </c>
      <c r="N128" t="s">
        <v>9</v>
      </c>
      <c r="O128" t="s">
        <v>10</v>
      </c>
      <c r="P128" t="s">
        <v>8</v>
      </c>
      <c r="Q128" t="s">
        <v>25</v>
      </c>
      <c r="R128" t="s">
        <v>59</v>
      </c>
      <c r="S128" s="3">
        <v>84.64</v>
      </c>
      <c r="T128" t="s">
        <v>12</v>
      </c>
      <c r="U128" s="3">
        <v>7680.5</v>
      </c>
      <c r="V128" t="s">
        <v>63</v>
      </c>
      <c r="W128" t="s">
        <v>27</v>
      </c>
      <c r="X128" t="s">
        <v>8</v>
      </c>
      <c r="Y128" t="s">
        <v>24</v>
      </c>
      <c r="Z128" t="s">
        <v>14</v>
      </c>
      <c r="AA128" t="s">
        <v>408</v>
      </c>
      <c r="AB128" t="s">
        <v>8</v>
      </c>
      <c r="AC128" t="s">
        <v>8</v>
      </c>
      <c r="AD128" t="s">
        <v>8</v>
      </c>
      <c r="AE128" s="2">
        <v>46027</v>
      </c>
      <c r="AF128" s="2"/>
      <c r="AG128" t="s">
        <v>8</v>
      </c>
    </row>
    <row r="129" spans="1:33" outlineLevel="2" x14ac:dyDescent="0.25">
      <c r="A129" t="s">
        <v>34</v>
      </c>
      <c r="B129" t="s">
        <v>1</v>
      </c>
      <c r="C129" t="s">
        <v>2</v>
      </c>
      <c r="D129" t="s">
        <v>3</v>
      </c>
      <c r="E129" t="s">
        <v>400</v>
      </c>
      <c r="F129" t="s">
        <v>14</v>
      </c>
      <c r="G129" s="2">
        <v>46031</v>
      </c>
      <c r="H129" t="s">
        <v>409</v>
      </c>
      <c r="I129" t="s">
        <v>61</v>
      </c>
      <c r="J129" s="2">
        <v>46031</v>
      </c>
      <c r="K129" s="2">
        <v>46031</v>
      </c>
      <c r="L129" t="s">
        <v>24</v>
      </c>
      <c r="M129" t="s">
        <v>410</v>
      </c>
      <c r="N129" t="s">
        <v>9</v>
      </c>
      <c r="O129" t="s">
        <v>10</v>
      </c>
      <c r="P129" t="s">
        <v>8</v>
      </c>
      <c r="Q129" t="s">
        <v>25</v>
      </c>
      <c r="R129" t="s">
        <v>59</v>
      </c>
      <c r="S129" s="3">
        <v>708.71</v>
      </c>
      <c r="T129" t="s">
        <v>12</v>
      </c>
      <c r="U129" s="3">
        <v>64310.57</v>
      </c>
      <c r="V129" t="s">
        <v>63</v>
      </c>
      <c r="W129" t="s">
        <v>27</v>
      </c>
      <c r="X129" t="s">
        <v>8</v>
      </c>
      <c r="Y129" t="s">
        <v>411</v>
      </c>
      <c r="Z129" t="s">
        <v>14</v>
      </c>
      <c r="AA129" t="s">
        <v>412</v>
      </c>
      <c r="AB129" t="s">
        <v>8</v>
      </c>
      <c r="AC129" t="s">
        <v>8</v>
      </c>
      <c r="AD129" t="s">
        <v>8</v>
      </c>
      <c r="AE129" s="2">
        <v>46031</v>
      </c>
      <c r="AF129" s="2"/>
      <c r="AG129" t="s">
        <v>8</v>
      </c>
    </row>
    <row r="130" spans="1:33" outlineLevel="2" x14ac:dyDescent="0.25">
      <c r="A130" t="s">
        <v>34</v>
      </c>
      <c r="B130" t="s">
        <v>1</v>
      </c>
      <c r="C130" t="s">
        <v>2</v>
      </c>
      <c r="D130" t="s">
        <v>3</v>
      </c>
      <c r="E130" t="s">
        <v>400</v>
      </c>
      <c r="F130" t="s">
        <v>14</v>
      </c>
      <c r="G130" s="2">
        <v>46028</v>
      </c>
      <c r="H130" t="s">
        <v>413</v>
      </c>
      <c r="I130" t="s">
        <v>61</v>
      </c>
      <c r="J130" s="2">
        <v>46028</v>
      </c>
      <c r="K130" s="2">
        <v>46034</v>
      </c>
      <c r="L130" t="s">
        <v>414</v>
      </c>
      <c r="M130" t="s">
        <v>415</v>
      </c>
      <c r="N130" t="s">
        <v>9</v>
      </c>
      <c r="O130" t="s">
        <v>10</v>
      </c>
      <c r="P130" t="s">
        <v>8</v>
      </c>
      <c r="Q130" t="s">
        <v>25</v>
      </c>
      <c r="R130" t="s">
        <v>59</v>
      </c>
      <c r="S130" s="3">
        <v>42.48</v>
      </c>
      <c r="T130" t="s">
        <v>12</v>
      </c>
      <c r="U130" s="3">
        <v>3854.77</v>
      </c>
      <c r="V130" t="s">
        <v>63</v>
      </c>
      <c r="W130" t="s">
        <v>27</v>
      </c>
      <c r="X130" t="s">
        <v>8</v>
      </c>
      <c r="Y130" t="s">
        <v>24</v>
      </c>
      <c r="Z130" t="s">
        <v>14</v>
      </c>
      <c r="AA130" t="s">
        <v>416</v>
      </c>
      <c r="AB130" t="s">
        <v>8</v>
      </c>
      <c r="AC130" t="s">
        <v>8</v>
      </c>
      <c r="AD130" t="s">
        <v>8</v>
      </c>
      <c r="AE130" s="2">
        <v>46028</v>
      </c>
      <c r="AF130" s="2"/>
      <c r="AG130" t="s">
        <v>8</v>
      </c>
    </row>
    <row r="131" spans="1:33" outlineLevel="2" x14ac:dyDescent="0.25">
      <c r="A131" t="s">
        <v>34</v>
      </c>
      <c r="B131" t="s">
        <v>1</v>
      </c>
      <c r="C131" t="s">
        <v>2</v>
      </c>
      <c r="D131" t="s">
        <v>3</v>
      </c>
      <c r="E131" t="s">
        <v>400</v>
      </c>
      <c r="F131" t="s">
        <v>14</v>
      </c>
      <c r="G131" s="2">
        <v>46034</v>
      </c>
      <c r="H131" t="s">
        <v>417</v>
      </c>
      <c r="I131" t="s">
        <v>61</v>
      </c>
      <c r="J131" s="2">
        <v>46034</v>
      </c>
      <c r="K131" s="2">
        <v>46034</v>
      </c>
      <c r="L131" t="s">
        <v>418</v>
      </c>
      <c r="M131" t="s">
        <v>419</v>
      </c>
      <c r="N131" t="s">
        <v>9</v>
      </c>
      <c r="O131" t="s">
        <v>10</v>
      </c>
      <c r="P131" t="s">
        <v>8</v>
      </c>
      <c r="Q131" t="s">
        <v>25</v>
      </c>
      <c r="R131" t="s">
        <v>59</v>
      </c>
      <c r="S131" s="3">
        <v>42.48</v>
      </c>
      <c r="T131" t="s">
        <v>12</v>
      </c>
      <c r="U131" s="3">
        <v>3854.77</v>
      </c>
      <c r="V131" t="s">
        <v>63</v>
      </c>
      <c r="W131" t="s">
        <v>27</v>
      </c>
      <c r="X131" t="s">
        <v>8</v>
      </c>
      <c r="Y131" t="s">
        <v>24</v>
      </c>
      <c r="Z131" t="s">
        <v>14</v>
      </c>
      <c r="AA131" t="s">
        <v>420</v>
      </c>
      <c r="AB131" t="s">
        <v>8</v>
      </c>
      <c r="AC131" t="s">
        <v>8</v>
      </c>
      <c r="AD131" t="s">
        <v>8</v>
      </c>
      <c r="AE131" s="2">
        <v>46034</v>
      </c>
      <c r="AF131" s="2"/>
      <c r="AG131" t="s">
        <v>8</v>
      </c>
    </row>
    <row r="132" spans="1:33" outlineLevel="2" x14ac:dyDescent="0.25">
      <c r="A132" t="s">
        <v>34</v>
      </c>
      <c r="B132" t="s">
        <v>1</v>
      </c>
      <c r="C132" t="s">
        <v>2</v>
      </c>
      <c r="D132" t="s">
        <v>3</v>
      </c>
      <c r="E132" t="s">
        <v>400</v>
      </c>
      <c r="F132" t="s">
        <v>14</v>
      </c>
      <c r="G132" s="2">
        <v>46028</v>
      </c>
      <c r="H132" t="s">
        <v>421</v>
      </c>
      <c r="I132" t="s">
        <v>61</v>
      </c>
      <c r="J132" s="2">
        <v>46028</v>
      </c>
      <c r="K132" s="2">
        <v>46035</v>
      </c>
      <c r="L132" t="s">
        <v>422</v>
      </c>
      <c r="M132" t="s">
        <v>423</v>
      </c>
      <c r="N132" t="s">
        <v>9</v>
      </c>
      <c r="O132" t="s">
        <v>10</v>
      </c>
      <c r="P132" t="s">
        <v>8</v>
      </c>
      <c r="Q132" t="s">
        <v>25</v>
      </c>
      <c r="R132" t="s">
        <v>59</v>
      </c>
      <c r="S132" s="3">
        <v>497.02</v>
      </c>
      <c r="T132" t="s">
        <v>12</v>
      </c>
      <c r="U132" s="3">
        <v>45101.16</v>
      </c>
      <c r="V132" t="s">
        <v>63</v>
      </c>
      <c r="W132" t="s">
        <v>27</v>
      </c>
      <c r="X132" t="s">
        <v>8</v>
      </c>
      <c r="Y132" t="s">
        <v>24</v>
      </c>
      <c r="Z132" t="s">
        <v>14</v>
      </c>
      <c r="AA132" t="s">
        <v>424</v>
      </c>
      <c r="AB132" t="s">
        <v>8</v>
      </c>
      <c r="AC132" t="s">
        <v>8</v>
      </c>
      <c r="AD132" t="s">
        <v>8</v>
      </c>
      <c r="AE132" s="2">
        <v>46028</v>
      </c>
      <c r="AF132" s="2"/>
      <c r="AG132" t="s">
        <v>8</v>
      </c>
    </row>
    <row r="133" spans="1:33" outlineLevel="2" x14ac:dyDescent="0.25">
      <c r="A133" t="s">
        <v>34</v>
      </c>
      <c r="B133" t="s">
        <v>1</v>
      </c>
      <c r="C133" t="s">
        <v>2</v>
      </c>
      <c r="D133" t="s">
        <v>3</v>
      </c>
      <c r="E133" t="s">
        <v>400</v>
      </c>
      <c r="F133" t="s">
        <v>14</v>
      </c>
      <c r="G133" s="2">
        <v>46034</v>
      </c>
      <c r="H133" t="s">
        <v>425</v>
      </c>
      <c r="I133" t="s">
        <v>61</v>
      </c>
      <c r="J133" s="2">
        <v>46034</v>
      </c>
      <c r="K133" s="2">
        <v>46035</v>
      </c>
      <c r="L133" t="s">
        <v>426</v>
      </c>
      <c r="M133" t="s">
        <v>427</v>
      </c>
      <c r="N133" t="s">
        <v>9</v>
      </c>
      <c r="O133" t="s">
        <v>10</v>
      </c>
      <c r="P133" t="s">
        <v>8</v>
      </c>
      <c r="Q133" t="s">
        <v>25</v>
      </c>
      <c r="R133" t="s">
        <v>59</v>
      </c>
      <c r="S133" s="3">
        <v>50.79</v>
      </c>
      <c r="T133" t="s">
        <v>12</v>
      </c>
      <c r="U133" s="3">
        <v>4608.84</v>
      </c>
      <c r="V133" t="s">
        <v>63</v>
      </c>
      <c r="W133" t="s">
        <v>27</v>
      </c>
      <c r="X133" t="s">
        <v>8</v>
      </c>
      <c r="Y133" t="s">
        <v>24</v>
      </c>
      <c r="Z133" t="s">
        <v>14</v>
      </c>
      <c r="AA133" t="s">
        <v>428</v>
      </c>
      <c r="AB133" t="s">
        <v>8</v>
      </c>
      <c r="AC133" t="s">
        <v>8</v>
      </c>
      <c r="AD133" t="s">
        <v>8</v>
      </c>
      <c r="AE133" s="2">
        <v>46034</v>
      </c>
      <c r="AF133" s="2"/>
      <c r="AG133" t="s">
        <v>8</v>
      </c>
    </row>
    <row r="134" spans="1:33" outlineLevel="2" x14ac:dyDescent="0.25">
      <c r="A134" t="s">
        <v>34</v>
      </c>
      <c r="B134" t="s">
        <v>1</v>
      </c>
      <c r="C134" t="s">
        <v>2</v>
      </c>
      <c r="D134" t="s">
        <v>3</v>
      </c>
      <c r="E134" t="s">
        <v>400</v>
      </c>
      <c r="F134" t="s">
        <v>14</v>
      </c>
      <c r="G134" s="2">
        <v>46042</v>
      </c>
      <c r="H134" t="s">
        <v>429</v>
      </c>
      <c r="I134" t="s">
        <v>61</v>
      </c>
      <c r="J134" s="2">
        <v>46042</v>
      </c>
      <c r="K134" s="2">
        <v>46045</v>
      </c>
      <c r="L134" t="s">
        <v>430</v>
      </c>
      <c r="M134" t="s">
        <v>431</v>
      </c>
      <c r="N134" t="s">
        <v>9</v>
      </c>
      <c r="O134" t="s">
        <v>10</v>
      </c>
      <c r="P134" t="s">
        <v>8</v>
      </c>
      <c r="Q134" t="s">
        <v>25</v>
      </c>
      <c r="R134" t="s">
        <v>59</v>
      </c>
      <c r="S134" s="3">
        <v>454.01</v>
      </c>
      <c r="T134" t="s">
        <v>12</v>
      </c>
      <c r="U134" s="3">
        <v>41198.29</v>
      </c>
      <c r="V134" t="s">
        <v>63</v>
      </c>
      <c r="W134" t="s">
        <v>27</v>
      </c>
      <c r="X134" t="s">
        <v>8</v>
      </c>
      <c r="Y134" t="s">
        <v>24</v>
      </c>
      <c r="Z134" t="s">
        <v>14</v>
      </c>
      <c r="AA134" t="s">
        <v>432</v>
      </c>
      <c r="AB134" t="s">
        <v>8</v>
      </c>
      <c r="AC134" t="s">
        <v>8</v>
      </c>
      <c r="AD134" t="s">
        <v>8</v>
      </c>
      <c r="AE134" s="2">
        <v>46042</v>
      </c>
      <c r="AF134" s="2"/>
      <c r="AG134" t="s">
        <v>8</v>
      </c>
    </row>
    <row r="135" spans="1:33" outlineLevel="2" x14ac:dyDescent="0.25">
      <c r="A135" t="s">
        <v>34</v>
      </c>
      <c r="B135" t="s">
        <v>1</v>
      </c>
      <c r="C135" t="s">
        <v>2</v>
      </c>
      <c r="D135" t="s">
        <v>3</v>
      </c>
      <c r="E135" t="s">
        <v>400</v>
      </c>
      <c r="F135" t="s">
        <v>14</v>
      </c>
      <c r="G135" s="2">
        <v>46045</v>
      </c>
      <c r="H135" t="s">
        <v>433</v>
      </c>
      <c r="I135" t="s">
        <v>61</v>
      </c>
      <c r="J135" s="2">
        <v>46045</v>
      </c>
      <c r="K135" s="2">
        <v>46049</v>
      </c>
      <c r="L135" t="s">
        <v>434</v>
      </c>
      <c r="M135" t="s">
        <v>435</v>
      </c>
      <c r="N135" t="s">
        <v>9</v>
      </c>
      <c r="O135" t="s">
        <v>10</v>
      </c>
      <c r="P135" t="s">
        <v>8</v>
      </c>
      <c r="Q135" t="s">
        <v>25</v>
      </c>
      <c r="R135" t="s">
        <v>59</v>
      </c>
      <c r="S135" s="3">
        <v>17.7</v>
      </c>
      <c r="T135" t="s">
        <v>12</v>
      </c>
      <c r="U135" s="3">
        <v>1606.15</v>
      </c>
      <c r="V135" t="s">
        <v>63</v>
      </c>
      <c r="W135" t="s">
        <v>27</v>
      </c>
      <c r="X135" t="s">
        <v>8</v>
      </c>
      <c r="Y135" t="s">
        <v>24</v>
      </c>
      <c r="Z135" t="s">
        <v>14</v>
      </c>
      <c r="AA135" t="s">
        <v>436</v>
      </c>
      <c r="AB135" t="s">
        <v>8</v>
      </c>
      <c r="AC135" t="s">
        <v>8</v>
      </c>
      <c r="AD135" t="s">
        <v>8</v>
      </c>
      <c r="AE135" s="2">
        <v>46045</v>
      </c>
      <c r="AF135" s="2"/>
      <c r="AG135" t="s">
        <v>8</v>
      </c>
    </row>
    <row r="136" spans="1:33" outlineLevel="1" x14ac:dyDescent="0.25">
      <c r="A136" s="4" t="s">
        <v>8</v>
      </c>
      <c r="B136" s="4" t="s">
        <v>8</v>
      </c>
      <c r="C136" s="4" t="s">
        <v>8</v>
      </c>
      <c r="D136" s="4" t="s">
        <v>8</v>
      </c>
      <c r="E136" s="4" t="s">
        <v>8</v>
      </c>
      <c r="F136" s="4" t="s">
        <v>8</v>
      </c>
      <c r="G136" s="5"/>
      <c r="H136" s="4" t="s">
        <v>8</v>
      </c>
      <c r="I136" s="4" t="s">
        <v>8</v>
      </c>
      <c r="J136" s="5"/>
      <c r="K136" s="5"/>
      <c r="L136" s="4" t="s">
        <v>8</v>
      </c>
      <c r="M136" s="4" t="s">
        <v>8</v>
      </c>
      <c r="N136" s="4" t="s">
        <v>9</v>
      </c>
      <c r="O136" s="4" t="s">
        <v>8</v>
      </c>
      <c r="P136" s="4" t="s">
        <v>8</v>
      </c>
      <c r="Q136" s="4" t="s">
        <v>8</v>
      </c>
      <c r="R136" s="4" t="s">
        <v>12</v>
      </c>
      <c r="S136" s="6">
        <v>-1237726</v>
      </c>
      <c r="T136" s="4" t="s">
        <v>12</v>
      </c>
      <c r="U136" s="6">
        <v>550127.43000000005</v>
      </c>
      <c r="V136" s="4" t="s">
        <v>8</v>
      </c>
      <c r="W136" s="4" t="s">
        <v>8</v>
      </c>
      <c r="X136" s="4" t="s">
        <v>8</v>
      </c>
      <c r="Y136" s="4" t="s">
        <v>8</v>
      </c>
      <c r="Z136" s="4" t="s">
        <v>8</v>
      </c>
      <c r="AA136" s="4" t="s">
        <v>8</v>
      </c>
      <c r="AB136" s="4" t="s">
        <v>8</v>
      </c>
      <c r="AC136" s="4" t="s">
        <v>8</v>
      </c>
      <c r="AD136" s="4" t="s">
        <v>8</v>
      </c>
      <c r="AE136" s="5"/>
      <c r="AF136" s="5"/>
      <c r="AG136" s="4" t="s">
        <v>8</v>
      </c>
    </row>
    <row r="137" spans="1:33" outlineLevel="1" x14ac:dyDescent="0.25">
      <c r="A137" s="4" t="s">
        <v>8</v>
      </c>
      <c r="B137" s="4" t="s">
        <v>8</v>
      </c>
      <c r="C137" s="4" t="s">
        <v>8</v>
      </c>
      <c r="D137" s="4" t="s">
        <v>8</v>
      </c>
      <c r="E137" s="4" t="s">
        <v>8</v>
      </c>
      <c r="F137" s="4" t="s">
        <v>8</v>
      </c>
      <c r="G137" s="5"/>
      <c r="H137" s="4" t="s">
        <v>8</v>
      </c>
      <c r="I137" s="4" t="s">
        <v>8</v>
      </c>
      <c r="J137" s="5"/>
      <c r="K137" s="5"/>
      <c r="L137" s="4" t="s">
        <v>8</v>
      </c>
      <c r="M137" s="4" t="s">
        <v>8</v>
      </c>
      <c r="N137" s="4" t="s">
        <v>8</v>
      </c>
      <c r="O137" s="4" t="s">
        <v>8</v>
      </c>
      <c r="P137" s="4" t="s">
        <v>8</v>
      </c>
      <c r="Q137" s="4" t="s">
        <v>8</v>
      </c>
      <c r="R137" s="4" t="s">
        <v>59</v>
      </c>
      <c r="S137" s="6">
        <v>20460.09</v>
      </c>
      <c r="T137" s="4" t="s">
        <v>8</v>
      </c>
      <c r="U137" s="7"/>
      <c r="V137" s="4" t="s">
        <v>8</v>
      </c>
      <c r="W137" s="4" t="s">
        <v>8</v>
      </c>
      <c r="X137" s="4" t="s">
        <v>8</v>
      </c>
      <c r="Y137" s="4" t="s">
        <v>8</v>
      </c>
      <c r="Z137" s="4" t="s">
        <v>8</v>
      </c>
      <c r="AA137" s="4" t="s">
        <v>8</v>
      </c>
      <c r="AB137" s="4" t="s">
        <v>8</v>
      </c>
      <c r="AC137" s="4" t="s">
        <v>8</v>
      </c>
      <c r="AD137" s="4" t="s">
        <v>8</v>
      </c>
      <c r="AE137" s="5"/>
      <c r="AF137" s="5"/>
      <c r="AG137" s="4" t="s">
        <v>8</v>
      </c>
    </row>
    <row r="138" spans="1:33" x14ac:dyDescent="0.25">
      <c r="A138" s="8" t="s">
        <v>8</v>
      </c>
      <c r="B138" s="8" t="s">
        <v>8</v>
      </c>
      <c r="C138" s="8" t="s">
        <v>8</v>
      </c>
      <c r="D138" s="8" t="s">
        <v>8</v>
      </c>
      <c r="E138" s="8" t="s">
        <v>8</v>
      </c>
      <c r="F138" s="8" t="s">
        <v>8</v>
      </c>
      <c r="G138" s="9"/>
      <c r="H138" s="8" t="s">
        <v>8</v>
      </c>
      <c r="I138" s="8" t="s">
        <v>8</v>
      </c>
      <c r="J138" s="9"/>
      <c r="K138" s="9"/>
      <c r="L138" s="8" t="s">
        <v>8</v>
      </c>
      <c r="M138" s="8" t="s">
        <v>8</v>
      </c>
      <c r="N138" s="8" t="s">
        <v>8</v>
      </c>
      <c r="O138" s="8" t="s">
        <v>8</v>
      </c>
      <c r="P138" s="8" t="s">
        <v>8</v>
      </c>
      <c r="Q138" s="8" t="s">
        <v>8</v>
      </c>
      <c r="R138" s="8" t="s">
        <v>12</v>
      </c>
      <c r="S138" s="10">
        <v>-1237726</v>
      </c>
      <c r="T138" s="8" t="s">
        <v>12</v>
      </c>
      <c r="U138" s="10">
        <v>550127.43000000005</v>
      </c>
      <c r="V138" s="8" t="s">
        <v>8</v>
      </c>
      <c r="W138" s="8" t="s">
        <v>8</v>
      </c>
      <c r="X138" s="8" t="s">
        <v>8</v>
      </c>
      <c r="Y138" s="8" t="s">
        <v>8</v>
      </c>
      <c r="Z138" s="8" t="s">
        <v>8</v>
      </c>
      <c r="AA138" s="8" t="s">
        <v>8</v>
      </c>
      <c r="AB138" s="8" t="s">
        <v>8</v>
      </c>
      <c r="AC138" s="8" t="s">
        <v>8</v>
      </c>
      <c r="AD138" s="8" t="s">
        <v>8</v>
      </c>
      <c r="AE138" s="9"/>
      <c r="AF138" s="9"/>
      <c r="AG138" s="8" t="s">
        <v>8</v>
      </c>
    </row>
    <row r="139" spans="1:33" x14ac:dyDescent="0.25">
      <c r="A139" s="8" t="s">
        <v>8</v>
      </c>
      <c r="B139" s="8" t="s">
        <v>8</v>
      </c>
      <c r="C139" s="8" t="s">
        <v>8</v>
      </c>
      <c r="D139" s="8" t="s">
        <v>8</v>
      </c>
      <c r="E139" s="8" t="s">
        <v>8</v>
      </c>
      <c r="F139" s="8" t="s">
        <v>8</v>
      </c>
      <c r="G139" s="9"/>
      <c r="H139" s="8" t="s">
        <v>8</v>
      </c>
      <c r="I139" s="8" t="s">
        <v>8</v>
      </c>
      <c r="J139" s="9"/>
      <c r="K139" s="9"/>
      <c r="L139" s="8" t="s">
        <v>8</v>
      </c>
      <c r="M139" s="8" t="s">
        <v>8</v>
      </c>
      <c r="N139" s="8" t="s">
        <v>8</v>
      </c>
      <c r="O139" s="8" t="s">
        <v>8</v>
      </c>
      <c r="P139" s="8" t="s">
        <v>8</v>
      </c>
      <c r="Q139" s="8" t="s">
        <v>8</v>
      </c>
      <c r="R139" s="8" t="s">
        <v>59</v>
      </c>
      <c r="S139" s="10">
        <v>20460.09</v>
      </c>
      <c r="T139" s="8" t="s">
        <v>8</v>
      </c>
      <c r="U139" s="11"/>
      <c r="V139" s="8" t="s">
        <v>8</v>
      </c>
      <c r="W139" s="8" t="s">
        <v>8</v>
      </c>
      <c r="X139" s="8" t="s">
        <v>8</v>
      </c>
      <c r="Y139" s="8" t="s">
        <v>8</v>
      </c>
      <c r="Z139" s="8" t="s">
        <v>8</v>
      </c>
      <c r="AA139" s="8" t="s">
        <v>8</v>
      </c>
      <c r="AB139" s="8" t="s">
        <v>8</v>
      </c>
      <c r="AC139" s="8" t="s">
        <v>8</v>
      </c>
      <c r="AD139" s="8" t="s">
        <v>8</v>
      </c>
      <c r="AE139" s="9"/>
      <c r="AF139" s="9"/>
      <c r="AG139" s="8" t="s">
        <v>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E01F3-E62E-4C5E-90B0-1E4C9F9E0603}">
  <dimension ref="A1:AM136"/>
  <sheetViews>
    <sheetView tabSelected="1" topLeftCell="P2" workbookViewId="0">
      <selection activeCell="X26" sqref="X26"/>
    </sheetView>
  </sheetViews>
  <sheetFormatPr defaultRowHeight="13.2" outlineLevelRow="2" x14ac:dyDescent="0.25"/>
  <cols>
    <col min="1" max="2" width="14" bestFit="1" customWidth="1"/>
    <col min="3" max="3" width="11" bestFit="1" customWidth="1"/>
    <col min="4" max="4" width="30" bestFit="1" customWidth="1"/>
    <col min="5" max="5" width="13" bestFit="1" customWidth="1"/>
    <col min="6" max="6" width="10" bestFit="1" customWidth="1"/>
    <col min="7" max="7" width="14" bestFit="1" customWidth="1"/>
    <col min="8" max="8" width="17" bestFit="1" customWidth="1"/>
    <col min="9" max="9" width="10" bestFit="1" customWidth="1"/>
    <col min="10" max="10" width="15" bestFit="1" customWidth="1"/>
    <col min="11" max="11" width="13" bestFit="1" customWidth="1"/>
    <col min="12" max="12" width="24" bestFit="1" customWidth="1"/>
    <col min="13" max="13" width="17" bestFit="1" customWidth="1"/>
    <col min="14" max="14" width="13" bestFit="1" customWidth="1"/>
    <col min="15" max="15" width="25" bestFit="1" customWidth="1"/>
    <col min="16" max="16" width="18" bestFit="1" customWidth="1"/>
    <col min="17" max="17" width="13" bestFit="1" customWidth="1"/>
    <col min="18" max="18" width="14" bestFit="1" customWidth="1"/>
    <col min="19" max="19" width="13" bestFit="1" customWidth="1"/>
    <col min="20" max="20" width="16" bestFit="1" customWidth="1"/>
    <col min="21" max="21" width="13.5546875" bestFit="1" customWidth="1"/>
    <col min="22" max="24" width="12" customWidth="1"/>
    <col min="25" max="25" width="23" bestFit="1" customWidth="1"/>
    <col min="26" max="27" width="12" customWidth="1"/>
    <col min="28" max="28" width="10" bestFit="1" customWidth="1"/>
    <col min="29" max="29" width="15" bestFit="1" customWidth="1"/>
    <col min="30" max="30" width="21" bestFit="1" customWidth="1"/>
    <col min="31" max="31" width="16" bestFit="1" customWidth="1"/>
    <col min="32" max="32" width="6" bestFit="1" customWidth="1"/>
    <col min="33" max="33" width="46" bestFit="1" customWidth="1"/>
    <col min="34" max="36" width="17" bestFit="1" customWidth="1"/>
    <col min="37" max="37" width="22" bestFit="1" customWidth="1"/>
    <col min="38" max="38" width="15" bestFit="1" customWidth="1"/>
    <col min="39" max="39" width="19" bestFit="1" customWidth="1"/>
  </cols>
  <sheetData>
    <row r="1" spans="1:39" x14ac:dyDescent="0.25">
      <c r="I1" t="s">
        <v>470</v>
      </c>
      <c r="M1" t="s">
        <v>470</v>
      </c>
      <c r="U1" s="14">
        <f>SUBTOTAL(9,U3:U136)</f>
        <v>550127.42999999959</v>
      </c>
      <c r="V1" s="14"/>
      <c r="W1" s="14"/>
      <c r="X1" s="14"/>
      <c r="Y1" s="14"/>
      <c r="Z1" s="14"/>
      <c r="AA1" s="14"/>
    </row>
    <row r="2" spans="1:39" ht="52.8" x14ac:dyDescent="0.25">
      <c r="A2" s="1" t="s">
        <v>437</v>
      </c>
      <c r="B2" s="1" t="s">
        <v>438</v>
      </c>
      <c r="C2" s="1" t="s">
        <v>439</v>
      </c>
      <c r="D2" s="1" t="s">
        <v>440</v>
      </c>
      <c r="E2" s="1" t="s">
        <v>441</v>
      </c>
      <c r="F2" s="12" t="s">
        <v>442</v>
      </c>
      <c r="G2" s="1" t="s">
        <v>443</v>
      </c>
      <c r="H2" s="1" t="s">
        <v>444</v>
      </c>
      <c r="I2" s="15" t="s">
        <v>445</v>
      </c>
      <c r="J2" s="13" t="s">
        <v>446</v>
      </c>
      <c r="K2" s="1" t="s">
        <v>447</v>
      </c>
      <c r="L2" s="1" t="s">
        <v>448</v>
      </c>
      <c r="M2" s="13" t="s">
        <v>449</v>
      </c>
      <c r="N2" s="1" t="s">
        <v>450</v>
      </c>
      <c r="O2" s="1" t="s">
        <v>451</v>
      </c>
      <c r="P2" s="1" t="s">
        <v>452</v>
      </c>
      <c r="Q2" s="1" t="s">
        <v>453</v>
      </c>
      <c r="R2" s="12" t="s">
        <v>454</v>
      </c>
      <c r="S2" s="12" t="s">
        <v>455</v>
      </c>
      <c r="T2" s="12" t="s">
        <v>456</v>
      </c>
      <c r="U2" s="15" t="s">
        <v>457</v>
      </c>
      <c r="V2" s="15" t="s">
        <v>471</v>
      </c>
      <c r="W2" s="16" t="s">
        <v>472</v>
      </c>
      <c r="X2" s="16" t="s">
        <v>482</v>
      </c>
      <c r="Y2" s="16" t="s">
        <v>483</v>
      </c>
      <c r="Z2" s="16"/>
      <c r="AA2" s="15" t="s">
        <v>473</v>
      </c>
      <c r="AB2" s="1" t="s">
        <v>458</v>
      </c>
      <c r="AC2" s="1" t="s">
        <v>459</v>
      </c>
      <c r="AD2" s="1" t="s">
        <v>460</v>
      </c>
      <c r="AE2" s="1" t="s">
        <v>461</v>
      </c>
      <c r="AF2" s="1" t="s">
        <v>462</v>
      </c>
      <c r="AG2" s="1" t="s">
        <v>463</v>
      </c>
      <c r="AH2" s="1" t="s">
        <v>464</v>
      </c>
      <c r="AI2" s="1" t="s">
        <v>465</v>
      </c>
      <c r="AJ2" s="1" t="s">
        <v>466</v>
      </c>
      <c r="AK2" s="1" t="s">
        <v>467</v>
      </c>
      <c r="AL2" s="1" t="s">
        <v>468</v>
      </c>
      <c r="AM2" s="1" t="s">
        <v>469</v>
      </c>
    </row>
    <row r="3" spans="1:39" outlineLevel="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s="2">
        <v>45988</v>
      </c>
      <c r="H3" t="s">
        <v>6</v>
      </c>
      <c r="I3" t="s">
        <v>7</v>
      </c>
      <c r="J3" s="2">
        <v>45988</v>
      </c>
      <c r="K3" s="2">
        <v>45988</v>
      </c>
      <c r="L3" t="s">
        <v>8</v>
      </c>
      <c r="M3" t="s">
        <v>8</v>
      </c>
      <c r="N3" t="s">
        <v>9</v>
      </c>
      <c r="O3" t="s">
        <v>10</v>
      </c>
      <c r="P3" t="s">
        <v>8</v>
      </c>
      <c r="Q3" t="s">
        <v>11</v>
      </c>
      <c r="R3" t="s">
        <v>12</v>
      </c>
      <c r="S3" s="3">
        <v>-10000</v>
      </c>
      <c r="T3" t="s">
        <v>12</v>
      </c>
      <c r="U3" s="3">
        <v>-10000</v>
      </c>
      <c r="V3" s="3" t="e">
        <f>VLOOKUP(M3,[1]working!$C$1:$E$65536,3,0)</f>
        <v>#N/A</v>
      </c>
      <c r="W3" s="3" t="e">
        <f>U3-V3</f>
        <v>#N/A</v>
      </c>
      <c r="X3" s="3"/>
      <c r="Y3" s="3" t="e">
        <f>VLOOKUP(M3,[1]working!$C:$F,4,0)</f>
        <v>#N/A</v>
      </c>
      <c r="Z3" s="3"/>
      <c r="AA3" s="3" t="s">
        <v>478</v>
      </c>
      <c r="AB3" t="s">
        <v>8</v>
      </c>
      <c r="AC3" t="s">
        <v>13</v>
      </c>
      <c r="AD3" t="s">
        <v>8</v>
      </c>
      <c r="AE3" t="s">
        <v>8</v>
      </c>
      <c r="AF3" t="s">
        <v>14</v>
      </c>
      <c r="AG3" t="s">
        <v>15</v>
      </c>
      <c r="AH3" t="s">
        <v>8</v>
      </c>
      <c r="AI3" t="s">
        <v>8</v>
      </c>
      <c r="AJ3" t="s">
        <v>8</v>
      </c>
      <c r="AK3" s="2">
        <v>45988</v>
      </c>
      <c r="AL3" s="2">
        <v>45988</v>
      </c>
      <c r="AM3" t="s">
        <v>6</v>
      </c>
    </row>
    <row r="4" spans="1:39" outlineLevel="2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s="2">
        <v>45988</v>
      </c>
      <c r="H4" t="s">
        <v>6</v>
      </c>
      <c r="I4" t="s">
        <v>7</v>
      </c>
      <c r="J4" s="2">
        <v>45988</v>
      </c>
      <c r="K4" s="2">
        <v>45988</v>
      </c>
      <c r="L4" t="s">
        <v>8</v>
      </c>
      <c r="M4" t="s">
        <v>8</v>
      </c>
      <c r="N4" t="s">
        <v>9</v>
      </c>
      <c r="O4" t="s">
        <v>10</v>
      </c>
      <c r="P4" t="s">
        <v>8</v>
      </c>
      <c r="Q4" t="s">
        <v>16</v>
      </c>
      <c r="R4" t="s">
        <v>12</v>
      </c>
      <c r="S4" s="3">
        <v>10000</v>
      </c>
      <c r="T4" t="s">
        <v>12</v>
      </c>
      <c r="U4" s="3">
        <v>10000</v>
      </c>
      <c r="V4" s="3" t="e">
        <f>VLOOKUP(M4,[1]working!$C$1:$E$65536,3,0)</f>
        <v>#N/A</v>
      </c>
      <c r="W4" s="3" t="e">
        <f t="shared" ref="W4:W7" si="0">U4-V4</f>
        <v>#N/A</v>
      </c>
      <c r="X4" s="3"/>
      <c r="Y4" s="3" t="e">
        <f>VLOOKUP(M4,[1]working!$C:$F,4,0)</f>
        <v>#N/A</v>
      </c>
      <c r="Z4" s="3"/>
      <c r="AA4" s="3" t="s">
        <v>478</v>
      </c>
      <c r="AB4" t="s">
        <v>8</v>
      </c>
      <c r="AC4" t="s">
        <v>13</v>
      </c>
      <c r="AD4" t="s">
        <v>8</v>
      </c>
      <c r="AE4" t="s">
        <v>8</v>
      </c>
      <c r="AF4" t="s">
        <v>17</v>
      </c>
      <c r="AG4" t="s">
        <v>15</v>
      </c>
      <c r="AH4" t="s">
        <v>8</v>
      </c>
      <c r="AI4" t="s">
        <v>8</v>
      </c>
      <c r="AJ4" t="s">
        <v>8</v>
      </c>
      <c r="AK4" s="2">
        <v>45988</v>
      </c>
      <c r="AL4" s="2">
        <v>45988</v>
      </c>
      <c r="AM4" t="s">
        <v>6</v>
      </c>
    </row>
    <row r="5" spans="1:39" outlineLevel="2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18</v>
      </c>
      <c r="G5" s="2">
        <v>45758</v>
      </c>
      <c r="H5" t="s">
        <v>19</v>
      </c>
      <c r="I5" t="s">
        <v>7</v>
      </c>
      <c r="J5" s="2">
        <v>45758</v>
      </c>
      <c r="K5" s="2">
        <v>45758</v>
      </c>
      <c r="L5" t="s">
        <v>8</v>
      </c>
      <c r="M5" t="s">
        <v>8</v>
      </c>
      <c r="N5" t="s">
        <v>9</v>
      </c>
      <c r="O5" t="s">
        <v>10</v>
      </c>
      <c r="P5" t="s">
        <v>8</v>
      </c>
      <c r="Q5" t="s">
        <v>16</v>
      </c>
      <c r="R5" t="s">
        <v>12</v>
      </c>
      <c r="S5" s="3">
        <v>1</v>
      </c>
      <c r="T5" t="s">
        <v>12</v>
      </c>
      <c r="U5" s="3">
        <v>1</v>
      </c>
      <c r="V5" s="3" t="e">
        <f>VLOOKUP(M5,[1]working!$C$1:$E$65536,3,0)</f>
        <v>#N/A</v>
      </c>
      <c r="W5" s="3" t="e">
        <f t="shared" si="0"/>
        <v>#N/A</v>
      </c>
      <c r="X5" s="3"/>
      <c r="Y5" s="3" t="e">
        <f>VLOOKUP(M5,[1]working!$C:$F,4,0)</f>
        <v>#N/A</v>
      </c>
      <c r="Z5" s="3"/>
      <c r="AA5" s="3" t="s">
        <v>478</v>
      </c>
      <c r="AB5" t="s">
        <v>8</v>
      </c>
      <c r="AC5" t="s">
        <v>20</v>
      </c>
      <c r="AD5" t="s">
        <v>8</v>
      </c>
      <c r="AE5" t="s">
        <v>8</v>
      </c>
      <c r="AF5" t="s">
        <v>14</v>
      </c>
      <c r="AG5" t="s">
        <v>21</v>
      </c>
      <c r="AH5" t="s">
        <v>8</v>
      </c>
      <c r="AI5" t="s">
        <v>8</v>
      </c>
      <c r="AJ5" t="s">
        <v>8</v>
      </c>
      <c r="AK5" s="2">
        <v>45758</v>
      </c>
      <c r="AL5" s="2">
        <v>45758</v>
      </c>
      <c r="AM5" t="s">
        <v>19</v>
      </c>
    </row>
    <row r="6" spans="1:39" outlineLevel="2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18</v>
      </c>
      <c r="G6" s="2">
        <v>45758</v>
      </c>
      <c r="H6" t="s">
        <v>19</v>
      </c>
      <c r="I6" t="s">
        <v>7</v>
      </c>
      <c r="J6" s="2">
        <v>45758</v>
      </c>
      <c r="K6" s="2">
        <v>45758</v>
      </c>
      <c r="L6" t="s">
        <v>8</v>
      </c>
      <c r="M6" t="s">
        <v>8</v>
      </c>
      <c r="N6" t="s">
        <v>9</v>
      </c>
      <c r="O6" t="s">
        <v>10</v>
      </c>
      <c r="P6" t="s">
        <v>8</v>
      </c>
      <c r="Q6" t="s">
        <v>11</v>
      </c>
      <c r="R6" t="s">
        <v>12</v>
      </c>
      <c r="S6" s="3">
        <v>-1</v>
      </c>
      <c r="T6" t="s">
        <v>12</v>
      </c>
      <c r="U6" s="3">
        <v>-1</v>
      </c>
      <c r="V6" s="3" t="e">
        <f>VLOOKUP(M6,[1]working!$C$1:$E$65536,3,0)</f>
        <v>#N/A</v>
      </c>
      <c r="W6" s="3" t="e">
        <f t="shared" si="0"/>
        <v>#N/A</v>
      </c>
      <c r="X6" s="3"/>
      <c r="Y6" s="3" t="e">
        <f>VLOOKUP(M6,[1]working!$C:$F,4,0)</f>
        <v>#N/A</v>
      </c>
      <c r="Z6" s="3"/>
      <c r="AA6" s="3" t="s">
        <v>478</v>
      </c>
      <c r="AB6" t="s">
        <v>8</v>
      </c>
      <c r="AC6" t="s">
        <v>20</v>
      </c>
      <c r="AD6" t="s">
        <v>8</v>
      </c>
      <c r="AE6" t="s">
        <v>8</v>
      </c>
      <c r="AF6" t="s">
        <v>17</v>
      </c>
      <c r="AG6" t="s">
        <v>21</v>
      </c>
      <c r="AH6" t="s">
        <v>8</v>
      </c>
      <c r="AI6" t="s">
        <v>8</v>
      </c>
      <c r="AJ6" t="s">
        <v>8</v>
      </c>
      <c r="AK6" s="2">
        <v>45758</v>
      </c>
      <c r="AL6" s="2">
        <v>45758</v>
      </c>
      <c r="AM6" t="s">
        <v>19</v>
      </c>
    </row>
    <row r="7" spans="1:39" outlineLevel="2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s="2">
        <v>45985</v>
      </c>
      <c r="H7" t="s">
        <v>22</v>
      </c>
      <c r="I7" t="s">
        <v>23</v>
      </c>
      <c r="J7" s="2">
        <v>45985</v>
      </c>
      <c r="K7" s="2">
        <v>45985</v>
      </c>
      <c r="L7" t="s">
        <v>24</v>
      </c>
      <c r="M7" t="s">
        <v>8</v>
      </c>
      <c r="N7" t="s">
        <v>9</v>
      </c>
      <c r="O7" t="s">
        <v>10</v>
      </c>
      <c r="P7" t="s">
        <v>8</v>
      </c>
      <c r="Q7" t="s">
        <v>25</v>
      </c>
      <c r="R7" t="s">
        <v>12</v>
      </c>
      <c r="S7" s="3">
        <v>10000</v>
      </c>
      <c r="T7" t="s">
        <v>12</v>
      </c>
      <c r="U7" s="3">
        <v>10000</v>
      </c>
      <c r="V7" s="3" t="e">
        <f>VLOOKUP(M7,[1]working!$C$1:$E$65536,3,0)</f>
        <v>#N/A</v>
      </c>
      <c r="W7" s="3" t="e">
        <f t="shared" si="0"/>
        <v>#N/A</v>
      </c>
      <c r="X7" s="3"/>
      <c r="Y7" s="3" t="e">
        <f>VLOOKUP(M7,[1]working!$C:$F,4,0)</f>
        <v>#N/A</v>
      </c>
      <c r="Z7" s="3"/>
      <c r="AA7" s="3" t="s">
        <v>481</v>
      </c>
      <c r="AB7" t="s">
        <v>26</v>
      </c>
      <c r="AC7" t="s">
        <v>27</v>
      </c>
      <c r="AD7" t="s">
        <v>8</v>
      </c>
      <c r="AE7" t="s">
        <v>28</v>
      </c>
      <c r="AF7" t="s">
        <v>14</v>
      </c>
      <c r="AG7" t="s">
        <v>29</v>
      </c>
      <c r="AH7" t="s">
        <v>8</v>
      </c>
      <c r="AI7" t="s">
        <v>8</v>
      </c>
      <c r="AJ7" t="s">
        <v>8</v>
      </c>
      <c r="AK7" s="2">
        <v>45985</v>
      </c>
      <c r="AL7" s="2">
        <v>45985</v>
      </c>
      <c r="AM7" t="s">
        <v>30</v>
      </c>
    </row>
    <row r="8" spans="1:39" outlineLevel="2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s="2">
        <v>45985</v>
      </c>
      <c r="H8" t="s">
        <v>30</v>
      </c>
      <c r="I8" t="s">
        <v>31</v>
      </c>
      <c r="J8" s="2">
        <v>45985</v>
      </c>
      <c r="K8" s="2">
        <v>45985</v>
      </c>
      <c r="L8" t="s">
        <v>32</v>
      </c>
      <c r="M8" t="s">
        <v>8</v>
      </c>
      <c r="N8" t="s">
        <v>9</v>
      </c>
      <c r="O8" t="s">
        <v>10</v>
      </c>
      <c r="P8" t="s">
        <v>8</v>
      </c>
      <c r="Q8" t="s">
        <v>33</v>
      </c>
      <c r="R8" t="s">
        <v>12</v>
      </c>
      <c r="S8" s="3">
        <v>-10000</v>
      </c>
      <c r="T8" t="s">
        <v>12</v>
      </c>
      <c r="U8" s="3">
        <v>-10000</v>
      </c>
      <c r="V8" s="3"/>
      <c r="W8" s="3"/>
      <c r="X8" s="3"/>
      <c r="Y8" s="3" t="e">
        <f>VLOOKUP(M8,[1]working!$C:$F,4,0)</f>
        <v>#N/A</v>
      </c>
      <c r="Z8" s="3"/>
      <c r="AA8" s="3" t="s">
        <v>474</v>
      </c>
      <c r="AB8" t="s">
        <v>8</v>
      </c>
      <c r="AC8" t="s">
        <v>27</v>
      </c>
      <c r="AD8" t="s">
        <v>8</v>
      </c>
      <c r="AE8" t="s">
        <v>8</v>
      </c>
      <c r="AF8" t="s">
        <v>17</v>
      </c>
      <c r="AG8" t="s">
        <v>32</v>
      </c>
      <c r="AH8" t="s">
        <v>8</v>
      </c>
      <c r="AI8" t="s">
        <v>8</v>
      </c>
      <c r="AJ8" t="s">
        <v>8</v>
      </c>
      <c r="AK8" s="2">
        <v>45985</v>
      </c>
      <c r="AL8" s="2">
        <v>45985</v>
      </c>
      <c r="AM8" t="s">
        <v>30</v>
      </c>
    </row>
    <row r="9" spans="1:39" outlineLevel="2" x14ac:dyDescent="0.25">
      <c r="A9" t="s">
        <v>34</v>
      </c>
      <c r="B9" t="s">
        <v>1</v>
      </c>
      <c r="C9" t="s">
        <v>2</v>
      </c>
      <c r="D9" t="s">
        <v>3</v>
      </c>
      <c r="E9" t="s">
        <v>4</v>
      </c>
      <c r="F9" t="s">
        <v>35</v>
      </c>
      <c r="G9" s="2">
        <v>45894</v>
      </c>
      <c r="H9" t="s">
        <v>36</v>
      </c>
      <c r="I9" t="s">
        <v>31</v>
      </c>
      <c r="J9" s="2">
        <v>45894</v>
      </c>
      <c r="K9" s="2">
        <v>45894</v>
      </c>
      <c r="L9" t="s">
        <v>37</v>
      </c>
      <c r="M9" t="s">
        <v>8</v>
      </c>
      <c r="N9" t="s">
        <v>9</v>
      </c>
      <c r="O9" t="s">
        <v>10</v>
      </c>
      <c r="P9" t="s">
        <v>8</v>
      </c>
      <c r="Q9" t="s">
        <v>33</v>
      </c>
      <c r="R9" t="s">
        <v>12</v>
      </c>
      <c r="S9" s="3">
        <v>-332509</v>
      </c>
      <c r="T9" t="s">
        <v>12</v>
      </c>
      <c r="U9" s="3">
        <v>-332509</v>
      </c>
      <c r="V9" s="3"/>
      <c r="W9" s="3"/>
      <c r="X9" s="3"/>
      <c r="Y9" s="3" t="e">
        <f>VLOOKUP(M9,[1]working!$C:$F,4,0)</f>
        <v>#N/A</v>
      </c>
      <c r="Z9" s="3"/>
      <c r="AA9" s="3" t="s">
        <v>475</v>
      </c>
      <c r="AB9" t="s">
        <v>8</v>
      </c>
      <c r="AC9" t="s">
        <v>13</v>
      </c>
      <c r="AD9" t="s">
        <v>8</v>
      </c>
      <c r="AE9" t="s">
        <v>8</v>
      </c>
      <c r="AF9" t="s">
        <v>17</v>
      </c>
      <c r="AG9" t="s">
        <v>8</v>
      </c>
      <c r="AH9" t="s">
        <v>8</v>
      </c>
      <c r="AI9" t="s">
        <v>8</v>
      </c>
      <c r="AJ9" t="s">
        <v>8</v>
      </c>
      <c r="AK9" s="2">
        <v>45894</v>
      </c>
      <c r="AL9" s="2"/>
      <c r="AM9" t="s">
        <v>8</v>
      </c>
    </row>
    <row r="10" spans="1:39" outlineLevel="2" x14ac:dyDescent="0.25">
      <c r="A10" t="s">
        <v>34</v>
      </c>
      <c r="B10" t="s">
        <v>1</v>
      </c>
      <c r="C10" t="s">
        <v>2</v>
      </c>
      <c r="D10" t="s">
        <v>3</v>
      </c>
      <c r="E10" t="s">
        <v>4</v>
      </c>
      <c r="F10" t="s">
        <v>38</v>
      </c>
      <c r="G10" s="2">
        <v>45839</v>
      </c>
      <c r="H10" t="s">
        <v>39</v>
      </c>
      <c r="I10" t="s">
        <v>31</v>
      </c>
      <c r="J10" s="2">
        <v>45832</v>
      </c>
      <c r="K10" s="2">
        <v>45832</v>
      </c>
      <c r="L10" t="s">
        <v>40</v>
      </c>
      <c r="M10" t="s">
        <v>8</v>
      </c>
      <c r="N10" t="s">
        <v>9</v>
      </c>
      <c r="O10" t="s">
        <v>10</v>
      </c>
      <c r="P10" t="s">
        <v>8</v>
      </c>
      <c r="Q10" t="s">
        <v>33</v>
      </c>
      <c r="R10" t="s">
        <v>12</v>
      </c>
      <c r="S10" s="3">
        <v>-663896</v>
      </c>
      <c r="T10" t="s">
        <v>12</v>
      </c>
      <c r="U10" s="3">
        <v>-663896</v>
      </c>
      <c r="V10" s="3"/>
      <c r="W10" s="3"/>
      <c r="X10" s="3"/>
      <c r="Y10" s="3" t="e">
        <f>VLOOKUP(M10,[1]working!$C:$F,4,0)</f>
        <v>#N/A</v>
      </c>
      <c r="Z10" s="3"/>
      <c r="AA10" s="3" t="s">
        <v>475</v>
      </c>
      <c r="AB10" t="s">
        <v>8</v>
      </c>
      <c r="AC10" t="s">
        <v>13</v>
      </c>
      <c r="AD10" t="s">
        <v>8</v>
      </c>
      <c r="AE10" t="s">
        <v>8</v>
      </c>
      <c r="AF10" t="s">
        <v>17</v>
      </c>
      <c r="AG10" t="s">
        <v>8</v>
      </c>
      <c r="AH10" t="s">
        <v>8</v>
      </c>
      <c r="AI10" t="s">
        <v>8</v>
      </c>
      <c r="AJ10" t="s">
        <v>8</v>
      </c>
      <c r="AK10" s="2">
        <v>45832</v>
      </c>
      <c r="AL10" s="2"/>
      <c r="AM10" t="s">
        <v>8</v>
      </c>
    </row>
    <row r="11" spans="1:39" outlineLevel="2" x14ac:dyDescent="0.25">
      <c r="A11" t="s">
        <v>34</v>
      </c>
      <c r="B11" t="s">
        <v>1</v>
      </c>
      <c r="C11" t="s">
        <v>2</v>
      </c>
      <c r="D11" t="s">
        <v>3</v>
      </c>
      <c r="E11" t="s">
        <v>4</v>
      </c>
      <c r="F11" t="s">
        <v>41</v>
      </c>
      <c r="G11" s="2">
        <v>45944</v>
      </c>
      <c r="H11" t="s">
        <v>42</v>
      </c>
      <c r="I11" t="s">
        <v>31</v>
      </c>
      <c r="J11" s="2">
        <v>45944</v>
      </c>
      <c r="K11" s="2">
        <v>45944</v>
      </c>
      <c r="L11" t="s">
        <v>43</v>
      </c>
      <c r="M11" t="s">
        <v>8</v>
      </c>
      <c r="N11" t="s">
        <v>9</v>
      </c>
      <c r="O11" t="s">
        <v>10</v>
      </c>
      <c r="P11" t="s">
        <v>8</v>
      </c>
      <c r="Q11" t="s">
        <v>33</v>
      </c>
      <c r="R11" t="s">
        <v>12</v>
      </c>
      <c r="S11" s="3">
        <v>-241321</v>
      </c>
      <c r="T11" t="s">
        <v>12</v>
      </c>
      <c r="U11" s="3">
        <v>-241321</v>
      </c>
      <c r="V11" s="3"/>
      <c r="W11" s="3"/>
      <c r="X11" s="3"/>
      <c r="Y11" s="3" t="e">
        <f>VLOOKUP(M11,[1]working!$C:$F,4,0)</f>
        <v>#N/A</v>
      </c>
      <c r="Z11" s="3"/>
      <c r="AA11" s="3" t="s">
        <v>475</v>
      </c>
      <c r="AB11" t="s">
        <v>8</v>
      </c>
      <c r="AC11" t="s">
        <v>13</v>
      </c>
      <c r="AD11" t="s">
        <v>8</v>
      </c>
      <c r="AE11" t="s">
        <v>8</v>
      </c>
      <c r="AF11" t="s">
        <v>17</v>
      </c>
      <c r="AG11" t="s">
        <v>8</v>
      </c>
      <c r="AH11" t="s">
        <v>8</v>
      </c>
      <c r="AI11" t="s">
        <v>8</v>
      </c>
      <c r="AJ11" t="s">
        <v>8</v>
      </c>
      <c r="AK11" s="2">
        <v>45944</v>
      </c>
      <c r="AL11" s="2"/>
      <c r="AM11" t="s">
        <v>8</v>
      </c>
    </row>
    <row r="12" spans="1:39" outlineLevel="2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44</v>
      </c>
      <c r="G12" s="2">
        <v>45717</v>
      </c>
      <c r="H12" t="s">
        <v>45</v>
      </c>
      <c r="I12" t="s">
        <v>46</v>
      </c>
      <c r="J12" s="2">
        <v>45716</v>
      </c>
      <c r="K12" s="2">
        <v>45727</v>
      </c>
      <c r="L12" t="s">
        <v>47</v>
      </c>
      <c r="M12" t="s">
        <v>47</v>
      </c>
      <c r="N12" t="s">
        <v>9</v>
      </c>
      <c r="O12" t="s">
        <v>10</v>
      </c>
      <c r="P12" t="s">
        <v>8</v>
      </c>
      <c r="Q12" t="s">
        <v>5</v>
      </c>
      <c r="R12" t="s">
        <v>12</v>
      </c>
      <c r="S12" s="3">
        <v>-10000</v>
      </c>
      <c r="T12" t="s">
        <v>12</v>
      </c>
      <c r="U12" s="3">
        <v>-10000</v>
      </c>
      <c r="V12" s="3" t="e">
        <f>VLOOKUP(M12,[1]working!$C$1:$E$65536,3,0)</f>
        <v>#N/A</v>
      </c>
      <c r="W12" s="3" t="e">
        <f t="shared" ref="W12:W75" si="1">U12-V12</f>
        <v>#N/A</v>
      </c>
      <c r="X12" s="3"/>
      <c r="Y12" s="3" t="e">
        <f>VLOOKUP(M12,[1]working!$C:$F,4,0)</f>
        <v>#N/A</v>
      </c>
      <c r="Z12" s="3"/>
      <c r="AA12" s="3" t="s">
        <v>478</v>
      </c>
      <c r="AB12" t="s">
        <v>8</v>
      </c>
      <c r="AC12" t="s">
        <v>13</v>
      </c>
      <c r="AD12" t="s">
        <v>8</v>
      </c>
      <c r="AE12" t="s">
        <v>47</v>
      </c>
      <c r="AF12" t="s">
        <v>14</v>
      </c>
      <c r="AG12" t="s">
        <v>15</v>
      </c>
      <c r="AH12" t="s">
        <v>2</v>
      </c>
      <c r="AI12" t="s">
        <v>8</v>
      </c>
      <c r="AJ12" t="s">
        <v>2</v>
      </c>
      <c r="AK12" s="2">
        <v>45716</v>
      </c>
      <c r="AL12" s="2">
        <v>45988</v>
      </c>
      <c r="AM12" t="s">
        <v>6</v>
      </c>
    </row>
    <row r="13" spans="1:39" outlineLevel="2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s="2">
        <v>45986</v>
      </c>
      <c r="H13" t="s">
        <v>48</v>
      </c>
      <c r="I13" t="s">
        <v>46</v>
      </c>
      <c r="J13" s="2">
        <v>45716</v>
      </c>
      <c r="K13" s="2">
        <v>45987</v>
      </c>
      <c r="L13" t="s">
        <v>49</v>
      </c>
      <c r="M13" t="s">
        <v>49</v>
      </c>
      <c r="N13" t="s">
        <v>9</v>
      </c>
      <c r="O13" t="s">
        <v>10</v>
      </c>
      <c r="P13" t="s">
        <v>8</v>
      </c>
      <c r="Q13" t="s">
        <v>25</v>
      </c>
      <c r="R13" t="s">
        <v>12</v>
      </c>
      <c r="S13" s="3">
        <v>10000</v>
      </c>
      <c r="T13" t="s">
        <v>12</v>
      </c>
      <c r="U13" s="3">
        <v>10000</v>
      </c>
      <c r="V13" s="3" t="e">
        <f>VLOOKUP(M13,[1]working!$C$1:$E$65536,3,0)</f>
        <v>#N/A</v>
      </c>
      <c r="W13" s="3" t="e">
        <f t="shared" si="1"/>
        <v>#N/A</v>
      </c>
      <c r="X13" s="3"/>
      <c r="Y13" s="3" t="e">
        <f>VLOOKUP(M13,[1]working!$C:$F,4,0)</f>
        <v>#N/A</v>
      </c>
      <c r="Z13" s="3"/>
      <c r="AA13" s="3" t="s">
        <v>478</v>
      </c>
      <c r="AB13" t="s">
        <v>8</v>
      </c>
      <c r="AC13" t="s">
        <v>13</v>
      </c>
      <c r="AD13" t="s">
        <v>8</v>
      </c>
      <c r="AE13" t="s">
        <v>47</v>
      </c>
      <c r="AF13" t="s">
        <v>14</v>
      </c>
      <c r="AG13" t="s">
        <v>15</v>
      </c>
      <c r="AH13" t="s">
        <v>2</v>
      </c>
      <c r="AI13" t="s">
        <v>8</v>
      </c>
      <c r="AJ13" t="s">
        <v>2</v>
      </c>
      <c r="AK13" s="2">
        <v>45716</v>
      </c>
      <c r="AL13" s="2">
        <v>45988</v>
      </c>
      <c r="AM13" t="s">
        <v>6</v>
      </c>
    </row>
    <row r="14" spans="1:39" outlineLevel="2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44</v>
      </c>
      <c r="G14" s="2">
        <v>45744</v>
      </c>
      <c r="H14" t="s">
        <v>50</v>
      </c>
      <c r="I14" t="s">
        <v>46</v>
      </c>
      <c r="J14" s="2">
        <v>45701</v>
      </c>
      <c r="K14" s="2">
        <v>45744</v>
      </c>
      <c r="L14" t="s">
        <v>51</v>
      </c>
      <c r="M14" t="s">
        <v>51</v>
      </c>
      <c r="N14" t="s">
        <v>9</v>
      </c>
      <c r="O14" t="s">
        <v>10</v>
      </c>
      <c r="P14" t="s">
        <v>8</v>
      </c>
      <c r="Q14" t="s">
        <v>25</v>
      </c>
      <c r="R14" t="s">
        <v>12</v>
      </c>
      <c r="S14" s="3">
        <v>1</v>
      </c>
      <c r="T14" t="s">
        <v>12</v>
      </c>
      <c r="U14" s="3">
        <v>1</v>
      </c>
      <c r="V14" s="3" t="e">
        <f>VLOOKUP(M14,[1]working!$C$1:$E$65536,3,0)</f>
        <v>#N/A</v>
      </c>
      <c r="W14" s="3" t="e">
        <f t="shared" si="1"/>
        <v>#N/A</v>
      </c>
      <c r="X14" s="3"/>
      <c r="Y14" s="3" t="e">
        <f>VLOOKUP(M14,[1]working!$C:$F,4,0)</f>
        <v>#N/A</v>
      </c>
      <c r="Z14" s="3"/>
      <c r="AA14" s="3" t="s">
        <v>478</v>
      </c>
      <c r="AB14" t="s">
        <v>8</v>
      </c>
      <c r="AC14" t="s">
        <v>20</v>
      </c>
      <c r="AD14" t="s">
        <v>8</v>
      </c>
      <c r="AE14" t="s">
        <v>52</v>
      </c>
      <c r="AF14" t="s">
        <v>53</v>
      </c>
      <c r="AG14" t="s">
        <v>21</v>
      </c>
      <c r="AH14" t="s">
        <v>2</v>
      </c>
      <c r="AI14" t="s">
        <v>8</v>
      </c>
      <c r="AJ14" t="s">
        <v>2</v>
      </c>
      <c r="AK14" s="2">
        <v>45701</v>
      </c>
      <c r="AL14" s="2">
        <v>45758</v>
      </c>
      <c r="AM14" t="s">
        <v>19</v>
      </c>
    </row>
    <row r="15" spans="1:39" outlineLevel="2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17</v>
      </c>
      <c r="G15" s="2">
        <v>45701</v>
      </c>
      <c r="H15" t="s">
        <v>54</v>
      </c>
      <c r="I15" t="s">
        <v>46</v>
      </c>
      <c r="J15" s="2">
        <v>45701</v>
      </c>
      <c r="K15" s="2">
        <v>45701</v>
      </c>
      <c r="L15" t="s">
        <v>52</v>
      </c>
      <c r="M15" t="s">
        <v>52</v>
      </c>
      <c r="N15" t="s">
        <v>9</v>
      </c>
      <c r="O15" t="s">
        <v>10</v>
      </c>
      <c r="P15" t="s">
        <v>8</v>
      </c>
      <c r="Q15" t="s">
        <v>5</v>
      </c>
      <c r="R15" t="s">
        <v>12</v>
      </c>
      <c r="S15" s="3">
        <v>-1</v>
      </c>
      <c r="T15" t="s">
        <v>12</v>
      </c>
      <c r="U15" s="3">
        <v>-1</v>
      </c>
      <c r="V15" s="3" t="e">
        <f>VLOOKUP(M15,[1]working!$C$1:$E$65536,3,0)</f>
        <v>#N/A</v>
      </c>
      <c r="W15" s="3" t="e">
        <f t="shared" si="1"/>
        <v>#N/A</v>
      </c>
      <c r="X15" s="3"/>
      <c r="Y15" s="3" t="e">
        <f>VLOOKUP(M15,[1]working!$C:$F,4,0)</f>
        <v>#N/A</v>
      </c>
      <c r="Z15" s="3"/>
      <c r="AA15" s="3" t="s">
        <v>478</v>
      </c>
      <c r="AB15" t="s">
        <v>8</v>
      </c>
      <c r="AC15" t="s">
        <v>20</v>
      </c>
      <c r="AD15" t="s">
        <v>8</v>
      </c>
      <c r="AE15" t="s">
        <v>52</v>
      </c>
      <c r="AF15" t="s">
        <v>14</v>
      </c>
      <c r="AG15" t="s">
        <v>21</v>
      </c>
      <c r="AH15" t="s">
        <v>2</v>
      </c>
      <c r="AI15" t="s">
        <v>8</v>
      </c>
      <c r="AJ15" t="s">
        <v>2</v>
      </c>
      <c r="AK15" s="2">
        <v>45701</v>
      </c>
      <c r="AL15" s="2">
        <v>45758</v>
      </c>
      <c r="AM15" t="s">
        <v>19</v>
      </c>
    </row>
    <row r="16" spans="1:39" outlineLevel="2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s="2">
        <v>45975</v>
      </c>
      <c r="H16" t="s">
        <v>55</v>
      </c>
      <c r="I16" t="s">
        <v>56</v>
      </c>
      <c r="J16" s="2">
        <v>45975</v>
      </c>
      <c r="K16" s="2">
        <v>45975</v>
      </c>
      <c r="L16" t="s">
        <v>24</v>
      </c>
      <c r="M16" t="s">
        <v>57</v>
      </c>
      <c r="N16" t="s">
        <v>9</v>
      </c>
      <c r="O16" t="s">
        <v>10</v>
      </c>
      <c r="P16" t="s">
        <v>8</v>
      </c>
      <c r="Q16" t="s">
        <v>58</v>
      </c>
      <c r="R16" t="s">
        <v>59</v>
      </c>
      <c r="S16" s="3">
        <v>28.32</v>
      </c>
      <c r="T16" t="s">
        <v>12</v>
      </c>
      <c r="U16" s="3">
        <v>2497.56</v>
      </c>
      <c r="V16" s="3" t="e">
        <f>VLOOKUP(M16,[1]working!$C$1:$E$65536,3,0)</f>
        <v>#N/A</v>
      </c>
      <c r="W16" s="3" t="e">
        <f t="shared" si="1"/>
        <v>#N/A</v>
      </c>
      <c r="X16" s="3"/>
      <c r="Y16" s="3" t="e">
        <f>VLOOKUP(M16,[1]working!$C:$F,4,0)</f>
        <v>#N/A</v>
      </c>
      <c r="Z16" s="3"/>
      <c r="AA16" s="3" t="s">
        <v>478</v>
      </c>
      <c r="AB16" t="s">
        <v>8</v>
      </c>
      <c r="AC16" t="s">
        <v>27</v>
      </c>
      <c r="AD16" t="s">
        <v>8</v>
      </c>
      <c r="AE16" t="s">
        <v>8</v>
      </c>
      <c r="AF16" t="s">
        <v>14</v>
      </c>
      <c r="AG16" t="s">
        <v>8</v>
      </c>
      <c r="AH16" t="s">
        <v>8</v>
      </c>
      <c r="AI16" t="s">
        <v>8</v>
      </c>
      <c r="AJ16" t="s">
        <v>8</v>
      </c>
      <c r="AK16" s="2">
        <v>45975</v>
      </c>
      <c r="AL16" s="2">
        <v>45975</v>
      </c>
      <c r="AM16" t="s">
        <v>55</v>
      </c>
    </row>
    <row r="17" spans="1:39" outlineLevel="2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s="2">
        <v>45975</v>
      </c>
      <c r="H17" t="s">
        <v>55</v>
      </c>
      <c r="I17" t="s">
        <v>56</v>
      </c>
      <c r="J17" s="2">
        <v>45975</v>
      </c>
      <c r="K17" s="2">
        <v>45975</v>
      </c>
      <c r="L17" t="s">
        <v>24</v>
      </c>
      <c r="M17" t="s">
        <v>57</v>
      </c>
      <c r="N17" t="s">
        <v>9</v>
      </c>
      <c r="O17" t="s">
        <v>10</v>
      </c>
      <c r="P17" t="s">
        <v>8</v>
      </c>
      <c r="Q17" t="s">
        <v>33</v>
      </c>
      <c r="R17" t="s">
        <v>59</v>
      </c>
      <c r="S17" s="3">
        <v>-28.32</v>
      </c>
      <c r="T17" t="s">
        <v>12</v>
      </c>
      <c r="U17" s="3">
        <v>-2497.56</v>
      </c>
      <c r="V17" s="3" t="e">
        <f>VLOOKUP(M17,[1]working!$C$1:$E$65536,3,0)</f>
        <v>#N/A</v>
      </c>
      <c r="W17" s="3" t="e">
        <f t="shared" si="1"/>
        <v>#N/A</v>
      </c>
      <c r="X17" s="3"/>
      <c r="Y17" s="3" t="e">
        <f>VLOOKUP(M17,[1]working!$C:$F,4,0)</f>
        <v>#N/A</v>
      </c>
      <c r="Z17" s="3"/>
      <c r="AA17" s="3" t="s">
        <v>478</v>
      </c>
      <c r="AB17" t="s">
        <v>8</v>
      </c>
      <c r="AC17" t="s">
        <v>27</v>
      </c>
      <c r="AD17" t="s">
        <v>8</v>
      </c>
      <c r="AE17" t="s">
        <v>8</v>
      </c>
      <c r="AF17" t="s">
        <v>17</v>
      </c>
      <c r="AG17" t="s">
        <v>8</v>
      </c>
      <c r="AH17" t="s">
        <v>8</v>
      </c>
      <c r="AI17" t="s">
        <v>8</v>
      </c>
      <c r="AJ17" t="s">
        <v>8</v>
      </c>
      <c r="AK17" s="2">
        <v>45975</v>
      </c>
      <c r="AL17" s="2">
        <v>45975</v>
      </c>
      <c r="AM17" t="s">
        <v>55</v>
      </c>
    </row>
    <row r="18" spans="1:39" outlineLevel="2" x14ac:dyDescent="0.25">
      <c r="A18" t="s">
        <v>34</v>
      </c>
      <c r="B18" t="s">
        <v>1</v>
      </c>
      <c r="C18" t="s">
        <v>2</v>
      </c>
      <c r="D18" t="s">
        <v>3</v>
      </c>
      <c r="E18" t="s">
        <v>4</v>
      </c>
      <c r="F18" t="s">
        <v>44</v>
      </c>
      <c r="G18" s="2">
        <v>45736</v>
      </c>
      <c r="H18" t="s">
        <v>60</v>
      </c>
      <c r="I18" t="s">
        <v>61</v>
      </c>
      <c r="J18" s="2">
        <v>45736</v>
      </c>
      <c r="K18" s="2">
        <v>45737</v>
      </c>
      <c r="L18" t="s">
        <v>24</v>
      </c>
      <c r="M18" t="s">
        <v>62</v>
      </c>
      <c r="N18" t="s">
        <v>9</v>
      </c>
      <c r="O18" t="s">
        <v>10</v>
      </c>
      <c r="P18" t="s">
        <v>8</v>
      </c>
      <c r="Q18" t="s">
        <v>25</v>
      </c>
      <c r="R18" t="s">
        <v>59</v>
      </c>
      <c r="S18" s="3">
        <v>10.62</v>
      </c>
      <c r="T18" t="s">
        <v>12</v>
      </c>
      <c r="U18" s="3">
        <v>920.66</v>
      </c>
      <c r="V18" s="3" t="e">
        <f>VLOOKUP(M18,[1]working!$C$1:$E$65536,3,0)</f>
        <v>#N/A</v>
      </c>
      <c r="W18" s="3" t="e">
        <f t="shared" si="1"/>
        <v>#N/A</v>
      </c>
      <c r="X18" s="3"/>
      <c r="Y18" s="3" t="e">
        <f>VLOOKUP(M18,[1]working!$C:$F,4,0)</f>
        <v>#N/A</v>
      </c>
      <c r="Z18" s="3"/>
      <c r="AA18" s="3" t="s">
        <v>480</v>
      </c>
      <c r="AB18" t="s">
        <v>63</v>
      </c>
      <c r="AC18" t="s">
        <v>20</v>
      </c>
      <c r="AD18" t="s">
        <v>8</v>
      </c>
      <c r="AE18" t="s">
        <v>24</v>
      </c>
      <c r="AF18" t="s">
        <v>14</v>
      </c>
      <c r="AG18" t="s">
        <v>64</v>
      </c>
      <c r="AH18" t="s">
        <v>8</v>
      </c>
      <c r="AI18" t="s">
        <v>8</v>
      </c>
      <c r="AJ18" t="s">
        <v>8</v>
      </c>
      <c r="AK18" s="2">
        <v>45736</v>
      </c>
      <c r="AL18" s="2"/>
      <c r="AM18" t="s">
        <v>8</v>
      </c>
    </row>
    <row r="19" spans="1:39" outlineLevel="2" x14ac:dyDescent="0.25">
      <c r="A19" t="s">
        <v>34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45737</v>
      </c>
      <c r="H19" t="s">
        <v>65</v>
      </c>
      <c r="I19" t="s">
        <v>61</v>
      </c>
      <c r="J19" s="2">
        <v>45737</v>
      </c>
      <c r="K19" s="2">
        <v>45737</v>
      </c>
      <c r="L19" t="s">
        <v>24</v>
      </c>
      <c r="M19" t="s">
        <v>66</v>
      </c>
      <c r="N19" t="s">
        <v>9</v>
      </c>
      <c r="O19" t="s">
        <v>10</v>
      </c>
      <c r="P19" t="s">
        <v>8</v>
      </c>
      <c r="Q19" t="s">
        <v>25</v>
      </c>
      <c r="R19" t="s">
        <v>59</v>
      </c>
      <c r="S19" s="3">
        <v>10.62</v>
      </c>
      <c r="T19" t="s">
        <v>12</v>
      </c>
      <c r="U19" s="3">
        <v>920.66</v>
      </c>
      <c r="V19" s="3" t="e">
        <f>VLOOKUP(M19,[1]working!$C$1:$E$65536,3,0)</f>
        <v>#N/A</v>
      </c>
      <c r="W19" s="3" t="e">
        <f t="shared" si="1"/>
        <v>#N/A</v>
      </c>
      <c r="X19" s="3"/>
      <c r="Y19" s="3" t="e">
        <f>VLOOKUP(M19,[1]working!$C:$F,4,0)</f>
        <v>#N/A</v>
      </c>
      <c r="Z19" s="3"/>
      <c r="AA19" s="3" t="s">
        <v>480</v>
      </c>
      <c r="AB19" t="s">
        <v>63</v>
      </c>
      <c r="AC19" t="s">
        <v>20</v>
      </c>
      <c r="AD19" t="s">
        <v>8</v>
      </c>
      <c r="AE19" t="s">
        <v>24</v>
      </c>
      <c r="AF19" t="s">
        <v>14</v>
      </c>
      <c r="AG19" t="s">
        <v>67</v>
      </c>
      <c r="AH19" t="s">
        <v>8</v>
      </c>
      <c r="AI19" t="s">
        <v>8</v>
      </c>
      <c r="AJ19" t="s">
        <v>8</v>
      </c>
      <c r="AK19" s="2">
        <v>45737</v>
      </c>
      <c r="AL19" s="2"/>
      <c r="AM19" t="s">
        <v>8</v>
      </c>
    </row>
    <row r="20" spans="1:39" outlineLevel="2" x14ac:dyDescent="0.25">
      <c r="A20" t="s">
        <v>34</v>
      </c>
      <c r="B20" t="s">
        <v>1</v>
      </c>
      <c r="C20" t="s">
        <v>2</v>
      </c>
      <c r="D20" t="s">
        <v>3</v>
      </c>
      <c r="E20" t="s">
        <v>4</v>
      </c>
      <c r="F20" t="s">
        <v>44</v>
      </c>
      <c r="G20" s="2">
        <v>45736</v>
      </c>
      <c r="H20" t="s">
        <v>68</v>
      </c>
      <c r="I20" t="s">
        <v>61</v>
      </c>
      <c r="J20" s="2">
        <v>45736</v>
      </c>
      <c r="K20" s="2">
        <v>45737</v>
      </c>
      <c r="L20" t="s">
        <v>24</v>
      </c>
      <c r="M20" t="s">
        <v>69</v>
      </c>
      <c r="N20" t="s">
        <v>9</v>
      </c>
      <c r="O20" t="s">
        <v>10</v>
      </c>
      <c r="P20" t="s">
        <v>8</v>
      </c>
      <c r="Q20" t="s">
        <v>25</v>
      </c>
      <c r="R20" t="s">
        <v>59</v>
      </c>
      <c r="S20" s="3">
        <v>11.8</v>
      </c>
      <c r="T20" t="s">
        <v>12</v>
      </c>
      <c r="U20" s="3">
        <v>1022.96</v>
      </c>
      <c r="V20" s="3" t="e">
        <f>VLOOKUP(M20,[1]working!$C$1:$E$65536,3,0)</f>
        <v>#N/A</v>
      </c>
      <c r="W20" s="3" t="e">
        <f t="shared" si="1"/>
        <v>#N/A</v>
      </c>
      <c r="X20" s="3"/>
      <c r="Y20" s="3" t="e">
        <f>VLOOKUP(M20,[1]working!$C:$F,4,0)</f>
        <v>#N/A</v>
      </c>
      <c r="Z20" s="3"/>
      <c r="AA20" s="3" t="s">
        <v>480</v>
      </c>
      <c r="AB20" t="s">
        <v>63</v>
      </c>
      <c r="AC20" t="s">
        <v>20</v>
      </c>
      <c r="AD20" t="s">
        <v>8</v>
      </c>
      <c r="AE20" t="s">
        <v>24</v>
      </c>
      <c r="AF20" t="s">
        <v>14</v>
      </c>
      <c r="AG20" t="s">
        <v>70</v>
      </c>
      <c r="AH20" t="s">
        <v>8</v>
      </c>
      <c r="AI20" t="s">
        <v>8</v>
      </c>
      <c r="AJ20" t="s">
        <v>8</v>
      </c>
      <c r="AK20" s="2">
        <v>45736</v>
      </c>
      <c r="AL20" s="2"/>
      <c r="AM20" t="s">
        <v>8</v>
      </c>
    </row>
    <row r="21" spans="1:39" outlineLevel="2" x14ac:dyDescent="0.25">
      <c r="A21" t="s">
        <v>34</v>
      </c>
      <c r="B21" t="s">
        <v>1</v>
      </c>
      <c r="C21" t="s">
        <v>2</v>
      </c>
      <c r="D21" t="s">
        <v>3</v>
      </c>
      <c r="E21" t="s">
        <v>4</v>
      </c>
      <c r="F21" t="s">
        <v>18</v>
      </c>
      <c r="G21" s="2">
        <v>45762</v>
      </c>
      <c r="H21" t="s">
        <v>71</v>
      </c>
      <c r="I21" t="s">
        <v>61</v>
      </c>
      <c r="J21" s="2">
        <v>45762</v>
      </c>
      <c r="K21" s="2">
        <v>45763</v>
      </c>
      <c r="L21" t="s">
        <v>24</v>
      </c>
      <c r="M21" t="s">
        <v>72</v>
      </c>
      <c r="N21" t="s">
        <v>9</v>
      </c>
      <c r="O21" t="s">
        <v>10</v>
      </c>
      <c r="P21" t="s">
        <v>8</v>
      </c>
      <c r="Q21" t="s">
        <v>25</v>
      </c>
      <c r="R21" t="s">
        <v>59</v>
      </c>
      <c r="S21" s="3">
        <v>11.8</v>
      </c>
      <c r="T21" t="s">
        <v>12</v>
      </c>
      <c r="U21" s="3">
        <v>1025.68</v>
      </c>
      <c r="V21" s="3">
        <f>VLOOKUP(M21,[1]working!$C$1:$E$65536,3,0)</f>
        <v>868.32</v>
      </c>
      <c r="W21" s="3">
        <f t="shared" si="1"/>
        <v>157.36000000000001</v>
      </c>
      <c r="X21" s="3">
        <f>VLOOKUP(M21,[1]working!$C$1:$H$65536,6,0)</f>
        <v>156</v>
      </c>
      <c r="Y21" s="3">
        <f>VLOOKUP(M21,[1]working!$C:$F,4,0)</f>
        <v>-17</v>
      </c>
      <c r="Z21" s="17">
        <f>W21-X21</f>
        <v>1.3600000000000136</v>
      </c>
      <c r="AA21" s="17" t="s">
        <v>477</v>
      </c>
      <c r="AB21" t="s">
        <v>63</v>
      </c>
      <c r="AC21" t="s">
        <v>8</v>
      </c>
      <c r="AD21" t="s">
        <v>8</v>
      </c>
      <c r="AE21" t="s">
        <v>24</v>
      </c>
      <c r="AF21" t="s">
        <v>14</v>
      </c>
      <c r="AG21" t="s">
        <v>73</v>
      </c>
      <c r="AH21" t="s">
        <v>8</v>
      </c>
      <c r="AI21" t="s">
        <v>8</v>
      </c>
      <c r="AJ21" t="s">
        <v>8</v>
      </c>
      <c r="AK21" s="2">
        <v>45762</v>
      </c>
      <c r="AL21" s="2"/>
      <c r="AM21" t="s">
        <v>8</v>
      </c>
    </row>
    <row r="22" spans="1:39" outlineLevel="2" x14ac:dyDescent="0.25">
      <c r="A22" t="s">
        <v>34</v>
      </c>
      <c r="B22" t="s">
        <v>1</v>
      </c>
      <c r="C22" t="s">
        <v>2</v>
      </c>
      <c r="D22" t="s">
        <v>3</v>
      </c>
      <c r="E22" t="s">
        <v>4</v>
      </c>
      <c r="F22" t="s">
        <v>18</v>
      </c>
      <c r="G22" s="2">
        <v>45751</v>
      </c>
      <c r="H22" t="s">
        <v>74</v>
      </c>
      <c r="I22" t="s">
        <v>61</v>
      </c>
      <c r="J22" s="2">
        <v>45751</v>
      </c>
      <c r="K22" s="2">
        <v>45752</v>
      </c>
      <c r="L22" t="s">
        <v>24</v>
      </c>
      <c r="M22" t="s">
        <v>75</v>
      </c>
      <c r="N22" t="s">
        <v>9</v>
      </c>
      <c r="O22" t="s">
        <v>10</v>
      </c>
      <c r="P22" t="s">
        <v>8</v>
      </c>
      <c r="Q22" t="s">
        <v>25</v>
      </c>
      <c r="R22" t="s">
        <v>59</v>
      </c>
      <c r="S22" s="3">
        <v>343.03</v>
      </c>
      <c r="T22" t="s">
        <v>12</v>
      </c>
      <c r="U22" s="3">
        <v>29816.79</v>
      </c>
      <c r="V22" s="3">
        <f>VLOOKUP(M22,[1]working!$C$1:$E$65536,3,0)</f>
        <v>25268.21</v>
      </c>
      <c r="W22" s="3">
        <f t="shared" si="1"/>
        <v>4548.5800000000017</v>
      </c>
      <c r="X22" s="3">
        <f>VLOOKUP(M22,[1]working!$C$1:$H$65536,6,0)</f>
        <v>4549</v>
      </c>
      <c r="Y22" s="3">
        <f>VLOOKUP(M22,[1]working!$C:$F,4,0)</f>
        <v>-2527</v>
      </c>
      <c r="Z22" s="17">
        <f t="shared" ref="Z22:Z34" si="2">W22-X22</f>
        <v>-0.41999999999825377</v>
      </c>
      <c r="AA22" s="17" t="s">
        <v>477</v>
      </c>
      <c r="AB22" t="s">
        <v>63</v>
      </c>
      <c r="AC22" t="s">
        <v>8</v>
      </c>
      <c r="AD22" t="s">
        <v>8</v>
      </c>
      <c r="AE22" t="s">
        <v>24</v>
      </c>
      <c r="AF22" t="s">
        <v>14</v>
      </c>
      <c r="AG22" t="s">
        <v>76</v>
      </c>
      <c r="AH22" t="s">
        <v>8</v>
      </c>
      <c r="AI22" t="s">
        <v>8</v>
      </c>
      <c r="AJ22" t="s">
        <v>8</v>
      </c>
      <c r="AK22" s="2">
        <v>45751</v>
      </c>
      <c r="AL22" s="2"/>
      <c r="AM22" t="s">
        <v>8</v>
      </c>
    </row>
    <row r="23" spans="1:39" outlineLevel="2" x14ac:dyDescent="0.25">
      <c r="A23" t="s">
        <v>34</v>
      </c>
      <c r="B23" t="s">
        <v>1</v>
      </c>
      <c r="C23" t="s">
        <v>2</v>
      </c>
      <c r="D23" t="s">
        <v>3</v>
      </c>
      <c r="E23" t="s">
        <v>4</v>
      </c>
      <c r="F23" t="s">
        <v>18</v>
      </c>
      <c r="G23" s="2">
        <v>45751</v>
      </c>
      <c r="H23" t="s">
        <v>77</v>
      </c>
      <c r="I23" t="s">
        <v>61</v>
      </c>
      <c r="J23" s="2">
        <v>45751</v>
      </c>
      <c r="K23" s="2">
        <v>45752</v>
      </c>
      <c r="L23" t="s">
        <v>24</v>
      </c>
      <c r="M23" t="s">
        <v>78</v>
      </c>
      <c r="N23" t="s">
        <v>9</v>
      </c>
      <c r="O23" t="s">
        <v>10</v>
      </c>
      <c r="P23" t="s">
        <v>8</v>
      </c>
      <c r="Q23" t="s">
        <v>25</v>
      </c>
      <c r="R23" t="s">
        <v>59</v>
      </c>
      <c r="S23" s="3">
        <v>584.1</v>
      </c>
      <c r="T23" t="s">
        <v>12</v>
      </c>
      <c r="U23" s="3">
        <v>50771.040000000001</v>
      </c>
      <c r="V23" s="3">
        <f>VLOOKUP(M23,[1]working!$C$1:$E$65536,3,0)</f>
        <v>43025.96</v>
      </c>
      <c r="W23" s="3">
        <f t="shared" si="1"/>
        <v>7745.0800000000017</v>
      </c>
      <c r="X23" s="3">
        <f>VLOOKUP(M23,[1]working!$C$1:$H$65536,6,0)</f>
        <v>7745</v>
      </c>
      <c r="Y23" s="3">
        <f>VLOOKUP(M23,[1]working!$C:$F,4,0)</f>
        <v>-4303</v>
      </c>
      <c r="Z23" s="17">
        <f t="shared" si="2"/>
        <v>8.000000000174623E-2</v>
      </c>
      <c r="AA23" s="17" t="s">
        <v>477</v>
      </c>
      <c r="AB23" t="s">
        <v>63</v>
      </c>
      <c r="AC23" t="s">
        <v>8</v>
      </c>
      <c r="AD23" t="s">
        <v>8</v>
      </c>
      <c r="AE23" t="s">
        <v>24</v>
      </c>
      <c r="AF23" t="s">
        <v>14</v>
      </c>
      <c r="AG23" t="s">
        <v>79</v>
      </c>
      <c r="AH23" t="s">
        <v>8</v>
      </c>
      <c r="AI23" t="s">
        <v>8</v>
      </c>
      <c r="AJ23" t="s">
        <v>8</v>
      </c>
      <c r="AK23" s="2">
        <v>45751</v>
      </c>
      <c r="AL23" s="2"/>
      <c r="AM23" t="s">
        <v>8</v>
      </c>
    </row>
    <row r="24" spans="1:39" outlineLevel="2" x14ac:dyDescent="0.25">
      <c r="A24" t="s">
        <v>34</v>
      </c>
      <c r="B24" t="s">
        <v>1</v>
      </c>
      <c r="C24" t="s">
        <v>2</v>
      </c>
      <c r="D24" t="s">
        <v>3</v>
      </c>
      <c r="E24" t="s">
        <v>4</v>
      </c>
      <c r="F24" t="s">
        <v>18</v>
      </c>
      <c r="G24" s="2">
        <v>45751</v>
      </c>
      <c r="H24" t="s">
        <v>80</v>
      </c>
      <c r="I24" t="s">
        <v>61</v>
      </c>
      <c r="J24" s="2">
        <v>45751</v>
      </c>
      <c r="K24" s="2">
        <v>45752</v>
      </c>
      <c r="L24" t="s">
        <v>24</v>
      </c>
      <c r="M24" t="s">
        <v>81</v>
      </c>
      <c r="N24" t="s">
        <v>9</v>
      </c>
      <c r="O24" t="s">
        <v>10</v>
      </c>
      <c r="P24" t="s">
        <v>8</v>
      </c>
      <c r="Q24" t="s">
        <v>25</v>
      </c>
      <c r="R24" t="s">
        <v>59</v>
      </c>
      <c r="S24" s="3">
        <v>573.48</v>
      </c>
      <c r="T24" t="s">
        <v>12</v>
      </c>
      <c r="U24" s="3">
        <v>49847.93</v>
      </c>
      <c r="V24" s="3">
        <f>VLOOKUP(M24,[1]working!$C$1:$E$65536,3,0)</f>
        <v>42244.07</v>
      </c>
      <c r="W24" s="3">
        <f t="shared" si="1"/>
        <v>7603.8600000000006</v>
      </c>
      <c r="X24" s="3">
        <f>VLOOKUP(M24,[1]working!$C$1:$H$65536,6,0)</f>
        <v>7604</v>
      </c>
      <c r="Y24" s="3">
        <f>VLOOKUP(M24,[1]working!$C:$F,4,0)</f>
        <v>-4224</v>
      </c>
      <c r="Z24" s="17">
        <f t="shared" si="2"/>
        <v>-0.13999999999941792</v>
      </c>
      <c r="AA24" s="17" t="s">
        <v>477</v>
      </c>
      <c r="AB24" t="s">
        <v>63</v>
      </c>
      <c r="AC24" t="s">
        <v>8</v>
      </c>
      <c r="AD24" t="s">
        <v>8</v>
      </c>
      <c r="AE24" t="s">
        <v>24</v>
      </c>
      <c r="AF24" t="s">
        <v>14</v>
      </c>
      <c r="AG24" t="s">
        <v>82</v>
      </c>
      <c r="AH24" t="s">
        <v>8</v>
      </c>
      <c r="AI24" t="s">
        <v>8</v>
      </c>
      <c r="AJ24" t="s">
        <v>8</v>
      </c>
      <c r="AK24" s="2">
        <v>45751</v>
      </c>
      <c r="AL24" s="2"/>
      <c r="AM24" t="s">
        <v>8</v>
      </c>
    </row>
    <row r="25" spans="1:39" outlineLevel="2" x14ac:dyDescent="0.25">
      <c r="A25" t="s">
        <v>34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s="2">
        <v>45980</v>
      </c>
      <c r="H25" t="s">
        <v>83</v>
      </c>
      <c r="I25" t="s">
        <v>61</v>
      </c>
      <c r="J25" s="2">
        <v>45980</v>
      </c>
      <c r="K25" s="2">
        <v>45982</v>
      </c>
      <c r="L25" t="s">
        <v>24</v>
      </c>
      <c r="M25" t="s">
        <v>84</v>
      </c>
      <c r="N25" t="s">
        <v>9</v>
      </c>
      <c r="O25" t="s">
        <v>10</v>
      </c>
      <c r="P25" t="s">
        <v>8</v>
      </c>
      <c r="Q25" t="s">
        <v>25</v>
      </c>
      <c r="R25" t="s">
        <v>59</v>
      </c>
      <c r="S25" s="3">
        <v>355.24</v>
      </c>
      <c r="T25" t="s">
        <v>12</v>
      </c>
      <c r="U25" s="3">
        <v>31262.32</v>
      </c>
      <c r="V25" s="3">
        <f>VLOOKUP(M25,[1]working!$C$1:$E$65536,3,0)</f>
        <v>26493.1</v>
      </c>
      <c r="W25" s="3">
        <f t="shared" si="1"/>
        <v>4769.2200000000012</v>
      </c>
      <c r="X25" s="3">
        <f>VLOOKUP(M25,[1]working!$C$1:$H$65536,6,0)</f>
        <v>4769</v>
      </c>
      <c r="Y25" s="3">
        <f>VLOOKUP(M25,[1]working!$C:$F,4,0)</f>
        <v>-2649</v>
      </c>
      <c r="Z25" s="17">
        <f t="shared" si="2"/>
        <v>0.22000000000116415</v>
      </c>
      <c r="AA25" s="17" t="s">
        <v>477</v>
      </c>
      <c r="AB25" t="s">
        <v>63</v>
      </c>
      <c r="AC25" t="s">
        <v>27</v>
      </c>
      <c r="AD25" t="s">
        <v>8</v>
      </c>
      <c r="AE25" t="s">
        <v>85</v>
      </c>
      <c r="AF25" t="s">
        <v>14</v>
      </c>
      <c r="AG25" t="s">
        <v>86</v>
      </c>
      <c r="AH25" t="s">
        <v>8</v>
      </c>
      <c r="AI25" t="s">
        <v>8</v>
      </c>
      <c r="AJ25" t="s">
        <v>8</v>
      </c>
      <c r="AK25" s="2">
        <v>45980</v>
      </c>
      <c r="AL25" s="2"/>
      <c r="AM25" t="s">
        <v>8</v>
      </c>
    </row>
    <row r="26" spans="1:39" outlineLevel="2" x14ac:dyDescent="0.25">
      <c r="A26" t="s">
        <v>34</v>
      </c>
      <c r="B26" t="s">
        <v>1</v>
      </c>
      <c r="C26" t="s">
        <v>2</v>
      </c>
      <c r="D26" t="s">
        <v>3</v>
      </c>
      <c r="E26" t="s">
        <v>4</v>
      </c>
      <c r="F26" t="s">
        <v>87</v>
      </c>
      <c r="G26" s="2">
        <v>45813</v>
      </c>
      <c r="H26" t="s">
        <v>88</v>
      </c>
      <c r="I26" t="s">
        <v>61</v>
      </c>
      <c r="J26" s="2">
        <v>45813</v>
      </c>
      <c r="K26" s="2">
        <v>45817</v>
      </c>
      <c r="L26" t="s">
        <v>24</v>
      </c>
      <c r="M26" t="s">
        <v>89</v>
      </c>
      <c r="N26" t="s">
        <v>9</v>
      </c>
      <c r="O26" t="s">
        <v>10</v>
      </c>
      <c r="P26" t="s">
        <v>8</v>
      </c>
      <c r="Q26" t="s">
        <v>25</v>
      </c>
      <c r="R26" t="s">
        <v>59</v>
      </c>
      <c r="S26" s="3">
        <v>463.56</v>
      </c>
      <c r="T26" t="s">
        <v>12</v>
      </c>
      <c r="U26" s="3">
        <v>39630.11</v>
      </c>
      <c r="V26" s="3">
        <f>VLOOKUP(M26,[1]working!$C:$D,2,0)</f>
        <v>30739</v>
      </c>
      <c r="W26" s="3">
        <f t="shared" si="1"/>
        <v>8891.11</v>
      </c>
      <c r="X26" s="3">
        <f>VLOOKUP(M26,[1]working!$C$1:$H$65536,6,0)</f>
        <v>5123</v>
      </c>
      <c r="Y26" s="3">
        <f>VLOOKUP(M26,[1]working!$C:$F,4,0)</f>
        <v>-2846</v>
      </c>
      <c r="Z26" s="17">
        <f t="shared" si="2"/>
        <v>3768.1100000000006</v>
      </c>
      <c r="AA26" s="17" t="s">
        <v>476</v>
      </c>
      <c r="AB26" t="s">
        <v>63</v>
      </c>
      <c r="AC26" t="s">
        <v>27</v>
      </c>
      <c r="AD26" t="s">
        <v>8</v>
      </c>
      <c r="AE26" t="s">
        <v>24</v>
      </c>
      <c r="AF26" t="s">
        <v>14</v>
      </c>
      <c r="AG26" t="s">
        <v>90</v>
      </c>
      <c r="AH26" t="s">
        <v>8</v>
      </c>
      <c r="AI26" t="s">
        <v>8</v>
      </c>
      <c r="AJ26" t="s">
        <v>8</v>
      </c>
      <c r="AK26" s="2">
        <v>45813</v>
      </c>
      <c r="AL26" s="2"/>
      <c r="AM26" t="s">
        <v>8</v>
      </c>
    </row>
    <row r="27" spans="1:39" outlineLevel="2" x14ac:dyDescent="0.25">
      <c r="A27" t="s">
        <v>34</v>
      </c>
      <c r="B27" t="s">
        <v>1</v>
      </c>
      <c r="C27" t="s">
        <v>2</v>
      </c>
      <c r="D27" t="s">
        <v>3</v>
      </c>
      <c r="E27" t="s">
        <v>4</v>
      </c>
      <c r="F27" t="s">
        <v>18</v>
      </c>
      <c r="G27" s="2">
        <v>45762</v>
      </c>
      <c r="H27" t="s">
        <v>91</v>
      </c>
      <c r="I27" t="s">
        <v>61</v>
      </c>
      <c r="J27" s="2">
        <v>45762</v>
      </c>
      <c r="K27" s="2">
        <v>45763</v>
      </c>
      <c r="L27" t="s">
        <v>24</v>
      </c>
      <c r="M27" t="s">
        <v>92</v>
      </c>
      <c r="N27" t="s">
        <v>9</v>
      </c>
      <c r="O27" t="s">
        <v>10</v>
      </c>
      <c r="P27" t="s">
        <v>8</v>
      </c>
      <c r="Q27" t="s">
        <v>25</v>
      </c>
      <c r="R27" t="s">
        <v>59</v>
      </c>
      <c r="S27" s="3">
        <v>42.48</v>
      </c>
      <c r="T27" t="s">
        <v>12</v>
      </c>
      <c r="U27" s="3">
        <v>3692.44</v>
      </c>
      <c r="V27" s="3">
        <f>VLOOKUP(M27,[1]working!$C$1:$E$65536,3,0)</f>
        <v>3129.56</v>
      </c>
      <c r="W27" s="3">
        <f t="shared" si="1"/>
        <v>562.88000000000011</v>
      </c>
      <c r="X27" s="3">
        <f>VLOOKUP(M27,[1]working!$C$1:$H$65536,6,0)</f>
        <v>564</v>
      </c>
      <c r="Y27" s="3">
        <f>VLOOKUP(M27,[1]working!$C:$F,4,0)</f>
        <v>-63</v>
      </c>
      <c r="Z27" s="17">
        <f t="shared" si="2"/>
        <v>-1.1199999999998909</v>
      </c>
      <c r="AA27" s="17" t="s">
        <v>477</v>
      </c>
      <c r="AB27" t="s">
        <v>63</v>
      </c>
      <c r="AC27" t="s">
        <v>8</v>
      </c>
      <c r="AD27" t="s">
        <v>8</v>
      </c>
      <c r="AE27" t="s">
        <v>24</v>
      </c>
      <c r="AF27" t="s">
        <v>14</v>
      </c>
      <c r="AG27" t="s">
        <v>93</v>
      </c>
      <c r="AH27" t="s">
        <v>8</v>
      </c>
      <c r="AI27" t="s">
        <v>8</v>
      </c>
      <c r="AJ27" t="s">
        <v>8</v>
      </c>
      <c r="AK27" s="2">
        <v>45762</v>
      </c>
      <c r="AL27" s="2"/>
      <c r="AM27" t="s">
        <v>8</v>
      </c>
    </row>
    <row r="28" spans="1:39" outlineLevel="2" x14ac:dyDescent="0.25">
      <c r="A28" t="s">
        <v>34</v>
      </c>
      <c r="B28" t="s">
        <v>1</v>
      </c>
      <c r="C28" t="s">
        <v>2</v>
      </c>
      <c r="D28" t="s">
        <v>3</v>
      </c>
      <c r="E28" t="s">
        <v>4</v>
      </c>
      <c r="F28" t="s">
        <v>18</v>
      </c>
      <c r="G28" s="2">
        <v>45762</v>
      </c>
      <c r="H28" t="s">
        <v>94</v>
      </c>
      <c r="I28" t="s">
        <v>61</v>
      </c>
      <c r="J28" s="2">
        <v>45762</v>
      </c>
      <c r="K28" s="2">
        <v>45763</v>
      </c>
      <c r="L28" t="s">
        <v>24</v>
      </c>
      <c r="M28" t="s">
        <v>95</v>
      </c>
      <c r="N28" t="s">
        <v>9</v>
      </c>
      <c r="O28" t="s">
        <v>10</v>
      </c>
      <c r="P28" t="s">
        <v>8</v>
      </c>
      <c r="Q28" t="s">
        <v>25</v>
      </c>
      <c r="R28" t="s">
        <v>59</v>
      </c>
      <c r="S28" s="3">
        <v>38.94</v>
      </c>
      <c r="T28" t="s">
        <v>12</v>
      </c>
      <c r="U28" s="3">
        <v>3384.74</v>
      </c>
      <c r="V28" s="3">
        <f>VLOOKUP(M28,[1]working!$C$1:$E$65536,3,0)</f>
        <v>2868.26</v>
      </c>
      <c r="W28" s="3">
        <f t="shared" si="1"/>
        <v>516.47999999999956</v>
      </c>
      <c r="X28" s="3">
        <f>VLOOKUP(M28,[1]working!$C$1:$H$65536,6,0)</f>
        <v>517</v>
      </c>
      <c r="Y28" s="3">
        <f>VLOOKUP(M28,[1]working!$C:$F,4,0)</f>
        <v>-58</v>
      </c>
      <c r="Z28" s="17">
        <f t="shared" si="2"/>
        <v>-0.52000000000043656</v>
      </c>
      <c r="AA28" s="17" t="s">
        <v>477</v>
      </c>
      <c r="AB28" t="s">
        <v>63</v>
      </c>
      <c r="AC28" t="s">
        <v>8</v>
      </c>
      <c r="AD28" t="s">
        <v>8</v>
      </c>
      <c r="AE28" t="s">
        <v>24</v>
      </c>
      <c r="AF28" t="s">
        <v>14</v>
      </c>
      <c r="AG28" t="s">
        <v>93</v>
      </c>
      <c r="AH28" t="s">
        <v>8</v>
      </c>
      <c r="AI28" t="s">
        <v>8</v>
      </c>
      <c r="AJ28" t="s">
        <v>8</v>
      </c>
      <c r="AK28" s="2">
        <v>45762</v>
      </c>
      <c r="AL28" s="2"/>
      <c r="AM28" t="s">
        <v>8</v>
      </c>
    </row>
    <row r="29" spans="1:39" outlineLevel="2" x14ac:dyDescent="0.25">
      <c r="A29" t="s">
        <v>34</v>
      </c>
      <c r="B29" t="s">
        <v>1</v>
      </c>
      <c r="C29" t="s">
        <v>2</v>
      </c>
      <c r="D29" t="s">
        <v>3</v>
      </c>
      <c r="E29" t="s">
        <v>4</v>
      </c>
      <c r="F29" t="s">
        <v>18</v>
      </c>
      <c r="G29" s="2">
        <v>45762</v>
      </c>
      <c r="H29" t="s">
        <v>96</v>
      </c>
      <c r="I29" t="s">
        <v>61</v>
      </c>
      <c r="J29" s="2">
        <v>45762</v>
      </c>
      <c r="K29" s="2">
        <v>45763</v>
      </c>
      <c r="L29" t="s">
        <v>24</v>
      </c>
      <c r="M29" t="s">
        <v>97</v>
      </c>
      <c r="N29" t="s">
        <v>9</v>
      </c>
      <c r="O29" t="s">
        <v>10</v>
      </c>
      <c r="P29" t="s">
        <v>8</v>
      </c>
      <c r="Q29" t="s">
        <v>25</v>
      </c>
      <c r="R29" t="s">
        <v>59</v>
      </c>
      <c r="S29" s="3">
        <v>6.27</v>
      </c>
      <c r="T29" t="s">
        <v>12</v>
      </c>
      <c r="U29" s="3">
        <v>545</v>
      </c>
      <c r="V29" s="3">
        <f>VLOOKUP(M29,[1]working!$C$1:$E$65536,3,0)</f>
        <v>461.92</v>
      </c>
      <c r="W29" s="3">
        <f t="shared" si="1"/>
        <v>83.079999999999984</v>
      </c>
      <c r="X29" s="3">
        <f>VLOOKUP(M29,[1]working!$C$1:$H$65536,6,0)</f>
        <v>83.45</v>
      </c>
      <c r="Y29" s="3">
        <f>VLOOKUP(M29,[1]working!$C:$F,4,0)</f>
        <v>0</v>
      </c>
      <c r="Z29" s="17">
        <f t="shared" si="2"/>
        <v>-0.37000000000001876</v>
      </c>
      <c r="AA29" s="17" t="s">
        <v>477</v>
      </c>
      <c r="AB29" t="s">
        <v>63</v>
      </c>
      <c r="AC29" t="s">
        <v>8</v>
      </c>
      <c r="AD29" t="s">
        <v>8</v>
      </c>
      <c r="AE29" t="s">
        <v>24</v>
      </c>
      <c r="AF29" t="s">
        <v>14</v>
      </c>
      <c r="AG29" t="s">
        <v>73</v>
      </c>
      <c r="AH29" t="s">
        <v>8</v>
      </c>
      <c r="AI29" t="s">
        <v>8</v>
      </c>
      <c r="AJ29" t="s">
        <v>8</v>
      </c>
      <c r="AK29" s="2">
        <v>45762</v>
      </c>
      <c r="AL29" s="2"/>
      <c r="AM29" t="s">
        <v>8</v>
      </c>
    </row>
    <row r="30" spans="1:39" outlineLevel="2" x14ac:dyDescent="0.25">
      <c r="A30" t="s">
        <v>34</v>
      </c>
      <c r="B30" t="s">
        <v>1</v>
      </c>
      <c r="C30" t="s">
        <v>2</v>
      </c>
      <c r="D30" t="s">
        <v>3</v>
      </c>
      <c r="E30" t="s">
        <v>4</v>
      </c>
      <c r="F30" t="s">
        <v>18</v>
      </c>
      <c r="G30" s="2">
        <v>45762</v>
      </c>
      <c r="H30" t="s">
        <v>98</v>
      </c>
      <c r="I30" t="s">
        <v>61</v>
      </c>
      <c r="J30" s="2">
        <v>45762</v>
      </c>
      <c r="K30" s="2">
        <v>45763</v>
      </c>
      <c r="L30" t="s">
        <v>24</v>
      </c>
      <c r="M30" t="s">
        <v>99</v>
      </c>
      <c r="N30" t="s">
        <v>9</v>
      </c>
      <c r="O30" t="s">
        <v>10</v>
      </c>
      <c r="P30" t="s">
        <v>8</v>
      </c>
      <c r="Q30" t="s">
        <v>25</v>
      </c>
      <c r="R30" t="s">
        <v>59</v>
      </c>
      <c r="S30" s="3">
        <v>15.36</v>
      </c>
      <c r="T30" t="s">
        <v>12</v>
      </c>
      <c r="U30" s="3">
        <v>1335.12</v>
      </c>
      <c r="V30" s="3">
        <f>VLOOKUP(M30,[1]working!$C$1:$E$65536,3,0)</f>
        <v>1131.29</v>
      </c>
      <c r="W30" s="3">
        <f t="shared" si="1"/>
        <v>203.82999999999993</v>
      </c>
      <c r="X30" s="3">
        <f>VLOOKUP(M30,[1]working!$C$1:$H$65536,6,0)</f>
        <v>203.29000000000002</v>
      </c>
      <c r="Y30" s="3">
        <f>VLOOKUP(M30,[1]working!$C:$F,4,0)</f>
        <v>0</v>
      </c>
      <c r="Z30" s="17">
        <f t="shared" si="2"/>
        <v>0.53999999999990678</v>
      </c>
      <c r="AA30" s="17" t="s">
        <v>477</v>
      </c>
      <c r="AB30" t="s">
        <v>63</v>
      </c>
      <c r="AC30" t="s">
        <v>8</v>
      </c>
      <c r="AD30" t="s">
        <v>8</v>
      </c>
      <c r="AE30" t="s">
        <v>24</v>
      </c>
      <c r="AF30" t="s">
        <v>14</v>
      </c>
      <c r="AG30" t="s">
        <v>73</v>
      </c>
      <c r="AH30" t="s">
        <v>8</v>
      </c>
      <c r="AI30" t="s">
        <v>8</v>
      </c>
      <c r="AJ30" t="s">
        <v>8</v>
      </c>
      <c r="AK30" s="2">
        <v>45762</v>
      </c>
      <c r="AL30" s="2"/>
      <c r="AM30" t="s">
        <v>8</v>
      </c>
    </row>
    <row r="31" spans="1:39" outlineLevel="2" x14ac:dyDescent="0.25">
      <c r="A31" t="s">
        <v>34</v>
      </c>
      <c r="B31" t="s">
        <v>1</v>
      </c>
      <c r="C31" t="s">
        <v>2</v>
      </c>
      <c r="D31" t="s">
        <v>3</v>
      </c>
      <c r="E31" t="s">
        <v>4</v>
      </c>
      <c r="F31" t="s">
        <v>18</v>
      </c>
      <c r="G31" s="2">
        <v>45762</v>
      </c>
      <c r="H31" t="s">
        <v>100</v>
      </c>
      <c r="I31" t="s">
        <v>61</v>
      </c>
      <c r="J31" s="2">
        <v>45762</v>
      </c>
      <c r="K31" s="2">
        <v>45763</v>
      </c>
      <c r="L31" t="s">
        <v>24</v>
      </c>
      <c r="M31" t="s">
        <v>101</v>
      </c>
      <c r="N31" t="s">
        <v>9</v>
      </c>
      <c r="O31" t="s">
        <v>10</v>
      </c>
      <c r="P31" t="s">
        <v>8</v>
      </c>
      <c r="Q31" t="s">
        <v>25</v>
      </c>
      <c r="R31" t="s">
        <v>59</v>
      </c>
      <c r="S31" s="3">
        <v>4.72</v>
      </c>
      <c r="T31" t="s">
        <v>12</v>
      </c>
      <c r="U31" s="3">
        <v>410.27</v>
      </c>
      <c r="V31" s="3">
        <f>VLOOKUP(M31,[1]working!$C$1:$E$65536,3,0)</f>
        <v>348.73</v>
      </c>
      <c r="W31" s="3">
        <f t="shared" si="1"/>
        <v>61.539999999999964</v>
      </c>
      <c r="X31" s="3">
        <f>VLOOKUP(M31,[1]working!$C$1:$H$65536,6,0)</f>
        <v>63</v>
      </c>
      <c r="Y31" s="3">
        <f>VLOOKUP(M31,[1]working!$C:$F,4,0)</f>
        <v>-7</v>
      </c>
      <c r="Z31" s="17">
        <f t="shared" si="2"/>
        <v>-1.4600000000000364</v>
      </c>
      <c r="AA31" s="17" t="s">
        <v>477</v>
      </c>
      <c r="AB31" t="s">
        <v>63</v>
      </c>
      <c r="AC31" t="s">
        <v>8</v>
      </c>
      <c r="AD31" t="s">
        <v>8</v>
      </c>
      <c r="AE31" t="s">
        <v>24</v>
      </c>
      <c r="AF31" t="s">
        <v>14</v>
      </c>
      <c r="AG31" t="s">
        <v>73</v>
      </c>
      <c r="AH31" t="s">
        <v>8</v>
      </c>
      <c r="AI31" t="s">
        <v>8</v>
      </c>
      <c r="AJ31" t="s">
        <v>8</v>
      </c>
      <c r="AK31" s="2">
        <v>45762</v>
      </c>
      <c r="AL31" s="2"/>
      <c r="AM31" t="s">
        <v>8</v>
      </c>
    </row>
    <row r="32" spans="1:39" outlineLevel="2" x14ac:dyDescent="0.25">
      <c r="A32" t="s">
        <v>34</v>
      </c>
      <c r="B32" t="s">
        <v>1</v>
      </c>
      <c r="C32" t="s">
        <v>2</v>
      </c>
      <c r="D32" t="s">
        <v>3</v>
      </c>
      <c r="E32" t="s">
        <v>4</v>
      </c>
      <c r="F32" t="s">
        <v>18</v>
      </c>
      <c r="G32" s="2">
        <v>45762</v>
      </c>
      <c r="H32" t="s">
        <v>102</v>
      </c>
      <c r="I32" t="s">
        <v>61</v>
      </c>
      <c r="J32" s="2">
        <v>45762</v>
      </c>
      <c r="K32" s="2">
        <v>45763</v>
      </c>
      <c r="L32" t="s">
        <v>24</v>
      </c>
      <c r="M32" t="s">
        <v>103</v>
      </c>
      <c r="N32" t="s">
        <v>9</v>
      </c>
      <c r="O32" t="s">
        <v>10</v>
      </c>
      <c r="P32" t="s">
        <v>8</v>
      </c>
      <c r="Q32" t="s">
        <v>25</v>
      </c>
      <c r="R32" t="s">
        <v>59</v>
      </c>
      <c r="S32" s="3">
        <v>18.88</v>
      </c>
      <c r="T32" t="s">
        <v>12</v>
      </c>
      <c r="U32" s="3">
        <v>1641.08</v>
      </c>
      <c r="V32" s="3">
        <f>VLOOKUP(M32,[1]working!$C$1:$E$65536,3,0)</f>
        <v>1391.92</v>
      </c>
      <c r="W32" s="3">
        <f t="shared" si="1"/>
        <v>249.15999999999985</v>
      </c>
      <c r="X32" s="3">
        <f>VLOOKUP(M32,[1]working!$C$1:$H$65536,6,0)</f>
        <v>251</v>
      </c>
      <c r="Y32" s="3">
        <f>VLOOKUP(M32,[1]working!$C:$F,4,0)</f>
        <v>-28</v>
      </c>
      <c r="Z32" s="17">
        <f t="shared" si="2"/>
        <v>-1.8400000000001455</v>
      </c>
      <c r="AA32" s="17" t="s">
        <v>477</v>
      </c>
      <c r="AB32" t="s">
        <v>63</v>
      </c>
      <c r="AC32" t="s">
        <v>8</v>
      </c>
      <c r="AD32" t="s">
        <v>8</v>
      </c>
      <c r="AE32" t="s">
        <v>24</v>
      </c>
      <c r="AF32" t="s">
        <v>14</v>
      </c>
      <c r="AG32" t="s">
        <v>73</v>
      </c>
      <c r="AH32" t="s">
        <v>8</v>
      </c>
      <c r="AI32" t="s">
        <v>8</v>
      </c>
      <c r="AJ32" t="s">
        <v>8</v>
      </c>
      <c r="AK32" s="2">
        <v>45762</v>
      </c>
      <c r="AL32" s="2"/>
      <c r="AM32" t="s">
        <v>8</v>
      </c>
    </row>
    <row r="33" spans="1:39" outlineLevel="2" x14ac:dyDescent="0.25">
      <c r="A33" t="s">
        <v>34</v>
      </c>
      <c r="B33" t="s">
        <v>1</v>
      </c>
      <c r="C33" t="s">
        <v>2</v>
      </c>
      <c r="D33" t="s">
        <v>3</v>
      </c>
      <c r="E33" t="s">
        <v>4</v>
      </c>
      <c r="F33" t="s">
        <v>18</v>
      </c>
      <c r="G33" s="2">
        <v>45762</v>
      </c>
      <c r="H33" t="s">
        <v>104</v>
      </c>
      <c r="I33" t="s">
        <v>61</v>
      </c>
      <c r="J33" s="2">
        <v>45762</v>
      </c>
      <c r="K33" s="2">
        <v>45763</v>
      </c>
      <c r="L33" t="s">
        <v>24</v>
      </c>
      <c r="M33" t="s">
        <v>105</v>
      </c>
      <c r="N33" t="s">
        <v>9</v>
      </c>
      <c r="O33" t="s">
        <v>10</v>
      </c>
      <c r="P33" t="s">
        <v>8</v>
      </c>
      <c r="Q33" t="s">
        <v>25</v>
      </c>
      <c r="R33" t="s">
        <v>59</v>
      </c>
      <c r="S33" s="3">
        <v>14.44</v>
      </c>
      <c r="T33" t="s">
        <v>12</v>
      </c>
      <c r="U33" s="3">
        <v>1255.1500000000001</v>
      </c>
      <c r="V33" s="3">
        <f>VLOOKUP(M33,[1]working!$C$1:$E$65536,3,0)</f>
        <v>1063.49</v>
      </c>
      <c r="W33" s="3">
        <f t="shared" si="1"/>
        <v>191.66000000000008</v>
      </c>
      <c r="X33" s="3">
        <f>VLOOKUP(M33,[1]working!$C$1:$H$65536,6,0)</f>
        <v>191.09</v>
      </c>
      <c r="Y33" s="3">
        <f>VLOOKUP(M33,[1]working!$C:$F,4,0)</f>
        <v>0</v>
      </c>
      <c r="Z33" s="17">
        <f t="shared" si="2"/>
        <v>0.57000000000007844</v>
      </c>
      <c r="AA33" s="17" t="s">
        <v>477</v>
      </c>
      <c r="AB33" t="s">
        <v>63</v>
      </c>
      <c r="AC33" t="s">
        <v>8</v>
      </c>
      <c r="AD33" t="s">
        <v>8</v>
      </c>
      <c r="AE33" t="s">
        <v>24</v>
      </c>
      <c r="AF33" t="s">
        <v>14</v>
      </c>
      <c r="AG33" t="s">
        <v>73</v>
      </c>
      <c r="AH33" t="s">
        <v>8</v>
      </c>
      <c r="AI33" t="s">
        <v>8</v>
      </c>
      <c r="AJ33" t="s">
        <v>8</v>
      </c>
      <c r="AK33" s="2">
        <v>45762</v>
      </c>
      <c r="AL33" s="2"/>
      <c r="AM33" t="s">
        <v>8</v>
      </c>
    </row>
    <row r="34" spans="1:39" outlineLevel="2" x14ac:dyDescent="0.25">
      <c r="A34" t="s">
        <v>34</v>
      </c>
      <c r="B34" t="s">
        <v>1</v>
      </c>
      <c r="C34" t="s">
        <v>2</v>
      </c>
      <c r="D34" t="s">
        <v>3</v>
      </c>
      <c r="E34" t="s">
        <v>4</v>
      </c>
      <c r="F34" t="s">
        <v>106</v>
      </c>
      <c r="G34" s="2">
        <v>45785</v>
      </c>
      <c r="H34" t="s">
        <v>107</v>
      </c>
      <c r="I34" t="s">
        <v>61</v>
      </c>
      <c r="J34" s="2">
        <v>45785</v>
      </c>
      <c r="K34" s="2">
        <v>45805</v>
      </c>
      <c r="L34" t="s">
        <v>24</v>
      </c>
      <c r="M34" t="s">
        <v>108</v>
      </c>
      <c r="N34" t="s">
        <v>9</v>
      </c>
      <c r="O34" t="s">
        <v>10</v>
      </c>
      <c r="P34" t="s">
        <v>8</v>
      </c>
      <c r="Q34" t="s">
        <v>25</v>
      </c>
      <c r="R34" t="s">
        <v>59</v>
      </c>
      <c r="S34" s="3">
        <v>354.18</v>
      </c>
      <c r="T34" t="s">
        <v>12</v>
      </c>
      <c r="U34" s="3">
        <v>30453.71</v>
      </c>
      <c r="V34" s="3">
        <f>VLOOKUP(M34,[1]working!$C$1:$E$65536,3,0)</f>
        <v>25808.559999999998</v>
      </c>
      <c r="W34" s="3">
        <f t="shared" si="1"/>
        <v>4645.1500000000015</v>
      </c>
      <c r="X34" s="3">
        <f>VLOOKUP(M34,[1]working!$C$1:$H$65536,6,0)</f>
        <v>4645.99</v>
      </c>
      <c r="Y34" s="3">
        <f>VLOOKUP(M34,[1]working!$C:$F,4,0)</f>
        <v>0</v>
      </c>
      <c r="Z34" s="17">
        <f t="shared" si="2"/>
        <v>-0.83999999999832653</v>
      </c>
      <c r="AA34" s="17" t="s">
        <v>477</v>
      </c>
      <c r="AB34" t="s">
        <v>63</v>
      </c>
      <c r="AC34" t="s">
        <v>20</v>
      </c>
      <c r="AD34" t="s">
        <v>8</v>
      </c>
      <c r="AE34" t="s">
        <v>24</v>
      </c>
      <c r="AF34" t="s">
        <v>14</v>
      </c>
      <c r="AG34" t="s">
        <v>109</v>
      </c>
      <c r="AH34" t="s">
        <v>8</v>
      </c>
      <c r="AI34" t="s">
        <v>8</v>
      </c>
      <c r="AJ34" t="s">
        <v>8</v>
      </c>
      <c r="AK34" s="2">
        <v>45785</v>
      </c>
      <c r="AL34" s="2"/>
      <c r="AM34" t="s">
        <v>8</v>
      </c>
    </row>
    <row r="35" spans="1:39" outlineLevel="2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41</v>
      </c>
      <c r="G35" s="2">
        <v>45947</v>
      </c>
      <c r="H35" t="s">
        <v>110</v>
      </c>
      <c r="I35" t="s">
        <v>111</v>
      </c>
      <c r="J35" s="2">
        <v>45947</v>
      </c>
      <c r="K35" s="2">
        <v>45953</v>
      </c>
      <c r="L35" t="s">
        <v>24</v>
      </c>
      <c r="M35" t="s">
        <v>112</v>
      </c>
      <c r="N35" t="s">
        <v>9</v>
      </c>
      <c r="O35" t="s">
        <v>10</v>
      </c>
      <c r="P35" t="s">
        <v>8</v>
      </c>
      <c r="Q35" t="s">
        <v>5</v>
      </c>
      <c r="R35" t="s">
        <v>59</v>
      </c>
      <c r="S35" s="3">
        <v>-28.32</v>
      </c>
      <c r="T35" t="s">
        <v>12</v>
      </c>
      <c r="U35" s="3">
        <v>-2497.56</v>
      </c>
      <c r="V35" s="3" t="e">
        <f>VLOOKUP(M35,[1]working!$C$1:$E$65536,3,0)</f>
        <v>#N/A</v>
      </c>
      <c r="W35" s="3" t="e">
        <f t="shared" si="1"/>
        <v>#N/A</v>
      </c>
      <c r="X35" s="3"/>
      <c r="Y35" s="3" t="e">
        <f>VLOOKUP(M35,[1]working!$C:$F,4,0)</f>
        <v>#N/A</v>
      </c>
      <c r="Z35" s="3"/>
      <c r="AA35" s="3" t="s">
        <v>479</v>
      </c>
      <c r="AB35" t="s">
        <v>63</v>
      </c>
      <c r="AC35" t="s">
        <v>27</v>
      </c>
      <c r="AD35" t="s">
        <v>8</v>
      </c>
      <c r="AE35" t="s">
        <v>113</v>
      </c>
      <c r="AF35" t="s">
        <v>14</v>
      </c>
      <c r="AG35" t="s">
        <v>114</v>
      </c>
      <c r="AH35" t="s">
        <v>8</v>
      </c>
      <c r="AI35" t="s">
        <v>8</v>
      </c>
      <c r="AJ35" t="s">
        <v>8</v>
      </c>
      <c r="AK35" s="2">
        <v>45947</v>
      </c>
      <c r="AL35" s="2">
        <v>45975</v>
      </c>
      <c r="AM35" t="s">
        <v>55</v>
      </c>
    </row>
    <row r="36" spans="1:39" outlineLevel="2" x14ac:dyDescent="0.25">
      <c r="A36" t="s">
        <v>34</v>
      </c>
      <c r="B36" t="s">
        <v>1</v>
      </c>
      <c r="C36" t="s">
        <v>2</v>
      </c>
      <c r="D36" t="s">
        <v>3</v>
      </c>
      <c r="E36" t="s">
        <v>4</v>
      </c>
      <c r="F36" t="s">
        <v>18</v>
      </c>
      <c r="G36" s="2">
        <v>45763</v>
      </c>
      <c r="H36" t="s">
        <v>115</v>
      </c>
      <c r="I36" t="s">
        <v>61</v>
      </c>
      <c r="J36" s="2">
        <v>45763</v>
      </c>
      <c r="K36" s="2">
        <v>45764</v>
      </c>
      <c r="L36" t="s">
        <v>24</v>
      </c>
      <c r="M36" t="s">
        <v>116</v>
      </c>
      <c r="N36" t="s">
        <v>9</v>
      </c>
      <c r="O36" t="s">
        <v>10</v>
      </c>
      <c r="P36" t="s">
        <v>8</v>
      </c>
      <c r="Q36" t="s">
        <v>25</v>
      </c>
      <c r="R36" t="s">
        <v>59</v>
      </c>
      <c r="S36" s="3">
        <v>39.97</v>
      </c>
      <c r="T36" t="s">
        <v>12</v>
      </c>
      <c r="U36" s="3">
        <v>3474.27</v>
      </c>
      <c r="V36" s="3">
        <f>VLOOKUP(M36,[1]working!$C$1:$E$65536,3,0)</f>
        <v>2943.73</v>
      </c>
      <c r="W36" s="3">
        <f t="shared" si="1"/>
        <v>530.54</v>
      </c>
      <c r="X36" s="3">
        <f>VLOOKUP(M36,[1]working!$C$1:$H$65536,6,0)</f>
        <v>530</v>
      </c>
      <c r="Y36" s="3">
        <f>VLOOKUP(M36,[1]working!$C:$F,4,0)</f>
        <v>-59</v>
      </c>
      <c r="Z36" s="17">
        <f t="shared" ref="Z36:Z63" si="3">W36-X36</f>
        <v>0.53999999999996362</v>
      </c>
      <c r="AA36" s="17" t="s">
        <v>477</v>
      </c>
      <c r="AB36" t="s">
        <v>63</v>
      </c>
      <c r="AC36" t="s">
        <v>20</v>
      </c>
      <c r="AD36" t="s">
        <v>8</v>
      </c>
      <c r="AE36" t="s">
        <v>24</v>
      </c>
      <c r="AF36" t="s">
        <v>14</v>
      </c>
      <c r="AG36" t="s">
        <v>117</v>
      </c>
      <c r="AH36" t="s">
        <v>8</v>
      </c>
      <c r="AI36" t="s">
        <v>8</v>
      </c>
      <c r="AJ36" t="s">
        <v>8</v>
      </c>
      <c r="AK36" s="2">
        <v>45763</v>
      </c>
      <c r="AL36" s="2"/>
      <c r="AM36" t="s">
        <v>8</v>
      </c>
    </row>
    <row r="37" spans="1:39" outlineLevel="2" x14ac:dyDescent="0.25">
      <c r="A37" t="s">
        <v>34</v>
      </c>
      <c r="B37" t="s">
        <v>1</v>
      </c>
      <c r="C37" t="s">
        <v>2</v>
      </c>
      <c r="D37" t="s">
        <v>3</v>
      </c>
      <c r="E37" t="s">
        <v>4</v>
      </c>
      <c r="F37" t="s">
        <v>18</v>
      </c>
      <c r="G37" s="2">
        <v>45763</v>
      </c>
      <c r="H37" t="s">
        <v>118</v>
      </c>
      <c r="I37" t="s">
        <v>61</v>
      </c>
      <c r="J37" s="2">
        <v>45763</v>
      </c>
      <c r="K37" s="2">
        <v>45764</v>
      </c>
      <c r="L37" t="s">
        <v>24</v>
      </c>
      <c r="M37" t="s">
        <v>119</v>
      </c>
      <c r="N37" t="s">
        <v>9</v>
      </c>
      <c r="O37" t="s">
        <v>10</v>
      </c>
      <c r="P37" t="s">
        <v>8</v>
      </c>
      <c r="Q37" t="s">
        <v>25</v>
      </c>
      <c r="R37" t="s">
        <v>59</v>
      </c>
      <c r="S37" s="3">
        <v>141.6</v>
      </c>
      <c r="T37" t="s">
        <v>12</v>
      </c>
      <c r="U37" s="3">
        <v>12308.13</v>
      </c>
      <c r="V37" s="3">
        <f>VLOOKUP(M37,[1]working!$C$1:$E$65536,3,0)</f>
        <v>10430.9</v>
      </c>
      <c r="W37" s="3">
        <f t="shared" si="1"/>
        <v>1877.2299999999996</v>
      </c>
      <c r="X37" s="3">
        <f>VLOOKUP(M37,[1]working!$C$1:$H$65536,6,0)</f>
        <v>1877</v>
      </c>
      <c r="Y37" s="3">
        <f>VLOOKUP(M37,[1]working!$C:$F,4,0)</f>
        <v>-209</v>
      </c>
      <c r="Z37" s="17">
        <f t="shared" si="3"/>
        <v>0.22999999999956344</v>
      </c>
      <c r="AA37" s="17" t="s">
        <v>477</v>
      </c>
      <c r="AB37" t="s">
        <v>63</v>
      </c>
      <c r="AC37" t="s">
        <v>20</v>
      </c>
      <c r="AD37" t="s">
        <v>8</v>
      </c>
      <c r="AE37" t="s">
        <v>24</v>
      </c>
      <c r="AF37" t="s">
        <v>14</v>
      </c>
      <c r="AG37" t="s">
        <v>120</v>
      </c>
      <c r="AH37" t="s">
        <v>8</v>
      </c>
      <c r="AI37" t="s">
        <v>8</v>
      </c>
      <c r="AJ37" t="s">
        <v>8</v>
      </c>
      <c r="AK37" s="2">
        <v>45763</v>
      </c>
      <c r="AL37" s="2"/>
      <c r="AM37" t="s">
        <v>8</v>
      </c>
    </row>
    <row r="38" spans="1:39" outlineLevel="2" x14ac:dyDescent="0.25">
      <c r="A38" t="s">
        <v>34</v>
      </c>
      <c r="B38" t="s">
        <v>1</v>
      </c>
      <c r="C38" t="s">
        <v>2</v>
      </c>
      <c r="D38" t="s">
        <v>3</v>
      </c>
      <c r="E38" t="s">
        <v>4</v>
      </c>
      <c r="F38" t="s">
        <v>18</v>
      </c>
      <c r="G38" s="2">
        <v>45763</v>
      </c>
      <c r="H38" t="s">
        <v>121</v>
      </c>
      <c r="I38" t="s">
        <v>61</v>
      </c>
      <c r="J38" s="2">
        <v>45763</v>
      </c>
      <c r="K38" s="2">
        <v>45764</v>
      </c>
      <c r="L38" t="s">
        <v>24</v>
      </c>
      <c r="M38" t="s">
        <v>122</v>
      </c>
      <c r="N38" t="s">
        <v>9</v>
      </c>
      <c r="O38" t="s">
        <v>10</v>
      </c>
      <c r="P38" t="s">
        <v>8</v>
      </c>
      <c r="Q38" t="s">
        <v>25</v>
      </c>
      <c r="R38" t="s">
        <v>59</v>
      </c>
      <c r="S38" s="3">
        <v>58.62</v>
      </c>
      <c r="T38" t="s">
        <v>12</v>
      </c>
      <c r="U38" s="3">
        <v>5095.3599999999997</v>
      </c>
      <c r="V38" s="3">
        <f>VLOOKUP(M38,[1]working!$C$1:$E$65536,3,0)</f>
        <v>4317.6400000000003</v>
      </c>
      <c r="W38" s="3">
        <f t="shared" si="1"/>
        <v>777.71999999999935</v>
      </c>
      <c r="X38" s="3">
        <f>VLOOKUP(M38,[1]working!$C$1:$H$65536,6,0)</f>
        <v>777</v>
      </c>
      <c r="Y38" s="3">
        <f>VLOOKUP(M38,[1]working!$C:$F,4,0)</f>
        <v>-86</v>
      </c>
      <c r="Z38" s="17">
        <f t="shared" si="3"/>
        <v>0.71999999999934516</v>
      </c>
      <c r="AA38" s="17" t="s">
        <v>477</v>
      </c>
      <c r="AB38" t="s">
        <v>63</v>
      </c>
      <c r="AC38" t="s">
        <v>20</v>
      </c>
      <c r="AD38" t="s">
        <v>8</v>
      </c>
      <c r="AE38" t="s">
        <v>24</v>
      </c>
      <c r="AF38" t="s">
        <v>14</v>
      </c>
      <c r="AG38" t="s">
        <v>123</v>
      </c>
      <c r="AH38" t="s">
        <v>8</v>
      </c>
      <c r="AI38" t="s">
        <v>8</v>
      </c>
      <c r="AJ38" t="s">
        <v>8</v>
      </c>
      <c r="AK38" s="2">
        <v>45763</v>
      </c>
      <c r="AL38" s="2"/>
      <c r="AM38" t="s">
        <v>8</v>
      </c>
    </row>
    <row r="39" spans="1:39" outlineLevel="2" x14ac:dyDescent="0.25">
      <c r="A39" t="s">
        <v>34</v>
      </c>
      <c r="B39" t="s">
        <v>1</v>
      </c>
      <c r="C39" t="s">
        <v>2</v>
      </c>
      <c r="D39" t="s">
        <v>3</v>
      </c>
      <c r="E39" t="s">
        <v>4</v>
      </c>
      <c r="F39" t="s">
        <v>18</v>
      </c>
      <c r="G39" s="2">
        <v>45763</v>
      </c>
      <c r="H39" t="s">
        <v>124</v>
      </c>
      <c r="I39" t="s">
        <v>61</v>
      </c>
      <c r="J39" s="2">
        <v>45763</v>
      </c>
      <c r="K39" s="2">
        <v>45764</v>
      </c>
      <c r="L39" t="s">
        <v>24</v>
      </c>
      <c r="M39" t="s">
        <v>125</v>
      </c>
      <c r="N39" t="s">
        <v>9</v>
      </c>
      <c r="O39" t="s">
        <v>10</v>
      </c>
      <c r="P39" t="s">
        <v>8</v>
      </c>
      <c r="Q39" t="s">
        <v>25</v>
      </c>
      <c r="R39" t="s">
        <v>59</v>
      </c>
      <c r="S39" s="3">
        <v>8.92</v>
      </c>
      <c r="T39" t="s">
        <v>12</v>
      </c>
      <c r="U39" s="3">
        <v>775.34</v>
      </c>
      <c r="V39" s="3">
        <f>VLOOKUP(M39,[1]working!$C$1:$E$65536,3,0)</f>
        <v>656.72</v>
      </c>
      <c r="W39" s="3">
        <f t="shared" si="1"/>
        <v>118.62</v>
      </c>
      <c r="X39" s="3">
        <f>VLOOKUP(M39,[1]working!$C$1:$H$65536,6,0)</f>
        <v>118</v>
      </c>
      <c r="Y39" s="3">
        <f>VLOOKUP(M39,[1]working!$C:$F,4,0)</f>
        <v>-13</v>
      </c>
      <c r="Z39" s="17">
        <f t="shared" si="3"/>
        <v>0.62000000000000455</v>
      </c>
      <c r="AA39" s="17" t="s">
        <v>477</v>
      </c>
      <c r="AB39" t="s">
        <v>63</v>
      </c>
      <c r="AC39" t="s">
        <v>20</v>
      </c>
      <c r="AD39" t="s">
        <v>8</v>
      </c>
      <c r="AE39" t="s">
        <v>24</v>
      </c>
      <c r="AF39" t="s">
        <v>14</v>
      </c>
      <c r="AG39" t="s">
        <v>126</v>
      </c>
      <c r="AH39" t="s">
        <v>8</v>
      </c>
      <c r="AI39" t="s">
        <v>8</v>
      </c>
      <c r="AJ39" t="s">
        <v>8</v>
      </c>
      <c r="AK39" s="2">
        <v>45763</v>
      </c>
      <c r="AL39" s="2"/>
      <c r="AM39" t="s">
        <v>8</v>
      </c>
    </row>
    <row r="40" spans="1:39" outlineLevel="2" x14ac:dyDescent="0.25">
      <c r="A40" t="s">
        <v>34</v>
      </c>
      <c r="B40" t="s">
        <v>1</v>
      </c>
      <c r="C40" t="s">
        <v>2</v>
      </c>
      <c r="D40" t="s">
        <v>3</v>
      </c>
      <c r="E40" t="s">
        <v>4</v>
      </c>
      <c r="F40" t="s">
        <v>18</v>
      </c>
      <c r="G40" s="2">
        <v>45763</v>
      </c>
      <c r="H40" t="s">
        <v>127</v>
      </c>
      <c r="I40" t="s">
        <v>61</v>
      </c>
      <c r="J40" s="2">
        <v>45763</v>
      </c>
      <c r="K40" s="2">
        <v>45763</v>
      </c>
      <c r="L40" t="s">
        <v>24</v>
      </c>
      <c r="M40" t="s">
        <v>128</v>
      </c>
      <c r="N40" t="s">
        <v>9</v>
      </c>
      <c r="O40" t="s">
        <v>10</v>
      </c>
      <c r="P40" t="s">
        <v>8</v>
      </c>
      <c r="Q40" t="s">
        <v>25</v>
      </c>
      <c r="R40" t="s">
        <v>59</v>
      </c>
      <c r="S40" s="3">
        <v>388.16</v>
      </c>
      <c r="T40" t="s">
        <v>12</v>
      </c>
      <c r="U40" s="3">
        <v>33739.57</v>
      </c>
      <c r="V40" s="3">
        <f>VLOOKUP(M40,[1]working!$C$1:$E$65536,3,0)</f>
        <v>28592.43</v>
      </c>
      <c r="W40" s="3">
        <f t="shared" si="1"/>
        <v>5147.1399999999994</v>
      </c>
      <c r="X40" s="3">
        <f>VLOOKUP(M40,[1]working!$C$1:$H$65536,6,0)</f>
        <v>5146</v>
      </c>
      <c r="Y40" s="3">
        <f>VLOOKUP(M40,[1]working!$C:$F,4,0)</f>
        <v>-2859</v>
      </c>
      <c r="Z40" s="17">
        <f t="shared" si="3"/>
        <v>1.1399999999994179</v>
      </c>
      <c r="AA40" s="17" t="s">
        <v>477</v>
      </c>
      <c r="AB40" t="s">
        <v>63</v>
      </c>
      <c r="AC40" t="s">
        <v>8</v>
      </c>
      <c r="AD40" t="s">
        <v>8</v>
      </c>
      <c r="AE40" t="s">
        <v>24</v>
      </c>
      <c r="AF40" t="s">
        <v>14</v>
      </c>
      <c r="AG40" t="s">
        <v>76</v>
      </c>
      <c r="AH40" t="s">
        <v>8</v>
      </c>
      <c r="AI40" t="s">
        <v>8</v>
      </c>
      <c r="AJ40" t="s">
        <v>8</v>
      </c>
      <c r="AK40" s="2">
        <v>45763</v>
      </c>
      <c r="AL40" s="2"/>
      <c r="AM40" t="s">
        <v>8</v>
      </c>
    </row>
    <row r="41" spans="1:39" outlineLevel="2" x14ac:dyDescent="0.25">
      <c r="A41" t="s">
        <v>34</v>
      </c>
      <c r="B41" t="s">
        <v>1</v>
      </c>
      <c r="C41" t="s">
        <v>2</v>
      </c>
      <c r="D41" t="s">
        <v>3</v>
      </c>
      <c r="E41" t="s">
        <v>4</v>
      </c>
      <c r="F41" t="s">
        <v>38</v>
      </c>
      <c r="G41" s="2">
        <v>45863</v>
      </c>
      <c r="H41" t="s">
        <v>129</v>
      </c>
      <c r="I41" t="s">
        <v>61</v>
      </c>
      <c r="J41" s="2">
        <v>45863</v>
      </c>
      <c r="K41" s="2">
        <v>45863</v>
      </c>
      <c r="L41" t="s">
        <v>24</v>
      </c>
      <c r="M41" t="s">
        <v>130</v>
      </c>
      <c r="N41" t="s">
        <v>9</v>
      </c>
      <c r="O41" t="s">
        <v>10</v>
      </c>
      <c r="P41" t="s">
        <v>8</v>
      </c>
      <c r="Q41" t="s">
        <v>25</v>
      </c>
      <c r="R41" t="s">
        <v>59</v>
      </c>
      <c r="S41" s="3">
        <v>24.15</v>
      </c>
      <c r="T41" t="s">
        <v>12</v>
      </c>
      <c r="U41" s="3">
        <v>2076.92</v>
      </c>
      <c r="V41" s="3">
        <f>VLOOKUP(M41,[1]working!$C$1:$E$65536,3,0)</f>
        <v>1760.18</v>
      </c>
      <c r="W41" s="3">
        <f t="shared" si="1"/>
        <v>316.74</v>
      </c>
      <c r="X41" s="3">
        <f>VLOOKUP(M41,[1]working!$C$1:$H$65536,6,0)</f>
        <v>317</v>
      </c>
      <c r="Y41" s="3">
        <f>VLOOKUP(M41,[1]working!$C:$F,4,0)</f>
        <v>-35</v>
      </c>
      <c r="Z41" s="17">
        <f t="shared" si="3"/>
        <v>-0.25999999999999091</v>
      </c>
      <c r="AA41" s="17" t="s">
        <v>477</v>
      </c>
      <c r="AB41" t="s">
        <v>63</v>
      </c>
      <c r="AC41" t="s">
        <v>27</v>
      </c>
      <c r="AD41" t="s">
        <v>8</v>
      </c>
      <c r="AE41" t="s">
        <v>24</v>
      </c>
      <c r="AF41" t="s">
        <v>14</v>
      </c>
      <c r="AG41" t="s">
        <v>131</v>
      </c>
      <c r="AH41" t="s">
        <v>8</v>
      </c>
      <c r="AI41" t="s">
        <v>8</v>
      </c>
      <c r="AJ41" t="s">
        <v>8</v>
      </c>
      <c r="AK41" s="2">
        <v>45863</v>
      </c>
      <c r="AL41" s="2"/>
      <c r="AM41" t="s">
        <v>8</v>
      </c>
    </row>
    <row r="42" spans="1:39" outlineLevel="2" x14ac:dyDescent="0.25">
      <c r="A42" t="s">
        <v>34</v>
      </c>
      <c r="B42" t="s">
        <v>1</v>
      </c>
      <c r="C42" t="s">
        <v>2</v>
      </c>
      <c r="D42" t="s">
        <v>3</v>
      </c>
      <c r="E42" t="s">
        <v>4</v>
      </c>
      <c r="F42" t="s">
        <v>132</v>
      </c>
      <c r="G42" s="2">
        <v>45904</v>
      </c>
      <c r="H42" t="s">
        <v>133</v>
      </c>
      <c r="I42" t="s">
        <v>61</v>
      </c>
      <c r="J42" s="2">
        <v>45904</v>
      </c>
      <c r="K42" s="2">
        <v>45908</v>
      </c>
      <c r="L42" t="s">
        <v>24</v>
      </c>
      <c r="M42" t="s">
        <v>134</v>
      </c>
      <c r="N42" t="s">
        <v>9</v>
      </c>
      <c r="O42" t="s">
        <v>10</v>
      </c>
      <c r="P42" t="s">
        <v>8</v>
      </c>
      <c r="Q42" t="s">
        <v>25</v>
      </c>
      <c r="R42" t="s">
        <v>59</v>
      </c>
      <c r="S42" s="3">
        <v>259.13</v>
      </c>
      <c r="T42" t="s">
        <v>12</v>
      </c>
      <c r="U42" s="3">
        <v>22677.59</v>
      </c>
      <c r="V42" s="3">
        <f>VLOOKUP(M42,[1]working!$C$1:$E$65536,3,0)</f>
        <v>19217.71</v>
      </c>
      <c r="W42" s="3">
        <f t="shared" si="1"/>
        <v>3459.880000000001</v>
      </c>
      <c r="X42" s="3">
        <f>VLOOKUP(M42,[1]working!$C$1:$H$65536,6,0)</f>
        <v>3459</v>
      </c>
      <c r="Y42" s="3">
        <f>VLOOKUP(M42,[1]working!$C:$F,4,0)</f>
        <v>-1921</v>
      </c>
      <c r="Z42" s="17">
        <f t="shared" si="3"/>
        <v>0.88000000000101863</v>
      </c>
      <c r="AA42" s="17" t="s">
        <v>477</v>
      </c>
      <c r="AB42" t="s">
        <v>63</v>
      </c>
      <c r="AC42" t="s">
        <v>27</v>
      </c>
      <c r="AD42" t="s">
        <v>8</v>
      </c>
      <c r="AE42" t="s">
        <v>24</v>
      </c>
      <c r="AF42" t="s">
        <v>14</v>
      </c>
      <c r="AG42" t="s">
        <v>135</v>
      </c>
      <c r="AH42" t="s">
        <v>8</v>
      </c>
      <c r="AI42" t="s">
        <v>8</v>
      </c>
      <c r="AJ42" t="s">
        <v>8</v>
      </c>
      <c r="AK42" s="2">
        <v>45904</v>
      </c>
      <c r="AL42" s="2"/>
      <c r="AM42" t="s">
        <v>8</v>
      </c>
    </row>
    <row r="43" spans="1:39" outlineLevel="2" x14ac:dyDescent="0.25">
      <c r="A43" t="s">
        <v>34</v>
      </c>
      <c r="B43" t="s">
        <v>1</v>
      </c>
      <c r="C43" t="s">
        <v>2</v>
      </c>
      <c r="D43" t="s">
        <v>3</v>
      </c>
      <c r="E43" t="s">
        <v>4</v>
      </c>
      <c r="F43" t="s">
        <v>132</v>
      </c>
      <c r="G43" s="2">
        <v>45904</v>
      </c>
      <c r="H43" t="s">
        <v>136</v>
      </c>
      <c r="I43" t="s">
        <v>61</v>
      </c>
      <c r="J43" s="2">
        <v>45904</v>
      </c>
      <c r="K43" s="2">
        <v>45909</v>
      </c>
      <c r="L43" t="s">
        <v>24</v>
      </c>
      <c r="M43" t="s">
        <v>137</v>
      </c>
      <c r="N43" t="s">
        <v>9</v>
      </c>
      <c r="O43" t="s">
        <v>10</v>
      </c>
      <c r="P43" t="s">
        <v>8</v>
      </c>
      <c r="Q43" t="s">
        <v>25</v>
      </c>
      <c r="R43" t="s">
        <v>59</v>
      </c>
      <c r="S43" s="3">
        <v>819.36</v>
      </c>
      <c r="T43" t="s">
        <v>12</v>
      </c>
      <c r="U43" s="3">
        <v>71705.740000000005</v>
      </c>
      <c r="V43" s="3">
        <f>VLOOKUP(M43,[1]working!$C$1:$E$65536,3,0)</f>
        <v>60767.839999999997</v>
      </c>
      <c r="W43" s="3">
        <f t="shared" si="1"/>
        <v>10937.900000000009</v>
      </c>
      <c r="X43" s="3">
        <f>VLOOKUP(M43,[1]working!$C$1:$H$65536,6,0)</f>
        <v>10938</v>
      </c>
      <c r="Y43" s="3">
        <f>VLOOKUP(M43,[1]working!$C:$F,4,0)</f>
        <v>-1215</v>
      </c>
      <c r="Z43" s="17">
        <f t="shared" si="3"/>
        <v>-9.9999999991268851E-2</v>
      </c>
      <c r="AA43" s="17" t="s">
        <v>477</v>
      </c>
      <c r="AB43" t="s">
        <v>63</v>
      </c>
      <c r="AC43" t="s">
        <v>27</v>
      </c>
      <c r="AD43" t="s">
        <v>8</v>
      </c>
      <c r="AE43" t="s">
        <v>24</v>
      </c>
      <c r="AF43" t="s">
        <v>14</v>
      </c>
      <c r="AG43" t="s">
        <v>138</v>
      </c>
      <c r="AH43" t="s">
        <v>8</v>
      </c>
      <c r="AI43" t="s">
        <v>8</v>
      </c>
      <c r="AJ43" t="s">
        <v>8</v>
      </c>
      <c r="AK43" s="2">
        <v>45904</v>
      </c>
      <c r="AL43" s="2"/>
      <c r="AM43" t="s">
        <v>8</v>
      </c>
    </row>
    <row r="44" spans="1:39" outlineLevel="2" x14ac:dyDescent="0.25">
      <c r="A44" t="s">
        <v>34</v>
      </c>
      <c r="B44" t="s">
        <v>1</v>
      </c>
      <c r="C44" t="s">
        <v>2</v>
      </c>
      <c r="D44" t="s">
        <v>3</v>
      </c>
      <c r="E44" t="s">
        <v>4</v>
      </c>
      <c r="F44" t="s">
        <v>132</v>
      </c>
      <c r="G44" s="2">
        <v>45904</v>
      </c>
      <c r="H44" t="s">
        <v>139</v>
      </c>
      <c r="I44" t="s">
        <v>61</v>
      </c>
      <c r="J44" s="2">
        <v>45904</v>
      </c>
      <c r="K44" s="2">
        <v>45909</v>
      </c>
      <c r="L44" t="s">
        <v>24</v>
      </c>
      <c r="M44" t="s">
        <v>140</v>
      </c>
      <c r="N44" t="s">
        <v>9</v>
      </c>
      <c r="O44" t="s">
        <v>10</v>
      </c>
      <c r="P44" t="s">
        <v>8</v>
      </c>
      <c r="Q44" t="s">
        <v>25</v>
      </c>
      <c r="R44" t="s">
        <v>59</v>
      </c>
      <c r="S44" s="3">
        <v>82.76</v>
      </c>
      <c r="T44" t="s">
        <v>12</v>
      </c>
      <c r="U44" s="3">
        <v>7242.69</v>
      </c>
      <c r="V44" s="3">
        <f>VLOOKUP(M44,[1]working!$C$1:$E$65536,3,0)</f>
        <v>6138.18</v>
      </c>
      <c r="W44" s="3">
        <f t="shared" si="1"/>
        <v>1104.5099999999993</v>
      </c>
      <c r="X44" s="3">
        <f>VLOOKUP(M44,[1]working!$C$1:$H$65536,6,0)</f>
        <v>1105</v>
      </c>
      <c r="Y44" s="3">
        <f>VLOOKUP(M44,[1]working!$C:$F,4,0)</f>
        <v>-123</v>
      </c>
      <c r="Z44" s="17">
        <f t="shared" si="3"/>
        <v>-0.49000000000069122</v>
      </c>
      <c r="AA44" s="17" t="s">
        <v>477</v>
      </c>
      <c r="AB44" t="s">
        <v>63</v>
      </c>
      <c r="AC44" t="s">
        <v>27</v>
      </c>
      <c r="AD44" t="s">
        <v>8</v>
      </c>
      <c r="AE44" t="s">
        <v>24</v>
      </c>
      <c r="AF44" t="s">
        <v>14</v>
      </c>
      <c r="AG44" t="s">
        <v>141</v>
      </c>
      <c r="AH44" t="s">
        <v>8</v>
      </c>
      <c r="AI44" t="s">
        <v>8</v>
      </c>
      <c r="AJ44" t="s">
        <v>8</v>
      </c>
      <c r="AK44" s="2">
        <v>45904</v>
      </c>
      <c r="AL44" s="2"/>
      <c r="AM44" t="s">
        <v>8</v>
      </c>
    </row>
    <row r="45" spans="1:39" outlineLevel="2" x14ac:dyDescent="0.25">
      <c r="A45" t="s">
        <v>34</v>
      </c>
      <c r="B45" t="s">
        <v>1</v>
      </c>
      <c r="C45" t="s">
        <v>2</v>
      </c>
      <c r="D45" t="s">
        <v>3</v>
      </c>
      <c r="E45" t="s">
        <v>4</v>
      </c>
      <c r="F45" t="s">
        <v>132</v>
      </c>
      <c r="G45" s="2">
        <v>45904</v>
      </c>
      <c r="H45" t="s">
        <v>142</v>
      </c>
      <c r="I45" t="s">
        <v>61</v>
      </c>
      <c r="J45" s="2">
        <v>45904</v>
      </c>
      <c r="K45" s="2">
        <v>45909</v>
      </c>
      <c r="L45" t="s">
        <v>24</v>
      </c>
      <c r="M45" t="s">
        <v>143</v>
      </c>
      <c r="N45" t="s">
        <v>9</v>
      </c>
      <c r="O45" t="s">
        <v>10</v>
      </c>
      <c r="P45" t="s">
        <v>8</v>
      </c>
      <c r="Q45" t="s">
        <v>25</v>
      </c>
      <c r="R45" t="s">
        <v>59</v>
      </c>
      <c r="S45" s="3">
        <v>24.28</v>
      </c>
      <c r="T45" t="s">
        <v>12</v>
      </c>
      <c r="U45" s="3">
        <v>2124.85</v>
      </c>
      <c r="V45" s="3">
        <f>VLOOKUP(M45,[1]working!$C$1:$E$65536,3,0)</f>
        <v>1800.87</v>
      </c>
      <c r="W45" s="3">
        <f t="shared" si="1"/>
        <v>323.98</v>
      </c>
      <c r="X45" s="3">
        <f>VLOOKUP(M45,[1]working!$C$1:$H$65536,6,0)</f>
        <v>324</v>
      </c>
      <c r="Y45" s="3">
        <f>VLOOKUP(M45,[1]working!$C:$F,4,0)</f>
        <v>-36</v>
      </c>
      <c r="Z45" s="17">
        <f t="shared" si="3"/>
        <v>-1.999999999998181E-2</v>
      </c>
      <c r="AA45" s="17" t="s">
        <v>477</v>
      </c>
      <c r="AB45" t="s">
        <v>63</v>
      </c>
      <c r="AC45" t="s">
        <v>27</v>
      </c>
      <c r="AD45" t="s">
        <v>8</v>
      </c>
      <c r="AE45" t="s">
        <v>144</v>
      </c>
      <c r="AF45" t="s">
        <v>14</v>
      </c>
      <c r="AG45" t="s">
        <v>145</v>
      </c>
      <c r="AH45" t="s">
        <v>8</v>
      </c>
      <c r="AI45" t="s">
        <v>8</v>
      </c>
      <c r="AJ45" t="s">
        <v>8</v>
      </c>
      <c r="AK45" s="2">
        <v>45904</v>
      </c>
      <c r="AL45" s="2"/>
      <c r="AM45" t="s">
        <v>8</v>
      </c>
    </row>
    <row r="46" spans="1:39" outlineLevel="2" x14ac:dyDescent="0.25">
      <c r="A46" t="s">
        <v>34</v>
      </c>
      <c r="B46" t="s">
        <v>1</v>
      </c>
      <c r="C46" t="s">
        <v>2</v>
      </c>
      <c r="D46" t="s">
        <v>3</v>
      </c>
      <c r="E46" t="s">
        <v>4</v>
      </c>
      <c r="F46" t="s">
        <v>38</v>
      </c>
      <c r="G46" s="2">
        <v>45842</v>
      </c>
      <c r="H46" t="s">
        <v>146</v>
      </c>
      <c r="I46" t="s">
        <v>61</v>
      </c>
      <c r="J46" s="2">
        <v>45842</v>
      </c>
      <c r="K46" s="2">
        <v>45847</v>
      </c>
      <c r="L46" t="s">
        <v>24</v>
      </c>
      <c r="M46" t="s">
        <v>147</v>
      </c>
      <c r="N46" t="s">
        <v>9</v>
      </c>
      <c r="O46" t="s">
        <v>10</v>
      </c>
      <c r="P46" t="s">
        <v>8</v>
      </c>
      <c r="Q46" t="s">
        <v>25</v>
      </c>
      <c r="R46" t="s">
        <v>59</v>
      </c>
      <c r="S46" s="3">
        <v>1331.19</v>
      </c>
      <c r="T46" t="s">
        <v>12</v>
      </c>
      <c r="U46" s="3">
        <v>114483.23</v>
      </c>
      <c r="V46" s="3">
        <f>VLOOKUP(M46,[1]working!$C$1:$E$65536,3,0)</f>
        <v>97019.69</v>
      </c>
      <c r="W46" s="3">
        <f t="shared" si="1"/>
        <v>17463.539999999994</v>
      </c>
      <c r="X46" s="3">
        <f>VLOOKUP(M46,[1]working!$C$1:$H$65536,6,0)</f>
        <v>17463.23</v>
      </c>
      <c r="Y46" s="3">
        <f>VLOOKUP(M46,[1]working!$C:$F,4,0)</f>
        <v>-1940</v>
      </c>
      <c r="Z46" s="17">
        <f t="shared" si="3"/>
        <v>0.30999999999403371</v>
      </c>
      <c r="AA46" s="17" t="s">
        <v>477</v>
      </c>
      <c r="AB46" t="s">
        <v>63</v>
      </c>
      <c r="AC46" t="s">
        <v>27</v>
      </c>
      <c r="AD46" t="s">
        <v>8</v>
      </c>
      <c r="AE46" t="s">
        <v>24</v>
      </c>
      <c r="AF46" t="s">
        <v>14</v>
      </c>
      <c r="AG46" t="s">
        <v>148</v>
      </c>
      <c r="AH46" t="s">
        <v>8</v>
      </c>
      <c r="AI46" t="s">
        <v>8</v>
      </c>
      <c r="AJ46" t="s">
        <v>8</v>
      </c>
      <c r="AK46" s="2">
        <v>45842</v>
      </c>
      <c r="AL46" s="2"/>
      <c r="AM46" t="s">
        <v>8</v>
      </c>
    </row>
    <row r="47" spans="1:39" outlineLevel="2" x14ac:dyDescent="0.25">
      <c r="A47" t="s">
        <v>34</v>
      </c>
      <c r="B47" t="s">
        <v>1</v>
      </c>
      <c r="C47" t="s">
        <v>2</v>
      </c>
      <c r="D47" t="s">
        <v>3</v>
      </c>
      <c r="E47" t="s">
        <v>4</v>
      </c>
      <c r="F47" t="s">
        <v>38</v>
      </c>
      <c r="G47" s="2">
        <v>45842</v>
      </c>
      <c r="H47" t="s">
        <v>149</v>
      </c>
      <c r="I47" t="s">
        <v>61</v>
      </c>
      <c r="J47" s="2">
        <v>45842</v>
      </c>
      <c r="K47" s="2">
        <v>45847</v>
      </c>
      <c r="L47" t="s">
        <v>24</v>
      </c>
      <c r="M47" t="s">
        <v>150</v>
      </c>
      <c r="N47" t="s">
        <v>9</v>
      </c>
      <c r="O47" t="s">
        <v>10</v>
      </c>
      <c r="P47" t="s">
        <v>8</v>
      </c>
      <c r="Q47" t="s">
        <v>25</v>
      </c>
      <c r="R47" t="s">
        <v>59</v>
      </c>
      <c r="S47" s="3">
        <v>78.05</v>
      </c>
      <c r="T47" t="s">
        <v>12</v>
      </c>
      <c r="U47" s="3">
        <v>6712.35</v>
      </c>
      <c r="V47" s="3">
        <f>VLOOKUP(M47,[1]working!$C$1:$E$65536,3,0)</f>
        <v>5688.08</v>
      </c>
      <c r="W47" s="3">
        <f t="shared" si="1"/>
        <v>1024.2700000000004</v>
      </c>
      <c r="X47" s="3">
        <f>VLOOKUP(M47,[1]working!$C$1:$H$65536,6,0)</f>
        <v>1024</v>
      </c>
      <c r="Y47" s="3">
        <f>VLOOKUP(M47,[1]working!$C:$F,4,0)</f>
        <v>-567</v>
      </c>
      <c r="Z47" s="17">
        <f t="shared" si="3"/>
        <v>0.27000000000043656</v>
      </c>
      <c r="AA47" s="17" t="s">
        <v>477</v>
      </c>
      <c r="AB47" t="s">
        <v>63</v>
      </c>
      <c r="AC47" t="s">
        <v>27</v>
      </c>
      <c r="AD47" t="s">
        <v>8</v>
      </c>
      <c r="AE47" t="s">
        <v>24</v>
      </c>
      <c r="AF47" t="s">
        <v>14</v>
      </c>
      <c r="AG47" t="s">
        <v>151</v>
      </c>
      <c r="AH47" t="s">
        <v>8</v>
      </c>
      <c r="AI47" t="s">
        <v>8</v>
      </c>
      <c r="AJ47" t="s">
        <v>8</v>
      </c>
      <c r="AK47" s="2">
        <v>45842</v>
      </c>
      <c r="AL47" s="2"/>
      <c r="AM47" t="s">
        <v>8</v>
      </c>
    </row>
    <row r="48" spans="1:39" outlineLevel="2" x14ac:dyDescent="0.25">
      <c r="A48" t="s">
        <v>34</v>
      </c>
      <c r="B48" t="s">
        <v>1</v>
      </c>
      <c r="C48" t="s">
        <v>2</v>
      </c>
      <c r="D48" t="s">
        <v>3</v>
      </c>
      <c r="E48" t="s">
        <v>4</v>
      </c>
      <c r="F48" t="s">
        <v>38</v>
      </c>
      <c r="G48" s="2">
        <v>45842</v>
      </c>
      <c r="H48" t="s">
        <v>152</v>
      </c>
      <c r="I48" t="s">
        <v>61</v>
      </c>
      <c r="J48" s="2">
        <v>45842</v>
      </c>
      <c r="K48" s="2">
        <v>45847</v>
      </c>
      <c r="L48" t="s">
        <v>24</v>
      </c>
      <c r="M48" t="s">
        <v>153</v>
      </c>
      <c r="N48" t="s">
        <v>9</v>
      </c>
      <c r="O48" t="s">
        <v>10</v>
      </c>
      <c r="P48" t="s">
        <v>8</v>
      </c>
      <c r="Q48" t="s">
        <v>25</v>
      </c>
      <c r="R48" t="s">
        <v>59</v>
      </c>
      <c r="S48" s="3">
        <v>195.41</v>
      </c>
      <c r="T48" t="s">
        <v>12</v>
      </c>
      <c r="U48" s="3">
        <v>16805.39</v>
      </c>
      <c r="V48" s="3">
        <f>VLOOKUP(M48,[1]working!$C$1:$E$65536,3,0)</f>
        <v>14241.47</v>
      </c>
      <c r="W48" s="3">
        <f t="shared" si="1"/>
        <v>2563.92</v>
      </c>
      <c r="X48" s="3">
        <f>VLOOKUP(M48,[1]working!$C$1:$H$65536,6,0)</f>
        <v>2563</v>
      </c>
      <c r="Y48" s="3">
        <f>VLOOKUP(M48,[1]working!$C:$F,4,0)</f>
        <v>-1424</v>
      </c>
      <c r="Z48" s="17">
        <f t="shared" si="3"/>
        <v>0.92000000000007276</v>
      </c>
      <c r="AA48" s="17" t="s">
        <v>477</v>
      </c>
      <c r="AB48" t="s">
        <v>63</v>
      </c>
      <c r="AC48" t="s">
        <v>27</v>
      </c>
      <c r="AD48" t="s">
        <v>8</v>
      </c>
      <c r="AE48" t="s">
        <v>24</v>
      </c>
      <c r="AF48" t="s">
        <v>14</v>
      </c>
      <c r="AG48" t="s">
        <v>154</v>
      </c>
      <c r="AH48" t="s">
        <v>8</v>
      </c>
      <c r="AI48" t="s">
        <v>8</v>
      </c>
      <c r="AJ48" t="s">
        <v>8</v>
      </c>
      <c r="AK48" s="2">
        <v>45842</v>
      </c>
      <c r="AL48" s="2"/>
      <c r="AM48" t="s">
        <v>8</v>
      </c>
    </row>
    <row r="49" spans="1:39" outlineLevel="2" x14ac:dyDescent="0.25">
      <c r="A49" t="s">
        <v>34</v>
      </c>
      <c r="B49" t="s">
        <v>1</v>
      </c>
      <c r="C49" t="s">
        <v>2</v>
      </c>
      <c r="D49" t="s">
        <v>3</v>
      </c>
      <c r="E49" t="s">
        <v>4</v>
      </c>
      <c r="F49" t="s">
        <v>38</v>
      </c>
      <c r="G49" s="2">
        <v>45842</v>
      </c>
      <c r="H49" t="s">
        <v>155</v>
      </c>
      <c r="I49" t="s">
        <v>61</v>
      </c>
      <c r="J49" s="2">
        <v>45842</v>
      </c>
      <c r="K49" s="2">
        <v>45845</v>
      </c>
      <c r="L49" t="s">
        <v>24</v>
      </c>
      <c r="M49" t="s">
        <v>156</v>
      </c>
      <c r="N49" t="s">
        <v>9</v>
      </c>
      <c r="O49" t="s">
        <v>10</v>
      </c>
      <c r="P49" t="s">
        <v>8</v>
      </c>
      <c r="Q49" t="s">
        <v>25</v>
      </c>
      <c r="R49" t="s">
        <v>59</v>
      </c>
      <c r="S49" s="3">
        <v>87.72</v>
      </c>
      <c r="T49" t="s">
        <v>12</v>
      </c>
      <c r="U49" s="3">
        <v>7543.98</v>
      </c>
      <c r="V49" s="3">
        <f>VLOOKUP(M49,[1]working!$C$1:$E$65536,3,0)</f>
        <v>6393.31</v>
      </c>
      <c r="W49" s="3">
        <f t="shared" si="1"/>
        <v>1150.6699999999992</v>
      </c>
      <c r="X49" s="3">
        <f>VLOOKUP(M49,[1]working!$C$1:$H$65536,6,0)</f>
        <v>1151</v>
      </c>
      <c r="Y49" s="3">
        <f>VLOOKUP(M49,[1]working!$C:$F,4,0)</f>
        <v>-129</v>
      </c>
      <c r="Z49" s="17">
        <f t="shared" si="3"/>
        <v>-0.33000000000083674</v>
      </c>
      <c r="AA49" s="17" t="s">
        <v>477</v>
      </c>
      <c r="AB49" t="s">
        <v>63</v>
      </c>
      <c r="AC49" t="s">
        <v>27</v>
      </c>
      <c r="AD49" t="s">
        <v>8</v>
      </c>
      <c r="AE49" t="s">
        <v>24</v>
      </c>
      <c r="AF49" t="s">
        <v>14</v>
      </c>
      <c r="AG49" t="s">
        <v>157</v>
      </c>
      <c r="AH49" t="s">
        <v>8</v>
      </c>
      <c r="AI49" t="s">
        <v>8</v>
      </c>
      <c r="AJ49" t="s">
        <v>8</v>
      </c>
      <c r="AK49" s="2">
        <v>45842</v>
      </c>
      <c r="AL49" s="2"/>
      <c r="AM49" t="s">
        <v>8</v>
      </c>
    </row>
    <row r="50" spans="1:39" outlineLevel="2" x14ac:dyDescent="0.25">
      <c r="A50" t="s">
        <v>34</v>
      </c>
      <c r="B50" t="s">
        <v>1</v>
      </c>
      <c r="C50" t="s">
        <v>2</v>
      </c>
      <c r="D50" t="s">
        <v>3</v>
      </c>
      <c r="E50" t="s">
        <v>4</v>
      </c>
      <c r="F50" t="s">
        <v>38</v>
      </c>
      <c r="G50" s="2">
        <v>45842</v>
      </c>
      <c r="H50" t="s">
        <v>158</v>
      </c>
      <c r="I50" t="s">
        <v>61</v>
      </c>
      <c r="J50" s="2">
        <v>45842</v>
      </c>
      <c r="K50" s="2">
        <v>45845</v>
      </c>
      <c r="L50" t="s">
        <v>24</v>
      </c>
      <c r="M50" t="s">
        <v>159</v>
      </c>
      <c r="N50" t="s">
        <v>9</v>
      </c>
      <c r="O50" t="s">
        <v>10</v>
      </c>
      <c r="P50" t="s">
        <v>8</v>
      </c>
      <c r="Q50" t="s">
        <v>25</v>
      </c>
      <c r="R50" t="s">
        <v>59</v>
      </c>
      <c r="S50" s="3">
        <v>91.25</v>
      </c>
      <c r="T50" t="s">
        <v>12</v>
      </c>
      <c r="U50" s="3">
        <v>7847.56</v>
      </c>
      <c r="V50" s="3">
        <f>VLOOKUP(M50,[1]working!$C$1:$E$65536,3,0)</f>
        <v>6649.91</v>
      </c>
      <c r="W50" s="3">
        <f t="shared" si="1"/>
        <v>1197.6500000000005</v>
      </c>
      <c r="X50" s="3">
        <f>VLOOKUP(M50,[1]working!$C$1:$H$65536,6,0)</f>
        <v>1197</v>
      </c>
      <c r="Y50" s="3">
        <f>VLOOKUP(M50,[1]working!$C:$F,4,0)</f>
        <v>-132</v>
      </c>
      <c r="Z50" s="17">
        <f t="shared" si="3"/>
        <v>0.6500000000005457</v>
      </c>
      <c r="AA50" s="17" t="s">
        <v>477</v>
      </c>
      <c r="AB50" t="s">
        <v>63</v>
      </c>
      <c r="AC50" t="s">
        <v>27</v>
      </c>
      <c r="AD50" t="s">
        <v>8</v>
      </c>
      <c r="AE50" t="s">
        <v>24</v>
      </c>
      <c r="AF50" t="s">
        <v>14</v>
      </c>
      <c r="AG50" t="s">
        <v>160</v>
      </c>
      <c r="AH50" t="s">
        <v>8</v>
      </c>
      <c r="AI50" t="s">
        <v>8</v>
      </c>
      <c r="AJ50" t="s">
        <v>8</v>
      </c>
      <c r="AK50" s="2">
        <v>45842</v>
      </c>
      <c r="AL50" s="2"/>
      <c r="AM50" t="s">
        <v>8</v>
      </c>
    </row>
    <row r="51" spans="1:39" outlineLevel="2" x14ac:dyDescent="0.25">
      <c r="A51" t="s">
        <v>34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s="2">
        <v>45966</v>
      </c>
      <c r="H51" t="s">
        <v>161</v>
      </c>
      <c r="I51" t="s">
        <v>61</v>
      </c>
      <c r="J51" s="2">
        <v>45966</v>
      </c>
      <c r="K51" s="2">
        <v>45967</v>
      </c>
      <c r="L51" t="s">
        <v>24</v>
      </c>
      <c r="M51" t="s">
        <v>162</v>
      </c>
      <c r="N51" t="s">
        <v>9</v>
      </c>
      <c r="O51" t="s">
        <v>10</v>
      </c>
      <c r="P51" t="s">
        <v>8</v>
      </c>
      <c r="Q51" t="s">
        <v>25</v>
      </c>
      <c r="R51" t="s">
        <v>59</v>
      </c>
      <c r="S51" s="3">
        <v>398.25</v>
      </c>
      <c r="T51" t="s">
        <v>12</v>
      </c>
      <c r="U51" s="3">
        <v>35047.35</v>
      </c>
      <c r="V51" s="3">
        <f>VLOOKUP(M51,[1]working!$C$1:$E$65536,3,0)</f>
        <v>29700.79</v>
      </c>
      <c r="W51" s="3">
        <f t="shared" si="1"/>
        <v>5346.5599999999977</v>
      </c>
      <c r="X51" s="3">
        <f>VLOOKUP(M51,[1]working!$C$1:$H$65536,6,0)</f>
        <v>5346</v>
      </c>
      <c r="Y51" s="3">
        <f>VLOOKUP(M51,[1]working!$C:$F,4,0)</f>
        <v>-2970</v>
      </c>
      <c r="Z51" s="17">
        <f t="shared" si="3"/>
        <v>0.55999999999767169</v>
      </c>
      <c r="AA51" s="17" t="s">
        <v>477</v>
      </c>
      <c r="AB51" t="s">
        <v>63</v>
      </c>
      <c r="AC51" t="s">
        <v>27</v>
      </c>
      <c r="AD51" t="s">
        <v>8</v>
      </c>
      <c r="AE51" t="s">
        <v>163</v>
      </c>
      <c r="AF51" t="s">
        <v>14</v>
      </c>
      <c r="AG51" t="s">
        <v>164</v>
      </c>
      <c r="AH51" t="s">
        <v>8</v>
      </c>
      <c r="AI51" t="s">
        <v>8</v>
      </c>
      <c r="AJ51" t="s">
        <v>8</v>
      </c>
      <c r="AK51" s="2">
        <v>45966</v>
      </c>
      <c r="AL51" s="2"/>
      <c r="AM51" t="s">
        <v>8</v>
      </c>
    </row>
    <row r="52" spans="1:39" outlineLevel="2" x14ac:dyDescent="0.25">
      <c r="A52" t="s">
        <v>34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s="2">
        <v>45966</v>
      </c>
      <c r="H52" t="s">
        <v>165</v>
      </c>
      <c r="I52" t="s">
        <v>61</v>
      </c>
      <c r="J52" s="2">
        <v>45966</v>
      </c>
      <c r="K52" s="2">
        <v>45967</v>
      </c>
      <c r="L52" t="s">
        <v>24</v>
      </c>
      <c r="M52" t="s">
        <v>166</v>
      </c>
      <c r="N52" t="s">
        <v>9</v>
      </c>
      <c r="O52" t="s">
        <v>10</v>
      </c>
      <c r="P52" t="s">
        <v>8</v>
      </c>
      <c r="Q52" t="s">
        <v>25</v>
      </c>
      <c r="R52" t="s">
        <v>59</v>
      </c>
      <c r="S52" s="3">
        <v>33.04</v>
      </c>
      <c r="T52" t="s">
        <v>12</v>
      </c>
      <c r="U52" s="3">
        <v>2907.63</v>
      </c>
      <c r="V52" s="3">
        <f>VLOOKUP(M52,[1]working!$C$1:$E$65536,3,0)</f>
        <v>2464.46</v>
      </c>
      <c r="W52" s="3">
        <f t="shared" si="1"/>
        <v>443.17000000000007</v>
      </c>
      <c r="X52" s="3">
        <f>VLOOKUP(M52,[1]working!$C$1:$H$65536,6,0)</f>
        <v>444</v>
      </c>
      <c r="Y52" s="3">
        <f>VLOOKUP(M52,[1]working!$C:$F,4,0)</f>
        <v>-50</v>
      </c>
      <c r="Z52" s="17">
        <f t="shared" si="3"/>
        <v>-0.82999999999992724</v>
      </c>
      <c r="AA52" s="17" t="s">
        <v>477</v>
      </c>
      <c r="AB52" t="s">
        <v>63</v>
      </c>
      <c r="AC52" t="s">
        <v>27</v>
      </c>
      <c r="AD52" t="s">
        <v>8</v>
      </c>
      <c r="AE52" t="s">
        <v>167</v>
      </c>
      <c r="AF52" t="s">
        <v>14</v>
      </c>
      <c r="AG52" t="s">
        <v>168</v>
      </c>
      <c r="AH52" t="s">
        <v>8</v>
      </c>
      <c r="AI52" t="s">
        <v>8</v>
      </c>
      <c r="AJ52" t="s">
        <v>8</v>
      </c>
      <c r="AK52" s="2">
        <v>45966</v>
      </c>
      <c r="AL52" s="2"/>
      <c r="AM52" t="s">
        <v>8</v>
      </c>
    </row>
    <row r="53" spans="1:39" outlineLevel="2" x14ac:dyDescent="0.25">
      <c r="A53" t="s">
        <v>34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s="2">
        <v>45966</v>
      </c>
      <c r="H53" t="s">
        <v>169</v>
      </c>
      <c r="I53" t="s">
        <v>61</v>
      </c>
      <c r="J53" s="2">
        <v>45966</v>
      </c>
      <c r="K53" s="2">
        <v>45968</v>
      </c>
      <c r="L53" t="s">
        <v>24</v>
      </c>
      <c r="M53" t="s">
        <v>170</v>
      </c>
      <c r="N53" t="s">
        <v>9</v>
      </c>
      <c r="O53" t="s">
        <v>10</v>
      </c>
      <c r="P53" t="s">
        <v>8</v>
      </c>
      <c r="Q53" t="s">
        <v>25</v>
      </c>
      <c r="R53" t="s">
        <v>59</v>
      </c>
      <c r="S53" s="3">
        <v>738.08</v>
      </c>
      <c r="T53" t="s">
        <v>12</v>
      </c>
      <c r="U53" s="3">
        <v>64953.54</v>
      </c>
      <c r="V53" s="3">
        <f>VLOOKUP(M53,[1]working!$C$1:$E$65536,3,0)</f>
        <v>55044.7</v>
      </c>
      <c r="W53" s="3">
        <f t="shared" si="1"/>
        <v>9908.8400000000038</v>
      </c>
      <c r="X53" s="3">
        <f>VLOOKUP(M53,[1]working!$C$1:$H$65536,6,0)</f>
        <v>9908</v>
      </c>
      <c r="Y53" s="3">
        <f>VLOOKUP(M53,[1]working!$C:$F,4,0)</f>
        <v>-1100</v>
      </c>
      <c r="Z53" s="17">
        <f t="shared" si="3"/>
        <v>0.8400000000037835</v>
      </c>
      <c r="AA53" s="17" t="s">
        <v>477</v>
      </c>
      <c r="AB53" t="s">
        <v>63</v>
      </c>
      <c r="AC53" t="s">
        <v>27</v>
      </c>
      <c r="AD53" t="s">
        <v>8</v>
      </c>
      <c r="AE53" t="s">
        <v>171</v>
      </c>
      <c r="AF53" t="s">
        <v>14</v>
      </c>
      <c r="AG53" t="s">
        <v>172</v>
      </c>
      <c r="AH53" t="s">
        <v>8</v>
      </c>
      <c r="AI53" t="s">
        <v>8</v>
      </c>
      <c r="AJ53" t="s">
        <v>8</v>
      </c>
      <c r="AK53" s="2">
        <v>45966</v>
      </c>
      <c r="AL53" s="2"/>
      <c r="AM53" t="s">
        <v>8</v>
      </c>
    </row>
    <row r="54" spans="1:39" outlineLevel="2" x14ac:dyDescent="0.25">
      <c r="A54" t="s">
        <v>34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s="2">
        <v>45964</v>
      </c>
      <c r="H54" t="s">
        <v>173</v>
      </c>
      <c r="I54" t="s">
        <v>61</v>
      </c>
      <c r="J54" s="2">
        <v>45964</v>
      </c>
      <c r="K54" s="2">
        <v>45967</v>
      </c>
      <c r="L54" t="s">
        <v>24</v>
      </c>
      <c r="M54" t="s">
        <v>174</v>
      </c>
      <c r="N54" t="s">
        <v>9</v>
      </c>
      <c r="O54" t="s">
        <v>10</v>
      </c>
      <c r="P54" t="s">
        <v>8</v>
      </c>
      <c r="Q54" t="s">
        <v>25</v>
      </c>
      <c r="R54" t="s">
        <v>59</v>
      </c>
      <c r="S54" s="3">
        <v>102.79</v>
      </c>
      <c r="T54" t="s">
        <v>12</v>
      </c>
      <c r="U54" s="3">
        <v>9045.8700000000008</v>
      </c>
      <c r="V54" s="3">
        <f>VLOOKUP(M54,[1]working!$C:$D,2,0)</f>
        <v>8893</v>
      </c>
      <c r="W54" s="3">
        <f t="shared" si="1"/>
        <v>152.8700000000008</v>
      </c>
      <c r="X54" s="3">
        <f>VLOOKUP(M54,[1]working!$C$1:$H$65536,6,0)</f>
        <v>1227</v>
      </c>
      <c r="Y54" s="3">
        <f>VLOOKUP(M54,[1]working!$C:$F,4,0)</f>
        <v>0</v>
      </c>
      <c r="Z54" s="17">
        <f t="shared" si="3"/>
        <v>-1074.1299999999992</v>
      </c>
      <c r="AA54" s="17" t="s">
        <v>477</v>
      </c>
      <c r="AB54" t="s">
        <v>63</v>
      </c>
      <c r="AC54" t="s">
        <v>27</v>
      </c>
      <c r="AD54" t="s">
        <v>8</v>
      </c>
      <c r="AE54" t="s">
        <v>175</v>
      </c>
      <c r="AF54" t="s">
        <v>14</v>
      </c>
      <c r="AG54" t="s">
        <v>176</v>
      </c>
      <c r="AH54" t="s">
        <v>8</v>
      </c>
      <c r="AI54" t="s">
        <v>8</v>
      </c>
      <c r="AJ54" t="s">
        <v>8</v>
      </c>
      <c r="AK54" s="2">
        <v>45964</v>
      </c>
      <c r="AL54" s="2"/>
      <c r="AM54" t="s">
        <v>8</v>
      </c>
    </row>
    <row r="55" spans="1:39" outlineLevel="2" x14ac:dyDescent="0.25">
      <c r="A55" t="s">
        <v>34</v>
      </c>
      <c r="B55" t="s">
        <v>1</v>
      </c>
      <c r="C55" t="s">
        <v>2</v>
      </c>
      <c r="D55" t="s">
        <v>3</v>
      </c>
      <c r="E55" t="s">
        <v>4</v>
      </c>
      <c r="F55" t="s">
        <v>35</v>
      </c>
      <c r="G55" s="2">
        <v>45877</v>
      </c>
      <c r="H55" t="s">
        <v>177</v>
      </c>
      <c r="I55" t="s">
        <v>61</v>
      </c>
      <c r="J55" s="2">
        <v>45877</v>
      </c>
      <c r="K55" s="2">
        <v>45877</v>
      </c>
      <c r="L55" t="s">
        <v>24</v>
      </c>
      <c r="M55" t="s">
        <v>178</v>
      </c>
      <c r="N55" t="s">
        <v>9</v>
      </c>
      <c r="O55" t="s">
        <v>10</v>
      </c>
      <c r="P55" t="s">
        <v>8</v>
      </c>
      <c r="Q55" t="s">
        <v>25</v>
      </c>
      <c r="R55" t="s">
        <v>59</v>
      </c>
      <c r="S55" s="3">
        <v>81.739999999999995</v>
      </c>
      <c r="T55" t="s">
        <v>12</v>
      </c>
      <c r="U55" s="3">
        <v>7032.1</v>
      </c>
      <c r="V55" s="3">
        <f>VLOOKUP(M55,[1]working!$C$1:$E$65536,3,0)</f>
        <v>5959.31</v>
      </c>
      <c r="W55" s="3">
        <f t="shared" si="1"/>
        <v>1072.79</v>
      </c>
      <c r="X55" s="3">
        <f>VLOOKUP(M55,[1]working!$C$1:$H$65536,6,0)</f>
        <v>1073</v>
      </c>
      <c r="Y55" s="3">
        <f>VLOOKUP(M55,[1]working!$C:$F,4,0)</f>
        <v>-119</v>
      </c>
      <c r="Z55" s="17">
        <f t="shared" si="3"/>
        <v>-0.21000000000003638</v>
      </c>
      <c r="AA55" s="17" t="s">
        <v>477</v>
      </c>
      <c r="AB55" t="s">
        <v>63</v>
      </c>
      <c r="AC55" t="s">
        <v>27</v>
      </c>
      <c r="AD55" t="s">
        <v>8</v>
      </c>
      <c r="AE55" t="s">
        <v>24</v>
      </c>
      <c r="AF55" t="s">
        <v>14</v>
      </c>
      <c r="AG55" t="s">
        <v>179</v>
      </c>
      <c r="AH55" t="s">
        <v>8</v>
      </c>
      <c r="AI55" t="s">
        <v>8</v>
      </c>
      <c r="AJ55" t="s">
        <v>8</v>
      </c>
      <c r="AK55" s="2">
        <v>45877</v>
      </c>
      <c r="AL55" s="2"/>
      <c r="AM55" t="s">
        <v>8</v>
      </c>
    </row>
    <row r="56" spans="1:39" outlineLevel="2" x14ac:dyDescent="0.25">
      <c r="A56" t="s">
        <v>34</v>
      </c>
      <c r="B56" t="s">
        <v>1</v>
      </c>
      <c r="C56" t="s">
        <v>2</v>
      </c>
      <c r="D56" t="s">
        <v>3</v>
      </c>
      <c r="E56" t="s">
        <v>4</v>
      </c>
      <c r="F56" t="s">
        <v>35</v>
      </c>
      <c r="G56" s="2">
        <v>45877</v>
      </c>
      <c r="H56" t="s">
        <v>180</v>
      </c>
      <c r="I56" t="s">
        <v>61</v>
      </c>
      <c r="J56" s="2">
        <v>45877</v>
      </c>
      <c r="K56" s="2">
        <v>45877</v>
      </c>
      <c r="L56" t="s">
        <v>24</v>
      </c>
      <c r="M56" t="s">
        <v>181</v>
      </c>
      <c r="N56" t="s">
        <v>9</v>
      </c>
      <c r="O56" t="s">
        <v>10</v>
      </c>
      <c r="P56" t="s">
        <v>8</v>
      </c>
      <c r="Q56" t="s">
        <v>25</v>
      </c>
      <c r="R56" t="s">
        <v>59</v>
      </c>
      <c r="S56" s="3">
        <v>41.77</v>
      </c>
      <c r="T56" t="s">
        <v>12</v>
      </c>
      <c r="U56" s="3">
        <v>3593.48</v>
      </c>
      <c r="V56" s="3">
        <f>VLOOKUP(M56,[1]working!$C$1:$E$65536,3,0)</f>
        <v>3044.84</v>
      </c>
      <c r="W56" s="3">
        <f t="shared" si="1"/>
        <v>548.63999999999987</v>
      </c>
      <c r="X56" s="3">
        <f>VLOOKUP(M56,[1]working!$C$1:$H$65536,6,0)</f>
        <v>548</v>
      </c>
      <c r="Y56" s="3">
        <f>VLOOKUP(M56,[1]working!$C:$F,4,0)</f>
        <v>-61</v>
      </c>
      <c r="Z56" s="17">
        <f t="shared" si="3"/>
        <v>0.63999999999987267</v>
      </c>
      <c r="AA56" s="17" t="s">
        <v>477</v>
      </c>
      <c r="AB56" t="s">
        <v>63</v>
      </c>
      <c r="AC56" t="s">
        <v>27</v>
      </c>
      <c r="AD56" t="s">
        <v>8</v>
      </c>
      <c r="AE56" t="s">
        <v>24</v>
      </c>
      <c r="AF56" t="s">
        <v>14</v>
      </c>
      <c r="AG56" t="s">
        <v>182</v>
      </c>
      <c r="AH56" t="s">
        <v>8</v>
      </c>
      <c r="AI56" t="s">
        <v>8</v>
      </c>
      <c r="AJ56" t="s">
        <v>8</v>
      </c>
      <c r="AK56" s="2">
        <v>45877</v>
      </c>
      <c r="AL56" s="2"/>
      <c r="AM56" t="s">
        <v>8</v>
      </c>
    </row>
    <row r="57" spans="1:39" outlineLevel="2" x14ac:dyDescent="0.25">
      <c r="A57" t="s">
        <v>34</v>
      </c>
      <c r="B57" t="s">
        <v>1</v>
      </c>
      <c r="C57" t="s">
        <v>2</v>
      </c>
      <c r="D57" t="s">
        <v>3</v>
      </c>
      <c r="E57" t="s">
        <v>4</v>
      </c>
      <c r="F57" t="s">
        <v>35</v>
      </c>
      <c r="G57" s="2">
        <v>45877</v>
      </c>
      <c r="H57" t="s">
        <v>183</v>
      </c>
      <c r="I57" t="s">
        <v>61</v>
      </c>
      <c r="J57" s="2">
        <v>45877</v>
      </c>
      <c r="K57" s="2">
        <v>45877</v>
      </c>
      <c r="L57" t="s">
        <v>24</v>
      </c>
      <c r="M57" t="s">
        <v>184</v>
      </c>
      <c r="N57" t="s">
        <v>9</v>
      </c>
      <c r="O57" t="s">
        <v>10</v>
      </c>
      <c r="P57" t="s">
        <v>8</v>
      </c>
      <c r="Q57" t="s">
        <v>25</v>
      </c>
      <c r="R57" t="s">
        <v>59</v>
      </c>
      <c r="S57" s="3">
        <v>220.9</v>
      </c>
      <c r="T57" t="s">
        <v>12</v>
      </c>
      <c r="U57" s="3">
        <v>19004.05</v>
      </c>
      <c r="V57" s="3">
        <f>VLOOKUP(M57,[1]working!$C$1:$E$65536,3,0)</f>
        <v>16105.08</v>
      </c>
      <c r="W57" s="3">
        <f t="shared" si="1"/>
        <v>2898.9699999999993</v>
      </c>
      <c r="X57" s="3">
        <f>VLOOKUP(M57,[1]working!$C$1:$H$65536,6,0)</f>
        <v>2899</v>
      </c>
      <c r="Y57" s="3">
        <f>VLOOKUP(M57,[1]working!$C:$F,4,0)</f>
        <v>-1611</v>
      </c>
      <c r="Z57" s="17">
        <f t="shared" si="3"/>
        <v>-3.0000000000654836E-2</v>
      </c>
      <c r="AA57" s="17" t="s">
        <v>477</v>
      </c>
      <c r="AB57" t="s">
        <v>63</v>
      </c>
      <c r="AC57" t="s">
        <v>27</v>
      </c>
      <c r="AD57" t="s">
        <v>8</v>
      </c>
      <c r="AE57" t="s">
        <v>24</v>
      </c>
      <c r="AF57" t="s">
        <v>14</v>
      </c>
      <c r="AG57" t="s">
        <v>185</v>
      </c>
      <c r="AH57" t="s">
        <v>8</v>
      </c>
      <c r="AI57" t="s">
        <v>8</v>
      </c>
      <c r="AJ57" t="s">
        <v>8</v>
      </c>
      <c r="AK57" s="2">
        <v>45877</v>
      </c>
      <c r="AL57" s="2"/>
      <c r="AM57" t="s">
        <v>8</v>
      </c>
    </row>
    <row r="58" spans="1:39" outlineLevel="2" x14ac:dyDescent="0.25">
      <c r="A58" t="s">
        <v>34</v>
      </c>
      <c r="B58" t="s">
        <v>1</v>
      </c>
      <c r="C58" t="s">
        <v>2</v>
      </c>
      <c r="D58" t="s">
        <v>3</v>
      </c>
      <c r="E58" t="s">
        <v>4</v>
      </c>
      <c r="F58" t="s">
        <v>35</v>
      </c>
      <c r="G58" s="2">
        <v>45877</v>
      </c>
      <c r="H58" t="s">
        <v>186</v>
      </c>
      <c r="I58" t="s">
        <v>61</v>
      </c>
      <c r="J58" s="2">
        <v>45877</v>
      </c>
      <c r="K58" s="2">
        <v>45877</v>
      </c>
      <c r="L58" t="s">
        <v>24</v>
      </c>
      <c r="M58" t="s">
        <v>187</v>
      </c>
      <c r="N58" t="s">
        <v>9</v>
      </c>
      <c r="O58" t="s">
        <v>10</v>
      </c>
      <c r="P58" t="s">
        <v>8</v>
      </c>
      <c r="Q58" t="s">
        <v>25</v>
      </c>
      <c r="R58" t="s">
        <v>59</v>
      </c>
      <c r="S58" s="3">
        <v>559.33000000000004</v>
      </c>
      <c r="T58" t="s">
        <v>12</v>
      </c>
      <c r="U58" s="3">
        <v>48119.23</v>
      </c>
      <c r="V58" s="3">
        <f>VLOOKUP(M58,[1]working!$C$1:$E$65536,3,0)</f>
        <v>40778.78</v>
      </c>
      <c r="W58" s="3">
        <f t="shared" si="1"/>
        <v>7340.4500000000044</v>
      </c>
      <c r="X58" s="3">
        <f>VLOOKUP(M58,[1]working!$C$1:$H$65536,6,0)</f>
        <v>7340</v>
      </c>
      <c r="Y58" s="3">
        <f>VLOOKUP(M58,[1]working!$C:$F,4,0)</f>
        <v>-816</v>
      </c>
      <c r="Z58" s="17">
        <f t="shared" si="3"/>
        <v>0.45000000000436557</v>
      </c>
      <c r="AA58" s="17" t="s">
        <v>477</v>
      </c>
      <c r="AB58" t="s">
        <v>63</v>
      </c>
      <c r="AC58" t="s">
        <v>27</v>
      </c>
      <c r="AD58" t="s">
        <v>8</v>
      </c>
      <c r="AE58" t="s">
        <v>24</v>
      </c>
      <c r="AF58" t="s">
        <v>14</v>
      </c>
      <c r="AG58" t="s">
        <v>188</v>
      </c>
      <c r="AH58" t="s">
        <v>8</v>
      </c>
      <c r="AI58" t="s">
        <v>8</v>
      </c>
      <c r="AJ58" t="s">
        <v>8</v>
      </c>
      <c r="AK58" s="2">
        <v>45877</v>
      </c>
      <c r="AL58" s="2"/>
      <c r="AM58" t="s">
        <v>8</v>
      </c>
    </row>
    <row r="59" spans="1:39" outlineLevel="2" x14ac:dyDescent="0.25">
      <c r="A59" t="s">
        <v>34</v>
      </c>
      <c r="B59" t="s">
        <v>1</v>
      </c>
      <c r="C59" t="s">
        <v>2</v>
      </c>
      <c r="D59" t="s">
        <v>3</v>
      </c>
      <c r="E59" t="s">
        <v>4</v>
      </c>
      <c r="F59" t="s">
        <v>87</v>
      </c>
      <c r="G59" s="2">
        <v>45812</v>
      </c>
      <c r="H59" t="s">
        <v>189</v>
      </c>
      <c r="I59" t="s">
        <v>61</v>
      </c>
      <c r="J59" s="2">
        <v>45812</v>
      </c>
      <c r="K59" s="2">
        <v>45817</v>
      </c>
      <c r="L59" t="s">
        <v>24</v>
      </c>
      <c r="M59" t="s">
        <v>190</v>
      </c>
      <c r="N59" t="s">
        <v>9</v>
      </c>
      <c r="O59" t="s">
        <v>10</v>
      </c>
      <c r="P59" t="s">
        <v>8</v>
      </c>
      <c r="Q59" t="s">
        <v>25</v>
      </c>
      <c r="R59" t="s">
        <v>59</v>
      </c>
      <c r="S59" s="3">
        <v>39.75</v>
      </c>
      <c r="T59" t="s">
        <v>12</v>
      </c>
      <c r="U59" s="3">
        <v>3398.26</v>
      </c>
      <c r="V59" s="3">
        <f>VLOOKUP(M59,[1]working!$C:$D,2,0)</f>
        <v>2831</v>
      </c>
      <c r="W59" s="3">
        <f t="shared" si="1"/>
        <v>567.26000000000022</v>
      </c>
      <c r="X59" s="3">
        <f>VLOOKUP(M59,[1]working!$C$1:$H$65536,6,0)</f>
        <v>439</v>
      </c>
      <c r="Y59" s="3">
        <f>VLOOKUP(M59,[1]working!$C:$F,4,0)</f>
        <v>-49</v>
      </c>
      <c r="Z59" s="17">
        <f t="shared" si="3"/>
        <v>128.26000000000022</v>
      </c>
      <c r="AA59" s="17" t="s">
        <v>476</v>
      </c>
      <c r="AB59" t="s">
        <v>63</v>
      </c>
      <c r="AC59" t="s">
        <v>27</v>
      </c>
      <c r="AD59" t="s">
        <v>8</v>
      </c>
      <c r="AE59" t="s">
        <v>24</v>
      </c>
      <c r="AF59" t="s">
        <v>14</v>
      </c>
      <c r="AG59" t="s">
        <v>191</v>
      </c>
      <c r="AH59" t="s">
        <v>8</v>
      </c>
      <c r="AI59" t="s">
        <v>8</v>
      </c>
      <c r="AJ59" t="s">
        <v>8</v>
      </c>
      <c r="AK59" s="2">
        <v>45812</v>
      </c>
      <c r="AL59" s="2"/>
      <c r="AM59" t="s">
        <v>8</v>
      </c>
    </row>
    <row r="60" spans="1:39" outlineLevel="2" x14ac:dyDescent="0.25">
      <c r="A60" t="s">
        <v>34</v>
      </c>
      <c r="B60" t="s">
        <v>1</v>
      </c>
      <c r="C60" t="s">
        <v>2</v>
      </c>
      <c r="D60" t="s">
        <v>3</v>
      </c>
      <c r="E60" t="s">
        <v>4</v>
      </c>
      <c r="F60" t="s">
        <v>87</v>
      </c>
      <c r="G60" s="2">
        <v>45812</v>
      </c>
      <c r="H60" t="s">
        <v>192</v>
      </c>
      <c r="I60" t="s">
        <v>61</v>
      </c>
      <c r="J60" s="2">
        <v>45812</v>
      </c>
      <c r="K60" s="2">
        <v>45817</v>
      </c>
      <c r="L60" t="s">
        <v>24</v>
      </c>
      <c r="M60" t="s">
        <v>193</v>
      </c>
      <c r="N60" t="s">
        <v>9</v>
      </c>
      <c r="O60" t="s">
        <v>10</v>
      </c>
      <c r="P60" t="s">
        <v>8</v>
      </c>
      <c r="Q60" t="s">
        <v>25</v>
      </c>
      <c r="R60" t="s">
        <v>59</v>
      </c>
      <c r="S60" s="3">
        <v>48.57</v>
      </c>
      <c r="T60" t="s">
        <v>12</v>
      </c>
      <c r="U60" s="3">
        <v>4152.29</v>
      </c>
      <c r="V60" s="3">
        <f>VLOOKUP(M60,[1]working!$C:$D,2,0)</f>
        <v>3459</v>
      </c>
      <c r="W60" s="3">
        <f t="shared" si="1"/>
        <v>693.29</v>
      </c>
      <c r="X60" s="3">
        <f>VLOOKUP(M60,[1]working!$C$1:$H$65536,6,0)</f>
        <v>537</v>
      </c>
      <c r="Y60" s="3">
        <f>VLOOKUP(M60,[1]working!$C:$F,4,0)</f>
        <v>-60</v>
      </c>
      <c r="Z60" s="17">
        <f t="shared" si="3"/>
        <v>156.28999999999996</v>
      </c>
      <c r="AA60" s="17" t="s">
        <v>476</v>
      </c>
      <c r="AB60" t="s">
        <v>63</v>
      </c>
      <c r="AC60" t="s">
        <v>27</v>
      </c>
      <c r="AD60" t="s">
        <v>8</v>
      </c>
      <c r="AE60" t="s">
        <v>24</v>
      </c>
      <c r="AF60" t="s">
        <v>14</v>
      </c>
      <c r="AG60" t="s">
        <v>194</v>
      </c>
      <c r="AH60" t="s">
        <v>8</v>
      </c>
      <c r="AI60" t="s">
        <v>8</v>
      </c>
      <c r="AJ60" t="s">
        <v>8</v>
      </c>
      <c r="AK60" s="2">
        <v>45812</v>
      </c>
      <c r="AL60" s="2"/>
      <c r="AM60" t="s">
        <v>8</v>
      </c>
    </row>
    <row r="61" spans="1:39" outlineLevel="2" x14ac:dyDescent="0.25">
      <c r="A61" t="s">
        <v>34</v>
      </c>
      <c r="B61" t="s">
        <v>1</v>
      </c>
      <c r="C61" t="s">
        <v>2</v>
      </c>
      <c r="D61" t="s">
        <v>3</v>
      </c>
      <c r="E61" t="s">
        <v>4</v>
      </c>
      <c r="F61" t="s">
        <v>106</v>
      </c>
      <c r="G61" s="2">
        <v>45793</v>
      </c>
      <c r="H61" t="s">
        <v>195</v>
      </c>
      <c r="I61" t="s">
        <v>61</v>
      </c>
      <c r="J61" s="2">
        <v>45793</v>
      </c>
      <c r="K61" s="2">
        <v>45800</v>
      </c>
      <c r="L61" t="s">
        <v>24</v>
      </c>
      <c r="M61" t="s">
        <v>196</v>
      </c>
      <c r="N61" t="s">
        <v>9</v>
      </c>
      <c r="O61" t="s">
        <v>10</v>
      </c>
      <c r="P61" t="s">
        <v>8</v>
      </c>
      <c r="Q61" t="s">
        <v>25</v>
      </c>
      <c r="R61" t="s">
        <v>59</v>
      </c>
      <c r="S61" s="3">
        <v>46.02</v>
      </c>
      <c r="T61" t="s">
        <v>12</v>
      </c>
      <c r="U61" s="3">
        <v>3956.97</v>
      </c>
      <c r="V61" s="3">
        <f>VLOOKUP(M61,[1]working!$C:$D,2,0)</f>
        <v>3957</v>
      </c>
      <c r="W61" s="17">
        <f t="shared" si="1"/>
        <v>-3.0000000000200089E-2</v>
      </c>
      <c r="X61" s="3">
        <f>VLOOKUP(M61,[1]working!$C$1:$H$65536,6,0)</f>
        <v>603.65</v>
      </c>
      <c r="Y61" s="3">
        <f>VLOOKUP(M61,[1]working!$C:$F,4,0)</f>
        <v>0</v>
      </c>
      <c r="Z61" s="17">
        <f t="shared" si="3"/>
        <v>-603.68000000000018</v>
      </c>
      <c r="AA61" s="17" t="s">
        <v>484</v>
      </c>
      <c r="AB61" t="s">
        <v>63</v>
      </c>
      <c r="AC61" t="s">
        <v>27</v>
      </c>
      <c r="AD61" t="s">
        <v>8</v>
      </c>
      <c r="AE61" t="s">
        <v>24</v>
      </c>
      <c r="AF61" t="s">
        <v>14</v>
      </c>
      <c r="AG61" t="s">
        <v>197</v>
      </c>
      <c r="AH61" t="s">
        <v>8</v>
      </c>
      <c r="AI61" t="s">
        <v>8</v>
      </c>
      <c r="AJ61" t="s">
        <v>8</v>
      </c>
      <c r="AK61" s="2">
        <v>45793</v>
      </c>
      <c r="AL61" s="2"/>
      <c r="AM61" t="s">
        <v>8</v>
      </c>
    </row>
    <row r="62" spans="1:39" outlineLevel="2" x14ac:dyDescent="0.25">
      <c r="A62" t="s">
        <v>34</v>
      </c>
      <c r="B62" t="s">
        <v>1</v>
      </c>
      <c r="C62" t="s">
        <v>2</v>
      </c>
      <c r="D62" t="s">
        <v>3</v>
      </c>
      <c r="E62" t="s">
        <v>4</v>
      </c>
      <c r="F62" t="s">
        <v>106</v>
      </c>
      <c r="G62" s="2">
        <v>45793</v>
      </c>
      <c r="H62" t="s">
        <v>198</v>
      </c>
      <c r="I62" t="s">
        <v>61</v>
      </c>
      <c r="J62" s="2">
        <v>45793</v>
      </c>
      <c r="K62" s="2">
        <v>45800</v>
      </c>
      <c r="L62" t="s">
        <v>24</v>
      </c>
      <c r="M62" t="s">
        <v>199</v>
      </c>
      <c r="N62" t="s">
        <v>9</v>
      </c>
      <c r="O62" t="s">
        <v>10</v>
      </c>
      <c r="P62" t="s">
        <v>8</v>
      </c>
      <c r="Q62" t="s">
        <v>25</v>
      </c>
      <c r="R62" t="s">
        <v>59</v>
      </c>
      <c r="S62" s="3">
        <v>33.04</v>
      </c>
      <c r="T62" t="s">
        <v>12</v>
      </c>
      <c r="U62" s="3">
        <v>2840.9</v>
      </c>
      <c r="V62" s="3">
        <f>VLOOKUP(M62,[1]working!$C:$D,2,0)</f>
        <v>2841</v>
      </c>
      <c r="W62" s="17">
        <f t="shared" si="1"/>
        <v>-9.9999999999909051E-2</v>
      </c>
      <c r="X62" s="3">
        <f>VLOOKUP(M62,[1]working!$C$1:$H$65536,6,0)</f>
        <v>433.47</v>
      </c>
      <c r="Y62" s="3">
        <f>VLOOKUP(M62,[1]working!$C:$F,4,0)</f>
        <v>0</v>
      </c>
      <c r="Z62" s="17">
        <f t="shared" si="3"/>
        <v>-433.56999999999994</v>
      </c>
      <c r="AA62" s="17" t="s">
        <v>484</v>
      </c>
      <c r="AB62" t="s">
        <v>63</v>
      </c>
      <c r="AC62" t="s">
        <v>27</v>
      </c>
      <c r="AD62" t="s">
        <v>8</v>
      </c>
      <c r="AE62" t="s">
        <v>24</v>
      </c>
      <c r="AF62" t="s">
        <v>14</v>
      </c>
      <c r="AG62" t="s">
        <v>200</v>
      </c>
      <c r="AH62" t="s">
        <v>8</v>
      </c>
      <c r="AI62" t="s">
        <v>8</v>
      </c>
      <c r="AJ62" t="s">
        <v>8</v>
      </c>
      <c r="AK62" s="2">
        <v>45793</v>
      </c>
      <c r="AL62" s="2"/>
      <c r="AM62" t="s">
        <v>8</v>
      </c>
    </row>
    <row r="63" spans="1:39" outlineLevel="2" x14ac:dyDescent="0.25">
      <c r="A63" t="s">
        <v>34</v>
      </c>
      <c r="B63" t="s">
        <v>1</v>
      </c>
      <c r="C63" t="s">
        <v>2</v>
      </c>
      <c r="D63" t="s">
        <v>3</v>
      </c>
      <c r="E63" t="s">
        <v>4</v>
      </c>
      <c r="F63" t="s">
        <v>38</v>
      </c>
      <c r="G63" s="2">
        <v>45856</v>
      </c>
      <c r="H63" t="s">
        <v>201</v>
      </c>
      <c r="I63" t="s">
        <v>61</v>
      </c>
      <c r="J63" s="2">
        <v>45856</v>
      </c>
      <c r="K63" s="2">
        <v>45859</v>
      </c>
      <c r="L63" t="s">
        <v>24</v>
      </c>
      <c r="M63" t="s">
        <v>202</v>
      </c>
      <c r="N63" t="s">
        <v>9</v>
      </c>
      <c r="O63" t="s">
        <v>10</v>
      </c>
      <c r="P63" t="s">
        <v>8</v>
      </c>
      <c r="Q63" t="s">
        <v>25</v>
      </c>
      <c r="R63" t="s">
        <v>59</v>
      </c>
      <c r="S63" s="3">
        <v>26.85</v>
      </c>
      <c r="T63" t="s">
        <v>12</v>
      </c>
      <c r="U63" s="3">
        <v>2309.12</v>
      </c>
      <c r="V63" s="3">
        <f>VLOOKUP(M63,[1]working!$C$1:$E$65536,3,0)</f>
        <v>1956.76</v>
      </c>
      <c r="W63" s="3">
        <f t="shared" si="1"/>
        <v>352.3599999999999</v>
      </c>
      <c r="X63" s="3">
        <f>VLOOKUP(M63,[1]working!$C$1:$H$65536,6,0)</f>
        <v>352</v>
      </c>
      <c r="Y63" s="3">
        <f>VLOOKUP(M63,[1]working!$C:$F,4,0)</f>
        <v>-39</v>
      </c>
      <c r="Z63" s="17">
        <f t="shared" si="3"/>
        <v>0.35999999999989996</v>
      </c>
      <c r="AA63" s="17" t="s">
        <v>477</v>
      </c>
      <c r="AB63" t="s">
        <v>63</v>
      </c>
      <c r="AC63" t="s">
        <v>27</v>
      </c>
      <c r="AD63" t="s">
        <v>8</v>
      </c>
      <c r="AE63" t="s">
        <v>24</v>
      </c>
      <c r="AF63" t="s">
        <v>14</v>
      </c>
      <c r="AG63" t="s">
        <v>203</v>
      </c>
      <c r="AH63" t="s">
        <v>8</v>
      </c>
      <c r="AI63" t="s">
        <v>8</v>
      </c>
      <c r="AJ63" t="s">
        <v>8</v>
      </c>
      <c r="AK63" s="2">
        <v>45856</v>
      </c>
      <c r="AL63" s="2"/>
      <c r="AM63" t="s">
        <v>8</v>
      </c>
    </row>
    <row r="64" spans="1:39" outlineLevel="2" x14ac:dyDescent="0.25">
      <c r="A64" t="s">
        <v>34</v>
      </c>
      <c r="B64" t="s">
        <v>1</v>
      </c>
      <c r="C64" t="s">
        <v>2</v>
      </c>
      <c r="D64" t="s">
        <v>3</v>
      </c>
      <c r="E64" t="s">
        <v>4</v>
      </c>
      <c r="F64" t="s">
        <v>44</v>
      </c>
      <c r="G64" s="2">
        <v>45736</v>
      </c>
      <c r="H64" t="s">
        <v>204</v>
      </c>
      <c r="I64" t="s">
        <v>61</v>
      </c>
      <c r="J64" s="2">
        <v>45736</v>
      </c>
      <c r="K64" s="2">
        <v>45737</v>
      </c>
      <c r="L64" t="s">
        <v>24</v>
      </c>
      <c r="M64" t="s">
        <v>205</v>
      </c>
      <c r="N64" t="s">
        <v>9</v>
      </c>
      <c r="O64" t="s">
        <v>10</v>
      </c>
      <c r="P64" t="s">
        <v>8</v>
      </c>
      <c r="Q64" t="s">
        <v>25</v>
      </c>
      <c r="R64" t="s">
        <v>59</v>
      </c>
      <c r="S64" s="3">
        <v>4.72</v>
      </c>
      <c r="T64" t="s">
        <v>12</v>
      </c>
      <c r="U64" s="3">
        <v>409.18</v>
      </c>
      <c r="V64" s="3" t="e">
        <f>VLOOKUP(M64,[1]working!$C$1:$E$65536,3,0)</f>
        <v>#N/A</v>
      </c>
      <c r="W64" s="3" t="e">
        <f t="shared" si="1"/>
        <v>#N/A</v>
      </c>
      <c r="X64" s="3"/>
      <c r="Y64" s="3" t="e">
        <f>VLOOKUP(M64,[1]working!$C:$F,4,0)</f>
        <v>#N/A</v>
      </c>
      <c r="Z64" s="3"/>
      <c r="AA64" s="3" t="s">
        <v>480</v>
      </c>
      <c r="AB64" t="s">
        <v>63</v>
      </c>
      <c r="AC64" t="s">
        <v>20</v>
      </c>
      <c r="AD64" t="s">
        <v>8</v>
      </c>
      <c r="AE64" t="s">
        <v>24</v>
      </c>
      <c r="AF64" t="s">
        <v>14</v>
      </c>
      <c r="AG64" t="s">
        <v>206</v>
      </c>
      <c r="AH64" t="s">
        <v>8</v>
      </c>
      <c r="AI64" t="s">
        <v>8</v>
      </c>
      <c r="AJ64" t="s">
        <v>8</v>
      </c>
      <c r="AK64" s="2">
        <v>45736</v>
      </c>
      <c r="AL64" s="2"/>
      <c r="AM64" t="s">
        <v>8</v>
      </c>
    </row>
    <row r="65" spans="1:39" outlineLevel="2" x14ac:dyDescent="0.25">
      <c r="A65" t="s">
        <v>34</v>
      </c>
      <c r="B65" t="s">
        <v>1</v>
      </c>
      <c r="C65" t="s">
        <v>2</v>
      </c>
      <c r="D65" t="s">
        <v>3</v>
      </c>
      <c r="E65" t="s">
        <v>4</v>
      </c>
      <c r="F65" t="s">
        <v>44</v>
      </c>
      <c r="G65" s="2">
        <v>45736</v>
      </c>
      <c r="H65" t="s">
        <v>207</v>
      </c>
      <c r="I65" t="s">
        <v>61</v>
      </c>
      <c r="J65" s="2">
        <v>45736</v>
      </c>
      <c r="K65" s="2">
        <v>45737</v>
      </c>
      <c r="L65" t="s">
        <v>24</v>
      </c>
      <c r="M65" t="s">
        <v>208</v>
      </c>
      <c r="N65" t="s">
        <v>9</v>
      </c>
      <c r="O65" t="s">
        <v>10</v>
      </c>
      <c r="P65" t="s">
        <v>8</v>
      </c>
      <c r="Q65" t="s">
        <v>25</v>
      </c>
      <c r="R65" t="s">
        <v>59</v>
      </c>
      <c r="S65" s="3">
        <v>7.27</v>
      </c>
      <c r="T65" t="s">
        <v>12</v>
      </c>
      <c r="U65" s="3">
        <v>630.25</v>
      </c>
      <c r="V65" s="3" t="e">
        <f>VLOOKUP(M65,[1]working!$C$1:$E$65536,3,0)</f>
        <v>#N/A</v>
      </c>
      <c r="W65" s="3" t="e">
        <f t="shared" si="1"/>
        <v>#N/A</v>
      </c>
      <c r="X65" s="3"/>
      <c r="Y65" s="3" t="e">
        <f>VLOOKUP(M65,[1]working!$C:$F,4,0)</f>
        <v>#N/A</v>
      </c>
      <c r="Z65" s="3"/>
      <c r="AA65" s="3" t="s">
        <v>480</v>
      </c>
      <c r="AB65" t="s">
        <v>63</v>
      </c>
      <c r="AC65" t="s">
        <v>20</v>
      </c>
      <c r="AD65" t="s">
        <v>8</v>
      </c>
      <c r="AE65" t="s">
        <v>24</v>
      </c>
      <c r="AF65" t="s">
        <v>14</v>
      </c>
      <c r="AG65" t="s">
        <v>206</v>
      </c>
      <c r="AH65" t="s">
        <v>8</v>
      </c>
      <c r="AI65" t="s">
        <v>8</v>
      </c>
      <c r="AJ65" t="s">
        <v>8</v>
      </c>
      <c r="AK65" s="2">
        <v>45736</v>
      </c>
      <c r="AL65" s="2"/>
      <c r="AM65" t="s">
        <v>8</v>
      </c>
    </row>
    <row r="66" spans="1:39" outlineLevel="2" x14ac:dyDescent="0.25">
      <c r="A66" t="s">
        <v>34</v>
      </c>
      <c r="B66" t="s">
        <v>1</v>
      </c>
      <c r="C66" t="s">
        <v>2</v>
      </c>
      <c r="D66" t="s">
        <v>3</v>
      </c>
      <c r="E66" t="s">
        <v>4</v>
      </c>
      <c r="F66" t="s">
        <v>44</v>
      </c>
      <c r="G66" s="2">
        <v>45736</v>
      </c>
      <c r="H66" t="s">
        <v>209</v>
      </c>
      <c r="I66" t="s">
        <v>61</v>
      </c>
      <c r="J66" s="2">
        <v>45736</v>
      </c>
      <c r="K66" s="2">
        <v>45737</v>
      </c>
      <c r="L66" t="s">
        <v>24</v>
      </c>
      <c r="M66" t="s">
        <v>210</v>
      </c>
      <c r="N66" t="s">
        <v>9</v>
      </c>
      <c r="O66" t="s">
        <v>10</v>
      </c>
      <c r="P66" t="s">
        <v>8</v>
      </c>
      <c r="Q66" t="s">
        <v>25</v>
      </c>
      <c r="R66" t="s">
        <v>59</v>
      </c>
      <c r="S66" s="3">
        <v>4.72</v>
      </c>
      <c r="T66" t="s">
        <v>12</v>
      </c>
      <c r="U66" s="3">
        <v>409.18</v>
      </c>
      <c r="V66" s="3" t="e">
        <f>VLOOKUP(M66,[1]working!$C$1:$E$65536,3,0)</f>
        <v>#N/A</v>
      </c>
      <c r="W66" s="3" t="e">
        <f t="shared" si="1"/>
        <v>#N/A</v>
      </c>
      <c r="X66" s="3"/>
      <c r="Y66" s="3" t="e">
        <f>VLOOKUP(M66,[1]working!$C:$F,4,0)</f>
        <v>#N/A</v>
      </c>
      <c r="Z66" s="3"/>
      <c r="AA66" s="3" t="s">
        <v>480</v>
      </c>
      <c r="AB66" t="s">
        <v>63</v>
      </c>
      <c r="AC66" t="s">
        <v>20</v>
      </c>
      <c r="AD66" t="s">
        <v>8</v>
      </c>
      <c r="AE66" t="s">
        <v>24</v>
      </c>
      <c r="AF66" t="s">
        <v>14</v>
      </c>
      <c r="AG66" t="s">
        <v>206</v>
      </c>
      <c r="AH66" t="s">
        <v>8</v>
      </c>
      <c r="AI66" t="s">
        <v>8</v>
      </c>
      <c r="AJ66" t="s">
        <v>8</v>
      </c>
      <c r="AK66" s="2">
        <v>45736</v>
      </c>
      <c r="AL66" s="2"/>
      <c r="AM66" t="s">
        <v>8</v>
      </c>
    </row>
    <row r="67" spans="1:39" outlineLevel="2" x14ac:dyDescent="0.25">
      <c r="A67" t="s">
        <v>34</v>
      </c>
      <c r="B67" t="s">
        <v>1</v>
      </c>
      <c r="C67" t="s">
        <v>2</v>
      </c>
      <c r="D67" t="s">
        <v>3</v>
      </c>
      <c r="E67" t="s">
        <v>4</v>
      </c>
      <c r="F67" t="s">
        <v>44</v>
      </c>
      <c r="G67" s="2">
        <v>45736</v>
      </c>
      <c r="H67" t="s">
        <v>211</v>
      </c>
      <c r="I67" t="s">
        <v>61</v>
      </c>
      <c r="J67" s="2">
        <v>45736</v>
      </c>
      <c r="K67" s="2">
        <v>45737</v>
      </c>
      <c r="L67" t="s">
        <v>24</v>
      </c>
      <c r="M67" t="s">
        <v>212</v>
      </c>
      <c r="N67" t="s">
        <v>9</v>
      </c>
      <c r="O67" t="s">
        <v>10</v>
      </c>
      <c r="P67" t="s">
        <v>8</v>
      </c>
      <c r="Q67" t="s">
        <v>25</v>
      </c>
      <c r="R67" t="s">
        <v>59</v>
      </c>
      <c r="S67" s="3">
        <v>28.32</v>
      </c>
      <c r="T67" t="s">
        <v>12</v>
      </c>
      <c r="U67" s="3">
        <v>2455.1</v>
      </c>
      <c r="V67" s="3" t="e">
        <f>VLOOKUP(M67,[1]working!$C$1:$E$65536,3,0)</f>
        <v>#N/A</v>
      </c>
      <c r="W67" s="3" t="e">
        <f t="shared" si="1"/>
        <v>#N/A</v>
      </c>
      <c r="X67" s="3"/>
      <c r="Y67" s="3" t="e">
        <f>VLOOKUP(M67,[1]working!$C:$F,4,0)</f>
        <v>#N/A</v>
      </c>
      <c r="Z67" s="3"/>
      <c r="AA67" s="3" t="s">
        <v>480</v>
      </c>
      <c r="AB67" t="s">
        <v>63</v>
      </c>
      <c r="AC67" t="s">
        <v>20</v>
      </c>
      <c r="AD67" t="s">
        <v>8</v>
      </c>
      <c r="AE67" t="s">
        <v>24</v>
      </c>
      <c r="AF67" t="s">
        <v>14</v>
      </c>
      <c r="AG67" t="s">
        <v>213</v>
      </c>
      <c r="AH67" t="s">
        <v>8</v>
      </c>
      <c r="AI67" t="s">
        <v>8</v>
      </c>
      <c r="AJ67" t="s">
        <v>8</v>
      </c>
      <c r="AK67" s="2">
        <v>45736</v>
      </c>
      <c r="AL67" s="2"/>
      <c r="AM67" t="s">
        <v>8</v>
      </c>
    </row>
    <row r="68" spans="1:39" outlineLevel="2" x14ac:dyDescent="0.25">
      <c r="A68" t="s">
        <v>34</v>
      </c>
      <c r="B68" t="s">
        <v>1</v>
      </c>
      <c r="C68" t="s">
        <v>2</v>
      </c>
      <c r="D68" t="s">
        <v>3</v>
      </c>
      <c r="E68" t="s">
        <v>4</v>
      </c>
      <c r="F68" t="s">
        <v>44</v>
      </c>
      <c r="G68" s="2">
        <v>45736</v>
      </c>
      <c r="H68" t="s">
        <v>214</v>
      </c>
      <c r="I68" t="s">
        <v>61</v>
      </c>
      <c r="J68" s="2">
        <v>45736</v>
      </c>
      <c r="K68" s="2">
        <v>45737</v>
      </c>
      <c r="L68" t="s">
        <v>24</v>
      </c>
      <c r="M68" t="s">
        <v>215</v>
      </c>
      <c r="N68" t="s">
        <v>9</v>
      </c>
      <c r="O68" t="s">
        <v>10</v>
      </c>
      <c r="P68" t="s">
        <v>8</v>
      </c>
      <c r="Q68" t="s">
        <v>25</v>
      </c>
      <c r="R68" t="s">
        <v>59</v>
      </c>
      <c r="S68" s="3">
        <v>53.61</v>
      </c>
      <c r="T68" t="s">
        <v>12</v>
      </c>
      <c r="U68" s="3">
        <v>4647.5200000000004</v>
      </c>
      <c r="V68" s="3" t="e">
        <f>VLOOKUP(M68,[1]working!$C$1:$E$65536,3,0)</f>
        <v>#N/A</v>
      </c>
      <c r="W68" s="3" t="e">
        <f t="shared" si="1"/>
        <v>#N/A</v>
      </c>
      <c r="X68" s="3"/>
      <c r="Y68" s="3" t="e">
        <f>VLOOKUP(M68,[1]working!$C:$F,4,0)</f>
        <v>#N/A</v>
      </c>
      <c r="Z68" s="3"/>
      <c r="AA68" s="3" t="s">
        <v>480</v>
      </c>
      <c r="AB68" t="s">
        <v>63</v>
      </c>
      <c r="AC68" t="s">
        <v>20</v>
      </c>
      <c r="AD68" t="s">
        <v>8</v>
      </c>
      <c r="AE68" t="s">
        <v>24</v>
      </c>
      <c r="AF68" t="s">
        <v>14</v>
      </c>
      <c r="AG68" t="s">
        <v>216</v>
      </c>
      <c r="AH68" t="s">
        <v>8</v>
      </c>
      <c r="AI68" t="s">
        <v>8</v>
      </c>
      <c r="AJ68" t="s">
        <v>8</v>
      </c>
      <c r="AK68" s="2">
        <v>45736</v>
      </c>
      <c r="AL68" s="2"/>
      <c r="AM68" t="s">
        <v>8</v>
      </c>
    </row>
    <row r="69" spans="1:39" outlineLevel="2" x14ac:dyDescent="0.25">
      <c r="A69" t="s">
        <v>34</v>
      </c>
      <c r="B69" t="s">
        <v>1</v>
      </c>
      <c r="C69" t="s">
        <v>2</v>
      </c>
      <c r="D69" t="s">
        <v>3</v>
      </c>
      <c r="E69" t="s">
        <v>4</v>
      </c>
      <c r="F69" t="s">
        <v>44</v>
      </c>
      <c r="G69" s="2">
        <v>45736</v>
      </c>
      <c r="H69" t="s">
        <v>217</v>
      </c>
      <c r="I69" t="s">
        <v>61</v>
      </c>
      <c r="J69" s="2">
        <v>45736</v>
      </c>
      <c r="K69" s="2">
        <v>45737</v>
      </c>
      <c r="L69" t="s">
        <v>24</v>
      </c>
      <c r="M69" t="s">
        <v>218</v>
      </c>
      <c r="N69" t="s">
        <v>9</v>
      </c>
      <c r="O69" t="s">
        <v>10</v>
      </c>
      <c r="P69" t="s">
        <v>8</v>
      </c>
      <c r="Q69" t="s">
        <v>25</v>
      </c>
      <c r="R69" t="s">
        <v>59</v>
      </c>
      <c r="S69" s="3">
        <v>12.24</v>
      </c>
      <c r="T69" t="s">
        <v>12</v>
      </c>
      <c r="U69" s="3">
        <v>1061.0999999999999</v>
      </c>
      <c r="V69" s="3" t="e">
        <f>VLOOKUP(M69,[1]working!$C$1:$E$65536,3,0)</f>
        <v>#N/A</v>
      </c>
      <c r="W69" s="3" t="e">
        <f t="shared" si="1"/>
        <v>#N/A</v>
      </c>
      <c r="X69" s="3"/>
      <c r="Y69" s="3" t="e">
        <f>VLOOKUP(M69,[1]working!$C:$F,4,0)</f>
        <v>#N/A</v>
      </c>
      <c r="Z69" s="3"/>
      <c r="AA69" s="3" t="s">
        <v>480</v>
      </c>
      <c r="AB69" t="s">
        <v>63</v>
      </c>
      <c r="AC69" t="s">
        <v>20</v>
      </c>
      <c r="AD69" t="s">
        <v>8</v>
      </c>
      <c r="AE69" t="s">
        <v>24</v>
      </c>
      <c r="AF69" t="s">
        <v>14</v>
      </c>
      <c r="AG69" t="s">
        <v>219</v>
      </c>
      <c r="AH69" t="s">
        <v>8</v>
      </c>
      <c r="AI69" t="s">
        <v>8</v>
      </c>
      <c r="AJ69" t="s">
        <v>8</v>
      </c>
      <c r="AK69" s="2">
        <v>45736</v>
      </c>
      <c r="AL69" s="2"/>
      <c r="AM69" t="s">
        <v>8</v>
      </c>
    </row>
    <row r="70" spans="1:39" outlineLevel="2" x14ac:dyDescent="0.25">
      <c r="A70" t="s">
        <v>34</v>
      </c>
      <c r="B70" t="s">
        <v>1</v>
      </c>
      <c r="C70" t="s">
        <v>2</v>
      </c>
      <c r="D70" t="s">
        <v>3</v>
      </c>
      <c r="E70" t="s">
        <v>4</v>
      </c>
      <c r="F70" t="s">
        <v>44</v>
      </c>
      <c r="G70" s="2">
        <v>45736</v>
      </c>
      <c r="H70" t="s">
        <v>220</v>
      </c>
      <c r="I70" t="s">
        <v>61</v>
      </c>
      <c r="J70" s="2">
        <v>45736</v>
      </c>
      <c r="K70" s="2">
        <v>45737</v>
      </c>
      <c r="L70" t="s">
        <v>24</v>
      </c>
      <c r="M70" t="s">
        <v>221</v>
      </c>
      <c r="N70" t="s">
        <v>9</v>
      </c>
      <c r="O70" t="s">
        <v>10</v>
      </c>
      <c r="P70" t="s">
        <v>8</v>
      </c>
      <c r="Q70" t="s">
        <v>25</v>
      </c>
      <c r="R70" t="s">
        <v>59</v>
      </c>
      <c r="S70" s="3">
        <v>32.65</v>
      </c>
      <c r="T70" t="s">
        <v>12</v>
      </c>
      <c r="U70" s="3">
        <v>2830.47</v>
      </c>
      <c r="V70" s="3" t="e">
        <f>VLOOKUP(M70,[1]working!$C$1:$E$65536,3,0)</f>
        <v>#N/A</v>
      </c>
      <c r="W70" s="3" t="e">
        <f t="shared" si="1"/>
        <v>#N/A</v>
      </c>
      <c r="X70" s="3"/>
      <c r="Y70" s="3" t="e">
        <f>VLOOKUP(M70,[1]working!$C:$F,4,0)</f>
        <v>#N/A</v>
      </c>
      <c r="Z70" s="3"/>
      <c r="AA70" s="3" t="s">
        <v>480</v>
      </c>
      <c r="AB70" t="s">
        <v>63</v>
      </c>
      <c r="AC70" t="s">
        <v>20</v>
      </c>
      <c r="AD70" t="s">
        <v>8</v>
      </c>
      <c r="AE70" t="s">
        <v>24</v>
      </c>
      <c r="AF70" t="s">
        <v>14</v>
      </c>
      <c r="AG70" t="s">
        <v>222</v>
      </c>
      <c r="AH70" t="s">
        <v>8</v>
      </c>
      <c r="AI70" t="s">
        <v>8</v>
      </c>
      <c r="AJ70" t="s">
        <v>8</v>
      </c>
      <c r="AK70" s="2">
        <v>45736</v>
      </c>
      <c r="AL70" s="2"/>
      <c r="AM70" t="s">
        <v>8</v>
      </c>
    </row>
    <row r="71" spans="1:39" outlineLevel="2" x14ac:dyDescent="0.25">
      <c r="A71" t="s">
        <v>34</v>
      </c>
      <c r="B71" t="s">
        <v>1</v>
      </c>
      <c r="C71" t="s">
        <v>2</v>
      </c>
      <c r="D71" t="s">
        <v>3</v>
      </c>
      <c r="E71" t="s">
        <v>4</v>
      </c>
      <c r="F71" t="s">
        <v>44</v>
      </c>
      <c r="G71" s="2">
        <v>45736</v>
      </c>
      <c r="H71" t="s">
        <v>223</v>
      </c>
      <c r="I71" t="s">
        <v>61</v>
      </c>
      <c r="J71" s="2">
        <v>45736</v>
      </c>
      <c r="K71" s="2">
        <v>45737</v>
      </c>
      <c r="L71" t="s">
        <v>24</v>
      </c>
      <c r="M71" t="s">
        <v>224</v>
      </c>
      <c r="N71" t="s">
        <v>9</v>
      </c>
      <c r="O71" t="s">
        <v>10</v>
      </c>
      <c r="P71" t="s">
        <v>8</v>
      </c>
      <c r="Q71" t="s">
        <v>25</v>
      </c>
      <c r="R71" t="s">
        <v>59</v>
      </c>
      <c r="S71" s="3">
        <v>56.64</v>
      </c>
      <c r="T71" t="s">
        <v>12</v>
      </c>
      <c r="U71" s="3">
        <v>4910.1899999999996</v>
      </c>
      <c r="V71" s="3" t="e">
        <f>VLOOKUP(M71,[1]working!$C$1:$E$65536,3,0)</f>
        <v>#N/A</v>
      </c>
      <c r="W71" s="3" t="e">
        <f t="shared" si="1"/>
        <v>#N/A</v>
      </c>
      <c r="X71" s="3"/>
      <c r="Y71" s="3" t="e">
        <f>VLOOKUP(M71,[1]working!$C:$F,4,0)</f>
        <v>#N/A</v>
      </c>
      <c r="Z71" s="3"/>
      <c r="AA71" s="3" t="s">
        <v>480</v>
      </c>
      <c r="AB71" t="s">
        <v>63</v>
      </c>
      <c r="AC71" t="s">
        <v>20</v>
      </c>
      <c r="AD71" t="s">
        <v>8</v>
      </c>
      <c r="AE71" t="s">
        <v>24</v>
      </c>
      <c r="AF71" t="s">
        <v>14</v>
      </c>
      <c r="AG71" t="s">
        <v>225</v>
      </c>
      <c r="AH71" t="s">
        <v>8</v>
      </c>
      <c r="AI71" t="s">
        <v>8</v>
      </c>
      <c r="AJ71" t="s">
        <v>8</v>
      </c>
      <c r="AK71" s="2">
        <v>45736</v>
      </c>
      <c r="AL71" s="2"/>
      <c r="AM71" t="s">
        <v>8</v>
      </c>
    </row>
    <row r="72" spans="1:39" outlineLevel="2" x14ac:dyDescent="0.25">
      <c r="A72" t="s">
        <v>34</v>
      </c>
      <c r="B72" t="s">
        <v>1</v>
      </c>
      <c r="C72" t="s">
        <v>2</v>
      </c>
      <c r="D72" t="s">
        <v>3</v>
      </c>
      <c r="E72" t="s">
        <v>4</v>
      </c>
      <c r="F72" t="s">
        <v>44</v>
      </c>
      <c r="G72" s="2">
        <v>45736</v>
      </c>
      <c r="H72" t="s">
        <v>226</v>
      </c>
      <c r="I72" t="s">
        <v>61</v>
      </c>
      <c r="J72" s="2">
        <v>45736</v>
      </c>
      <c r="K72" s="2">
        <v>45737</v>
      </c>
      <c r="L72" t="s">
        <v>24</v>
      </c>
      <c r="M72" t="s">
        <v>227</v>
      </c>
      <c r="N72" t="s">
        <v>9</v>
      </c>
      <c r="O72" t="s">
        <v>10</v>
      </c>
      <c r="P72" t="s">
        <v>8</v>
      </c>
      <c r="Q72" t="s">
        <v>25</v>
      </c>
      <c r="R72" t="s">
        <v>59</v>
      </c>
      <c r="S72" s="3">
        <v>16.04</v>
      </c>
      <c r="T72" t="s">
        <v>12</v>
      </c>
      <c r="U72" s="3">
        <v>1390.53</v>
      </c>
      <c r="V72" s="3" t="e">
        <f>VLOOKUP(M72,[1]working!$C$1:$E$65536,3,0)</f>
        <v>#N/A</v>
      </c>
      <c r="W72" s="3" t="e">
        <f t="shared" si="1"/>
        <v>#N/A</v>
      </c>
      <c r="X72" s="3"/>
      <c r="Y72" s="3" t="e">
        <f>VLOOKUP(M72,[1]working!$C:$F,4,0)</f>
        <v>#N/A</v>
      </c>
      <c r="Z72" s="3"/>
      <c r="AA72" s="3" t="s">
        <v>480</v>
      </c>
      <c r="AB72" t="s">
        <v>63</v>
      </c>
      <c r="AC72" t="s">
        <v>20</v>
      </c>
      <c r="AD72" t="s">
        <v>8</v>
      </c>
      <c r="AE72" t="s">
        <v>24</v>
      </c>
      <c r="AF72" t="s">
        <v>14</v>
      </c>
      <c r="AG72" t="s">
        <v>228</v>
      </c>
      <c r="AH72" t="s">
        <v>8</v>
      </c>
      <c r="AI72" t="s">
        <v>8</v>
      </c>
      <c r="AJ72" t="s">
        <v>8</v>
      </c>
      <c r="AK72" s="2">
        <v>45736</v>
      </c>
      <c r="AL72" s="2"/>
      <c r="AM72" t="s">
        <v>8</v>
      </c>
    </row>
    <row r="73" spans="1:39" outlineLevel="2" x14ac:dyDescent="0.25">
      <c r="A73" t="s">
        <v>34</v>
      </c>
      <c r="B73" t="s">
        <v>1</v>
      </c>
      <c r="C73" t="s">
        <v>2</v>
      </c>
      <c r="D73" t="s">
        <v>3</v>
      </c>
      <c r="E73" t="s">
        <v>4</v>
      </c>
      <c r="F73" t="s">
        <v>44</v>
      </c>
      <c r="G73" s="2">
        <v>45736</v>
      </c>
      <c r="H73" t="s">
        <v>229</v>
      </c>
      <c r="I73" t="s">
        <v>61</v>
      </c>
      <c r="J73" s="2">
        <v>45736</v>
      </c>
      <c r="K73" s="2">
        <v>45737</v>
      </c>
      <c r="L73" t="s">
        <v>24</v>
      </c>
      <c r="M73" t="s">
        <v>230</v>
      </c>
      <c r="N73" t="s">
        <v>9</v>
      </c>
      <c r="O73" t="s">
        <v>10</v>
      </c>
      <c r="P73" t="s">
        <v>8</v>
      </c>
      <c r="Q73" t="s">
        <v>25</v>
      </c>
      <c r="R73" t="s">
        <v>59</v>
      </c>
      <c r="S73" s="3">
        <v>28.32</v>
      </c>
      <c r="T73" t="s">
        <v>12</v>
      </c>
      <c r="U73" s="3">
        <v>2455.1</v>
      </c>
      <c r="V73" s="3">
        <f>VLOOKUP(M73,[1]working!$C$1:$E$65536,3,0)</f>
        <v>2080.9</v>
      </c>
      <c r="W73" s="3">
        <f t="shared" si="1"/>
        <v>374.19999999999982</v>
      </c>
      <c r="X73" s="3">
        <f>VLOOKUP(M73,[1]working!$C$1:$H$65536,6,0)</f>
        <v>374</v>
      </c>
      <c r="Y73" s="3">
        <f>VLOOKUP(M73,[1]working!$C:$F,4,0)</f>
        <v>-42</v>
      </c>
      <c r="Z73" s="17">
        <f>W73-X73</f>
        <v>0.1999999999998181</v>
      </c>
      <c r="AA73" s="17" t="s">
        <v>477</v>
      </c>
      <c r="AB73" t="s">
        <v>63</v>
      </c>
      <c r="AC73" t="s">
        <v>20</v>
      </c>
      <c r="AD73" t="s">
        <v>8</v>
      </c>
      <c r="AE73" t="s">
        <v>24</v>
      </c>
      <c r="AF73" t="s">
        <v>14</v>
      </c>
      <c r="AG73" t="s">
        <v>231</v>
      </c>
      <c r="AH73" t="s">
        <v>8</v>
      </c>
      <c r="AI73" t="s">
        <v>8</v>
      </c>
      <c r="AJ73" t="s">
        <v>8</v>
      </c>
      <c r="AK73" s="2">
        <v>45736</v>
      </c>
      <c r="AL73" s="2"/>
      <c r="AM73" t="s">
        <v>8</v>
      </c>
    </row>
    <row r="74" spans="1:39" outlineLevel="2" x14ac:dyDescent="0.25">
      <c r="A74" t="s">
        <v>34</v>
      </c>
      <c r="B74" t="s">
        <v>1</v>
      </c>
      <c r="C74" t="s">
        <v>2</v>
      </c>
      <c r="D74" t="s">
        <v>3</v>
      </c>
      <c r="E74" t="s">
        <v>4</v>
      </c>
      <c r="F74" t="s">
        <v>44</v>
      </c>
      <c r="G74" s="2">
        <v>45736</v>
      </c>
      <c r="H74" t="s">
        <v>232</v>
      </c>
      <c r="I74" t="s">
        <v>61</v>
      </c>
      <c r="J74" s="2">
        <v>45736</v>
      </c>
      <c r="K74" s="2">
        <v>45737</v>
      </c>
      <c r="L74" t="s">
        <v>24</v>
      </c>
      <c r="M74" t="s">
        <v>233</v>
      </c>
      <c r="N74" t="s">
        <v>9</v>
      </c>
      <c r="O74" t="s">
        <v>10</v>
      </c>
      <c r="P74" t="s">
        <v>8</v>
      </c>
      <c r="Q74" t="s">
        <v>25</v>
      </c>
      <c r="R74" t="s">
        <v>59</v>
      </c>
      <c r="S74" s="3">
        <v>17.579999999999998</v>
      </c>
      <c r="T74" t="s">
        <v>12</v>
      </c>
      <c r="U74" s="3">
        <v>1524.03</v>
      </c>
      <c r="V74" s="3" t="e">
        <f>VLOOKUP(M74,[1]working!$C$1:$E$65536,3,0)</f>
        <v>#N/A</v>
      </c>
      <c r="W74" s="3" t="e">
        <f t="shared" si="1"/>
        <v>#N/A</v>
      </c>
      <c r="X74" s="3"/>
      <c r="Y74" s="3" t="e">
        <f>VLOOKUP(M74,[1]working!$C:$F,4,0)</f>
        <v>#N/A</v>
      </c>
      <c r="Z74" s="3"/>
      <c r="AA74" s="3" t="s">
        <v>480</v>
      </c>
      <c r="AB74" t="s">
        <v>63</v>
      </c>
      <c r="AC74" t="s">
        <v>20</v>
      </c>
      <c r="AD74" t="s">
        <v>8</v>
      </c>
      <c r="AE74" t="s">
        <v>24</v>
      </c>
      <c r="AF74" t="s">
        <v>14</v>
      </c>
      <c r="AG74" t="s">
        <v>234</v>
      </c>
      <c r="AH74" t="s">
        <v>8</v>
      </c>
      <c r="AI74" t="s">
        <v>8</v>
      </c>
      <c r="AJ74" t="s">
        <v>8</v>
      </c>
      <c r="AK74" s="2">
        <v>45736</v>
      </c>
      <c r="AL74" s="2"/>
      <c r="AM74" t="s">
        <v>8</v>
      </c>
    </row>
    <row r="75" spans="1:39" outlineLevel="2" x14ac:dyDescent="0.25">
      <c r="A75" t="s">
        <v>34</v>
      </c>
      <c r="B75" t="s">
        <v>1</v>
      </c>
      <c r="C75" t="s">
        <v>2</v>
      </c>
      <c r="D75" t="s">
        <v>3</v>
      </c>
      <c r="E75" t="s">
        <v>4</v>
      </c>
      <c r="F75" t="s">
        <v>44</v>
      </c>
      <c r="G75" s="2">
        <v>45736</v>
      </c>
      <c r="H75" t="s">
        <v>235</v>
      </c>
      <c r="I75" t="s">
        <v>61</v>
      </c>
      <c r="J75" s="2">
        <v>45736</v>
      </c>
      <c r="K75" s="2">
        <v>45737</v>
      </c>
      <c r="L75" t="s">
        <v>24</v>
      </c>
      <c r="M75" t="s">
        <v>236</v>
      </c>
      <c r="N75" t="s">
        <v>9</v>
      </c>
      <c r="O75" t="s">
        <v>10</v>
      </c>
      <c r="P75" t="s">
        <v>8</v>
      </c>
      <c r="Q75" t="s">
        <v>25</v>
      </c>
      <c r="R75" t="s">
        <v>59</v>
      </c>
      <c r="S75" s="3">
        <v>28.32</v>
      </c>
      <c r="T75" t="s">
        <v>12</v>
      </c>
      <c r="U75" s="3">
        <v>2455.1</v>
      </c>
      <c r="V75" s="3" t="e">
        <f>VLOOKUP(M75,[1]working!$C$1:$E$65536,3,0)</f>
        <v>#N/A</v>
      </c>
      <c r="W75" s="3" t="e">
        <f t="shared" si="1"/>
        <v>#N/A</v>
      </c>
      <c r="X75" s="3"/>
      <c r="Y75" s="3" t="e">
        <f>VLOOKUP(M75,[1]working!$C:$F,4,0)</f>
        <v>#N/A</v>
      </c>
      <c r="Z75" s="3"/>
      <c r="AA75" s="3" t="s">
        <v>480</v>
      </c>
      <c r="AB75" t="s">
        <v>63</v>
      </c>
      <c r="AC75" t="s">
        <v>20</v>
      </c>
      <c r="AD75" t="s">
        <v>8</v>
      </c>
      <c r="AE75" t="s">
        <v>24</v>
      </c>
      <c r="AF75" t="s">
        <v>14</v>
      </c>
      <c r="AG75" t="s">
        <v>237</v>
      </c>
      <c r="AH75" t="s">
        <v>8</v>
      </c>
      <c r="AI75" t="s">
        <v>8</v>
      </c>
      <c r="AJ75" t="s">
        <v>8</v>
      </c>
      <c r="AK75" s="2">
        <v>45736</v>
      </c>
      <c r="AL75" s="2"/>
      <c r="AM75" t="s">
        <v>8</v>
      </c>
    </row>
    <row r="76" spans="1:39" outlineLevel="2" x14ac:dyDescent="0.25">
      <c r="A76" t="s">
        <v>34</v>
      </c>
      <c r="B76" t="s">
        <v>1</v>
      </c>
      <c r="C76" t="s">
        <v>2</v>
      </c>
      <c r="D76" t="s">
        <v>3</v>
      </c>
      <c r="E76" t="s">
        <v>4</v>
      </c>
      <c r="F76" t="s">
        <v>44</v>
      </c>
      <c r="G76" s="2">
        <v>45736</v>
      </c>
      <c r="H76" t="s">
        <v>238</v>
      </c>
      <c r="I76" t="s">
        <v>61</v>
      </c>
      <c r="J76" s="2">
        <v>45736</v>
      </c>
      <c r="K76" s="2">
        <v>45737</v>
      </c>
      <c r="L76" t="s">
        <v>24</v>
      </c>
      <c r="M76" t="s">
        <v>239</v>
      </c>
      <c r="N76" t="s">
        <v>9</v>
      </c>
      <c r="O76" t="s">
        <v>10</v>
      </c>
      <c r="P76" t="s">
        <v>8</v>
      </c>
      <c r="Q76" t="s">
        <v>25</v>
      </c>
      <c r="R76" t="s">
        <v>59</v>
      </c>
      <c r="S76" s="3">
        <v>21.24</v>
      </c>
      <c r="T76" t="s">
        <v>12</v>
      </c>
      <c r="U76" s="3">
        <v>1841.32</v>
      </c>
      <c r="V76" s="3" t="e">
        <f>VLOOKUP(M76,[1]working!$C$1:$E$65536,3,0)</f>
        <v>#N/A</v>
      </c>
      <c r="W76" s="3" t="e">
        <f t="shared" ref="W76:W136" si="4">U76-V76</f>
        <v>#N/A</v>
      </c>
      <c r="X76" s="3"/>
      <c r="Y76" s="3" t="e">
        <f>VLOOKUP(M76,[1]working!$C:$F,4,0)</f>
        <v>#N/A</v>
      </c>
      <c r="Z76" s="3"/>
      <c r="AA76" s="3" t="s">
        <v>480</v>
      </c>
      <c r="AB76" t="s">
        <v>63</v>
      </c>
      <c r="AC76" t="s">
        <v>20</v>
      </c>
      <c r="AD76" t="s">
        <v>8</v>
      </c>
      <c r="AE76" t="s">
        <v>24</v>
      </c>
      <c r="AF76" t="s">
        <v>14</v>
      </c>
      <c r="AG76" t="s">
        <v>206</v>
      </c>
      <c r="AH76" t="s">
        <v>8</v>
      </c>
      <c r="AI76" t="s">
        <v>8</v>
      </c>
      <c r="AJ76" t="s">
        <v>8</v>
      </c>
      <c r="AK76" s="2">
        <v>45736</v>
      </c>
      <c r="AL76" s="2"/>
      <c r="AM76" t="s">
        <v>8</v>
      </c>
    </row>
    <row r="77" spans="1:39" outlineLevel="2" x14ac:dyDescent="0.25">
      <c r="A77" t="s">
        <v>34</v>
      </c>
      <c r="B77" t="s">
        <v>1</v>
      </c>
      <c r="C77" t="s">
        <v>2</v>
      </c>
      <c r="D77" t="s">
        <v>3</v>
      </c>
      <c r="E77" t="s">
        <v>4</v>
      </c>
      <c r="F77" t="s">
        <v>44</v>
      </c>
      <c r="G77" s="2">
        <v>45736</v>
      </c>
      <c r="H77" t="s">
        <v>240</v>
      </c>
      <c r="I77" t="s">
        <v>61</v>
      </c>
      <c r="J77" s="2">
        <v>45736</v>
      </c>
      <c r="K77" s="2">
        <v>45737</v>
      </c>
      <c r="L77" t="s">
        <v>24</v>
      </c>
      <c r="M77" t="s">
        <v>241</v>
      </c>
      <c r="N77" t="s">
        <v>9</v>
      </c>
      <c r="O77" t="s">
        <v>10</v>
      </c>
      <c r="P77" t="s">
        <v>8</v>
      </c>
      <c r="Q77" t="s">
        <v>25</v>
      </c>
      <c r="R77" t="s">
        <v>59</v>
      </c>
      <c r="S77" s="3">
        <v>3.54</v>
      </c>
      <c r="T77" t="s">
        <v>12</v>
      </c>
      <c r="U77" s="3">
        <v>306.89</v>
      </c>
      <c r="V77" s="3" t="e">
        <f>VLOOKUP(M77,[1]working!$C$1:$E$65536,3,0)</f>
        <v>#N/A</v>
      </c>
      <c r="W77" s="3" t="e">
        <f t="shared" si="4"/>
        <v>#N/A</v>
      </c>
      <c r="X77" s="3"/>
      <c r="Y77" s="3" t="e">
        <f>VLOOKUP(M77,[1]working!$C:$F,4,0)</f>
        <v>#N/A</v>
      </c>
      <c r="Z77" s="3"/>
      <c r="AA77" s="3" t="s">
        <v>480</v>
      </c>
      <c r="AB77" t="s">
        <v>63</v>
      </c>
      <c r="AC77" t="s">
        <v>20</v>
      </c>
      <c r="AD77" t="s">
        <v>8</v>
      </c>
      <c r="AE77" t="s">
        <v>24</v>
      </c>
      <c r="AF77" t="s">
        <v>14</v>
      </c>
      <c r="AG77" t="s">
        <v>242</v>
      </c>
      <c r="AH77" t="s">
        <v>8</v>
      </c>
      <c r="AI77" t="s">
        <v>8</v>
      </c>
      <c r="AJ77" t="s">
        <v>8</v>
      </c>
      <c r="AK77" s="2">
        <v>45736</v>
      </c>
      <c r="AL77" s="2"/>
      <c r="AM77" t="s">
        <v>8</v>
      </c>
    </row>
    <row r="78" spans="1:39" outlineLevel="2" x14ac:dyDescent="0.25">
      <c r="A78" t="s">
        <v>34</v>
      </c>
      <c r="B78" t="s">
        <v>1</v>
      </c>
      <c r="C78" t="s">
        <v>2</v>
      </c>
      <c r="D78" t="s">
        <v>3</v>
      </c>
      <c r="E78" t="s">
        <v>4</v>
      </c>
      <c r="F78" t="s">
        <v>44</v>
      </c>
      <c r="G78" s="2">
        <v>45736</v>
      </c>
      <c r="H78" t="s">
        <v>243</v>
      </c>
      <c r="I78" t="s">
        <v>61</v>
      </c>
      <c r="J78" s="2">
        <v>45736</v>
      </c>
      <c r="K78" s="2">
        <v>45737</v>
      </c>
      <c r="L78" t="s">
        <v>24</v>
      </c>
      <c r="M78" t="s">
        <v>244</v>
      </c>
      <c r="N78" t="s">
        <v>9</v>
      </c>
      <c r="O78" t="s">
        <v>10</v>
      </c>
      <c r="P78" t="s">
        <v>8</v>
      </c>
      <c r="Q78" t="s">
        <v>25</v>
      </c>
      <c r="R78" t="s">
        <v>59</v>
      </c>
      <c r="S78" s="3">
        <v>4.72</v>
      </c>
      <c r="T78" t="s">
        <v>12</v>
      </c>
      <c r="U78" s="3">
        <v>409.18</v>
      </c>
      <c r="V78" s="3" t="e">
        <f>VLOOKUP(M78,[1]working!$C$1:$E$65536,3,0)</f>
        <v>#N/A</v>
      </c>
      <c r="W78" s="3" t="e">
        <f t="shared" si="4"/>
        <v>#N/A</v>
      </c>
      <c r="X78" s="3"/>
      <c r="Y78" s="3" t="e">
        <f>VLOOKUP(M78,[1]working!$C:$F,4,0)</f>
        <v>#N/A</v>
      </c>
      <c r="Z78" s="3"/>
      <c r="AA78" s="3" t="s">
        <v>480</v>
      </c>
      <c r="AB78" t="s">
        <v>63</v>
      </c>
      <c r="AC78" t="s">
        <v>20</v>
      </c>
      <c r="AD78" t="s">
        <v>8</v>
      </c>
      <c r="AE78" t="s">
        <v>24</v>
      </c>
      <c r="AF78" t="s">
        <v>14</v>
      </c>
      <c r="AG78" t="s">
        <v>245</v>
      </c>
      <c r="AH78" t="s">
        <v>8</v>
      </c>
      <c r="AI78" t="s">
        <v>8</v>
      </c>
      <c r="AJ78" t="s">
        <v>8</v>
      </c>
      <c r="AK78" s="2">
        <v>45736</v>
      </c>
      <c r="AL78" s="2"/>
      <c r="AM78" t="s">
        <v>8</v>
      </c>
    </row>
    <row r="79" spans="1:39" outlineLevel="2" x14ac:dyDescent="0.25">
      <c r="A79" t="s">
        <v>34</v>
      </c>
      <c r="B79" t="s">
        <v>1</v>
      </c>
      <c r="C79" t="s">
        <v>2</v>
      </c>
      <c r="D79" t="s">
        <v>3</v>
      </c>
      <c r="E79" t="s">
        <v>4</v>
      </c>
      <c r="F79" t="s">
        <v>44</v>
      </c>
      <c r="G79" s="2">
        <v>45736</v>
      </c>
      <c r="H79" t="s">
        <v>246</v>
      </c>
      <c r="I79" t="s">
        <v>61</v>
      </c>
      <c r="J79" s="2">
        <v>45736</v>
      </c>
      <c r="K79" s="2">
        <v>45737</v>
      </c>
      <c r="L79" t="s">
        <v>24</v>
      </c>
      <c r="M79" t="s">
        <v>247</v>
      </c>
      <c r="N79" t="s">
        <v>9</v>
      </c>
      <c r="O79" t="s">
        <v>10</v>
      </c>
      <c r="P79" t="s">
        <v>8</v>
      </c>
      <c r="Q79" t="s">
        <v>25</v>
      </c>
      <c r="R79" t="s">
        <v>59</v>
      </c>
      <c r="S79" s="3">
        <v>4.72</v>
      </c>
      <c r="T79" t="s">
        <v>12</v>
      </c>
      <c r="U79" s="3">
        <v>409.18</v>
      </c>
      <c r="V79" s="3" t="e">
        <f>VLOOKUP(M79,[1]working!$C$1:$E$65536,3,0)</f>
        <v>#N/A</v>
      </c>
      <c r="W79" s="3" t="e">
        <f t="shared" si="4"/>
        <v>#N/A</v>
      </c>
      <c r="X79" s="3"/>
      <c r="Y79" s="3" t="e">
        <f>VLOOKUP(M79,[1]working!$C:$F,4,0)</f>
        <v>#N/A</v>
      </c>
      <c r="Z79" s="3"/>
      <c r="AA79" s="3" t="s">
        <v>480</v>
      </c>
      <c r="AB79" t="s">
        <v>63</v>
      </c>
      <c r="AC79" t="s">
        <v>20</v>
      </c>
      <c r="AD79" t="s">
        <v>8</v>
      </c>
      <c r="AE79" t="s">
        <v>24</v>
      </c>
      <c r="AF79" t="s">
        <v>14</v>
      </c>
      <c r="AG79" t="s">
        <v>245</v>
      </c>
      <c r="AH79" t="s">
        <v>8</v>
      </c>
      <c r="AI79" t="s">
        <v>8</v>
      </c>
      <c r="AJ79" t="s">
        <v>8</v>
      </c>
      <c r="AK79" s="2">
        <v>45736</v>
      </c>
      <c r="AL79" s="2"/>
      <c r="AM79" t="s">
        <v>8</v>
      </c>
    </row>
    <row r="80" spans="1:39" outlineLevel="2" x14ac:dyDescent="0.25">
      <c r="A80" t="s">
        <v>34</v>
      </c>
      <c r="B80" t="s">
        <v>1</v>
      </c>
      <c r="C80" t="s">
        <v>2</v>
      </c>
      <c r="D80" t="s">
        <v>3</v>
      </c>
      <c r="E80" t="s">
        <v>4</v>
      </c>
      <c r="F80" t="s">
        <v>44</v>
      </c>
      <c r="G80" s="2">
        <v>45736</v>
      </c>
      <c r="H80" t="s">
        <v>248</v>
      </c>
      <c r="I80" t="s">
        <v>61</v>
      </c>
      <c r="J80" s="2">
        <v>45736</v>
      </c>
      <c r="K80" s="2">
        <v>45737</v>
      </c>
      <c r="L80" t="s">
        <v>24</v>
      </c>
      <c r="M80" t="s">
        <v>249</v>
      </c>
      <c r="N80" t="s">
        <v>9</v>
      </c>
      <c r="O80" t="s">
        <v>10</v>
      </c>
      <c r="P80" t="s">
        <v>8</v>
      </c>
      <c r="Q80" t="s">
        <v>25</v>
      </c>
      <c r="R80" t="s">
        <v>59</v>
      </c>
      <c r="S80" s="3">
        <v>4.72</v>
      </c>
      <c r="T80" t="s">
        <v>12</v>
      </c>
      <c r="U80" s="3">
        <v>409.18</v>
      </c>
      <c r="V80" s="3" t="e">
        <f>VLOOKUP(M80,[1]working!$C$1:$E$65536,3,0)</f>
        <v>#N/A</v>
      </c>
      <c r="W80" s="3" t="e">
        <f t="shared" si="4"/>
        <v>#N/A</v>
      </c>
      <c r="X80" s="3"/>
      <c r="Y80" s="3" t="e">
        <f>VLOOKUP(M80,[1]working!$C:$F,4,0)</f>
        <v>#N/A</v>
      </c>
      <c r="Z80" s="3"/>
      <c r="AA80" s="3" t="s">
        <v>480</v>
      </c>
      <c r="AB80" t="s">
        <v>63</v>
      </c>
      <c r="AC80" t="s">
        <v>20</v>
      </c>
      <c r="AD80" t="s">
        <v>8</v>
      </c>
      <c r="AE80" t="s">
        <v>24</v>
      </c>
      <c r="AF80" t="s">
        <v>14</v>
      </c>
      <c r="AG80" t="s">
        <v>245</v>
      </c>
      <c r="AH80" t="s">
        <v>8</v>
      </c>
      <c r="AI80" t="s">
        <v>8</v>
      </c>
      <c r="AJ80" t="s">
        <v>8</v>
      </c>
      <c r="AK80" s="2">
        <v>45736</v>
      </c>
      <c r="AL80" s="2"/>
      <c r="AM80" t="s">
        <v>8</v>
      </c>
    </row>
    <row r="81" spans="1:39" outlineLevel="2" x14ac:dyDescent="0.25">
      <c r="A81" t="s">
        <v>34</v>
      </c>
      <c r="B81" t="s">
        <v>1</v>
      </c>
      <c r="C81" t="s">
        <v>2</v>
      </c>
      <c r="D81" t="s">
        <v>3</v>
      </c>
      <c r="E81" t="s">
        <v>4</v>
      </c>
      <c r="F81" t="s">
        <v>44</v>
      </c>
      <c r="G81" s="2">
        <v>45736</v>
      </c>
      <c r="H81" t="s">
        <v>250</v>
      </c>
      <c r="I81" t="s">
        <v>61</v>
      </c>
      <c r="J81" s="2">
        <v>45736</v>
      </c>
      <c r="K81" s="2">
        <v>45737</v>
      </c>
      <c r="L81" t="s">
        <v>24</v>
      </c>
      <c r="M81" t="s">
        <v>251</v>
      </c>
      <c r="N81" t="s">
        <v>9</v>
      </c>
      <c r="O81" t="s">
        <v>10</v>
      </c>
      <c r="P81" t="s">
        <v>8</v>
      </c>
      <c r="Q81" t="s">
        <v>25</v>
      </c>
      <c r="R81" t="s">
        <v>59</v>
      </c>
      <c r="S81" s="3">
        <v>4.72</v>
      </c>
      <c r="T81" t="s">
        <v>12</v>
      </c>
      <c r="U81" s="3">
        <v>409.18</v>
      </c>
      <c r="V81" s="3" t="e">
        <f>VLOOKUP(M81,[1]working!$C$1:$E$65536,3,0)</f>
        <v>#N/A</v>
      </c>
      <c r="W81" s="3" t="e">
        <f t="shared" si="4"/>
        <v>#N/A</v>
      </c>
      <c r="X81" s="3"/>
      <c r="Y81" s="3" t="e">
        <f>VLOOKUP(M81,[1]working!$C:$F,4,0)</f>
        <v>#N/A</v>
      </c>
      <c r="Z81" s="3"/>
      <c r="AA81" s="3" t="s">
        <v>480</v>
      </c>
      <c r="AB81" t="s">
        <v>63</v>
      </c>
      <c r="AC81" t="s">
        <v>20</v>
      </c>
      <c r="AD81" t="s">
        <v>8</v>
      </c>
      <c r="AE81" t="s">
        <v>24</v>
      </c>
      <c r="AF81" t="s">
        <v>14</v>
      </c>
      <c r="AG81" t="s">
        <v>245</v>
      </c>
      <c r="AH81" t="s">
        <v>8</v>
      </c>
      <c r="AI81" t="s">
        <v>8</v>
      </c>
      <c r="AJ81" t="s">
        <v>8</v>
      </c>
      <c r="AK81" s="2">
        <v>45736</v>
      </c>
      <c r="AL81" s="2"/>
      <c r="AM81" t="s">
        <v>8</v>
      </c>
    </row>
    <row r="82" spans="1:39" outlineLevel="2" x14ac:dyDescent="0.25">
      <c r="A82" t="s">
        <v>34</v>
      </c>
      <c r="B82" t="s">
        <v>1</v>
      </c>
      <c r="C82" t="s">
        <v>2</v>
      </c>
      <c r="D82" t="s">
        <v>3</v>
      </c>
      <c r="E82" t="s">
        <v>4</v>
      </c>
      <c r="F82" t="s">
        <v>44</v>
      </c>
      <c r="G82" s="2">
        <v>45736</v>
      </c>
      <c r="H82" t="s">
        <v>252</v>
      </c>
      <c r="I82" t="s">
        <v>61</v>
      </c>
      <c r="J82" s="2">
        <v>45736</v>
      </c>
      <c r="K82" s="2">
        <v>45737</v>
      </c>
      <c r="L82" t="s">
        <v>24</v>
      </c>
      <c r="M82" t="s">
        <v>253</v>
      </c>
      <c r="N82" t="s">
        <v>9</v>
      </c>
      <c r="O82" t="s">
        <v>10</v>
      </c>
      <c r="P82" t="s">
        <v>8</v>
      </c>
      <c r="Q82" t="s">
        <v>25</v>
      </c>
      <c r="R82" t="s">
        <v>59</v>
      </c>
      <c r="S82" s="3">
        <v>81.42</v>
      </c>
      <c r="T82" t="s">
        <v>12</v>
      </c>
      <c r="U82" s="3">
        <v>7058.4</v>
      </c>
      <c r="V82" s="3" t="e">
        <f>VLOOKUP(M82,[1]working!$C$1:$E$65536,3,0)</f>
        <v>#N/A</v>
      </c>
      <c r="W82" s="3" t="e">
        <f t="shared" si="4"/>
        <v>#N/A</v>
      </c>
      <c r="X82" s="3"/>
      <c r="Y82" s="3" t="e">
        <f>VLOOKUP(M82,[1]working!$C:$F,4,0)</f>
        <v>#N/A</v>
      </c>
      <c r="Z82" s="3"/>
      <c r="AA82" s="3" t="s">
        <v>480</v>
      </c>
      <c r="AB82" t="s">
        <v>63</v>
      </c>
      <c r="AC82" t="s">
        <v>20</v>
      </c>
      <c r="AD82" t="s">
        <v>8</v>
      </c>
      <c r="AE82" t="s">
        <v>24</v>
      </c>
      <c r="AF82" t="s">
        <v>14</v>
      </c>
      <c r="AG82" t="s">
        <v>254</v>
      </c>
      <c r="AH82" t="s">
        <v>8</v>
      </c>
      <c r="AI82" t="s">
        <v>8</v>
      </c>
      <c r="AJ82" t="s">
        <v>8</v>
      </c>
      <c r="AK82" s="2">
        <v>45736</v>
      </c>
      <c r="AL82" s="2"/>
      <c r="AM82" t="s">
        <v>8</v>
      </c>
    </row>
    <row r="83" spans="1:39" outlineLevel="2" x14ac:dyDescent="0.25">
      <c r="A83" t="s">
        <v>34</v>
      </c>
      <c r="B83" t="s">
        <v>1</v>
      </c>
      <c r="C83" t="s">
        <v>2</v>
      </c>
      <c r="D83" t="s">
        <v>3</v>
      </c>
      <c r="E83" t="s">
        <v>4</v>
      </c>
      <c r="F83" t="s">
        <v>44</v>
      </c>
      <c r="G83" s="2">
        <v>45736</v>
      </c>
      <c r="H83" t="s">
        <v>255</v>
      </c>
      <c r="I83" t="s">
        <v>61</v>
      </c>
      <c r="J83" s="2">
        <v>45736</v>
      </c>
      <c r="K83" s="2">
        <v>45737</v>
      </c>
      <c r="L83" t="s">
        <v>24</v>
      </c>
      <c r="M83" t="s">
        <v>256</v>
      </c>
      <c r="N83" t="s">
        <v>9</v>
      </c>
      <c r="O83" t="s">
        <v>10</v>
      </c>
      <c r="P83" t="s">
        <v>8</v>
      </c>
      <c r="Q83" t="s">
        <v>25</v>
      </c>
      <c r="R83" t="s">
        <v>59</v>
      </c>
      <c r="S83" s="3">
        <v>13.33</v>
      </c>
      <c r="T83" t="s">
        <v>12</v>
      </c>
      <c r="U83" s="3">
        <v>1155.5899999999999</v>
      </c>
      <c r="V83" s="3" t="e">
        <f>VLOOKUP(M83,[1]working!$C$1:$E$65536,3,0)</f>
        <v>#N/A</v>
      </c>
      <c r="W83" s="3" t="e">
        <f t="shared" si="4"/>
        <v>#N/A</v>
      </c>
      <c r="X83" s="3"/>
      <c r="Y83" s="3" t="e">
        <f>VLOOKUP(M83,[1]working!$C:$F,4,0)</f>
        <v>#N/A</v>
      </c>
      <c r="Z83" s="3"/>
      <c r="AA83" s="3" t="s">
        <v>480</v>
      </c>
      <c r="AB83" t="s">
        <v>63</v>
      </c>
      <c r="AC83" t="s">
        <v>20</v>
      </c>
      <c r="AD83" t="s">
        <v>8</v>
      </c>
      <c r="AE83" t="s">
        <v>24</v>
      </c>
      <c r="AF83" t="s">
        <v>14</v>
      </c>
      <c r="AG83" t="s">
        <v>257</v>
      </c>
      <c r="AH83" t="s">
        <v>8</v>
      </c>
      <c r="AI83" t="s">
        <v>8</v>
      </c>
      <c r="AJ83" t="s">
        <v>8</v>
      </c>
      <c r="AK83" s="2">
        <v>45736</v>
      </c>
      <c r="AL83" s="2"/>
      <c r="AM83" t="s">
        <v>8</v>
      </c>
    </row>
    <row r="84" spans="1:39" outlineLevel="2" x14ac:dyDescent="0.25">
      <c r="A84" t="s">
        <v>34</v>
      </c>
      <c r="B84" t="s">
        <v>1</v>
      </c>
      <c r="C84" t="s">
        <v>2</v>
      </c>
      <c r="D84" t="s">
        <v>3</v>
      </c>
      <c r="E84" t="s">
        <v>4</v>
      </c>
      <c r="F84" t="s">
        <v>44</v>
      </c>
      <c r="G84" s="2">
        <v>45736</v>
      </c>
      <c r="H84" t="s">
        <v>258</v>
      </c>
      <c r="I84" t="s">
        <v>61</v>
      </c>
      <c r="J84" s="2">
        <v>45736</v>
      </c>
      <c r="K84" s="2">
        <v>45737</v>
      </c>
      <c r="L84" t="s">
        <v>24</v>
      </c>
      <c r="M84" t="s">
        <v>259</v>
      </c>
      <c r="N84" t="s">
        <v>9</v>
      </c>
      <c r="O84" t="s">
        <v>10</v>
      </c>
      <c r="P84" t="s">
        <v>8</v>
      </c>
      <c r="Q84" t="s">
        <v>25</v>
      </c>
      <c r="R84" t="s">
        <v>59</v>
      </c>
      <c r="S84" s="3">
        <v>74.41</v>
      </c>
      <c r="T84" t="s">
        <v>12</v>
      </c>
      <c r="U84" s="3">
        <v>6450.7</v>
      </c>
      <c r="V84" s="3" t="e">
        <f>VLOOKUP(M84,[1]working!$C$1:$E$65536,3,0)</f>
        <v>#N/A</v>
      </c>
      <c r="W84" s="3" t="e">
        <f t="shared" si="4"/>
        <v>#N/A</v>
      </c>
      <c r="X84" s="3"/>
      <c r="Y84" s="3" t="e">
        <f>VLOOKUP(M84,[1]working!$C:$F,4,0)</f>
        <v>#N/A</v>
      </c>
      <c r="Z84" s="3"/>
      <c r="AA84" s="3" t="s">
        <v>480</v>
      </c>
      <c r="AB84" t="s">
        <v>63</v>
      </c>
      <c r="AC84" t="s">
        <v>20</v>
      </c>
      <c r="AD84" t="s">
        <v>8</v>
      </c>
      <c r="AE84" t="s">
        <v>24</v>
      </c>
      <c r="AF84" t="s">
        <v>14</v>
      </c>
      <c r="AG84" t="s">
        <v>260</v>
      </c>
      <c r="AH84" t="s">
        <v>8</v>
      </c>
      <c r="AI84" t="s">
        <v>8</v>
      </c>
      <c r="AJ84" t="s">
        <v>8</v>
      </c>
      <c r="AK84" s="2">
        <v>45736</v>
      </c>
      <c r="AL84" s="2"/>
      <c r="AM84" t="s">
        <v>8</v>
      </c>
    </row>
    <row r="85" spans="1:39" outlineLevel="2" x14ac:dyDescent="0.25">
      <c r="A85" t="s">
        <v>34</v>
      </c>
      <c r="B85" t="s">
        <v>1</v>
      </c>
      <c r="C85" t="s">
        <v>2</v>
      </c>
      <c r="D85" t="s">
        <v>3</v>
      </c>
      <c r="E85" t="s">
        <v>4</v>
      </c>
      <c r="F85" t="s">
        <v>44</v>
      </c>
      <c r="G85" s="2">
        <v>45736</v>
      </c>
      <c r="H85" t="s">
        <v>261</v>
      </c>
      <c r="I85" t="s">
        <v>61</v>
      </c>
      <c r="J85" s="2">
        <v>45736</v>
      </c>
      <c r="K85" s="2">
        <v>45737</v>
      </c>
      <c r="L85" t="s">
        <v>24</v>
      </c>
      <c r="M85" t="s">
        <v>262</v>
      </c>
      <c r="N85" t="s">
        <v>9</v>
      </c>
      <c r="O85" t="s">
        <v>10</v>
      </c>
      <c r="P85" t="s">
        <v>8</v>
      </c>
      <c r="Q85" t="s">
        <v>25</v>
      </c>
      <c r="R85" t="s">
        <v>59</v>
      </c>
      <c r="S85" s="3">
        <v>24.78</v>
      </c>
      <c r="T85" t="s">
        <v>12</v>
      </c>
      <c r="U85" s="3">
        <v>2148.21</v>
      </c>
      <c r="V85" s="3" t="e">
        <f>VLOOKUP(M85,[1]working!$C$1:$E$65536,3,0)</f>
        <v>#N/A</v>
      </c>
      <c r="W85" s="3" t="e">
        <f t="shared" si="4"/>
        <v>#N/A</v>
      </c>
      <c r="X85" s="3"/>
      <c r="Y85" s="3" t="e">
        <f>VLOOKUP(M85,[1]working!$C:$F,4,0)</f>
        <v>#N/A</v>
      </c>
      <c r="Z85" s="3"/>
      <c r="AA85" s="3" t="s">
        <v>480</v>
      </c>
      <c r="AB85" t="s">
        <v>63</v>
      </c>
      <c r="AC85" t="s">
        <v>20</v>
      </c>
      <c r="AD85" t="s">
        <v>8</v>
      </c>
      <c r="AE85" t="s">
        <v>24</v>
      </c>
      <c r="AF85" t="s">
        <v>14</v>
      </c>
      <c r="AG85" t="s">
        <v>245</v>
      </c>
      <c r="AH85" t="s">
        <v>8</v>
      </c>
      <c r="AI85" t="s">
        <v>8</v>
      </c>
      <c r="AJ85" t="s">
        <v>8</v>
      </c>
      <c r="AK85" s="2">
        <v>45736</v>
      </c>
      <c r="AL85" s="2"/>
      <c r="AM85" t="s">
        <v>8</v>
      </c>
    </row>
    <row r="86" spans="1:39" outlineLevel="2" x14ac:dyDescent="0.25">
      <c r="A86" t="s">
        <v>34</v>
      </c>
      <c r="B86" t="s">
        <v>1</v>
      </c>
      <c r="C86" t="s">
        <v>2</v>
      </c>
      <c r="D86" t="s">
        <v>3</v>
      </c>
      <c r="E86" t="s">
        <v>4</v>
      </c>
      <c r="F86" t="s">
        <v>44</v>
      </c>
      <c r="G86" s="2">
        <v>45736</v>
      </c>
      <c r="H86" t="s">
        <v>263</v>
      </c>
      <c r="I86" t="s">
        <v>61</v>
      </c>
      <c r="J86" s="2">
        <v>45736</v>
      </c>
      <c r="K86" s="2">
        <v>45737</v>
      </c>
      <c r="L86" t="s">
        <v>24</v>
      </c>
      <c r="M86" t="s">
        <v>264</v>
      </c>
      <c r="N86" t="s">
        <v>9</v>
      </c>
      <c r="O86" t="s">
        <v>10</v>
      </c>
      <c r="P86" t="s">
        <v>8</v>
      </c>
      <c r="Q86" t="s">
        <v>25</v>
      </c>
      <c r="R86" t="s">
        <v>59</v>
      </c>
      <c r="S86" s="3">
        <v>8.25</v>
      </c>
      <c r="T86" t="s">
        <v>12</v>
      </c>
      <c r="U86" s="3">
        <v>715.2</v>
      </c>
      <c r="V86" s="3" t="e">
        <f>VLOOKUP(M86,[1]working!$C$1:$E$65536,3,0)</f>
        <v>#N/A</v>
      </c>
      <c r="W86" s="3" t="e">
        <f t="shared" si="4"/>
        <v>#N/A</v>
      </c>
      <c r="X86" s="3"/>
      <c r="Y86" s="3" t="e">
        <f>VLOOKUP(M86,[1]working!$C:$F,4,0)</f>
        <v>#N/A</v>
      </c>
      <c r="Z86" s="3"/>
      <c r="AA86" s="3" t="s">
        <v>480</v>
      </c>
      <c r="AB86" t="s">
        <v>63</v>
      </c>
      <c r="AC86" t="s">
        <v>20</v>
      </c>
      <c r="AD86" t="s">
        <v>8</v>
      </c>
      <c r="AE86" t="s">
        <v>24</v>
      </c>
      <c r="AF86" t="s">
        <v>14</v>
      </c>
      <c r="AG86" t="s">
        <v>265</v>
      </c>
      <c r="AH86" t="s">
        <v>8</v>
      </c>
      <c r="AI86" t="s">
        <v>8</v>
      </c>
      <c r="AJ86" t="s">
        <v>8</v>
      </c>
      <c r="AK86" s="2">
        <v>45736</v>
      </c>
      <c r="AL86" s="2"/>
      <c r="AM86" t="s">
        <v>8</v>
      </c>
    </row>
    <row r="87" spans="1:39" outlineLevel="2" x14ac:dyDescent="0.25">
      <c r="A87" t="s">
        <v>34</v>
      </c>
      <c r="B87" t="s">
        <v>1</v>
      </c>
      <c r="C87" t="s">
        <v>2</v>
      </c>
      <c r="D87" t="s">
        <v>3</v>
      </c>
      <c r="E87" t="s">
        <v>4</v>
      </c>
      <c r="F87" t="s">
        <v>44</v>
      </c>
      <c r="G87" s="2">
        <v>45736</v>
      </c>
      <c r="H87" t="s">
        <v>266</v>
      </c>
      <c r="I87" t="s">
        <v>61</v>
      </c>
      <c r="J87" s="2">
        <v>45736</v>
      </c>
      <c r="K87" s="2">
        <v>45737</v>
      </c>
      <c r="L87" t="s">
        <v>24</v>
      </c>
      <c r="M87" t="s">
        <v>267</v>
      </c>
      <c r="N87" t="s">
        <v>9</v>
      </c>
      <c r="O87" t="s">
        <v>10</v>
      </c>
      <c r="P87" t="s">
        <v>8</v>
      </c>
      <c r="Q87" t="s">
        <v>25</v>
      </c>
      <c r="R87" t="s">
        <v>59</v>
      </c>
      <c r="S87" s="3">
        <v>31.53</v>
      </c>
      <c r="T87" t="s">
        <v>12</v>
      </c>
      <c r="U87" s="3">
        <v>2733.38</v>
      </c>
      <c r="V87" s="3" t="e">
        <f>VLOOKUP(M87,[1]working!$C$1:$E$65536,3,0)</f>
        <v>#N/A</v>
      </c>
      <c r="W87" s="3" t="e">
        <f t="shared" si="4"/>
        <v>#N/A</v>
      </c>
      <c r="X87" s="3"/>
      <c r="Y87" s="3" t="e">
        <f>VLOOKUP(M87,[1]working!$C:$F,4,0)</f>
        <v>#N/A</v>
      </c>
      <c r="Z87" s="3"/>
      <c r="AA87" s="3" t="s">
        <v>480</v>
      </c>
      <c r="AB87" t="s">
        <v>63</v>
      </c>
      <c r="AC87" t="s">
        <v>20</v>
      </c>
      <c r="AD87" t="s">
        <v>8</v>
      </c>
      <c r="AE87" t="s">
        <v>24</v>
      </c>
      <c r="AF87" t="s">
        <v>14</v>
      </c>
      <c r="AG87" t="s">
        <v>245</v>
      </c>
      <c r="AH87" t="s">
        <v>8</v>
      </c>
      <c r="AI87" t="s">
        <v>8</v>
      </c>
      <c r="AJ87" t="s">
        <v>8</v>
      </c>
      <c r="AK87" s="2">
        <v>45736</v>
      </c>
      <c r="AL87" s="2"/>
      <c r="AM87" t="s">
        <v>8</v>
      </c>
    </row>
    <row r="88" spans="1:39" outlineLevel="2" x14ac:dyDescent="0.25">
      <c r="A88" t="s">
        <v>34</v>
      </c>
      <c r="B88" t="s">
        <v>1</v>
      </c>
      <c r="C88" t="s">
        <v>2</v>
      </c>
      <c r="D88" t="s">
        <v>3</v>
      </c>
      <c r="E88" t="s">
        <v>4</v>
      </c>
      <c r="F88" t="s">
        <v>44</v>
      </c>
      <c r="G88" s="2">
        <v>45736</v>
      </c>
      <c r="H88" t="s">
        <v>268</v>
      </c>
      <c r="I88" t="s">
        <v>61</v>
      </c>
      <c r="J88" s="2">
        <v>45736</v>
      </c>
      <c r="K88" s="2">
        <v>45737</v>
      </c>
      <c r="L88" t="s">
        <v>24</v>
      </c>
      <c r="M88" t="s">
        <v>269</v>
      </c>
      <c r="N88" t="s">
        <v>9</v>
      </c>
      <c r="O88" t="s">
        <v>10</v>
      </c>
      <c r="P88" t="s">
        <v>8</v>
      </c>
      <c r="Q88" t="s">
        <v>25</v>
      </c>
      <c r="R88" t="s">
        <v>59</v>
      </c>
      <c r="S88" s="3">
        <v>4.72</v>
      </c>
      <c r="T88" t="s">
        <v>12</v>
      </c>
      <c r="U88" s="3">
        <v>409.18</v>
      </c>
      <c r="V88" s="3" t="e">
        <f>VLOOKUP(M88,[1]working!$C$1:$E$65536,3,0)</f>
        <v>#N/A</v>
      </c>
      <c r="W88" s="3" t="e">
        <f t="shared" si="4"/>
        <v>#N/A</v>
      </c>
      <c r="X88" s="3"/>
      <c r="Y88" s="3" t="e">
        <f>VLOOKUP(M88,[1]working!$C:$F,4,0)</f>
        <v>#N/A</v>
      </c>
      <c r="Z88" s="3"/>
      <c r="AA88" s="3" t="s">
        <v>480</v>
      </c>
      <c r="AB88" t="s">
        <v>63</v>
      </c>
      <c r="AC88" t="s">
        <v>20</v>
      </c>
      <c r="AD88" t="s">
        <v>8</v>
      </c>
      <c r="AE88" t="s">
        <v>24</v>
      </c>
      <c r="AF88" t="s">
        <v>14</v>
      </c>
      <c r="AG88" t="s">
        <v>245</v>
      </c>
      <c r="AH88" t="s">
        <v>8</v>
      </c>
      <c r="AI88" t="s">
        <v>8</v>
      </c>
      <c r="AJ88" t="s">
        <v>8</v>
      </c>
      <c r="AK88" s="2">
        <v>45736</v>
      </c>
      <c r="AL88" s="2"/>
      <c r="AM88" t="s">
        <v>8</v>
      </c>
    </row>
    <row r="89" spans="1:39" outlineLevel="2" x14ac:dyDescent="0.25">
      <c r="A89" t="s">
        <v>34</v>
      </c>
      <c r="B89" t="s">
        <v>1</v>
      </c>
      <c r="C89" t="s">
        <v>2</v>
      </c>
      <c r="D89" t="s">
        <v>3</v>
      </c>
      <c r="E89" t="s">
        <v>4</v>
      </c>
      <c r="F89" t="s">
        <v>35</v>
      </c>
      <c r="G89" s="2">
        <v>45889</v>
      </c>
      <c r="H89" t="s">
        <v>270</v>
      </c>
      <c r="I89" t="s">
        <v>61</v>
      </c>
      <c r="J89" s="2">
        <v>45889</v>
      </c>
      <c r="K89" s="2">
        <v>45891</v>
      </c>
      <c r="L89" t="s">
        <v>24</v>
      </c>
      <c r="M89" t="s">
        <v>271</v>
      </c>
      <c r="N89" t="s">
        <v>9</v>
      </c>
      <c r="O89" t="s">
        <v>10</v>
      </c>
      <c r="P89" t="s">
        <v>8</v>
      </c>
      <c r="Q89" t="s">
        <v>25</v>
      </c>
      <c r="R89" t="s">
        <v>59</v>
      </c>
      <c r="S89" s="3">
        <v>221.43</v>
      </c>
      <c r="T89" t="s">
        <v>12</v>
      </c>
      <c r="U89" s="3">
        <v>19049.650000000001</v>
      </c>
      <c r="V89" s="3">
        <f>VLOOKUP(M89,[1]working!$C$1:$E$65536,3,0)</f>
        <v>16144.12</v>
      </c>
      <c r="W89" s="3">
        <f t="shared" si="4"/>
        <v>2905.5300000000007</v>
      </c>
      <c r="X89" s="3">
        <f>VLOOKUP(M89,[1]working!$C$1:$H$65536,6,0)</f>
        <v>2906</v>
      </c>
      <c r="Y89" s="3">
        <f>VLOOKUP(M89,[1]working!$C:$F,4,0)</f>
        <v>-1614</v>
      </c>
      <c r="Z89" s="17">
        <f t="shared" ref="Z89:Z91" si="5">W89-X89</f>
        <v>-0.46999999999934516</v>
      </c>
      <c r="AA89" s="17" t="s">
        <v>477</v>
      </c>
      <c r="AB89" t="s">
        <v>63</v>
      </c>
      <c r="AC89" t="s">
        <v>27</v>
      </c>
      <c r="AD89" t="s">
        <v>8</v>
      </c>
      <c r="AE89" t="s">
        <v>24</v>
      </c>
      <c r="AF89" t="s">
        <v>14</v>
      </c>
      <c r="AG89" t="s">
        <v>272</v>
      </c>
      <c r="AH89" t="s">
        <v>8</v>
      </c>
      <c r="AI89" t="s">
        <v>8</v>
      </c>
      <c r="AJ89" t="s">
        <v>8</v>
      </c>
      <c r="AK89" s="2">
        <v>45889</v>
      </c>
      <c r="AL89" s="2"/>
      <c r="AM89" t="s">
        <v>8</v>
      </c>
    </row>
    <row r="90" spans="1:39" outlineLevel="2" x14ac:dyDescent="0.25">
      <c r="A90" t="s">
        <v>34</v>
      </c>
      <c r="B90" t="s">
        <v>1</v>
      </c>
      <c r="C90" t="s">
        <v>2</v>
      </c>
      <c r="D90" t="s">
        <v>3</v>
      </c>
      <c r="E90" t="s">
        <v>4</v>
      </c>
      <c r="F90" t="s">
        <v>35</v>
      </c>
      <c r="G90" s="2">
        <v>45889</v>
      </c>
      <c r="H90" t="s">
        <v>273</v>
      </c>
      <c r="I90" t="s">
        <v>61</v>
      </c>
      <c r="J90" s="2">
        <v>45889</v>
      </c>
      <c r="K90" s="2">
        <v>45891</v>
      </c>
      <c r="L90" t="s">
        <v>24</v>
      </c>
      <c r="M90" t="s">
        <v>274</v>
      </c>
      <c r="N90" t="s">
        <v>9</v>
      </c>
      <c r="O90" t="s">
        <v>10</v>
      </c>
      <c r="P90" t="s">
        <v>8</v>
      </c>
      <c r="Q90" t="s">
        <v>25</v>
      </c>
      <c r="R90" t="s">
        <v>59</v>
      </c>
      <c r="S90" s="3">
        <v>45.89</v>
      </c>
      <c r="T90" t="s">
        <v>12</v>
      </c>
      <c r="U90" s="3">
        <v>3947.92</v>
      </c>
      <c r="V90" s="3">
        <f>VLOOKUP(M90,[1]working!$C$1:$E$65536,3,0)</f>
        <v>3345.77</v>
      </c>
      <c r="W90" s="3">
        <f t="shared" si="4"/>
        <v>602.15000000000009</v>
      </c>
      <c r="X90" s="3">
        <f>VLOOKUP(M90,[1]working!$C$1:$H$65536,6,0)</f>
        <v>602</v>
      </c>
      <c r="Y90" s="3">
        <f>VLOOKUP(M90,[1]working!$C:$F,4,0)</f>
        <v>-67</v>
      </c>
      <c r="Z90" s="17">
        <f t="shared" si="5"/>
        <v>0.15000000000009095</v>
      </c>
      <c r="AA90" s="17" t="s">
        <v>477</v>
      </c>
      <c r="AB90" t="s">
        <v>63</v>
      </c>
      <c r="AC90" t="s">
        <v>27</v>
      </c>
      <c r="AD90" t="s">
        <v>8</v>
      </c>
      <c r="AE90" t="s">
        <v>24</v>
      </c>
      <c r="AF90" t="s">
        <v>14</v>
      </c>
      <c r="AG90" t="s">
        <v>275</v>
      </c>
      <c r="AH90" t="s">
        <v>8</v>
      </c>
      <c r="AI90" t="s">
        <v>8</v>
      </c>
      <c r="AJ90" t="s">
        <v>8</v>
      </c>
      <c r="AK90" s="2">
        <v>45889</v>
      </c>
      <c r="AL90" s="2"/>
      <c r="AM90" t="s">
        <v>8</v>
      </c>
    </row>
    <row r="91" spans="1:39" outlineLevel="2" x14ac:dyDescent="0.25">
      <c r="A91" t="s">
        <v>34</v>
      </c>
      <c r="B91" t="s">
        <v>1</v>
      </c>
      <c r="C91" t="s">
        <v>2</v>
      </c>
      <c r="D91" t="s">
        <v>3</v>
      </c>
      <c r="E91" t="s">
        <v>4</v>
      </c>
      <c r="F91" t="s">
        <v>35</v>
      </c>
      <c r="G91" s="2">
        <v>45889</v>
      </c>
      <c r="H91" t="s">
        <v>276</v>
      </c>
      <c r="I91" t="s">
        <v>61</v>
      </c>
      <c r="J91" s="2">
        <v>45889</v>
      </c>
      <c r="K91" s="2">
        <v>45891</v>
      </c>
      <c r="L91" t="s">
        <v>24</v>
      </c>
      <c r="M91" t="s">
        <v>277</v>
      </c>
      <c r="N91" t="s">
        <v>9</v>
      </c>
      <c r="O91" t="s">
        <v>10</v>
      </c>
      <c r="P91" t="s">
        <v>8</v>
      </c>
      <c r="Q91" t="s">
        <v>25</v>
      </c>
      <c r="R91" t="s">
        <v>59</v>
      </c>
      <c r="S91" s="3">
        <v>31.26</v>
      </c>
      <c r="T91" t="s">
        <v>12</v>
      </c>
      <c r="U91" s="3">
        <v>2689.3</v>
      </c>
      <c r="V91" s="3">
        <f>VLOOKUP(M91,[1]working!$C$1:$E$65536,3,0)</f>
        <v>2278.77</v>
      </c>
      <c r="W91" s="3">
        <f t="shared" si="4"/>
        <v>410.5300000000002</v>
      </c>
      <c r="X91" s="3">
        <f>VLOOKUP(M91,[1]working!$C$1:$H$65536,6,0)</f>
        <v>410</v>
      </c>
      <c r="Y91" s="3">
        <f>VLOOKUP(M91,[1]working!$C:$F,4,0)</f>
        <v>-46</v>
      </c>
      <c r="Z91" s="17">
        <f t="shared" si="5"/>
        <v>0.53000000000020009</v>
      </c>
      <c r="AA91" s="17" t="s">
        <v>477</v>
      </c>
      <c r="AB91" t="s">
        <v>63</v>
      </c>
      <c r="AC91" t="s">
        <v>27</v>
      </c>
      <c r="AD91" t="s">
        <v>8</v>
      </c>
      <c r="AE91" t="s">
        <v>24</v>
      </c>
      <c r="AF91" t="s">
        <v>14</v>
      </c>
      <c r="AG91" t="s">
        <v>278</v>
      </c>
      <c r="AH91" t="s">
        <v>8</v>
      </c>
      <c r="AI91" t="s">
        <v>8</v>
      </c>
      <c r="AJ91" t="s">
        <v>8</v>
      </c>
      <c r="AK91" s="2">
        <v>45889</v>
      </c>
      <c r="AL91" s="2"/>
      <c r="AM91" t="s">
        <v>8</v>
      </c>
    </row>
    <row r="92" spans="1:39" outlineLevel="2" x14ac:dyDescent="0.25">
      <c r="A92" t="s">
        <v>34</v>
      </c>
      <c r="B92" t="s">
        <v>1</v>
      </c>
      <c r="C92" t="s">
        <v>2</v>
      </c>
      <c r="D92" t="s">
        <v>3</v>
      </c>
      <c r="E92" t="s">
        <v>4</v>
      </c>
      <c r="F92" t="s">
        <v>279</v>
      </c>
      <c r="G92" s="2">
        <v>45999</v>
      </c>
      <c r="H92" t="s">
        <v>280</v>
      </c>
      <c r="I92" t="s">
        <v>61</v>
      </c>
      <c r="J92" s="2">
        <v>45999</v>
      </c>
      <c r="K92" s="2">
        <v>46000</v>
      </c>
      <c r="L92" t="s">
        <v>24</v>
      </c>
      <c r="M92" t="s">
        <v>281</v>
      </c>
      <c r="N92" t="s">
        <v>9</v>
      </c>
      <c r="O92" t="s">
        <v>10</v>
      </c>
      <c r="P92" t="s">
        <v>8</v>
      </c>
      <c r="Q92" t="s">
        <v>25</v>
      </c>
      <c r="R92" t="s">
        <v>59</v>
      </c>
      <c r="S92" s="3">
        <v>1011.7</v>
      </c>
      <c r="T92" t="s">
        <v>12</v>
      </c>
      <c r="U92" s="3">
        <v>89737.93</v>
      </c>
      <c r="V92" s="3" t="e">
        <f>VLOOKUP(M92,[1]working!$C$1:$E$65536,3,0)</f>
        <v>#N/A</v>
      </c>
      <c r="W92" s="3" t="e">
        <f t="shared" si="4"/>
        <v>#N/A</v>
      </c>
      <c r="X92" s="3"/>
      <c r="Y92" s="3" t="e">
        <f>VLOOKUP(M92,[1]working!$C:$F,4,0)</f>
        <v>#N/A</v>
      </c>
      <c r="Z92" s="3"/>
      <c r="AA92" s="3" t="s">
        <v>480</v>
      </c>
      <c r="AB92" t="s">
        <v>63</v>
      </c>
      <c r="AC92" t="s">
        <v>27</v>
      </c>
      <c r="AD92" t="s">
        <v>8</v>
      </c>
      <c r="AE92" t="s">
        <v>282</v>
      </c>
      <c r="AF92" t="s">
        <v>14</v>
      </c>
      <c r="AG92" t="s">
        <v>283</v>
      </c>
      <c r="AH92" t="s">
        <v>8</v>
      </c>
      <c r="AI92" t="s">
        <v>8</v>
      </c>
      <c r="AJ92" t="s">
        <v>8</v>
      </c>
      <c r="AK92" s="2">
        <v>45999</v>
      </c>
      <c r="AL92" s="2"/>
      <c r="AM92" t="s">
        <v>8</v>
      </c>
    </row>
    <row r="93" spans="1:39" outlineLevel="2" x14ac:dyDescent="0.25">
      <c r="A93" t="s">
        <v>34</v>
      </c>
      <c r="B93" t="s">
        <v>1</v>
      </c>
      <c r="C93" t="s">
        <v>2</v>
      </c>
      <c r="D93" t="s">
        <v>3</v>
      </c>
      <c r="E93" t="s">
        <v>4</v>
      </c>
      <c r="F93" t="s">
        <v>279</v>
      </c>
      <c r="G93" s="2">
        <v>45999</v>
      </c>
      <c r="H93" t="s">
        <v>284</v>
      </c>
      <c r="I93" t="s">
        <v>61</v>
      </c>
      <c r="J93" s="2">
        <v>45999</v>
      </c>
      <c r="K93" s="2">
        <v>46000</v>
      </c>
      <c r="L93" t="s">
        <v>24</v>
      </c>
      <c r="M93" t="s">
        <v>285</v>
      </c>
      <c r="N93" t="s">
        <v>9</v>
      </c>
      <c r="O93" t="s">
        <v>10</v>
      </c>
      <c r="P93" t="s">
        <v>8</v>
      </c>
      <c r="Q93" t="s">
        <v>25</v>
      </c>
      <c r="R93" t="s">
        <v>59</v>
      </c>
      <c r="S93" s="3">
        <v>185.63</v>
      </c>
      <c r="T93" t="s">
        <v>12</v>
      </c>
      <c r="U93" s="3">
        <v>16465.41</v>
      </c>
      <c r="V93" s="3" t="e">
        <f>VLOOKUP(M93,[1]working!$C$1:$E$65536,3,0)</f>
        <v>#N/A</v>
      </c>
      <c r="W93" s="3" t="e">
        <f t="shared" si="4"/>
        <v>#N/A</v>
      </c>
      <c r="X93" s="3"/>
      <c r="Y93" s="3" t="e">
        <f>VLOOKUP(M93,[1]working!$C:$F,4,0)</f>
        <v>#N/A</v>
      </c>
      <c r="Z93" s="3"/>
      <c r="AA93" s="3" t="s">
        <v>480</v>
      </c>
      <c r="AB93" t="s">
        <v>63</v>
      </c>
      <c r="AC93" t="s">
        <v>27</v>
      </c>
      <c r="AD93" t="s">
        <v>8</v>
      </c>
      <c r="AE93" t="s">
        <v>286</v>
      </c>
      <c r="AF93" t="s">
        <v>14</v>
      </c>
      <c r="AG93" t="s">
        <v>287</v>
      </c>
      <c r="AH93" t="s">
        <v>8</v>
      </c>
      <c r="AI93" t="s">
        <v>8</v>
      </c>
      <c r="AJ93" t="s">
        <v>8</v>
      </c>
      <c r="AK93" s="2">
        <v>45999</v>
      </c>
      <c r="AL93" s="2"/>
      <c r="AM93" t="s">
        <v>8</v>
      </c>
    </row>
    <row r="94" spans="1:39" outlineLevel="2" x14ac:dyDescent="0.25">
      <c r="A94" t="s">
        <v>34</v>
      </c>
      <c r="B94" t="s">
        <v>1</v>
      </c>
      <c r="C94" t="s">
        <v>2</v>
      </c>
      <c r="D94" t="s">
        <v>3</v>
      </c>
      <c r="E94" t="s">
        <v>4</v>
      </c>
      <c r="F94" t="s">
        <v>106</v>
      </c>
      <c r="G94" s="2">
        <v>45797</v>
      </c>
      <c r="H94" t="s">
        <v>288</v>
      </c>
      <c r="I94" t="s">
        <v>61</v>
      </c>
      <c r="J94" s="2">
        <v>45797</v>
      </c>
      <c r="K94" s="2">
        <v>45805</v>
      </c>
      <c r="L94" t="s">
        <v>24</v>
      </c>
      <c r="M94" t="s">
        <v>289</v>
      </c>
      <c r="N94" t="s">
        <v>9</v>
      </c>
      <c r="O94" t="s">
        <v>10</v>
      </c>
      <c r="P94" t="s">
        <v>8</v>
      </c>
      <c r="Q94" t="s">
        <v>25</v>
      </c>
      <c r="R94" t="s">
        <v>59</v>
      </c>
      <c r="S94" s="3">
        <v>9.44</v>
      </c>
      <c r="T94" t="s">
        <v>12</v>
      </c>
      <c r="U94" s="3">
        <v>811.69</v>
      </c>
      <c r="V94" s="3">
        <f>VLOOKUP(M94,[1]working!$C:$D,2,0)</f>
        <v>812</v>
      </c>
      <c r="W94" s="17">
        <f t="shared" si="4"/>
        <v>-0.30999999999994543</v>
      </c>
      <c r="X94" s="3">
        <f>VLOOKUP(M94,[1]working!$C$1:$H$65536,6,0)</f>
        <v>124.13999999999999</v>
      </c>
      <c r="Y94" s="3">
        <f>VLOOKUP(M94,[1]working!$C:$F,4,0)</f>
        <v>0</v>
      </c>
      <c r="Z94" s="17">
        <f t="shared" ref="Z94:Z103" si="6">W94-X94</f>
        <v>-124.44999999999993</v>
      </c>
      <c r="AA94" s="17" t="s">
        <v>484</v>
      </c>
      <c r="AB94" t="s">
        <v>63</v>
      </c>
      <c r="AC94" t="s">
        <v>27</v>
      </c>
      <c r="AD94" t="s">
        <v>8</v>
      </c>
      <c r="AE94" t="s">
        <v>24</v>
      </c>
      <c r="AF94" t="s">
        <v>14</v>
      </c>
      <c r="AG94" t="s">
        <v>290</v>
      </c>
      <c r="AH94" t="s">
        <v>8</v>
      </c>
      <c r="AI94" t="s">
        <v>8</v>
      </c>
      <c r="AJ94" t="s">
        <v>8</v>
      </c>
      <c r="AK94" s="2">
        <v>45797</v>
      </c>
      <c r="AL94" s="2"/>
      <c r="AM94" t="s">
        <v>8</v>
      </c>
    </row>
    <row r="95" spans="1:39" outlineLevel="2" x14ac:dyDescent="0.25">
      <c r="A95" t="s">
        <v>34</v>
      </c>
      <c r="B95" t="s">
        <v>1</v>
      </c>
      <c r="C95" t="s">
        <v>2</v>
      </c>
      <c r="D95" t="s">
        <v>3</v>
      </c>
      <c r="E95" t="s">
        <v>4</v>
      </c>
      <c r="F95" t="s">
        <v>106</v>
      </c>
      <c r="G95" s="2">
        <v>45797</v>
      </c>
      <c r="H95" t="s">
        <v>291</v>
      </c>
      <c r="I95" t="s">
        <v>61</v>
      </c>
      <c r="J95" s="2">
        <v>45797</v>
      </c>
      <c r="K95" s="2">
        <v>45805</v>
      </c>
      <c r="L95" t="s">
        <v>24</v>
      </c>
      <c r="M95" t="s">
        <v>292</v>
      </c>
      <c r="N95" t="s">
        <v>9</v>
      </c>
      <c r="O95" t="s">
        <v>10</v>
      </c>
      <c r="P95" t="s">
        <v>8</v>
      </c>
      <c r="Q95" t="s">
        <v>25</v>
      </c>
      <c r="R95" t="s">
        <v>59</v>
      </c>
      <c r="S95" s="3">
        <v>68.180000000000007</v>
      </c>
      <c r="T95" t="s">
        <v>12</v>
      </c>
      <c r="U95" s="3">
        <v>5862.37</v>
      </c>
      <c r="V95" s="3">
        <f>VLOOKUP(M95,[1]working!$C$1:$E$65536,3,0)</f>
        <v>4967.74</v>
      </c>
      <c r="W95" s="3">
        <f t="shared" si="4"/>
        <v>894.63000000000011</v>
      </c>
      <c r="X95" s="3">
        <f>VLOOKUP(M95,[1]working!$C$1:$H$65536,6,0)</f>
        <v>894</v>
      </c>
      <c r="Y95" s="3">
        <f>VLOOKUP(M95,[1]working!$C:$F,4,0)</f>
        <v>-99</v>
      </c>
      <c r="Z95" s="17">
        <f t="shared" si="6"/>
        <v>0.63000000000010914</v>
      </c>
      <c r="AA95" s="17" t="s">
        <v>477</v>
      </c>
      <c r="AB95" t="s">
        <v>63</v>
      </c>
      <c r="AC95" t="s">
        <v>27</v>
      </c>
      <c r="AD95" t="s">
        <v>8</v>
      </c>
      <c r="AE95" t="s">
        <v>24</v>
      </c>
      <c r="AF95" t="s">
        <v>14</v>
      </c>
      <c r="AG95" t="s">
        <v>293</v>
      </c>
      <c r="AH95" t="s">
        <v>8</v>
      </c>
      <c r="AI95" t="s">
        <v>8</v>
      </c>
      <c r="AJ95" t="s">
        <v>8</v>
      </c>
      <c r="AK95" s="2">
        <v>45797</v>
      </c>
      <c r="AL95" s="2"/>
      <c r="AM95" t="s">
        <v>8</v>
      </c>
    </row>
    <row r="96" spans="1:39" outlineLevel="2" x14ac:dyDescent="0.25">
      <c r="A96" t="s">
        <v>34</v>
      </c>
      <c r="B96" t="s">
        <v>1</v>
      </c>
      <c r="C96" t="s">
        <v>2</v>
      </c>
      <c r="D96" t="s">
        <v>3</v>
      </c>
      <c r="E96" t="s">
        <v>4</v>
      </c>
      <c r="F96" t="s">
        <v>18</v>
      </c>
      <c r="G96" s="2">
        <v>45750</v>
      </c>
      <c r="H96" t="s">
        <v>294</v>
      </c>
      <c r="I96" t="s">
        <v>61</v>
      </c>
      <c r="J96" s="2">
        <v>45750</v>
      </c>
      <c r="K96" s="2">
        <v>45752</v>
      </c>
      <c r="L96" t="s">
        <v>24</v>
      </c>
      <c r="M96" t="s">
        <v>295</v>
      </c>
      <c r="N96" t="s">
        <v>9</v>
      </c>
      <c r="O96" t="s">
        <v>10</v>
      </c>
      <c r="P96" t="s">
        <v>8</v>
      </c>
      <c r="Q96" t="s">
        <v>25</v>
      </c>
      <c r="R96" t="s">
        <v>59</v>
      </c>
      <c r="S96" s="3">
        <v>17.61</v>
      </c>
      <c r="T96" t="s">
        <v>12</v>
      </c>
      <c r="U96" s="3">
        <v>1530.69</v>
      </c>
      <c r="V96" s="3">
        <f>VLOOKUP(M96,[1]working!$C$1:$E$65536,3,0)</f>
        <v>1297.31</v>
      </c>
      <c r="W96" s="3">
        <f t="shared" si="4"/>
        <v>233.38000000000011</v>
      </c>
      <c r="X96" s="3">
        <f>VLOOKUP(M96,[1]working!$C$1:$H$65536,6,0)</f>
        <v>234</v>
      </c>
      <c r="Y96" s="3">
        <f>VLOOKUP(M96,[1]working!$C:$F,4,0)</f>
        <v>-26</v>
      </c>
      <c r="Z96" s="17">
        <f t="shared" si="6"/>
        <v>-0.61999999999989086</v>
      </c>
      <c r="AA96" s="17" t="s">
        <v>477</v>
      </c>
      <c r="AB96" t="s">
        <v>63</v>
      </c>
      <c r="AC96" t="s">
        <v>8</v>
      </c>
      <c r="AD96" t="s">
        <v>8</v>
      </c>
      <c r="AE96" t="s">
        <v>24</v>
      </c>
      <c r="AF96" t="s">
        <v>14</v>
      </c>
      <c r="AG96" t="s">
        <v>296</v>
      </c>
      <c r="AH96" t="s">
        <v>8</v>
      </c>
      <c r="AI96" t="s">
        <v>8</v>
      </c>
      <c r="AJ96" t="s">
        <v>8</v>
      </c>
      <c r="AK96" s="2">
        <v>45750</v>
      </c>
      <c r="AL96" s="2"/>
      <c r="AM96" t="s">
        <v>8</v>
      </c>
    </row>
    <row r="97" spans="1:39" outlineLevel="2" x14ac:dyDescent="0.25">
      <c r="A97" t="s">
        <v>34</v>
      </c>
      <c r="B97" t="s">
        <v>1</v>
      </c>
      <c r="C97" t="s">
        <v>2</v>
      </c>
      <c r="D97" t="s">
        <v>3</v>
      </c>
      <c r="E97" t="s">
        <v>4</v>
      </c>
      <c r="F97" t="s">
        <v>18</v>
      </c>
      <c r="G97" s="2">
        <v>45750</v>
      </c>
      <c r="H97" t="s">
        <v>297</v>
      </c>
      <c r="I97" t="s">
        <v>61</v>
      </c>
      <c r="J97" s="2">
        <v>45750</v>
      </c>
      <c r="K97" s="2">
        <v>45752</v>
      </c>
      <c r="L97" t="s">
        <v>24</v>
      </c>
      <c r="M97" t="s">
        <v>298</v>
      </c>
      <c r="N97" t="s">
        <v>9</v>
      </c>
      <c r="O97" t="s">
        <v>10</v>
      </c>
      <c r="P97" t="s">
        <v>8</v>
      </c>
      <c r="Q97" t="s">
        <v>25</v>
      </c>
      <c r="R97" t="s">
        <v>59</v>
      </c>
      <c r="S97" s="3">
        <v>28.32</v>
      </c>
      <c r="T97" t="s">
        <v>12</v>
      </c>
      <c r="U97" s="3">
        <v>2461.63</v>
      </c>
      <c r="V97" s="3">
        <f>VLOOKUP(M97,[1]working!$C$1:$E$65536,3,0)</f>
        <v>2086.37</v>
      </c>
      <c r="W97" s="3">
        <f t="shared" si="4"/>
        <v>375.26000000000022</v>
      </c>
      <c r="X97" s="3">
        <f>VLOOKUP(M97,[1]working!$C$1:$H$65536,6,0)</f>
        <v>376</v>
      </c>
      <c r="Y97" s="3">
        <f>VLOOKUP(M97,[1]working!$C:$F,4,0)</f>
        <v>-42</v>
      </c>
      <c r="Z97" s="17">
        <f t="shared" si="6"/>
        <v>-0.73999999999978172</v>
      </c>
      <c r="AA97" s="17" t="s">
        <v>477</v>
      </c>
      <c r="AB97" t="s">
        <v>63</v>
      </c>
      <c r="AC97" t="s">
        <v>8</v>
      </c>
      <c r="AD97" t="s">
        <v>8</v>
      </c>
      <c r="AE97" t="s">
        <v>24</v>
      </c>
      <c r="AF97" t="s">
        <v>14</v>
      </c>
      <c r="AG97" t="s">
        <v>299</v>
      </c>
      <c r="AH97" t="s">
        <v>8</v>
      </c>
      <c r="AI97" t="s">
        <v>8</v>
      </c>
      <c r="AJ97" t="s">
        <v>8</v>
      </c>
      <c r="AK97" s="2">
        <v>45750</v>
      </c>
      <c r="AL97" s="2"/>
      <c r="AM97" t="s">
        <v>8</v>
      </c>
    </row>
    <row r="98" spans="1:39" outlineLevel="2" x14ac:dyDescent="0.25">
      <c r="A98" t="s">
        <v>34</v>
      </c>
      <c r="B98" t="s">
        <v>1</v>
      </c>
      <c r="C98" t="s">
        <v>2</v>
      </c>
      <c r="D98" t="s">
        <v>3</v>
      </c>
      <c r="E98" t="s">
        <v>4</v>
      </c>
      <c r="F98" t="s">
        <v>18</v>
      </c>
      <c r="G98" s="2">
        <v>45750</v>
      </c>
      <c r="H98" t="s">
        <v>300</v>
      </c>
      <c r="I98" t="s">
        <v>61</v>
      </c>
      <c r="J98" s="2">
        <v>45750</v>
      </c>
      <c r="K98" s="2">
        <v>45752</v>
      </c>
      <c r="L98" t="s">
        <v>24</v>
      </c>
      <c r="M98" t="s">
        <v>301</v>
      </c>
      <c r="N98" t="s">
        <v>9</v>
      </c>
      <c r="O98" t="s">
        <v>10</v>
      </c>
      <c r="P98" t="s">
        <v>8</v>
      </c>
      <c r="Q98" t="s">
        <v>25</v>
      </c>
      <c r="R98" t="s">
        <v>59</v>
      </c>
      <c r="S98" s="3">
        <v>18.86</v>
      </c>
      <c r="T98" t="s">
        <v>12</v>
      </c>
      <c r="U98" s="3">
        <v>1639.35</v>
      </c>
      <c r="V98" s="3">
        <f>VLOOKUP(M98,[1]working!$C$1:$E$65536,3,0)</f>
        <v>1388.65</v>
      </c>
      <c r="W98" s="3">
        <f t="shared" si="4"/>
        <v>250.69999999999982</v>
      </c>
      <c r="X98" s="3">
        <f>VLOOKUP(M98,[1]working!$C$1:$H$65536,6,0)</f>
        <v>250</v>
      </c>
      <c r="Y98" s="3">
        <f>VLOOKUP(M98,[1]working!$C:$F,4,0)</f>
        <v>-28</v>
      </c>
      <c r="Z98" s="17">
        <f t="shared" si="6"/>
        <v>0.6999999999998181</v>
      </c>
      <c r="AA98" s="17" t="s">
        <v>477</v>
      </c>
      <c r="AB98" t="s">
        <v>63</v>
      </c>
      <c r="AC98" t="s">
        <v>8</v>
      </c>
      <c r="AD98" t="s">
        <v>8</v>
      </c>
      <c r="AE98" t="s">
        <v>24</v>
      </c>
      <c r="AF98" t="s">
        <v>14</v>
      </c>
      <c r="AG98" t="s">
        <v>302</v>
      </c>
      <c r="AH98" t="s">
        <v>8</v>
      </c>
      <c r="AI98" t="s">
        <v>8</v>
      </c>
      <c r="AJ98" t="s">
        <v>8</v>
      </c>
      <c r="AK98" s="2">
        <v>45750</v>
      </c>
      <c r="AL98" s="2"/>
      <c r="AM98" t="s">
        <v>8</v>
      </c>
    </row>
    <row r="99" spans="1:39" outlineLevel="2" x14ac:dyDescent="0.25">
      <c r="A99" t="s">
        <v>34</v>
      </c>
      <c r="B99" t="s">
        <v>1</v>
      </c>
      <c r="C99" t="s">
        <v>2</v>
      </c>
      <c r="D99" t="s">
        <v>3</v>
      </c>
      <c r="E99" t="s">
        <v>4</v>
      </c>
      <c r="F99" t="s">
        <v>18</v>
      </c>
      <c r="G99" s="2">
        <v>45750</v>
      </c>
      <c r="H99" t="s">
        <v>303</v>
      </c>
      <c r="I99" t="s">
        <v>61</v>
      </c>
      <c r="J99" s="2">
        <v>45750</v>
      </c>
      <c r="K99" s="2">
        <v>45752</v>
      </c>
      <c r="L99" t="s">
        <v>24</v>
      </c>
      <c r="M99" t="s">
        <v>304</v>
      </c>
      <c r="N99" t="s">
        <v>9</v>
      </c>
      <c r="O99" t="s">
        <v>10</v>
      </c>
      <c r="P99" t="s">
        <v>8</v>
      </c>
      <c r="Q99" t="s">
        <v>25</v>
      </c>
      <c r="R99" t="s">
        <v>59</v>
      </c>
      <c r="S99" s="3">
        <v>6.29</v>
      </c>
      <c r="T99" t="s">
        <v>12</v>
      </c>
      <c r="U99" s="3">
        <v>546.74</v>
      </c>
      <c r="V99" s="3">
        <f>VLOOKUP(M99,[1]working!$C$1:$E$65536,3,0)</f>
        <v>463</v>
      </c>
      <c r="W99" s="3">
        <f t="shared" si="4"/>
        <v>83.740000000000009</v>
      </c>
      <c r="X99" s="3">
        <f>VLOOKUP(M99,[1]working!$C$1:$H$65536,6,0)</f>
        <v>84</v>
      </c>
      <c r="Y99" s="3">
        <f>VLOOKUP(M99,[1]working!$C:$F,4,0)</f>
        <v>-9</v>
      </c>
      <c r="Z99" s="17">
        <f t="shared" si="6"/>
        <v>-0.25999999999999091</v>
      </c>
      <c r="AA99" s="17" t="s">
        <v>477</v>
      </c>
      <c r="AB99" t="s">
        <v>63</v>
      </c>
      <c r="AC99" t="s">
        <v>8</v>
      </c>
      <c r="AD99" t="s">
        <v>8</v>
      </c>
      <c r="AE99" t="s">
        <v>24</v>
      </c>
      <c r="AF99" t="s">
        <v>14</v>
      </c>
      <c r="AG99" t="s">
        <v>305</v>
      </c>
      <c r="AH99" t="s">
        <v>8</v>
      </c>
      <c r="AI99" t="s">
        <v>8</v>
      </c>
      <c r="AJ99" t="s">
        <v>8</v>
      </c>
      <c r="AK99" s="2">
        <v>45750</v>
      </c>
      <c r="AL99" s="2"/>
      <c r="AM99" t="s">
        <v>8</v>
      </c>
    </row>
    <row r="100" spans="1:39" outlineLevel="2" x14ac:dyDescent="0.25">
      <c r="A100" t="s">
        <v>34</v>
      </c>
      <c r="B100" t="s">
        <v>1</v>
      </c>
      <c r="C100" t="s">
        <v>2</v>
      </c>
      <c r="D100" t="s">
        <v>3</v>
      </c>
      <c r="E100" t="s">
        <v>4</v>
      </c>
      <c r="F100" t="s">
        <v>41</v>
      </c>
      <c r="G100" s="2">
        <v>45950</v>
      </c>
      <c r="H100" t="s">
        <v>306</v>
      </c>
      <c r="I100" t="s">
        <v>61</v>
      </c>
      <c r="J100" s="2">
        <v>45950</v>
      </c>
      <c r="K100" s="2">
        <v>45951</v>
      </c>
      <c r="L100" t="s">
        <v>24</v>
      </c>
      <c r="M100" t="s">
        <v>307</v>
      </c>
      <c r="N100" t="s">
        <v>9</v>
      </c>
      <c r="O100" t="s">
        <v>10</v>
      </c>
      <c r="P100" t="s">
        <v>8</v>
      </c>
      <c r="Q100" t="s">
        <v>25</v>
      </c>
      <c r="R100" t="s">
        <v>59</v>
      </c>
      <c r="S100" s="3">
        <v>118.91</v>
      </c>
      <c r="T100" t="s">
        <v>12</v>
      </c>
      <c r="U100" s="3">
        <v>10486.76</v>
      </c>
      <c r="V100" s="3">
        <f>VLOOKUP(M100,[1]working!$C$1:$E$65536,3,0)</f>
        <v>8887.2199999999993</v>
      </c>
      <c r="W100" s="3">
        <f t="shared" si="4"/>
        <v>1599.5400000000009</v>
      </c>
      <c r="X100" s="3">
        <f>VLOOKUP(M100,[1]working!$C$1:$H$65536,6,0)</f>
        <v>1600</v>
      </c>
      <c r="Y100" s="3">
        <f>VLOOKUP(M100,[1]working!$C:$F,4,0)</f>
        <v>0</v>
      </c>
      <c r="Z100" s="17">
        <f t="shared" si="6"/>
        <v>-0.45999999999912689</v>
      </c>
      <c r="AA100" s="17" t="s">
        <v>477</v>
      </c>
      <c r="AB100" t="s">
        <v>63</v>
      </c>
      <c r="AC100" t="s">
        <v>27</v>
      </c>
      <c r="AD100" t="s">
        <v>8</v>
      </c>
      <c r="AE100" t="s">
        <v>308</v>
      </c>
      <c r="AF100" t="s">
        <v>14</v>
      </c>
      <c r="AG100" t="s">
        <v>309</v>
      </c>
      <c r="AH100" t="s">
        <v>8</v>
      </c>
      <c r="AI100" t="s">
        <v>8</v>
      </c>
      <c r="AJ100" t="s">
        <v>8</v>
      </c>
      <c r="AK100" s="2">
        <v>45950</v>
      </c>
      <c r="AL100" s="2"/>
      <c r="AM100" t="s">
        <v>8</v>
      </c>
    </row>
    <row r="101" spans="1:39" outlineLevel="2" x14ac:dyDescent="0.25">
      <c r="A101" t="s">
        <v>34</v>
      </c>
      <c r="B101" t="s">
        <v>1</v>
      </c>
      <c r="C101" t="s">
        <v>2</v>
      </c>
      <c r="D101" t="s">
        <v>3</v>
      </c>
      <c r="E101" t="s">
        <v>4</v>
      </c>
      <c r="F101" t="s">
        <v>41</v>
      </c>
      <c r="G101" s="2">
        <v>45950</v>
      </c>
      <c r="H101" t="s">
        <v>310</v>
      </c>
      <c r="I101" t="s">
        <v>61</v>
      </c>
      <c r="J101" s="2">
        <v>45950</v>
      </c>
      <c r="K101" s="2">
        <v>45951</v>
      </c>
      <c r="L101" t="s">
        <v>24</v>
      </c>
      <c r="M101" t="s">
        <v>311</v>
      </c>
      <c r="N101" t="s">
        <v>9</v>
      </c>
      <c r="O101" t="s">
        <v>10</v>
      </c>
      <c r="P101" t="s">
        <v>8</v>
      </c>
      <c r="Q101" t="s">
        <v>25</v>
      </c>
      <c r="R101" t="s">
        <v>59</v>
      </c>
      <c r="S101" s="3">
        <v>28.32</v>
      </c>
      <c r="T101" t="s">
        <v>12</v>
      </c>
      <c r="U101" s="3">
        <v>2497.56</v>
      </c>
      <c r="V101" s="3">
        <f>VLOOKUP(M101,[1]working!$C$1:$E$65536,3,0)</f>
        <v>2117.02</v>
      </c>
      <c r="W101" s="3">
        <f t="shared" si="4"/>
        <v>380.53999999999996</v>
      </c>
      <c r="X101" s="3">
        <f>VLOOKUP(M101,[1]working!$C$1:$H$65536,6,0)</f>
        <v>381</v>
      </c>
      <c r="Y101" s="3">
        <f>VLOOKUP(M101,[1]working!$C:$F,4,0)</f>
        <v>0</v>
      </c>
      <c r="Z101" s="17">
        <f t="shared" si="6"/>
        <v>-0.46000000000003638</v>
      </c>
      <c r="AA101" s="17" t="s">
        <v>477</v>
      </c>
      <c r="AB101" t="s">
        <v>63</v>
      </c>
      <c r="AC101" t="s">
        <v>27</v>
      </c>
      <c r="AD101" t="s">
        <v>8</v>
      </c>
      <c r="AE101" t="s">
        <v>312</v>
      </c>
      <c r="AF101" t="s">
        <v>14</v>
      </c>
      <c r="AG101" t="s">
        <v>313</v>
      </c>
      <c r="AH101" t="s">
        <v>8</v>
      </c>
      <c r="AI101" t="s">
        <v>8</v>
      </c>
      <c r="AJ101" t="s">
        <v>8</v>
      </c>
      <c r="AK101" s="2">
        <v>45950</v>
      </c>
      <c r="AL101" s="2"/>
      <c r="AM101" t="s">
        <v>8</v>
      </c>
    </row>
    <row r="102" spans="1:39" outlineLevel="2" x14ac:dyDescent="0.25">
      <c r="A102" t="s">
        <v>34</v>
      </c>
      <c r="B102" t="s">
        <v>1</v>
      </c>
      <c r="C102" t="s">
        <v>2</v>
      </c>
      <c r="D102" t="s">
        <v>3</v>
      </c>
      <c r="E102" t="s">
        <v>4</v>
      </c>
      <c r="F102" t="s">
        <v>18</v>
      </c>
      <c r="G102" s="2">
        <v>45768</v>
      </c>
      <c r="H102" t="s">
        <v>314</v>
      </c>
      <c r="I102" t="s">
        <v>61</v>
      </c>
      <c r="J102" s="2">
        <v>45768</v>
      </c>
      <c r="K102" s="2">
        <v>45769</v>
      </c>
      <c r="L102" t="s">
        <v>24</v>
      </c>
      <c r="M102" t="s">
        <v>315</v>
      </c>
      <c r="N102" t="s">
        <v>9</v>
      </c>
      <c r="O102" t="s">
        <v>10</v>
      </c>
      <c r="P102" t="s">
        <v>8</v>
      </c>
      <c r="Q102" t="s">
        <v>25</v>
      </c>
      <c r="R102" t="s">
        <v>59</v>
      </c>
      <c r="S102" s="3">
        <v>283.55</v>
      </c>
      <c r="T102" t="s">
        <v>12</v>
      </c>
      <c r="U102" s="3">
        <v>24646.68</v>
      </c>
      <c r="V102" s="3">
        <f>VLOOKUP(M102,[1]working!$C$1:$E$65536,3,0)</f>
        <v>20886.280000000002</v>
      </c>
      <c r="W102" s="3">
        <f t="shared" si="4"/>
        <v>3760.3999999999978</v>
      </c>
      <c r="X102" s="3">
        <f>VLOOKUP(M102,[1]working!$C$1:$H$65536,6,0)</f>
        <v>3758.6899999999996</v>
      </c>
      <c r="Y102" s="3">
        <f>VLOOKUP(M102,[1]working!$C:$F,4,0)</f>
        <v>0</v>
      </c>
      <c r="Z102" s="17">
        <f t="shared" si="6"/>
        <v>1.7099999999982174</v>
      </c>
      <c r="AA102" s="17" t="s">
        <v>477</v>
      </c>
      <c r="AB102" t="s">
        <v>63</v>
      </c>
      <c r="AC102" t="s">
        <v>20</v>
      </c>
      <c r="AD102" t="s">
        <v>8</v>
      </c>
      <c r="AE102" t="s">
        <v>24</v>
      </c>
      <c r="AF102" t="s">
        <v>14</v>
      </c>
      <c r="AG102" t="s">
        <v>316</v>
      </c>
      <c r="AH102" t="s">
        <v>8</v>
      </c>
      <c r="AI102" t="s">
        <v>8</v>
      </c>
      <c r="AJ102" t="s">
        <v>8</v>
      </c>
      <c r="AK102" s="2">
        <v>45768</v>
      </c>
      <c r="AL102" s="2"/>
      <c r="AM102" t="s">
        <v>8</v>
      </c>
    </row>
    <row r="103" spans="1:39" outlineLevel="2" x14ac:dyDescent="0.25">
      <c r="A103" t="s">
        <v>34</v>
      </c>
      <c r="B103" t="s">
        <v>1</v>
      </c>
      <c r="C103" t="s">
        <v>2</v>
      </c>
      <c r="D103" t="s">
        <v>3</v>
      </c>
      <c r="E103" t="s">
        <v>4</v>
      </c>
      <c r="F103" t="s">
        <v>18</v>
      </c>
      <c r="G103" s="2">
        <v>45768</v>
      </c>
      <c r="H103" t="s">
        <v>317</v>
      </c>
      <c r="I103" t="s">
        <v>61</v>
      </c>
      <c r="J103" s="2">
        <v>45768</v>
      </c>
      <c r="K103" s="2">
        <v>45769</v>
      </c>
      <c r="L103" t="s">
        <v>24</v>
      </c>
      <c r="M103" t="s">
        <v>318</v>
      </c>
      <c r="N103" t="s">
        <v>9</v>
      </c>
      <c r="O103" t="s">
        <v>10</v>
      </c>
      <c r="P103" t="s">
        <v>8</v>
      </c>
      <c r="Q103" t="s">
        <v>25</v>
      </c>
      <c r="R103" t="s">
        <v>59</v>
      </c>
      <c r="S103" s="3">
        <v>266.02999999999997</v>
      </c>
      <c r="T103" t="s">
        <v>12</v>
      </c>
      <c r="U103" s="3">
        <v>23123.81</v>
      </c>
      <c r="V103" s="3">
        <f>VLOOKUP(M103,[1]working!$C$1:$E$65536,3,0)</f>
        <v>19596.189999999999</v>
      </c>
      <c r="W103" s="3">
        <f t="shared" si="4"/>
        <v>3527.6200000000026</v>
      </c>
      <c r="X103" s="3">
        <f>VLOOKUP(M103,[1]working!$C$1:$H$65536,6,0)</f>
        <v>3528</v>
      </c>
      <c r="Y103" s="3">
        <f>VLOOKUP(M103,[1]working!$C:$F,4,0)</f>
        <v>-1960</v>
      </c>
      <c r="Z103" s="17">
        <f t="shared" si="6"/>
        <v>-0.37999999999738066</v>
      </c>
      <c r="AA103" s="17" t="s">
        <v>477</v>
      </c>
      <c r="AB103" t="s">
        <v>63</v>
      </c>
      <c r="AC103" t="s">
        <v>20</v>
      </c>
      <c r="AD103" t="s">
        <v>8</v>
      </c>
      <c r="AE103" t="s">
        <v>24</v>
      </c>
      <c r="AF103" t="s">
        <v>14</v>
      </c>
      <c r="AG103" t="s">
        <v>319</v>
      </c>
      <c r="AH103" t="s">
        <v>8</v>
      </c>
      <c r="AI103" t="s">
        <v>8</v>
      </c>
      <c r="AJ103" t="s">
        <v>8</v>
      </c>
      <c r="AK103" s="2">
        <v>45768</v>
      </c>
      <c r="AL103" s="2"/>
      <c r="AM103" t="s">
        <v>8</v>
      </c>
    </row>
    <row r="104" spans="1:39" outlineLevel="2" x14ac:dyDescent="0.25">
      <c r="A104" t="s">
        <v>34</v>
      </c>
      <c r="B104" t="s">
        <v>1</v>
      </c>
      <c r="C104" t="s">
        <v>2</v>
      </c>
      <c r="D104" t="s">
        <v>3</v>
      </c>
      <c r="E104" t="s">
        <v>4</v>
      </c>
      <c r="F104" t="s">
        <v>44</v>
      </c>
      <c r="G104" s="2">
        <v>45734</v>
      </c>
      <c r="H104" t="s">
        <v>320</v>
      </c>
      <c r="I104" t="s">
        <v>61</v>
      </c>
      <c r="J104" s="2">
        <v>45734</v>
      </c>
      <c r="K104" s="2">
        <v>45735</v>
      </c>
      <c r="L104" t="s">
        <v>24</v>
      </c>
      <c r="M104" t="s">
        <v>321</v>
      </c>
      <c r="N104" t="s">
        <v>9</v>
      </c>
      <c r="O104" t="s">
        <v>10</v>
      </c>
      <c r="P104" t="s">
        <v>8</v>
      </c>
      <c r="Q104" t="s">
        <v>25</v>
      </c>
      <c r="R104" t="s">
        <v>59</v>
      </c>
      <c r="S104" s="3">
        <v>291.52</v>
      </c>
      <c r="T104" t="s">
        <v>12</v>
      </c>
      <c r="U104" s="3">
        <v>25272.240000000002</v>
      </c>
      <c r="V104" s="3" t="e">
        <f>VLOOKUP(M104,[1]working!$C$1:$E$65536,3,0)</f>
        <v>#N/A</v>
      </c>
      <c r="W104" s="3" t="e">
        <f t="shared" si="4"/>
        <v>#N/A</v>
      </c>
      <c r="X104" s="3"/>
      <c r="Y104" s="3" t="e">
        <f>VLOOKUP(M104,[1]working!$C:$F,4,0)</f>
        <v>#N/A</v>
      </c>
      <c r="Z104" s="3"/>
      <c r="AA104" s="3" t="s">
        <v>480</v>
      </c>
      <c r="AB104" t="s">
        <v>63</v>
      </c>
      <c r="AC104" t="s">
        <v>20</v>
      </c>
      <c r="AD104" t="s">
        <v>8</v>
      </c>
      <c r="AE104" t="s">
        <v>24</v>
      </c>
      <c r="AF104" t="s">
        <v>14</v>
      </c>
      <c r="AG104" t="s">
        <v>322</v>
      </c>
      <c r="AH104" t="s">
        <v>8</v>
      </c>
      <c r="AI104" t="s">
        <v>8</v>
      </c>
      <c r="AJ104" t="s">
        <v>8</v>
      </c>
      <c r="AK104" s="2">
        <v>45734</v>
      </c>
      <c r="AL104" s="2"/>
      <c r="AM104" t="s">
        <v>8</v>
      </c>
    </row>
    <row r="105" spans="1:39" outlineLevel="2" x14ac:dyDescent="0.25">
      <c r="A105" t="s">
        <v>34</v>
      </c>
      <c r="B105" t="s">
        <v>1</v>
      </c>
      <c r="C105" t="s">
        <v>2</v>
      </c>
      <c r="D105" t="s">
        <v>3</v>
      </c>
      <c r="E105" t="s">
        <v>4</v>
      </c>
      <c r="F105" t="s">
        <v>44</v>
      </c>
      <c r="G105" s="2">
        <v>45734</v>
      </c>
      <c r="H105" t="s">
        <v>323</v>
      </c>
      <c r="I105" t="s">
        <v>61</v>
      </c>
      <c r="J105" s="2">
        <v>45734</v>
      </c>
      <c r="K105" s="2">
        <v>45735</v>
      </c>
      <c r="L105" t="s">
        <v>24</v>
      </c>
      <c r="M105" t="s">
        <v>324</v>
      </c>
      <c r="N105" t="s">
        <v>9</v>
      </c>
      <c r="O105" t="s">
        <v>10</v>
      </c>
      <c r="P105" t="s">
        <v>8</v>
      </c>
      <c r="Q105" t="s">
        <v>25</v>
      </c>
      <c r="R105" t="s">
        <v>59</v>
      </c>
      <c r="S105" s="3">
        <v>307.98</v>
      </c>
      <c r="T105" t="s">
        <v>12</v>
      </c>
      <c r="U105" s="3">
        <v>26699.17</v>
      </c>
      <c r="V105" s="3" t="e">
        <f>VLOOKUP(M105,[1]working!$C$1:$E$65536,3,0)</f>
        <v>#N/A</v>
      </c>
      <c r="W105" s="3" t="e">
        <f t="shared" si="4"/>
        <v>#N/A</v>
      </c>
      <c r="X105" s="3"/>
      <c r="Y105" s="3" t="e">
        <f>VLOOKUP(M105,[1]working!$C:$F,4,0)</f>
        <v>#N/A</v>
      </c>
      <c r="Z105" s="3"/>
      <c r="AA105" s="3" t="s">
        <v>480</v>
      </c>
      <c r="AB105" t="s">
        <v>63</v>
      </c>
      <c r="AC105" t="s">
        <v>20</v>
      </c>
      <c r="AD105" t="s">
        <v>8</v>
      </c>
      <c r="AE105" t="s">
        <v>24</v>
      </c>
      <c r="AF105" t="s">
        <v>14</v>
      </c>
      <c r="AG105" t="s">
        <v>325</v>
      </c>
      <c r="AH105" t="s">
        <v>8</v>
      </c>
      <c r="AI105" t="s">
        <v>8</v>
      </c>
      <c r="AJ105" t="s">
        <v>8</v>
      </c>
      <c r="AK105" s="2">
        <v>45734</v>
      </c>
      <c r="AL105" s="2"/>
      <c r="AM105" t="s">
        <v>8</v>
      </c>
    </row>
    <row r="106" spans="1:39" outlineLevel="2" x14ac:dyDescent="0.25">
      <c r="A106" t="s">
        <v>34</v>
      </c>
      <c r="B106" t="s">
        <v>1</v>
      </c>
      <c r="C106" t="s">
        <v>2</v>
      </c>
      <c r="D106" t="s">
        <v>3</v>
      </c>
      <c r="E106" t="s">
        <v>4</v>
      </c>
      <c r="F106" t="s">
        <v>44</v>
      </c>
      <c r="G106" s="2">
        <v>45734</v>
      </c>
      <c r="H106" t="s">
        <v>326</v>
      </c>
      <c r="I106" t="s">
        <v>61</v>
      </c>
      <c r="J106" s="2">
        <v>45734</v>
      </c>
      <c r="K106" s="2">
        <v>45735</v>
      </c>
      <c r="L106" t="s">
        <v>24</v>
      </c>
      <c r="M106" t="s">
        <v>327</v>
      </c>
      <c r="N106" t="s">
        <v>9</v>
      </c>
      <c r="O106" t="s">
        <v>10</v>
      </c>
      <c r="P106" t="s">
        <v>8</v>
      </c>
      <c r="Q106" t="s">
        <v>25</v>
      </c>
      <c r="R106" t="s">
        <v>59</v>
      </c>
      <c r="S106" s="3">
        <v>472.06</v>
      </c>
      <c r="T106" t="s">
        <v>12</v>
      </c>
      <c r="U106" s="3">
        <v>40923.480000000003</v>
      </c>
      <c r="V106" s="3" t="e">
        <f>VLOOKUP(M106,[1]working!$C$1:$E$65536,3,0)</f>
        <v>#N/A</v>
      </c>
      <c r="W106" s="3" t="e">
        <f t="shared" si="4"/>
        <v>#N/A</v>
      </c>
      <c r="X106" s="3"/>
      <c r="Y106" s="3" t="e">
        <f>VLOOKUP(M106,[1]working!$C:$F,4,0)</f>
        <v>#N/A</v>
      </c>
      <c r="Z106" s="3"/>
      <c r="AA106" s="3" t="s">
        <v>480</v>
      </c>
      <c r="AB106" t="s">
        <v>63</v>
      </c>
      <c r="AC106" t="s">
        <v>20</v>
      </c>
      <c r="AD106" t="s">
        <v>8</v>
      </c>
      <c r="AE106" t="s">
        <v>24</v>
      </c>
      <c r="AF106" t="s">
        <v>14</v>
      </c>
      <c r="AG106" t="s">
        <v>328</v>
      </c>
      <c r="AH106" t="s">
        <v>8</v>
      </c>
      <c r="AI106" t="s">
        <v>8</v>
      </c>
      <c r="AJ106" t="s">
        <v>8</v>
      </c>
      <c r="AK106" s="2">
        <v>45734</v>
      </c>
      <c r="AL106" s="2"/>
      <c r="AM106" t="s">
        <v>8</v>
      </c>
    </row>
    <row r="107" spans="1:39" outlineLevel="2" x14ac:dyDescent="0.25">
      <c r="A107" t="s">
        <v>34</v>
      </c>
      <c r="B107" t="s">
        <v>1</v>
      </c>
      <c r="C107" t="s">
        <v>2</v>
      </c>
      <c r="D107" t="s">
        <v>3</v>
      </c>
      <c r="E107" t="s">
        <v>4</v>
      </c>
      <c r="F107" t="s">
        <v>106</v>
      </c>
      <c r="G107" s="2">
        <v>45800</v>
      </c>
      <c r="H107" t="s">
        <v>329</v>
      </c>
      <c r="I107" t="s">
        <v>61</v>
      </c>
      <c r="J107" s="2">
        <v>45800</v>
      </c>
      <c r="K107" s="2">
        <v>45805</v>
      </c>
      <c r="L107" t="s">
        <v>24</v>
      </c>
      <c r="M107" t="s">
        <v>330</v>
      </c>
      <c r="N107" t="s">
        <v>9</v>
      </c>
      <c r="O107" t="s">
        <v>10</v>
      </c>
      <c r="P107" t="s">
        <v>8</v>
      </c>
      <c r="Q107" t="s">
        <v>25</v>
      </c>
      <c r="R107" t="s">
        <v>59</v>
      </c>
      <c r="S107" s="3">
        <v>1743.01</v>
      </c>
      <c r="T107" t="s">
        <v>12</v>
      </c>
      <c r="U107" s="3">
        <v>149870.45000000001</v>
      </c>
      <c r="V107" s="3">
        <f>VLOOKUP(M107,[1]working!$C$1:$E$65536,3,0)</f>
        <v>127008.65000000001</v>
      </c>
      <c r="W107" s="3">
        <f t="shared" si="4"/>
        <v>22861.800000000003</v>
      </c>
      <c r="X107" s="3">
        <f>VLOOKUP(M107,[1]working!$C$1:$H$65536,6,0)</f>
        <v>22860.899999999998</v>
      </c>
      <c r="Y107" s="3">
        <f>VLOOKUP(M107,[1]working!$C:$F,4,0)</f>
        <v>0</v>
      </c>
      <c r="Z107" s="17">
        <f>W107-X107</f>
        <v>0.90000000000509317</v>
      </c>
      <c r="AA107" s="17" t="s">
        <v>477</v>
      </c>
      <c r="AB107" t="s">
        <v>63</v>
      </c>
      <c r="AC107" t="s">
        <v>27</v>
      </c>
      <c r="AD107" t="s">
        <v>8</v>
      </c>
      <c r="AE107" t="s">
        <v>24</v>
      </c>
      <c r="AF107" t="s">
        <v>14</v>
      </c>
      <c r="AG107" t="s">
        <v>331</v>
      </c>
      <c r="AH107" t="s">
        <v>8</v>
      </c>
      <c r="AI107" t="s">
        <v>8</v>
      </c>
      <c r="AJ107" t="s">
        <v>8</v>
      </c>
      <c r="AK107" s="2">
        <v>45800</v>
      </c>
      <c r="AL107" s="2"/>
      <c r="AM107" t="s">
        <v>8</v>
      </c>
    </row>
    <row r="108" spans="1:39" outlineLevel="2" x14ac:dyDescent="0.25">
      <c r="A108" t="s">
        <v>34</v>
      </c>
      <c r="B108" t="s">
        <v>1</v>
      </c>
      <c r="C108" t="s">
        <v>2</v>
      </c>
      <c r="D108" t="s">
        <v>3</v>
      </c>
      <c r="E108" t="s">
        <v>4</v>
      </c>
      <c r="F108" t="s">
        <v>132</v>
      </c>
      <c r="G108" s="2">
        <v>45919</v>
      </c>
      <c r="H108" t="s">
        <v>332</v>
      </c>
      <c r="I108" t="s">
        <v>61</v>
      </c>
      <c r="J108" s="2">
        <v>45919</v>
      </c>
      <c r="K108" s="2">
        <v>45922</v>
      </c>
      <c r="L108" t="s">
        <v>24</v>
      </c>
      <c r="M108" t="s">
        <v>333</v>
      </c>
      <c r="N108" t="s">
        <v>9</v>
      </c>
      <c r="O108" t="s">
        <v>10</v>
      </c>
      <c r="P108" t="s">
        <v>8</v>
      </c>
      <c r="Q108" t="s">
        <v>25</v>
      </c>
      <c r="R108" t="s">
        <v>59</v>
      </c>
      <c r="S108" s="3">
        <v>263.38</v>
      </c>
      <c r="T108" t="s">
        <v>12</v>
      </c>
      <c r="U108" s="3">
        <v>23049.52</v>
      </c>
      <c r="V108" s="3" t="e">
        <f>VLOOKUP(M108,[1]working!$C$1:$E$65536,3,0)</f>
        <v>#N/A</v>
      </c>
      <c r="W108" s="3" t="e">
        <f t="shared" si="4"/>
        <v>#N/A</v>
      </c>
      <c r="X108" s="3"/>
      <c r="Y108" s="3" t="e">
        <f>VLOOKUP(M108,[1]working!$C:$F,4,0)</f>
        <v>#N/A</v>
      </c>
      <c r="Z108" s="3"/>
      <c r="AA108" s="3" t="s">
        <v>480</v>
      </c>
      <c r="AB108" t="s">
        <v>63</v>
      </c>
      <c r="AC108" t="s">
        <v>27</v>
      </c>
      <c r="AD108" t="s">
        <v>8</v>
      </c>
      <c r="AE108" t="s">
        <v>334</v>
      </c>
      <c r="AF108" t="s">
        <v>14</v>
      </c>
      <c r="AG108" t="s">
        <v>335</v>
      </c>
      <c r="AH108" t="s">
        <v>8</v>
      </c>
      <c r="AI108" t="s">
        <v>8</v>
      </c>
      <c r="AJ108" t="s">
        <v>8</v>
      </c>
      <c r="AK108" s="2">
        <v>45919</v>
      </c>
      <c r="AL108" s="2"/>
      <c r="AM108" t="s">
        <v>8</v>
      </c>
    </row>
    <row r="109" spans="1:39" outlineLevel="2" x14ac:dyDescent="0.25">
      <c r="A109" t="s">
        <v>34</v>
      </c>
      <c r="B109" t="s">
        <v>1</v>
      </c>
      <c r="C109" t="s">
        <v>2</v>
      </c>
      <c r="D109" t="s">
        <v>3</v>
      </c>
      <c r="E109" t="s">
        <v>4</v>
      </c>
      <c r="F109" t="s">
        <v>106</v>
      </c>
      <c r="G109" s="2">
        <v>45798</v>
      </c>
      <c r="H109" t="s">
        <v>336</v>
      </c>
      <c r="I109" t="s">
        <v>61</v>
      </c>
      <c r="J109" s="2">
        <v>45798</v>
      </c>
      <c r="K109" s="2">
        <v>45805</v>
      </c>
      <c r="L109" t="s">
        <v>24</v>
      </c>
      <c r="M109" t="s">
        <v>337</v>
      </c>
      <c r="N109" t="s">
        <v>9</v>
      </c>
      <c r="O109" t="s">
        <v>10</v>
      </c>
      <c r="P109" t="s">
        <v>8</v>
      </c>
      <c r="Q109" t="s">
        <v>25</v>
      </c>
      <c r="R109" t="s">
        <v>59</v>
      </c>
      <c r="S109" s="3">
        <v>365.33</v>
      </c>
      <c r="T109" t="s">
        <v>12</v>
      </c>
      <c r="U109" s="3">
        <v>31412.43</v>
      </c>
      <c r="V109" s="3">
        <f>VLOOKUP(M109,[1]working!$C$1:$E$65536,3,0)</f>
        <v>26620.13</v>
      </c>
      <c r="W109" s="3">
        <f t="shared" si="4"/>
        <v>4792.2999999999993</v>
      </c>
      <c r="X109" s="3">
        <f>VLOOKUP(M109,[1]working!$C$1:$H$65536,6,0)</f>
        <v>4791.4399999999996</v>
      </c>
      <c r="Y109" s="3">
        <f>VLOOKUP(M109,[1]working!$C:$F,4,0)</f>
        <v>0</v>
      </c>
      <c r="Z109" s="17">
        <f t="shared" ref="Z109:Z114" si="7">W109-X109</f>
        <v>0.85999999999967258</v>
      </c>
      <c r="AA109" s="17" t="s">
        <v>477</v>
      </c>
      <c r="AB109" t="s">
        <v>63</v>
      </c>
      <c r="AC109" t="s">
        <v>27</v>
      </c>
      <c r="AD109" t="s">
        <v>8</v>
      </c>
      <c r="AE109" t="s">
        <v>24</v>
      </c>
      <c r="AF109" t="s">
        <v>14</v>
      </c>
      <c r="AG109" t="s">
        <v>338</v>
      </c>
      <c r="AH109" t="s">
        <v>8</v>
      </c>
      <c r="AI109" t="s">
        <v>8</v>
      </c>
      <c r="AJ109" t="s">
        <v>8</v>
      </c>
      <c r="AK109" s="2">
        <v>45798</v>
      </c>
      <c r="AL109" s="2"/>
      <c r="AM109" t="s">
        <v>8</v>
      </c>
    </row>
    <row r="110" spans="1:39" outlineLevel="2" x14ac:dyDescent="0.25">
      <c r="A110" t="s">
        <v>34</v>
      </c>
      <c r="B110" t="s">
        <v>1</v>
      </c>
      <c r="C110" t="s">
        <v>2</v>
      </c>
      <c r="D110" t="s">
        <v>3</v>
      </c>
      <c r="E110" t="s">
        <v>4</v>
      </c>
      <c r="F110" t="s">
        <v>18</v>
      </c>
      <c r="G110" s="2">
        <v>45771</v>
      </c>
      <c r="H110" t="s">
        <v>339</v>
      </c>
      <c r="I110" t="s">
        <v>61</v>
      </c>
      <c r="J110" s="2">
        <v>45771</v>
      </c>
      <c r="K110" s="2">
        <v>45773</v>
      </c>
      <c r="L110" t="s">
        <v>24</v>
      </c>
      <c r="M110" t="s">
        <v>340</v>
      </c>
      <c r="N110" t="s">
        <v>9</v>
      </c>
      <c r="O110" t="s">
        <v>10</v>
      </c>
      <c r="P110" t="s">
        <v>8</v>
      </c>
      <c r="Q110" t="s">
        <v>25</v>
      </c>
      <c r="R110" t="s">
        <v>59</v>
      </c>
      <c r="S110" s="3">
        <v>352.05</v>
      </c>
      <c r="T110" t="s">
        <v>12</v>
      </c>
      <c r="U110" s="3">
        <v>30600.83</v>
      </c>
      <c r="V110" s="3">
        <f>VLOOKUP(M110,[1]working!$C$1:$E$65536,3,0)</f>
        <v>25933.17</v>
      </c>
      <c r="W110" s="3">
        <f t="shared" si="4"/>
        <v>4667.6600000000035</v>
      </c>
      <c r="X110" s="3">
        <f>VLOOKUP(M110,[1]working!$C$1:$H$65536,6,0)</f>
        <v>4668</v>
      </c>
      <c r="Y110" s="3">
        <f>VLOOKUP(M110,[1]working!$C:$F,4,0)</f>
        <v>-2593</v>
      </c>
      <c r="Z110" s="17">
        <f t="shared" si="7"/>
        <v>-0.33999999999650754</v>
      </c>
      <c r="AA110" s="17" t="s">
        <v>477</v>
      </c>
      <c r="AB110" t="s">
        <v>63</v>
      </c>
      <c r="AC110" t="s">
        <v>20</v>
      </c>
      <c r="AD110" t="s">
        <v>8</v>
      </c>
      <c r="AE110" t="s">
        <v>24</v>
      </c>
      <c r="AF110" t="s">
        <v>14</v>
      </c>
      <c r="AG110" t="s">
        <v>341</v>
      </c>
      <c r="AH110" t="s">
        <v>8</v>
      </c>
      <c r="AI110" t="s">
        <v>8</v>
      </c>
      <c r="AJ110" t="s">
        <v>8</v>
      </c>
      <c r="AK110" s="2">
        <v>45771</v>
      </c>
      <c r="AL110" s="2"/>
      <c r="AM110" t="s">
        <v>8</v>
      </c>
    </row>
    <row r="111" spans="1:39" outlineLevel="2" x14ac:dyDescent="0.25">
      <c r="A111" t="s">
        <v>34</v>
      </c>
      <c r="B111" t="s">
        <v>1</v>
      </c>
      <c r="C111" t="s">
        <v>2</v>
      </c>
      <c r="D111" t="s">
        <v>3</v>
      </c>
      <c r="E111" t="s">
        <v>4</v>
      </c>
      <c r="F111" t="s">
        <v>87</v>
      </c>
      <c r="G111" s="2">
        <v>45826</v>
      </c>
      <c r="H111" t="s">
        <v>342</v>
      </c>
      <c r="I111" t="s">
        <v>61</v>
      </c>
      <c r="J111" s="2">
        <v>45826</v>
      </c>
      <c r="K111" s="2">
        <v>45829</v>
      </c>
      <c r="L111" t="s">
        <v>24</v>
      </c>
      <c r="M111" t="s">
        <v>343</v>
      </c>
      <c r="N111" t="s">
        <v>9</v>
      </c>
      <c r="O111" t="s">
        <v>10</v>
      </c>
      <c r="P111" t="s">
        <v>8</v>
      </c>
      <c r="Q111" t="s">
        <v>25</v>
      </c>
      <c r="R111" t="s">
        <v>59</v>
      </c>
      <c r="S111" s="3">
        <v>366.39</v>
      </c>
      <c r="T111" t="s">
        <v>12</v>
      </c>
      <c r="U111" s="3">
        <v>31322.97</v>
      </c>
      <c r="V111" s="3">
        <f>VLOOKUP(M111,[1]working!$C$1:$E$65536,3,0)</f>
        <v>26545.03</v>
      </c>
      <c r="W111" s="3">
        <f t="shared" si="4"/>
        <v>4777.9400000000023</v>
      </c>
      <c r="X111" s="3">
        <f>VLOOKUP(M111,[1]working!$C$1:$H$65536,6,0)</f>
        <v>4778</v>
      </c>
      <c r="Y111" s="3">
        <f>VLOOKUP(M111,[1]working!$C:$F,4,0)</f>
        <v>-2654</v>
      </c>
      <c r="Z111" s="17">
        <f t="shared" si="7"/>
        <v>-5.9999999997671694E-2</v>
      </c>
      <c r="AA111" s="17" t="s">
        <v>477</v>
      </c>
      <c r="AB111" t="s">
        <v>63</v>
      </c>
      <c r="AC111" t="s">
        <v>27</v>
      </c>
      <c r="AD111" t="s">
        <v>8</v>
      </c>
      <c r="AE111" t="s">
        <v>24</v>
      </c>
      <c r="AF111" t="s">
        <v>14</v>
      </c>
      <c r="AG111" t="s">
        <v>344</v>
      </c>
      <c r="AH111" t="s">
        <v>8</v>
      </c>
      <c r="AI111" t="s">
        <v>8</v>
      </c>
      <c r="AJ111" t="s">
        <v>8</v>
      </c>
      <c r="AK111" s="2">
        <v>45826</v>
      </c>
      <c r="AL111" s="2"/>
      <c r="AM111" t="s">
        <v>8</v>
      </c>
    </row>
    <row r="112" spans="1:39" outlineLevel="2" x14ac:dyDescent="0.25">
      <c r="A112" t="s">
        <v>34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s="2">
        <v>45981</v>
      </c>
      <c r="H112" t="s">
        <v>345</v>
      </c>
      <c r="I112" t="s">
        <v>61</v>
      </c>
      <c r="J112" s="2">
        <v>45981</v>
      </c>
      <c r="K112" s="2">
        <v>45985</v>
      </c>
      <c r="L112" t="s">
        <v>24</v>
      </c>
      <c r="M112" t="s">
        <v>346</v>
      </c>
      <c r="N112" t="s">
        <v>9</v>
      </c>
      <c r="O112" t="s">
        <v>10</v>
      </c>
      <c r="P112" t="s">
        <v>8</v>
      </c>
      <c r="Q112" t="s">
        <v>25</v>
      </c>
      <c r="R112" t="s">
        <v>59</v>
      </c>
      <c r="S112" s="3">
        <v>43.98</v>
      </c>
      <c r="T112" t="s">
        <v>12</v>
      </c>
      <c r="U112" s="3">
        <v>3870.39</v>
      </c>
      <c r="V112" s="3">
        <f>VLOOKUP(M112,[1]working!$C$1:$E$65536,3,0)</f>
        <v>3279.6</v>
      </c>
      <c r="W112" s="3">
        <f t="shared" si="4"/>
        <v>590.79</v>
      </c>
      <c r="X112" s="3">
        <f>VLOOKUP(M112,[1]working!$C$1:$H$65536,6,0)</f>
        <v>590</v>
      </c>
      <c r="Y112" s="3">
        <f>VLOOKUP(M112,[1]working!$C:$F,4,0)</f>
        <v>-66</v>
      </c>
      <c r="Z112" s="17">
        <f t="shared" si="7"/>
        <v>0.78999999999996362</v>
      </c>
      <c r="AA112" s="17" t="s">
        <v>477</v>
      </c>
      <c r="AB112" t="s">
        <v>63</v>
      </c>
      <c r="AC112" t="s">
        <v>27</v>
      </c>
      <c r="AD112" t="s">
        <v>8</v>
      </c>
      <c r="AE112" t="s">
        <v>347</v>
      </c>
      <c r="AF112" t="s">
        <v>14</v>
      </c>
      <c r="AG112" t="s">
        <v>348</v>
      </c>
      <c r="AH112" t="s">
        <v>8</v>
      </c>
      <c r="AI112" t="s">
        <v>8</v>
      </c>
      <c r="AJ112" t="s">
        <v>8</v>
      </c>
      <c r="AK112" s="2">
        <v>45981</v>
      </c>
      <c r="AL112" s="2"/>
      <c r="AM112" t="s">
        <v>8</v>
      </c>
    </row>
    <row r="113" spans="1:39" outlineLevel="2" x14ac:dyDescent="0.25">
      <c r="A113" t="s">
        <v>34</v>
      </c>
      <c r="B113" t="s">
        <v>1</v>
      </c>
      <c r="C113" t="s">
        <v>2</v>
      </c>
      <c r="D113" t="s">
        <v>3</v>
      </c>
      <c r="E113" t="s">
        <v>4</v>
      </c>
      <c r="F113" t="s">
        <v>18</v>
      </c>
      <c r="G113" s="2">
        <v>45769</v>
      </c>
      <c r="H113" t="s">
        <v>349</v>
      </c>
      <c r="I113" t="s">
        <v>61</v>
      </c>
      <c r="J113" s="2">
        <v>45769</v>
      </c>
      <c r="K113" s="2">
        <v>45770</v>
      </c>
      <c r="L113" t="s">
        <v>24</v>
      </c>
      <c r="M113" t="s">
        <v>350</v>
      </c>
      <c r="N113" t="s">
        <v>9</v>
      </c>
      <c r="O113" t="s">
        <v>10</v>
      </c>
      <c r="P113" t="s">
        <v>8</v>
      </c>
      <c r="Q113" t="s">
        <v>25</v>
      </c>
      <c r="R113" t="s">
        <v>59</v>
      </c>
      <c r="S113" s="3">
        <v>36.4</v>
      </c>
      <c r="T113" t="s">
        <v>12</v>
      </c>
      <c r="U113" s="3">
        <v>3163.95</v>
      </c>
      <c r="V113" s="3">
        <f>VLOOKUP(M113,[1]working!$C$1:$E$65536,3,0)</f>
        <v>2681.05</v>
      </c>
      <c r="W113" s="3">
        <f t="shared" si="4"/>
        <v>482.89999999999964</v>
      </c>
      <c r="X113" s="3">
        <f>VLOOKUP(M113,[1]working!$C$1:$H$65536,6,0)</f>
        <v>483</v>
      </c>
      <c r="Y113" s="3">
        <f>VLOOKUP(M113,[1]working!$C:$F,4,0)</f>
        <v>-54</v>
      </c>
      <c r="Z113" s="17">
        <f t="shared" si="7"/>
        <v>-0.1000000000003638</v>
      </c>
      <c r="AA113" s="17" t="s">
        <v>477</v>
      </c>
      <c r="AB113" t="s">
        <v>63</v>
      </c>
      <c r="AC113" t="s">
        <v>20</v>
      </c>
      <c r="AD113" t="s">
        <v>8</v>
      </c>
      <c r="AE113" t="s">
        <v>24</v>
      </c>
      <c r="AF113" t="s">
        <v>14</v>
      </c>
      <c r="AG113" t="s">
        <v>351</v>
      </c>
      <c r="AH113" t="s">
        <v>8</v>
      </c>
      <c r="AI113" t="s">
        <v>8</v>
      </c>
      <c r="AJ113" t="s">
        <v>8</v>
      </c>
      <c r="AK113" s="2">
        <v>45769</v>
      </c>
      <c r="AL113" s="2"/>
      <c r="AM113" t="s">
        <v>8</v>
      </c>
    </row>
    <row r="114" spans="1:39" outlineLevel="2" x14ac:dyDescent="0.25">
      <c r="A114" t="s">
        <v>34</v>
      </c>
      <c r="B114" t="s">
        <v>1</v>
      </c>
      <c r="C114" t="s">
        <v>2</v>
      </c>
      <c r="D114" t="s">
        <v>3</v>
      </c>
      <c r="E114" t="s">
        <v>4</v>
      </c>
      <c r="F114" t="s">
        <v>18</v>
      </c>
      <c r="G114" s="2">
        <v>45769</v>
      </c>
      <c r="H114" t="s">
        <v>352</v>
      </c>
      <c r="I114" t="s">
        <v>61</v>
      </c>
      <c r="J114" s="2">
        <v>45769</v>
      </c>
      <c r="K114" s="2">
        <v>45770</v>
      </c>
      <c r="L114" t="s">
        <v>24</v>
      </c>
      <c r="M114" t="s">
        <v>353</v>
      </c>
      <c r="N114" t="s">
        <v>9</v>
      </c>
      <c r="O114" t="s">
        <v>10</v>
      </c>
      <c r="P114" t="s">
        <v>8</v>
      </c>
      <c r="Q114" t="s">
        <v>25</v>
      </c>
      <c r="R114" t="s">
        <v>59</v>
      </c>
      <c r="S114" s="3">
        <v>36.67</v>
      </c>
      <c r="T114" t="s">
        <v>12</v>
      </c>
      <c r="U114" s="3">
        <v>3187.42</v>
      </c>
      <c r="V114" s="3">
        <f>VLOOKUP(M114,[1]working!$C$1:$E$65536,3,0)</f>
        <v>2700.58</v>
      </c>
      <c r="W114" s="3">
        <f t="shared" si="4"/>
        <v>486.84000000000015</v>
      </c>
      <c r="X114" s="3">
        <f>VLOOKUP(M114,[1]working!$C$1:$H$65536,6,0)</f>
        <v>486</v>
      </c>
      <c r="Y114" s="3">
        <f>VLOOKUP(M114,[1]working!$C:$F,4,0)</f>
        <v>-53</v>
      </c>
      <c r="Z114" s="17">
        <f t="shared" si="7"/>
        <v>0.84000000000014552</v>
      </c>
      <c r="AA114" s="17" t="s">
        <v>477</v>
      </c>
      <c r="AB114" t="s">
        <v>63</v>
      </c>
      <c r="AC114" t="s">
        <v>20</v>
      </c>
      <c r="AD114" t="s">
        <v>8</v>
      </c>
      <c r="AE114" t="s">
        <v>24</v>
      </c>
      <c r="AF114" t="s">
        <v>14</v>
      </c>
      <c r="AG114" t="s">
        <v>354</v>
      </c>
      <c r="AH114" t="s">
        <v>8</v>
      </c>
      <c r="AI114" t="s">
        <v>8</v>
      </c>
      <c r="AJ114" t="s">
        <v>8</v>
      </c>
      <c r="AK114" s="2">
        <v>45769</v>
      </c>
      <c r="AL114" s="2"/>
      <c r="AM114" t="s">
        <v>8</v>
      </c>
    </row>
    <row r="115" spans="1:39" outlineLevel="2" x14ac:dyDescent="0.25">
      <c r="A115" t="s">
        <v>34</v>
      </c>
      <c r="B115" t="s">
        <v>1</v>
      </c>
      <c r="C115" t="s">
        <v>2</v>
      </c>
      <c r="D115" t="s">
        <v>3</v>
      </c>
      <c r="E115" t="s">
        <v>4</v>
      </c>
      <c r="F115" t="s">
        <v>132</v>
      </c>
      <c r="G115" s="2">
        <v>45918</v>
      </c>
      <c r="H115" t="s">
        <v>355</v>
      </c>
      <c r="I115" t="s">
        <v>61</v>
      </c>
      <c r="J115" s="2">
        <v>45918</v>
      </c>
      <c r="K115" s="2">
        <v>45922</v>
      </c>
      <c r="L115" t="s">
        <v>24</v>
      </c>
      <c r="M115" t="s">
        <v>356</v>
      </c>
      <c r="N115" t="s">
        <v>9</v>
      </c>
      <c r="O115" t="s">
        <v>10</v>
      </c>
      <c r="P115" t="s">
        <v>8</v>
      </c>
      <c r="Q115" t="s">
        <v>25</v>
      </c>
      <c r="R115" t="s">
        <v>59</v>
      </c>
      <c r="S115" s="3">
        <v>24.41</v>
      </c>
      <c r="T115" t="s">
        <v>12</v>
      </c>
      <c r="U115" s="3">
        <v>2136.2199999999998</v>
      </c>
      <c r="V115" s="3" t="e">
        <f>VLOOKUP(M115,[1]working!$C$1:$E$65536,3,0)</f>
        <v>#N/A</v>
      </c>
      <c r="W115" s="3" t="e">
        <f t="shared" si="4"/>
        <v>#N/A</v>
      </c>
      <c r="X115" s="3"/>
      <c r="Y115" s="3" t="e">
        <f>VLOOKUP(M115,[1]working!$C:$F,4,0)</f>
        <v>#N/A</v>
      </c>
      <c r="Z115" s="3"/>
      <c r="AA115" s="3" t="s">
        <v>480</v>
      </c>
      <c r="AB115" t="s">
        <v>63</v>
      </c>
      <c r="AC115" t="s">
        <v>27</v>
      </c>
      <c r="AD115" t="s">
        <v>8</v>
      </c>
      <c r="AE115" t="s">
        <v>357</v>
      </c>
      <c r="AF115" t="s">
        <v>14</v>
      </c>
      <c r="AG115" t="s">
        <v>358</v>
      </c>
      <c r="AH115" t="s">
        <v>8</v>
      </c>
      <c r="AI115" t="s">
        <v>8</v>
      </c>
      <c r="AJ115" t="s">
        <v>8</v>
      </c>
      <c r="AK115" s="2">
        <v>45918</v>
      </c>
      <c r="AL115" s="2"/>
      <c r="AM115" t="s">
        <v>8</v>
      </c>
    </row>
    <row r="116" spans="1:39" outlineLevel="2" x14ac:dyDescent="0.25">
      <c r="A116" t="s">
        <v>34</v>
      </c>
      <c r="B116" t="s">
        <v>1</v>
      </c>
      <c r="C116" t="s">
        <v>2</v>
      </c>
      <c r="D116" t="s">
        <v>3</v>
      </c>
      <c r="E116" t="s">
        <v>4</v>
      </c>
      <c r="F116" t="s">
        <v>132</v>
      </c>
      <c r="G116" s="2">
        <v>45918</v>
      </c>
      <c r="H116" t="s">
        <v>359</v>
      </c>
      <c r="I116" t="s">
        <v>61</v>
      </c>
      <c r="J116" s="2">
        <v>45918</v>
      </c>
      <c r="K116" s="2">
        <v>45922</v>
      </c>
      <c r="L116" t="s">
        <v>24</v>
      </c>
      <c r="M116" t="s">
        <v>360</v>
      </c>
      <c r="N116" t="s">
        <v>9</v>
      </c>
      <c r="O116" t="s">
        <v>10</v>
      </c>
      <c r="P116" t="s">
        <v>8</v>
      </c>
      <c r="Q116" t="s">
        <v>25</v>
      </c>
      <c r="R116" t="s">
        <v>59</v>
      </c>
      <c r="S116" s="3">
        <v>56.84</v>
      </c>
      <c r="T116" t="s">
        <v>12</v>
      </c>
      <c r="U116" s="3">
        <v>4974.3100000000004</v>
      </c>
      <c r="V116" s="3" t="e">
        <f>VLOOKUP(M116,[1]working!$C$1:$E$65536,3,0)</f>
        <v>#N/A</v>
      </c>
      <c r="W116" s="3" t="e">
        <f t="shared" si="4"/>
        <v>#N/A</v>
      </c>
      <c r="X116" s="3"/>
      <c r="Y116" s="3" t="e">
        <f>VLOOKUP(M116,[1]working!$C:$F,4,0)</f>
        <v>#N/A</v>
      </c>
      <c r="Z116" s="3"/>
      <c r="AA116" s="3" t="s">
        <v>480</v>
      </c>
      <c r="AB116" t="s">
        <v>63</v>
      </c>
      <c r="AC116" t="s">
        <v>27</v>
      </c>
      <c r="AD116" t="s">
        <v>8</v>
      </c>
      <c r="AE116" t="s">
        <v>361</v>
      </c>
      <c r="AF116" t="s">
        <v>14</v>
      </c>
      <c r="AG116" t="s">
        <v>362</v>
      </c>
      <c r="AH116" t="s">
        <v>8</v>
      </c>
      <c r="AI116" t="s">
        <v>8</v>
      </c>
      <c r="AJ116" t="s">
        <v>8</v>
      </c>
      <c r="AK116" s="2">
        <v>45918</v>
      </c>
      <c r="AL116" s="2"/>
      <c r="AM116" t="s">
        <v>8</v>
      </c>
    </row>
    <row r="117" spans="1:39" outlineLevel="2" x14ac:dyDescent="0.25">
      <c r="A117" t="s">
        <v>34</v>
      </c>
      <c r="B117" t="s">
        <v>1</v>
      </c>
      <c r="C117" t="s">
        <v>2</v>
      </c>
      <c r="D117" t="s">
        <v>3</v>
      </c>
      <c r="E117" t="s">
        <v>4</v>
      </c>
      <c r="F117" t="s">
        <v>279</v>
      </c>
      <c r="G117" s="2">
        <v>45996</v>
      </c>
      <c r="H117" t="s">
        <v>363</v>
      </c>
      <c r="I117" t="s">
        <v>61</v>
      </c>
      <c r="J117" s="2">
        <v>45996</v>
      </c>
      <c r="K117" s="2">
        <v>46000</v>
      </c>
      <c r="L117" t="s">
        <v>24</v>
      </c>
      <c r="M117" t="s">
        <v>364</v>
      </c>
      <c r="N117" t="s">
        <v>9</v>
      </c>
      <c r="O117" t="s">
        <v>10</v>
      </c>
      <c r="P117" t="s">
        <v>8</v>
      </c>
      <c r="Q117" t="s">
        <v>25</v>
      </c>
      <c r="R117" t="s">
        <v>59</v>
      </c>
      <c r="S117" s="3">
        <v>65.03</v>
      </c>
      <c r="T117" t="s">
        <v>12</v>
      </c>
      <c r="U117" s="3">
        <v>5768.17</v>
      </c>
      <c r="V117" s="3" t="e">
        <f>VLOOKUP(M117,[1]working!$C$1:$E$65536,3,0)</f>
        <v>#N/A</v>
      </c>
      <c r="W117" s="3" t="e">
        <f t="shared" si="4"/>
        <v>#N/A</v>
      </c>
      <c r="X117" s="3"/>
      <c r="Y117" s="3" t="e">
        <f>VLOOKUP(M117,[1]working!$C:$F,4,0)</f>
        <v>#N/A</v>
      </c>
      <c r="Z117" s="3"/>
      <c r="AA117" s="3" t="s">
        <v>480</v>
      </c>
      <c r="AB117" t="s">
        <v>63</v>
      </c>
      <c r="AC117" t="s">
        <v>27</v>
      </c>
      <c r="AD117" t="s">
        <v>8</v>
      </c>
      <c r="AE117" t="s">
        <v>365</v>
      </c>
      <c r="AF117" t="s">
        <v>14</v>
      </c>
      <c r="AG117" t="s">
        <v>366</v>
      </c>
      <c r="AH117" t="s">
        <v>8</v>
      </c>
      <c r="AI117" t="s">
        <v>8</v>
      </c>
      <c r="AJ117" t="s">
        <v>8</v>
      </c>
      <c r="AK117" s="2">
        <v>45996</v>
      </c>
      <c r="AL117" s="2"/>
      <c r="AM117" t="s">
        <v>8</v>
      </c>
    </row>
    <row r="118" spans="1:39" outlineLevel="2" x14ac:dyDescent="0.25">
      <c r="A118" t="s">
        <v>34</v>
      </c>
      <c r="B118" t="s">
        <v>1</v>
      </c>
      <c r="C118" t="s">
        <v>2</v>
      </c>
      <c r="D118" t="s">
        <v>3</v>
      </c>
      <c r="E118" t="s">
        <v>4</v>
      </c>
      <c r="F118" t="s">
        <v>18</v>
      </c>
      <c r="G118" s="2">
        <v>45770</v>
      </c>
      <c r="H118" t="s">
        <v>367</v>
      </c>
      <c r="I118" t="s">
        <v>61</v>
      </c>
      <c r="J118" s="2">
        <v>45770</v>
      </c>
      <c r="K118" s="2">
        <v>45776</v>
      </c>
      <c r="L118" t="s">
        <v>24</v>
      </c>
      <c r="M118" t="s">
        <v>368</v>
      </c>
      <c r="N118" t="s">
        <v>9</v>
      </c>
      <c r="O118" t="s">
        <v>10</v>
      </c>
      <c r="P118" t="s">
        <v>8</v>
      </c>
      <c r="Q118" t="s">
        <v>25</v>
      </c>
      <c r="R118" t="s">
        <v>59</v>
      </c>
      <c r="S118" s="3">
        <v>9.44</v>
      </c>
      <c r="T118" t="s">
        <v>12</v>
      </c>
      <c r="U118" s="3">
        <v>820.54</v>
      </c>
      <c r="V118" s="3">
        <f>VLOOKUP(M118,[1]working!$C$1:$E$65536,3,0)</f>
        <v>694.46</v>
      </c>
      <c r="W118" s="3">
        <f t="shared" si="4"/>
        <v>126.07999999999993</v>
      </c>
      <c r="X118" s="3">
        <f>VLOOKUP(M118,[1]working!$C$1:$H$65536,6,0)</f>
        <v>124</v>
      </c>
      <c r="Y118" s="3">
        <f>VLOOKUP(M118,[1]working!$C:$F,4,0)</f>
        <v>-13</v>
      </c>
      <c r="Z118" s="17">
        <f t="shared" ref="Z118:Z119" si="8">W118-X118</f>
        <v>2.0799999999999272</v>
      </c>
      <c r="AA118" s="17" t="s">
        <v>477</v>
      </c>
      <c r="AB118" t="s">
        <v>63</v>
      </c>
      <c r="AC118" t="s">
        <v>20</v>
      </c>
      <c r="AD118" t="s">
        <v>8</v>
      </c>
      <c r="AE118" t="s">
        <v>24</v>
      </c>
      <c r="AF118" t="s">
        <v>14</v>
      </c>
      <c r="AG118" t="s">
        <v>369</v>
      </c>
      <c r="AH118" t="s">
        <v>8</v>
      </c>
      <c r="AI118" t="s">
        <v>8</v>
      </c>
      <c r="AJ118" t="s">
        <v>8</v>
      </c>
      <c r="AK118" s="2">
        <v>45770</v>
      </c>
      <c r="AL118" s="2"/>
      <c r="AM118" t="s">
        <v>8</v>
      </c>
    </row>
    <row r="119" spans="1:39" outlineLevel="2" x14ac:dyDescent="0.25">
      <c r="A119" t="s">
        <v>34</v>
      </c>
      <c r="B119" t="s">
        <v>1</v>
      </c>
      <c r="C119" t="s">
        <v>2</v>
      </c>
      <c r="D119" t="s">
        <v>3</v>
      </c>
      <c r="E119" t="s">
        <v>4</v>
      </c>
      <c r="F119" t="s">
        <v>279</v>
      </c>
      <c r="G119" s="2">
        <v>45993</v>
      </c>
      <c r="H119" t="s">
        <v>370</v>
      </c>
      <c r="I119" t="s">
        <v>61</v>
      </c>
      <c r="J119" s="2">
        <v>45993</v>
      </c>
      <c r="K119" s="2">
        <v>45995</v>
      </c>
      <c r="L119" t="s">
        <v>24</v>
      </c>
      <c r="M119" t="s">
        <v>371</v>
      </c>
      <c r="N119" t="s">
        <v>9</v>
      </c>
      <c r="O119" t="s">
        <v>10</v>
      </c>
      <c r="P119" t="s">
        <v>8</v>
      </c>
      <c r="Q119" t="s">
        <v>25</v>
      </c>
      <c r="R119" t="s">
        <v>59</v>
      </c>
      <c r="S119" s="3">
        <v>393.47</v>
      </c>
      <c r="T119" t="s">
        <v>12</v>
      </c>
      <c r="U119" s="3">
        <v>34900.839999999997</v>
      </c>
      <c r="V119" s="3">
        <f>VLOOKUP(M119,[1]working!$C:$D,2,0)</f>
        <v>27071</v>
      </c>
      <c r="W119" s="3">
        <f t="shared" si="4"/>
        <v>7829.8399999999965</v>
      </c>
      <c r="X119" s="3">
        <f>VLOOKUP(M119,[1]working!$C$1:$H$65536,6,0)</f>
        <v>4513</v>
      </c>
      <c r="Y119" s="3">
        <f>VLOOKUP(M119,[1]working!$C:$F,4,0)</f>
        <v>-2507</v>
      </c>
      <c r="Z119" s="17">
        <f t="shared" si="8"/>
        <v>3316.8399999999965</v>
      </c>
      <c r="AA119" s="17" t="s">
        <v>476</v>
      </c>
      <c r="AB119" t="s">
        <v>63</v>
      </c>
      <c r="AC119" t="s">
        <v>27</v>
      </c>
      <c r="AD119" t="s">
        <v>8</v>
      </c>
      <c r="AE119" t="s">
        <v>24</v>
      </c>
      <c r="AF119" t="s">
        <v>14</v>
      </c>
      <c r="AG119" t="s">
        <v>372</v>
      </c>
      <c r="AH119" t="s">
        <v>8</v>
      </c>
      <c r="AI119" t="s">
        <v>8</v>
      </c>
      <c r="AJ119" t="s">
        <v>8</v>
      </c>
      <c r="AK119" s="2">
        <v>45993</v>
      </c>
      <c r="AL119" s="2"/>
      <c r="AM119" t="s">
        <v>8</v>
      </c>
    </row>
    <row r="120" spans="1:39" outlineLevel="2" x14ac:dyDescent="0.25">
      <c r="A120" t="s">
        <v>34</v>
      </c>
      <c r="B120" t="s">
        <v>1</v>
      </c>
      <c r="C120" t="s">
        <v>2</v>
      </c>
      <c r="D120" t="s">
        <v>3</v>
      </c>
      <c r="E120" t="s">
        <v>4</v>
      </c>
      <c r="F120" t="s">
        <v>44</v>
      </c>
      <c r="G120" s="2">
        <v>45737</v>
      </c>
      <c r="H120" t="s">
        <v>373</v>
      </c>
      <c r="I120" t="s">
        <v>61</v>
      </c>
      <c r="J120" s="2">
        <v>45737</v>
      </c>
      <c r="K120" s="2">
        <v>45737</v>
      </c>
      <c r="L120" t="s">
        <v>24</v>
      </c>
      <c r="M120" t="s">
        <v>374</v>
      </c>
      <c r="N120" t="s">
        <v>9</v>
      </c>
      <c r="O120" t="s">
        <v>10</v>
      </c>
      <c r="P120" t="s">
        <v>8</v>
      </c>
      <c r="Q120" t="s">
        <v>25</v>
      </c>
      <c r="R120" t="s">
        <v>59</v>
      </c>
      <c r="S120" s="3">
        <v>28.32</v>
      </c>
      <c r="T120" t="s">
        <v>12</v>
      </c>
      <c r="U120" s="3">
        <v>2455.1</v>
      </c>
      <c r="V120" s="3" t="e">
        <f>VLOOKUP(M120,[1]working!$C$1:$E$65536,3,0)</f>
        <v>#N/A</v>
      </c>
      <c r="W120" s="3" t="e">
        <f t="shared" si="4"/>
        <v>#N/A</v>
      </c>
      <c r="X120" s="3"/>
      <c r="Y120" s="3" t="e">
        <f>VLOOKUP(M120,[1]working!$C:$F,4,0)</f>
        <v>#N/A</v>
      </c>
      <c r="Z120" s="3"/>
      <c r="AA120" s="3" t="s">
        <v>480</v>
      </c>
      <c r="AB120" t="s">
        <v>63</v>
      </c>
      <c r="AC120" t="s">
        <v>20</v>
      </c>
      <c r="AD120" t="s">
        <v>8</v>
      </c>
      <c r="AE120" t="s">
        <v>24</v>
      </c>
      <c r="AF120" t="s">
        <v>14</v>
      </c>
      <c r="AG120" t="s">
        <v>375</v>
      </c>
      <c r="AH120" t="s">
        <v>8</v>
      </c>
      <c r="AI120" t="s">
        <v>8</v>
      </c>
      <c r="AJ120" t="s">
        <v>8</v>
      </c>
      <c r="AK120" s="2">
        <v>45737</v>
      </c>
      <c r="AL120" s="2"/>
      <c r="AM120" t="s">
        <v>8</v>
      </c>
    </row>
    <row r="121" spans="1:39" outlineLevel="2" x14ac:dyDescent="0.25">
      <c r="A121" t="s">
        <v>34</v>
      </c>
      <c r="B121" t="s">
        <v>1</v>
      </c>
      <c r="C121" t="s">
        <v>2</v>
      </c>
      <c r="D121" t="s">
        <v>3</v>
      </c>
      <c r="E121" t="s">
        <v>4</v>
      </c>
      <c r="F121" t="s">
        <v>41</v>
      </c>
      <c r="G121" s="2">
        <v>45937</v>
      </c>
      <c r="H121" t="s">
        <v>376</v>
      </c>
      <c r="I121" t="s">
        <v>61</v>
      </c>
      <c r="J121" s="2">
        <v>45937</v>
      </c>
      <c r="K121" s="2">
        <v>45940</v>
      </c>
      <c r="L121" t="s">
        <v>24</v>
      </c>
      <c r="M121" t="s">
        <v>377</v>
      </c>
      <c r="N121" t="s">
        <v>9</v>
      </c>
      <c r="O121" t="s">
        <v>10</v>
      </c>
      <c r="P121" t="s">
        <v>8</v>
      </c>
      <c r="Q121" t="s">
        <v>25</v>
      </c>
      <c r="R121" t="s">
        <v>59</v>
      </c>
      <c r="S121" s="3">
        <v>285.68</v>
      </c>
      <c r="T121" t="s">
        <v>12</v>
      </c>
      <c r="U121" s="3">
        <v>25194.34</v>
      </c>
      <c r="V121" s="3">
        <f>VLOOKUP(M121,[1]working!$C$1:$E$65536,3,0)</f>
        <v>21350.65</v>
      </c>
      <c r="W121" s="3">
        <f t="shared" si="4"/>
        <v>3843.6899999999987</v>
      </c>
      <c r="X121" s="3">
        <f>VLOOKUP(M121,[1]working!$C$1:$H$65536,6,0)</f>
        <v>3843</v>
      </c>
      <c r="Y121" s="3">
        <f>VLOOKUP(M121,[1]working!$C:$F,4,0)</f>
        <v>0</v>
      </c>
      <c r="Z121" s="17">
        <f t="shared" ref="Z121:Z127" si="9">W121-X121</f>
        <v>0.68999999999869033</v>
      </c>
      <c r="AA121" s="17" t="s">
        <v>477</v>
      </c>
      <c r="AB121" t="s">
        <v>63</v>
      </c>
      <c r="AC121" t="s">
        <v>27</v>
      </c>
      <c r="AD121" t="s">
        <v>8</v>
      </c>
      <c r="AE121" t="s">
        <v>378</v>
      </c>
      <c r="AF121" t="s">
        <v>14</v>
      </c>
      <c r="AG121" t="s">
        <v>379</v>
      </c>
      <c r="AH121" t="s">
        <v>8</v>
      </c>
      <c r="AI121" t="s">
        <v>8</v>
      </c>
      <c r="AJ121" t="s">
        <v>8</v>
      </c>
      <c r="AK121" s="2">
        <v>45937</v>
      </c>
      <c r="AL121" s="2"/>
      <c r="AM121" t="s">
        <v>8</v>
      </c>
    </row>
    <row r="122" spans="1:39" outlineLevel="2" x14ac:dyDescent="0.25">
      <c r="A122" t="s">
        <v>34</v>
      </c>
      <c r="B122" t="s">
        <v>1</v>
      </c>
      <c r="C122" t="s">
        <v>2</v>
      </c>
      <c r="D122" t="s">
        <v>3</v>
      </c>
      <c r="E122" t="s">
        <v>4</v>
      </c>
      <c r="F122" t="s">
        <v>38</v>
      </c>
      <c r="G122" s="2">
        <v>45857</v>
      </c>
      <c r="H122" t="s">
        <v>380</v>
      </c>
      <c r="I122" t="s">
        <v>61</v>
      </c>
      <c r="J122" s="2">
        <v>45857</v>
      </c>
      <c r="K122" s="2">
        <v>45859</v>
      </c>
      <c r="L122" t="s">
        <v>24</v>
      </c>
      <c r="M122" t="s">
        <v>381</v>
      </c>
      <c r="N122" t="s">
        <v>9</v>
      </c>
      <c r="O122" t="s">
        <v>10</v>
      </c>
      <c r="P122" t="s">
        <v>8</v>
      </c>
      <c r="Q122" t="s">
        <v>25</v>
      </c>
      <c r="R122" t="s">
        <v>59</v>
      </c>
      <c r="S122" s="3">
        <v>127.44</v>
      </c>
      <c r="T122" t="s">
        <v>12</v>
      </c>
      <c r="U122" s="3">
        <v>10959.93</v>
      </c>
      <c r="V122" s="3">
        <f>VLOOKUP(M122,[1]working!$C$1:$E$65536,3,0)</f>
        <v>9288.15</v>
      </c>
      <c r="W122" s="3">
        <f t="shared" si="4"/>
        <v>1671.7800000000007</v>
      </c>
      <c r="X122" s="3">
        <f>VLOOKUP(M122,[1]working!$C$1:$H$65536,6,0)</f>
        <v>1671.9199999999998</v>
      </c>
      <c r="Y122" s="3">
        <f>VLOOKUP(M122,[1]working!$C:$F,4,0)</f>
        <v>-929</v>
      </c>
      <c r="Z122" s="17">
        <f t="shared" si="9"/>
        <v>-0.13999999999919055</v>
      </c>
      <c r="AA122" s="17" t="s">
        <v>477</v>
      </c>
      <c r="AB122" t="s">
        <v>63</v>
      </c>
      <c r="AC122" t="s">
        <v>27</v>
      </c>
      <c r="AD122" t="s">
        <v>8</v>
      </c>
      <c r="AE122" t="s">
        <v>24</v>
      </c>
      <c r="AF122" t="s">
        <v>14</v>
      </c>
      <c r="AG122" t="s">
        <v>382</v>
      </c>
      <c r="AH122" t="s">
        <v>8</v>
      </c>
      <c r="AI122" t="s">
        <v>8</v>
      </c>
      <c r="AJ122" t="s">
        <v>8</v>
      </c>
      <c r="AK122" s="2">
        <v>45857</v>
      </c>
      <c r="AL122" s="2"/>
      <c r="AM122" t="s">
        <v>8</v>
      </c>
    </row>
    <row r="123" spans="1:39" outlineLevel="2" x14ac:dyDescent="0.25">
      <c r="A123" t="s">
        <v>34</v>
      </c>
      <c r="B123" t="s">
        <v>1</v>
      </c>
      <c r="C123" t="s">
        <v>2</v>
      </c>
      <c r="D123" t="s">
        <v>3</v>
      </c>
      <c r="E123" t="s">
        <v>4</v>
      </c>
      <c r="F123" t="s">
        <v>38</v>
      </c>
      <c r="G123" s="2">
        <v>45857</v>
      </c>
      <c r="H123" t="s">
        <v>383</v>
      </c>
      <c r="I123" t="s">
        <v>61</v>
      </c>
      <c r="J123" s="2">
        <v>45857</v>
      </c>
      <c r="K123" s="2">
        <v>45859</v>
      </c>
      <c r="L123" t="s">
        <v>24</v>
      </c>
      <c r="M123" t="s">
        <v>384</v>
      </c>
      <c r="N123" t="s">
        <v>9</v>
      </c>
      <c r="O123" t="s">
        <v>10</v>
      </c>
      <c r="P123" t="s">
        <v>8</v>
      </c>
      <c r="Q123" t="s">
        <v>25</v>
      </c>
      <c r="R123" t="s">
        <v>59</v>
      </c>
      <c r="S123" s="3">
        <v>19.25</v>
      </c>
      <c r="T123" t="s">
        <v>12</v>
      </c>
      <c r="U123" s="3">
        <v>1655.51</v>
      </c>
      <c r="V123" s="3">
        <f>VLOOKUP(M123,[1]working!$C$1:$E$65536,3,0)</f>
        <v>1403.46</v>
      </c>
      <c r="W123" s="3">
        <f t="shared" si="4"/>
        <v>252.04999999999995</v>
      </c>
      <c r="X123" s="3">
        <f>VLOOKUP(M123,[1]working!$C$1:$H$65536,6,0)</f>
        <v>253</v>
      </c>
      <c r="Y123" s="3">
        <f>VLOOKUP(M123,[1]working!$C:$F,4,0)</f>
        <v>-28</v>
      </c>
      <c r="Z123" s="17">
        <f t="shared" si="9"/>
        <v>-0.95000000000004547</v>
      </c>
      <c r="AA123" s="17" t="s">
        <v>477</v>
      </c>
      <c r="AB123" t="s">
        <v>63</v>
      </c>
      <c r="AC123" t="s">
        <v>27</v>
      </c>
      <c r="AD123" t="s">
        <v>8</v>
      </c>
      <c r="AE123" t="s">
        <v>24</v>
      </c>
      <c r="AF123" t="s">
        <v>14</v>
      </c>
      <c r="AG123" t="s">
        <v>385</v>
      </c>
      <c r="AH123" t="s">
        <v>8</v>
      </c>
      <c r="AI123" t="s">
        <v>8</v>
      </c>
      <c r="AJ123" t="s">
        <v>8</v>
      </c>
      <c r="AK123" s="2">
        <v>45857</v>
      </c>
      <c r="AL123" s="2"/>
      <c r="AM123" t="s">
        <v>8</v>
      </c>
    </row>
    <row r="124" spans="1:39" outlineLevel="2" x14ac:dyDescent="0.25">
      <c r="A124" t="s">
        <v>34</v>
      </c>
      <c r="B124" t="s">
        <v>1</v>
      </c>
      <c r="C124" t="s">
        <v>2</v>
      </c>
      <c r="D124" t="s">
        <v>3</v>
      </c>
      <c r="E124" t="s">
        <v>4</v>
      </c>
      <c r="F124" t="s">
        <v>41</v>
      </c>
      <c r="G124" s="2">
        <v>45948</v>
      </c>
      <c r="H124" t="s">
        <v>386</v>
      </c>
      <c r="I124" t="s">
        <v>61</v>
      </c>
      <c r="J124" s="2">
        <v>45948</v>
      </c>
      <c r="K124" s="2">
        <v>45951</v>
      </c>
      <c r="L124" t="s">
        <v>24</v>
      </c>
      <c r="M124" t="s">
        <v>387</v>
      </c>
      <c r="N124" t="s">
        <v>9</v>
      </c>
      <c r="O124" t="s">
        <v>10</v>
      </c>
      <c r="P124" t="s">
        <v>8</v>
      </c>
      <c r="Q124" t="s">
        <v>25</v>
      </c>
      <c r="R124" t="s">
        <v>59</v>
      </c>
      <c r="S124" s="3">
        <v>326.57</v>
      </c>
      <c r="T124" t="s">
        <v>12</v>
      </c>
      <c r="U124" s="3">
        <v>28800.46</v>
      </c>
      <c r="V124" s="3">
        <f>VLOOKUP(M124,[1]working!$C$1:$E$65536,3,0)</f>
        <v>24406.34</v>
      </c>
      <c r="W124" s="3">
        <f t="shared" si="4"/>
        <v>4394.119999999999</v>
      </c>
      <c r="X124" s="3">
        <f>VLOOKUP(M124,[1]working!$C$1:$H$65536,6,0)</f>
        <v>4393</v>
      </c>
      <c r="Y124" s="3">
        <f>VLOOKUP(M124,[1]working!$C:$F,4,0)</f>
        <v>0</v>
      </c>
      <c r="Z124" s="17">
        <f t="shared" si="9"/>
        <v>1.1199999999989814</v>
      </c>
      <c r="AA124" s="17" t="s">
        <v>477</v>
      </c>
      <c r="AB124" t="s">
        <v>63</v>
      </c>
      <c r="AC124" t="s">
        <v>27</v>
      </c>
      <c r="AD124" t="s">
        <v>8</v>
      </c>
      <c r="AE124" t="s">
        <v>388</v>
      </c>
      <c r="AF124" t="s">
        <v>14</v>
      </c>
      <c r="AG124" t="s">
        <v>389</v>
      </c>
      <c r="AH124" t="s">
        <v>8</v>
      </c>
      <c r="AI124" t="s">
        <v>8</v>
      </c>
      <c r="AJ124" t="s">
        <v>8</v>
      </c>
      <c r="AK124" s="2">
        <v>45948</v>
      </c>
      <c r="AL124" s="2"/>
      <c r="AM124" t="s">
        <v>8</v>
      </c>
    </row>
    <row r="125" spans="1:39" outlineLevel="2" x14ac:dyDescent="0.25">
      <c r="A125" t="s">
        <v>34</v>
      </c>
      <c r="B125" t="s">
        <v>1</v>
      </c>
      <c r="C125" t="s">
        <v>2</v>
      </c>
      <c r="D125" t="s">
        <v>3</v>
      </c>
      <c r="E125" t="s">
        <v>4</v>
      </c>
      <c r="F125" t="s">
        <v>41</v>
      </c>
      <c r="G125" s="2">
        <v>45935</v>
      </c>
      <c r="H125" t="s">
        <v>390</v>
      </c>
      <c r="I125" t="s">
        <v>61</v>
      </c>
      <c r="J125" s="2">
        <v>45935</v>
      </c>
      <c r="K125" s="2">
        <v>45937</v>
      </c>
      <c r="L125" t="s">
        <v>24</v>
      </c>
      <c r="M125" t="s">
        <v>391</v>
      </c>
      <c r="N125" t="s">
        <v>9</v>
      </c>
      <c r="O125" t="s">
        <v>10</v>
      </c>
      <c r="P125" t="s">
        <v>8</v>
      </c>
      <c r="Q125" t="s">
        <v>25</v>
      </c>
      <c r="R125" t="s">
        <v>59</v>
      </c>
      <c r="S125" s="3">
        <v>28.32</v>
      </c>
      <c r="T125" t="s">
        <v>12</v>
      </c>
      <c r="U125" s="3">
        <v>2497.56</v>
      </c>
      <c r="V125" s="3">
        <f>VLOOKUP(M125,[1]working!$C$1:$E$65536,3,0)</f>
        <v>2117.02</v>
      </c>
      <c r="W125" s="3">
        <f t="shared" si="4"/>
        <v>380.53999999999996</v>
      </c>
      <c r="X125" s="3">
        <f>VLOOKUP(M125,[1]working!$C$1:$H$65536,6,0)</f>
        <v>381</v>
      </c>
      <c r="Y125" s="3">
        <f>VLOOKUP(M125,[1]working!$C:$F,4,0)</f>
        <v>-43</v>
      </c>
      <c r="Z125" s="17">
        <f t="shared" si="9"/>
        <v>-0.46000000000003638</v>
      </c>
      <c r="AA125" s="17" t="s">
        <v>477</v>
      </c>
      <c r="AB125" t="s">
        <v>63</v>
      </c>
      <c r="AC125" t="s">
        <v>27</v>
      </c>
      <c r="AD125" t="s">
        <v>8</v>
      </c>
      <c r="AE125" t="s">
        <v>392</v>
      </c>
      <c r="AF125" t="s">
        <v>14</v>
      </c>
      <c r="AG125" t="s">
        <v>393</v>
      </c>
      <c r="AH125" t="s">
        <v>8</v>
      </c>
      <c r="AI125" t="s">
        <v>8</v>
      </c>
      <c r="AJ125" t="s">
        <v>8</v>
      </c>
      <c r="AK125" s="2">
        <v>45935</v>
      </c>
      <c r="AL125" s="2"/>
      <c r="AM125" t="s">
        <v>8</v>
      </c>
    </row>
    <row r="126" spans="1:39" outlineLevel="2" x14ac:dyDescent="0.25">
      <c r="A126" t="s">
        <v>34</v>
      </c>
      <c r="B126" t="s">
        <v>1</v>
      </c>
      <c r="C126" t="s">
        <v>2</v>
      </c>
      <c r="D126" t="s">
        <v>3</v>
      </c>
      <c r="E126" t="s">
        <v>4</v>
      </c>
      <c r="F126" t="s">
        <v>41</v>
      </c>
      <c r="G126" s="2">
        <v>45935</v>
      </c>
      <c r="H126" t="s">
        <v>394</v>
      </c>
      <c r="I126" t="s">
        <v>61</v>
      </c>
      <c r="J126" s="2">
        <v>45935</v>
      </c>
      <c r="K126" s="2">
        <v>45940</v>
      </c>
      <c r="L126" t="s">
        <v>24</v>
      </c>
      <c r="M126" t="s">
        <v>395</v>
      </c>
      <c r="N126" t="s">
        <v>9</v>
      </c>
      <c r="O126" t="s">
        <v>10</v>
      </c>
      <c r="P126" t="s">
        <v>8</v>
      </c>
      <c r="Q126" t="s">
        <v>25</v>
      </c>
      <c r="R126" t="s">
        <v>59</v>
      </c>
      <c r="S126" s="3">
        <v>704.35</v>
      </c>
      <c r="T126" t="s">
        <v>12</v>
      </c>
      <c r="U126" s="3">
        <v>62117.17</v>
      </c>
      <c r="V126" s="3">
        <f>VLOOKUP(M126,[1]working!$C$1:$E$65536,3,0)</f>
        <v>52641.78</v>
      </c>
      <c r="W126" s="3">
        <f t="shared" si="4"/>
        <v>9475.39</v>
      </c>
      <c r="X126" s="3">
        <f>VLOOKUP(M126,[1]working!$C$1:$H$65536,6,0)</f>
        <v>9475</v>
      </c>
      <c r="Y126" s="3">
        <f>VLOOKUP(M126,[1]working!$C:$F,4,0)</f>
        <v>0</v>
      </c>
      <c r="Z126" s="17">
        <f t="shared" si="9"/>
        <v>0.38999999999941792</v>
      </c>
      <c r="AA126" s="17" t="s">
        <v>477</v>
      </c>
      <c r="AB126" t="s">
        <v>63</v>
      </c>
      <c r="AC126" t="s">
        <v>27</v>
      </c>
      <c r="AD126" t="s">
        <v>8</v>
      </c>
      <c r="AE126" t="s">
        <v>24</v>
      </c>
      <c r="AF126" t="s">
        <v>14</v>
      </c>
      <c r="AG126" t="s">
        <v>396</v>
      </c>
      <c r="AH126" t="s">
        <v>8</v>
      </c>
      <c r="AI126" t="s">
        <v>8</v>
      </c>
      <c r="AJ126" t="s">
        <v>8</v>
      </c>
      <c r="AK126" s="2">
        <v>45935</v>
      </c>
      <c r="AL126" s="2"/>
      <c r="AM126" t="s">
        <v>8</v>
      </c>
    </row>
    <row r="127" spans="1:39" outlineLevel="2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41</v>
      </c>
      <c r="G127" s="2">
        <v>45935</v>
      </c>
      <c r="H127" t="s">
        <v>397</v>
      </c>
      <c r="I127" t="s">
        <v>61</v>
      </c>
      <c r="J127" s="2">
        <v>45935</v>
      </c>
      <c r="K127" s="2">
        <v>45937</v>
      </c>
      <c r="L127" t="s">
        <v>24</v>
      </c>
      <c r="M127" t="s">
        <v>398</v>
      </c>
      <c r="N127" t="s">
        <v>9</v>
      </c>
      <c r="O127" t="s">
        <v>10</v>
      </c>
      <c r="P127" t="s">
        <v>8</v>
      </c>
      <c r="Q127" t="s">
        <v>25</v>
      </c>
      <c r="R127" t="s">
        <v>59</v>
      </c>
      <c r="S127" s="3">
        <v>28.32</v>
      </c>
      <c r="T127" t="s">
        <v>12</v>
      </c>
      <c r="U127" s="3">
        <v>2497.56</v>
      </c>
      <c r="V127" s="3">
        <f>VLOOKUP(M127,[1]working!$C$1:$E$65536,3,0)</f>
        <v>2117.02</v>
      </c>
      <c r="W127" s="3">
        <f t="shared" si="4"/>
        <v>380.53999999999996</v>
      </c>
      <c r="X127" s="3">
        <f>VLOOKUP(M127,[1]working!$C$1:$H$65536,6,0)</f>
        <v>381</v>
      </c>
      <c r="Y127" s="3">
        <f>VLOOKUP(M127,[1]working!$C:$F,4,0)</f>
        <v>0</v>
      </c>
      <c r="Z127" s="17">
        <f t="shared" si="9"/>
        <v>-0.46000000000003638</v>
      </c>
      <c r="AA127" s="17" t="s">
        <v>477</v>
      </c>
      <c r="AB127" t="s">
        <v>63</v>
      </c>
      <c r="AC127" t="s">
        <v>27</v>
      </c>
      <c r="AD127" t="s">
        <v>8</v>
      </c>
      <c r="AE127" t="s">
        <v>399</v>
      </c>
      <c r="AF127" t="s">
        <v>14</v>
      </c>
      <c r="AG127" t="s">
        <v>393</v>
      </c>
      <c r="AH127" t="s">
        <v>8</v>
      </c>
      <c r="AI127" t="s">
        <v>8</v>
      </c>
      <c r="AJ127" t="s">
        <v>8</v>
      </c>
      <c r="AK127" s="2">
        <v>45935</v>
      </c>
      <c r="AL127" s="2">
        <v>45975</v>
      </c>
      <c r="AM127" t="s">
        <v>55</v>
      </c>
    </row>
    <row r="128" spans="1:39" outlineLevel="2" x14ac:dyDescent="0.25">
      <c r="A128" t="s">
        <v>34</v>
      </c>
      <c r="B128" t="s">
        <v>1</v>
      </c>
      <c r="C128" t="s">
        <v>2</v>
      </c>
      <c r="D128" t="s">
        <v>3</v>
      </c>
      <c r="E128" t="s">
        <v>400</v>
      </c>
      <c r="F128" t="s">
        <v>14</v>
      </c>
      <c r="G128" s="2">
        <v>46027</v>
      </c>
      <c r="H128" t="s">
        <v>401</v>
      </c>
      <c r="I128" t="s">
        <v>61</v>
      </c>
      <c r="J128" s="2">
        <v>46027</v>
      </c>
      <c r="K128" s="2">
        <v>46027</v>
      </c>
      <c r="L128" t="s">
        <v>24</v>
      </c>
      <c r="M128" t="s">
        <v>402</v>
      </c>
      <c r="N128" t="s">
        <v>9</v>
      </c>
      <c r="O128" t="s">
        <v>10</v>
      </c>
      <c r="P128" t="s">
        <v>8</v>
      </c>
      <c r="Q128" t="s">
        <v>25</v>
      </c>
      <c r="R128" t="s">
        <v>59</v>
      </c>
      <c r="S128" s="3">
        <v>440.2</v>
      </c>
      <c r="T128" t="s">
        <v>12</v>
      </c>
      <c r="U128" s="3">
        <v>39945.129999999997</v>
      </c>
      <c r="V128" s="3" t="e">
        <f>VLOOKUP(M128,[1]working!$C$1:$E$65536,3,0)</f>
        <v>#N/A</v>
      </c>
      <c r="W128" s="3" t="e">
        <f t="shared" si="4"/>
        <v>#N/A</v>
      </c>
      <c r="X128" s="3"/>
      <c r="Y128" s="3" t="e">
        <f>VLOOKUP(M128,[1]working!$C:$F,4,0)</f>
        <v>#N/A</v>
      </c>
      <c r="Z128" s="3"/>
      <c r="AA128" s="3" t="s">
        <v>480</v>
      </c>
      <c r="AB128" t="s">
        <v>63</v>
      </c>
      <c r="AC128" t="s">
        <v>27</v>
      </c>
      <c r="AD128" t="s">
        <v>8</v>
      </c>
      <c r="AE128" t="s">
        <v>403</v>
      </c>
      <c r="AF128" t="s">
        <v>14</v>
      </c>
      <c r="AG128" t="s">
        <v>404</v>
      </c>
      <c r="AH128" t="s">
        <v>8</v>
      </c>
      <c r="AI128" t="s">
        <v>8</v>
      </c>
      <c r="AJ128" t="s">
        <v>8</v>
      </c>
      <c r="AK128" s="2">
        <v>46027</v>
      </c>
      <c r="AL128" s="2"/>
      <c r="AM128" t="s">
        <v>8</v>
      </c>
    </row>
    <row r="129" spans="1:39" outlineLevel="2" x14ac:dyDescent="0.25">
      <c r="A129" t="s">
        <v>34</v>
      </c>
      <c r="B129" t="s">
        <v>1</v>
      </c>
      <c r="C129" t="s">
        <v>2</v>
      </c>
      <c r="D129" t="s">
        <v>3</v>
      </c>
      <c r="E129" t="s">
        <v>400</v>
      </c>
      <c r="F129" t="s">
        <v>14</v>
      </c>
      <c r="G129" s="2">
        <v>46027</v>
      </c>
      <c r="H129" t="s">
        <v>405</v>
      </c>
      <c r="I129" t="s">
        <v>61</v>
      </c>
      <c r="J129" s="2">
        <v>46027</v>
      </c>
      <c r="K129" s="2">
        <v>46027</v>
      </c>
      <c r="L129" t="s">
        <v>406</v>
      </c>
      <c r="M129" t="s">
        <v>407</v>
      </c>
      <c r="N129" t="s">
        <v>9</v>
      </c>
      <c r="O129" t="s">
        <v>10</v>
      </c>
      <c r="P129" t="s">
        <v>8</v>
      </c>
      <c r="Q129" t="s">
        <v>25</v>
      </c>
      <c r="R129" t="s">
        <v>59</v>
      </c>
      <c r="S129" s="3">
        <v>84.64</v>
      </c>
      <c r="T129" t="s">
        <v>12</v>
      </c>
      <c r="U129" s="3">
        <v>7680.5</v>
      </c>
      <c r="V129" s="3" t="e">
        <f>VLOOKUP(M129,[1]working!$C$1:$E$65536,3,0)</f>
        <v>#N/A</v>
      </c>
      <c r="W129" s="3" t="e">
        <f t="shared" si="4"/>
        <v>#N/A</v>
      </c>
      <c r="X129" s="3"/>
      <c r="Y129" s="3" t="e">
        <f>VLOOKUP(M129,[1]working!$C:$F,4,0)</f>
        <v>#N/A</v>
      </c>
      <c r="Z129" s="3"/>
      <c r="AA129" s="3" t="s">
        <v>480</v>
      </c>
      <c r="AB129" t="s">
        <v>63</v>
      </c>
      <c r="AC129" t="s">
        <v>27</v>
      </c>
      <c r="AD129" t="s">
        <v>8</v>
      </c>
      <c r="AE129" t="s">
        <v>24</v>
      </c>
      <c r="AF129" t="s">
        <v>14</v>
      </c>
      <c r="AG129" t="s">
        <v>408</v>
      </c>
      <c r="AH129" t="s">
        <v>8</v>
      </c>
      <c r="AI129" t="s">
        <v>8</v>
      </c>
      <c r="AJ129" t="s">
        <v>8</v>
      </c>
      <c r="AK129" s="2">
        <v>46027</v>
      </c>
      <c r="AL129" s="2"/>
      <c r="AM129" t="s">
        <v>8</v>
      </c>
    </row>
    <row r="130" spans="1:39" outlineLevel="2" x14ac:dyDescent="0.25">
      <c r="A130" t="s">
        <v>34</v>
      </c>
      <c r="B130" t="s">
        <v>1</v>
      </c>
      <c r="C130" t="s">
        <v>2</v>
      </c>
      <c r="D130" t="s">
        <v>3</v>
      </c>
      <c r="E130" t="s">
        <v>400</v>
      </c>
      <c r="F130" t="s">
        <v>14</v>
      </c>
      <c r="G130" s="2">
        <v>46031</v>
      </c>
      <c r="H130" t="s">
        <v>409</v>
      </c>
      <c r="I130" t="s">
        <v>61</v>
      </c>
      <c r="J130" s="2">
        <v>46031</v>
      </c>
      <c r="K130" s="2">
        <v>46031</v>
      </c>
      <c r="L130" t="s">
        <v>24</v>
      </c>
      <c r="M130" t="s">
        <v>410</v>
      </c>
      <c r="N130" t="s">
        <v>9</v>
      </c>
      <c r="O130" t="s">
        <v>10</v>
      </c>
      <c r="P130" t="s">
        <v>8</v>
      </c>
      <c r="Q130" t="s">
        <v>25</v>
      </c>
      <c r="R130" t="s">
        <v>59</v>
      </c>
      <c r="S130" s="3">
        <v>708.71</v>
      </c>
      <c r="T130" t="s">
        <v>12</v>
      </c>
      <c r="U130" s="3">
        <v>64310.57</v>
      </c>
      <c r="V130" s="3" t="e">
        <f>VLOOKUP(M130,[1]working!$C$1:$E$65536,3,0)</f>
        <v>#N/A</v>
      </c>
      <c r="W130" s="3" t="e">
        <f t="shared" si="4"/>
        <v>#N/A</v>
      </c>
      <c r="X130" s="3"/>
      <c r="Y130" s="3" t="e">
        <f>VLOOKUP(M130,[1]working!$C:$F,4,0)</f>
        <v>#N/A</v>
      </c>
      <c r="Z130" s="3"/>
      <c r="AA130" s="3" t="s">
        <v>480</v>
      </c>
      <c r="AB130" t="s">
        <v>63</v>
      </c>
      <c r="AC130" t="s">
        <v>27</v>
      </c>
      <c r="AD130" t="s">
        <v>8</v>
      </c>
      <c r="AE130" t="s">
        <v>411</v>
      </c>
      <c r="AF130" t="s">
        <v>14</v>
      </c>
      <c r="AG130" t="s">
        <v>412</v>
      </c>
      <c r="AH130" t="s">
        <v>8</v>
      </c>
      <c r="AI130" t="s">
        <v>8</v>
      </c>
      <c r="AJ130" t="s">
        <v>8</v>
      </c>
      <c r="AK130" s="2">
        <v>46031</v>
      </c>
      <c r="AL130" s="2"/>
      <c r="AM130" t="s">
        <v>8</v>
      </c>
    </row>
    <row r="131" spans="1:39" outlineLevel="2" x14ac:dyDescent="0.25">
      <c r="A131" t="s">
        <v>34</v>
      </c>
      <c r="B131" t="s">
        <v>1</v>
      </c>
      <c r="C131" t="s">
        <v>2</v>
      </c>
      <c r="D131" t="s">
        <v>3</v>
      </c>
      <c r="E131" t="s">
        <v>400</v>
      </c>
      <c r="F131" t="s">
        <v>14</v>
      </c>
      <c r="G131" s="2">
        <v>46028</v>
      </c>
      <c r="H131" t="s">
        <v>413</v>
      </c>
      <c r="I131" t="s">
        <v>61</v>
      </c>
      <c r="J131" s="2">
        <v>46028</v>
      </c>
      <c r="K131" s="2">
        <v>46034</v>
      </c>
      <c r="L131" t="s">
        <v>414</v>
      </c>
      <c r="M131" t="s">
        <v>415</v>
      </c>
      <c r="N131" t="s">
        <v>9</v>
      </c>
      <c r="O131" t="s">
        <v>10</v>
      </c>
      <c r="P131" t="s">
        <v>8</v>
      </c>
      <c r="Q131" t="s">
        <v>25</v>
      </c>
      <c r="R131" t="s">
        <v>59</v>
      </c>
      <c r="S131" s="3">
        <v>42.48</v>
      </c>
      <c r="T131" t="s">
        <v>12</v>
      </c>
      <c r="U131" s="3">
        <v>3854.77</v>
      </c>
      <c r="V131" s="3" t="e">
        <f>VLOOKUP(M131,[1]working!$C$1:$E$65536,3,0)</f>
        <v>#N/A</v>
      </c>
      <c r="W131" s="3" t="e">
        <f t="shared" si="4"/>
        <v>#N/A</v>
      </c>
      <c r="X131" s="3"/>
      <c r="Y131" s="3" t="e">
        <f>VLOOKUP(M131,[1]working!$C:$F,4,0)</f>
        <v>#N/A</v>
      </c>
      <c r="Z131" s="3"/>
      <c r="AA131" s="3" t="s">
        <v>480</v>
      </c>
      <c r="AB131" t="s">
        <v>63</v>
      </c>
      <c r="AC131" t="s">
        <v>27</v>
      </c>
      <c r="AD131" t="s">
        <v>8</v>
      </c>
      <c r="AE131" t="s">
        <v>24</v>
      </c>
      <c r="AF131" t="s">
        <v>14</v>
      </c>
      <c r="AG131" t="s">
        <v>416</v>
      </c>
      <c r="AH131" t="s">
        <v>8</v>
      </c>
      <c r="AI131" t="s">
        <v>8</v>
      </c>
      <c r="AJ131" t="s">
        <v>8</v>
      </c>
      <c r="AK131" s="2">
        <v>46028</v>
      </c>
      <c r="AL131" s="2"/>
      <c r="AM131" t="s">
        <v>8</v>
      </c>
    </row>
    <row r="132" spans="1:39" outlineLevel="2" x14ac:dyDescent="0.25">
      <c r="A132" t="s">
        <v>34</v>
      </c>
      <c r="B132" t="s">
        <v>1</v>
      </c>
      <c r="C132" t="s">
        <v>2</v>
      </c>
      <c r="D132" t="s">
        <v>3</v>
      </c>
      <c r="E132" t="s">
        <v>400</v>
      </c>
      <c r="F132" t="s">
        <v>14</v>
      </c>
      <c r="G132" s="2">
        <v>46034</v>
      </c>
      <c r="H132" t="s">
        <v>417</v>
      </c>
      <c r="I132" t="s">
        <v>61</v>
      </c>
      <c r="J132" s="2">
        <v>46034</v>
      </c>
      <c r="K132" s="2">
        <v>46034</v>
      </c>
      <c r="L132" t="s">
        <v>418</v>
      </c>
      <c r="M132" t="s">
        <v>419</v>
      </c>
      <c r="N132" t="s">
        <v>9</v>
      </c>
      <c r="O132" t="s">
        <v>10</v>
      </c>
      <c r="P132" t="s">
        <v>8</v>
      </c>
      <c r="Q132" t="s">
        <v>25</v>
      </c>
      <c r="R132" t="s">
        <v>59</v>
      </c>
      <c r="S132" s="3">
        <v>42.48</v>
      </c>
      <c r="T132" t="s">
        <v>12</v>
      </c>
      <c r="U132" s="3">
        <v>3854.77</v>
      </c>
      <c r="V132" s="3" t="e">
        <f>VLOOKUP(M132,[1]working!$C$1:$E$65536,3,0)</f>
        <v>#N/A</v>
      </c>
      <c r="W132" s="3" t="e">
        <f t="shared" si="4"/>
        <v>#N/A</v>
      </c>
      <c r="X132" s="3"/>
      <c r="Y132" s="3" t="e">
        <f>VLOOKUP(M132,[1]working!$C:$F,4,0)</f>
        <v>#N/A</v>
      </c>
      <c r="Z132" s="3"/>
      <c r="AA132" s="3" t="s">
        <v>480</v>
      </c>
      <c r="AB132" t="s">
        <v>63</v>
      </c>
      <c r="AC132" t="s">
        <v>27</v>
      </c>
      <c r="AD132" t="s">
        <v>8</v>
      </c>
      <c r="AE132" t="s">
        <v>24</v>
      </c>
      <c r="AF132" t="s">
        <v>14</v>
      </c>
      <c r="AG132" t="s">
        <v>420</v>
      </c>
      <c r="AH132" t="s">
        <v>8</v>
      </c>
      <c r="AI132" t="s">
        <v>8</v>
      </c>
      <c r="AJ132" t="s">
        <v>8</v>
      </c>
      <c r="AK132" s="2">
        <v>46034</v>
      </c>
      <c r="AL132" s="2"/>
      <c r="AM132" t="s">
        <v>8</v>
      </c>
    </row>
    <row r="133" spans="1:39" outlineLevel="2" x14ac:dyDescent="0.25">
      <c r="A133" t="s">
        <v>34</v>
      </c>
      <c r="B133" t="s">
        <v>1</v>
      </c>
      <c r="C133" t="s">
        <v>2</v>
      </c>
      <c r="D133" t="s">
        <v>3</v>
      </c>
      <c r="E133" t="s">
        <v>400</v>
      </c>
      <c r="F133" t="s">
        <v>14</v>
      </c>
      <c r="G133" s="2">
        <v>46028</v>
      </c>
      <c r="H133" t="s">
        <v>421</v>
      </c>
      <c r="I133" t="s">
        <v>61</v>
      </c>
      <c r="J133" s="2">
        <v>46028</v>
      </c>
      <c r="K133" s="2">
        <v>46035</v>
      </c>
      <c r="L133" t="s">
        <v>422</v>
      </c>
      <c r="M133" t="s">
        <v>423</v>
      </c>
      <c r="N133" t="s">
        <v>9</v>
      </c>
      <c r="O133" t="s">
        <v>10</v>
      </c>
      <c r="P133" t="s">
        <v>8</v>
      </c>
      <c r="Q133" t="s">
        <v>25</v>
      </c>
      <c r="R133" t="s">
        <v>59</v>
      </c>
      <c r="S133" s="3">
        <v>497.02</v>
      </c>
      <c r="T133" t="s">
        <v>12</v>
      </c>
      <c r="U133" s="3">
        <v>45101.16</v>
      </c>
      <c r="V133" s="3" t="e">
        <f>VLOOKUP(M133,[1]working!$C$1:$E$65536,3,0)</f>
        <v>#N/A</v>
      </c>
      <c r="W133" s="3" t="e">
        <f t="shared" si="4"/>
        <v>#N/A</v>
      </c>
      <c r="X133" s="3"/>
      <c r="Y133" s="3" t="e">
        <f>VLOOKUP(M133,[1]working!$C:$F,4,0)</f>
        <v>#N/A</v>
      </c>
      <c r="Z133" s="3"/>
      <c r="AA133" s="3" t="s">
        <v>480</v>
      </c>
      <c r="AB133" t="s">
        <v>63</v>
      </c>
      <c r="AC133" t="s">
        <v>27</v>
      </c>
      <c r="AD133" t="s">
        <v>8</v>
      </c>
      <c r="AE133" t="s">
        <v>24</v>
      </c>
      <c r="AF133" t="s">
        <v>14</v>
      </c>
      <c r="AG133" t="s">
        <v>424</v>
      </c>
      <c r="AH133" t="s">
        <v>8</v>
      </c>
      <c r="AI133" t="s">
        <v>8</v>
      </c>
      <c r="AJ133" t="s">
        <v>8</v>
      </c>
      <c r="AK133" s="2">
        <v>46028</v>
      </c>
      <c r="AL133" s="2"/>
      <c r="AM133" t="s">
        <v>8</v>
      </c>
    </row>
    <row r="134" spans="1:39" outlineLevel="2" x14ac:dyDescent="0.25">
      <c r="A134" t="s">
        <v>34</v>
      </c>
      <c r="B134" t="s">
        <v>1</v>
      </c>
      <c r="C134" t="s">
        <v>2</v>
      </c>
      <c r="D134" t="s">
        <v>3</v>
      </c>
      <c r="E134" t="s">
        <v>400</v>
      </c>
      <c r="F134" t="s">
        <v>14</v>
      </c>
      <c r="G134" s="2">
        <v>46034</v>
      </c>
      <c r="H134" t="s">
        <v>425</v>
      </c>
      <c r="I134" t="s">
        <v>61</v>
      </c>
      <c r="J134" s="2">
        <v>46034</v>
      </c>
      <c r="K134" s="2">
        <v>46035</v>
      </c>
      <c r="L134" t="s">
        <v>426</v>
      </c>
      <c r="M134" t="s">
        <v>427</v>
      </c>
      <c r="N134" t="s">
        <v>9</v>
      </c>
      <c r="O134" t="s">
        <v>10</v>
      </c>
      <c r="P134" t="s">
        <v>8</v>
      </c>
      <c r="Q134" t="s">
        <v>25</v>
      </c>
      <c r="R134" t="s">
        <v>59</v>
      </c>
      <c r="S134" s="3">
        <v>50.79</v>
      </c>
      <c r="T134" t="s">
        <v>12</v>
      </c>
      <c r="U134" s="3">
        <v>4608.84</v>
      </c>
      <c r="V134" s="3" t="e">
        <f>VLOOKUP(M134,[1]working!$C$1:$E$65536,3,0)</f>
        <v>#N/A</v>
      </c>
      <c r="W134" s="3" t="e">
        <f t="shared" si="4"/>
        <v>#N/A</v>
      </c>
      <c r="X134" s="3"/>
      <c r="Y134" s="3" t="e">
        <f>VLOOKUP(M134,[1]working!$C:$F,4,0)</f>
        <v>#N/A</v>
      </c>
      <c r="Z134" s="3"/>
      <c r="AA134" s="3" t="s">
        <v>480</v>
      </c>
      <c r="AB134" t="s">
        <v>63</v>
      </c>
      <c r="AC134" t="s">
        <v>27</v>
      </c>
      <c r="AD134" t="s">
        <v>8</v>
      </c>
      <c r="AE134" t="s">
        <v>24</v>
      </c>
      <c r="AF134" t="s">
        <v>14</v>
      </c>
      <c r="AG134" t="s">
        <v>428</v>
      </c>
      <c r="AH134" t="s">
        <v>8</v>
      </c>
      <c r="AI134" t="s">
        <v>8</v>
      </c>
      <c r="AJ134" t="s">
        <v>8</v>
      </c>
      <c r="AK134" s="2">
        <v>46034</v>
      </c>
      <c r="AL134" s="2"/>
      <c r="AM134" t="s">
        <v>8</v>
      </c>
    </row>
    <row r="135" spans="1:39" outlineLevel="2" x14ac:dyDescent="0.25">
      <c r="A135" t="s">
        <v>34</v>
      </c>
      <c r="B135" t="s">
        <v>1</v>
      </c>
      <c r="C135" t="s">
        <v>2</v>
      </c>
      <c r="D135" t="s">
        <v>3</v>
      </c>
      <c r="E135" t="s">
        <v>400</v>
      </c>
      <c r="F135" t="s">
        <v>14</v>
      </c>
      <c r="G135" s="2">
        <v>46042</v>
      </c>
      <c r="H135" t="s">
        <v>429</v>
      </c>
      <c r="I135" t="s">
        <v>61</v>
      </c>
      <c r="J135" s="2">
        <v>46042</v>
      </c>
      <c r="K135" s="2">
        <v>46045</v>
      </c>
      <c r="L135" t="s">
        <v>430</v>
      </c>
      <c r="M135" t="s">
        <v>431</v>
      </c>
      <c r="N135" t="s">
        <v>9</v>
      </c>
      <c r="O135" t="s">
        <v>10</v>
      </c>
      <c r="P135" t="s">
        <v>8</v>
      </c>
      <c r="Q135" t="s">
        <v>25</v>
      </c>
      <c r="R135" t="s">
        <v>59</v>
      </c>
      <c r="S135" s="3">
        <v>454.01</v>
      </c>
      <c r="T135" t="s">
        <v>12</v>
      </c>
      <c r="U135" s="3">
        <v>41198.29</v>
      </c>
      <c r="V135" s="3" t="e">
        <f>VLOOKUP(M135,[1]working!$C$1:$E$65536,3,0)</f>
        <v>#N/A</v>
      </c>
      <c r="W135" s="3" t="e">
        <f t="shared" si="4"/>
        <v>#N/A</v>
      </c>
      <c r="X135" s="3"/>
      <c r="Y135" s="3" t="e">
        <f>VLOOKUP(M135,[1]working!$C:$F,4,0)</f>
        <v>#N/A</v>
      </c>
      <c r="Z135" s="3"/>
      <c r="AA135" s="3" t="s">
        <v>480</v>
      </c>
      <c r="AB135" t="s">
        <v>63</v>
      </c>
      <c r="AC135" t="s">
        <v>27</v>
      </c>
      <c r="AD135" t="s">
        <v>8</v>
      </c>
      <c r="AE135" t="s">
        <v>24</v>
      </c>
      <c r="AF135" t="s">
        <v>14</v>
      </c>
      <c r="AG135" t="s">
        <v>432</v>
      </c>
      <c r="AH135" t="s">
        <v>8</v>
      </c>
      <c r="AI135" t="s">
        <v>8</v>
      </c>
      <c r="AJ135" t="s">
        <v>8</v>
      </c>
      <c r="AK135" s="2">
        <v>46042</v>
      </c>
      <c r="AL135" s="2"/>
      <c r="AM135" t="s">
        <v>8</v>
      </c>
    </row>
    <row r="136" spans="1:39" outlineLevel="2" x14ac:dyDescent="0.25">
      <c r="A136" t="s">
        <v>34</v>
      </c>
      <c r="B136" t="s">
        <v>1</v>
      </c>
      <c r="C136" t="s">
        <v>2</v>
      </c>
      <c r="D136" t="s">
        <v>3</v>
      </c>
      <c r="E136" t="s">
        <v>400</v>
      </c>
      <c r="F136" t="s">
        <v>14</v>
      </c>
      <c r="G136" s="2">
        <v>46045</v>
      </c>
      <c r="H136" t="s">
        <v>433</v>
      </c>
      <c r="I136" t="s">
        <v>61</v>
      </c>
      <c r="J136" s="2">
        <v>46045</v>
      </c>
      <c r="K136" s="2">
        <v>46049</v>
      </c>
      <c r="L136" t="s">
        <v>434</v>
      </c>
      <c r="M136" t="s">
        <v>435</v>
      </c>
      <c r="N136" t="s">
        <v>9</v>
      </c>
      <c r="O136" t="s">
        <v>10</v>
      </c>
      <c r="P136" t="s">
        <v>8</v>
      </c>
      <c r="Q136" t="s">
        <v>25</v>
      </c>
      <c r="R136" t="s">
        <v>59</v>
      </c>
      <c r="S136" s="3">
        <v>17.7</v>
      </c>
      <c r="T136" t="s">
        <v>12</v>
      </c>
      <c r="U136" s="3">
        <v>1606.15</v>
      </c>
      <c r="V136" s="3" t="e">
        <f>VLOOKUP(M136,[1]working!$C$1:$E$65536,3,0)</f>
        <v>#N/A</v>
      </c>
      <c r="W136" s="3" t="e">
        <f t="shared" si="4"/>
        <v>#N/A</v>
      </c>
      <c r="X136" s="3"/>
      <c r="Y136" s="3" t="e">
        <f>VLOOKUP(M136,[1]working!$C:$F,4,0)</f>
        <v>#N/A</v>
      </c>
      <c r="Z136" s="3"/>
      <c r="AA136" s="3" t="s">
        <v>480</v>
      </c>
      <c r="AB136" t="s">
        <v>63</v>
      </c>
      <c r="AC136" t="s">
        <v>27</v>
      </c>
      <c r="AD136" t="s">
        <v>8</v>
      </c>
      <c r="AE136" t="s">
        <v>24</v>
      </c>
      <c r="AF136" t="s">
        <v>14</v>
      </c>
      <c r="AG136" t="s">
        <v>436</v>
      </c>
      <c r="AH136" t="s">
        <v>8</v>
      </c>
      <c r="AI136" t="s">
        <v>8</v>
      </c>
      <c r="AJ136" t="s">
        <v>8</v>
      </c>
      <c r="AK136" s="2">
        <v>46045</v>
      </c>
      <c r="AL136" s="2"/>
      <c r="AM136" t="s">
        <v>8</v>
      </c>
    </row>
  </sheetData>
  <autoFilter ref="A2:AM136" xr:uid="{BF9E01F3-E62E-4C5E-90B0-1E4C9F9E0603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working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Achal Thakkar</cp:lastModifiedBy>
  <cp:revision>1</cp:revision>
  <dcterms:modified xsi:type="dcterms:W3CDTF">2026-04-13T14:40:48Z</dcterms:modified>
  <cp:category/>
</cp:coreProperties>
</file>