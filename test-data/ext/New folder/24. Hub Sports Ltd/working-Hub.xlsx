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 (K)\1. Tax and assurance\Capital Land\24. Hub Sports Ltd\"/>
    </mc:Choice>
  </mc:AlternateContent>
  <xr:revisionPtr revIDLastSave="0" documentId="13_ncr:1_{25F5AE77-CDEE-4B29-BFD4-063B14A259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B6" i="2"/>
  <c r="B5" i="2"/>
  <c r="B4" i="2"/>
  <c r="B3" i="2"/>
  <c r="B2" i="2"/>
  <c r="B7" i="2" s="1"/>
  <c r="B9" i="2" s="1"/>
</calcChain>
</file>

<file path=xl/sharedStrings.xml><?xml version="1.0" encoding="utf-8"?>
<sst xmlns="http://schemas.openxmlformats.org/spreadsheetml/2006/main" count="10" uniqueCount="10">
  <si>
    <t>Particulars</t>
  </si>
  <si>
    <t>Amount</t>
  </si>
  <si>
    <t>Add: Invoices / CN not recorded in customer books</t>
  </si>
  <si>
    <t>Add: Difference in invoices recorded in both books</t>
  </si>
  <si>
    <t>Add: Difference in payments</t>
  </si>
  <si>
    <t>Add: DN recorded by customer but not recorded in our books</t>
  </si>
  <si>
    <t>Derived balance</t>
  </si>
  <si>
    <t>Balance as per Ascent</t>
  </si>
  <si>
    <t>Difference</t>
  </si>
  <si>
    <t>Balance as per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</si>
</sst>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43" fontId="0" fillId="0" borderId="4" xfId="1" applyFont="1" applyBorder="1"/>
    <xf numFmtId="0" fontId="0" fillId="0" borderId="5" xfId="0" applyBorder="1"/>
    <xf numFmtId="43" fontId="0" fillId="0" borderId="6" xfId="1" applyFont="1" applyBorder="1"/>
    <xf numFmtId="0" fontId="0" fillId="0" borderId="5" xfId="0" applyBorder="1" applyAlignment="1">
      <alignment wrapText="1"/>
    </xf>
    <xf numFmtId="43" fontId="2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%20(K)/1.%20Tax%20and%20assurance/Capital%20Land/5.%20VERITASLOGISTICS%20PRIVATE%20LIMITED20260121133246/Workings-veri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Workings"/>
      <sheetName val="Customer ledger"/>
      <sheetName val="Invoices not in customer books"/>
    </sheetNames>
    <sheetDataSet>
      <sheetData sheetId="0" refreshError="1"/>
      <sheetData sheetId="1">
        <row r="3">
          <cell r="J3">
            <v>8531105.4000000004</v>
          </cell>
          <cell r="R3">
            <v>4141709.8499999996</v>
          </cell>
        </row>
        <row r="15">
          <cell r="P15">
            <v>192875.15999999992</v>
          </cell>
        </row>
        <row r="16">
          <cell r="P16">
            <v>184465.09</v>
          </cell>
        </row>
        <row r="18">
          <cell r="O18">
            <v>-99961.800000000047</v>
          </cell>
        </row>
      </sheetData>
      <sheetData sheetId="2">
        <row r="1">
          <cell r="H1">
            <v>-1157342.4899999998</v>
          </cell>
        </row>
      </sheetData>
      <sheetData sheetId="3">
        <row r="1">
          <cell r="U1">
            <v>2954674.6099999989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DD9F-E993-4F66-B3D8-C64CFF2A38AD}">
  <dimension ref="A1:B9"/>
  <sheetViews>
    <sheetView tabSelected="1" workbookViewId="0">
      <selection activeCell="B6" sqref="B6"/>
    </sheetView>
  </sheetViews>
  <sheetFormatPr defaultRowHeight="14.4" x14ac:dyDescent="0.3"/>
  <cols>
    <col min="1" max="1" width="42" bestFit="1" customWidth="1"/>
    <col min="2" max="2" width="12.5546875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x14ac:dyDescent="0.3">
      <c r="A2" s="3" t="s">
        <v>9</v>
      </c>
      <c r="B2" s="4">
        <f>[1]Workings!R3</f>
        <v>4141709.8499999996</v>
      </c>
    </row>
    <row r="3" spans="1:2" x14ac:dyDescent="0.3">
      <c r="A3" s="5" t="s">
        <v>2</v>
      </c>
      <c r="B3" s="6">
        <f>'[1]Invoices not in customer books'!U1</f>
        <v>2954674.6099999989</v>
      </c>
    </row>
    <row r="4" spans="1:2" x14ac:dyDescent="0.3">
      <c r="A4" s="5" t="s">
        <v>3</v>
      </c>
      <c r="B4" s="6">
        <f>-'[1]Customer ledger'!H1</f>
        <v>1157342.4899999998</v>
      </c>
    </row>
    <row r="5" spans="1:2" x14ac:dyDescent="0.3">
      <c r="A5" s="5" t="s">
        <v>4</v>
      </c>
      <c r="B5" s="6">
        <f>[1]Workings!O18</f>
        <v>-99961.800000000047</v>
      </c>
    </row>
    <row r="6" spans="1:2" ht="28.8" x14ac:dyDescent="0.3">
      <c r="A6" s="7" t="s">
        <v>5</v>
      </c>
      <c r="B6" s="6">
        <f>[1]Workings!P15+[1]Workings!P16</f>
        <v>377340.24999999988</v>
      </c>
    </row>
    <row r="7" spans="1:2" x14ac:dyDescent="0.3">
      <c r="A7" s="5" t="s">
        <v>6</v>
      </c>
      <c r="B7" s="6">
        <f>SUM(B2:B6)</f>
        <v>8531105.3999999985</v>
      </c>
    </row>
    <row r="8" spans="1:2" ht="15" thickBot="1" x14ac:dyDescent="0.35">
      <c r="A8" s="5" t="s">
        <v>7</v>
      </c>
      <c r="B8" s="6">
        <f>[1]Workings!J3</f>
        <v>8531105.4000000004</v>
      </c>
    </row>
    <row r="9" spans="1:2" ht="15" thickBot="1" x14ac:dyDescent="0.35">
      <c r="A9" s="1" t="s">
        <v>8</v>
      </c>
      <c r="B9" s="8">
        <f>B8-B7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Achal Thakkar</cp:lastModifiedBy>
  <dcterms:created xsi:type="dcterms:W3CDTF">2015-06-05T18:17:20Z</dcterms:created>
  <dcterms:modified xsi:type="dcterms:W3CDTF">2026-04-13T14:40:56Z</dcterms:modified>
</cp:coreProperties>
</file>