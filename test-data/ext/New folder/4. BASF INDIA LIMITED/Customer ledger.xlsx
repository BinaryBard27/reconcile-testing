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bmcserver\E\Server\2. Tax &amp; Assurance\Capital Land\4. BASF INDIA LIMITED\"/>
    </mc:Choice>
  </mc:AlternateContent>
  <xr:revisionPtr revIDLastSave="0" documentId="13_ncr:1_{C55494A0-61B6-439B-BAF6-C7941098FC3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externalReferences>
    <externalReference r:id="rId2"/>
  </externalReferences>
  <definedNames>
    <definedName name="_xlnm._FilterDatabase" localSheetId="0" hidden="1">Data!$A$2:$Z$141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38" i="1" l="1"/>
  <c r="J138" i="1" s="1"/>
  <c r="I137" i="1"/>
  <c r="J137" i="1" s="1"/>
  <c r="I136" i="1"/>
  <c r="J136" i="1" s="1"/>
  <c r="I135" i="1"/>
  <c r="J135" i="1" s="1"/>
  <c r="I134" i="1"/>
  <c r="J134" i="1" s="1"/>
  <c r="I133" i="1"/>
  <c r="J133" i="1" s="1"/>
  <c r="I132" i="1"/>
  <c r="J132" i="1" s="1"/>
  <c r="I131" i="1"/>
  <c r="J131" i="1" s="1"/>
  <c r="I129" i="1"/>
  <c r="J129" i="1" s="1"/>
  <c r="I128" i="1"/>
  <c r="J128" i="1" s="1"/>
  <c r="I127" i="1"/>
  <c r="J127" i="1" s="1"/>
  <c r="I126" i="1"/>
  <c r="J126" i="1" s="1"/>
  <c r="I125" i="1"/>
  <c r="J125" i="1" s="1"/>
  <c r="I124" i="1"/>
  <c r="J124" i="1" s="1"/>
  <c r="I123" i="1"/>
  <c r="J123" i="1" s="1"/>
  <c r="I122" i="1"/>
  <c r="J122" i="1" s="1"/>
  <c r="I121" i="1"/>
  <c r="J121" i="1" s="1"/>
  <c r="I120" i="1"/>
  <c r="J120" i="1" s="1"/>
  <c r="I119" i="1"/>
  <c r="J119" i="1" s="1"/>
  <c r="I118" i="1"/>
  <c r="J118" i="1" s="1"/>
  <c r="I117" i="1"/>
  <c r="J117" i="1" s="1"/>
  <c r="I116" i="1"/>
  <c r="J116" i="1" s="1"/>
  <c r="I115" i="1"/>
  <c r="J115" i="1" s="1"/>
  <c r="I114" i="1"/>
  <c r="J114" i="1" s="1"/>
  <c r="I113" i="1"/>
  <c r="J113" i="1" s="1"/>
  <c r="I112" i="1"/>
  <c r="J112" i="1" s="1"/>
  <c r="I111" i="1"/>
  <c r="J111" i="1" s="1"/>
  <c r="I110" i="1"/>
  <c r="J110" i="1" s="1"/>
  <c r="I109" i="1"/>
  <c r="J109" i="1" s="1"/>
  <c r="I108" i="1"/>
  <c r="J108" i="1" s="1"/>
  <c r="I107" i="1"/>
  <c r="J107" i="1" s="1"/>
  <c r="I106" i="1"/>
  <c r="J106" i="1" s="1"/>
  <c r="I105" i="1"/>
  <c r="J105" i="1" s="1"/>
  <c r="I104" i="1"/>
  <c r="J104" i="1" s="1"/>
  <c r="I103" i="1"/>
  <c r="J103" i="1" s="1"/>
  <c r="I102" i="1"/>
  <c r="J102" i="1" s="1"/>
  <c r="I101" i="1"/>
  <c r="J101" i="1" s="1"/>
  <c r="I100" i="1"/>
  <c r="J100" i="1" s="1"/>
  <c r="I99" i="1"/>
  <c r="J99" i="1" s="1"/>
  <c r="I98" i="1"/>
  <c r="J98" i="1" s="1"/>
  <c r="I97" i="1"/>
  <c r="J97" i="1" s="1"/>
  <c r="I96" i="1"/>
  <c r="J96" i="1" s="1"/>
  <c r="I95" i="1"/>
  <c r="J95" i="1" s="1"/>
  <c r="I94" i="1"/>
  <c r="J94" i="1" s="1"/>
  <c r="I93" i="1"/>
  <c r="J93" i="1" s="1"/>
  <c r="I92" i="1"/>
  <c r="J92" i="1" s="1"/>
  <c r="I90" i="1"/>
  <c r="J90" i="1" s="1"/>
  <c r="I89" i="1"/>
  <c r="J89" i="1" s="1"/>
  <c r="I88" i="1"/>
  <c r="J88" i="1" s="1"/>
  <c r="I87" i="1"/>
  <c r="J87" i="1" s="1"/>
  <c r="I86" i="1"/>
  <c r="J86" i="1" s="1"/>
  <c r="I85" i="1"/>
  <c r="J85" i="1" s="1"/>
  <c r="I84" i="1"/>
  <c r="J84" i="1" s="1"/>
  <c r="I83" i="1"/>
  <c r="J83" i="1" s="1"/>
  <c r="I82" i="1"/>
  <c r="J82" i="1" s="1"/>
  <c r="I81" i="1"/>
  <c r="J81" i="1" s="1"/>
  <c r="I80" i="1"/>
  <c r="J80" i="1" s="1"/>
  <c r="I79" i="1"/>
  <c r="J79" i="1" s="1"/>
  <c r="I78" i="1"/>
  <c r="J78" i="1" s="1"/>
  <c r="I77" i="1"/>
  <c r="J77" i="1" s="1"/>
  <c r="I76" i="1"/>
  <c r="J76" i="1" s="1"/>
  <c r="I75" i="1"/>
  <c r="J75" i="1" s="1"/>
  <c r="I74" i="1"/>
  <c r="J74" i="1" s="1"/>
  <c r="I73" i="1"/>
  <c r="J73" i="1" s="1"/>
  <c r="I72" i="1"/>
  <c r="J72" i="1" s="1"/>
  <c r="I71" i="1"/>
  <c r="J71" i="1" s="1"/>
  <c r="I70" i="1"/>
  <c r="J70" i="1" s="1"/>
  <c r="I69" i="1"/>
  <c r="J69" i="1" s="1"/>
  <c r="I68" i="1"/>
  <c r="J68" i="1" s="1"/>
  <c r="I67" i="1"/>
  <c r="J67" i="1" s="1"/>
  <c r="I66" i="1"/>
  <c r="J66" i="1" s="1"/>
  <c r="I65" i="1"/>
  <c r="J65" i="1" s="1"/>
  <c r="I64" i="1"/>
  <c r="J64" i="1" s="1"/>
  <c r="I63" i="1"/>
  <c r="J63" i="1" s="1"/>
  <c r="I62" i="1"/>
  <c r="J62" i="1" s="1"/>
  <c r="I61" i="1"/>
  <c r="J61" i="1" s="1"/>
  <c r="I60" i="1"/>
  <c r="J60" i="1" s="1"/>
  <c r="I59" i="1"/>
  <c r="J59" i="1" s="1"/>
  <c r="I58" i="1"/>
  <c r="J58" i="1" s="1"/>
  <c r="I57" i="1"/>
  <c r="J57" i="1" s="1"/>
  <c r="I56" i="1"/>
  <c r="J56" i="1" s="1"/>
  <c r="I55" i="1"/>
  <c r="J55" i="1" s="1"/>
  <c r="I54" i="1"/>
  <c r="J54" i="1" s="1"/>
  <c r="I53" i="1"/>
  <c r="J53" i="1" s="1"/>
  <c r="I52" i="1"/>
  <c r="J52" i="1" s="1"/>
  <c r="I51" i="1"/>
  <c r="J51" i="1" s="1"/>
  <c r="I50" i="1"/>
  <c r="J50" i="1" s="1"/>
  <c r="I49" i="1"/>
  <c r="J49" i="1" s="1"/>
  <c r="I48" i="1"/>
  <c r="J48" i="1" s="1"/>
  <c r="I47" i="1"/>
  <c r="J47" i="1" s="1"/>
  <c r="I46" i="1"/>
  <c r="J46" i="1" s="1"/>
  <c r="I45" i="1"/>
  <c r="J45" i="1" s="1"/>
  <c r="I44" i="1"/>
  <c r="J44" i="1" s="1"/>
  <c r="I43" i="1"/>
  <c r="J43" i="1" s="1"/>
  <c r="I42" i="1"/>
  <c r="J42" i="1" s="1"/>
  <c r="I41" i="1"/>
  <c r="J41" i="1" s="1"/>
  <c r="I40" i="1"/>
  <c r="J40" i="1" s="1"/>
  <c r="I39" i="1"/>
  <c r="J39" i="1" s="1"/>
  <c r="I38" i="1"/>
  <c r="J38" i="1" s="1"/>
  <c r="I37" i="1"/>
  <c r="J37" i="1" s="1"/>
  <c r="I36" i="1"/>
  <c r="J36" i="1" s="1"/>
  <c r="I35" i="1"/>
  <c r="J35" i="1" s="1"/>
  <c r="I34" i="1"/>
  <c r="J34" i="1" s="1"/>
  <c r="I33" i="1"/>
  <c r="J33" i="1" s="1"/>
  <c r="I32" i="1"/>
  <c r="J32" i="1" s="1"/>
  <c r="I31" i="1"/>
  <c r="J31" i="1" s="1"/>
  <c r="I30" i="1"/>
  <c r="J30" i="1" s="1"/>
  <c r="I29" i="1"/>
  <c r="J29" i="1" s="1"/>
  <c r="I28" i="1"/>
  <c r="J28" i="1" s="1"/>
  <c r="I27" i="1"/>
  <c r="J27" i="1" s="1"/>
  <c r="I26" i="1"/>
  <c r="J26" i="1" s="1"/>
  <c r="I25" i="1"/>
  <c r="J25" i="1" s="1"/>
  <c r="I24" i="1"/>
  <c r="J24" i="1" s="1"/>
  <c r="I23" i="1"/>
  <c r="J23" i="1" s="1"/>
  <c r="I22" i="1"/>
  <c r="J22" i="1" s="1"/>
  <c r="I21" i="1"/>
  <c r="J21" i="1" s="1"/>
  <c r="I20" i="1"/>
  <c r="J20" i="1" s="1"/>
  <c r="I19" i="1"/>
  <c r="J19" i="1" s="1"/>
  <c r="I18" i="1"/>
  <c r="J18" i="1" s="1"/>
  <c r="I17" i="1"/>
  <c r="J17" i="1" s="1"/>
  <c r="I16" i="1"/>
  <c r="J16" i="1" s="1"/>
  <c r="I15" i="1"/>
  <c r="J15" i="1" s="1"/>
  <c r="I14" i="1"/>
  <c r="J14" i="1" s="1"/>
  <c r="I13" i="1"/>
  <c r="J13" i="1" s="1"/>
  <c r="I12" i="1"/>
  <c r="J12" i="1" s="1"/>
  <c r="I11" i="1"/>
  <c r="J11" i="1" s="1"/>
  <c r="I10" i="1"/>
  <c r="J10" i="1" s="1"/>
  <c r="I9" i="1"/>
  <c r="J9" i="1" s="1"/>
  <c r="I4" i="1"/>
  <c r="J4" i="1" s="1"/>
  <c r="H1" i="1"/>
  <c r="G1" i="1"/>
  <c r="I7" i="1" l="1"/>
  <c r="J7" i="1" s="1"/>
  <c r="I140" i="1"/>
  <c r="J140" i="1" s="1"/>
  <c r="I8" i="1"/>
  <c r="J8" i="1" s="1"/>
  <c r="I141" i="1"/>
  <c r="J141" i="1" s="1"/>
  <c r="I3" i="1"/>
  <c r="J3" i="1" s="1"/>
  <c r="I91" i="1"/>
  <c r="J91" i="1" s="1"/>
  <c r="I5" i="1"/>
  <c r="J5" i="1" s="1"/>
  <c r="I130" i="1"/>
  <c r="J130" i="1" s="1"/>
  <c r="I6" i="1"/>
  <c r="J6" i="1" s="1"/>
  <c r="I139" i="1"/>
  <c r="J139" i="1" s="1"/>
</calcChain>
</file>

<file path=xl/sharedStrings.xml><?xml version="1.0" encoding="utf-8"?>
<sst xmlns="http://schemas.openxmlformats.org/spreadsheetml/2006/main" count="2145" uniqueCount="474">
  <si>
    <t>6531199</t>
  </si>
  <si>
    <t>246788410023</t>
  </si>
  <si>
    <t>4101483162</t>
  </si>
  <si>
    <t>USD</t>
  </si>
  <si>
    <t>2R</t>
  </si>
  <si>
    <t>31</t>
  </si>
  <si>
    <t/>
  </si>
  <si>
    <t>JOHARIRB</t>
  </si>
  <si>
    <t>CP:70718677</t>
  </si>
  <si>
    <t>4991121755</t>
  </si>
  <si>
    <t>1600000</t>
  </si>
  <si>
    <t>2808500</t>
  </si>
  <si>
    <t>GI15</t>
  </si>
  <si>
    <t>IN01</t>
  </si>
  <si>
    <t>246779411374</t>
  </si>
  <si>
    <t>CP:69290744</t>
  </si>
  <si>
    <t>21</t>
  </si>
  <si>
    <t>4101468435</t>
  </si>
  <si>
    <t>246779412163</t>
  </si>
  <si>
    <t>4101469989</t>
  </si>
  <si>
    <t>CP:69428614</t>
  </si>
  <si>
    <t>246779412311</t>
  </si>
  <si>
    <t>4101469995</t>
  </si>
  <si>
    <t>CP:69425083</t>
  </si>
  <si>
    <t>246779412312</t>
  </si>
  <si>
    <t>4101470009</t>
  </si>
  <si>
    <t>CP:69428905</t>
  </si>
  <si>
    <t>246779412164</t>
  </si>
  <si>
    <t>4101470010</t>
  </si>
  <si>
    <t>CP:69428173</t>
  </si>
  <si>
    <t>246779411375</t>
  </si>
  <si>
    <t>4101470020</t>
  </si>
  <si>
    <t>CP:69424868</t>
  </si>
  <si>
    <t>246779411946</t>
  </si>
  <si>
    <t>16199702</t>
  </si>
  <si>
    <t>2H</t>
  </si>
  <si>
    <t>CP:69428232</t>
  </si>
  <si>
    <t>246779411766</t>
  </si>
  <si>
    <t>4101469994</t>
  </si>
  <si>
    <t>CP:69425078</t>
  </si>
  <si>
    <t>246779412074</t>
  </si>
  <si>
    <t>4101469997</t>
  </si>
  <si>
    <t>CP:69428048</t>
  </si>
  <si>
    <t>246779412076</t>
  </si>
  <si>
    <t>4101469998</t>
  </si>
  <si>
    <t>CP:69428054</t>
  </si>
  <si>
    <t>246779412073</t>
  </si>
  <si>
    <t>4101470002</t>
  </si>
  <si>
    <t>CP:69428233</t>
  </si>
  <si>
    <t>246779412075</t>
  </si>
  <si>
    <t>4101470003</t>
  </si>
  <si>
    <t>CP:69427955</t>
  </si>
  <si>
    <t>246779411768</t>
  </si>
  <si>
    <t>4101470014</t>
  </si>
  <si>
    <t>CP:69428714</t>
  </si>
  <si>
    <t>246779411947</t>
  </si>
  <si>
    <t>4101470017</t>
  </si>
  <si>
    <t>CP:69428803</t>
  </si>
  <si>
    <t>246779411767</t>
  </si>
  <si>
    <t>4101470018</t>
  </si>
  <si>
    <t>CP:69428349</t>
  </si>
  <si>
    <t>246779412701</t>
  </si>
  <si>
    <t>CP:69427578</t>
  </si>
  <si>
    <t>4101469987</t>
  </si>
  <si>
    <t>246779412775</t>
  </si>
  <si>
    <t>4101469988</t>
  </si>
  <si>
    <t>CP:69427581</t>
  </si>
  <si>
    <t>246779412854</t>
  </si>
  <si>
    <t>4101469992</t>
  </si>
  <si>
    <t>CP:69428244</t>
  </si>
  <si>
    <t>246779412615</t>
  </si>
  <si>
    <t>4101469999</t>
  </si>
  <si>
    <t>CP:69428055</t>
  </si>
  <si>
    <t>246779413013</t>
  </si>
  <si>
    <t>4101470006</t>
  </si>
  <si>
    <t>CP:69428918</t>
  </si>
  <si>
    <t>246779412926</t>
  </si>
  <si>
    <t>4101470007</t>
  </si>
  <si>
    <t>CP:69428916</t>
  </si>
  <si>
    <t>246779412853</t>
  </si>
  <si>
    <t>4101470008</t>
  </si>
  <si>
    <t>CP:69428912</t>
  </si>
  <si>
    <t>246779412702</t>
  </si>
  <si>
    <t>4101470011</t>
  </si>
  <si>
    <t>CP:69428519</t>
  </si>
  <si>
    <t>246779412852</t>
  </si>
  <si>
    <t>4101470012</t>
  </si>
  <si>
    <t>CP:69428726</t>
  </si>
  <si>
    <t>246779412774</t>
  </si>
  <si>
    <t>4101470013</t>
  </si>
  <si>
    <t>CP:69428725</t>
  </si>
  <si>
    <t>246779412700</t>
  </si>
  <si>
    <t>4101470016</t>
  </si>
  <si>
    <t>CP:69428808</t>
  </si>
  <si>
    <t>246779412925</t>
  </si>
  <si>
    <t>4101470019</t>
  </si>
  <si>
    <t>CP:69428368</t>
  </si>
  <si>
    <t>246779412773</t>
  </si>
  <si>
    <t>4101470021</t>
  </si>
  <si>
    <t>CP:69428616</t>
  </si>
  <si>
    <t>246779412614</t>
  </si>
  <si>
    <t>4101487778</t>
  </si>
  <si>
    <t>CP:71087002</t>
  </si>
  <si>
    <t>256779410336</t>
  </si>
  <si>
    <t>4101463206</t>
  </si>
  <si>
    <t>CP:68813486</t>
  </si>
  <si>
    <t>256779410339</t>
  </si>
  <si>
    <t>4101463216</t>
  </si>
  <si>
    <t>CP:68814810</t>
  </si>
  <si>
    <t>256779410337</t>
  </si>
  <si>
    <t>4101463220</t>
  </si>
  <si>
    <t>CP:68814812</t>
  </si>
  <si>
    <t>256779410335</t>
  </si>
  <si>
    <t>4101463229</t>
  </si>
  <si>
    <t>CP:68814815</t>
  </si>
  <si>
    <t>256779410331</t>
  </si>
  <si>
    <t>4101463231</t>
  </si>
  <si>
    <t>CP:68813692</t>
  </si>
  <si>
    <t>256779410333</t>
  </si>
  <si>
    <t>4101463232</t>
  </si>
  <si>
    <t>CP:68814820</t>
  </si>
  <si>
    <t>256779410329</t>
  </si>
  <si>
    <t>4101463234</t>
  </si>
  <si>
    <t>CP:68814859</t>
  </si>
  <si>
    <t>256779410327</t>
  </si>
  <si>
    <t>4101463236</t>
  </si>
  <si>
    <t>CP:68814864</t>
  </si>
  <si>
    <t>256779410317</t>
  </si>
  <si>
    <t>4101463237</t>
  </si>
  <si>
    <t>CP:68814870</t>
  </si>
  <si>
    <t>256779410314</t>
  </si>
  <si>
    <t>4101463238</t>
  </si>
  <si>
    <t>CP:68814871</t>
  </si>
  <si>
    <t>256779410313</t>
  </si>
  <si>
    <t>4101463239</t>
  </si>
  <si>
    <t>CP:68814872</t>
  </si>
  <si>
    <t>256779410309</t>
  </si>
  <si>
    <t>4101463240</t>
  </si>
  <si>
    <t>CP:68814885</t>
  </si>
  <si>
    <t>256779410310</t>
  </si>
  <si>
    <t>4101463242</t>
  </si>
  <si>
    <t>CP:68815402</t>
  </si>
  <si>
    <t>256779410330</t>
  </si>
  <si>
    <t>4101463243</t>
  </si>
  <si>
    <t>CP:68819027</t>
  </si>
  <si>
    <t>256779410328</t>
  </si>
  <si>
    <t>4101463245</t>
  </si>
  <si>
    <t>CP:68814778</t>
  </si>
  <si>
    <t>256779410334</t>
  </si>
  <si>
    <t>4101463247</t>
  </si>
  <si>
    <t>CP:68814754</t>
  </si>
  <si>
    <t>256779410311</t>
  </si>
  <si>
    <t>4101463249</t>
  </si>
  <si>
    <t>CP:68814929</t>
  </si>
  <si>
    <t>256779410332</t>
  </si>
  <si>
    <t>4101463250</t>
  </si>
  <si>
    <t>CP:68814197</t>
  </si>
  <si>
    <t>256779410312</t>
  </si>
  <si>
    <t>4101463253</t>
  </si>
  <si>
    <t>CP:68813857</t>
  </si>
  <si>
    <t>256779410338</t>
  </si>
  <si>
    <t>4101464231</t>
  </si>
  <si>
    <t>CP:68813189</t>
  </si>
  <si>
    <t>256779410678</t>
  </si>
  <si>
    <t>CP:68814804</t>
  </si>
  <si>
    <t>4101463200</t>
  </si>
  <si>
    <t>256779410679</t>
  </si>
  <si>
    <t>4101463202</t>
  </si>
  <si>
    <t>CP:68814803</t>
  </si>
  <si>
    <t>256779410554</t>
  </si>
  <si>
    <t>4101463204</t>
  </si>
  <si>
    <t>CP:68814805</t>
  </si>
  <si>
    <t>256779410464</t>
  </si>
  <si>
    <t>4101463212</t>
  </si>
  <si>
    <t>CP:68813485</t>
  </si>
  <si>
    <t>256779410553</t>
  </si>
  <si>
    <t>4101463213</t>
  </si>
  <si>
    <t>CP:68814806</t>
  </si>
  <si>
    <t>256779410680</t>
  </si>
  <si>
    <t>4101463241</t>
  </si>
  <si>
    <t>CP:68814901</t>
  </si>
  <si>
    <t>256779410463</t>
  </si>
  <si>
    <t>4101463248</t>
  </si>
  <si>
    <t>CP:68814753</t>
  </si>
  <si>
    <t>256779410552</t>
  </si>
  <si>
    <t>4101463252</t>
  </si>
  <si>
    <t>CP:68814194</t>
  </si>
  <si>
    <t>256779410928</t>
  </si>
  <si>
    <t>4101469991</t>
  </si>
  <si>
    <t>CP:69425087</t>
  </si>
  <si>
    <t>256779411998</t>
  </si>
  <si>
    <t>4101469993</t>
  </si>
  <si>
    <t>CP:69427447</t>
  </si>
  <si>
    <t>256779410927</t>
  </si>
  <si>
    <t>4101470005</t>
  </si>
  <si>
    <t>CP:69427970</t>
  </si>
  <si>
    <t>256779412038</t>
  </si>
  <si>
    <t>4101470015</t>
  </si>
  <si>
    <t>CP:69428736</t>
  </si>
  <si>
    <t>256779412815</t>
  </si>
  <si>
    <t>4101469996</t>
  </si>
  <si>
    <t>CP:69428065</t>
  </si>
  <si>
    <t>256779412814</t>
  </si>
  <si>
    <t>4101470004</t>
  </si>
  <si>
    <t>CP:69427976</t>
  </si>
  <si>
    <t>256779412784</t>
  </si>
  <si>
    <t>4101481589</t>
  </si>
  <si>
    <t>CP:70500627</t>
  </si>
  <si>
    <t>256779413531</t>
  </si>
  <si>
    <t>4101470140</t>
  </si>
  <si>
    <t>CP:69447736</t>
  </si>
  <si>
    <t>256779413532</t>
  </si>
  <si>
    <t>4101470143</t>
  </si>
  <si>
    <t>CP:69447738</t>
  </si>
  <si>
    <t>256779413530</t>
  </si>
  <si>
    <t>4101470149</t>
  </si>
  <si>
    <t>CP:69447916</t>
  </si>
  <si>
    <t>256779413195</t>
  </si>
  <si>
    <t>4101481588</t>
  </si>
  <si>
    <t>CP:70500631</t>
  </si>
  <si>
    <t>256779413679</t>
  </si>
  <si>
    <t>4101470144</t>
  </si>
  <si>
    <t>CP:69447923</t>
  </si>
  <si>
    <t>256779413678</t>
  </si>
  <si>
    <t>4101470145</t>
  </si>
  <si>
    <t>CP:69447922</t>
  </si>
  <si>
    <t>256779413677</t>
  </si>
  <si>
    <t>4101470148</t>
  </si>
  <si>
    <t>CP:69447921</t>
  </si>
  <si>
    <t>256779414047</t>
  </si>
  <si>
    <t>4101473117</t>
  </si>
  <si>
    <t>CP:69667925</t>
  </si>
  <si>
    <t>256779414046</t>
  </si>
  <si>
    <t>4101473118</t>
  </si>
  <si>
    <t>CP:69668155</t>
  </si>
  <si>
    <t>256779414045</t>
  </si>
  <si>
    <t>4101473119</t>
  </si>
  <si>
    <t>CP:69668148</t>
  </si>
  <si>
    <t>256779414395</t>
  </si>
  <si>
    <t>4101473412</t>
  </si>
  <si>
    <t>CP:69693308</t>
  </si>
  <si>
    <t>256779414615</t>
  </si>
  <si>
    <t>4101478240</t>
  </si>
  <si>
    <t>CP:70220622</t>
  </si>
  <si>
    <t>256779414616</t>
  </si>
  <si>
    <t>4101478241</t>
  </si>
  <si>
    <t>CP:70161210</t>
  </si>
  <si>
    <t>256779414617</t>
  </si>
  <si>
    <t>4101478284</t>
  </si>
  <si>
    <t>CP:70218188</t>
  </si>
  <si>
    <t>256779414953</t>
  </si>
  <si>
    <t>4101478285</t>
  </si>
  <si>
    <t>CP:70174476</t>
  </si>
  <si>
    <t>256779415079</t>
  </si>
  <si>
    <t>4101478286</t>
  </si>
  <si>
    <t>CP:70220315</t>
  </si>
  <si>
    <t>256779415081</t>
  </si>
  <si>
    <t>4101478287</t>
  </si>
  <si>
    <t>CP:70175094</t>
  </si>
  <si>
    <t>256779415080</t>
  </si>
  <si>
    <t>4101478288</t>
  </si>
  <si>
    <t>CP:70175757</t>
  </si>
  <si>
    <t>256779415219</t>
  </si>
  <si>
    <t>4101481587</t>
  </si>
  <si>
    <t>CP:70499855</t>
  </si>
  <si>
    <t>256779415600</t>
  </si>
  <si>
    <t>4101478748</t>
  </si>
  <si>
    <t>CP:70291047</t>
  </si>
  <si>
    <t>256779415598</t>
  </si>
  <si>
    <t>4101478749</t>
  </si>
  <si>
    <t>CP:70291046</t>
  </si>
  <si>
    <t>256779415599</t>
  </si>
  <si>
    <t>4101478960</t>
  </si>
  <si>
    <t>CP:70289046</t>
  </si>
  <si>
    <t>256779415731</t>
  </si>
  <si>
    <t>4101481602</t>
  </si>
  <si>
    <t>CP:70519548</t>
  </si>
  <si>
    <t>TDS ADJ 200725</t>
  </si>
  <si>
    <t>360045060</t>
  </si>
  <si>
    <t>INR</t>
  </si>
  <si>
    <t>3Z</t>
  </si>
  <si>
    <t>U10123974</t>
  </si>
  <si>
    <t>PD: 70137474</t>
  </si>
  <si>
    <t>TDS REC-MAY'25-FR-SAME GL</t>
  </si>
  <si>
    <t>6216054</t>
  </si>
  <si>
    <t>256779415894</t>
  </si>
  <si>
    <t>4101483136</t>
  </si>
  <si>
    <t>CP:70719463</t>
  </si>
  <si>
    <t>256779415895</t>
  </si>
  <si>
    <t>4101483138</t>
  </si>
  <si>
    <t>CP:70719462</t>
  </si>
  <si>
    <t>256779415947</t>
  </si>
  <si>
    <t>4101483147</t>
  </si>
  <si>
    <t>CP:70719457</t>
  </si>
  <si>
    <t>256779415903</t>
  </si>
  <si>
    <t>4101483149</t>
  </si>
  <si>
    <t>CP:70719459</t>
  </si>
  <si>
    <t>256779415899</t>
  </si>
  <si>
    <t>4101483151</t>
  </si>
  <si>
    <t>CP:70719460</t>
  </si>
  <si>
    <t>256779415897</t>
  </si>
  <si>
    <t>4101483161</t>
  </si>
  <si>
    <t>CP:70717585</t>
  </si>
  <si>
    <t>256779415975</t>
  </si>
  <si>
    <t>4101481603</t>
  </si>
  <si>
    <t>CP:70519547</t>
  </si>
  <si>
    <t>256779416061</t>
  </si>
  <si>
    <t>4101483146</t>
  </si>
  <si>
    <t>CP:70719456</t>
  </si>
  <si>
    <t>256779416371</t>
  </si>
  <si>
    <t>4101481601</t>
  </si>
  <si>
    <t>CP:70519267</t>
  </si>
  <si>
    <t>256779416479</t>
  </si>
  <si>
    <t>4101481604</t>
  </si>
  <si>
    <t>CP:70519546</t>
  </si>
  <si>
    <t>256779416372</t>
  </si>
  <si>
    <t>4101482385</t>
  </si>
  <si>
    <t>CP:70623055</t>
  </si>
  <si>
    <t>256779416373</t>
  </si>
  <si>
    <t>4101483132</t>
  </si>
  <si>
    <t>CP:70718917</t>
  </si>
  <si>
    <t>256779416572</t>
  </si>
  <si>
    <t>4101483745</t>
  </si>
  <si>
    <t>CP:70719458</t>
  </si>
  <si>
    <t>256779416592</t>
  </si>
  <si>
    <t>4101483751</t>
  </si>
  <si>
    <t>CP:70726734</t>
  </si>
  <si>
    <t>256779416658</t>
  </si>
  <si>
    <t>4101483153</t>
  </si>
  <si>
    <t>CP:70719464</t>
  </si>
  <si>
    <t>256779416659</t>
  </si>
  <si>
    <t>CP:70719465</t>
  </si>
  <si>
    <t>4101483159</t>
  </si>
  <si>
    <t>256779416660</t>
  </si>
  <si>
    <t>4101483160</t>
  </si>
  <si>
    <t>CP:70719466</t>
  </si>
  <si>
    <t>256779416763</t>
  </si>
  <si>
    <t>4101483742</t>
  </si>
  <si>
    <t>CP:70716456</t>
  </si>
  <si>
    <t>256779416902</t>
  </si>
  <si>
    <t>4101485316</t>
  </si>
  <si>
    <t>CP:70863711</t>
  </si>
  <si>
    <t>256779416903</t>
  </si>
  <si>
    <t>4101485317</t>
  </si>
  <si>
    <t>CP:70863497</t>
  </si>
  <si>
    <t>256779417106</t>
  </si>
  <si>
    <t>4101502021</t>
  </si>
  <si>
    <t>RASUKAS</t>
  </si>
  <si>
    <t>CP:71599121</t>
  </si>
  <si>
    <t>256779417380</t>
  </si>
  <si>
    <t>4101502023</t>
  </si>
  <si>
    <t>CP:72011378</t>
  </si>
  <si>
    <t>256779417393</t>
  </si>
  <si>
    <t>4101487785</t>
  </si>
  <si>
    <t>CP:71158087</t>
  </si>
  <si>
    <t>256779417394</t>
  </si>
  <si>
    <t>4101502014</t>
  </si>
  <si>
    <t>CP:71594789</t>
  </si>
  <si>
    <t>256779417397</t>
  </si>
  <si>
    <t>4101487786</t>
  </si>
  <si>
    <t>CP:71133270</t>
  </si>
  <si>
    <t>256779417828</t>
  </si>
  <si>
    <t>4101493410</t>
  </si>
  <si>
    <t>CP:71598980</t>
  </si>
  <si>
    <t>256779417827</t>
  </si>
  <si>
    <t>4101502013</t>
  </si>
  <si>
    <t>CP:71594365</t>
  </si>
  <si>
    <t>256779417826</t>
  </si>
  <si>
    <t>4101502016</t>
  </si>
  <si>
    <t>CP:72010887</t>
  </si>
  <si>
    <t>256779418043</t>
  </si>
  <si>
    <t>4101502017</t>
  </si>
  <si>
    <t>CP:72010888</t>
  </si>
  <si>
    <t>256779418417</t>
  </si>
  <si>
    <t>4101502012</t>
  </si>
  <si>
    <t>CP:71599307</t>
  </si>
  <si>
    <t>256779418416</t>
  </si>
  <si>
    <t>4101502015</t>
  </si>
  <si>
    <t>CP:71595238</t>
  </si>
  <si>
    <t>256779418763</t>
  </si>
  <si>
    <t>4101502018</t>
  </si>
  <si>
    <t>CP:72010889</t>
  </si>
  <si>
    <t>256779418764</t>
  </si>
  <si>
    <t>4101502020</t>
  </si>
  <si>
    <t>CP:72191567</t>
  </si>
  <si>
    <t>256779418808</t>
  </si>
  <si>
    <t>4101502022</t>
  </si>
  <si>
    <t>CP:72010390</t>
  </si>
  <si>
    <t>256779419325</t>
  </si>
  <si>
    <t>4101502019</t>
  </si>
  <si>
    <t>CP:72010891</t>
  </si>
  <si>
    <t>256779419324</t>
  </si>
  <si>
    <t>4101502024</t>
  </si>
  <si>
    <t>CP:72011382</t>
  </si>
  <si>
    <t>256779419644</t>
  </si>
  <si>
    <t>4101501964</t>
  </si>
  <si>
    <t>CP:72450853</t>
  </si>
  <si>
    <t>4994428721</t>
  </si>
  <si>
    <t>256779419645</t>
  </si>
  <si>
    <t>4101501965</t>
  </si>
  <si>
    <t>CP:72451144</t>
  </si>
  <si>
    <t>TDS ADJ 161225</t>
  </si>
  <si>
    <t>360046256</t>
  </si>
  <si>
    <t>ABDULRND</t>
  </si>
  <si>
    <t>PD:72373657</t>
  </si>
  <si>
    <t>TDS Rec-June'25- OT FR  -Same GL</t>
  </si>
  <si>
    <t>1903800</t>
  </si>
  <si>
    <t>256779450071</t>
  </si>
  <si>
    <t>4101504828</t>
  </si>
  <si>
    <t>CP:72969992</t>
  </si>
  <si>
    <t>256779450127</t>
  </si>
  <si>
    <t>4101504827</t>
  </si>
  <si>
    <t>CP:72976494</t>
  </si>
  <si>
    <t>256779450126</t>
  </si>
  <si>
    <t>4101504831</t>
  </si>
  <si>
    <t>CP:72837116</t>
  </si>
  <si>
    <t>256779450111</t>
  </si>
  <si>
    <t>4101504832</t>
  </si>
  <si>
    <t>CP:72837117</t>
  </si>
  <si>
    <t>256779450110</t>
  </si>
  <si>
    <t>4101504833</t>
  </si>
  <si>
    <t>CP:72837118</t>
  </si>
  <si>
    <t>256779450724</t>
  </si>
  <si>
    <t>4101504830</t>
  </si>
  <si>
    <t>CP:72837115</t>
  </si>
  <si>
    <t>256779450750</t>
  </si>
  <si>
    <t>4101504826</t>
  </si>
  <si>
    <t>CP:72836749</t>
  </si>
  <si>
    <t>256779450751</t>
  </si>
  <si>
    <t>4101504829</t>
  </si>
  <si>
    <t>CP:72837111</t>
  </si>
  <si>
    <t>TDS ADJ 200126C</t>
  </si>
  <si>
    <t>360046372</t>
  </si>
  <si>
    <t>PD: 72742615</t>
  </si>
  <si>
    <t>TDS Rec-October'25- OT FR  -Same GL</t>
  </si>
  <si>
    <t>TDS ADJ 200126</t>
  </si>
  <si>
    <t>360046373</t>
  </si>
  <si>
    <t>PD: 72742541</t>
  </si>
  <si>
    <t>TDS Rec-September'25- OT FR  -Same GL</t>
  </si>
  <si>
    <t>TDS ADJ 200126D</t>
  </si>
  <si>
    <t>360046399</t>
  </si>
  <si>
    <t>PD: 72742817</t>
  </si>
  <si>
    <t>TDS Rec-August'25- OT FR  -Same GL</t>
  </si>
  <si>
    <t>Supplier</t>
  </si>
  <si>
    <t>Reference</t>
  </si>
  <si>
    <t>Document Number</t>
  </si>
  <si>
    <t>Posting Date</t>
  </si>
  <si>
    <t>Document Date</t>
  </si>
  <si>
    <t>Net due date</t>
  </si>
  <si>
    <t>Amount in local currency</t>
  </si>
  <si>
    <t>Amount in doc. curr.</t>
  </si>
  <si>
    <t>Document currency</t>
  </si>
  <si>
    <t>Document Type</t>
  </si>
  <si>
    <t>Posting Key</t>
  </si>
  <si>
    <t>User Name</t>
  </si>
  <si>
    <t>Document Header Text</t>
  </si>
  <si>
    <t>Clearing Document</t>
  </si>
  <si>
    <t>Text</t>
  </si>
  <si>
    <t>Assignment</t>
  </si>
  <si>
    <t>G/L Account</t>
  </si>
  <si>
    <t>Trading partner</t>
  </si>
  <si>
    <t>Offsetting acct no.</t>
  </si>
  <si>
    <t>Clearing date</t>
  </si>
  <si>
    <t>Terms of Payment</t>
  </si>
  <si>
    <t>Company Code</t>
  </si>
  <si>
    <t>.</t>
  </si>
  <si>
    <t>Vlookup</t>
  </si>
  <si>
    <t>Diff</t>
  </si>
  <si>
    <t>Remarks</t>
  </si>
  <si>
    <t>Diff is due to TDS not booked by CL</t>
  </si>
  <si>
    <t>Diff found</t>
  </si>
  <si>
    <t>Matched</t>
  </si>
  <si>
    <t>Invoice not booked in CL books</t>
  </si>
  <si>
    <t>Payment entries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</si>
</sst>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" x14ac:knownFonts="1">
    <font>
      <sz val="10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" fontId="0" fillId="0" borderId="0" xfId="0" applyNumberFormat="1" applyAlignment="1">
      <alignment vertical="top"/>
    </xf>
    <xf numFmtId="0" fontId="0" fillId="0" borderId="0" xfId="0" applyNumberFormat="1" applyAlignment="1">
      <alignment vertical="top"/>
    </xf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43" fontId="0" fillId="0" borderId="0" xfId="1" applyFont="1" applyAlignment="1">
      <alignment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ASF%20Ledg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Workings"/>
    </sheetNames>
    <sheetDataSet>
      <sheetData sheetId="0" refreshError="1"/>
      <sheetData sheetId="1">
        <row r="1">
          <cell r="D1" t="str">
            <v>.</v>
          </cell>
          <cell r="H1">
            <v>6700883.4800000014</v>
          </cell>
          <cell r="J1" t="e">
            <v>#N/A</v>
          </cell>
        </row>
        <row r="2">
          <cell r="C2" t="str">
            <v xml:space="preserve">Invoice </v>
          </cell>
          <cell r="D2" t="str">
            <v>Document Type</v>
          </cell>
          <cell r="E2" t="str">
            <v>Document Date</v>
          </cell>
          <cell r="F2" t="str">
            <v>Special G/L Ind.</v>
          </cell>
          <cell r="G2" t="str">
            <v>Net Due Date Symbol</v>
          </cell>
          <cell r="H2" t="str">
            <v>Amount in Local Currency</v>
          </cell>
          <cell r="I2" t="str">
            <v>Local Currency</v>
          </cell>
          <cell r="J2" t="str">
            <v>Amount in USD</v>
          </cell>
        </row>
        <row r="3">
          <cell r="C3" t="e">
            <v>#N/A</v>
          </cell>
          <cell r="D3" t="str">
            <v>DZ</v>
          </cell>
          <cell r="E3">
            <v>45832</v>
          </cell>
          <cell r="F3" t="str">
            <v/>
          </cell>
          <cell r="G3" t="str">
            <v/>
          </cell>
          <cell r="H3">
            <v>-1955562.36</v>
          </cell>
          <cell r="I3" t="str">
            <v>INR</v>
          </cell>
          <cell r="J3" t="e">
            <v>#N/A</v>
          </cell>
        </row>
        <row r="4">
          <cell r="C4" t="e">
            <v>#N/A</v>
          </cell>
          <cell r="D4" t="str">
            <v>DZ</v>
          </cell>
          <cell r="E4">
            <v>45890</v>
          </cell>
          <cell r="F4" t="str">
            <v/>
          </cell>
          <cell r="G4" t="str">
            <v/>
          </cell>
          <cell r="H4">
            <v>-5233094.54</v>
          </cell>
          <cell r="I4" t="str">
            <v>INR</v>
          </cell>
          <cell r="J4" t="e">
            <v>#N/A</v>
          </cell>
        </row>
        <row r="5">
          <cell r="C5" t="e">
            <v>#N/A</v>
          </cell>
          <cell r="D5" t="str">
            <v>DZ</v>
          </cell>
          <cell r="E5">
            <v>45890</v>
          </cell>
          <cell r="F5" t="str">
            <v/>
          </cell>
          <cell r="G5" t="str">
            <v/>
          </cell>
          <cell r="H5">
            <v>-541999.62</v>
          </cell>
          <cell r="I5" t="str">
            <v>INR</v>
          </cell>
          <cell r="J5" t="e">
            <v>#N/A</v>
          </cell>
        </row>
        <row r="6">
          <cell r="C6" t="e">
            <v>#N/A</v>
          </cell>
          <cell r="D6" t="str">
            <v>DZ</v>
          </cell>
          <cell r="E6">
            <v>45897</v>
          </cell>
          <cell r="F6" t="str">
            <v/>
          </cell>
          <cell r="G6" t="str">
            <v/>
          </cell>
          <cell r="H6">
            <v>-1596991.75</v>
          </cell>
          <cell r="I6" t="str">
            <v>INR</v>
          </cell>
          <cell r="J6" t="e">
            <v>#N/A</v>
          </cell>
        </row>
        <row r="7">
          <cell r="C7" t="e">
            <v>#N/A</v>
          </cell>
          <cell r="D7" t="str">
            <v>DZ</v>
          </cell>
          <cell r="E7">
            <v>45944</v>
          </cell>
          <cell r="F7" t="str">
            <v/>
          </cell>
          <cell r="G7" t="str">
            <v/>
          </cell>
          <cell r="H7">
            <v>-4032039.86</v>
          </cell>
          <cell r="I7" t="str">
            <v>INR</v>
          </cell>
          <cell r="J7" t="e">
            <v>#N/A</v>
          </cell>
        </row>
        <row r="8">
          <cell r="C8" t="e">
            <v>#N/A</v>
          </cell>
          <cell r="D8" t="str">
            <v>DZ</v>
          </cell>
          <cell r="E8">
            <v>46030</v>
          </cell>
          <cell r="F8" t="str">
            <v/>
          </cell>
          <cell r="G8" t="str">
            <v/>
          </cell>
          <cell r="H8">
            <v>-351861.26</v>
          </cell>
          <cell r="I8" t="str">
            <v>INR</v>
          </cell>
          <cell r="J8" t="e">
            <v>#N/A</v>
          </cell>
        </row>
        <row r="9">
          <cell r="C9">
            <v>256779417298</v>
          </cell>
          <cell r="D9" t="str">
            <v>DR</v>
          </cell>
          <cell r="E9">
            <v>45904</v>
          </cell>
          <cell r="F9" t="str">
            <v/>
          </cell>
          <cell r="G9" t="str">
            <v/>
          </cell>
          <cell r="H9">
            <v>17643.759999999998</v>
          </cell>
          <cell r="I9" t="str">
            <v>INR</v>
          </cell>
          <cell r="J9">
            <v>201.61</v>
          </cell>
        </row>
        <row r="10">
          <cell r="C10">
            <v>256779417393</v>
          </cell>
          <cell r="D10" t="str">
            <v>DR</v>
          </cell>
          <cell r="E10">
            <v>45916</v>
          </cell>
          <cell r="F10" t="str">
            <v/>
          </cell>
          <cell r="G10" t="str">
            <v/>
          </cell>
          <cell r="H10">
            <v>338770.6</v>
          </cell>
          <cell r="I10" t="str">
            <v>INR</v>
          </cell>
          <cell r="J10">
            <v>3871.03</v>
          </cell>
        </row>
        <row r="11">
          <cell r="C11">
            <v>256779417394</v>
          </cell>
          <cell r="D11" t="str">
            <v>DR</v>
          </cell>
          <cell r="E11">
            <v>45916</v>
          </cell>
          <cell r="F11" t="str">
            <v/>
          </cell>
          <cell r="G11" t="str">
            <v/>
          </cell>
          <cell r="H11">
            <v>16361.68</v>
          </cell>
          <cell r="I11" t="str">
            <v>INR</v>
          </cell>
          <cell r="J11">
            <v>186.96</v>
          </cell>
        </row>
        <row r="12">
          <cell r="C12">
            <v>256779417397</v>
          </cell>
          <cell r="D12" t="str">
            <v>DR</v>
          </cell>
          <cell r="E12">
            <v>45917</v>
          </cell>
          <cell r="F12" t="str">
            <v/>
          </cell>
          <cell r="G12" t="str">
            <v/>
          </cell>
          <cell r="H12">
            <v>2691.07</v>
          </cell>
          <cell r="I12" t="str">
            <v>INR</v>
          </cell>
          <cell r="J12">
            <v>30.75</v>
          </cell>
        </row>
        <row r="13">
          <cell r="C13">
            <v>256779417398</v>
          </cell>
          <cell r="D13" t="str">
            <v>DR</v>
          </cell>
          <cell r="E13">
            <v>45917</v>
          </cell>
          <cell r="F13" t="str">
            <v/>
          </cell>
          <cell r="G13" t="str">
            <v/>
          </cell>
          <cell r="H13">
            <v>1403.73</v>
          </cell>
          <cell r="I13" t="str">
            <v>INR</v>
          </cell>
          <cell r="J13">
            <v>16.04</v>
          </cell>
        </row>
        <row r="14">
          <cell r="C14">
            <v>256779417541</v>
          </cell>
          <cell r="D14" t="str">
            <v>DR</v>
          </cell>
          <cell r="E14">
            <v>45918</v>
          </cell>
          <cell r="F14" t="str">
            <v/>
          </cell>
          <cell r="G14" t="str">
            <v/>
          </cell>
          <cell r="H14">
            <v>26999.05</v>
          </cell>
          <cell r="I14" t="str">
            <v>INR</v>
          </cell>
          <cell r="J14">
            <v>274.56</v>
          </cell>
        </row>
        <row r="15">
          <cell r="C15">
            <v>256779417499</v>
          </cell>
          <cell r="D15" t="str">
            <v>DR</v>
          </cell>
          <cell r="E15">
            <v>45918</v>
          </cell>
          <cell r="F15" t="str">
            <v/>
          </cell>
          <cell r="G15" t="str">
            <v/>
          </cell>
          <cell r="H15">
            <v>52835.9</v>
          </cell>
          <cell r="I15" t="str">
            <v>INR</v>
          </cell>
          <cell r="J15">
            <v>248.57</v>
          </cell>
        </row>
        <row r="16">
          <cell r="C16">
            <v>256779417822</v>
          </cell>
          <cell r="D16" t="str">
            <v>DR</v>
          </cell>
          <cell r="E16">
            <v>45924</v>
          </cell>
          <cell r="F16" t="str">
            <v/>
          </cell>
          <cell r="G16" t="str">
            <v/>
          </cell>
          <cell r="H16">
            <v>169878.84</v>
          </cell>
          <cell r="I16" t="str">
            <v>INR</v>
          </cell>
          <cell r="J16">
            <v>1674</v>
          </cell>
        </row>
        <row r="17">
          <cell r="C17">
            <v>256779417826</v>
          </cell>
          <cell r="D17" t="str">
            <v>DR</v>
          </cell>
          <cell r="E17">
            <v>45931</v>
          </cell>
          <cell r="F17" t="str">
            <v/>
          </cell>
          <cell r="G17" t="str">
            <v/>
          </cell>
          <cell r="H17">
            <v>256599.86</v>
          </cell>
          <cell r="I17" t="str">
            <v>INR</v>
          </cell>
          <cell r="J17">
            <v>2909.6000000000004</v>
          </cell>
        </row>
        <row r="18">
          <cell r="C18">
            <v>256779417827</v>
          </cell>
          <cell r="D18" t="str">
            <v>DR</v>
          </cell>
          <cell r="E18">
            <v>45931</v>
          </cell>
          <cell r="F18" t="str">
            <v/>
          </cell>
          <cell r="G18" t="str">
            <v/>
          </cell>
          <cell r="H18">
            <v>9821.81</v>
          </cell>
          <cell r="I18" t="str">
            <v>INR</v>
          </cell>
          <cell r="J18">
            <v>111.36999999999999</v>
          </cell>
        </row>
        <row r="19">
          <cell r="C19">
            <v>256779417828</v>
          </cell>
          <cell r="D19" t="str">
            <v>DR</v>
          </cell>
          <cell r="E19">
            <v>45931</v>
          </cell>
          <cell r="F19" t="str">
            <v/>
          </cell>
          <cell r="G19" t="str">
            <v/>
          </cell>
          <cell r="H19">
            <v>11447.16</v>
          </cell>
          <cell r="I19" t="str">
            <v>INR</v>
          </cell>
          <cell r="J19">
            <v>129.80000000000001</v>
          </cell>
        </row>
        <row r="20">
          <cell r="C20">
            <v>256779418053</v>
          </cell>
          <cell r="D20" t="str">
            <v>DR</v>
          </cell>
          <cell r="E20">
            <v>45935</v>
          </cell>
          <cell r="F20" t="str">
            <v/>
          </cell>
          <cell r="G20" t="str">
            <v/>
          </cell>
          <cell r="H20">
            <v>32793.74</v>
          </cell>
          <cell r="I20" t="str">
            <v>INR</v>
          </cell>
          <cell r="J20">
            <v>371.85</v>
          </cell>
        </row>
        <row r="21">
          <cell r="C21">
            <v>256779417956</v>
          </cell>
          <cell r="D21" t="str">
            <v>DR</v>
          </cell>
          <cell r="E21">
            <v>45935</v>
          </cell>
          <cell r="F21" t="str">
            <v/>
          </cell>
          <cell r="G21" t="str">
            <v/>
          </cell>
          <cell r="H21">
            <v>32793.74</v>
          </cell>
          <cell r="I21" t="str">
            <v>INR</v>
          </cell>
          <cell r="J21">
            <v>371.85</v>
          </cell>
        </row>
        <row r="22">
          <cell r="C22">
            <v>256779418043</v>
          </cell>
          <cell r="D22" t="str">
            <v>DR</v>
          </cell>
          <cell r="E22">
            <v>45935</v>
          </cell>
          <cell r="F22" t="str">
            <v/>
          </cell>
          <cell r="G22" t="str">
            <v/>
          </cell>
          <cell r="H22">
            <v>193561.1</v>
          </cell>
          <cell r="I22" t="str">
            <v>INR</v>
          </cell>
          <cell r="J22">
            <v>2194.8000000000002</v>
          </cell>
        </row>
        <row r="23">
          <cell r="C23">
            <v>256779418382</v>
          </cell>
          <cell r="D23" t="str">
            <v>DR</v>
          </cell>
          <cell r="E23">
            <v>45935</v>
          </cell>
          <cell r="F23" t="str">
            <v/>
          </cell>
          <cell r="G23" t="str">
            <v/>
          </cell>
          <cell r="H23">
            <v>6237.73</v>
          </cell>
          <cell r="I23" t="str">
            <v>INR</v>
          </cell>
          <cell r="J23">
            <v>70.72999999999999</v>
          </cell>
        </row>
        <row r="24">
          <cell r="C24">
            <v>256779418416</v>
          </cell>
          <cell r="D24" t="str">
            <v>DR</v>
          </cell>
          <cell r="E24">
            <v>45946</v>
          </cell>
          <cell r="F24" t="str">
            <v/>
          </cell>
          <cell r="G24" t="str">
            <v/>
          </cell>
          <cell r="H24">
            <v>202545.98</v>
          </cell>
          <cell r="I24" t="str">
            <v>INR</v>
          </cell>
          <cell r="J24">
            <v>2296.6799999999998</v>
          </cell>
        </row>
        <row r="25">
          <cell r="C25">
            <v>256779418417</v>
          </cell>
          <cell r="D25" t="str">
            <v>DR</v>
          </cell>
          <cell r="E25">
            <v>45946</v>
          </cell>
          <cell r="F25" t="str">
            <v/>
          </cell>
          <cell r="G25" t="str">
            <v/>
          </cell>
          <cell r="H25">
            <v>4821.3900000000003</v>
          </cell>
          <cell r="I25" t="str">
            <v>INR</v>
          </cell>
          <cell r="J25">
            <v>54.67</v>
          </cell>
        </row>
        <row r="26">
          <cell r="C26">
            <v>256779418639</v>
          </cell>
          <cell r="D26" t="str">
            <v>DR</v>
          </cell>
          <cell r="E26">
            <v>45950</v>
          </cell>
          <cell r="F26" t="str">
            <v/>
          </cell>
          <cell r="G26" t="str">
            <v/>
          </cell>
          <cell r="H26">
            <v>102022.61</v>
          </cell>
          <cell r="I26" t="str">
            <v>INR</v>
          </cell>
          <cell r="J26">
            <v>70.8</v>
          </cell>
        </row>
        <row r="27">
          <cell r="C27">
            <v>256779418672</v>
          </cell>
          <cell r="D27" t="str">
            <v>DR</v>
          </cell>
          <cell r="E27">
            <v>45950</v>
          </cell>
          <cell r="F27" t="str">
            <v/>
          </cell>
          <cell r="G27" t="str">
            <v/>
          </cell>
          <cell r="H27">
            <v>22526.57</v>
          </cell>
          <cell r="I27" t="str">
            <v>INR</v>
          </cell>
          <cell r="J27">
            <v>255.43</v>
          </cell>
        </row>
        <row r="28">
          <cell r="C28">
            <v>256779418763</v>
          </cell>
          <cell r="D28" t="str">
            <v>DR</v>
          </cell>
          <cell r="E28">
            <v>45962</v>
          </cell>
          <cell r="F28" t="str">
            <v/>
          </cell>
          <cell r="G28" t="str">
            <v/>
          </cell>
          <cell r="H28">
            <v>203897.69</v>
          </cell>
          <cell r="I28" t="str">
            <v>INR</v>
          </cell>
          <cell r="J28">
            <v>2316.9299999999998</v>
          </cell>
        </row>
        <row r="29">
          <cell r="C29">
            <v>256779418764</v>
          </cell>
          <cell r="D29" t="str">
            <v>DR</v>
          </cell>
          <cell r="E29">
            <v>45962</v>
          </cell>
          <cell r="F29" t="str">
            <v/>
          </cell>
          <cell r="G29" t="str">
            <v/>
          </cell>
          <cell r="H29">
            <v>4395.7700000000004</v>
          </cell>
          <cell r="I29" t="str">
            <v>INR</v>
          </cell>
          <cell r="J29">
            <v>49.949999999999996</v>
          </cell>
        </row>
        <row r="30">
          <cell r="C30">
            <v>256779418808</v>
          </cell>
          <cell r="D30" t="str">
            <v>DR</v>
          </cell>
          <cell r="E30">
            <v>45966</v>
          </cell>
          <cell r="F30" t="str">
            <v/>
          </cell>
          <cell r="G30" t="str">
            <v/>
          </cell>
          <cell r="H30">
            <v>186919.2</v>
          </cell>
          <cell r="I30" t="str">
            <v>INR</v>
          </cell>
          <cell r="J30">
            <v>2124</v>
          </cell>
        </row>
        <row r="31">
          <cell r="C31">
            <v>256779419107</v>
          </cell>
          <cell r="D31" t="str">
            <v>DR</v>
          </cell>
          <cell r="E31">
            <v>45964</v>
          </cell>
          <cell r="F31" t="str">
            <v/>
          </cell>
          <cell r="G31" t="str">
            <v/>
          </cell>
          <cell r="H31">
            <v>5044.3500000000004</v>
          </cell>
          <cell r="I31" t="str">
            <v>INR</v>
          </cell>
          <cell r="J31">
            <v>47.2</v>
          </cell>
        </row>
        <row r="32">
          <cell r="C32">
            <v>256779419148</v>
          </cell>
          <cell r="D32" t="str">
            <v>DR</v>
          </cell>
          <cell r="E32">
            <v>45966</v>
          </cell>
          <cell r="F32" t="str">
            <v/>
          </cell>
          <cell r="G32" t="str">
            <v/>
          </cell>
          <cell r="H32">
            <v>9815.02</v>
          </cell>
          <cell r="I32" t="str">
            <v>INR</v>
          </cell>
          <cell r="J32">
            <v>111.53</v>
          </cell>
        </row>
        <row r="33">
          <cell r="C33">
            <v>256779419324</v>
          </cell>
          <cell r="D33" t="str">
            <v>DR</v>
          </cell>
          <cell r="E33">
            <v>45978</v>
          </cell>
          <cell r="F33" t="str">
            <v/>
          </cell>
          <cell r="G33" t="str">
            <v/>
          </cell>
          <cell r="H33">
            <v>148896.46</v>
          </cell>
          <cell r="I33" t="str">
            <v>INR</v>
          </cell>
          <cell r="J33">
            <v>1691.9399999999998</v>
          </cell>
        </row>
        <row r="34">
          <cell r="C34">
            <v>256779419325</v>
          </cell>
          <cell r="D34" t="str">
            <v>DR</v>
          </cell>
          <cell r="E34">
            <v>45978</v>
          </cell>
          <cell r="F34" t="str">
            <v/>
          </cell>
          <cell r="G34" t="str">
            <v/>
          </cell>
          <cell r="H34">
            <v>2672.66</v>
          </cell>
          <cell r="I34" t="str">
            <v>INR</v>
          </cell>
          <cell r="J34">
            <v>30.369999999999997</v>
          </cell>
        </row>
        <row r="35">
          <cell r="C35">
            <v>256779419562</v>
          </cell>
          <cell r="D35" t="str">
            <v>DR</v>
          </cell>
          <cell r="E35">
            <v>45981</v>
          </cell>
          <cell r="F35" t="str">
            <v/>
          </cell>
          <cell r="G35" t="str">
            <v/>
          </cell>
          <cell r="H35">
            <v>7399.33</v>
          </cell>
          <cell r="I35" t="str">
            <v>INR</v>
          </cell>
          <cell r="J35">
            <v>70.8</v>
          </cell>
        </row>
        <row r="36">
          <cell r="C36">
            <v>256779419603</v>
          </cell>
          <cell r="D36" t="str">
            <v>DR</v>
          </cell>
          <cell r="E36">
            <v>45981</v>
          </cell>
          <cell r="F36" t="str">
            <v/>
          </cell>
          <cell r="G36" t="str">
            <v/>
          </cell>
          <cell r="H36">
            <v>5872.47</v>
          </cell>
          <cell r="I36" t="str">
            <v>INR</v>
          </cell>
          <cell r="J36">
            <v>66.72999999999999</v>
          </cell>
        </row>
        <row r="37">
          <cell r="C37">
            <v>256779422109</v>
          </cell>
          <cell r="D37" t="str">
            <v>DG</v>
          </cell>
          <cell r="E37">
            <v>45987</v>
          </cell>
          <cell r="F37" t="str">
            <v/>
          </cell>
          <cell r="G37" t="str">
            <v/>
          </cell>
          <cell r="H37">
            <v>-142565.49</v>
          </cell>
          <cell r="I37" t="str">
            <v>INR</v>
          </cell>
          <cell r="J37">
            <v>-1620</v>
          </cell>
        </row>
        <row r="38">
          <cell r="C38">
            <v>256779419644</v>
          </cell>
          <cell r="D38" t="str">
            <v>DR</v>
          </cell>
          <cell r="E38">
            <v>45992</v>
          </cell>
          <cell r="F38" t="str">
            <v/>
          </cell>
          <cell r="G38" t="str">
            <v/>
          </cell>
          <cell r="H38">
            <v>129697.34</v>
          </cell>
          <cell r="I38" t="str">
            <v>INR</v>
          </cell>
          <cell r="J38">
            <v>1462.2</v>
          </cell>
        </row>
        <row r="39">
          <cell r="C39">
            <v>256779419645</v>
          </cell>
          <cell r="D39" t="str">
            <v>DR</v>
          </cell>
          <cell r="E39">
            <v>45992</v>
          </cell>
          <cell r="F39" t="str">
            <v/>
          </cell>
          <cell r="G39" t="str">
            <v/>
          </cell>
          <cell r="H39">
            <v>2693.82</v>
          </cell>
          <cell r="I39" t="str">
            <v>INR</v>
          </cell>
          <cell r="J39">
            <v>30.369999999999997</v>
          </cell>
        </row>
        <row r="40">
          <cell r="C40">
            <v>256779450071</v>
          </cell>
          <cell r="D40" t="str">
            <v>DR</v>
          </cell>
          <cell r="E40">
            <v>46024</v>
          </cell>
          <cell r="F40" t="str">
            <v/>
          </cell>
          <cell r="G40" t="str">
            <v/>
          </cell>
          <cell r="H40">
            <v>199163.04</v>
          </cell>
          <cell r="I40" t="str">
            <v>INR</v>
          </cell>
          <cell r="J40">
            <v>2194.8000000000002</v>
          </cell>
        </row>
        <row r="41">
          <cell r="C41">
            <v>256779419841</v>
          </cell>
          <cell r="D41" t="str">
            <v>DR</v>
          </cell>
          <cell r="E41">
            <v>45999</v>
          </cell>
          <cell r="F41" t="str">
            <v/>
          </cell>
          <cell r="G41" t="str">
            <v/>
          </cell>
          <cell r="H41">
            <v>2382.4899999999998</v>
          </cell>
          <cell r="I41" t="str">
            <v>INR</v>
          </cell>
          <cell r="J41">
            <v>23.6</v>
          </cell>
        </row>
        <row r="42">
          <cell r="C42">
            <v>256779419842</v>
          </cell>
          <cell r="D42" t="str">
            <v>DR</v>
          </cell>
          <cell r="E42">
            <v>45999</v>
          </cell>
          <cell r="F42" t="str">
            <v/>
          </cell>
          <cell r="G42" t="str">
            <v/>
          </cell>
          <cell r="H42">
            <v>25704.41</v>
          </cell>
          <cell r="I42" t="str">
            <v>INR</v>
          </cell>
          <cell r="J42">
            <v>273.20999999999998</v>
          </cell>
        </row>
        <row r="43">
          <cell r="C43">
            <v>256779419884</v>
          </cell>
          <cell r="D43" t="str">
            <v>DR</v>
          </cell>
          <cell r="E43">
            <v>45996</v>
          </cell>
          <cell r="F43" t="str">
            <v/>
          </cell>
          <cell r="G43" t="str">
            <v/>
          </cell>
          <cell r="H43">
            <v>289.16000000000003</v>
          </cell>
          <cell r="I43" t="str">
            <v>INR</v>
          </cell>
          <cell r="J43">
            <v>3.26</v>
          </cell>
        </row>
        <row r="44">
          <cell r="C44">
            <v>256779419885</v>
          </cell>
          <cell r="D44" t="str">
            <v>DR</v>
          </cell>
          <cell r="E44">
            <v>45996</v>
          </cell>
          <cell r="F44" t="str">
            <v/>
          </cell>
          <cell r="G44" t="str">
            <v/>
          </cell>
          <cell r="H44">
            <v>289.16000000000003</v>
          </cell>
          <cell r="I44" t="str">
            <v>INR</v>
          </cell>
          <cell r="J44">
            <v>3.26</v>
          </cell>
        </row>
        <row r="45">
          <cell r="C45">
            <v>256779419886</v>
          </cell>
          <cell r="D45" t="str">
            <v>DR</v>
          </cell>
          <cell r="E45">
            <v>45996</v>
          </cell>
          <cell r="F45" t="str">
            <v/>
          </cell>
          <cell r="G45" t="str">
            <v/>
          </cell>
          <cell r="H45">
            <v>440.84</v>
          </cell>
          <cell r="I45" t="str">
            <v>INR</v>
          </cell>
          <cell r="J45">
            <v>4.97</v>
          </cell>
        </row>
        <row r="46">
          <cell r="C46">
            <v>256779419887</v>
          </cell>
          <cell r="D46" t="str">
            <v>DR</v>
          </cell>
          <cell r="E46">
            <v>45996</v>
          </cell>
          <cell r="F46" t="str">
            <v/>
          </cell>
          <cell r="G46" t="str">
            <v/>
          </cell>
          <cell r="H46">
            <v>335.29</v>
          </cell>
          <cell r="I46" t="str">
            <v>INR</v>
          </cell>
          <cell r="J46">
            <v>3.7800000000000002</v>
          </cell>
        </row>
        <row r="47">
          <cell r="C47">
            <v>256779419888</v>
          </cell>
          <cell r="D47" t="str">
            <v>DR</v>
          </cell>
          <cell r="E47">
            <v>45996</v>
          </cell>
          <cell r="F47" t="str">
            <v/>
          </cell>
          <cell r="G47" t="str">
            <v/>
          </cell>
          <cell r="H47">
            <v>391.17</v>
          </cell>
          <cell r="I47" t="str">
            <v>INR</v>
          </cell>
          <cell r="J47">
            <v>4.41</v>
          </cell>
        </row>
        <row r="48">
          <cell r="C48">
            <v>256779450110</v>
          </cell>
          <cell r="D48" t="str">
            <v>DR</v>
          </cell>
          <cell r="E48">
            <v>46027</v>
          </cell>
          <cell r="F48" t="str">
            <v/>
          </cell>
          <cell r="G48" t="str">
            <v/>
          </cell>
          <cell r="H48">
            <v>121235.56</v>
          </cell>
          <cell r="I48" t="str">
            <v>INR</v>
          </cell>
          <cell r="J48">
            <v>1336.03</v>
          </cell>
        </row>
        <row r="49">
          <cell r="C49">
            <v>256779450111</v>
          </cell>
          <cell r="D49" t="str">
            <v>DR</v>
          </cell>
          <cell r="E49">
            <v>46027</v>
          </cell>
          <cell r="F49" t="str">
            <v/>
          </cell>
          <cell r="G49" t="str">
            <v/>
          </cell>
          <cell r="H49">
            <v>2389.27</v>
          </cell>
          <cell r="I49" t="str">
            <v>INR</v>
          </cell>
          <cell r="J49">
            <v>26.33</v>
          </cell>
        </row>
        <row r="50">
          <cell r="C50">
            <v>256779450113</v>
          </cell>
          <cell r="D50" t="str">
            <v>DR</v>
          </cell>
          <cell r="E50">
            <v>46027</v>
          </cell>
          <cell r="F50" t="str">
            <v/>
          </cell>
          <cell r="G50" t="str">
            <v/>
          </cell>
          <cell r="H50">
            <v>30693.87</v>
          </cell>
          <cell r="I50" t="str">
            <v>INR</v>
          </cell>
          <cell r="J50">
            <v>338.25</v>
          </cell>
        </row>
        <row r="51">
          <cell r="C51">
            <v>256779450126</v>
          </cell>
          <cell r="D51" t="str">
            <v>DR</v>
          </cell>
          <cell r="E51">
            <v>46025</v>
          </cell>
          <cell r="F51" t="str">
            <v/>
          </cell>
          <cell r="G51" t="str">
            <v/>
          </cell>
          <cell r="H51">
            <v>147030.20000000001</v>
          </cell>
          <cell r="I51" t="str">
            <v>INR</v>
          </cell>
          <cell r="J51">
            <v>1620.2900000000002</v>
          </cell>
        </row>
        <row r="52">
          <cell r="C52">
            <v>256779450127</v>
          </cell>
          <cell r="D52" t="str">
            <v>DR</v>
          </cell>
          <cell r="E52">
            <v>46025</v>
          </cell>
          <cell r="F52" t="str">
            <v/>
          </cell>
          <cell r="G52" t="str">
            <v/>
          </cell>
          <cell r="H52">
            <v>980.03</v>
          </cell>
          <cell r="I52" t="str">
            <v>INR</v>
          </cell>
          <cell r="J52">
            <v>10.8</v>
          </cell>
        </row>
        <row r="53">
          <cell r="C53">
            <v>256779450404</v>
          </cell>
          <cell r="D53" t="str">
            <v>DR</v>
          </cell>
          <cell r="E53">
            <v>46031</v>
          </cell>
          <cell r="F53" t="str">
            <v/>
          </cell>
          <cell r="G53" t="str">
            <v/>
          </cell>
          <cell r="H53">
            <v>1190.55</v>
          </cell>
          <cell r="I53" t="str">
            <v>INR</v>
          </cell>
          <cell r="J53">
            <v>13.12</v>
          </cell>
        </row>
        <row r="54">
          <cell r="C54">
            <v>256779450724</v>
          </cell>
          <cell r="D54" t="str">
            <v>DR</v>
          </cell>
          <cell r="E54">
            <v>46028</v>
          </cell>
          <cell r="F54" t="str">
            <v/>
          </cell>
          <cell r="G54" t="str">
            <v/>
          </cell>
          <cell r="H54">
            <v>199163.04</v>
          </cell>
          <cell r="I54" t="str">
            <v>INR</v>
          </cell>
          <cell r="J54">
            <v>2194.8000000000002</v>
          </cell>
        </row>
        <row r="55">
          <cell r="C55">
            <v>246779411287</v>
          </cell>
          <cell r="D55" t="str">
            <v>DR</v>
          </cell>
          <cell r="E55">
            <v>45729</v>
          </cell>
          <cell r="F55" t="str">
            <v/>
          </cell>
          <cell r="G55" t="str">
            <v/>
          </cell>
          <cell r="H55">
            <v>3580.35</v>
          </cell>
          <cell r="I55" t="str">
            <v>INR</v>
          </cell>
          <cell r="J55">
            <v>41.3</v>
          </cell>
        </row>
        <row r="56">
          <cell r="C56">
            <v>246779411374</v>
          </cell>
          <cell r="D56" t="str">
            <v>DR</v>
          </cell>
          <cell r="E56">
            <v>45730</v>
          </cell>
          <cell r="F56" t="str">
            <v/>
          </cell>
          <cell r="G56" t="str">
            <v/>
          </cell>
          <cell r="H56">
            <v>5488.42</v>
          </cell>
          <cell r="I56" t="str">
            <v>INR</v>
          </cell>
          <cell r="J56">
            <v>63.31</v>
          </cell>
        </row>
        <row r="57">
          <cell r="C57">
            <v>246779411375</v>
          </cell>
          <cell r="D57" t="str">
            <v>DR</v>
          </cell>
          <cell r="E57">
            <v>45730</v>
          </cell>
          <cell r="F57" t="str">
            <v/>
          </cell>
          <cell r="G57" t="str">
            <v/>
          </cell>
          <cell r="H57">
            <v>5488.42</v>
          </cell>
          <cell r="I57" t="str">
            <v>INR</v>
          </cell>
          <cell r="J57">
            <v>63.31</v>
          </cell>
        </row>
        <row r="58">
          <cell r="C58">
            <v>246779411766</v>
          </cell>
          <cell r="D58" t="str">
            <v>DR</v>
          </cell>
          <cell r="E58">
            <v>45733</v>
          </cell>
          <cell r="F58" t="str">
            <v/>
          </cell>
          <cell r="G58" t="str">
            <v/>
          </cell>
          <cell r="H58">
            <v>5473.69</v>
          </cell>
          <cell r="I58" t="str">
            <v>INR</v>
          </cell>
          <cell r="J58">
            <v>63.14</v>
          </cell>
        </row>
        <row r="59">
          <cell r="C59">
            <v>246779411767</v>
          </cell>
          <cell r="D59" t="str">
            <v>DR</v>
          </cell>
          <cell r="E59">
            <v>45733</v>
          </cell>
          <cell r="F59" t="str">
            <v/>
          </cell>
          <cell r="G59" t="str">
            <v/>
          </cell>
          <cell r="H59">
            <v>5473.69</v>
          </cell>
          <cell r="I59" t="str">
            <v>INR</v>
          </cell>
          <cell r="J59">
            <v>63.14</v>
          </cell>
        </row>
        <row r="60">
          <cell r="C60">
            <v>246779411768</v>
          </cell>
          <cell r="D60" t="str">
            <v>DR</v>
          </cell>
          <cell r="E60">
            <v>45733</v>
          </cell>
          <cell r="F60" t="str">
            <v/>
          </cell>
          <cell r="G60" t="str">
            <v/>
          </cell>
          <cell r="H60">
            <v>2189.8200000000002</v>
          </cell>
          <cell r="I60" t="str">
            <v>INR</v>
          </cell>
          <cell r="J60">
            <v>25.26</v>
          </cell>
        </row>
        <row r="61">
          <cell r="C61">
            <v>246779411946</v>
          </cell>
          <cell r="D61" t="str">
            <v>DR</v>
          </cell>
          <cell r="E61">
            <v>45733</v>
          </cell>
          <cell r="F61" t="str">
            <v/>
          </cell>
          <cell r="G61" t="str">
            <v/>
          </cell>
          <cell r="H61">
            <v>5448.55</v>
          </cell>
          <cell r="I61" t="str">
            <v>INR</v>
          </cell>
          <cell r="J61">
            <v>62.849999999999994</v>
          </cell>
        </row>
        <row r="62">
          <cell r="C62">
            <v>246779411947</v>
          </cell>
          <cell r="D62" t="str">
            <v>DR</v>
          </cell>
          <cell r="E62">
            <v>45733</v>
          </cell>
          <cell r="F62" t="str">
            <v/>
          </cell>
          <cell r="G62" t="str">
            <v/>
          </cell>
          <cell r="H62">
            <v>5448.55</v>
          </cell>
          <cell r="I62" t="str">
            <v>INR</v>
          </cell>
          <cell r="J62">
            <v>62.849999999999994</v>
          </cell>
        </row>
        <row r="63">
          <cell r="C63">
            <v>246779412073</v>
          </cell>
          <cell r="D63" t="str">
            <v>DR</v>
          </cell>
          <cell r="E63">
            <v>45733</v>
          </cell>
          <cell r="F63" t="str">
            <v/>
          </cell>
          <cell r="G63" t="str">
            <v/>
          </cell>
          <cell r="H63">
            <v>5614.99</v>
          </cell>
          <cell r="I63" t="str">
            <v>INR</v>
          </cell>
          <cell r="J63">
            <v>64.77</v>
          </cell>
        </row>
        <row r="64">
          <cell r="C64">
            <v>246779412074</v>
          </cell>
          <cell r="D64" t="str">
            <v>DR</v>
          </cell>
          <cell r="E64">
            <v>45733</v>
          </cell>
          <cell r="F64" t="str">
            <v/>
          </cell>
          <cell r="G64" t="str">
            <v/>
          </cell>
          <cell r="H64">
            <v>5376.59</v>
          </cell>
          <cell r="I64" t="str">
            <v>INR</v>
          </cell>
          <cell r="J64">
            <v>62.02</v>
          </cell>
        </row>
        <row r="65">
          <cell r="C65">
            <v>246779412075</v>
          </cell>
          <cell r="D65" t="str">
            <v>DR</v>
          </cell>
          <cell r="E65">
            <v>45733</v>
          </cell>
          <cell r="F65" t="str">
            <v/>
          </cell>
          <cell r="G65" t="str">
            <v/>
          </cell>
          <cell r="H65">
            <v>5376.59</v>
          </cell>
          <cell r="I65" t="str">
            <v>INR</v>
          </cell>
          <cell r="J65">
            <v>62.02</v>
          </cell>
        </row>
        <row r="66">
          <cell r="C66">
            <v>246779412076</v>
          </cell>
          <cell r="D66" t="str">
            <v>DR</v>
          </cell>
          <cell r="E66">
            <v>45733</v>
          </cell>
          <cell r="F66" t="str">
            <v/>
          </cell>
          <cell r="G66" t="str">
            <v/>
          </cell>
          <cell r="H66">
            <v>5376.59</v>
          </cell>
          <cell r="I66" t="str">
            <v>INR</v>
          </cell>
          <cell r="J66">
            <v>62.02</v>
          </cell>
        </row>
        <row r="67">
          <cell r="C67">
            <v>246779412614</v>
          </cell>
          <cell r="D67" t="str">
            <v>DR</v>
          </cell>
          <cell r="E67">
            <v>45735</v>
          </cell>
          <cell r="F67" t="str">
            <v/>
          </cell>
          <cell r="G67" t="str">
            <v/>
          </cell>
          <cell r="H67">
            <v>941337.91</v>
          </cell>
          <cell r="I67" t="str">
            <v>INR</v>
          </cell>
          <cell r="J67">
            <v>10858.509999999998</v>
          </cell>
        </row>
        <row r="68">
          <cell r="C68">
            <v>246779412615</v>
          </cell>
          <cell r="D68" t="str">
            <v>DR</v>
          </cell>
          <cell r="E68">
            <v>45735</v>
          </cell>
          <cell r="F68" t="str">
            <v/>
          </cell>
          <cell r="G68" t="str">
            <v/>
          </cell>
          <cell r="H68">
            <v>40437.14</v>
          </cell>
          <cell r="I68" t="str">
            <v>INR</v>
          </cell>
          <cell r="J68">
            <v>466.45000000000005</v>
          </cell>
        </row>
        <row r="69">
          <cell r="C69">
            <v>246779412700</v>
          </cell>
          <cell r="D69" t="str">
            <v>DR</v>
          </cell>
          <cell r="E69">
            <v>45735</v>
          </cell>
          <cell r="F69" t="str">
            <v/>
          </cell>
          <cell r="G69" t="str">
            <v/>
          </cell>
          <cell r="H69">
            <v>980923.74</v>
          </cell>
          <cell r="I69" t="str">
            <v>INR</v>
          </cell>
          <cell r="J69">
            <v>11315.14</v>
          </cell>
        </row>
        <row r="70">
          <cell r="C70">
            <v>246779412701</v>
          </cell>
          <cell r="D70" t="str">
            <v>DR</v>
          </cell>
          <cell r="E70">
            <v>45735</v>
          </cell>
          <cell r="F70" t="str">
            <v/>
          </cell>
          <cell r="G70" t="str">
            <v/>
          </cell>
          <cell r="H70">
            <v>43281.48</v>
          </cell>
          <cell r="I70" t="str">
            <v>INR</v>
          </cell>
          <cell r="J70">
            <v>499.26</v>
          </cell>
        </row>
        <row r="71">
          <cell r="C71">
            <v>246779412702</v>
          </cell>
          <cell r="D71" t="str">
            <v>DR</v>
          </cell>
          <cell r="E71">
            <v>45735</v>
          </cell>
          <cell r="F71" t="str">
            <v/>
          </cell>
          <cell r="G71" t="str">
            <v/>
          </cell>
          <cell r="H71">
            <v>17676.349999999999</v>
          </cell>
          <cell r="I71" t="str">
            <v>INR</v>
          </cell>
          <cell r="J71">
            <v>203.9</v>
          </cell>
        </row>
        <row r="72">
          <cell r="C72">
            <v>246779412773</v>
          </cell>
          <cell r="D72" t="str">
            <v>DR</v>
          </cell>
          <cell r="E72">
            <v>45735</v>
          </cell>
          <cell r="F72" t="str">
            <v/>
          </cell>
          <cell r="G72" t="str">
            <v/>
          </cell>
          <cell r="H72">
            <v>894747.43</v>
          </cell>
          <cell r="I72" t="str">
            <v>INR</v>
          </cell>
          <cell r="J72">
            <v>10321.08</v>
          </cell>
        </row>
        <row r="73">
          <cell r="C73">
            <v>246779412774</v>
          </cell>
          <cell r="D73" t="str">
            <v>DR</v>
          </cell>
          <cell r="E73">
            <v>45735</v>
          </cell>
          <cell r="F73" t="str">
            <v/>
          </cell>
          <cell r="G73" t="str">
            <v/>
          </cell>
          <cell r="H73">
            <v>86561.22</v>
          </cell>
          <cell r="I73" t="str">
            <v>INR</v>
          </cell>
          <cell r="J73">
            <v>998.5</v>
          </cell>
        </row>
        <row r="74">
          <cell r="C74">
            <v>246779412775</v>
          </cell>
          <cell r="D74" t="str">
            <v>DR</v>
          </cell>
          <cell r="E74">
            <v>45735</v>
          </cell>
          <cell r="F74" t="str">
            <v/>
          </cell>
          <cell r="G74" t="str">
            <v/>
          </cell>
          <cell r="H74">
            <v>25410.080000000002</v>
          </cell>
          <cell r="I74" t="str">
            <v>INR</v>
          </cell>
          <cell r="J74">
            <v>293.11</v>
          </cell>
        </row>
        <row r="75">
          <cell r="C75">
            <v>246779412852</v>
          </cell>
          <cell r="D75" t="str">
            <v>DR</v>
          </cell>
          <cell r="E75">
            <v>45735</v>
          </cell>
          <cell r="F75" t="str">
            <v/>
          </cell>
          <cell r="G75" t="str">
            <v/>
          </cell>
          <cell r="H75">
            <v>711840.14</v>
          </cell>
          <cell r="I75" t="str">
            <v>INR</v>
          </cell>
          <cell r="J75">
            <v>8211.2099999999991</v>
          </cell>
        </row>
        <row r="76">
          <cell r="C76">
            <v>246779412853</v>
          </cell>
          <cell r="D76" t="str">
            <v>DR</v>
          </cell>
          <cell r="E76">
            <v>45735</v>
          </cell>
          <cell r="F76" t="str">
            <v/>
          </cell>
          <cell r="G76" t="str">
            <v/>
          </cell>
          <cell r="H76">
            <v>58059.74</v>
          </cell>
          <cell r="I76" t="str">
            <v>INR</v>
          </cell>
          <cell r="J76">
            <v>669.73</v>
          </cell>
        </row>
        <row r="77">
          <cell r="C77">
            <v>246779412854</v>
          </cell>
          <cell r="D77" t="str">
            <v>DR</v>
          </cell>
          <cell r="E77">
            <v>45735</v>
          </cell>
          <cell r="F77" t="str">
            <v/>
          </cell>
          <cell r="G77" t="str">
            <v/>
          </cell>
          <cell r="H77">
            <v>18229.439999999999</v>
          </cell>
          <cell r="I77" t="str">
            <v>INR</v>
          </cell>
          <cell r="J77">
            <v>210.27999999999997</v>
          </cell>
        </row>
        <row r="78">
          <cell r="C78">
            <v>246779412925</v>
          </cell>
          <cell r="D78" t="str">
            <v>DR</v>
          </cell>
          <cell r="E78">
            <v>45735</v>
          </cell>
          <cell r="F78" t="str">
            <v/>
          </cell>
          <cell r="G78" t="str">
            <v/>
          </cell>
          <cell r="H78">
            <v>615818.30000000005</v>
          </cell>
          <cell r="I78" t="str">
            <v>INR</v>
          </cell>
          <cell r="J78">
            <v>7103.58</v>
          </cell>
        </row>
        <row r="79">
          <cell r="C79">
            <v>246779412926</v>
          </cell>
          <cell r="D79" t="str">
            <v>DR</v>
          </cell>
          <cell r="E79">
            <v>45735</v>
          </cell>
          <cell r="F79" t="str">
            <v/>
          </cell>
          <cell r="G79" t="str">
            <v/>
          </cell>
          <cell r="H79">
            <v>68616.13</v>
          </cell>
          <cell r="I79" t="str">
            <v>INR</v>
          </cell>
          <cell r="J79">
            <v>791.5</v>
          </cell>
        </row>
        <row r="80">
          <cell r="C80">
            <v>246779413013</v>
          </cell>
          <cell r="D80" t="str">
            <v>DR</v>
          </cell>
          <cell r="E80">
            <v>45735</v>
          </cell>
          <cell r="F80" t="str">
            <v/>
          </cell>
          <cell r="G80" t="str">
            <v/>
          </cell>
          <cell r="H80">
            <v>171242.98</v>
          </cell>
          <cell r="I80" t="str">
            <v>INR</v>
          </cell>
          <cell r="J80">
            <v>1975.32</v>
          </cell>
        </row>
        <row r="81">
          <cell r="C81">
            <v>246779413058</v>
          </cell>
          <cell r="D81" t="str">
            <v>DR</v>
          </cell>
          <cell r="E81">
            <v>45735</v>
          </cell>
          <cell r="F81" t="str">
            <v/>
          </cell>
          <cell r="G81" t="str">
            <v/>
          </cell>
          <cell r="H81">
            <v>45821.53</v>
          </cell>
          <cell r="I81" t="str">
            <v>INR</v>
          </cell>
          <cell r="J81">
            <v>528.55999999999995</v>
          </cell>
        </row>
        <row r="82">
          <cell r="C82">
            <v>246779413134</v>
          </cell>
          <cell r="D82" t="str">
            <v>DR</v>
          </cell>
          <cell r="E82">
            <v>45735</v>
          </cell>
          <cell r="F82" t="str">
            <v/>
          </cell>
          <cell r="G82" t="str">
            <v/>
          </cell>
          <cell r="H82">
            <v>5327.18</v>
          </cell>
          <cell r="I82" t="str">
            <v>INR</v>
          </cell>
          <cell r="J82">
            <v>61.449999999999996</v>
          </cell>
        </row>
        <row r="83">
          <cell r="C83">
            <v>246779413135</v>
          </cell>
          <cell r="D83" t="str">
            <v>DR</v>
          </cell>
          <cell r="E83">
            <v>45735</v>
          </cell>
          <cell r="F83" t="str">
            <v/>
          </cell>
          <cell r="G83" t="str">
            <v/>
          </cell>
          <cell r="H83">
            <v>5327.18</v>
          </cell>
          <cell r="I83" t="str">
            <v>INR</v>
          </cell>
          <cell r="J83">
            <v>61.449999999999996</v>
          </cell>
        </row>
        <row r="84">
          <cell r="C84">
            <v>246779413136</v>
          </cell>
          <cell r="D84" t="str">
            <v>DR</v>
          </cell>
          <cell r="E84">
            <v>45735</v>
          </cell>
          <cell r="F84" t="str">
            <v/>
          </cell>
          <cell r="G84" t="str">
            <v/>
          </cell>
          <cell r="H84">
            <v>5327.18</v>
          </cell>
          <cell r="I84" t="str">
            <v>INR</v>
          </cell>
          <cell r="J84">
            <v>61.449999999999996</v>
          </cell>
        </row>
        <row r="85">
          <cell r="C85">
            <v>246779413137</v>
          </cell>
          <cell r="D85" t="str">
            <v>DR</v>
          </cell>
          <cell r="E85">
            <v>45735</v>
          </cell>
          <cell r="F85" t="str">
            <v/>
          </cell>
          <cell r="G85" t="str">
            <v/>
          </cell>
          <cell r="H85">
            <v>5327.18</v>
          </cell>
          <cell r="I85" t="str">
            <v>INR</v>
          </cell>
          <cell r="J85">
            <v>61.449999999999996</v>
          </cell>
        </row>
        <row r="86">
          <cell r="C86">
            <v>246779413138</v>
          </cell>
          <cell r="D86" t="str">
            <v>DR</v>
          </cell>
          <cell r="E86">
            <v>45735</v>
          </cell>
          <cell r="F86" t="str">
            <v/>
          </cell>
          <cell r="G86" t="str">
            <v/>
          </cell>
          <cell r="H86">
            <v>7991.2</v>
          </cell>
          <cell r="I86" t="str">
            <v>INR</v>
          </cell>
          <cell r="J86">
            <v>92.18</v>
          </cell>
        </row>
        <row r="87">
          <cell r="C87">
            <v>246779413139</v>
          </cell>
          <cell r="D87" t="str">
            <v>DR</v>
          </cell>
          <cell r="E87">
            <v>45735</v>
          </cell>
          <cell r="F87" t="str">
            <v/>
          </cell>
          <cell r="G87" t="str">
            <v/>
          </cell>
          <cell r="H87">
            <v>7991.2</v>
          </cell>
          <cell r="I87" t="str">
            <v>INR</v>
          </cell>
          <cell r="J87">
            <v>92.18</v>
          </cell>
        </row>
        <row r="88">
          <cell r="C88">
            <v>246779413140</v>
          </cell>
          <cell r="D88" t="str">
            <v>DR</v>
          </cell>
          <cell r="E88">
            <v>45735</v>
          </cell>
          <cell r="F88" t="str">
            <v/>
          </cell>
          <cell r="G88" t="str">
            <v/>
          </cell>
          <cell r="H88">
            <v>7991.2</v>
          </cell>
          <cell r="I88" t="str">
            <v>INR</v>
          </cell>
          <cell r="J88">
            <v>92.18</v>
          </cell>
        </row>
        <row r="89">
          <cell r="C89">
            <v>246779413141</v>
          </cell>
          <cell r="D89" t="str">
            <v>DR</v>
          </cell>
          <cell r="E89">
            <v>45735</v>
          </cell>
          <cell r="F89" t="str">
            <v/>
          </cell>
          <cell r="G89" t="str">
            <v/>
          </cell>
          <cell r="H89">
            <v>7991.2</v>
          </cell>
          <cell r="I89" t="str">
            <v>INR</v>
          </cell>
          <cell r="J89">
            <v>92.18</v>
          </cell>
        </row>
        <row r="90">
          <cell r="C90">
            <v>246779413142</v>
          </cell>
          <cell r="D90" t="str">
            <v>DR</v>
          </cell>
          <cell r="E90">
            <v>45735</v>
          </cell>
          <cell r="F90" t="str">
            <v/>
          </cell>
          <cell r="G90" t="str">
            <v/>
          </cell>
          <cell r="H90">
            <v>7991.2</v>
          </cell>
          <cell r="I90" t="str">
            <v>INR</v>
          </cell>
          <cell r="J90">
            <v>92.18</v>
          </cell>
        </row>
        <row r="91">
          <cell r="C91">
            <v>246779413143</v>
          </cell>
          <cell r="D91" t="str">
            <v>DR</v>
          </cell>
          <cell r="E91">
            <v>45735</v>
          </cell>
          <cell r="F91" t="str">
            <v/>
          </cell>
          <cell r="G91" t="str">
            <v/>
          </cell>
          <cell r="H91">
            <v>7991.2</v>
          </cell>
          <cell r="I91" t="str">
            <v>INR</v>
          </cell>
          <cell r="J91">
            <v>92.18</v>
          </cell>
        </row>
        <row r="92">
          <cell r="C92">
            <v>246779413144</v>
          </cell>
          <cell r="D92" t="str">
            <v>DR</v>
          </cell>
          <cell r="E92">
            <v>45735</v>
          </cell>
          <cell r="F92" t="str">
            <v/>
          </cell>
          <cell r="G92" t="str">
            <v/>
          </cell>
          <cell r="H92">
            <v>7991.2</v>
          </cell>
          <cell r="I92" t="str">
            <v>INR</v>
          </cell>
          <cell r="J92">
            <v>92.18</v>
          </cell>
        </row>
        <row r="93">
          <cell r="C93">
            <v>246779413145</v>
          </cell>
          <cell r="D93" t="str">
            <v>DR</v>
          </cell>
          <cell r="E93">
            <v>45735</v>
          </cell>
          <cell r="F93" t="str">
            <v/>
          </cell>
          <cell r="G93" t="str">
            <v/>
          </cell>
          <cell r="H93">
            <v>1296.9000000000001</v>
          </cell>
          <cell r="I93" t="str">
            <v>INR</v>
          </cell>
          <cell r="J93">
            <v>14.959999999999999</v>
          </cell>
        </row>
        <row r="94">
          <cell r="C94">
            <v>246779413146</v>
          </cell>
          <cell r="D94" t="str">
            <v>DR</v>
          </cell>
          <cell r="E94">
            <v>45735</v>
          </cell>
          <cell r="F94" t="str">
            <v/>
          </cell>
          <cell r="G94" t="str">
            <v/>
          </cell>
          <cell r="H94">
            <v>1296.9000000000001</v>
          </cell>
          <cell r="I94" t="str">
            <v>INR</v>
          </cell>
          <cell r="J94">
            <v>14.959999999999999</v>
          </cell>
        </row>
        <row r="95">
          <cell r="C95">
            <v>246779413147</v>
          </cell>
          <cell r="D95" t="str">
            <v>DR</v>
          </cell>
          <cell r="E95">
            <v>45735</v>
          </cell>
          <cell r="F95" t="str">
            <v/>
          </cell>
          <cell r="G95" t="str">
            <v/>
          </cell>
          <cell r="H95">
            <v>1296.9000000000001</v>
          </cell>
          <cell r="I95" t="str">
            <v>INR</v>
          </cell>
          <cell r="J95">
            <v>14.959999999999999</v>
          </cell>
        </row>
        <row r="96">
          <cell r="C96">
            <v>246779413148</v>
          </cell>
          <cell r="D96" t="str">
            <v>DR</v>
          </cell>
          <cell r="E96">
            <v>45735</v>
          </cell>
          <cell r="F96" t="str">
            <v/>
          </cell>
          <cell r="G96" t="str">
            <v/>
          </cell>
          <cell r="H96">
            <v>1296.9000000000001</v>
          </cell>
          <cell r="I96" t="str">
            <v>INR</v>
          </cell>
          <cell r="J96">
            <v>14.959999999999999</v>
          </cell>
        </row>
        <row r="97">
          <cell r="C97">
            <v>246779413149</v>
          </cell>
          <cell r="D97" t="str">
            <v>DR</v>
          </cell>
          <cell r="E97">
            <v>45735</v>
          </cell>
          <cell r="F97" t="str">
            <v/>
          </cell>
          <cell r="G97" t="str">
            <v/>
          </cell>
          <cell r="H97">
            <v>2593.8000000000002</v>
          </cell>
          <cell r="I97" t="str">
            <v>INR</v>
          </cell>
          <cell r="J97">
            <v>29.919999999999998</v>
          </cell>
        </row>
        <row r="98">
          <cell r="C98">
            <v>246779413150</v>
          </cell>
          <cell r="D98" t="str">
            <v>DR</v>
          </cell>
          <cell r="E98">
            <v>45735</v>
          </cell>
          <cell r="F98" t="str">
            <v/>
          </cell>
          <cell r="G98" t="str">
            <v/>
          </cell>
          <cell r="H98">
            <v>3459.85</v>
          </cell>
          <cell r="I98" t="str">
            <v>INR</v>
          </cell>
          <cell r="J98">
            <v>39.909999999999997</v>
          </cell>
        </row>
        <row r="99">
          <cell r="C99">
            <v>246779413151</v>
          </cell>
          <cell r="D99" t="str">
            <v>DR</v>
          </cell>
          <cell r="E99">
            <v>45735</v>
          </cell>
          <cell r="F99" t="str">
            <v/>
          </cell>
          <cell r="G99" t="str">
            <v/>
          </cell>
          <cell r="H99">
            <v>3459.85</v>
          </cell>
          <cell r="I99" t="str">
            <v>INR</v>
          </cell>
          <cell r="J99">
            <v>39.909999999999997</v>
          </cell>
        </row>
        <row r="100">
          <cell r="C100">
            <v>246779413152</v>
          </cell>
          <cell r="D100" t="str">
            <v>DR</v>
          </cell>
          <cell r="E100">
            <v>45735</v>
          </cell>
          <cell r="F100" t="str">
            <v/>
          </cell>
          <cell r="G100" t="str">
            <v/>
          </cell>
          <cell r="H100">
            <v>3459.85</v>
          </cell>
          <cell r="I100" t="str">
            <v>INR</v>
          </cell>
          <cell r="J100">
            <v>39.909999999999997</v>
          </cell>
        </row>
        <row r="101">
          <cell r="C101">
            <v>246779413153</v>
          </cell>
          <cell r="D101" t="str">
            <v>DR</v>
          </cell>
          <cell r="E101">
            <v>45735</v>
          </cell>
          <cell r="F101" t="str">
            <v/>
          </cell>
          <cell r="G101" t="str">
            <v/>
          </cell>
          <cell r="H101">
            <v>2593.8000000000002</v>
          </cell>
          <cell r="I101" t="str">
            <v>INR</v>
          </cell>
          <cell r="J101">
            <v>29.919999999999998</v>
          </cell>
        </row>
        <row r="102">
          <cell r="C102">
            <v>246779413154</v>
          </cell>
          <cell r="D102" t="str">
            <v>DR</v>
          </cell>
          <cell r="E102">
            <v>45735</v>
          </cell>
          <cell r="F102" t="str">
            <v/>
          </cell>
          <cell r="G102" t="str">
            <v/>
          </cell>
          <cell r="H102">
            <v>3459.85</v>
          </cell>
          <cell r="I102" t="str">
            <v>INR</v>
          </cell>
          <cell r="J102">
            <v>39.909999999999997</v>
          </cell>
        </row>
        <row r="103">
          <cell r="C103">
            <v>246779413155</v>
          </cell>
          <cell r="D103" t="str">
            <v>DR</v>
          </cell>
          <cell r="E103">
            <v>45735</v>
          </cell>
          <cell r="F103" t="str">
            <v/>
          </cell>
          <cell r="G103" t="str">
            <v/>
          </cell>
          <cell r="H103">
            <v>2593.8000000000002</v>
          </cell>
          <cell r="I103" t="str">
            <v>INR</v>
          </cell>
          <cell r="J103">
            <v>29.919999999999998</v>
          </cell>
        </row>
        <row r="104">
          <cell r="C104">
            <v>246779413156</v>
          </cell>
          <cell r="D104" t="str">
            <v>DR</v>
          </cell>
          <cell r="E104">
            <v>45735</v>
          </cell>
          <cell r="F104" t="str">
            <v/>
          </cell>
          <cell r="G104" t="str">
            <v/>
          </cell>
          <cell r="H104">
            <v>2817.47</v>
          </cell>
          <cell r="I104" t="str">
            <v>INR</v>
          </cell>
          <cell r="J104">
            <v>32.5</v>
          </cell>
        </row>
        <row r="105">
          <cell r="C105">
            <v>246779413157</v>
          </cell>
          <cell r="D105" t="str">
            <v>DR</v>
          </cell>
          <cell r="E105">
            <v>45735</v>
          </cell>
          <cell r="F105" t="str">
            <v/>
          </cell>
          <cell r="G105" t="str">
            <v/>
          </cell>
          <cell r="H105">
            <v>837.44</v>
          </cell>
          <cell r="I105" t="str">
            <v>INR</v>
          </cell>
          <cell r="J105">
            <v>9.66</v>
          </cell>
        </row>
        <row r="106">
          <cell r="C106">
            <v>246779413256</v>
          </cell>
          <cell r="D106" t="str">
            <v>DR</v>
          </cell>
          <cell r="E106">
            <v>45735</v>
          </cell>
          <cell r="F106" t="str">
            <v/>
          </cell>
          <cell r="G106" t="str">
            <v/>
          </cell>
          <cell r="H106">
            <v>870.38</v>
          </cell>
          <cell r="I106" t="str">
            <v>INR</v>
          </cell>
          <cell r="J106">
            <v>10.039999999999999</v>
          </cell>
        </row>
        <row r="107">
          <cell r="C107">
            <v>246779413257</v>
          </cell>
          <cell r="D107" t="str">
            <v>DR</v>
          </cell>
          <cell r="E107">
            <v>45735</v>
          </cell>
          <cell r="F107" t="str">
            <v/>
          </cell>
          <cell r="G107" t="str">
            <v/>
          </cell>
          <cell r="H107">
            <v>870.38</v>
          </cell>
          <cell r="I107" t="str">
            <v>INR</v>
          </cell>
          <cell r="J107">
            <v>10.039999999999999</v>
          </cell>
        </row>
        <row r="108">
          <cell r="C108">
            <v>246779413258</v>
          </cell>
          <cell r="D108" t="str">
            <v>DR</v>
          </cell>
          <cell r="E108">
            <v>45735</v>
          </cell>
          <cell r="F108" t="str">
            <v/>
          </cell>
          <cell r="G108" t="str">
            <v/>
          </cell>
          <cell r="H108">
            <v>870.38</v>
          </cell>
          <cell r="I108" t="str">
            <v>INR</v>
          </cell>
          <cell r="J108">
            <v>10.039999999999999</v>
          </cell>
        </row>
        <row r="109">
          <cell r="C109">
            <v>246779413259</v>
          </cell>
          <cell r="D109" t="str">
            <v>DR</v>
          </cell>
          <cell r="E109">
            <v>45735</v>
          </cell>
          <cell r="F109" t="str">
            <v/>
          </cell>
          <cell r="G109" t="str">
            <v/>
          </cell>
          <cell r="H109">
            <v>436.06</v>
          </cell>
          <cell r="I109" t="str">
            <v>INR</v>
          </cell>
          <cell r="J109">
            <v>5.0299999999999994</v>
          </cell>
        </row>
        <row r="110">
          <cell r="C110">
            <v>246779413260</v>
          </cell>
          <cell r="D110" t="str">
            <v>DR</v>
          </cell>
          <cell r="E110">
            <v>45735</v>
          </cell>
          <cell r="F110" t="str">
            <v/>
          </cell>
          <cell r="G110" t="str">
            <v/>
          </cell>
          <cell r="H110">
            <v>436.06</v>
          </cell>
          <cell r="I110" t="str">
            <v>INR</v>
          </cell>
          <cell r="J110">
            <v>5.0299999999999994</v>
          </cell>
        </row>
        <row r="111">
          <cell r="C111">
            <v>246779413261</v>
          </cell>
          <cell r="D111" t="str">
            <v>DR</v>
          </cell>
          <cell r="E111">
            <v>45735</v>
          </cell>
          <cell r="F111" t="str">
            <v/>
          </cell>
          <cell r="G111" t="str">
            <v/>
          </cell>
          <cell r="H111">
            <v>870.38</v>
          </cell>
          <cell r="I111" t="str">
            <v>INR</v>
          </cell>
          <cell r="J111">
            <v>10.039999999999999</v>
          </cell>
        </row>
        <row r="112">
          <cell r="C112">
            <v>246779413262</v>
          </cell>
          <cell r="D112" t="str">
            <v>DR</v>
          </cell>
          <cell r="E112">
            <v>45735</v>
          </cell>
          <cell r="F112" t="str">
            <v/>
          </cell>
          <cell r="G112" t="str">
            <v/>
          </cell>
          <cell r="H112">
            <v>870.38</v>
          </cell>
          <cell r="I112" t="str">
            <v>INR</v>
          </cell>
          <cell r="J112">
            <v>10.039999999999999</v>
          </cell>
        </row>
        <row r="113">
          <cell r="C113">
            <v>246779413263</v>
          </cell>
          <cell r="D113" t="str">
            <v>DR</v>
          </cell>
          <cell r="E113">
            <v>45735</v>
          </cell>
          <cell r="F113" t="str">
            <v/>
          </cell>
          <cell r="G113" t="str">
            <v/>
          </cell>
          <cell r="H113">
            <v>870.38</v>
          </cell>
          <cell r="I113" t="str">
            <v>INR</v>
          </cell>
          <cell r="J113">
            <v>10.039999999999999</v>
          </cell>
        </row>
        <row r="114">
          <cell r="C114">
            <v>246779413264</v>
          </cell>
          <cell r="D114" t="str">
            <v>DR</v>
          </cell>
          <cell r="E114">
            <v>45735</v>
          </cell>
          <cell r="F114" t="str">
            <v/>
          </cell>
          <cell r="G114" t="str">
            <v/>
          </cell>
          <cell r="H114">
            <v>870.38</v>
          </cell>
          <cell r="I114" t="str">
            <v>INR</v>
          </cell>
          <cell r="J114">
            <v>10.039999999999999</v>
          </cell>
        </row>
        <row r="115">
          <cell r="C115">
            <v>246779413265</v>
          </cell>
          <cell r="D115" t="str">
            <v>DR</v>
          </cell>
          <cell r="E115">
            <v>45735</v>
          </cell>
          <cell r="F115" t="str">
            <v/>
          </cell>
          <cell r="G115" t="str">
            <v/>
          </cell>
          <cell r="H115">
            <v>870.38</v>
          </cell>
          <cell r="I115" t="str">
            <v>INR</v>
          </cell>
          <cell r="J115">
            <v>10.039999999999999</v>
          </cell>
        </row>
        <row r="116">
          <cell r="C116">
            <v>246779413266</v>
          </cell>
          <cell r="D116" t="str">
            <v>DR</v>
          </cell>
          <cell r="E116">
            <v>45735</v>
          </cell>
          <cell r="F116" t="str">
            <v/>
          </cell>
          <cell r="G116" t="str">
            <v/>
          </cell>
          <cell r="H116">
            <v>870.38</v>
          </cell>
          <cell r="I116" t="str">
            <v>INR</v>
          </cell>
          <cell r="J116">
            <v>10.039999999999999</v>
          </cell>
        </row>
        <row r="117">
          <cell r="C117">
            <v>246779413267</v>
          </cell>
          <cell r="D117" t="str">
            <v>DR</v>
          </cell>
          <cell r="E117">
            <v>45735</v>
          </cell>
          <cell r="F117" t="str">
            <v/>
          </cell>
          <cell r="G117" t="str">
            <v/>
          </cell>
          <cell r="H117">
            <v>870.38</v>
          </cell>
          <cell r="I117" t="str">
            <v>INR</v>
          </cell>
          <cell r="J117">
            <v>10.039999999999999</v>
          </cell>
        </row>
        <row r="118">
          <cell r="C118">
            <v>246779413337</v>
          </cell>
          <cell r="D118" t="str">
            <v>DR</v>
          </cell>
          <cell r="E118">
            <v>45735</v>
          </cell>
          <cell r="F118" t="str">
            <v/>
          </cell>
          <cell r="G118" t="str">
            <v/>
          </cell>
          <cell r="H118">
            <v>21765.57</v>
          </cell>
          <cell r="I118" t="str">
            <v>INR</v>
          </cell>
          <cell r="J118">
            <v>251.07</v>
          </cell>
        </row>
        <row r="119">
          <cell r="C119">
            <v>246779413373</v>
          </cell>
          <cell r="D119" t="str">
            <v>DR</v>
          </cell>
          <cell r="E119">
            <v>45735</v>
          </cell>
          <cell r="F119" t="str">
            <v/>
          </cell>
          <cell r="G119" t="str">
            <v/>
          </cell>
          <cell r="H119">
            <v>32898.47</v>
          </cell>
          <cell r="I119" t="str">
            <v>INR</v>
          </cell>
          <cell r="J119">
            <v>379.49</v>
          </cell>
        </row>
        <row r="120">
          <cell r="C120">
            <v>246779413406</v>
          </cell>
          <cell r="D120" t="str">
            <v>DR</v>
          </cell>
          <cell r="E120">
            <v>45735</v>
          </cell>
          <cell r="F120" t="str">
            <v/>
          </cell>
          <cell r="G120" t="str">
            <v/>
          </cell>
          <cell r="H120">
            <v>31006</v>
          </cell>
          <cell r="I120" t="str">
            <v>INR</v>
          </cell>
          <cell r="J120">
            <v>357.66</v>
          </cell>
        </row>
        <row r="121">
          <cell r="C121">
            <v>246779413433</v>
          </cell>
          <cell r="D121" t="str">
            <v>DR</v>
          </cell>
          <cell r="E121">
            <v>45735</v>
          </cell>
          <cell r="F121" t="str">
            <v/>
          </cell>
          <cell r="G121" t="str">
            <v/>
          </cell>
          <cell r="H121">
            <v>24649.79</v>
          </cell>
          <cell r="I121" t="str">
            <v>INR</v>
          </cell>
          <cell r="J121">
            <v>284.33999999999997</v>
          </cell>
        </row>
        <row r="122">
          <cell r="C122">
            <v>246779413460</v>
          </cell>
          <cell r="D122" t="str">
            <v>DR</v>
          </cell>
          <cell r="E122">
            <v>45736</v>
          </cell>
          <cell r="F122" t="str">
            <v/>
          </cell>
          <cell r="G122" t="str">
            <v/>
          </cell>
          <cell r="H122">
            <v>48515.9</v>
          </cell>
          <cell r="I122" t="str">
            <v>INR</v>
          </cell>
          <cell r="J122">
            <v>559.64</v>
          </cell>
        </row>
        <row r="123">
          <cell r="C123">
            <v>246779413461</v>
          </cell>
          <cell r="D123" t="str">
            <v>DR</v>
          </cell>
          <cell r="E123">
            <v>45736</v>
          </cell>
          <cell r="F123" t="str">
            <v/>
          </cell>
          <cell r="G123" t="str">
            <v/>
          </cell>
          <cell r="H123">
            <v>112.7</v>
          </cell>
          <cell r="I123" t="str">
            <v>INR</v>
          </cell>
          <cell r="J123">
            <v>1.3</v>
          </cell>
        </row>
        <row r="124">
          <cell r="C124">
            <v>246779413462</v>
          </cell>
          <cell r="D124" t="str">
            <v>DR</v>
          </cell>
          <cell r="E124">
            <v>45736</v>
          </cell>
          <cell r="F124" t="str">
            <v/>
          </cell>
          <cell r="G124" t="str">
            <v/>
          </cell>
          <cell r="H124">
            <v>29859.94</v>
          </cell>
          <cell r="I124" t="str">
            <v>INR</v>
          </cell>
          <cell r="J124">
            <v>344.44</v>
          </cell>
        </row>
        <row r="125">
          <cell r="C125">
            <v>246779413493</v>
          </cell>
          <cell r="D125" t="str">
            <v>DR</v>
          </cell>
          <cell r="E125">
            <v>45736</v>
          </cell>
          <cell r="F125" t="str">
            <v/>
          </cell>
          <cell r="G125" t="str">
            <v/>
          </cell>
          <cell r="H125">
            <v>30523.13</v>
          </cell>
          <cell r="I125" t="str">
            <v>INR</v>
          </cell>
          <cell r="J125">
            <v>352.09</v>
          </cell>
        </row>
        <row r="126">
          <cell r="C126">
            <v>246779413494</v>
          </cell>
          <cell r="D126" t="str">
            <v>DR</v>
          </cell>
          <cell r="E126">
            <v>45736</v>
          </cell>
          <cell r="F126" t="str">
            <v/>
          </cell>
          <cell r="G126" t="str">
            <v/>
          </cell>
          <cell r="H126">
            <v>70031.8</v>
          </cell>
          <cell r="I126" t="str">
            <v>INR</v>
          </cell>
          <cell r="J126">
            <v>807.83</v>
          </cell>
        </row>
        <row r="127">
          <cell r="C127">
            <v>246779413522</v>
          </cell>
          <cell r="D127" t="str">
            <v>DR</v>
          </cell>
          <cell r="E127">
            <v>45736</v>
          </cell>
          <cell r="F127" t="str">
            <v/>
          </cell>
          <cell r="G127" t="str">
            <v/>
          </cell>
          <cell r="H127">
            <v>48442.21</v>
          </cell>
          <cell r="I127" t="str">
            <v>INR</v>
          </cell>
          <cell r="J127">
            <v>558.79</v>
          </cell>
        </row>
        <row r="128">
          <cell r="C128">
            <v>246779413523</v>
          </cell>
          <cell r="D128" t="str">
            <v>DR</v>
          </cell>
          <cell r="E128">
            <v>45736</v>
          </cell>
          <cell r="F128" t="str">
            <v/>
          </cell>
          <cell r="G128" t="str">
            <v/>
          </cell>
          <cell r="H128">
            <v>14927.37</v>
          </cell>
          <cell r="I128" t="str">
            <v>INR</v>
          </cell>
          <cell r="J128">
            <v>172.19</v>
          </cell>
        </row>
        <row r="129">
          <cell r="C129">
            <v>246779413544</v>
          </cell>
          <cell r="D129" t="str">
            <v>DR</v>
          </cell>
          <cell r="E129">
            <v>45736</v>
          </cell>
          <cell r="F129" t="str">
            <v/>
          </cell>
          <cell r="G129" t="str">
            <v/>
          </cell>
          <cell r="H129">
            <v>24590.84</v>
          </cell>
          <cell r="I129" t="str">
            <v>INR</v>
          </cell>
          <cell r="J129">
            <v>283.65999999999997</v>
          </cell>
        </row>
        <row r="130">
          <cell r="C130">
            <v>246779413545</v>
          </cell>
          <cell r="D130" t="str">
            <v>DR</v>
          </cell>
          <cell r="E130">
            <v>45736</v>
          </cell>
          <cell r="F130" t="str">
            <v/>
          </cell>
          <cell r="G130" t="str">
            <v/>
          </cell>
          <cell r="H130">
            <v>64553.78</v>
          </cell>
          <cell r="I130" t="str">
            <v>INR</v>
          </cell>
          <cell r="J130">
            <v>744.64</v>
          </cell>
        </row>
        <row r="131">
          <cell r="C131">
            <v>246779413546</v>
          </cell>
          <cell r="D131" t="str">
            <v>DR</v>
          </cell>
          <cell r="E131">
            <v>45736</v>
          </cell>
          <cell r="F131" t="str">
            <v/>
          </cell>
          <cell r="G131" t="str">
            <v/>
          </cell>
          <cell r="H131">
            <v>29323.32</v>
          </cell>
          <cell r="I131" t="str">
            <v>INR</v>
          </cell>
          <cell r="J131">
            <v>338.25</v>
          </cell>
        </row>
        <row r="132">
          <cell r="C132">
            <v>246779413556</v>
          </cell>
          <cell r="D132" t="str">
            <v>DR</v>
          </cell>
          <cell r="E132">
            <v>45736</v>
          </cell>
          <cell r="F132" t="str">
            <v/>
          </cell>
          <cell r="G132" t="str">
            <v/>
          </cell>
          <cell r="H132">
            <v>22749.52</v>
          </cell>
          <cell r="I132" t="str">
            <v>INR</v>
          </cell>
          <cell r="J132">
            <v>76.569999999999993</v>
          </cell>
        </row>
        <row r="133">
          <cell r="C133">
            <v>246779413557</v>
          </cell>
          <cell r="D133" t="str">
            <v>DR</v>
          </cell>
          <cell r="E133">
            <v>45736</v>
          </cell>
          <cell r="F133" t="str">
            <v/>
          </cell>
          <cell r="G133" t="str">
            <v/>
          </cell>
          <cell r="H133">
            <v>24302.16</v>
          </cell>
          <cell r="I133" t="str">
            <v>INR</v>
          </cell>
          <cell r="J133">
            <v>7.12</v>
          </cell>
        </row>
        <row r="134">
          <cell r="C134">
            <v>246779413558</v>
          </cell>
          <cell r="D134" t="str">
            <v>DR</v>
          </cell>
          <cell r="E134">
            <v>45736</v>
          </cell>
          <cell r="F134" t="str">
            <v/>
          </cell>
          <cell r="G134" t="str">
            <v/>
          </cell>
          <cell r="H134">
            <v>31311.15</v>
          </cell>
          <cell r="I134" t="str">
            <v>INR</v>
          </cell>
          <cell r="J134">
            <v>22.93</v>
          </cell>
        </row>
        <row r="135">
          <cell r="C135">
            <v>246779413559</v>
          </cell>
          <cell r="D135" t="str">
            <v>DR</v>
          </cell>
          <cell r="E135">
            <v>45736</v>
          </cell>
          <cell r="F135" t="str">
            <v/>
          </cell>
          <cell r="G135" t="str">
            <v/>
          </cell>
          <cell r="H135">
            <v>25384.07</v>
          </cell>
          <cell r="I135" t="str">
            <v>INR</v>
          </cell>
          <cell r="J135">
            <v>19.600000000000001</v>
          </cell>
        </row>
        <row r="136">
          <cell r="C136">
            <v>246779413560</v>
          </cell>
          <cell r="D136" t="str">
            <v>DR</v>
          </cell>
          <cell r="E136">
            <v>45736</v>
          </cell>
          <cell r="F136" t="str">
            <v/>
          </cell>
          <cell r="G136" t="str">
            <v/>
          </cell>
          <cell r="H136">
            <v>75339.91</v>
          </cell>
          <cell r="I136" t="str">
            <v>INR</v>
          </cell>
          <cell r="J136">
            <v>49.44</v>
          </cell>
        </row>
        <row r="137">
          <cell r="C137">
            <v>246779413561</v>
          </cell>
          <cell r="D137" t="str">
            <v>DR</v>
          </cell>
          <cell r="E137">
            <v>45736</v>
          </cell>
          <cell r="F137" t="str">
            <v/>
          </cell>
          <cell r="G137" t="str">
            <v/>
          </cell>
          <cell r="H137">
            <v>124353.41</v>
          </cell>
          <cell r="I137" t="str">
            <v>INR</v>
          </cell>
          <cell r="J137">
            <v>108.18</v>
          </cell>
        </row>
        <row r="138">
          <cell r="C138">
            <v>246779413562</v>
          </cell>
          <cell r="D138" t="str">
            <v>DR</v>
          </cell>
          <cell r="E138">
            <v>45736</v>
          </cell>
          <cell r="F138" t="str">
            <v/>
          </cell>
          <cell r="G138" t="str">
            <v/>
          </cell>
          <cell r="H138">
            <v>157504.15</v>
          </cell>
          <cell r="I138" t="str">
            <v>INR</v>
          </cell>
          <cell r="J138">
            <v>125.6</v>
          </cell>
        </row>
        <row r="139">
          <cell r="C139">
            <v>246779413574</v>
          </cell>
          <cell r="D139" t="str">
            <v>DR</v>
          </cell>
          <cell r="E139">
            <v>45736</v>
          </cell>
          <cell r="F139" t="str">
            <v/>
          </cell>
          <cell r="G139" t="str">
            <v/>
          </cell>
          <cell r="H139">
            <v>23270.53</v>
          </cell>
          <cell r="I139" t="str">
            <v>INR</v>
          </cell>
          <cell r="J139">
            <v>82.58</v>
          </cell>
        </row>
        <row r="140">
          <cell r="C140">
            <v>246779413575</v>
          </cell>
          <cell r="D140" t="str">
            <v>DR</v>
          </cell>
          <cell r="E140">
            <v>45736</v>
          </cell>
          <cell r="F140" t="str">
            <v/>
          </cell>
          <cell r="G140" t="str">
            <v/>
          </cell>
          <cell r="H140">
            <v>24440.87</v>
          </cell>
          <cell r="I140" t="str">
            <v>INR</v>
          </cell>
          <cell r="J140">
            <v>96.08</v>
          </cell>
        </row>
        <row r="141">
          <cell r="C141">
            <v>246779413576</v>
          </cell>
          <cell r="D141" t="str">
            <v>DR</v>
          </cell>
          <cell r="E141">
            <v>45736</v>
          </cell>
          <cell r="F141" t="str">
            <v/>
          </cell>
          <cell r="G141" t="str">
            <v/>
          </cell>
          <cell r="H141">
            <v>8356.17</v>
          </cell>
          <cell r="I141" t="str">
            <v>INR</v>
          </cell>
          <cell r="J141">
            <v>3.46</v>
          </cell>
        </row>
        <row r="142">
          <cell r="C142">
            <v>246779413577</v>
          </cell>
          <cell r="D142" t="str">
            <v>DR</v>
          </cell>
          <cell r="E142">
            <v>45736</v>
          </cell>
          <cell r="F142" t="str">
            <v/>
          </cell>
          <cell r="G142" t="str">
            <v/>
          </cell>
          <cell r="H142">
            <v>3187.64</v>
          </cell>
          <cell r="I142" t="str">
            <v>INR</v>
          </cell>
          <cell r="J142">
            <v>3.26</v>
          </cell>
        </row>
        <row r="143">
          <cell r="C143">
            <v>246779413578</v>
          </cell>
          <cell r="D143" t="str">
            <v>DR</v>
          </cell>
          <cell r="E143">
            <v>45736</v>
          </cell>
          <cell r="F143" t="str">
            <v/>
          </cell>
          <cell r="G143" t="str">
            <v/>
          </cell>
          <cell r="H143">
            <v>32857.72</v>
          </cell>
          <cell r="I143" t="str">
            <v>INR</v>
          </cell>
          <cell r="J143">
            <v>40.769999999999996</v>
          </cell>
        </row>
        <row r="144">
          <cell r="C144">
            <v>246779413579</v>
          </cell>
          <cell r="D144" t="str">
            <v>DR</v>
          </cell>
          <cell r="E144">
            <v>45736</v>
          </cell>
          <cell r="F144" t="str">
            <v/>
          </cell>
          <cell r="G144" t="str">
            <v/>
          </cell>
          <cell r="H144">
            <v>3187.64</v>
          </cell>
          <cell r="I144" t="str">
            <v>INR</v>
          </cell>
          <cell r="J144">
            <v>3.26</v>
          </cell>
        </row>
        <row r="145">
          <cell r="C145">
            <v>246779413580</v>
          </cell>
          <cell r="D145" t="str">
            <v>DR</v>
          </cell>
          <cell r="E145">
            <v>45736</v>
          </cell>
          <cell r="F145" t="str">
            <v/>
          </cell>
          <cell r="G145" t="str">
            <v/>
          </cell>
          <cell r="H145">
            <v>3074.94</v>
          </cell>
          <cell r="I145" t="str">
            <v>INR</v>
          </cell>
          <cell r="J145">
            <v>3.26</v>
          </cell>
        </row>
        <row r="146">
          <cell r="C146">
            <v>246779413633</v>
          </cell>
          <cell r="D146" t="str">
            <v>DR</v>
          </cell>
          <cell r="E146">
            <v>45736</v>
          </cell>
          <cell r="F146" t="str">
            <v/>
          </cell>
          <cell r="G146" t="str">
            <v/>
          </cell>
          <cell r="H146">
            <v>6108.27</v>
          </cell>
          <cell r="I146" t="str">
            <v>INR</v>
          </cell>
          <cell r="J146">
            <v>70.460000000000008</v>
          </cell>
        </row>
        <row r="147">
          <cell r="C147">
            <v>246779413639</v>
          </cell>
          <cell r="D147" t="str">
            <v>DR</v>
          </cell>
          <cell r="E147">
            <v>45736</v>
          </cell>
          <cell r="F147" t="str">
            <v/>
          </cell>
          <cell r="G147" t="str">
            <v/>
          </cell>
          <cell r="H147">
            <v>4213.2</v>
          </cell>
          <cell r="I147" t="str">
            <v>INR</v>
          </cell>
          <cell r="J147">
            <v>48.599999999999994</v>
          </cell>
        </row>
        <row r="148">
          <cell r="C148">
            <v>246779413971</v>
          </cell>
          <cell r="D148" t="str">
            <v>DR</v>
          </cell>
          <cell r="E148">
            <v>45736</v>
          </cell>
          <cell r="F148" t="str">
            <v/>
          </cell>
          <cell r="G148" t="str">
            <v/>
          </cell>
          <cell r="H148">
            <v>1552.64</v>
          </cell>
          <cell r="I148" t="str">
            <v>INR</v>
          </cell>
          <cell r="J148">
            <v>17.91</v>
          </cell>
        </row>
        <row r="149">
          <cell r="C149">
            <v>246779413975</v>
          </cell>
          <cell r="D149" t="str">
            <v>DR</v>
          </cell>
          <cell r="E149">
            <v>45736</v>
          </cell>
          <cell r="F149" t="str">
            <v/>
          </cell>
          <cell r="G149" t="str">
            <v/>
          </cell>
          <cell r="H149">
            <v>11104.29</v>
          </cell>
          <cell r="I149" t="str">
            <v>INR</v>
          </cell>
          <cell r="J149">
            <v>128.09</v>
          </cell>
        </row>
        <row r="150">
          <cell r="C150">
            <v>246779413834</v>
          </cell>
          <cell r="D150" t="str">
            <v>DR</v>
          </cell>
          <cell r="E150">
            <v>45736</v>
          </cell>
          <cell r="F150" t="str">
            <v/>
          </cell>
          <cell r="G150" t="str">
            <v/>
          </cell>
          <cell r="H150">
            <v>53007.37</v>
          </cell>
          <cell r="I150" t="str">
            <v>INR</v>
          </cell>
          <cell r="J150">
            <v>611.44999999999993</v>
          </cell>
        </row>
        <row r="151">
          <cell r="C151">
            <v>246779413985</v>
          </cell>
          <cell r="D151" t="str">
            <v>DR</v>
          </cell>
          <cell r="E151">
            <v>45736</v>
          </cell>
          <cell r="F151" t="str">
            <v/>
          </cell>
          <cell r="G151" t="str">
            <v/>
          </cell>
          <cell r="H151">
            <v>710</v>
          </cell>
          <cell r="I151" t="str">
            <v>INR</v>
          </cell>
          <cell r="J151">
            <v>8.1900000000000013</v>
          </cell>
        </row>
        <row r="152">
          <cell r="C152">
            <v>246779413987</v>
          </cell>
          <cell r="D152" t="str">
            <v>DR</v>
          </cell>
          <cell r="E152">
            <v>45736</v>
          </cell>
          <cell r="F152" t="str">
            <v/>
          </cell>
          <cell r="G152" t="str">
            <v/>
          </cell>
          <cell r="H152">
            <v>138.71</v>
          </cell>
          <cell r="I152" t="str">
            <v>INR</v>
          </cell>
          <cell r="J152">
            <v>1.6</v>
          </cell>
        </row>
        <row r="153">
          <cell r="C153">
            <v>246779413989</v>
          </cell>
          <cell r="D153" t="str">
            <v>DR</v>
          </cell>
          <cell r="E153">
            <v>45736</v>
          </cell>
          <cell r="F153" t="str">
            <v/>
          </cell>
          <cell r="G153" t="str">
            <v/>
          </cell>
          <cell r="H153">
            <v>828.77</v>
          </cell>
          <cell r="I153" t="str">
            <v>INR</v>
          </cell>
          <cell r="J153">
            <v>9.5599999999999987</v>
          </cell>
        </row>
        <row r="154">
          <cell r="C154">
            <v>246779413990</v>
          </cell>
          <cell r="D154" t="str">
            <v>DR</v>
          </cell>
          <cell r="E154">
            <v>45736</v>
          </cell>
          <cell r="F154" t="str">
            <v/>
          </cell>
          <cell r="G154" t="str">
            <v/>
          </cell>
          <cell r="H154">
            <v>346.77</v>
          </cell>
          <cell r="I154" t="str">
            <v>INR</v>
          </cell>
          <cell r="J154">
            <v>4</v>
          </cell>
        </row>
        <row r="155">
          <cell r="C155">
            <v>246779413997</v>
          </cell>
          <cell r="D155" t="str">
            <v>DR</v>
          </cell>
          <cell r="E155">
            <v>45736</v>
          </cell>
          <cell r="F155" t="str">
            <v/>
          </cell>
          <cell r="G155" t="str">
            <v/>
          </cell>
          <cell r="H155">
            <v>682.26</v>
          </cell>
          <cell r="I155" t="str">
            <v>INR</v>
          </cell>
          <cell r="J155">
            <v>7.87</v>
          </cell>
        </row>
        <row r="156">
          <cell r="C156">
            <v>246779413998</v>
          </cell>
          <cell r="D156" t="str">
            <v>DR</v>
          </cell>
          <cell r="E156">
            <v>45736</v>
          </cell>
          <cell r="F156" t="str">
            <v/>
          </cell>
          <cell r="G156" t="str">
            <v/>
          </cell>
          <cell r="H156">
            <v>892.92</v>
          </cell>
          <cell r="I156" t="str">
            <v>INR</v>
          </cell>
          <cell r="J156">
            <v>10.3</v>
          </cell>
        </row>
        <row r="157">
          <cell r="C157">
            <v>246779413999</v>
          </cell>
          <cell r="D157" t="str">
            <v>DR</v>
          </cell>
          <cell r="E157">
            <v>45736</v>
          </cell>
          <cell r="F157" t="str">
            <v/>
          </cell>
          <cell r="G157" t="str">
            <v/>
          </cell>
          <cell r="H157">
            <v>872.98</v>
          </cell>
          <cell r="I157" t="str">
            <v>INR</v>
          </cell>
          <cell r="J157">
            <v>10.07</v>
          </cell>
        </row>
        <row r="158">
          <cell r="C158">
            <v>246779414001</v>
          </cell>
          <cell r="D158" t="str">
            <v>DR</v>
          </cell>
          <cell r="E158">
            <v>45736</v>
          </cell>
          <cell r="F158" t="str">
            <v/>
          </cell>
          <cell r="G158" t="str">
            <v/>
          </cell>
          <cell r="H158">
            <v>1166</v>
          </cell>
          <cell r="I158" t="str">
            <v>INR</v>
          </cell>
          <cell r="J158">
            <v>13.45</v>
          </cell>
        </row>
        <row r="159">
          <cell r="C159">
            <v>246779414002</v>
          </cell>
          <cell r="D159" t="str">
            <v>DR</v>
          </cell>
          <cell r="E159">
            <v>45736</v>
          </cell>
          <cell r="F159" t="str">
            <v/>
          </cell>
          <cell r="G159" t="str">
            <v/>
          </cell>
          <cell r="H159">
            <v>796.69</v>
          </cell>
          <cell r="I159" t="str">
            <v>INR</v>
          </cell>
          <cell r="J159">
            <v>9.19</v>
          </cell>
        </row>
        <row r="160">
          <cell r="C160">
            <v>246779414006</v>
          </cell>
          <cell r="D160" t="str">
            <v>DR</v>
          </cell>
          <cell r="E160">
            <v>45736</v>
          </cell>
          <cell r="F160" t="str">
            <v/>
          </cell>
          <cell r="G160" t="str">
            <v/>
          </cell>
          <cell r="H160">
            <v>37949.1</v>
          </cell>
          <cell r="I160" t="str">
            <v>INR</v>
          </cell>
          <cell r="J160">
            <v>82.58</v>
          </cell>
        </row>
        <row r="161">
          <cell r="C161">
            <v>246779414009</v>
          </cell>
          <cell r="D161" t="str">
            <v>DR</v>
          </cell>
          <cell r="E161">
            <v>45736</v>
          </cell>
          <cell r="F161" t="str">
            <v/>
          </cell>
          <cell r="G161" t="str">
            <v/>
          </cell>
          <cell r="H161">
            <v>37428.080000000002</v>
          </cell>
          <cell r="I161" t="str">
            <v>INR</v>
          </cell>
          <cell r="J161">
            <v>76.569999999999993</v>
          </cell>
        </row>
        <row r="162">
          <cell r="C162">
            <v>246779414492</v>
          </cell>
          <cell r="D162" t="str">
            <v>DR</v>
          </cell>
          <cell r="E162">
            <v>45736</v>
          </cell>
          <cell r="F162" t="str">
            <v/>
          </cell>
          <cell r="G162" t="str">
            <v/>
          </cell>
          <cell r="H162">
            <v>2754.18</v>
          </cell>
          <cell r="I162" t="str">
            <v>INR</v>
          </cell>
          <cell r="J162">
            <v>31.770000000000003</v>
          </cell>
        </row>
        <row r="163">
          <cell r="C163">
            <v>246779414493</v>
          </cell>
          <cell r="D163" t="str">
            <v>DR</v>
          </cell>
          <cell r="E163">
            <v>45736</v>
          </cell>
          <cell r="F163" t="str">
            <v/>
          </cell>
          <cell r="G163" t="str">
            <v/>
          </cell>
          <cell r="H163">
            <v>37593.660000000003</v>
          </cell>
          <cell r="I163" t="str">
            <v>INR</v>
          </cell>
          <cell r="J163">
            <v>433.65</v>
          </cell>
        </row>
        <row r="164">
          <cell r="C164">
            <v>246779414761</v>
          </cell>
          <cell r="D164" t="str">
            <v>DR</v>
          </cell>
          <cell r="E164">
            <v>45736</v>
          </cell>
          <cell r="F164" t="str">
            <v/>
          </cell>
          <cell r="G164" t="str">
            <v/>
          </cell>
          <cell r="H164">
            <v>17339.990000000002</v>
          </cell>
          <cell r="I164" t="str">
            <v>INR</v>
          </cell>
          <cell r="J164">
            <v>200.01999999999998</v>
          </cell>
        </row>
        <row r="165">
          <cell r="C165">
            <v>246779414918</v>
          </cell>
          <cell r="D165" t="str">
            <v>DR</v>
          </cell>
          <cell r="E165">
            <v>45736</v>
          </cell>
          <cell r="F165" t="str">
            <v/>
          </cell>
          <cell r="G165" t="str">
            <v/>
          </cell>
          <cell r="H165">
            <v>30790.13</v>
          </cell>
          <cell r="I165" t="str">
            <v>INR</v>
          </cell>
          <cell r="J165">
            <v>355.17</v>
          </cell>
        </row>
        <row r="166">
          <cell r="C166">
            <v>256779410309</v>
          </cell>
          <cell r="D166" t="str">
            <v>DR</v>
          </cell>
          <cell r="E166">
            <v>45750</v>
          </cell>
          <cell r="F166" t="str">
            <v/>
          </cell>
          <cell r="G166" t="str">
            <v/>
          </cell>
          <cell r="H166">
            <v>3713.3</v>
          </cell>
          <cell r="I166" t="str">
            <v>INR</v>
          </cell>
          <cell r="J166">
            <v>42.72</v>
          </cell>
        </row>
        <row r="167">
          <cell r="C167">
            <v>256779410310</v>
          </cell>
          <cell r="D167" t="str">
            <v>DR</v>
          </cell>
          <cell r="E167">
            <v>45750</v>
          </cell>
          <cell r="F167" t="str">
            <v/>
          </cell>
          <cell r="G167" t="str">
            <v/>
          </cell>
          <cell r="H167">
            <v>3133.53</v>
          </cell>
          <cell r="I167" t="str">
            <v>INR</v>
          </cell>
          <cell r="J167">
            <v>36.049999999999997</v>
          </cell>
        </row>
        <row r="168">
          <cell r="C168">
            <v>256779410311</v>
          </cell>
          <cell r="D168" t="str">
            <v>DR</v>
          </cell>
          <cell r="E168">
            <v>45750</v>
          </cell>
          <cell r="F168" t="str">
            <v/>
          </cell>
          <cell r="G168" t="str">
            <v/>
          </cell>
          <cell r="H168">
            <v>3160.48</v>
          </cell>
          <cell r="I168" t="str">
            <v>INR</v>
          </cell>
          <cell r="J168">
            <v>36.36</v>
          </cell>
        </row>
        <row r="169">
          <cell r="C169">
            <v>256779410312</v>
          </cell>
          <cell r="D169" t="str">
            <v>DR</v>
          </cell>
          <cell r="E169">
            <v>45750</v>
          </cell>
          <cell r="F169" t="str">
            <v/>
          </cell>
          <cell r="G169" t="str">
            <v/>
          </cell>
          <cell r="H169">
            <v>283.37</v>
          </cell>
          <cell r="I169" t="str">
            <v>INR</v>
          </cell>
          <cell r="J169">
            <v>3.26</v>
          </cell>
        </row>
        <row r="170">
          <cell r="C170">
            <v>256779410313</v>
          </cell>
          <cell r="D170" t="str">
            <v>DR</v>
          </cell>
          <cell r="E170">
            <v>45750</v>
          </cell>
          <cell r="F170" t="str">
            <v/>
          </cell>
          <cell r="G170" t="str">
            <v/>
          </cell>
          <cell r="H170">
            <v>4506.03</v>
          </cell>
          <cell r="I170" t="str">
            <v>INR</v>
          </cell>
          <cell r="J170">
            <v>51.84</v>
          </cell>
        </row>
        <row r="171">
          <cell r="C171">
            <v>256779410314</v>
          </cell>
          <cell r="D171" t="str">
            <v>DR</v>
          </cell>
          <cell r="E171">
            <v>45750</v>
          </cell>
          <cell r="F171" t="str">
            <v/>
          </cell>
          <cell r="G171" t="str">
            <v/>
          </cell>
          <cell r="H171">
            <v>405.92</v>
          </cell>
          <cell r="I171" t="str">
            <v>INR</v>
          </cell>
          <cell r="J171">
            <v>4.67</v>
          </cell>
        </row>
        <row r="172">
          <cell r="C172">
            <v>256779410315</v>
          </cell>
          <cell r="D172" t="str">
            <v>DR</v>
          </cell>
          <cell r="E172">
            <v>45750</v>
          </cell>
          <cell r="F172" t="str">
            <v/>
          </cell>
          <cell r="G172" t="str">
            <v/>
          </cell>
          <cell r="H172">
            <v>6655.6</v>
          </cell>
          <cell r="I172" t="str">
            <v>INR</v>
          </cell>
          <cell r="J172">
            <v>76.569999999999993</v>
          </cell>
        </row>
        <row r="173">
          <cell r="C173">
            <v>256779410316</v>
          </cell>
          <cell r="D173" t="str">
            <v>DR</v>
          </cell>
          <cell r="E173">
            <v>45750</v>
          </cell>
          <cell r="F173" t="str">
            <v/>
          </cell>
          <cell r="G173" t="str">
            <v/>
          </cell>
          <cell r="H173">
            <v>7178</v>
          </cell>
          <cell r="I173" t="str">
            <v>INR</v>
          </cell>
          <cell r="J173">
            <v>82.58</v>
          </cell>
        </row>
        <row r="174">
          <cell r="C174">
            <v>256779410317</v>
          </cell>
          <cell r="D174" t="str">
            <v>DR</v>
          </cell>
          <cell r="E174">
            <v>45750</v>
          </cell>
          <cell r="F174" t="str">
            <v/>
          </cell>
          <cell r="G174" t="str">
            <v/>
          </cell>
          <cell r="H174">
            <v>283.37</v>
          </cell>
          <cell r="I174" t="str">
            <v>INR</v>
          </cell>
          <cell r="J174">
            <v>3.26</v>
          </cell>
        </row>
        <row r="175">
          <cell r="C175">
            <v>256779410320</v>
          </cell>
          <cell r="D175" t="str">
            <v>DR</v>
          </cell>
          <cell r="E175">
            <v>45750</v>
          </cell>
          <cell r="F175" t="str">
            <v/>
          </cell>
          <cell r="G175" t="str">
            <v/>
          </cell>
          <cell r="H175">
            <v>42277.03</v>
          </cell>
          <cell r="I175" t="str">
            <v>INR</v>
          </cell>
          <cell r="J175">
            <v>76.569999999999993</v>
          </cell>
        </row>
        <row r="176">
          <cell r="C176">
            <v>256779410327</v>
          </cell>
          <cell r="D176" t="str">
            <v>DR</v>
          </cell>
          <cell r="E176">
            <v>45750</v>
          </cell>
          <cell r="F176" t="str">
            <v/>
          </cell>
          <cell r="G176" t="str">
            <v/>
          </cell>
          <cell r="H176">
            <v>1036.98</v>
          </cell>
          <cell r="I176" t="str">
            <v>INR</v>
          </cell>
          <cell r="J176">
            <v>11.93</v>
          </cell>
        </row>
        <row r="177">
          <cell r="C177">
            <v>256779410328</v>
          </cell>
          <cell r="D177" t="str">
            <v>DR</v>
          </cell>
          <cell r="E177">
            <v>45750</v>
          </cell>
          <cell r="F177" t="str">
            <v/>
          </cell>
          <cell r="G177" t="str">
            <v/>
          </cell>
          <cell r="H177">
            <v>283.37</v>
          </cell>
          <cell r="I177" t="str">
            <v>INR</v>
          </cell>
          <cell r="J177">
            <v>3.26</v>
          </cell>
        </row>
        <row r="178">
          <cell r="C178">
            <v>256779410329</v>
          </cell>
          <cell r="D178" t="str">
            <v>DR</v>
          </cell>
          <cell r="E178">
            <v>45750</v>
          </cell>
          <cell r="F178" t="str">
            <v/>
          </cell>
          <cell r="G178" t="str">
            <v/>
          </cell>
          <cell r="H178">
            <v>1771.47</v>
          </cell>
          <cell r="I178" t="str">
            <v>INR</v>
          </cell>
          <cell r="J178">
            <v>20.38</v>
          </cell>
        </row>
        <row r="179">
          <cell r="C179">
            <v>256779410330</v>
          </cell>
          <cell r="D179" t="str">
            <v>DR</v>
          </cell>
          <cell r="E179">
            <v>45750</v>
          </cell>
          <cell r="F179" t="str">
            <v/>
          </cell>
          <cell r="G179" t="str">
            <v/>
          </cell>
          <cell r="H179">
            <v>1625.44</v>
          </cell>
          <cell r="I179" t="str">
            <v>INR</v>
          </cell>
          <cell r="J179">
            <v>18.7</v>
          </cell>
        </row>
        <row r="180">
          <cell r="C180">
            <v>256779410331</v>
          </cell>
          <cell r="D180" t="str">
            <v>DR</v>
          </cell>
          <cell r="E180">
            <v>45750</v>
          </cell>
          <cell r="F180" t="str">
            <v/>
          </cell>
          <cell r="G180" t="str">
            <v/>
          </cell>
          <cell r="H180">
            <v>764.91</v>
          </cell>
          <cell r="I180" t="str">
            <v>INR</v>
          </cell>
          <cell r="J180">
            <v>8.8000000000000007</v>
          </cell>
        </row>
        <row r="181">
          <cell r="C181">
            <v>256779410332</v>
          </cell>
          <cell r="D181" t="str">
            <v>DR</v>
          </cell>
          <cell r="E181">
            <v>45750</v>
          </cell>
          <cell r="F181" t="str">
            <v/>
          </cell>
          <cell r="G181" t="str">
            <v/>
          </cell>
          <cell r="H181">
            <v>396.36</v>
          </cell>
          <cell r="I181" t="str">
            <v>INR</v>
          </cell>
          <cell r="J181">
            <v>3.26</v>
          </cell>
        </row>
        <row r="182">
          <cell r="C182">
            <v>256779410333</v>
          </cell>
          <cell r="D182" t="str">
            <v>DR</v>
          </cell>
          <cell r="E182">
            <v>45750</v>
          </cell>
          <cell r="F182" t="str">
            <v/>
          </cell>
          <cell r="G182" t="str">
            <v/>
          </cell>
          <cell r="H182">
            <v>882.26</v>
          </cell>
          <cell r="I182" t="str">
            <v>INR</v>
          </cell>
          <cell r="J182">
            <v>10.15</v>
          </cell>
        </row>
        <row r="183">
          <cell r="C183">
            <v>256779410334</v>
          </cell>
          <cell r="D183" t="str">
            <v>DR</v>
          </cell>
          <cell r="E183">
            <v>45750</v>
          </cell>
          <cell r="F183" t="str">
            <v/>
          </cell>
          <cell r="G183" t="str">
            <v/>
          </cell>
          <cell r="H183">
            <v>1322.08</v>
          </cell>
          <cell r="I183" t="str">
            <v>INR</v>
          </cell>
          <cell r="J183">
            <v>15.21</v>
          </cell>
        </row>
        <row r="184">
          <cell r="C184">
            <v>256779410335</v>
          </cell>
          <cell r="D184" t="str">
            <v>DR</v>
          </cell>
          <cell r="E184">
            <v>45750</v>
          </cell>
          <cell r="F184" t="str">
            <v/>
          </cell>
          <cell r="G184" t="str">
            <v/>
          </cell>
          <cell r="H184">
            <v>867.48</v>
          </cell>
          <cell r="I184" t="str">
            <v>INR</v>
          </cell>
          <cell r="J184">
            <v>9.98</v>
          </cell>
        </row>
        <row r="185">
          <cell r="C185">
            <v>256779410336</v>
          </cell>
          <cell r="D185" t="str">
            <v>DR</v>
          </cell>
          <cell r="E185">
            <v>45750</v>
          </cell>
          <cell r="F185" t="str">
            <v/>
          </cell>
          <cell r="G185" t="str">
            <v/>
          </cell>
          <cell r="H185">
            <v>408.53</v>
          </cell>
          <cell r="I185" t="str">
            <v>INR</v>
          </cell>
          <cell r="J185">
            <v>4.7</v>
          </cell>
        </row>
        <row r="186">
          <cell r="C186">
            <v>256779410337</v>
          </cell>
          <cell r="D186" t="str">
            <v>DR</v>
          </cell>
          <cell r="E186">
            <v>45750</v>
          </cell>
          <cell r="F186" t="str">
            <v/>
          </cell>
          <cell r="G186" t="str">
            <v/>
          </cell>
          <cell r="H186">
            <v>1194.31</v>
          </cell>
          <cell r="I186" t="str">
            <v>INR</v>
          </cell>
          <cell r="J186">
            <v>13.74</v>
          </cell>
        </row>
        <row r="187">
          <cell r="C187">
            <v>256779410338</v>
          </cell>
          <cell r="D187" t="str">
            <v>DR</v>
          </cell>
          <cell r="E187">
            <v>45750</v>
          </cell>
          <cell r="F187" t="str">
            <v/>
          </cell>
          <cell r="G187" t="str">
            <v/>
          </cell>
          <cell r="H187">
            <v>494.59</v>
          </cell>
          <cell r="I187" t="str">
            <v>INR</v>
          </cell>
          <cell r="J187">
            <v>5.69</v>
          </cell>
        </row>
        <row r="188">
          <cell r="C188">
            <v>256779410339</v>
          </cell>
          <cell r="D188" t="str">
            <v>DR</v>
          </cell>
          <cell r="E188">
            <v>45750</v>
          </cell>
          <cell r="F188" t="str">
            <v/>
          </cell>
          <cell r="G188" t="str">
            <v/>
          </cell>
          <cell r="H188">
            <v>1571.55</v>
          </cell>
          <cell r="I188" t="str">
            <v>INR</v>
          </cell>
          <cell r="J188">
            <v>18.079999999999998</v>
          </cell>
        </row>
        <row r="189">
          <cell r="C189">
            <v>256779410463</v>
          </cell>
          <cell r="D189" t="str">
            <v>DR</v>
          </cell>
          <cell r="E189">
            <v>45751</v>
          </cell>
          <cell r="F189" t="str">
            <v/>
          </cell>
          <cell r="G189" t="str">
            <v/>
          </cell>
          <cell r="H189">
            <v>348945.04</v>
          </cell>
          <cell r="I189" t="str">
            <v>INR</v>
          </cell>
          <cell r="J189">
            <v>4014.4700000000003</v>
          </cell>
        </row>
        <row r="190">
          <cell r="C190">
            <v>256779410464</v>
          </cell>
          <cell r="D190" t="str">
            <v>DR</v>
          </cell>
          <cell r="E190">
            <v>45751</v>
          </cell>
          <cell r="F190" t="str">
            <v/>
          </cell>
          <cell r="G190" t="str">
            <v/>
          </cell>
          <cell r="H190">
            <v>3881.06</v>
          </cell>
          <cell r="I190" t="str">
            <v>INR</v>
          </cell>
          <cell r="J190">
            <v>44.650000000000006</v>
          </cell>
        </row>
        <row r="191">
          <cell r="C191">
            <v>256779410552</v>
          </cell>
          <cell r="D191" t="str">
            <v>DR</v>
          </cell>
          <cell r="E191">
            <v>45751</v>
          </cell>
          <cell r="F191" t="str">
            <v/>
          </cell>
          <cell r="G191" t="str">
            <v/>
          </cell>
          <cell r="H191">
            <v>829312.39</v>
          </cell>
          <cell r="I191" t="str">
            <v>INR</v>
          </cell>
          <cell r="J191">
            <v>9540.9</v>
          </cell>
        </row>
        <row r="192">
          <cell r="C192">
            <v>256779410553</v>
          </cell>
          <cell r="D192" t="str">
            <v>DR</v>
          </cell>
          <cell r="E192">
            <v>45751</v>
          </cell>
          <cell r="F192" t="str">
            <v/>
          </cell>
          <cell r="G192" t="str">
            <v/>
          </cell>
          <cell r="H192">
            <v>59272.86</v>
          </cell>
          <cell r="I192" t="str">
            <v>INR</v>
          </cell>
          <cell r="J192">
            <v>681.91</v>
          </cell>
        </row>
        <row r="193">
          <cell r="C193">
            <v>256779410554</v>
          </cell>
          <cell r="D193" t="str">
            <v>DR</v>
          </cell>
          <cell r="E193">
            <v>45751</v>
          </cell>
          <cell r="F193" t="str">
            <v/>
          </cell>
          <cell r="G193" t="str">
            <v/>
          </cell>
          <cell r="H193">
            <v>19163.650000000001</v>
          </cell>
          <cell r="I193" t="str">
            <v>INR</v>
          </cell>
          <cell r="J193">
            <v>220.47</v>
          </cell>
        </row>
        <row r="194">
          <cell r="C194">
            <v>256779410678</v>
          </cell>
          <cell r="D194" t="str">
            <v>DR</v>
          </cell>
          <cell r="E194">
            <v>45751</v>
          </cell>
          <cell r="F194" t="str">
            <v/>
          </cell>
          <cell r="G194" t="str">
            <v/>
          </cell>
          <cell r="H194">
            <v>708169.45</v>
          </cell>
          <cell r="I194" t="str">
            <v>INR</v>
          </cell>
          <cell r="J194">
            <v>8147.2</v>
          </cell>
        </row>
        <row r="195">
          <cell r="C195">
            <v>256779410679</v>
          </cell>
          <cell r="D195" t="str">
            <v>DR</v>
          </cell>
          <cell r="E195">
            <v>45751</v>
          </cell>
          <cell r="F195" t="str">
            <v/>
          </cell>
          <cell r="G195" t="str">
            <v/>
          </cell>
          <cell r="H195">
            <v>36222.06</v>
          </cell>
          <cell r="I195" t="str">
            <v>INR</v>
          </cell>
          <cell r="J195">
            <v>416.71999999999997</v>
          </cell>
        </row>
        <row r="196">
          <cell r="C196">
            <v>256779410680</v>
          </cell>
          <cell r="D196" t="str">
            <v>DR</v>
          </cell>
          <cell r="E196">
            <v>45751</v>
          </cell>
          <cell r="F196" t="str">
            <v/>
          </cell>
          <cell r="G196" t="str">
            <v/>
          </cell>
          <cell r="H196">
            <v>12628</v>
          </cell>
          <cell r="I196" t="str">
            <v>INR</v>
          </cell>
          <cell r="J196">
            <v>145.28</v>
          </cell>
        </row>
        <row r="197">
          <cell r="C197">
            <v>256779410927</v>
          </cell>
          <cell r="D197" t="str">
            <v>DR</v>
          </cell>
          <cell r="E197">
            <v>45763</v>
          </cell>
          <cell r="F197" t="str">
            <v/>
          </cell>
          <cell r="G197" t="str">
            <v/>
          </cell>
          <cell r="H197">
            <v>393080.46</v>
          </cell>
          <cell r="I197" t="str">
            <v>INR</v>
          </cell>
          <cell r="J197">
            <v>4522.2300000000005</v>
          </cell>
        </row>
        <row r="198">
          <cell r="C198">
            <v>256779410928</v>
          </cell>
          <cell r="D198" t="str">
            <v>DR</v>
          </cell>
          <cell r="E198">
            <v>45763</v>
          </cell>
          <cell r="F198" t="str">
            <v/>
          </cell>
          <cell r="G198" t="str">
            <v/>
          </cell>
          <cell r="H198">
            <v>38926.199999999997</v>
          </cell>
          <cell r="I198" t="str">
            <v>INR</v>
          </cell>
          <cell r="J198">
            <v>447.83</v>
          </cell>
        </row>
        <row r="199">
          <cell r="C199">
            <v>256779411720</v>
          </cell>
          <cell r="D199" t="str">
            <v>DR</v>
          </cell>
          <cell r="E199">
            <v>45763</v>
          </cell>
          <cell r="F199" t="str">
            <v/>
          </cell>
          <cell r="G199" t="str">
            <v/>
          </cell>
          <cell r="H199">
            <v>29401.31</v>
          </cell>
          <cell r="I199" t="str">
            <v>INR</v>
          </cell>
          <cell r="J199">
            <v>338.25</v>
          </cell>
        </row>
        <row r="200">
          <cell r="C200">
            <v>256779411735</v>
          </cell>
          <cell r="D200" t="str">
            <v>DR</v>
          </cell>
          <cell r="E200">
            <v>45763</v>
          </cell>
          <cell r="F200" t="str">
            <v/>
          </cell>
          <cell r="G200" t="str">
            <v/>
          </cell>
          <cell r="H200">
            <v>2872.77</v>
          </cell>
          <cell r="I200" t="str">
            <v>INR</v>
          </cell>
          <cell r="J200">
            <v>33.050000000000004</v>
          </cell>
        </row>
        <row r="201">
          <cell r="C201">
            <v>256779411935</v>
          </cell>
          <cell r="D201" t="str">
            <v>DR</v>
          </cell>
          <cell r="E201">
            <v>45763</v>
          </cell>
          <cell r="F201" t="str">
            <v/>
          </cell>
          <cell r="G201" t="str">
            <v/>
          </cell>
          <cell r="H201">
            <v>5407.41</v>
          </cell>
          <cell r="I201" t="str">
            <v>INR</v>
          </cell>
          <cell r="J201">
            <v>62.21</v>
          </cell>
        </row>
        <row r="202">
          <cell r="C202">
            <v>256779411998</v>
          </cell>
          <cell r="D202" t="str">
            <v>DR</v>
          </cell>
          <cell r="E202">
            <v>45763</v>
          </cell>
          <cell r="F202" t="str">
            <v/>
          </cell>
          <cell r="G202" t="str">
            <v/>
          </cell>
          <cell r="H202">
            <v>18349.2</v>
          </cell>
          <cell r="I202" t="str">
            <v>INR</v>
          </cell>
          <cell r="J202">
            <v>211.10000000000002</v>
          </cell>
        </row>
        <row r="203">
          <cell r="C203">
            <v>256779412038</v>
          </cell>
          <cell r="D203" t="str">
            <v>DR</v>
          </cell>
          <cell r="E203">
            <v>45763</v>
          </cell>
          <cell r="F203" t="str">
            <v/>
          </cell>
          <cell r="G203" t="str">
            <v/>
          </cell>
          <cell r="H203">
            <v>15842.37</v>
          </cell>
          <cell r="I203" t="str">
            <v>INR</v>
          </cell>
          <cell r="J203">
            <v>182.26000000000002</v>
          </cell>
        </row>
        <row r="204">
          <cell r="C204">
            <v>256779412481</v>
          </cell>
          <cell r="D204" t="str">
            <v>DR</v>
          </cell>
          <cell r="E204">
            <v>45769</v>
          </cell>
          <cell r="F204" t="str">
            <v/>
          </cell>
          <cell r="G204" t="str">
            <v/>
          </cell>
          <cell r="H204">
            <v>23332.42</v>
          </cell>
          <cell r="I204" t="str">
            <v>INR</v>
          </cell>
          <cell r="J204">
            <v>82.58</v>
          </cell>
        </row>
        <row r="205">
          <cell r="C205">
            <v>256779412484</v>
          </cell>
          <cell r="D205" t="str">
            <v>DR</v>
          </cell>
          <cell r="E205">
            <v>45769</v>
          </cell>
          <cell r="F205" t="str">
            <v/>
          </cell>
          <cell r="G205" t="str">
            <v/>
          </cell>
          <cell r="H205">
            <v>5293.54</v>
          </cell>
          <cell r="I205" t="str">
            <v>INR</v>
          </cell>
          <cell r="J205">
            <v>60.9</v>
          </cell>
        </row>
        <row r="206">
          <cell r="C206">
            <v>256779412489</v>
          </cell>
          <cell r="D206" t="str">
            <v>DR</v>
          </cell>
          <cell r="E206">
            <v>45769</v>
          </cell>
          <cell r="F206" t="str">
            <v/>
          </cell>
          <cell r="G206" t="str">
            <v/>
          </cell>
          <cell r="H206">
            <v>26072.2</v>
          </cell>
          <cell r="I206" t="str">
            <v>INR</v>
          </cell>
          <cell r="J206">
            <v>26.740000000000002</v>
          </cell>
        </row>
        <row r="207">
          <cell r="C207">
            <v>256779412490</v>
          </cell>
          <cell r="D207" t="str">
            <v>DR</v>
          </cell>
          <cell r="E207">
            <v>45769</v>
          </cell>
          <cell r="F207" t="str">
            <v/>
          </cell>
          <cell r="G207" t="str">
            <v/>
          </cell>
          <cell r="H207">
            <v>25023.919999999998</v>
          </cell>
          <cell r="I207" t="str">
            <v>INR</v>
          </cell>
          <cell r="J207">
            <v>14.68</v>
          </cell>
        </row>
        <row r="208">
          <cell r="C208">
            <v>256779412494</v>
          </cell>
          <cell r="D208" t="str">
            <v>DR</v>
          </cell>
          <cell r="E208">
            <v>45769</v>
          </cell>
          <cell r="F208" t="str">
            <v/>
          </cell>
          <cell r="G208" t="str">
            <v/>
          </cell>
          <cell r="H208">
            <v>5600.37</v>
          </cell>
          <cell r="I208" t="str">
            <v>INR</v>
          </cell>
          <cell r="J208">
            <v>2.48</v>
          </cell>
        </row>
        <row r="209">
          <cell r="C209">
            <v>256779412496</v>
          </cell>
          <cell r="D209" t="str">
            <v>DR</v>
          </cell>
          <cell r="E209">
            <v>45769</v>
          </cell>
          <cell r="F209" t="str">
            <v/>
          </cell>
          <cell r="G209" t="str">
            <v/>
          </cell>
          <cell r="H209">
            <v>8531.3799999999992</v>
          </cell>
          <cell r="I209" t="str">
            <v>INR</v>
          </cell>
          <cell r="J209">
            <v>5.22</v>
          </cell>
        </row>
        <row r="210">
          <cell r="C210">
            <v>256779412599</v>
          </cell>
          <cell r="D210" t="str">
            <v>DR</v>
          </cell>
          <cell r="E210">
            <v>45769</v>
          </cell>
          <cell r="F210" t="str">
            <v/>
          </cell>
          <cell r="G210" t="str">
            <v/>
          </cell>
          <cell r="H210">
            <v>50216.47</v>
          </cell>
          <cell r="I210" t="str">
            <v>INR</v>
          </cell>
          <cell r="J210">
            <v>273.20999999999998</v>
          </cell>
        </row>
        <row r="211">
          <cell r="C211">
            <v>256779412631</v>
          </cell>
          <cell r="D211" t="str">
            <v>DR</v>
          </cell>
          <cell r="E211">
            <v>45769</v>
          </cell>
          <cell r="F211" t="str">
            <v/>
          </cell>
          <cell r="G211" t="str">
            <v/>
          </cell>
          <cell r="H211">
            <v>92827.29</v>
          </cell>
          <cell r="I211" t="str">
            <v>INR</v>
          </cell>
          <cell r="J211">
            <v>819.63</v>
          </cell>
        </row>
        <row r="212">
          <cell r="C212">
            <v>256779412688</v>
          </cell>
          <cell r="D212" t="str">
            <v>DR</v>
          </cell>
          <cell r="E212">
            <v>45770</v>
          </cell>
          <cell r="F212" t="str">
            <v/>
          </cell>
          <cell r="G212" t="str">
            <v/>
          </cell>
          <cell r="H212">
            <v>23747.91</v>
          </cell>
          <cell r="I212" t="str">
            <v>INR</v>
          </cell>
          <cell r="J212">
            <v>273.20999999999998</v>
          </cell>
        </row>
        <row r="213">
          <cell r="C213">
            <v>256779412784</v>
          </cell>
          <cell r="D213" t="str">
            <v>DR</v>
          </cell>
          <cell r="E213">
            <v>45771</v>
          </cell>
          <cell r="F213" t="str">
            <v/>
          </cell>
          <cell r="G213" t="str">
            <v/>
          </cell>
          <cell r="H213">
            <v>5385.68</v>
          </cell>
          <cell r="I213" t="str">
            <v>INR</v>
          </cell>
          <cell r="J213">
            <v>61.959999999999994</v>
          </cell>
        </row>
        <row r="214">
          <cell r="C214">
            <v>256779412814</v>
          </cell>
          <cell r="D214" t="str">
            <v>DR</v>
          </cell>
          <cell r="E214">
            <v>45771</v>
          </cell>
          <cell r="F214" t="str">
            <v/>
          </cell>
          <cell r="G214" t="str">
            <v/>
          </cell>
          <cell r="H214">
            <v>347078.83</v>
          </cell>
          <cell r="I214" t="str">
            <v>INR</v>
          </cell>
          <cell r="J214">
            <v>3993</v>
          </cell>
        </row>
        <row r="215">
          <cell r="C215">
            <v>256779412815</v>
          </cell>
          <cell r="D215" t="str">
            <v>DR</v>
          </cell>
          <cell r="E215">
            <v>45771</v>
          </cell>
          <cell r="F215" t="str">
            <v/>
          </cell>
          <cell r="G215" t="str">
            <v/>
          </cell>
          <cell r="H215">
            <v>31752.54</v>
          </cell>
          <cell r="I215" t="str">
            <v>INR</v>
          </cell>
          <cell r="J215">
            <v>365.29999999999995</v>
          </cell>
        </row>
        <row r="216">
          <cell r="C216">
            <v>256779412876</v>
          </cell>
          <cell r="D216" t="str">
            <v>DR</v>
          </cell>
          <cell r="E216">
            <v>45770</v>
          </cell>
          <cell r="F216" t="str">
            <v/>
          </cell>
          <cell r="G216" t="str">
            <v/>
          </cell>
          <cell r="H216">
            <v>241037.68</v>
          </cell>
          <cell r="I216" t="str">
            <v>INR</v>
          </cell>
          <cell r="J216">
            <v>1014.75</v>
          </cell>
        </row>
        <row r="217">
          <cell r="C217">
            <v>256779412904</v>
          </cell>
          <cell r="D217" t="str">
            <v>DR</v>
          </cell>
          <cell r="E217">
            <v>45770</v>
          </cell>
          <cell r="F217" t="str">
            <v/>
          </cell>
          <cell r="G217" t="str">
            <v/>
          </cell>
          <cell r="H217">
            <v>46530.12</v>
          </cell>
          <cell r="I217" t="str">
            <v>INR</v>
          </cell>
          <cell r="J217">
            <v>125.5</v>
          </cell>
        </row>
        <row r="218">
          <cell r="C218">
            <v>256779413195</v>
          </cell>
          <cell r="D218" t="str">
            <v>DR</v>
          </cell>
          <cell r="E218">
            <v>45787</v>
          </cell>
          <cell r="F218" t="str">
            <v/>
          </cell>
          <cell r="G218" t="str">
            <v/>
          </cell>
          <cell r="H218">
            <v>10736.78</v>
          </cell>
          <cell r="I218" t="str">
            <v>INR</v>
          </cell>
          <cell r="J218">
            <v>124.86999999999999</v>
          </cell>
        </row>
        <row r="219">
          <cell r="C219">
            <v>256779413213</v>
          </cell>
          <cell r="D219" t="str">
            <v>DR</v>
          </cell>
          <cell r="E219">
            <v>45787</v>
          </cell>
          <cell r="F219" t="str">
            <v/>
          </cell>
          <cell r="G219" t="str">
            <v/>
          </cell>
          <cell r="H219">
            <v>2863.26</v>
          </cell>
          <cell r="I219" t="str">
            <v>INR</v>
          </cell>
          <cell r="J219">
            <v>33.299999999999997</v>
          </cell>
        </row>
        <row r="220">
          <cell r="C220">
            <v>256779413263</v>
          </cell>
          <cell r="D220" t="str">
            <v>DR</v>
          </cell>
          <cell r="E220">
            <v>45793</v>
          </cell>
          <cell r="F220" t="str">
            <v/>
          </cell>
          <cell r="G220" t="str">
            <v/>
          </cell>
          <cell r="H220">
            <v>7899.32</v>
          </cell>
          <cell r="I220" t="str">
            <v>INR</v>
          </cell>
          <cell r="J220">
            <v>91.87</v>
          </cell>
        </row>
        <row r="221">
          <cell r="C221">
            <v>256779413295</v>
          </cell>
          <cell r="D221" t="str">
            <v>DR</v>
          </cell>
          <cell r="E221">
            <v>45793</v>
          </cell>
          <cell r="F221" t="str">
            <v/>
          </cell>
          <cell r="G221" t="str">
            <v/>
          </cell>
          <cell r="H221">
            <v>62977.9</v>
          </cell>
          <cell r="I221" t="str">
            <v>INR</v>
          </cell>
          <cell r="J221">
            <v>273.20999999999998</v>
          </cell>
        </row>
        <row r="222">
          <cell r="C222">
            <v>256779413332</v>
          </cell>
          <cell r="D222" t="str">
            <v>DR</v>
          </cell>
          <cell r="E222">
            <v>45793</v>
          </cell>
          <cell r="F222" t="str">
            <v/>
          </cell>
          <cell r="G222" t="str">
            <v/>
          </cell>
          <cell r="H222">
            <v>89252.800000000003</v>
          </cell>
          <cell r="I222" t="str">
            <v>INR</v>
          </cell>
          <cell r="J222">
            <v>218.39000000000001</v>
          </cell>
        </row>
        <row r="223">
          <cell r="C223">
            <v>256779413467</v>
          </cell>
          <cell r="D223" t="str">
            <v>DR</v>
          </cell>
          <cell r="E223">
            <v>45797</v>
          </cell>
          <cell r="F223" t="str">
            <v/>
          </cell>
          <cell r="G223" t="str">
            <v/>
          </cell>
          <cell r="H223">
            <v>2350.79</v>
          </cell>
          <cell r="I223" t="str">
            <v>INR</v>
          </cell>
          <cell r="J223">
            <v>27.340000000000003</v>
          </cell>
        </row>
        <row r="224">
          <cell r="C224">
            <v>256779413530</v>
          </cell>
          <cell r="D224" t="str">
            <v>DR</v>
          </cell>
          <cell r="E224">
            <v>45785</v>
          </cell>
          <cell r="F224" t="str">
            <v/>
          </cell>
          <cell r="G224" t="str">
            <v/>
          </cell>
          <cell r="H224">
            <v>348669.06</v>
          </cell>
          <cell r="I224" t="str">
            <v>INR</v>
          </cell>
          <cell r="J224">
            <v>4055.06</v>
          </cell>
        </row>
        <row r="225">
          <cell r="C225">
            <v>256779413531</v>
          </cell>
          <cell r="D225" t="str">
            <v>DR</v>
          </cell>
          <cell r="E225">
            <v>45785</v>
          </cell>
          <cell r="F225" t="str">
            <v/>
          </cell>
          <cell r="G225" t="str">
            <v/>
          </cell>
          <cell r="H225">
            <v>10993.02</v>
          </cell>
          <cell r="I225" t="str">
            <v>INR</v>
          </cell>
          <cell r="J225">
            <v>127.85</v>
          </cell>
        </row>
        <row r="226">
          <cell r="C226">
            <v>256779413532</v>
          </cell>
          <cell r="D226" t="str">
            <v>DR</v>
          </cell>
          <cell r="E226">
            <v>45785</v>
          </cell>
          <cell r="F226" t="str">
            <v/>
          </cell>
          <cell r="G226" t="str">
            <v/>
          </cell>
          <cell r="H226">
            <v>4328.42</v>
          </cell>
          <cell r="I226" t="str">
            <v>INR</v>
          </cell>
          <cell r="J226">
            <v>50.339999999999996</v>
          </cell>
        </row>
        <row r="227">
          <cell r="C227">
            <v>256779413677</v>
          </cell>
          <cell r="D227" t="str">
            <v>DR</v>
          </cell>
          <cell r="E227">
            <v>45798</v>
          </cell>
          <cell r="F227" t="str">
            <v/>
          </cell>
          <cell r="G227" t="str">
            <v/>
          </cell>
          <cell r="H227">
            <v>362964.71</v>
          </cell>
          <cell r="I227" t="str">
            <v>INR</v>
          </cell>
          <cell r="J227">
            <v>4221.32</v>
          </cell>
        </row>
        <row r="228">
          <cell r="C228">
            <v>256779413678</v>
          </cell>
          <cell r="D228" t="str">
            <v>DR</v>
          </cell>
          <cell r="E228">
            <v>45798</v>
          </cell>
          <cell r="F228" t="str">
            <v/>
          </cell>
          <cell r="G228" t="str">
            <v/>
          </cell>
          <cell r="H228">
            <v>1745.47</v>
          </cell>
          <cell r="I228" t="str">
            <v>INR</v>
          </cell>
          <cell r="J228">
            <v>20.3</v>
          </cell>
        </row>
        <row r="229">
          <cell r="C229">
            <v>256779413679</v>
          </cell>
          <cell r="D229" t="str">
            <v>DR</v>
          </cell>
          <cell r="E229">
            <v>45798</v>
          </cell>
          <cell r="F229" t="str">
            <v/>
          </cell>
          <cell r="G229" t="str">
            <v/>
          </cell>
          <cell r="H229">
            <v>11450.45</v>
          </cell>
          <cell r="I229" t="str">
            <v>INR</v>
          </cell>
          <cell r="J229">
            <v>133.16999999999999</v>
          </cell>
        </row>
        <row r="230">
          <cell r="C230">
            <v>256779413870</v>
          </cell>
          <cell r="D230" t="str">
            <v>DR</v>
          </cell>
          <cell r="E230">
            <v>45797</v>
          </cell>
          <cell r="F230" t="str">
            <v/>
          </cell>
          <cell r="G230" t="str">
            <v/>
          </cell>
          <cell r="H230">
            <v>9919.08</v>
          </cell>
          <cell r="I230" t="str">
            <v>INR</v>
          </cell>
          <cell r="J230">
            <v>94.16</v>
          </cell>
        </row>
        <row r="231">
          <cell r="C231">
            <v>256779414045</v>
          </cell>
          <cell r="D231" t="str">
            <v>DR</v>
          </cell>
          <cell r="E231">
            <v>45813</v>
          </cell>
          <cell r="F231" t="str">
            <v/>
          </cell>
          <cell r="G231" t="str">
            <v/>
          </cell>
          <cell r="H231">
            <v>373796.47</v>
          </cell>
          <cell r="I231" t="str">
            <v>INR</v>
          </cell>
          <cell r="J231">
            <v>4372.3599999999997</v>
          </cell>
        </row>
        <row r="232">
          <cell r="C232">
            <v>256779414046</v>
          </cell>
          <cell r="D232" t="str">
            <v>DR</v>
          </cell>
          <cell r="E232">
            <v>45813</v>
          </cell>
          <cell r="F232" t="str">
            <v/>
          </cell>
          <cell r="G232" t="str">
            <v/>
          </cell>
          <cell r="H232">
            <v>1850.88</v>
          </cell>
          <cell r="I232" t="str">
            <v>INR</v>
          </cell>
          <cell r="J232">
            <v>21.650000000000002</v>
          </cell>
        </row>
        <row r="233">
          <cell r="C233">
            <v>256779414047</v>
          </cell>
          <cell r="D233" t="str">
            <v>DR</v>
          </cell>
          <cell r="E233">
            <v>45813</v>
          </cell>
          <cell r="F233" t="str">
            <v/>
          </cell>
          <cell r="G233" t="str">
            <v/>
          </cell>
          <cell r="H233">
            <v>11602.81</v>
          </cell>
          <cell r="I233" t="str">
            <v>INR</v>
          </cell>
          <cell r="J233">
            <v>135.72</v>
          </cell>
        </row>
        <row r="234">
          <cell r="C234">
            <v>256779414169</v>
          </cell>
          <cell r="D234" t="str">
            <v>DR</v>
          </cell>
          <cell r="E234">
            <v>45812</v>
          </cell>
          <cell r="F234" t="str">
            <v/>
          </cell>
          <cell r="G234" t="str">
            <v/>
          </cell>
          <cell r="H234">
            <v>11636.15</v>
          </cell>
          <cell r="I234" t="str">
            <v>INR</v>
          </cell>
          <cell r="J234">
            <v>136.10999999999999</v>
          </cell>
        </row>
        <row r="235">
          <cell r="C235">
            <v>256779414185</v>
          </cell>
          <cell r="D235" t="str">
            <v>DR</v>
          </cell>
          <cell r="E235">
            <v>45812</v>
          </cell>
          <cell r="F235" t="str">
            <v/>
          </cell>
          <cell r="G235" t="str">
            <v/>
          </cell>
          <cell r="H235">
            <v>9911.7999999999993</v>
          </cell>
          <cell r="I235" t="str">
            <v>INR</v>
          </cell>
          <cell r="J235">
            <v>115.94</v>
          </cell>
        </row>
        <row r="236">
          <cell r="C236">
            <v>256779414266</v>
          </cell>
          <cell r="D236" t="str">
            <v>DR</v>
          </cell>
          <cell r="E236">
            <v>45812</v>
          </cell>
          <cell r="F236" t="str">
            <v/>
          </cell>
          <cell r="G236" t="str">
            <v/>
          </cell>
          <cell r="H236">
            <v>8435.3799999999992</v>
          </cell>
          <cell r="I236" t="str">
            <v>INR</v>
          </cell>
          <cell r="J236">
            <v>98.67</v>
          </cell>
        </row>
        <row r="237">
          <cell r="C237">
            <v>256779414283</v>
          </cell>
          <cell r="D237" t="str">
            <v>DR</v>
          </cell>
          <cell r="E237">
            <v>45812</v>
          </cell>
          <cell r="F237" t="str">
            <v/>
          </cell>
          <cell r="G237" t="str">
            <v/>
          </cell>
          <cell r="H237">
            <v>3893.25</v>
          </cell>
          <cell r="I237" t="str">
            <v>INR</v>
          </cell>
          <cell r="J237">
            <v>45.540000000000006</v>
          </cell>
        </row>
        <row r="238">
          <cell r="C238">
            <v>256779414297</v>
          </cell>
          <cell r="D238" t="str">
            <v>DR</v>
          </cell>
          <cell r="E238">
            <v>45812</v>
          </cell>
          <cell r="F238" t="str">
            <v/>
          </cell>
          <cell r="G238" t="str">
            <v/>
          </cell>
          <cell r="H238">
            <v>167230.22</v>
          </cell>
          <cell r="I238" t="str">
            <v>INR</v>
          </cell>
          <cell r="J238">
            <v>1326.99</v>
          </cell>
        </row>
        <row r="239">
          <cell r="C239">
            <v>256779414395</v>
          </cell>
          <cell r="D239" t="str">
            <v>DR</v>
          </cell>
          <cell r="E239">
            <v>45818</v>
          </cell>
          <cell r="F239" t="str">
            <v/>
          </cell>
          <cell r="G239" t="str">
            <v/>
          </cell>
          <cell r="H239">
            <v>163424.18</v>
          </cell>
          <cell r="I239" t="str">
            <v>INR</v>
          </cell>
          <cell r="J239">
            <v>1911.6</v>
          </cell>
        </row>
        <row r="240">
          <cell r="C240">
            <v>256779414615</v>
          </cell>
          <cell r="D240" t="str">
            <v>DR</v>
          </cell>
          <cell r="E240">
            <v>45826</v>
          </cell>
          <cell r="F240" t="str">
            <v/>
          </cell>
          <cell r="G240" t="str">
            <v/>
          </cell>
          <cell r="H240">
            <v>367122.2</v>
          </cell>
          <cell r="I240" t="str">
            <v>INR</v>
          </cell>
          <cell r="J240">
            <v>4294.29</v>
          </cell>
        </row>
        <row r="241">
          <cell r="C241">
            <v>256779414616</v>
          </cell>
          <cell r="D241" t="str">
            <v>DR</v>
          </cell>
          <cell r="E241">
            <v>45826</v>
          </cell>
          <cell r="F241" t="str">
            <v/>
          </cell>
          <cell r="G241" t="str">
            <v/>
          </cell>
          <cell r="H241">
            <v>1821.81</v>
          </cell>
          <cell r="I241" t="str">
            <v>INR</v>
          </cell>
          <cell r="J241">
            <v>21.31</v>
          </cell>
        </row>
        <row r="242">
          <cell r="C242">
            <v>256779414617</v>
          </cell>
          <cell r="D242" t="str">
            <v>DR</v>
          </cell>
          <cell r="E242">
            <v>45826</v>
          </cell>
          <cell r="F242" t="str">
            <v/>
          </cell>
          <cell r="G242" t="str">
            <v/>
          </cell>
          <cell r="H242">
            <v>5720.19</v>
          </cell>
          <cell r="I242" t="str">
            <v>INR</v>
          </cell>
          <cell r="J242">
            <v>66.91</v>
          </cell>
        </row>
        <row r="243">
          <cell r="C243">
            <v>256779414786</v>
          </cell>
          <cell r="D243" t="str">
            <v>DR</v>
          </cell>
          <cell r="E243">
            <v>45842</v>
          </cell>
          <cell r="F243" t="str">
            <v/>
          </cell>
          <cell r="G243" t="str">
            <v/>
          </cell>
          <cell r="H243">
            <v>42388.87</v>
          </cell>
          <cell r="I243" t="str">
            <v>INR</v>
          </cell>
          <cell r="J243">
            <v>405.15000000000003</v>
          </cell>
        </row>
        <row r="244">
          <cell r="C244">
            <v>256779414810</v>
          </cell>
          <cell r="D244" t="str">
            <v>DR</v>
          </cell>
          <cell r="E244">
            <v>45842</v>
          </cell>
          <cell r="F244" t="str">
            <v/>
          </cell>
          <cell r="G244" t="str">
            <v/>
          </cell>
          <cell r="H244">
            <v>2445</v>
          </cell>
          <cell r="I244" t="str">
            <v>INR</v>
          </cell>
          <cell r="J244">
            <v>28.43</v>
          </cell>
        </row>
        <row r="245">
          <cell r="C245">
            <v>256779414867</v>
          </cell>
          <cell r="D245" t="str">
            <v>DR</v>
          </cell>
          <cell r="E245">
            <v>45842</v>
          </cell>
          <cell r="F245" t="str">
            <v/>
          </cell>
          <cell r="G245" t="str">
            <v/>
          </cell>
          <cell r="H245">
            <v>300561.15999999997</v>
          </cell>
          <cell r="I245" t="str">
            <v>INR</v>
          </cell>
          <cell r="J245">
            <v>2431.46</v>
          </cell>
        </row>
        <row r="246">
          <cell r="C246">
            <v>256779414897</v>
          </cell>
          <cell r="D246" t="str">
            <v>DR</v>
          </cell>
          <cell r="E246">
            <v>45842</v>
          </cell>
          <cell r="F246" t="str">
            <v/>
          </cell>
          <cell r="G246" t="str">
            <v/>
          </cell>
          <cell r="H246">
            <v>12813.24</v>
          </cell>
          <cell r="I246" t="str">
            <v>INR</v>
          </cell>
          <cell r="J246">
            <v>148.99</v>
          </cell>
        </row>
        <row r="247">
          <cell r="C247">
            <v>256779414953</v>
          </cell>
          <cell r="D247" t="str">
            <v>DR</v>
          </cell>
          <cell r="E247">
            <v>45842</v>
          </cell>
          <cell r="F247" t="str">
            <v/>
          </cell>
          <cell r="G247" t="str">
            <v/>
          </cell>
          <cell r="H247">
            <v>169878.84</v>
          </cell>
          <cell r="I247" t="str">
            <v>INR</v>
          </cell>
          <cell r="J247">
            <v>1975.32</v>
          </cell>
        </row>
        <row r="248">
          <cell r="C248">
            <v>256779414999</v>
          </cell>
          <cell r="D248" t="str">
            <v>DR</v>
          </cell>
          <cell r="E248">
            <v>45842</v>
          </cell>
          <cell r="F248" t="str">
            <v/>
          </cell>
          <cell r="G248" t="str">
            <v/>
          </cell>
          <cell r="H248">
            <v>80488.03</v>
          </cell>
          <cell r="I248" t="str">
            <v>INR</v>
          </cell>
          <cell r="J248">
            <v>745.82999999999993</v>
          </cell>
        </row>
        <row r="249">
          <cell r="C249">
            <v>256779415079</v>
          </cell>
          <cell r="D249" t="str">
            <v>DR</v>
          </cell>
          <cell r="E249">
            <v>45842</v>
          </cell>
          <cell r="F249" t="str">
            <v/>
          </cell>
          <cell r="G249" t="str">
            <v/>
          </cell>
          <cell r="H249">
            <v>453472.07</v>
          </cell>
          <cell r="I249" t="str">
            <v>INR</v>
          </cell>
          <cell r="J249">
            <v>5272.89</v>
          </cell>
        </row>
        <row r="250">
          <cell r="C250">
            <v>256779415080</v>
          </cell>
          <cell r="D250" t="str">
            <v>DR</v>
          </cell>
          <cell r="E250">
            <v>45842</v>
          </cell>
          <cell r="F250" t="str">
            <v/>
          </cell>
          <cell r="G250" t="str">
            <v/>
          </cell>
          <cell r="H250">
            <v>34575.71</v>
          </cell>
          <cell r="I250" t="str">
            <v>INR</v>
          </cell>
          <cell r="J250">
            <v>402.03999999999996</v>
          </cell>
        </row>
        <row r="251">
          <cell r="C251">
            <v>256779415081</v>
          </cell>
          <cell r="D251" t="str">
            <v>DR</v>
          </cell>
          <cell r="E251">
            <v>45842</v>
          </cell>
          <cell r="F251" t="str">
            <v/>
          </cell>
          <cell r="G251" t="str">
            <v/>
          </cell>
          <cell r="H251">
            <v>8573.41</v>
          </cell>
          <cell r="I251" t="str">
            <v>INR</v>
          </cell>
          <cell r="J251">
            <v>99.69</v>
          </cell>
        </row>
        <row r="252">
          <cell r="C252">
            <v>256779415219</v>
          </cell>
          <cell r="D252" t="str">
            <v>DR</v>
          </cell>
          <cell r="E252">
            <v>45842</v>
          </cell>
          <cell r="F252" t="str">
            <v/>
          </cell>
          <cell r="G252" t="str">
            <v/>
          </cell>
          <cell r="H252">
            <v>10676.98</v>
          </cell>
          <cell r="I252" t="str">
            <v>INR</v>
          </cell>
          <cell r="J252">
            <v>124.14999999999999</v>
          </cell>
        </row>
        <row r="253">
          <cell r="C253">
            <v>256779415225</v>
          </cell>
          <cell r="D253" t="str">
            <v>DR</v>
          </cell>
          <cell r="E253">
            <v>45842</v>
          </cell>
          <cell r="F253" t="str">
            <v/>
          </cell>
          <cell r="G253" t="str">
            <v/>
          </cell>
          <cell r="H253">
            <v>2847.48</v>
          </cell>
          <cell r="I253" t="str">
            <v>INR</v>
          </cell>
          <cell r="J253">
            <v>33.11</v>
          </cell>
        </row>
        <row r="254">
          <cell r="C254">
            <v>256779415462</v>
          </cell>
          <cell r="D254" t="str">
            <v>DR</v>
          </cell>
          <cell r="E254">
            <v>45856</v>
          </cell>
          <cell r="F254" t="str">
            <v/>
          </cell>
          <cell r="G254" t="str">
            <v/>
          </cell>
          <cell r="H254">
            <v>203253.98</v>
          </cell>
          <cell r="I254" t="str">
            <v>INR</v>
          </cell>
          <cell r="J254">
            <v>1680.1699999999998</v>
          </cell>
        </row>
        <row r="255">
          <cell r="C255">
            <v>256779415497</v>
          </cell>
          <cell r="D255" t="str">
            <v>DR</v>
          </cell>
          <cell r="E255">
            <v>45856</v>
          </cell>
          <cell r="F255" t="str">
            <v/>
          </cell>
          <cell r="G255" t="str">
            <v/>
          </cell>
          <cell r="H255">
            <v>75211.03</v>
          </cell>
          <cell r="I255" t="str">
            <v>INR</v>
          </cell>
          <cell r="J255">
            <v>642.01</v>
          </cell>
        </row>
        <row r="256">
          <cell r="C256">
            <v>256779415418</v>
          </cell>
          <cell r="D256" t="str">
            <v>DR</v>
          </cell>
          <cell r="E256">
            <v>45856</v>
          </cell>
          <cell r="F256" t="str">
            <v/>
          </cell>
          <cell r="G256" t="str">
            <v/>
          </cell>
          <cell r="H256">
            <v>15814.66</v>
          </cell>
          <cell r="I256" t="str">
            <v>INR</v>
          </cell>
          <cell r="J256">
            <v>183.89000000000001</v>
          </cell>
        </row>
        <row r="257">
          <cell r="C257">
            <v>256779415550</v>
          </cell>
          <cell r="D257" t="str">
            <v>DR</v>
          </cell>
          <cell r="E257">
            <v>45856</v>
          </cell>
          <cell r="F257" t="str">
            <v/>
          </cell>
          <cell r="G257" t="str">
            <v/>
          </cell>
          <cell r="H257">
            <v>5873.85</v>
          </cell>
          <cell r="I257" t="str">
            <v>INR</v>
          </cell>
          <cell r="J257">
            <v>68.3</v>
          </cell>
        </row>
        <row r="258">
          <cell r="C258">
            <v>256779415598</v>
          </cell>
          <cell r="D258" t="str">
            <v>DR</v>
          </cell>
          <cell r="E258">
            <v>45857</v>
          </cell>
          <cell r="F258" t="str">
            <v/>
          </cell>
          <cell r="G258" t="str">
            <v/>
          </cell>
          <cell r="H258">
            <v>449454.12</v>
          </cell>
          <cell r="I258" t="str">
            <v>INR</v>
          </cell>
          <cell r="J258">
            <v>5226.17</v>
          </cell>
        </row>
        <row r="259">
          <cell r="C259">
            <v>256779415599</v>
          </cell>
          <cell r="D259" t="str">
            <v>DR</v>
          </cell>
          <cell r="E259">
            <v>45857</v>
          </cell>
          <cell r="F259" t="str">
            <v/>
          </cell>
          <cell r="G259" t="str">
            <v/>
          </cell>
          <cell r="H259">
            <v>11728.77</v>
          </cell>
          <cell r="I259" t="str">
            <v>INR</v>
          </cell>
          <cell r="J259">
            <v>136.38</v>
          </cell>
        </row>
        <row r="260">
          <cell r="C260">
            <v>256779415600</v>
          </cell>
          <cell r="D260" t="str">
            <v>DR</v>
          </cell>
          <cell r="E260">
            <v>45857</v>
          </cell>
          <cell r="F260" t="str">
            <v/>
          </cell>
          <cell r="G260" t="str">
            <v/>
          </cell>
          <cell r="H260">
            <v>3452.07</v>
          </cell>
          <cell r="I260" t="str">
            <v>INR</v>
          </cell>
          <cell r="J260">
            <v>40.14</v>
          </cell>
        </row>
        <row r="261">
          <cell r="C261">
            <v>256779415714</v>
          </cell>
          <cell r="D261" t="str">
            <v>DR</v>
          </cell>
          <cell r="E261">
            <v>45856</v>
          </cell>
          <cell r="F261" t="str">
            <v/>
          </cell>
          <cell r="G261" t="str">
            <v/>
          </cell>
          <cell r="H261">
            <v>5873.85</v>
          </cell>
          <cell r="I261" t="str">
            <v>INR</v>
          </cell>
          <cell r="J261">
            <v>68.3</v>
          </cell>
        </row>
        <row r="262">
          <cell r="C262">
            <v>256779415731</v>
          </cell>
          <cell r="D262" t="str">
            <v>DR</v>
          </cell>
          <cell r="E262">
            <v>45857</v>
          </cell>
          <cell r="F262" t="str">
            <v/>
          </cell>
          <cell r="G262" t="str">
            <v/>
          </cell>
          <cell r="H262">
            <v>64564.14</v>
          </cell>
          <cell r="I262" t="str">
            <v>INR</v>
          </cell>
          <cell r="J262">
            <v>750.74</v>
          </cell>
        </row>
        <row r="263">
          <cell r="C263">
            <v>256779415743</v>
          </cell>
          <cell r="D263" t="str">
            <v>DR</v>
          </cell>
          <cell r="E263">
            <v>45857</v>
          </cell>
          <cell r="F263" t="str">
            <v/>
          </cell>
          <cell r="G263" t="str">
            <v/>
          </cell>
          <cell r="H263">
            <v>3547.53</v>
          </cell>
          <cell r="I263" t="str">
            <v>INR</v>
          </cell>
          <cell r="J263">
            <v>41.25</v>
          </cell>
        </row>
        <row r="264">
          <cell r="C264">
            <v>256779415780</v>
          </cell>
          <cell r="D264" t="str">
            <v>DR</v>
          </cell>
          <cell r="E264">
            <v>45856</v>
          </cell>
          <cell r="F264" t="str">
            <v/>
          </cell>
          <cell r="G264" t="str">
            <v/>
          </cell>
          <cell r="H264">
            <v>203253.98</v>
          </cell>
          <cell r="I264" t="str">
            <v>INR</v>
          </cell>
          <cell r="J264">
            <v>1680.1699999999998</v>
          </cell>
        </row>
        <row r="265">
          <cell r="C265">
            <v>256779415894</v>
          </cell>
          <cell r="D265" t="str">
            <v>DR</v>
          </cell>
          <cell r="E265">
            <v>45862</v>
          </cell>
          <cell r="F265" t="str">
            <v/>
          </cell>
          <cell r="G265" t="str">
            <v/>
          </cell>
          <cell r="H265">
            <v>164398.88</v>
          </cell>
          <cell r="I265" t="str">
            <v>INR</v>
          </cell>
          <cell r="J265">
            <v>1911.6</v>
          </cell>
        </row>
        <row r="266">
          <cell r="C266">
            <v>256779415895</v>
          </cell>
          <cell r="D266" t="str">
            <v>DR</v>
          </cell>
          <cell r="E266">
            <v>45862</v>
          </cell>
          <cell r="F266" t="str">
            <v/>
          </cell>
          <cell r="G266" t="str">
            <v/>
          </cell>
          <cell r="H266">
            <v>169878.84</v>
          </cell>
          <cell r="I266" t="str">
            <v>INR</v>
          </cell>
          <cell r="J266">
            <v>1975.32</v>
          </cell>
        </row>
        <row r="267">
          <cell r="C267">
            <v>256779415897</v>
          </cell>
          <cell r="D267" t="str">
            <v>DR</v>
          </cell>
          <cell r="E267">
            <v>45862</v>
          </cell>
          <cell r="F267" t="str">
            <v/>
          </cell>
          <cell r="G267" t="str">
            <v/>
          </cell>
          <cell r="H267">
            <v>164398.88</v>
          </cell>
          <cell r="I267" t="str">
            <v>INR</v>
          </cell>
          <cell r="J267">
            <v>1911.6</v>
          </cell>
        </row>
        <row r="268">
          <cell r="C268">
            <v>256779415899</v>
          </cell>
          <cell r="D268" t="str">
            <v>DR</v>
          </cell>
          <cell r="E268">
            <v>45862</v>
          </cell>
          <cell r="F268" t="str">
            <v/>
          </cell>
          <cell r="G268" t="str">
            <v/>
          </cell>
          <cell r="H268">
            <v>169878.84</v>
          </cell>
          <cell r="I268" t="str">
            <v>INR</v>
          </cell>
          <cell r="J268">
            <v>1975.32</v>
          </cell>
        </row>
        <row r="269">
          <cell r="C269">
            <v>256779415903</v>
          </cell>
          <cell r="D269" t="str">
            <v>DR</v>
          </cell>
          <cell r="E269">
            <v>45862</v>
          </cell>
          <cell r="F269" t="str">
            <v/>
          </cell>
          <cell r="G269" t="str">
            <v/>
          </cell>
          <cell r="H269">
            <v>169878.84</v>
          </cell>
          <cell r="I269" t="str">
            <v>INR</v>
          </cell>
          <cell r="J269">
            <v>1975.32</v>
          </cell>
        </row>
        <row r="270">
          <cell r="C270">
            <v>256779415917</v>
          </cell>
          <cell r="D270" t="str">
            <v>DR</v>
          </cell>
          <cell r="E270">
            <v>45862</v>
          </cell>
          <cell r="F270" t="str">
            <v/>
          </cell>
          <cell r="G270" t="str">
            <v/>
          </cell>
          <cell r="H270">
            <v>4234.67</v>
          </cell>
          <cell r="I270" t="str">
            <v>INR</v>
          </cell>
          <cell r="J270">
            <v>49.239999999999995</v>
          </cell>
        </row>
        <row r="271">
          <cell r="C271">
            <v>256779415947</v>
          </cell>
          <cell r="D271" t="str">
            <v>DR</v>
          </cell>
          <cell r="E271">
            <v>45862</v>
          </cell>
          <cell r="F271" t="str">
            <v/>
          </cell>
          <cell r="G271" t="str">
            <v/>
          </cell>
          <cell r="H271">
            <v>153438.96</v>
          </cell>
          <cell r="I271" t="str">
            <v>INR</v>
          </cell>
          <cell r="J271">
            <v>1784.16</v>
          </cell>
        </row>
        <row r="272">
          <cell r="C272">
            <v>256779415959</v>
          </cell>
          <cell r="D272" t="str">
            <v>DR</v>
          </cell>
          <cell r="E272">
            <v>45862</v>
          </cell>
          <cell r="F272" t="str">
            <v/>
          </cell>
          <cell r="G272" t="str">
            <v/>
          </cell>
          <cell r="H272">
            <v>139321.09</v>
          </cell>
          <cell r="I272" t="str">
            <v>INR</v>
          </cell>
          <cell r="J272">
            <v>1620</v>
          </cell>
        </row>
        <row r="273">
          <cell r="C273">
            <v>256779415975</v>
          </cell>
          <cell r="D273" t="str">
            <v>DR</v>
          </cell>
          <cell r="E273">
            <v>45863</v>
          </cell>
          <cell r="F273" t="str">
            <v/>
          </cell>
          <cell r="G273" t="str">
            <v/>
          </cell>
          <cell r="H273">
            <v>1306.3499999999999</v>
          </cell>
          <cell r="I273" t="str">
            <v>INR</v>
          </cell>
          <cell r="J273">
            <v>15.19</v>
          </cell>
        </row>
        <row r="274">
          <cell r="C274">
            <v>256779416061</v>
          </cell>
          <cell r="D274" t="str">
            <v>DR</v>
          </cell>
          <cell r="E274">
            <v>45870</v>
          </cell>
          <cell r="F274" t="str">
            <v/>
          </cell>
          <cell r="G274" t="str">
            <v/>
          </cell>
          <cell r="H274">
            <v>169937.02</v>
          </cell>
          <cell r="I274" t="str">
            <v>INR</v>
          </cell>
          <cell r="J274">
            <v>1975.32</v>
          </cell>
        </row>
        <row r="275">
          <cell r="C275">
            <v>256779416371</v>
          </cell>
          <cell r="D275" t="str">
            <v>DR</v>
          </cell>
          <cell r="E275">
            <v>45877</v>
          </cell>
          <cell r="F275" t="str">
            <v/>
          </cell>
          <cell r="G275" t="str">
            <v/>
          </cell>
          <cell r="H275">
            <v>456835.42</v>
          </cell>
          <cell r="I275" t="str">
            <v>INR</v>
          </cell>
          <cell r="J275">
            <v>5310.1799999999994</v>
          </cell>
        </row>
        <row r="276">
          <cell r="C276">
            <v>256779416372</v>
          </cell>
          <cell r="D276" t="str">
            <v>DR</v>
          </cell>
          <cell r="E276">
            <v>45877</v>
          </cell>
          <cell r="F276" t="str">
            <v/>
          </cell>
          <cell r="G276" t="str">
            <v/>
          </cell>
          <cell r="H276">
            <v>45404.12</v>
          </cell>
          <cell r="I276" t="str">
            <v>INR</v>
          </cell>
          <cell r="J276">
            <v>527.77</v>
          </cell>
        </row>
        <row r="277">
          <cell r="C277">
            <v>256779416373</v>
          </cell>
          <cell r="D277" t="str">
            <v>DR</v>
          </cell>
          <cell r="E277">
            <v>45877</v>
          </cell>
          <cell r="F277" t="str">
            <v/>
          </cell>
          <cell r="G277" t="str">
            <v/>
          </cell>
          <cell r="H277">
            <v>1381.64</v>
          </cell>
          <cell r="I277" t="str">
            <v>INR</v>
          </cell>
          <cell r="J277">
            <v>16.059999999999999</v>
          </cell>
        </row>
        <row r="278">
          <cell r="C278">
            <v>256779416479</v>
          </cell>
          <cell r="D278" t="str">
            <v>DR</v>
          </cell>
          <cell r="E278">
            <v>45877</v>
          </cell>
          <cell r="F278" t="str">
            <v/>
          </cell>
          <cell r="G278" t="str">
            <v/>
          </cell>
          <cell r="H278">
            <v>13624.59</v>
          </cell>
          <cell r="I278" t="str">
            <v>INR</v>
          </cell>
          <cell r="J278">
            <v>158.37</v>
          </cell>
        </row>
        <row r="279">
          <cell r="C279">
            <v>256779416495</v>
          </cell>
          <cell r="D279" t="str">
            <v>DR</v>
          </cell>
          <cell r="E279">
            <v>45877</v>
          </cell>
          <cell r="F279" t="str">
            <v/>
          </cell>
          <cell r="G279" t="str">
            <v/>
          </cell>
          <cell r="H279">
            <v>2782.21</v>
          </cell>
          <cell r="I279" t="str">
            <v>INR</v>
          </cell>
          <cell r="J279">
            <v>32.340000000000003</v>
          </cell>
        </row>
        <row r="280">
          <cell r="C280">
            <v>256779416194</v>
          </cell>
          <cell r="D280" t="str">
            <v>DR</v>
          </cell>
          <cell r="E280">
            <v>45877</v>
          </cell>
          <cell r="F280" t="str">
            <v/>
          </cell>
          <cell r="G280" t="str">
            <v/>
          </cell>
          <cell r="H280">
            <v>82826.36</v>
          </cell>
          <cell r="I280" t="str">
            <v>INR</v>
          </cell>
          <cell r="J280">
            <v>745.82999999999993</v>
          </cell>
        </row>
        <row r="281">
          <cell r="C281">
            <v>256779416156</v>
          </cell>
          <cell r="D281" t="str">
            <v>DR</v>
          </cell>
          <cell r="E281">
            <v>45877</v>
          </cell>
          <cell r="F281" t="str">
            <v/>
          </cell>
          <cell r="G281" t="str">
            <v/>
          </cell>
          <cell r="H281">
            <v>84514.27</v>
          </cell>
          <cell r="I281" t="str">
            <v>INR</v>
          </cell>
          <cell r="J281">
            <v>286.86</v>
          </cell>
        </row>
        <row r="282">
          <cell r="C282">
            <v>256779416131</v>
          </cell>
          <cell r="D282" t="str">
            <v>DR</v>
          </cell>
          <cell r="E282">
            <v>45877</v>
          </cell>
          <cell r="F282" t="str">
            <v/>
          </cell>
          <cell r="G282" t="str">
            <v/>
          </cell>
          <cell r="H282">
            <v>9508.0499999999993</v>
          </cell>
          <cell r="I282" t="str">
            <v>INR</v>
          </cell>
          <cell r="J282">
            <v>110.52</v>
          </cell>
        </row>
        <row r="283">
          <cell r="C283">
            <v>256779416501</v>
          </cell>
          <cell r="D283" t="str">
            <v>DR</v>
          </cell>
          <cell r="E283">
            <v>45877</v>
          </cell>
          <cell r="F283" t="str">
            <v/>
          </cell>
          <cell r="G283" t="str">
            <v/>
          </cell>
          <cell r="H283">
            <v>2643.71</v>
          </cell>
          <cell r="I283" t="str">
            <v>INR</v>
          </cell>
          <cell r="J283">
            <v>30.73</v>
          </cell>
        </row>
        <row r="284">
          <cell r="C284">
            <v>256779416572</v>
          </cell>
          <cell r="D284" t="str">
            <v>DR</v>
          </cell>
          <cell r="E284">
            <v>45888</v>
          </cell>
          <cell r="F284" t="str">
            <v/>
          </cell>
          <cell r="G284" t="str">
            <v/>
          </cell>
          <cell r="H284">
            <v>169937.02</v>
          </cell>
          <cell r="I284" t="str">
            <v>INR</v>
          </cell>
          <cell r="J284">
            <v>1975.32</v>
          </cell>
        </row>
        <row r="285">
          <cell r="C285">
            <v>256779416592</v>
          </cell>
          <cell r="D285" t="str">
            <v>DR</v>
          </cell>
          <cell r="E285">
            <v>45888</v>
          </cell>
          <cell r="F285" t="str">
            <v/>
          </cell>
          <cell r="G285" t="str">
            <v/>
          </cell>
          <cell r="H285">
            <v>164455.18</v>
          </cell>
          <cell r="I285" t="str">
            <v>INR</v>
          </cell>
          <cell r="J285">
            <v>1911.6</v>
          </cell>
        </row>
        <row r="286">
          <cell r="C286">
            <v>256779416763</v>
          </cell>
          <cell r="D286" t="str">
            <v>DR</v>
          </cell>
          <cell r="E286">
            <v>45889</v>
          </cell>
          <cell r="F286" t="str">
            <v/>
          </cell>
          <cell r="G286" t="str">
            <v/>
          </cell>
          <cell r="H286">
            <v>11166.71</v>
          </cell>
          <cell r="I286" t="str">
            <v>INR</v>
          </cell>
          <cell r="J286">
            <v>129.80000000000001</v>
          </cell>
        </row>
        <row r="287">
          <cell r="C287">
            <v>256779416658</v>
          </cell>
          <cell r="D287" t="str">
            <v>DR</v>
          </cell>
          <cell r="E287">
            <v>45889</v>
          </cell>
          <cell r="F287" t="str">
            <v/>
          </cell>
          <cell r="G287" t="str">
            <v/>
          </cell>
          <cell r="H287">
            <v>420734.6</v>
          </cell>
          <cell r="I287" t="str">
            <v>INR</v>
          </cell>
          <cell r="J287">
            <v>4890.5499999999993</v>
          </cell>
        </row>
        <row r="288">
          <cell r="C288">
            <v>256779416659</v>
          </cell>
          <cell r="D288" t="str">
            <v>DR</v>
          </cell>
          <cell r="E288">
            <v>45889</v>
          </cell>
          <cell r="F288" t="str">
            <v/>
          </cell>
          <cell r="G288" t="str">
            <v/>
          </cell>
          <cell r="H288">
            <v>9165.65</v>
          </cell>
          <cell r="I288" t="str">
            <v>INR</v>
          </cell>
          <cell r="J288">
            <v>106.54</v>
          </cell>
        </row>
        <row r="289">
          <cell r="C289">
            <v>256779416660</v>
          </cell>
          <cell r="D289" t="str">
            <v>DR</v>
          </cell>
          <cell r="E289">
            <v>45889</v>
          </cell>
          <cell r="F289" t="str">
            <v/>
          </cell>
          <cell r="G289" t="str">
            <v/>
          </cell>
          <cell r="H289">
            <v>748.46</v>
          </cell>
          <cell r="I289" t="str">
            <v>INR</v>
          </cell>
          <cell r="J289">
            <v>8.6999999999999993</v>
          </cell>
        </row>
        <row r="290">
          <cell r="C290">
            <v>256779416856</v>
          </cell>
          <cell r="D290" t="str">
            <v>DR</v>
          </cell>
          <cell r="E290">
            <v>45889</v>
          </cell>
          <cell r="F290" t="str">
            <v/>
          </cell>
          <cell r="G290" t="str">
            <v/>
          </cell>
          <cell r="H290">
            <v>14053.02</v>
          </cell>
          <cell r="I290" t="str">
            <v>INR</v>
          </cell>
          <cell r="J290">
            <v>163.35000000000002</v>
          </cell>
        </row>
        <row r="291">
          <cell r="C291">
            <v>256779416826</v>
          </cell>
          <cell r="D291" t="str">
            <v>DR</v>
          </cell>
          <cell r="E291">
            <v>45889</v>
          </cell>
          <cell r="F291" t="str">
            <v/>
          </cell>
          <cell r="G291" t="str">
            <v/>
          </cell>
          <cell r="H291">
            <v>9366.1</v>
          </cell>
          <cell r="I291" t="str">
            <v>INR</v>
          </cell>
          <cell r="J291">
            <v>108.87</v>
          </cell>
        </row>
        <row r="292">
          <cell r="C292">
            <v>256779416902</v>
          </cell>
          <cell r="D292" t="str">
            <v>DR</v>
          </cell>
          <cell r="E292">
            <v>45901</v>
          </cell>
          <cell r="F292" t="str">
            <v/>
          </cell>
          <cell r="G292" t="str">
            <v/>
          </cell>
          <cell r="H292">
            <v>433371.84</v>
          </cell>
          <cell r="I292" t="str">
            <v>INR</v>
          </cell>
          <cell r="J292">
            <v>4952.01</v>
          </cell>
        </row>
        <row r="293">
          <cell r="C293">
            <v>256779416903</v>
          </cell>
          <cell r="D293" t="str">
            <v>DR</v>
          </cell>
          <cell r="E293">
            <v>45901</v>
          </cell>
          <cell r="F293" t="str">
            <v/>
          </cell>
          <cell r="G293" t="str">
            <v/>
          </cell>
          <cell r="H293">
            <v>18772.7</v>
          </cell>
          <cell r="I293" t="str">
            <v>INR</v>
          </cell>
          <cell r="J293">
            <v>214.51</v>
          </cell>
        </row>
        <row r="294">
          <cell r="C294">
            <v>256779417106</v>
          </cell>
          <cell r="D294" t="str">
            <v>DR</v>
          </cell>
          <cell r="E294">
            <v>45904</v>
          </cell>
          <cell r="F294" t="str">
            <v/>
          </cell>
          <cell r="G294" t="str">
            <v/>
          </cell>
          <cell r="H294">
            <v>11359.36</v>
          </cell>
          <cell r="I294" t="str">
            <v>INR</v>
          </cell>
          <cell r="J294">
            <v>129.80000000000001</v>
          </cell>
        </row>
        <row r="295">
          <cell r="C295">
            <v>256779417184</v>
          </cell>
          <cell r="D295" t="str">
            <v>DR</v>
          </cell>
          <cell r="E295">
            <v>45904</v>
          </cell>
          <cell r="F295" t="str">
            <v/>
          </cell>
          <cell r="G295" t="str">
            <v/>
          </cell>
          <cell r="H295">
            <v>23909.79</v>
          </cell>
          <cell r="I295" t="str">
            <v>INR</v>
          </cell>
          <cell r="J295">
            <v>273.20999999999998</v>
          </cell>
        </row>
        <row r="296">
          <cell r="C296">
            <v>256779417190</v>
          </cell>
          <cell r="D296" t="str">
            <v>DR</v>
          </cell>
          <cell r="E296">
            <v>45904</v>
          </cell>
          <cell r="F296" t="str">
            <v/>
          </cell>
          <cell r="G296" t="str">
            <v/>
          </cell>
          <cell r="H296">
            <v>4502.6099999999997</v>
          </cell>
          <cell r="I296" t="str">
            <v>INR</v>
          </cell>
          <cell r="J296">
            <v>51.45</v>
          </cell>
        </row>
        <row r="297">
          <cell r="C297">
            <v>256779417194</v>
          </cell>
          <cell r="D297" t="str">
            <v>DR</v>
          </cell>
          <cell r="E297">
            <v>45904</v>
          </cell>
          <cell r="F297" t="str">
            <v/>
          </cell>
          <cell r="G297" t="str">
            <v/>
          </cell>
          <cell r="H297">
            <v>8371.6200000000008</v>
          </cell>
          <cell r="I297" t="str">
            <v>INR</v>
          </cell>
          <cell r="J297">
            <v>95.66</v>
          </cell>
        </row>
        <row r="298">
          <cell r="C298">
            <v>256779417268</v>
          </cell>
          <cell r="D298" t="str">
            <v>DR</v>
          </cell>
          <cell r="E298">
            <v>45904</v>
          </cell>
          <cell r="F298" t="str">
            <v/>
          </cell>
          <cell r="G298" t="str">
            <v/>
          </cell>
          <cell r="H298">
            <v>44232.37</v>
          </cell>
          <cell r="I298" t="str">
            <v>INR</v>
          </cell>
          <cell r="J298">
            <v>315.54000000000002</v>
          </cell>
        </row>
        <row r="299">
          <cell r="C299">
            <v>256779417380</v>
          </cell>
          <cell r="D299" t="str">
            <v>DR</v>
          </cell>
          <cell r="E299">
            <v>45904</v>
          </cell>
          <cell r="F299" t="str">
            <v/>
          </cell>
          <cell r="G299" t="str">
            <v/>
          </cell>
          <cell r="H299">
            <v>167292.39000000001</v>
          </cell>
          <cell r="I299" t="str">
            <v>INR</v>
          </cell>
          <cell r="J299">
            <v>1911.6</v>
          </cell>
        </row>
        <row r="300">
          <cell r="C300">
            <v>256779417915</v>
          </cell>
          <cell r="D300" t="str">
            <v>DR</v>
          </cell>
          <cell r="E300">
            <v>45935</v>
          </cell>
          <cell r="F300" t="str">
            <v/>
          </cell>
          <cell r="G300" t="str">
            <v/>
          </cell>
          <cell r="H300">
            <v>2368.8000000000002</v>
          </cell>
          <cell r="I300" t="str">
            <v>INR</v>
          </cell>
          <cell r="J300">
            <v>23.6</v>
          </cell>
        </row>
        <row r="301">
          <cell r="C301">
            <v>256779450244</v>
          </cell>
          <cell r="D301" t="str">
            <v>DR</v>
          </cell>
          <cell r="E301">
            <v>46027</v>
          </cell>
          <cell r="F301" t="str">
            <v/>
          </cell>
          <cell r="G301" t="str">
            <v/>
          </cell>
          <cell r="H301">
            <v>295.82</v>
          </cell>
          <cell r="I301" t="str">
            <v>INR</v>
          </cell>
          <cell r="J301">
            <v>3.26</v>
          </cell>
        </row>
        <row r="302">
          <cell r="C302">
            <v>256779450245</v>
          </cell>
          <cell r="D302" t="str">
            <v>DR</v>
          </cell>
          <cell r="E302">
            <v>46027</v>
          </cell>
          <cell r="F302" t="str">
            <v/>
          </cell>
          <cell r="G302" t="str">
            <v/>
          </cell>
          <cell r="H302">
            <v>1218.68</v>
          </cell>
          <cell r="I302" t="str">
            <v>INR</v>
          </cell>
          <cell r="J302">
            <v>13.43</v>
          </cell>
        </row>
        <row r="303">
          <cell r="C303">
            <v>256779450246</v>
          </cell>
          <cell r="D303" t="str">
            <v>DR</v>
          </cell>
          <cell r="E303">
            <v>46027</v>
          </cell>
          <cell r="F303" t="str">
            <v/>
          </cell>
          <cell r="G303" t="str">
            <v/>
          </cell>
          <cell r="H303">
            <v>952.8</v>
          </cell>
          <cell r="I303" t="str">
            <v>INR</v>
          </cell>
          <cell r="J303">
            <v>10.5</v>
          </cell>
        </row>
        <row r="304">
          <cell r="C304">
            <v>256779450247</v>
          </cell>
          <cell r="D304" t="str">
            <v>DR</v>
          </cell>
          <cell r="E304">
            <v>46027</v>
          </cell>
          <cell r="F304" t="str">
            <v/>
          </cell>
          <cell r="G304" t="str">
            <v/>
          </cell>
          <cell r="H304">
            <v>1495.45</v>
          </cell>
          <cell r="I304" t="str">
            <v>INR</v>
          </cell>
          <cell r="J304">
            <v>16.48</v>
          </cell>
        </row>
        <row r="305">
          <cell r="C305">
            <v>256779450248</v>
          </cell>
          <cell r="D305" t="str">
            <v>DR</v>
          </cell>
          <cell r="E305">
            <v>46027</v>
          </cell>
          <cell r="F305" t="str">
            <v/>
          </cell>
          <cell r="G305" t="str">
            <v/>
          </cell>
          <cell r="H305">
            <v>384.75</v>
          </cell>
          <cell r="I305" t="str">
            <v>INR</v>
          </cell>
          <cell r="J305">
            <v>4.24</v>
          </cell>
        </row>
        <row r="306">
          <cell r="C306">
            <v>256779450249</v>
          </cell>
          <cell r="D306" t="str">
            <v>DR</v>
          </cell>
          <cell r="E306">
            <v>46027</v>
          </cell>
          <cell r="F306" t="str">
            <v/>
          </cell>
          <cell r="G306" t="str">
            <v/>
          </cell>
          <cell r="H306">
            <v>499.99</v>
          </cell>
          <cell r="I306" t="str">
            <v>INR</v>
          </cell>
          <cell r="J306">
            <v>5.51</v>
          </cell>
        </row>
        <row r="307">
          <cell r="C307">
            <v>256779450281</v>
          </cell>
          <cell r="D307" t="str">
            <v>DR</v>
          </cell>
          <cell r="E307">
            <v>46027</v>
          </cell>
          <cell r="F307" t="str">
            <v/>
          </cell>
          <cell r="G307" t="str">
            <v/>
          </cell>
          <cell r="H307">
            <v>2437.36</v>
          </cell>
          <cell r="I307" t="str">
            <v>INR</v>
          </cell>
          <cell r="J307">
            <v>23.6</v>
          </cell>
        </row>
        <row r="308">
          <cell r="C308">
            <v>256779450411</v>
          </cell>
          <cell r="D308" t="str">
            <v>DR</v>
          </cell>
          <cell r="E308">
            <v>46028</v>
          </cell>
          <cell r="F308" t="str">
            <v/>
          </cell>
          <cell r="G308" t="str">
            <v/>
          </cell>
          <cell r="H308">
            <v>4715.92</v>
          </cell>
          <cell r="I308" t="str">
            <v>INR</v>
          </cell>
          <cell r="J308">
            <v>51.97</v>
          </cell>
        </row>
        <row r="309">
          <cell r="C309">
            <v>256779450430</v>
          </cell>
          <cell r="D309" t="str">
            <v>DR</v>
          </cell>
          <cell r="E309">
            <v>46028</v>
          </cell>
          <cell r="F309" t="str">
            <v/>
          </cell>
          <cell r="G309" t="str">
            <v/>
          </cell>
          <cell r="H309">
            <v>3157.86</v>
          </cell>
          <cell r="I309" t="str">
            <v>INR</v>
          </cell>
          <cell r="J309">
            <v>34.799999999999997</v>
          </cell>
        </row>
        <row r="310">
          <cell r="C310">
            <v>256779450545</v>
          </cell>
          <cell r="D310" t="str">
            <v>DR</v>
          </cell>
          <cell r="E310">
            <v>46034</v>
          </cell>
          <cell r="F310" t="str">
            <v/>
          </cell>
          <cell r="G310" t="str">
            <v/>
          </cell>
          <cell r="H310">
            <v>534.48</v>
          </cell>
          <cell r="I310" t="str">
            <v>INR</v>
          </cell>
          <cell r="J310">
            <v>5.8900000000000006</v>
          </cell>
        </row>
        <row r="311">
          <cell r="C311">
            <v>256779450546</v>
          </cell>
          <cell r="D311" t="str">
            <v>DR</v>
          </cell>
          <cell r="E311">
            <v>46034</v>
          </cell>
          <cell r="F311" t="str">
            <v/>
          </cell>
          <cell r="G311" t="str">
            <v/>
          </cell>
          <cell r="H311">
            <v>610.70000000000005</v>
          </cell>
          <cell r="I311" t="str">
            <v>INR</v>
          </cell>
          <cell r="J311">
            <v>6.73</v>
          </cell>
        </row>
        <row r="312">
          <cell r="C312">
            <v>256779450547</v>
          </cell>
          <cell r="D312" t="str">
            <v>DR</v>
          </cell>
          <cell r="E312">
            <v>46034</v>
          </cell>
          <cell r="F312" t="str">
            <v/>
          </cell>
          <cell r="G312" t="str">
            <v/>
          </cell>
          <cell r="H312">
            <v>623.41</v>
          </cell>
          <cell r="I312" t="str">
            <v>INR</v>
          </cell>
          <cell r="J312">
            <v>6.87</v>
          </cell>
        </row>
        <row r="313">
          <cell r="C313">
            <v>256779450548</v>
          </cell>
          <cell r="D313" t="str">
            <v>DR</v>
          </cell>
          <cell r="E313">
            <v>46034</v>
          </cell>
          <cell r="F313" t="str">
            <v/>
          </cell>
          <cell r="G313" t="str">
            <v/>
          </cell>
          <cell r="H313">
            <v>295.82</v>
          </cell>
          <cell r="I313" t="str">
            <v>INR</v>
          </cell>
          <cell r="J313">
            <v>3.26</v>
          </cell>
        </row>
        <row r="314">
          <cell r="C314">
            <v>256779450549</v>
          </cell>
          <cell r="D314" t="str">
            <v>DR</v>
          </cell>
          <cell r="E314">
            <v>46034</v>
          </cell>
          <cell r="F314" t="str">
            <v/>
          </cell>
          <cell r="G314" t="str">
            <v/>
          </cell>
          <cell r="H314">
            <v>373.86</v>
          </cell>
          <cell r="I314" t="str">
            <v>INR</v>
          </cell>
          <cell r="J314">
            <v>4.12</v>
          </cell>
        </row>
        <row r="315">
          <cell r="C315">
            <v>256779450550</v>
          </cell>
          <cell r="D315" t="str">
            <v>DR</v>
          </cell>
          <cell r="E315">
            <v>46034</v>
          </cell>
          <cell r="F315" t="str">
            <v/>
          </cell>
          <cell r="G315" t="str">
            <v/>
          </cell>
          <cell r="H315">
            <v>451.9</v>
          </cell>
          <cell r="I315" t="str">
            <v>INR</v>
          </cell>
          <cell r="J315">
            <v>4.9799999999999995</v>
          </cell>
        </row>
        <row r="316">
          <cell r="C316">
            <v>256779450513</v>
          </cell>
          <cell r="D316" t="str">
            <v>DR</v>
          </cell>
          <cell r="E316">
            <v>46028</v>
          </cell>
          <cell r="F316" t="str">
            <v/>
          </cell>
          <cell r="G316" t="str">
            <v/>
          </cell>
          <cell r="H316">
            <v>2437.36</v>
          </cell>
          <cell r="I316" t="str">
            <v>INR</v>
          </cell>
          <cell r="J316">
            <v>23.6</v>
          </cell>
        </row>
        <row r="317">
          <cell r="C317">
            <v>256779450514</v>
          </cell>
          <cell r="D317" t="str">
            <v>DR</v>
          </cell>
          <cell r="E317">
            <v>46028</v>
          </cell>
          <cell r="F317" t="str">
            <v/>
          </cell>
          <cell r="G317" t="str">
            <v/>
          </cell>
          <cell r="H317">
            <v>2437.36</v>
          </cell>
          <cell r="I317" t="str">
            <v>INR</v>
          </cell>
          <cell r="J317">
            <v>23.6</v>
          </cell>
        </row>
        <row r="318">
          <cell r="C318">
            <v>256779450515</v>
          </cell>
          <cell r="D318" t="str">
            <v>DR</v>
          </cell>
          <cell r="E318">
            <v>46028</v>
          </cell>
          <cell r="F318" t="str">
            <v/>
          </cell>
          <cell r="G318" t="str">
            <v/>
          </cell>
          <cell r="H318">
            <v>3147.88</v>
          </cell>
          <cell r="I318" t="str">
            <v>INR</v>
          </cell>
          <cell r="J318">
            <v>23.6</v>
          </cell>
        </row>
        <row r="319">
          <cell r="C319">
            <v>256779450516</v>
          </cell>
          <cell r="D319" t="str">
            <v>DR</v>
          </cell>
          <cell r="E319">
            <v>46028</v>
          </cell>
          <cell r="F319" t="str">
            <v/>
          </cell>
          <cell r="G319" t="str">
            <v/>
          </cell>
          <cell r="H319">
            <v>3154.23</v>
          </cell>
          <cell r="I319" t="str">
            <v>INR</v>
          </cell>
          <cell r="J319">
            <v>23.6</v>
          </cell>
        </row>
        <row r="320">
          <cell r="C320">
            <v>256779450517</v>
          </cell>
          <cell r="D320" t="str">
            <v>DR</v>
          </cell>
          <cell r="E320">
            <v>46028</v>
          </cell>
          <cell r="F320" t="str">
            <v/>
          </cell>
          <cell r="G320" t="str">
            <v/>
          </cell>
          <cell r="H320">
            <v>3148.79</v>
          </cell>
          <cell r="I320" t="str">
            <v>INR</v>
          </cell>
          <cell r="J320">
            <v>23.6</v>
          </cell>
        </row>
        <row r="321">
          <cell r="C321">
            <v>256779450518</v>
          </cell>
          <cell r="D321" t="str">
            <v>DR</v>
          </cell>
          <cell r="E321">
            <v>46028</v>
          </cell>
          <cell r="F321" t="str">
            <v/>
          </cell>
          <cell r="G321" t="str">
            <v/>
          </cell>
          <cell r="H321">
            <v>3699.6</v>
          </cell>
          <cell r="I321" t="str">
            <v>INR</v>
          </cell>
          <cell r="J321">
            <v>40.769999999999996</v>
          </cell>
        </row>
        <row r="322">
          <cell r="C322">
            <v>256779450519</v>
          </cell>
          <cell r="D322" t="str">
            <v>DR</v>
          </cell>
          <cell r="E322">
            <v>46028</v>
          </cell>
          <cell r="F322" t="str">
            <v/>
          </cell>
          <cell r="G322" t="str">
            <v/>
          </cell>
          <cell r="H322">
            <v>3146.97</v>
          </cell>
          <cell r="I322" t="str">
            <v>INR</v>
          </cell>
          <cell r="J322">
            <v>23.6</v>
          </cell>
        </row>
        <row r="323">
          <cell r="C323">
            <v>256779450520</v>
          </cell>
          <cell r="D323" t="str">
            <v>DR</v>
          </cell>
          <cell r="E323">
            <v>46028</v>
          </cell>
          <cell r="F323" t="str">
            <v/>
          </cell>
          <cell r="G323" t="str">
            <v/>
          </cell>
          <cell r="H323">
            <v>2437.36</v>
          </cell>
          <cell r="I323" t="str">
            <v>INR</v>
          </cell>
          <cell r="J323">
            <v>23.6</v>
          </cell>
        </row>
        <row r="324">
          <cell r="C324">
            <v>256779450750</v>
          </cell>
          <cell r="D324" t="str">
            <v>DR</v>
          </cell>
          <cell r="E324">
            <v>46038</v>
          </cell>
          <cell r="F324" t="str">
            <v/>
          </cell>
          <cell r="G324" t="str">
            <v/>
          </cell>
          <cell r="H324">
            <v>125793.59</v>
          </cell>
          <cell r="I324" t="str">
            <v>INR</v>
          </cell>
          <cell r="J324">
            <v>1386.26</v>
          </cell>
        </row>
        <row r="325">
          <cell r="C325">
            <v>256779450751</v>
          </cell>
          <cell r="D325" t="str">
            <v>DR</v>
          </cell>
          <cell r="E325">
            <v>46038</v>
          </cell>
          <cell r="F325" t="str">
            <v/>
          </cell>
          <cell r="G325" t="str">
            <v/>
          </cell>
          <cell r="H325">
            <v>918.32</v>
          </cell>
          <cell r="I325" t="str">
            <v>INR</v>
          </cell>
          <cell r="J325">
            <v>10.120000000000001</v>
          </cell>
        </row>
        <row r="326">
          <cell r="C326" t="e">
            <v>#N/A</v>
          </cell>
          <cell r="D326" t="str">
            <v>DY</v>
          </cell>
          <cell r="E326">
            <v>45918</v>
          </cell>
          <cell r="F326" t="str">
            <v/>
          </cell>
          <cell r="G326" t="str">
            <v/>
          </cell>
          <cell r="H326">
            <v>0</v>
          </cell>
          <cell r="I326" t="str">
            <v>INR</v>
          </cell>
          <cell r="J326" t="e">
            <v>#N/A</v>
          </cell>
        </row>
        <row r="327">
          <cell r="C327" t="e">
            <v>#N/A</v>
          </cell>
          <cell r="D327" t="str">
            <v>DY</v>
          </cell>
          <cell r="E327">
            <v>45918</v>
          </cell>
          <cell r="F327" t="str">
            <v/>
          </cell>
          <cell r="G327" t="str">
            <v/>
          </cell>
          <cell r="H327">
            <v>191573.84</v>
          </cell>
          <cell r="I327" t="str">
            <v>INR</v>
          </cell>
          <cell r="J327" t="e">
            <v>#N/A</v>
          </cell>
        </row>
        <row r="328">
          <cell r="C328" t="e">
            <v>#N/A</v>
          </cell>
          <cell r="D328" t="str">
            <v>DY</v>
          </cell>
          <cell r="E328">
            <v>45918</v>
          </cell>
          <cell r="F328" t="str">
            <v/>
          </cell>
          <cell r="G328" t="str">
            <v/>
          </cell>
          <cell r="H328">
            <v>-191573.84</v>
          </cell>
          <cell r="I328" t="str">
            <v>INR</v>
          </cell>
          <cell r="J328" t="e">
            <v>#N/A</v>
          </cell>
        </row>
        <row r="329">
          <cell r="C329">
            <v>256779420226</v>
          </cell>
          <cell r="D329" t="str">
            <v>DG</v>
          </cell>
          <cell r="E329">
            <v>45791</v>
          </cell>
          <cell r="F329" t="str">
            <v/>
          </cell>
          <cell r="G329" t="str">
            <v/>
          </cell>
          <cell r="H329">
            <v>-5488.42</v>
          </cell>
          <cell r="I329" t="str">
            <v>INR</v>
          </cell>
          <cell r="J329">
            <v>-63.31</v>
          </cell>
        </row>
        <row r="330">
          <cell r="C330">
            <v>256779420227</v>
          </cell>
          <cell r="D330" t="str">
            <v>DG</v>
          </cell>
          <cell r="E330">
            <v>45791</v>
          </cell>
          <cell r="F330" t="str">
            <v/>
          </cell>
          <cell r="G330" t="str">
            <v/>
          </cell>
          <cell r="H330">
            <v>-5488.42</v>
          </cell>
          <cell r="I330" t="str">
            <v>INR</v>
          </cell>
          <cell r="J330">
            <v>-63.31</v>
          </cell>
        </row>
        <row r="331">
          <cell r="C331">
            <v>256779420362</v>
          </cell>
          <cell r="D331" t="str">
            <v>DG</v>
          </cell>
          <cell r="E331">
            <v>45791</v>
          </cell>
          <cell r="F331" t="str">
            <v/>
          </cell>
          <cell r="G331" t="str">
            <v/>
          </cell>
          <cell r="H331">
            <v>-5488.42</v>
          </cell>
          <cell r="I331" t="str">
            <v>INR</v>
          </cell>
          <cell r="J331">
            <v>-63.31</v>
          </cell>
        </row>
        <row r="332">
          <cell r="C332">
            <v>256779420363</v>
          </cell>
          <cell r="D332" t="str">
            <v>DG</v>
          </cell>
          <cell r="E332">
            <v>45791</v>
          </cell>
          <cell r="F332" t="str">
            <v/>
          </cell>
          <cell r="G332" t="str">
            <v/>
          </cell>
          <cell r="H332">
            <v>-5488.42</v>
          </cell>
          <cell r="I332" t="str">
            <v>INR</v>
          </cell>
          <cell r="J332">
            <v>-63.31</v>
          </cell>
        </row>
        <row r="333">
          <cell r="C333">
            <v>256779421102</v>
          </cell>
          <cell r="D333" t="str">
            <v>DG</v>
          </cell>
          <cell r="E333">
            <v>45800</v>
          </cell>
          <cell r="F333" t="str">
            <v/>
          </cell>
          <cell r="G333" t="str">
            <v/>
          </cell>
          <cell r="H333">
            <v>-191573.84</v>
          </cell>
          <cell r="I333" t="str">
            <v>INR</v>
          </cell>
          <cell r="J333">
            <v>-1975.32</v>
          </cell>
        </row>
        <row r="334">
          <cell r="C334">
            <v>256779421447</v>
          </cell>
          <cell r="D334" t="str">
            <v>DG</v>
          </cell>
          <cell r="E334">
            <v>45862</v>
          </cell>
          <cell r="F334" t="str">
            <v/>
          </cell>
          <cell r="G334" t="str">
            <v/>
          </cell>
          <cell r="H334">
            <v>-139321.09</v>
          </cell>
          <cell r="I334" t="str">
            <v>INR</v>
          </cell>
          <cell r="J334">
            <v>-1620</v>
          </cell>
        </row>
        <row r="335">
          <cell r="C335">
            <v>246779412163</v>
          </cell>
          <cell r="D335" t="str">
            <v>DR</v>
          </cell>
          <cell r="E335">
            <v>45730</v>
          </cell>
          <cell r="F335" t="str">
            <v/>
          </cell>
          <cell r="G335" t="str">
            <v/>
          </cell>
          <cell r="H335">
            <v>5488.42</v>
          </cell>
          <cell r="I335" t="str">
            <v>INR</v>
          </cell>
          <cell r="J335">
            <v>63.31</v>
          </cell>
        </row>
        <row r="336">
          <cell r="C336">
            <v>246779412164</v>
          </cell>
          <cell r="D336" t="str">
            <v>DR</v>
          </cell>
          <cell r="E336">
            <v>45730</v>
          </cell>
          <cell r="F336" t="str">
            <v/>
          </cell>
          <cell r="G336" t="str">
            <v/>
          </cell>
          <cell r="H336">
            <v>5488.42</v>
          </cell>
          <cell r="I336" t="str">
            <v>INR</v>
          </cell>
          <cell r="J336">
            <v>63.31</v>
          </cell>
        </row>
        <row r="337">
          <cell r="C337">
            <v>246779412311</v>
          </cell>
          <cell r="D337" t="str">
            <v>DR</v>
          </cell>
          <cell r="E337">
            <v>45730</v>
          </cell>
          <cell r="F337" t="str">
            <v/>
          </cell>
          <cell r="G337" t="str">
            <v/>
          </cell>
          <cell r="H337">
            <v>5488.42</v>
          </cell>
          <cell r="I337" t="str">
            <v>INR</v>
          </cell>
          <cell r="J337">
            <v>63.31</v>
          </cell>
        </row>
        <row r="338">
          <cell r="C338">
            <v>246779412312</v>
          </cell>
          <cell r="D338" t="str">
            <v>DR</v>
          </cell>
          <cell r="E338">
            <v>45730</v>
          </cell>
          <cell r="F338" t="str">
            <v/>
          </cell>
          <cell r="G338" t="str">
            <v/>
          </cell>
          <cell r="H338">
            <v>5488.42</v>
          </cell>
          <cell r="I338" t="str">
            <v>INR</v>
          </cell>
          <cell r="J338">
            <v>63.31</v>
          </cell>
        </row>
        <row r="339">
          <cell r="C339">
            <v>256779413136</v>
          </cell>
          <cell r="D339" t="str">
            <v>DR</v>
          </cell>
          <cell r="E339">
            <v>45787</v>
          </cell>
          <cell r="F339" t="str">
            <v/>
          </cell>
          <cell r="G339" t="str">
            <v/>
          </cell>
          <cell r="H339">
            <v>191573.84</v>
          </cell>
          <cell r="I339" t="str">
            <v>INR</v>
          </cell>
          <cell r="J339">
            <v>1975.32</v>
          </cell>
        </row>
        <row r="340">
          <cell r="C340">
            <v>256779414843</v>
          </cell>
          <cell r="D340" t="str">
            <v>DR</v>
          </cell>
          <cell r="E340">
            <v>45842</v>
          </cell>
          <cell r="F340" t="str">
            <v/>
          </cell>
          <cell r="G340" t="str">
            <v/>
          </cell>
          <cell r="H340">
            <v>139321.09</v>
          </cell>
          <cell r="I340" t="str">
            <v>INR</v>
          </cell>
          <cell r="J340">
            <v>1620</v>
          </cell>
        </row>
        <row r="341">
          <cell r="C341" t="e">
            <v>#N/A</v>
          </cell>
          <cell r="D341" t="str">
            <v>DY</v>
          </cell>
          <cell r="E341">
            <v>45976</v>
          </cell>
          <cell r="F341" t="str">
            <v/>
          </cell>
          <cell r="G341" t="str">
            <v/>
          </cell>
          <cell r="H341">
            <v>0</v>
          </cell>
          <cell r="I341" t="str">
            <v>INR</v>
          </cell>
          <cell r="J341" t="e">
            <v>#N/A</v>
          </cell>
        </row>
        <row r="342">
          <cell r="C342">
            <v>256779421877</v>
          </cell>
          <cell r="D342" t="str">
            <v>DG</v>
          </cell>
          <cell r="E342">
            <v>45923</v>
          </cell>
          <cell r="F342" t="str">
            <v/>
          </cell>
          <cell r="G342" t="str">
            <v/>
          </cell>
          <cell r="H342">
            <v>-169878.84</v>
          </cell>
          <cell r="I342" t="str">
            <v>INR</v>
          </cell>
          <cell r="J342">
            <v>-1674</v>
          </cell>
        </row>
        <row r="343">
          <cell r="C343">
            <v>256779415892</v>
          </cell>
          <cell r="D343" t="str">
            <v>DR</v>
          </cell>
          <cell r="E343">
            <v>45862</v>
          </cell>
          <cell r="F343" t="str">
            <v/>
          </cell>
          <cell r="G343" t="str">
            <v/>
          </cell>
          <cell r="H343">
            <v>169878.84</v>
          </cell>
          <cell r="I343" t="str">
            <v>INR</v>
          </cell>
          <cell r="J343">
            <v>1674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41"/>
  <sheetViews>
    <sheetView tabSelected="1" zoomScale="85" zoomScaleNormal="85" workbookViewId="0">
      <selection activeCell="K2" sqref="K2"/>
    </sheetView>
  </sheetViews>
  <sheetFormatPr defaultRowHeight="13.2" x14ac:dyDescent="0.25"/>
  <cols>
    <col min="1" max="1" width="10" bestFit="1" customWidth="1"/>
    <col min="2" max="2" width="18.5546875" bestFit="1" customWidth="1"/>
    <col min="3" max="3" width="17" bestFit="1" customWidth="1"/>
    <col min="4" max="4" width="14" bestFit="1" customWidth="1"/>
    <col min="5" max="5" width="15" bestFit="1" customWidth="1"/>
    <col min="6" max="6" width="14" bestFit="1" customWidth="1"/>
    <col min="7" max="7" width="15.21875" bestFit="1" customWidth="1"/>
    <col min="8" max="8" width="11.88671875" bestFit="1" customWidth="1"/>
    <col min="9" max="12" width="11" customWidth="1"/>
    <col min="13" max="13" width="12" bestFit="1" customWidth="1"/>
    <col min="14" max="14" width="10" bestFit="1" customWidth="1"/>
    <col min="15" max="15" width="13" bestFit="1" customWidth="1"/>
    <col min="16" max="16" width="11" bestFit="1" customWidth="1"/>
    <col min="17" max="17" width="22" bestFit="1" customWidth="1"/>
    <col min="18" max="18" width="19" bestFit="1" customWidth="1"/>
    <col min="19" max="19" width="39" bestFit="1" customWidth="1"/>
    <col min="20" max="20" width="17" bestFit="1" customWidth="1"/>
    <col min="21" max="21" width="13" bestFit="1" customWidth="1"/>
    <col min="22" max="22" width="17" bestFit="1" customWidth="1"/>
    <col min="23" max="23" width="9" bestFit="1" customWidth="1"/>
    <col min="24" max="24" width="15" bestFit="1" customWidth="1"/>
    <col min="25" max="25" width="6" bestFit="1" customWidth="1"/>
    <col min="26" max="26" width="14" bestFit="1" customWidth="1"/>
  </cols>
  <sheetData>
    <row r="1" spans="1:26" x14ac:dyDescent="0.25">
      <c r="B1" t="s">
        <v>465</v>
      </c>
      <c r="G1" s="9">
        <f>SUBTOTAL(9,G3:G141)</f>
        <v>-15299033.37000001</v>
      </c>
      <c r="H1" s="9">
        <f>SUBTOTAL(9,H3:H141)</f>
        <v>572661.33000000007</v>
      </c>
      <c r="N1" t="s">
        <v>465</v>
      </c>
      <c r="R1" t="s">
        <v>465</v>
      </c>
    </row>
    <row r="2" spans="1:26" ht="52.8" x14ac:dyDescent="0.25">
      <c r="A2" s="1" t="s">
        <v>443</v>
      </c>
      <c r="B2" s="7" t="s">
        <v>444</v>
      </c>
      <c r="C2" s="1" t="s">
        <v>445</v>
      </c>
      <c r="D2" s="1" t="s">
        <v>446</v>
      </c>
      <c r="E2" s="1" t="s">
        <v>447</v>
      </c>
      <c r="F2" s="1" t="s">
        <v>448</v>
      </c>
      <c r="G2" s="1" t="s">
        <v>449</v>
      </c>
      <c r="H2" s="8" t="s">
        <v>450</v>
      </c>
      <c r="I2" s="8" t="s">
        <v>466</v>
      </c>
      <c r="J2" s="8" t="s">
        <v>467</v>
      </c>
      <c r="K2" s="8" t="s">
        <v>468</v>
      </c>
      <c r="L2" s="8"/>
      <c r="M2" s="4" t="s">
        <v>451</v>
      </c>
      <c r="N2" s="8" t="s">
        <v>452</v>
      </c>
      <c r="O2" s="1" t="s">
        <v>453</v>
      </c>
      <c r="P2" s="1" t="s">
        <v>454</v>
      </c>
      <c r="Q2" s="1" t="s">
        <v>455</v>
      </c>
      <c r="R2" s="7" t="s">
        <v>456</v>
      </c>
      <c r="S2" s="1" t="s">
        <v>457</v>
      </c>
      <c r="T2" s="1" t="s">
        <v>458</v>
      </c>
      <c r="U2" s="1" t="s">
        <v>459</v>
      </c>
      <c r="V2" s="1" t="s">
        <v>460</v>
      </c>
      <c r="W2" s="4" t="s">
        <v>461</v>
      </c>
      <c r="X2" s="1" t="s">
        <v>462</v>
      </c>
      <c r="Y2" s="4" t="s">
        <v>463</v>
      </c>
      <c r="Z2" s="1" t="s">
        <v>464</v>
      </c>
    </row>
    <row r="3" spans="1:26" x14ac:dyDescent="0.25">
      <c r="A3" t="s">
        <v>0</v>
      </c>
      <c r="B3" s="5">
        <v>246788410023</v>
      </c>
      <c r="C3" t="s">
        <v>2</v>
      </c>
      <c r="D3" s="2">
        <v>45904</v>
      </c>
      <c r="E3" s="2">
        <v>45707</v>
      </c>
      <c r="F3" s="2">
        <v>45737</v>
      </c>
      <c r="G3" s="3">
        <v>-170940.5</v>
      </c>
      <c r="H3" s="3">
        <v>-1941.83</v>
      </c>
      <c r="I3" s="3" t="e">
        <f>VLOOKUP(B3,[1]Workings!$C:$J,8,0)</f>
        <v>#N/A</v>
      </c>
      <c r="J3" s="3" t="e">
        <f>H3+I3</f>
        <v>#N/A</v>
      </c>
      <c r="K3" s="3" t="s">
        <v>472</v>
      </c>
      <c r="L3" s="3"/>
      <c r="M3" t="s">
        <v>3</v>
      </c>
      <c r="N3" t="s">
        <v>4</v>
      </c>
      <c r="O3" t="s">
        <v>5</v>
      </c>
      <c r="P3" t="s">
        <v>7</v>
      </c>
      <c r="Q3" t="s">
        <v>8</v>
      </c>
      <c r="R3" s="6">
        <v>4700109752</v>
      </c>
      <c r="S3" t="s">
        <v>9</v>
      </c>
      <c r="T3" t="s">
        <v>1</v>
      </c>
      <c r="U3" t="s">
        <v>10</v>
      </c>
      <c r="V3" t="s">
        <v>6</v>
      </c>
      <c r="W3" t="s">
        <v>11</v>
      </c>
      <c r="X3" s="2">
        <v>45938</v>
      </c>
      <c r="Y3" t="s">
        <v>12</v>
      </c>
      <c r="Z3" t="s">
        <v>13</v>
      </c>
    </row>
    <row r="4" spans="1:26" x14ac:dyDescent="0.25">
      <c r="A4" t="s">
        <v>0</v>
      </c>
      <c r="B4" s="5">
        <v>246779411374</v>
      </c>
      <c r="C4" t="s">
        <v>17</v>
      </c>
      <c r="D4" s="2">
        <v>45807</v>
      </c>
      <c r="E4" s="2">
        <v>45730</v>
      </c>
      <c r="F4" s="2">
        <v>45760</v>
      </c>
      <c r="G4" s="3">
        <v>-5319.03</v>
      </c>
      <c r="H4" s="3">
        <v>-62.23</v>
      </c>
      <c r="I4" s="3">
        <f>VLOOKUP(B4,[1]Workings!$C:$J,8,0)</f>
        <v>63.31</v>
      </c>
      <c r="J4" s="3">
        <f t="shared" ref="J4:J67" si="0">H4+I4</f>
        <v>1.0800000000000054</v>
      </c>
      <c r="K4" s="3" t="s">
        <v>469</v>
      </c>
      <c r="L4" s="3"/>
      <c r="M4" t="s">
        <v>3</v>
      </c>
      <c r="N4" t="s">
        <v>4</v>
      </c>
      <c r="O4" t="s">
        <v>5</v>
      </c>
      <c r="P4" t="s">
        <v>7</v>
      </c>
      <c r="Q4" t="s">
        <v>15</v>
      </c>
      <c r="R4" s="6">
        <v>4700106442</v>
      </c>
      <c r="S4" t="s">
        <v>9</v>
      </c>
      <c r="T4" t="s">
        <v>14</v>
      </c>
      <c r="U4" t="s">
        <v>10</v>
      </c>
      <c r="V4" t="s">
        <v>6</v>
      </c>
      <c r="W4" t="s">
        <v>11</v>
      </c>
      <c r="X4" s="2">
        <v>45813</v>
      </c>
      <c r="Y4" t="s">
        <v>12</v>
      </c>
      <c r="Z4" t="s">
        <v>13</v>
      </c>
    </row>
    <row r="5" spans="1:26" x14ac:dyDescent="0.25">
      <c r="A5" t="s">
        <v>0</v>
      </c>
      <c r="B5" s="5">
        <v>246779412163</v>
      </c>
      <c r="C5" t="s">
        <v>19</v>
      </c>
      <c r="D5" s="2">
        <v>45820</v>
      </c>
      <c r="E5" s="2">
        <v>45730</v>
      </c>
      <c r="F5" s="2">
        <v>45760</v>
      </c>
      <c r="G5" s="3">
        <v>-5323.46</v>
      </c>
      <c r="H5" s="3">
        <v>-62.23</v>
      </c>
      <c r="I5" s="3">
        <f>VLOOKUP(B5,[1]Workings!$C:$J,8,0)</f>
        <v>63.31</v>
      </c>
      <c r="J5" s="3">
        <f t="shared" si="0"/>
        <v>1.0800000000000054</v>
      </c>
      <c r="K5" s="3" t="s">
        <v>469</v>
      </c>
      <c r="L5" s="3"/>
      <c r="M5" t="s">
        <v>3</v>
      </c>
      <c r="N5" t="s">
        <v>4</v>
      </c>
      <c r="O5" t="s">
        <v>5</v>
      </c>
      <c r="P5" t="s">
        <v>7</v>
      </c>
      <c r="Q5" t="s">
        <v>20</v>
      </c>
      <c r="R5" s="6">
        <v>4700106492</v>
      </c>
      <c r="S5" t="s">
        <v>9</v>
      </c>
      <c r="T5" t="s">
        <v>18</v>
      </c>
      <c r="U5" t="s">
        <v>10</v>
      </c>
      <c r="V5" t="s">
        <v>6</v>
      </c>
      <c r="W5" t="s">
        <v>11</v>
      </c>
      <c r="X5" s="2">
        <v>45835</v>
      </c>
      <c r="Y5" t="s">
        <v>12</v>
      </c>
      <c r="Z5" t="s">
        <v>13</v>
      </c>
    </row>
    <row r="6" spans="1:26" x14ac:dyDescent="0.25">
      <c r="A6" t="s">
        <v>0</v>
      </c>
      <c r="B6" s="5">
        <v>246779412311</v>
      </c>
      <c r="C6" t="s">
        <v>22</v>
      </c>
      <c r="D6" s="2">
        <v>45820</v>
      </c>
      <c r="E6" s="2">
        <v>45730</v>
      </c>
      <c r="F6" s="2">
        <v>45760</v>
      </c>
      <c r="G6" s="3">
        <v>-5323.46</v>
      </c>
      <c r="H6" s="3">
        <v>-62.23</v>
      </c>
      <c r="I6" s="3">
        <f>VLOOKUP(B6,[1]Workings!$C:$J,8,0)</f>
        <v>63.31</v>
      </c>
      <c r="J6" s="3">
        <f t="shared" si="0"/>
        <v>1.0800000000000054</v>
      </c>
      <c r="K6" s="3" t="s">
        <v>469</v>
      </c>
      <c r="L6" s="3"/>
      <c r="M6" t="s">
        <v>3</v>
      </c>
      <c r="N6" t="s">
        <v>4</v>
      </c>
      <c r="O6" t="s">
        <v>5</v>
      </c>
      <c r="P6" t="s">
        <v>7</v>
      </c>
      <c r="Q6" t="s">
        <v>23</v>
      </c>
      <c r="R6" s="6">
        <v>4700106492</v>
      </c>
      <c r="S6" t="s">
        <v>9</v>
      </c>
      <c r="T6" t="s">
        <v>21</v>
      </c>
      <c r="U6" t="s">
        <v>10</v>
      </c>
      <c r="V6" t="s">
        <v>6</v>
      </c>
      <c r="W6" t="s">
        <v>11</v>
      </c>
      <c r="X6" s="2">
        <v>45835</v>
      </c>
      <c r="Y6" t="s">
        <v>12</v>
      </c>
      <c r="Z6" t="s">
        <v>13</v>
      </c>
    </row>
    <row r="7" spans="1:26" x14ac:dyDescent="0.25">
      <c r="A7" t="s">
        <v>0</v>
      </c>
      <c r="B7" s="5">
        <v>246779412312</v>
      </c>
      <c r="C7" t="s">
        <v>25</v>
      </c>
      <c r="D7" s="2">
        <v>45820</v>
      </c>
      <c r="E7" s="2">
        <v>45730</v>
      </c>
      <c r="F7" s="2">
        <v>45760</v>
      </c>
      <c r="G7" s="3">
        <v>-5323.46</v>
      </c>
      <c r="H7" s="3">
        <v>-62.23</v>
      </c>
      <c r="I7" s="3">
        <f>VLOOKUP(B7,[1]Workings!$C:$J,8,0)</f>
        <v>63.31</v>
      </c>
      <c r="J7" s="3">
        <f t="shared" si="0"/>
        <v>1.0800000000000054</v>
      </c>
      <c r="K7" s="3" t="s">
        <v>469</v>
      </c>
      <c r="L7" s="3"/>
      <c r="M7" t="s">
        <v>3</v>
      </c>
      <c r="N7" t="s">
        <v>4</v>
      </c>
      <c r="O7" t="s">
        <v>5</v>
      </c>
      <c r="P7" t="s">
        <v>7</v>
      </c>
      <c r="Q7" t="s">
        <v>26</v>
      </c>
      <c r="R7" s="6">
        <v>4700106492</v>
      </c>
      <c r="S7" t="s">
        <v>9</v>
      </c>
      <c r="T7" t="s">
        <v>24</v>
      </c>
      <c r="U7" t="s">
        <v>10</v>
      </c>
      <c r="V7" t="s">
        <v>6</v>
      </c>
      <c r="W7" t="s">
        <v>11</v>
      </c>
      <c r="X7" s="2">
        <v>45835</v>
      </c>
      <c r="Y7" t="s">
        <v>12</v>
      </c>
      <c r="Z7" t="s">
        <v>13</v>
      </c>
    </row>
    <row r="8" spans="1:26" x14ac:dyDescent="0.25">
      <c r="A8" t="s">
        <v>0</v>
      </c>
      <c r="B8" s="5">
        <v>246779412164</v>
      </c>
      <c r="C8" t="s">
        <v>28</v>
      </c>
      <c r="D8" s="2">
        <v>45820</v>
      </c>
      <c r="E8" s="2">
        <v>45730</v>
      </c>
      <c r="F8" s="2">
        <v>45760</v>
      </c>
      <c r="G8" s="3">
        <v>-5323.46</v>
      </c>
      <c r="H8" s="3">
        <v>-62.23</v>
      </c>
      <c r="I8" s="3">
        <f>VLOOKUP(B8,[1]Workings!$C:$J,8,0)</f>
        <v>63.31</v>
      </c>
      <c r="J8" s="3">
        <f t="shared" si="0"/>
        <v>1.0800000000000054</v>
      </c>
      <c r="K8" s="3" t="s">
        <v>469</v>
      </c>
      <c r="L8" s="3"/>
      <c r="M8" t="s">
        <v>3</v>
      </c>
      <c r="N8" t="s">
        <v>4</v>
      </c>
      <c r="O8" t="s">
        <v>5</v>
      </c>
      <c r="P8" t="s">
        <v>7</v>
      </c>
      <c r="Q8" t="s">
        <v>29</v>
      </c>
      <c r="R8" s="6">
        <v>4700106492</v>
      </c>
      <c r="S8" t="s">
        <v>9</v>
      </c>
      <c r="T8" t="s">
        <v>27</v>
      </c>
      <c r="U8" t="s">
        <v>10</v>
      </c>
      <c r="V8" t="s">
        <v>6</v>
      </c>
      <c r="W8" t="s">
        <v>11</v>
      </c>
      <c r="X8" s="2">
        <v>45835</v>
      </c>
      <c r="Y8" t="s">
        <v>12</v>
      </c>
      <c r="Z8" t="s">
        <v>13</v>
      </c>
    </row>
    <row r="9" spans="1:26" x14ac:dyDescent="0.25">
      <c r="A9" t="s">
        <v>0</v>
      </c>
      <c r="B9" s="5">
        <v>246779411375</v>
      </c>
      <c r="C9" t="s">
        <v>31</v>
      </c>
      <c r="D9" s="2">
        <v>45820</v>
      </c>
      <c r="E9" s="2">
        <v>45730</v>
      </c>
      <c r="F9" s="2">
        <v>45760</v>
      </c>
      <c r="G9" s="3">
        <v>-5323.46</v>
      </c>
      <c r="H9" s="3">
        <v>-62.23</v>
      </c>
      <c r="I9" s="3">
        <f>VLOOKUP(B9,[1]Workings!$C:$J,8,0)</f>
        <v>63.31</v>
      </c>
      <c r="J9" s="3">
        <f t="shared" si="0"/>
        <v>1.0800000000000054</v>
      </c>
      <c r="K9" s="3" t="s">
        <v>469</v>
      </c>
      <c r="L9" s="3"/>
      <c r="M9" t="s">
        <v>3</v>
      </c>
      <c r="N9" t="s">
        <v>4</v>
      </c>
      <c r="O9" t="s">
        <v>5</v>
      </c>
      <c r="P9" t="s">
        <v>7</v>
      </c>
      <c r="Q9" t="s">
        <v>32</v>
      </c>
      <c r="R9" s="6">
        <v>4700106492</v>
      </c>
      <c r="S9" t="s">
        <v>9</v>
      </c>
      <c r="T9" t="s">
        <v>30</v>
      </c>
      <c r="U9" t="s">
        <v>10</v>
      </c>
      <c r="V9" t="s">
        <v>6</v>
      </c>
      <c r="W9" t="s">
        <v>11</v>
      </c>
      <c r="X9" s="2">
        <v>45835</v>
      </c>
      <c r="Y9" t="s">
        <v>12</v>
      </c>
      <c r="Z9" t="s">
        <v>13</v>
      </c>
    </row>
    <row r="10" spans="1:26" x14ac:dyDescent="0.25">
      <c r="A10" t="s">
        <v>0</v>
      </c>
      <c r="B10" s="5">
        <v>246779411946</v>
      </c>
      <c r="C10" t="s">
        <v>34</v>
      </c>
      <c r="D10" s="2">
        <v>45820</v>
      </c>
      <c r="E10" s="2">
        <v>45733</v>
      </c>
      <c r="F10" s="2">
        <v>45763</v>
      </c>
      <c r="G10" s="3">
        <v>-5284.04</v>
      </c>
      <c r="H10" s="3">
        <v>-61.77</v>
      </c>
      <c r="I10" s="3">
        <f>VLOOKUP(B10,[1]Workings!$C:$J,8,0)</f>
        <v>62.849999999999994</v>
      </c>
      <c r="J10" s="3">
        <f t="shared" si="0"/>
        <v>1.0799999999999912</v>
      </c>
      <c r="K10" s="3" t="s">
        <v>469</v>
      </c>
      <c r="L10" s="3"/>
      <c r="M10" t="s">
        <v>3</v>
      </c>
      <c r="N10" t="s">
        <v>35</v>
      </c>
      <c r="O10" t="s">
        <v>5</v>
      </c>
      <c r="P10" t="s">
        <v>7</v>
      </c>
      <c r="Q10" t="s">
        <v>36</v>
      </c>
      <c r="R10" s="6">
        <v>4700106492</v>
      </c>
      <c r="S10" t="s">
        <v>9</v>
      </c>
      <c r="T10" t="s">
        <v>33</v>
      </c>
      <c r="U10" t="s">
        <v>10</v>
      </c>
      <c r="V10" t="s">
        <v>6</v>
      </c>
      <c r="W10" t="s">
        <v>11</v>
      </c>
      <c r="X10" s="2">
        <v>45835</v>
      </c>
      <c r="Y10" t="s">
        <v>12</v>
      </c>
      <c r="Z10" t="s">
        <v>13</v>
      </c>
    </row>
    <row r="11" spans="1:26" x14ac:dyDescent="0.25">
      <c r="A11" t="s">
        <v>0</v>
      </c>
      <c r="B11" s="5">
        <v>246779411766</v>
      </c>
      <c r="C11" t="s">
        <v>38</v>
      </c>
      <c r="D11" s="2">
        <v>45820</v>
      </c>
      <c r="E11" s="2">
        <v>45733</v>
      </c>
      <c r="F11" s="2">
        <v>45763</v>
      </c>
      <c r="G11" s="3">
        <v>-5308.89</v>
      </c>
      <c r="H11" s="3">
        <v>-62.06</v>
      </c>
      <c r="I11" s="3">
        <f>VLOOKUP(B11,[1]Workings!$C:$J,8,0)</f>
        <v>63.14</v>
      </c>
      <c r="J11" s="3">
        <f t="shared" si="0"/>
        <v>1.0799999999999983</v>
      </c>
      <c r="K11" s="3" t="s">
        <v>469</v>
      </c>
      <c r="L11" s="3"/>
      <c r="M11" t="s">
        <v>3</v>
      </c>
      <c r="N11" t="s">
        <v>4</v>
      </c>
      <c r="O11" t="s">
        <v>5</v>
      </c>
      <c r="P11" t="s">
        <v>7</v>
      </c>
      <c r="Q11" t="s">
        <v>39</v>
      </c>
      <c r="R11" s="6">
        <v>4700106492</v>
      </c>
      <c r="S11" t="s">
        <v>9</v>
      </c>
      <c r="T11" t="s">
        <v>37</v>
      </c>
      <c r="U11" t="s">
        <v>10</v>
      </c>
      <c r="V11" t="s">
        <v>6</v>
      </c>
      <c r="W11" t="s">
        <v>11</v>
      </c>
      <c r="X11" s="2">
        <v>45835</v>
      </c>
      <c r="Y11" t="s">
        <v>12</v>
      </c>
      <c r="Z11" t="s">
        <v>13</v>
      </c>
    </row>
    <row r="12" spans="1:26" x14ac:dyDescent="0.25">
      <c r="A12" t="s">
        <v>0</v>
      </c>
      <c r="B12" s="5">
        <v>246779412074</v>
      </c>
      <c r="C12" t="s">
        <v>41</v>
      </c>
      <c r="D12" s="2">
        <v>45820</v>
      </c>
      <c r="E12" s="2">
        <v>45723</v>
      </c>
      <c r="F12" s="2">
        <v>45763</v>
      </c>
      <c r="G12" s="3">
        <v>-5215.04</v>
      </c>
      <c r="H12" s="3">
        <v>-60.97</v>
      </c>
      <c r="I12" s="3">
        <f>VLOOKUP(B12,[1]Workings!$C:$J,8,0)</f>
        <v>62.02</v>
      </c>
      <c r="J12" s="3">
        <f t="shared" si="0"/>
        <v>1.0500000000000043</v>
      </c>
      <c r="K12" s="3" t="s">
        <v>469</v>
      </c>
      <c r="L12" s="3"/>
      <c r="M12" t="s">
        <v>3</v>
      </c>
      <c r="N12" t="s">
        <v>4</v>
      </c>
      <c r="O12" t="s">
        <v>5</v>
      </c>
      <c r="P12" t="s">
        <v>7</v>
      </c>
      <c r="Q12" t="s">
        <v>42</v>
      </c>
      <c r="R12" s="6">
        <v>4700106492</v>
      </c>
      <c r="S12" t="s">
        <v>9</v>
      </c>
      <c r="T12" t="s">
        <v>40</v>
      </c>
      <c r="U12" t="s">
        <v>10</v>
      </c>
      <c r="V12" t="s">
        <v>6</v>
      </c>
      <c r="W12" t="s">
        <v>11</v>
      </c>
      <c r="X12" s="2">
        <v>45835</v>
      </c>
      <c r="Y12" t="s">
        <v>12</v>
      </c>
      <c r="Z12" t="s">
        <v>13</v>
      </c>
    </row>
    <row r="13" spans="1:26" x14ac:dyDescent="0.25">
      <c r="A13" t="s">
        <v>0</v>
      </c>
      <c r="B13" s="5">
        <v>246779412076</v>
      </c>
      <c r="C13" t="s">
        <v>44</v>
      </c>
      <c r="D13" s="2">
        <v>45820</v>
      </c>
      <c r="E13" s="2">
        <v>45733</v>
      </c>
      <c r="F13" s="2">
        <v>45763</v>
      </c>
      <c r="G13" s="3">
        <v>-5215.04</v>
      </c>
      <c r="H13" s="3">
        <v>-60.97</v>
      </c>
      <c r="I13" s="3">
        <f>VLOOKUP(B13,[1]Workings!$C:$J,8,0)</f>
        <v>62.02</v>
      </c>
      <c r="J13" s="3">
        <f t="shared" si="0"/>
        <v>1.0500000000000043</v>
      </c>
      <c r="K13" s="3" t="s">
        <v>469</v>
      </c>
      <c r="L13" s="3"/>
      <c r="M13" t="s">
        <v>3</v>
      </c>
      <c r="N13" t="s">
        <v>4</v>
      </c>
      <c r="O13" t="s">
        <v>5</v>
      </c>
      <c r="P13" t="s">
        <v>7</v>
      </c>
      <c r="Q13" t="s">
        <v>45</v>
      </c>
      <c r="R13" s="6">
        <v>4700106492</v>
      </c>
      <c r="S13" t="s">
        <v>9</v>
      </c>
      <c r="T13" t="s">
        <v>43</v>
      </c>
      <c r="U13" t="s">
        <v>10</v>
      </c>
      <c r="V13" t="s">
        <v>6</v>
      </c>
      <c r="W13" t="s">
        <v>11</v>
      </c>
      <c r="X13" s="2">
        <v>45835</v>
      </c>
      <c r="Y13" t="s">
        <v>12</v>
      </c>
      <c r="Z13" t="s">
        <v>13</v>
      </c>
    </row>
    <row r="14" spans="1:26" x14ac:dyDescent="0.25">
      <c r="A14" t="s">
        <v>0</v>
      </c>
      <c r="B14" s="5">
        <v>246779412073</v>
      </c>
      <c r="C14" t="s">
        <v>47</v>
      </c>
      <c r="D14" s="2">
        <v>45820</v>
      </c>
      <c r="E14" s="2">
        <v>45733</v>
      </c>
      <c r="F14" s="2">
        <v>45763</v>
      </c>
      <c r="G14" s="3">
        <v>-5446.34</v>
      </c>
      <c r="H14" s="3">
        <v>-63.67</v>
      </c>
      <c r="I14" s="3">
        <f>VLOOKUP(B14,[1]Workings!$C:$J,8,0)</f>
        <v>64.77</v>
      </c>
      <c r="J14" s="3">
        <f t="shared" si="0"/>
        <v>1.0999999999999943</v>
      </c>
      <c r="K14" s="3" t="s">
        <v>469</v>
      </c>
      <c r="L14" s="3"/>
      <c r="M14" t="s">
        <v>3</v>
      </c>
      <c r="N14" t="s">
        <v>4</v>
      </c>
      <c r="O14" t="s">
        <v>5</v>
      </c>
      <c r="P14" t="s">
        <v>7</v>
      </c>
      <c r="Q14" t="s">
        <v>48</v>
      </c>
      <c r="R14" s="6">
        <v>4700106492</v>
      </c>
      <c r="S14" t="s">
        <v>9</v>
      </c>
      <c r="T14" t="s">
        <v>46</v>
      </c>
      <c r="U14" t="s">
        <v>10</v>
      </c>
      <c r="V14" t="s">
        <v>6</v>
      </c>
      <c r="W14" t="s">
        <v>11</v>
      </c>
      <c r="X14" s="2">
        <v>45835</v>
      </c>
      <c r="Y14" t="s">
        <v>12</v>
      </c>
      <c r="Z14" t="s">
        <v>13</v>
      </c>
    </row>
    <row r="15" spans="1:26" x14ac:dyDescent="0.25">
      <c r="A15" t="s">
        <v>0</v>
      </c>
      <c r="B15" s="5">
        <v>246779412075</v>
      </c>
      <c r="C15" t="s">
        <v>50</v>
      </c>
      <c r="D15" s="2">
        <v>45820</v>
      </c>
      <c r="E15" s="2">
        <v>45733</v>
      </c>
      <c r="F15" s="2">
        <v>45763</v>
      </c>
      <c r="G15" s="3">
        <v>-5215.04</v>
      </c>
      <c r="H15" s="3">
        <v>-60.97</v>
      </c>
      <c r="I15" s="3">
        <f>VLOOKUP(B15,[1]Workings!$C:$J,8,0)</f>
        <v>62.02</v>
      </c>
      <c r="J15" s="3">
        <f t="shared" si="0"/>
        <v>1.0500000000000043</v>
      </c>
      <c r="K15" s="3" t="s">
        <v>469</v>
      </c>
      <c r="L15" s="3"/>
      <c r="M15" t="s">
        <v>3</v>
      </c>
      <c r="N15" t="s">
        <v>4</v>
      </c>
      <c r="O15" t="s">
        <v>5</v>
      </c>
      <c r="P15" t="s">
        <v>7</v>
      </c>
      <c r="Q15" t="s">
        <v>51</v>
      </c>
      <c r="R15" s="6">
        <v>4700106492</v>
      </c>
      <c r="S15" t="s">
        <v>9</v>
      </c>
      <c r="T15" t="s">
        <v>49</v>
      </c>
      <c r="U15" t="s">
        <v>10</v>
      </c>
      <c r="V15" t="s">
        <v>6</v>
      </c>
      <c r="W15" t="s">
        <v>11</v>
      </c>
      <c r="X15" s="2">
        <v>45835</v>
      </c>
      <c r="Y15" t="s">
        <v>12</v>
      </c>
      <c r="Z15" t="s">
        <v>13</v>
      </c>
    </row>
    <row r="16" spans="1:26" x14ac:dyDescent="0.25">
      <c r="A16" t="s">
        <v>0</v>
      </c>
      <c r="B16" s="5">
        <v>246779411768</v>
      </c>
      <c r="C16" t="s">
        <v>53</v>
      </c>
      <c r="D16" s="2">
        <v>45820</v>
      </c>
      <c r="E16" s="2">
        <v>45733</v>
      </c>
      <c r="F16" s="2">
        <v>45763</v>
      </c>
      <c r="G16" s="3">
        <v>-2123.61</v>
      </c>
      <c r="H16" s="3">
        <v>-24.83</v>
      </c>
      <c r="I16" s="3">
        <f>VLOOKUP(B16,[1]Workings!$C:$J,8,0)</f>
        <v>25.26</v>
      </c>
      <c r="J16" s="3">
        <f t="shared" si="0"/>
        <v>0.43000000000000327</v>
      </c>
      <c r="K16" s="3" t="s">
        <v>469</v>
      </c>
      <c r="L16" s="3"/>
      <c r="M16" t="s">
        <v>3</v>
      </c>
      <c r="N16" t="s">
        <v>4</v>
      </c>
      <c r="O16" t="s">
        <v>5</v>
      </c>
      <c r="P16" t="s">
        <v>7</v>
      </c>
      <c r="Q16" t="s">
        <v>54</v>
      </c>
      <c r="R16" s="6">
        <v>4700106492</v>
      </c>
      <c r="S16" t="s">
        <v>9</v>
      </c>
      <c r="T16" t="s">
        <v>52</v>
      </c>
      <c r="U16" t="s">
        <v>10</v>
      </c>
      <c r="V16" t="s">
        <v>6</v>
      </c>
      <c r="W16" t="s">
        <v>11</v>
      </c>
      <c r="X16" s="2">
        <v>45835</v>
      </c>
      <c r="Y16" t="s">
        <v>12</v>
      </c>
      <c r="Z16" t="s">
        <v>13</v>
      </c>
    </row>
    <row r="17" spans="1:26" x14ac:dyDescent="0.25">
      <c r="A17" t="s">
        <v>0</v>
      </c>
      <c r="B17" s="5">
        <v>246779411947</v>
      </c>
      <c r="C17" t="s">
        <v>56</v>
      </c>
      <c r="D17" s="2">
        <v>45820</v>
      </c>
      <c r="E17" s="2">
        <v>45733</v>
      </c>
      <c r="F17" s="2">
        <v>45763</v>
      </c>
      <c r="G17" s="3">
        <v>-5284.04</v>
      </c>
      <c r="H17" s="3">
        <v>-61.77</v>
      </c>
      <c r="I17" s="3">
        <f>VLOOKUP(B17,[1]Workings!$C:$J,8,0)</f>
        <v>62.849999999999994</v>
      </c>
      <c r="J17" s="3">
        <f t="shared" si="0"/>
        <v>1.0799999999999912</v>
      </c>
      <c r="K17" s="3" t="s">
        <v>469</v>
      </c>
      <c r="L17" s="3"/>
      <c r="M17" t="s">
        <v>3</v>
      </c>
      <c r="N17" t="s">
        <v>4</v>
      </c>
      <c r="O17" t="s">
        <v>5</v>
      </c>
      <c r="P17" t="s">
        <v>7</v>
      </c>
      <c r="Q17" t="s">
        <v>57</v>
      </c>
      <c r="R17" s="6">
        <v>4700106492</v>
      </c>
      <c r="S17" t="s">
        <v>9</v>
      </c>
      <c r="T17" t="s">
        <v>55</v>
      </c>
      <c r="U17" t="s">
        <v>10</v>
      </c>
      <c r="V17" t="s">
        <v>6</v>
      </c>
      <c r="W17" t="s">
        <v>11</v>
      </c>
      <c r="X17" s="2">
        <v>45835</v>
      </c>
      <c r="Y17" t="s">
        <v>12</v>
      </c>
      <c r="Z17" t="s">
        <v>13</v>
      </c>
    </row>
    <row r="18" spans="1:26" x14ac:dyDescent="0.25">
      <c r="A18" t="s">
        <v>0</v>
      </c>
      <c r="B18" s="5">
        <v>246779411767</v>
      </c>
      <c r="C18" t="s">
        <v>59</v>
      </c>
      <c r="D18" s="2">
        <v>45820</v>
      </c>
      <c r="E18" s="2">
        <v>45733</v>
      </c>
      <c r="F18" s="2">
        <v>45763</v>
      </c>
      <c r="G18" s="3">
        <v>-5308.89</v>
      </c>
      <c r="H18" s="3">
        <v>-62.06</v>
      </c>
      <c r="I18" s="3">
        <f>VLOOKUP(B18,[1]Workings!$C:$J,8,0)</f>
        <v>63.14</v>
      </c>
      <c r="J18" s="3">
        <f t="shared" si="0"/>
        <v>1.0799999999999983</v>
      </c>
      <c r="K18" s="3" t="s">
        <v>469</v>
      </c>
      <c r="L18" s="3"/>
      <c r="M18" t="s">
        <v>3</v>
      </c>
      <c r="N18" t="s">
        <v>4</v>
      </c>
      <c r="O18" t="s">
        <v>5</v>
      </c>
      <c r="P18" t="s">
        <v>7</v>
      </c>
      <c r="Q18" t="s">
        <v>60</v>
      </c>
      <c r="R18" s="6">
        <v>4700106492</v>
      </c>
      <c r="S18" t="s">
        <v>9</v>
      </c>
      <c r="T18" t="s">
        <v>58</v>
      </c>
      <c r="U18" t="s">
        <v>10</v>
      </c>
      <c r="V18" t="s">
        <v>6</v>
      </c>
      <c r="W18" t="s">
        <v>11</v>
      </c>
      <c r="X18" s="2">
        <v>45835</v>
      </c>
      <c r="Y18" t="s">
        <v>12</v>
      </c>
      <c r="Z18" t="s">
        <v>13</v>
      </c>
    </row>
    <row r="19" spans="1:26" x14ac:dyDescent="0.25">
      <c r="A19" t="s">
        <v>0</v>
      </c>
      <c r="B19" s="5">
        <v>246779412701</v>
      </c>
      <c r="C19" t="s">
        <v>63</v>
      </c>
      <c r="D19" s="2">
        <v>45820</v>
      </c>
      <c r="E19" s="2">
        <v>45735</v>
      </c>
      <c r="F19" s="2">
        <v>45765</v>
      </c>
      <c r="G19" s="3">
        <v>-41981.85</v>
      </c>
      <c r="H19" s="3">
        <v>-490.8</v>
      </c>
      <c r="I19" s="3">
        <f>VLOOKUP(B19,[1]Workings!$C:$J,8,0)</f>
        <v>499.26</v>
      </c>
      <c r="J19" s="3">
        <f t="shared" si="0"/>
        <v>8.4599999999999795</v>
      </c>
      <c r="K19" s="3" t="s">
        <v>469</v>
      </c>
      <c r="L19" s="3"/>
      <c r="M19" t="s">
        <v>3</v>
      </c>
      <c r="N19" t="s">
        <v>4</v>
      </c>
      <c r="O19" t="s">
        <v>5</v>
      </c>
      <c r="P19" t="s">
        <v>7</v>
      </c>
      <c r="Q19" t="s">
        <v>62</v>
      </c>
      <c r="R19" s="6">
        <v>4700106492</v>
      </c>
      <c r="S19" t="s">
        <v>9</v>
      </c>
      <c r="T19" t="s">
        <v>61</v>
      </c>
      <c r="U19" t="s">
        <v>10</v>
      </c>
      <c r="V19" t="s">
        <v>6</v>
      </c>
      <c r="W19" t="s">
        <v>11</v>
      </c>
      <c r="X19" s="2">
        <v>45835</v>
      </c>
      <c r="Y19" t="s">
        <v>12</v>
      </c>
      <c r="Z19" t="s">
        <v>13</v>
      </c>
    </row>
    <row r="20" spans="1:26" x14ac:dyDescent="0.25">
      <c r="A20" t="s">
        <v>0</v>
      </c>
      <c r="B20" s="5">
        <v>246779412775</v>
      </c>
      <c r="C20" t="s">
        <v>65</v>
      </c>
      <c r="D20" s="2">
        <v>45820</v>
      </c>
      <c r="E20" s="2">
        <v>45735</v>
      </c>
      <c r="F20" s="2">
        <v>45765</v>
      </c>
      <c r="G20" s="3">
        <v>-24647.16</v>
      </c>
      <c r="H20" s="3">
        <v>-288.14</v>
      </c>
      <c r="I20" s="3">
        <f>VLOOKUP(B20,[1]Workings!$C:$J,8,0)</f>
        <v>293.11</v>
      </c>
      <c r="J20" s="3">
        <f t="shared" si="0"/>
        <v>4.9700000000000273</v>
      </c>
      <c r="K20" s="3" t="s">
        <v>469</v>
      </c>
      <c r="L20" s="3"/>
      <c r="M20" t="s">
        <v>3</v>
      </c>
      <c r="N20" t="s">
        <v>4</v>
      </c>
      <c r="O20" t="s">
        <v>5</v>
      </c>
      <c r="P20" t="s">
        <v>7</v>
      </c>
      <c r="Q20" t="s">
        <v>66</v>
      </c>
      <c r="R20" s="6">
        <v>4700106492</v>
      </c>
      <c r="S20" t="s">
        <v>9</v>
      </c>
      <c r="T20" t="s">
        <v>64</v>
      </c>
      <c r="U20" t="s">
        <v>10</v>
      </c>
      <c r="V20" t="s">
        <v>6</v>
      </c>
      <c r="W20" t="s">
        <v>11</v>
      </c>
      <c r="X20" s="2">
        <v>45835</v>
      </c>
      <c r="Y20" t="s">
        <v>12</v>
      </c>
      <c r="Z20" t="s">
        <v>13</v>
      </c>
    </row>
    <row r="21" spans="1:26" x14ac:dyDescent="0.25">
      <c r="A21" t="s">
        <v>0</v>
      </c>
      <c r="B21" s="5">
        <v>246779412854</v>
      </c>
      <c r="C21" t="s">
        <v>68</v>
      </c>
      <c r="D21" s="2">
        <v>45820</v>
      </c>
      <c r="E21" s="2">
        <v>45735</v>
      </c>
      <c r="F21" s="2">
        <v>45765</v>
      </c>
      <c r="G21" s="3">
        <v>-17682.03</v>
      </c>
      <c r="H21" s="3">
        <v>-206.71</v>
      </c>
      <c r="I21" s="3">
        <f>VLOOKUP(B21,[1]Workings!$C:$J,8,0)</f>
        <v>210.27999999999997</v>
      </c>
      <c r="J21" s="3">
        <f t="shared" si="0"/>
        <v>3.5699999999999648</v>
      </c>
      <c r="K21" s="3" t="s">
        <v>469</v>
      </c>
      <c r="L21" s="3"/>
      <c r="M21" t="s">
        <v>3</v>
      </c>
      <c r="N21" t="s">
        <v>4</v>
      </c>
      <c r="O21" t="s">
        <v>5</v>
      </c>
      <c r="P21" t="s">
        <v>7</v>
      </c>
      <c r="Q21" t="s">
        <v>69</v>
      </c>
      <c r="R21" s="6">
        <v>4700106492</v>
      </c>
      <c r="S21" t="s">
        <v>9</v>
      </c>
      <c r="T21" t="s">
        <v>67</v>
      </c>
      <c r="U21" t="s">
        <v>10</v>
      </c>
      <c r="V21" t="s">
        <v>6</v>
      </c>
      <c r="W21" t="s">
        <v>11</v>
      </c>
      <c r="X21" s="2">
        <v>45835</v>
      </c>
      <c r="Y21" t="s">
        <v>12</v>
      </c>
      <c r="Z21" t="s">
        <v>13</v>
      </c>
    </row>
    <row r="22" spans="1:26" x14ac:dyDescent="0.25">
      <c r="A22" t="s">
        <v>0</v>
      </c>
      <c r="B22" s="5">
        <v>246779412615</v>
      </c>
      <c r="C22" t="s">
        <v>71</v>
      </c>
      <c r="D22" s="2">
        <v>45820</v>
      </c>
      <c r="E22" s="2">
        <v>45735</v>
      </c>
      <c r="F22" s="2">
        <v>45765</v>
      </c>
      <c r="G22" s="3">
        <v>-39222.400000000001</v>
      </c>
      <c r="H22" s="3">
        <v>-458.54</v>
      </c>
      <c r="I22" s="3">
        <f>VLOOKUP(B22,[1]Workings!$C:$J,8,0)</f>
        <v>466.45000000000005</v>
      </c>
      <c r="J22" s="3">
        <f t="shared" si="0"/>
        <v>7.910000000000025</v>
      </c>
      <c r="K22" s="3" t="s">
        <v>469</v>
      </c>
      <c r="L22" s="3"/>
      <c r="M22" t="s">
        <v>3</v>
      </c>
      <c r="N22" t="s">
        <v>4</v>
      </c>
      <c r="O22" t="s">
        <v>5</v>
      </c>
      <c r="P22" t="s">
        <v>7</v>
      </c>
      <c r="Q22" t="s">
        <v>72</v>
      </c>
      <c r="R22" s="6">
        <v>4700106492</v>
      </c>
      <c r="S22" t="s">
        <v>9</v>
      </c>
      <c r="T22" t="s">
        <v>70</v>
      </c>
      <c r="U22" t="s">
        <v>10</v>
      </c>
      <c r="V22" t="s">
        <v>6</v>
      </c>
      <c r="W22" t="s">
        <v>11</v>
      </c>
      <c r="X22" s="2">
        <v>45835</v>
      </c>
      <c r="Y22" t="s">
        <v>12</v>
      </c>
      <c r="Z22" t="s">
        <v>13</v>
      </c>
    </row>
    <row r="23" spans="1:26" x14ac:dyDescent="0.25">
      <c r="A23" t="s">
        <v>0</v>
      </c>
      <c r="B23" s="5">
        <v>246779413013</v>
      </c>
      <c r="C23" t="s">
        <v>74</v>
      </c>
      <c r="D23" s="2">
        <v>45820</v>
      </c>
      <c r="E23" s="2">
        <v>45735</v>
      </c>
      <c r="F23" s="2">
        <v>45765</v>
      </c>
      <c r="G23" s="3">
        <v>-166101.67000000001</v>
      </c>
      <c r="H23" s="3">
        <v>-1941.84</v>
      </c>
      <c r="I23" s="3">
        <f>VLOOKUP(B23,[1]Workings!$C:$J,8,0)</f>
        <v>1975.32</v>
      </c>
      <c r="J23" s="3">
        <f t="shared" si="0"/>
        <v>33.480000000000018</v>
      </c>
      <c r="K23" s="3" t="s">
        <v>469</v>
      </c>
      <c r="L23" s="3"/>
      <c r="M23" t="s">
        <v>3</v>
      </c>
      <c r="N23" t="s">
        <v>4</v>
      </c>
      <c r="O23" t="s">
        <v>5</v>
      </c>
      <c r="P23" t="s">
        <v>7</v>
      </c>
      <c r="Q23" t="s">
        <v>75</v>
      </c>
      <c r="R23" s="6">
        <v>4700106492</v>
      </c>
      <c r="S23" t="s">
        <v>9</v>
      </c>
      <c r="T23" t="s">
        <v>73</v>
      </c>
      <c r="U23" t="s">
        <v>10</v>
      </c>
      <c r="V23" t="s">
        <v>6</v>
      </c>
      <c r="W23" t="s">
        <v>11</v>
      </c>
      <c r="X23" s="2">
        <v>45835</v>
      </c>
      <c r="Y23" t="s">
        <v>12</v>
      </c>
      <c r="Z23" t="s">
        <v>13</v>
      </c>
    </row>
    <row r="24" spans="1:26" x14ac:dyDescent="0.25">
      <c r="A24" t="s">
        <v>0</v>
      </c>
      <c r="B24" s="5">
        <v>246779412926</v>
      </c>
      <c r="C24" t="s">
        <v>77</v>
      </c>
      <c r="D24" s="2">
        <v>45820</v>
      </c>
      <c r="E24" s="2">
        <v>45735</v>
      </c>
      <c r="F24" s="2">
        <v>45765</v>
      </c>
      <c r="G24" s="3">
        <v>-66555.679999999993</v>
      </c>
      <c r="H24" s="3">
        <v>-778.08</v>
      </c>
      <c r="I24" s="3">
        <f>VLOOKUP(B24,[1]Workings!$C:$J,8,0)</f>
        <v>791.5</v>
      </c>
      <c r="J24" s="3">
        <f t="shared" si="0"/>
        <v>13.419999999999959</v>
      </c>
      <c r="K24" s="3" t="s">
        <v>469</v>
      </c>
      <c r="L24" s="3"/>
      <c r="M24" t="s">
        <v>3</v>
      </c>
      <c r="N24" t="s">
        <v>4</v>
      </c>
      <c r="O24" t="s">
        <v>5</v>
      </c>
      <c r="P24" t="s">
        <v>7</v>
      </c>
      <c r="Q24" t="s">
        <v>78</v>
      </c>
      <c r="R24" s="6">
        <v>4700106492</v>
      </c>
      <c r="S24" t="s">
        <v>9</v>
      </c>
      <c r="T24" t="s">
        <v>76</v>
      </c>
      <c r="U24" t="s">
        <v>10</v>
      </c>
      <c r="V24" t="s">
        <v>6</v>
      </c>
      <c r="W24" t="s">
        <v>11</v>
      </c>
      <c r="X24" s="2">
        <v>45835</v>
      </c>
      <c r="Y24" t="s">
        <v>12</v>
      </c>
      <c r="Z24" t="s">
        <v>13</v>
      </c>
    </row>
    <row r="25" spans="1:26" x14ac:dyDescent="0.25">
      <c r="A25" t="s">
        <v>0</v>
      </c>
      <c r="B25" s="5">
        <v>246779412853</v>
      </c>
      <c r="C25" t="s">
        <v>80</v>
      </c>
      <c r="D25" s="2">
        <v>45820</v>
      </c>
      <c r="E25" s="2">
        <v>45735</v>
      </c>
      <c r="F25" s="2">
        <v>45765</v>
      </c>
      <c r="G25" s="3">
        <v>-56316.53</v>
      </c>
      <c r="H25" s="3">
        <v>-658.38</v>
      </c>
      <c r="I25" s="3">
        <f>VLOOKUP(B25,[1]Workings!$C:$J,8,0)</f>
        <v>669.73</v>
      </c>
      <c r="J25" s="3">
        <f t="shared" si="0"/>
        <v>11.350000000000023</v>
      </c>
      <c r="K25" s="3" t="s">
        <v>469</v>
      </c>
      <c r="L25" s="3"/>
      <c r="M25" t="s">
        <v>3</v>
      </c>
      <c r="N25" t="s">
        <v>4</v>
      </c>
      <c r="O25" t="s">
        <v>5</v>
      </c>
      <c r="P25" t="s">
        <v>7</v>
      </c>
      <c r="Q25" t="s">
        <v>81</v>
      </c>
      <c r="R25" s="6">
        <v>4700106492</v>
      </c>
      <c r="S25" t="s">
        <v>9</v>
      </c>
      <c r="T25" t="s">
        <v>79</v>
      </c>
      <c r="U25" t="s">
        <v>10</v>
      </c>
      <c r="V25" t="s">
        <v>6</v>
      </c>
      <c r="W25" t="s">
        <v>11</v>
      </c>
      <c r="X25" s="2">
        <v>45835</v>
      </c>
      <c r="Y25" t="s">
        <v>12</v>
      </c>
      <c r="Z25" t="s">
        <v>13</v>
      </c>
    </row>
    <row r="26" spans="1:26" x14ac:dyDescent="0.25">
      <c r="A26" t="s">
        <v>0</v>
      </c>
      <c r="B26" s="5">
        <v>246779412702</v>
      </c>
      <c r="C26" t="s">
        <v>83</v>
      </c>
      <c r="D26" s="2">
        <v>45820</v>
      </c>
      <c r="E26" s="2">
        <v>45735</v>
      </c>
      <c r="F26" s="2">
        <v>45765</v>
      </c>
      <c r="G26" s="3">
        <v>-17145.240000000002</v>
      </c>
      <c r="H26" s="3">
        <v>-200.44</v>
      </c>
      <c r="I26" s="3">
        <f>VLOOKUP(B26,[1]Workings!$C:$J,8,0)</f>
        <v>203.9</v>
      </c>
      <c r="J26" s="3">
        <f t="shared" si="0"/>
        <v>3.460000000000008</v>
      </c>
      <c r="K26" s="3" t="s">
        <v>469</v>
      </c>
      <c r="L26" s="3"/>
      <c r="M26" t="s">
        <v>3</v>
      </c>
      <c r="N26" t="s">
        <v>4</v>
      </c>
      <c r="O26" t="s">
        <v>5</v>
      </c>
      <c r="P26" t="s">
        <v>7</v>
      </c>
      <c r="Q26" t="s">
        <v>84</v>
      </c>
      <c r="R26" s="6">
        <v>4700106492</v>
      </c>
      <c r="S26" t="s">
        <v>9</v>
      </c>
      <c r="T26" t="s">
        <v>82</v>
      </c>
      <c r="U26" t="s">
        <v>10</v>
      </c>
      <c r="V26" t="s">
        <v>6</v>
      </c>
      <c r="W26" t="s">
        <v>11</v>
      </c>
      <c r="X26" s="2">
        <v>45835</v>
      </c>
      <c r="Y26" t="s">
        <v>12</v>
      </c>
      <c r="Z26" t="s">
        <v>13</v>
      </c>
    </row>
    <row r="27" spans="1:26" x14ac:dyDescent="0.25">
      <c r="A27" t="s">
        <v>0</v>
      </c>
      <c r="B27" s="5">
        <v>246779412852</v>
      </c>
      <c r="C27" t="s">
        <v>86</v>
      </c>
      <c r="D27" s="2">
        <v>45820</v>
      </c>
      <c r="E27" s="2">
        <v>45735</v>
      </c>
      <c r="F27" s="2">
        <v>45765</v>
      </c>
      <c r="G27" s="3">
        <v>-690468.31</v>
      </c>
      <c r="H27" s="3">
        <v>-8072.03</v>
      </c>
      <c r="I27" s="3">
        <f>VLOOKUP(B27,[1]Workings!$C:$J,8,0)</f>
        <v>8211.2099999999991</v>
      </c>
      <c r="J27" s="3">
        <f t="shared" si="0"/>
        <v>139.17999999999938</v>
      </c>
      <c r="K27" s="3" t="s">
        <v>469</v>
      </c>
      <c r="L27" s="3"/>
      <c r="M27" t="s">
        <v>3</v>
      </c>
      <c r="N27" t="s">
        <v>4</v>
      </c>
      <c r="O27" t="s">
        <v>5</v>
      </c>
      <c r="P27" t="s">
        <v>7</v>
      </c>
      <c r="Q27" t="s">
        <v>87</v>
      </c>
      <c r="R27" s="6">
        <v>4700106492</v>
      </c>
      <c r="S27" t="s">
        <v>9</v>
      </c>
      <c r="T27" t="s">
        <v>85</v>
      </c>
      <c r="U27" t="s">
        <v>10</v>
      </c>
      <c r="V27" t="s">
        <v>6</v>
      </c>
      <c r="W27" t="s">
        <v>11</v>
      </c>
      <c r="X27" s="2">
        <v>45835</v>
      </c>
      <c r="Y27" t="s">
        <v>12</v>
      </c>
      <c r="Z27" t="s">
        <v>13</v>
      </c>
    </row>
    <row r="28" spans="1:26" x14ac:dyDescent="0.25">
      <c r="A28" t="s">
        <v>0</v>
      </c>
      <c r="B28" s="5">
        <v>246779412774</v>
      </c>
      <c r="C28" t="s">
        <v>89</v>
      </c>
      <c r="D28" s="2">
        <v>45820</v>
      </c>
      <c r="E28" s="2">
        <v>45735</v>
      </c>
      <c r="F28" s="2">
        <v>45765</v>
      </c>
      <c r="G28" s="3">
        <v>-83962.04</v>
      </c>
      <c r="H28" s="3">
        <v>-981.57</v>
      </c>
      <c r="I28" s="3">
        <f>VLOOKUP(B28,[1]Workings!$C:$J,8,0)</f>
        <v>998.5</v>
      </c>
      <c r="J28" s="3">
        <f t="shared" si="0"/>
        <v>16.92999999999995</v>
      </c>
      <c r="K28" s="3" t="s">
        <v>469</v>
      </c>
      <c r="L28" s="3"/>
      <c r="M28" t="s">
        <v>3</v>
      </c>
      <c r="N28" t="s">
        <v>4</v>
      </c>
      <c r="O28" t="s">
        <v>5</v>
      </c>
      <c r="P28" t="s">
        <v>7</v>
      </c>
      <c r="Q28" t="s">
        <v>90</v>
      </c>
      <c r="R28" s="6">
        <v>4700106492</v>
      </c>
      <c r="S28" t="s">
        <v>9</v>
      </c>
      <c r="T28" t="s">
        <v>88</v>
      </c>
      <c r="U28" t="s">
        <v>10</v>
      </c>
      <c r="V28" t="s">
        <v>6</v>
      </c>
      <c r="W28" t="s">
        <v>11</v>
      </c>
      <c r="X28" s="2">
        <v>45835</v>
      </c>
      <c r="Y28" t="s">
        <v>12</v>
      </c>
      <c r="Z28" t="s">
        <v>13</v>
      </c>
    </row>
    <row r="29" spans="1:26" x14ac:dyDescent="0.25">
      <c r="A29" t="s">
        <v>0</v>
      </c>
      <c r="B29" s="5">
        <v>246779412700</v>
      </c>
      <c r="C29" t="s">
        <v>92</v>
      </c>
      <c r="D29" s="2">
        <v>45820</v>
      </c>
      <c r="E29" s="2">
        <v>45735</v>
      </c>
      <c r="F29" s="2">
        <v>45765</v>
      </c>
      <c r="G29" s="3">
        <v>-951473.4</v>
      </c>
      <c r="H29" s="3">
        <v>-11123.35</v>
      </c>
      <c r="I29" s="3">
        <f>VLOOKUP(B29,[1]Workings!$C:$J,8,0)</f>
        <v>11315.14</v>
      </c>
      <c r="J29" s="3">
        <f t="shared" si="0"/>
        <v>191.78999999999905</v>
      </c>
      <c r="K29" s="3" t="s">
        <v>469</v>
      </c>
      <c r="L29" s="3"/>
      <c r="M29" t="s">
        <v>3</v>
      </c>
      <c r="N29" t="s">
        <v>4</v>
      </c>
      <c r="O29" t="s">
        <v>5</v>
      </c>
      <c r="P29" t="s">
        <v>7</v>
      </c>
      <c r="Q29" t="s">
        <v>93</v>
      </c>
      <c r="R29" s="6">
        <v>4700106492</v>
      </c>
      <c r="S29" t="s">
        <v>9</v>
      </c>
      <c r="T29" t="s">
        <v>91</v>
      </c>
      <c r="U29" t="s">
        <v>10</v>
      </c>
      <c r="V29" t="s">
        <v>6</v>
      </c>
      <c r="W29" t="s">
        <v>11</v>
      </c>
      <c r="X29" s="2">
        <v>45835</v>
      </c>
      <c r="Y29" t="s">
        <v>12</v>
      </c>
      <c r="Z29" t="s">
        <v>13</v>
      </c>
    </row>
    <row r="30" spans="1:26" x14ac:dyDescent="0.25">
      <c r="A30" t="s">
        <v>0</v>
      </c>
      <c r="B30" s="5">
        <v>246779412925</v>
      </c>
      <c r="C30" t="s">
        <v>95</v>
      </c>
      <c r="D30" s="2">
        <v>45820</v>
      </c>
      <c r="E30" s="2">
        <v>45735</v>
      </c>
      <c r="F30" s="2">
        <v>45765</v>
      </c>
      <c r="G30" s="3">
        <v>-597329.56000000006</v>
      </c>
      <c r="H30" s="3">
        <v>-6983.18</v>
      </c>
      <c r="I30" s="3">
        <f>VLOOKUP(B30,[1]Workings!$C:$J,8,0)</f>
        <v>7103.58</v>
      </c>
      <c r="J30" s="3">
        <f t="shared" si="0"/>
        <v>120.39999999999964</v>
      </c>
      <c r="K30" s="3" t="s">
        <v>469</v>
      </c>
      <c r="L30" s="3"/>
      <c r="M30" t="s">
        <v>3</v>
      </c>
      <c r="N30" t="s">
        <v>4</v>
      </c>
      <c r="O30" t="s">
        <v>5</v>
      </c>
      <c r="P30" t="s">
        <v>7</v>
      </c>
      <c r="Q30" t="s">
        <v>96</v>
      </c>
      <c r="R30" s="6">
        <v>4700106492</v>
      </c>
      <c r="S30" t="s">
        <v>9</v>
      </c>
      <c r="T30" t="s">
        <v>94</v>
      </c>
      <c r="U30" t="s">
        <v>10</v>
      </c>
      <c r="V30" t="s">
        <v>6</v>
      </c>
      <c r="W30" t="s">
        <v>11</v>
      </c>
      <c r="X30" s="2">
        <v>45835</v>
      </c>
      <c r="Y30" t="s">
        <v>12</v>
      </c>
      <c r="Z30" t="s">
        <v>13</v>
      </c>
    </row>
    <row r="31" spans="1:26" x14ac:dyDescent="0.25">
      <c r="A31" t="s">
        <v>0</v>
      </c>
      <c r="B31" s="5">
        <v>246779412773</v>
      </c>
      <c r="C31" t="s">
        <v>98</v>
      </c>
      <c r="D31" s="2">
        <v>45820</v>
      </c>
      <c r="E31" s="2">
        <v>45735</v>
      </c>
      <c r="F31" s="2">
        <v>45765</v>
      </c>
      <c r="G31" s="3">
        <v>-867884.11</v>
      </c>
      <c r="H31" s="3">
        <v>-10146.14</v>
      </c>
      <c r="I31" s="3">
        <f>VLOOKUP(B31,[1]Workings!$C:$J,8,0)</f>
        <v>10321.08</v>
      </c>
      <c r="J31" s="3">
        <f t="shared" si="0"/>
        <v>174.94000000000051</v>
      </c>
      <c r="K31" s="3" t="s">
        <v>469</v>
      </c>
      <c r="L31" s="3"/>
      <c r="M31" t="s">
        <v>3</v>
      </c>
      <c r="N31" t="s">
        <v>4</v>
      </c>
      <c r="O31" t="s">
        <v>5</v>
      </c>
      <c r="P31" t="s">
        <v>7</v>
      </c>
      <c r="Q31" t="s">
        <v>99</v>
      </c>
      <c r="R31" s="6">
        <v>4700106492</v>
      </c>
      <c r="S31" t="s">
        <v>9</v>
      </c>
      <c r="T31" t="s">
        <v>97</v>
      </c>
      <c r="U31" t="s">
        <v>10</v>
      </c>
      <c r="V31" t="s">
        <v>6</v>
      </c>
      <c r="W31" t="s">
        <v>11</v>
      </c>
      <c r="X31" s="2">
        <v>45835</v>
      </c>
      <c r="Y31" t="s">
        <v>12</v>
      </c>
      <c r="Z31" t="s">
        <v>13</v>
      </c>
    </row>
    <row r="32" spans="1:26" x14ac:dyDescent="0.25">
      <c r="A32" t="s">
        <v>0</v>
      </c>
      <c r="B32" s="5">
        <v>246779412614</v>
      </c>
      <c r="C32" t="s">
        <v>101</v>
      </c>
      <c r="D32" s="2">
        <v>45936</v>
      </c>
      <c r="E32" s="2">
        <v>45735</v>
      </c>
      <c r="F32" s="2">
        <v>45765</v>
      </c>
      <c r="G32" s="3">
        <v>-947756.6</v>
      </c>
      <c r="H32" s="3">
        <v>-10674.46</v>
      </c>
      <c r="I32" s="3">
        <f>VLOOKUP(B32,[1]Workings!$C:$J,8,0)</f>
        <v>10858.509999999998</v>
      </c>
      <c r="J32" s="3">
        <f t="shared" si="0"/>
        <v>184.04999999999927</v>
      </c>
      <c r="K32" s="3" t="s">
        <v>469</v>
      </c>
      <c r="L32" s="3"/>
      <c r="M32" t="s">
        <v>3</v>
      </c>
      <c r="N32" t="s">
        <v>4</v>
      </c>
      <c r="O32" t="s">
        <v>5</v>
      </c>
      <c r="P32" t="s">
        <v>7</v>
      </c>
      <c r="Q32" t="s">
        <v>102</v>
      </c>
      <c r="R32" s="6">
        <v>4700109752</v>
      </c>
      <c r="S32" t="s">
        <v>9</v>
      </c>
      <c r="T32" t="s">
        <v>100</v>
      </c>
      <c r="U32" t="s">
        <v>10</v>
      </c>
      <c r="V32" t="s">
        <v>6</v>
      </c>
      <c r="W32" t="s">
        <v>11</v>
      </c>
      <c r="X32" s="2">
        <v>45938</v>
      </c>
      <c r="Y32" t="s">
        <v>12</v>
      </c>
      <c r="Z32" t="s">
        <v>13</v>
      </c>
    </row>
    <row r="33" spans="1:26" x14ac:dyDescent="0.25">
      <c r="A33" t="s">
        <v>0</v>
      </c>
      <c r="B33" s="5">
        <v>256779410336</v>
      </c>
      <c r="C33" t="s">
        <v>104</v>
      </c>
      <c r="D33" s="2">
        <v>45783</v>
      </c>
      <c r="E33" s="2">
        <v>45750</v>
      </c>
      <c r="F33" s="2">
        <v>45780</v>
      </c>
      <c r="G33" s="3">
        <v>-389.23</v>
      </c>
      <c r="H33" s="3">
        <v>-4.62</v>
      </c>
      <c r="I33" s="3">
        <f>VLOOKUP(B33,[1]Workings!$C:$J,8,0)</f>
        <v>4.7</v>
      </c>
      <c r="J33" s="3">
        <f t="shared" si="0"/>
        <v>8.0000000000000071E-2</v>
      </c>
      <c r="K33" s="3" t="s">
        <v>469</v>
      </c>
      <c r="L33" s="3"/>
      <c r="M33" t="s">
        <v>3</v>
      </c>
      <c r="N33" t="s">
        <v>4</v>
      </c>
      <c r="O33" t="s">
        <v>5</v>
      </c>
      <c r="P33" t="s">
        <v>7</v>
      </c>
      <c r="Q33" t="s">
        <v>105</v>
      </c>
      <c r="R33" s="6">
        <v>4700106442</v>
      </c>
      <c r="S33" t="s">
        <v>9</v>
      </c>
      <c r="T33" t="s">
        <v>103</v>
      </c>
      <c r="U33" t="s">
        <v>10</v>
      </c>
      <c r="V33" t="s">
        <v>6</v>
      </c>
      <c r="W33" t="s">
        <v>11</v>
      </c>
      <c r="X33" s="2">
        <v>45813</v>
      </c>
      <c r="Y33" t="s">
        <v>12</v>
      </c>
      <c r="Z33" t="s">
        <v>13</v>
      </c>
    </row>
    <row r="34" spans="1:26" x14ac:dyDescent="0.25">
      <c r="A34" t="s">
        <v>0</v>
      </c>
      <c r="B34" s="5">
        <v>256779410339</v>
      </c>
      <c r="C34" t="s">
        <v>107</v>
      </c>
      <c r="D34" s="2">
        <v>45783</v>
      </c>
      <c r="E34" s="2">
        <v>45750</v>
      </c>
      <c r="F34" s="2">
        <v>45780</v>
      </c>
      <c r="G34" s="3">
        <v>-1498.01</v>
      </c>
      <c r="H34" s="3">
        <v>-17.77</v>
      </c>
      <c r="I34" s="3">
        <f>VLOOKUP(B34,[1]Workings!$C:$J,8,0)</f>
        <v>18.079999999999998</v>
      </c>
      <c r="J34" s="3">
        <f t="shared" si="0"/>
        <v>0.30999999999999872</v>
      </c>
      <c r="K34" s="3" t="s">
        <v>469</v>
      </c>
      <c r="L34" s="3"/>
      <c r="M34" t="s">
        <v>3</v>
      </c>
      <c r="N34" t="s">
        <v>4</v>
      </c>
      <c r="O34" t="s">
        <v>5</v>
      </c>
      <c r="P34" t="s">
        <v>7</v>
      </c>
      <c r="Q34" t="s">
        <v>108</v>
      </c>
      <c r="R34" s="6">
        <v>4700106442</v>
      </c>
      <c r="S34" t="s">
        <v>9</v>
      </c>
      <c r="T34" t="s">
        <v>106</v>
      </c>
      <c r="U34" t="s">
        <v>10</v>
      </c>
      <c r="V34" t="s">
        <v>6</v>
      </c>
      <c r="W34" t="s">
        <v>11</v>
      </c>
      <c r="X34" s="2">
        <v>45813</v>
      </c>
      <c r="Y34" t="s">
        <v>12</v>
      </c>
      <c r="Z34" t="s">
        <v>13</v>
      </c>
    </row>
    <row r="35" spans="1:26" x14ac:dyDescent="0.25">
      <c r="A35" t="s">
        <v>0</v>
      </c>
      <c r="B35" s="5">
        <v>256779410337</v>
      </c>
      <c r="C35" t="s">
        <v>110</v>
      </c>
      <c r="D35" s="2">
        <v>45783</v>
      </c>
      <c r="E35" s="2">
        <v>45750</v>
      </c>
      <c r="F35" s="2">
        <v>45780</v>
      </c>
      <c r="G35" s="3">
        <v>-1138.19</v>
      </c>
      <c r="H35" s="3">
        <v>-13.5</v>
      </c>
      <c r="I35" s="3">
        <f>VLOOKUP(B35,[1]Workings!$C:$J,8,0)</f>
        <v>13.74</v>
      </c>
      <c r="J35" s="3">
        <f t="shared" si="0"/>
        <v>0.24000000000000021</v>
      </c>
      <c r="K35" s="3" t="s">
        <v>469</v>
      </c>
      <c r="L35" s="3"/>
      <c r="M35" t="s">
        <v>3</v>
      </c>
      <c r="N35" t="s">
        <v>4</v>
      </c>
      <c r="O35" t="s">
        <v>5</v>
      </c>
      <c r="P35" t="s">
        <v>7</v>
      </c>
      <c r="Q35" t="s">
        <v>111</v>
      </c>
      <c r="R35" s="6">
        <v>4700106442</v>
      </c>
      <c r="S35" t="s">
        <v>9</v>
      </c>
      <c r="T35" t="s">
        <v>109</v>
      </c>
      <c r="U35" t="s">
        <v>10</v>
      </c>
      <c r="V35" t="s">
        <v>6</v>
      </c>
      <c r="W35" t="s">
        <v>11</v>
      </c>
      <c r="X35" s="2">
        <v>45813</v>
      </c>
      <c r="Y35" t="s">
        <v>12</v>
      </c>
      <c r="Z35" t="s">
        <v>13</v>
      </c>
    </row>
    <row r="36" spans="1:26" x14ac:dyDescent="0.25">
      <c r="A36" t="s">
        <v>0</v>
      </c>
      <c r="B36" s="5">
        <v>256779410335</v>
      </c>
      <c r="C36" t="s">
        <v>113</v>
      </c>
      <c r="D36" s="2">
        <v>45783</v>
      </c>
      <c r="E36" s="2">
        <v>45750</v>
      </c>
      <c r="F36" s="2">
        <v>45780</v>
      </c>
      <c r="G36" s="3">
        <v>-826.22</v>
      </c>
      <c r="H36" s="3">
        <v>-9.8000000000000007</v>
      </c>
      <c r="I36" s="3">
        <f>VLOOKUP(B36,[1]Workings!$C:$J,8,0)</f>
        <v>9.98</v>
      </c>
      <c r="J36" s="3">
        <f t="shared" si="0"/>
        <v>0.17999999999999972</v>
      </c>
      <c r="K36" s="3" t="s">
        <v>469</v>
      </c>
      <c r="L36" s="3"/>
      <c r="M36" t="s">
        <v>3</v>
      </c>
      <c r="N36" t="s">
        <v>4</v>
      </c>
      <c r="O36" t="s">
        <v>5</v>
      </c>
      <c r="P36" t="s">
        <v>7</v>
      </c>
      <c r="Q36" t="s">
        <v>114</v>
      </c>
      <c r="R36" s="6">
        <v>4700106442</v>
      </c>
      <c r="S36" t="s">
        <v>9</v>
      </c>
      <c r="T36" t="s">
        <v>112</v>
      </c>
      <c r="U36" t="s">
        <v>10</v>
      </c>
      <c r="V36" t="s">
        <v>6</v>
      </c>
      <c r="W36" t="s">
        <v>11</v>
      </c>
      <c r="X36" s="2">
        <v>45813</v>
      </c>
      <c r="Y36" t="s">
        <v>12</v>
      </c>
      <c r="Z36" t="s">
        <v>13</v>
      </c>
    </row>
    <row r="37" spans="1:26" x14ac:dyDescent="0.25">
      <c r="A37" t="s">
        <v>0</v>
      </c>
      <c r="B37" s="5">
        <v>256779410331</v>
      </c>
      <c r="C37" t="s">
        <v>116</v>
      </c>
      <c r="D37" s="2">
        <v>45783</v>
      </c>
      <c r="E37" s="2">
        <v>45750</v>
      </c>
      <c r="F37" s="2">
        <v>45780</v>
      </c>
      <c r="G37" s="3">
        <v>-728.78</v>
      </c>
      <c r="H37" s="3">
        <v>-8.65</v>
      </c>
      <c r="I37" s="3">
        <f>VLOOKUP(B37,[1]Workings!$C:$J,8,0)</f>
        <v>8.8000000000000007</v>
      </c>
      <c r="J37" s="3">
        <f t="shared" si="0"/>
        <v>0.15000000000000036</v>
      </c>
      <c r="K37" s="3" t="s">
        <v>469</v>
      </c>
      <c r="L37" s="3"/>
      <c r="M37" t="s">
        <v>3</v>
      </c>
      <c r="N37" t="s">
        <v>4</v>
      </c>
      <c r="O37" t="s">
        <v>5</v>
      </c>
      <c r="P37" t="s">
        <v>7</v>
      </c>
      <c r="Q37" t="s">
        <v>117</v>
      </c>
      <c r="R37" s="6">
        <v>4700106442</v>
      </c>
      <c r="S37" t="s">
        <v>9</v>
      </c>
      <c r="T37" t="s">
        <v>115</v>
      </c>
      <c r="U37" t="s">
        <v>10</v>
      </c>
      <c r="V37" t="s">
        <v>6</v>
      </c>
      <c r="W37" t="s">
        <v>11</v>
      </c>
      <c r="X37" s="2">
        <v>45813</v>
      </c>
      <c r="Y37" t="s">
        <v>12</v>
      </c>
      <c r="Z37" t="s">
        <v>13</v>
      </c>
    </row>
    <row r="38" spans="1:26" x14ac:dyDescent="0.25">
      <c r="A38" t="s">
        <v>0</v>
      </c>
      <c r="B38" s="5">
        <v>256779410333</v>
      </c>
      <c r="C38" t="s">
        <v>119</v>
      </c>
      <c r="D38" s="2">
        <v>45783</v>
      </c>
      <c r="E38" s="2">
        <v>45750</v>
      </c>
      <c r="F38" s="2">
        <v>45780</v>
      </c>
      <c r="G38" s="3">
        <v>-840.57</v>
      </c>
      <c r="H38" s="3">
        <v>-9.9700000000000006</v>
      </c>
      <c r="I38" s="3">
        <f>VLOOKUP(B38,[1]Workings!$C:$J,8,0)</f>
        <v>10.15</v>
      </c>
      <c r="J38" s="3">
        <f t="shared" si="0"/>
        <v>0.17999999999999972</v>
      </c>
      <c r="K38" s="3" t="s">
        <v>469</v>
      </c>
      <c r="L38" s="3"/>
      <c r="M38" t="s">
        <v>3</v>
      </c>
      <c r="N38" t="s">
        <v>4</v>
      </c>
      <c r="O38" t="s">
        <v>5</v>
      </c>
      <c r="P38" t="s">
        <v>7</v>
      </c>
      <c r="Q38" t="s">
        <v>120</v>
      </c>
      <c r="R38" s="6">
        <v>4700106442</v>
      </c>
      <c r="S38" t="s">
        <v>9</v>
      </c>
      <c r="T38" t="s">
        <v>118</v>
      </c>
      <c r="U38" t="s">
        <v>10</v>
      </c>
      <c r="V38" t="s">
        <v>6</v>
      </c>
      <c r="W38" t="s">
        <v>11</v>
      </c>
      <c r="X38" s="2">
        <v>45813</v>
      </c>
      <c r="Y38" t="s">
        <v>12</v>
      </c>
      <c r="Z38" t="s">
        <v>13</v>
      </c>
    </row>
    <row r="39" spans="1:26" x14ac:dyDescent="0.25">
      <c r="A39" t="s">
        <v>0</v>
      </c>
      <c r="B39" s="5">
        <v>256779410329</v>
      </c>
      <c r="C39" t="s">
        <v>122</v>
      </c>
      <c r="D39" s="2">
        <v>45783</v>
      </c>
      <c r="E39" s="2">
        <v>45750</v>
      </c>
      <c r="F39" s="2">
        <v>45780</v>
      </c>
      <c r="G39" s="3">
        <v>-1687.93</v>
      </c>
      <c r="H39" s="3">
        <v>-20.02</v>
      </c>
      <c r="I39" s="3">
        <f>VLOOKUP(B39,[1]Workings!$C:$J,8,0)</f>
        <v>20.38</v>
      </c>
      <c r="J39" s="3">
        <f t="shared" si="0"/>
        <v>0.35999999999999943</v>
      </c>
      <c r="K39" s="3" t="s">
        <v>469</v>
      </c>
      <c r="L39" s="3"/>
      <c r="M39" t="s">
        <v>3</v>
      </c>
      <c r="N39" t="s">
        <v>4</v>
      </c>
      <c r="O39" t="s">
        <v>5</v>
      </c>
      <c r="P39" t="s">
        <v>7</v>
      </c>
      <c r="Q39" t="s">
        <v>123</v>
      </c>
      <c r="R39" s="6">
        <v>4700106442</v>
      </c>
      <c r="S39" t="s">
        <v>9</v>
      </c>
      <c r="T39" t="s">
        <v>121</v>
      </c>
      <c r="U39" t="s">
        <v>10</v>
      </c>
      <c r="V39" t="s">
        <v>6</v>
      </c>
      <c r="W39" t="s">
        <v>11</v>
      </c>
      <c r="X39" s="2">
        <v>45813</v>
      </c>
      <c r="Y39" t="s">
        <v>12</v>
      </c>
      <c r="Z39" t="s">
        <v>13</v>
      </c>
    </row>
    <row r="40" spans="1:26" x14ac:dyDescent="0.25">
      <c r="A40" t="s">
        <v>0</v>
      </c>
      <c r="B40" s="5">
        <v>256779410327</v>
      </c>
      <c r="C40" t="s">
        <v>125</v>
      </c>
      <c r="D40" s="2">
        <v>45783</v>
      </c>
      <c r="E40" s="2">
        <v>45750</v>
      </c>
      <c r="F40" s="2">
        <v>45780</v>
      </c>
      <c r="G40" s="3">
        <v>-987.68</v>
      </c>
      <c r="H40" s="3">
        <v>-11.72</v>
      </c>
      <c r="I40" s="3">
        <f>VLOOKUP(B40,[1]Workings!$C:$J,8,0)</f>
        <v>11.93</v>
      </c>
      <c r="J40" s="3">
        <f t="shared" si="0"/>
        <v>0.20999999999999908</v>
      </c>
      <c r="K40" s="3" t="s">
        <v>469</v>
      </c>
      <c r="L40" s="3"/>
      <c r="M40" t="s">
        <v>3</v>
      </c>
      <c r="N40" t="s">
        <v>4</v>
      </c>
      <c r="O40" t="s">
        <v>5</v>
      </c>
      <c r="P40" t="s">
        <v>7</v>
      </c>
      <c r="Q40" t="s">
        <v>126</v>
      </c>
      <c r="R40" s="6">
        <v>4700106442</v>
      </c>
      <c r="S40" t="s">
        <v>9</v>
      </c>
      <c r="T40" t="s">
        <v>124</v>
      </c>
      <c r="U40" t="s">
        <v>10</v>
      </c>
      <c r="V40" t="s">
        <v>6</v>
      </c>
      <c r="W40" t="s">
        <v>11</v>
      </c>
      <c r="X40" s="2">
        <v>45813</v>
      </c>
      <c r="Y40" t="s">
        <v>12</v>
      </c>
      <c r="Z40" t="s">
        <v>13</v>
      </c>
    </row>
    <row r="41" spans="1:26" x14ac:dyDescent="0.25">
      <c r="A41" t="s">
        <v>0</v>
      </c>
      <c r="B41" s="5">
        <v>256779410317</v>
      </c>
      <c r="C41" t="s">
        <v>128</v>
      </c>
      <c r="D41" s="2">
        <v>45783</v>
      </c>
      <c r="E41" s="2">
        <v>45750</v>
      </c>
      <c r="F41" s="2">
        <v>45780</v>
      </c>
      <c r="G41" s="3">
        <v>-269.8</v>
      </c>
      <c r="H41" s="3">
        <v>-3.2</v>
      </c>
      <c r="I41" s="3">
        <f>VLOOKUP(B41,[1]Workings!$C:$J,8,0)</f>
        <v>3.26</v>
      </c>
      <c r="J41" s="3">
        <f t="shared" si="0"/>
        <v>5.9999999999999609E-2</v>
      </c>
      <c r="K41" s="3" t="s">
        <v>469</v>
      </c>
      <c r="L41" s="3"/>
      <c r="M41" t="s">
        <v>3</v>
      </c>
      <c r="N41" t="s">
        <v>4</v>
      </c>
      <c r="O41" t="s">
        <v>5</v>
      </c>
      <c r="P41" t="s">
        <v>7</v>
      </c>
      <c r="Q41" t="s">
        <v>129</v>
      </c>
      <c r="R41" s="6">
        <v>4700106442</v>
      </c>
      <c r="S41" t="s">
        <v>9</v>
      </c>
      <c r="T41" t="s">
        <v>127</v>
      </c>
      <c r="U41" t="s">
        <v>10</v>
      </c>
      <c r="V41" t="s">
        <v>6</v>
      </c>
      <c r="W41" t="s">
        <v>11</v>
      </c>
      <c r="X41" s="2">
        <v>45813</v>
      </c>
      <c r="Y41" t="s">
        <v>12</v>
      </c>
      <c r="Z41" t="s">
        <v>13</v>
      </c>
    </row>
    <row r="42" spans="1:26" x14ac:dyDescent="0.25">
      <c r="A42" t="s">
        <v>0</v>
      </c>
      <c r="B42" s="5">
        <v>256779410314</v>
      </c>
      <c r="C42" t="s">
        <v>131</v>
      </c>
      <c r="D42" s="2">
        <v>45783</v>
      </c>
      <c r="E42" s="2">
        <v>45750</v>
      </c>
      <c r="F42" s="2">
        <v>45780</v>
      </c>
      <c r="G42" s="3">
        <v>-386.65</v>
      </c>
      <c r="H42" s="3">
        <v>-4.59</v>
      </c>
      <c r="I42" s="3">
        <f>VLOOKUP(B42,[1]Workings!$C:$J,8,0)</f>
        <v>4.67</v>
      </c>
      <c r="J42" s="3">
        <f t="shared" si="0"/>
        <v>8.0000000000000071E-2</v>
      </c>
      <c r="K42" s="3" t="s">
        <v>469</v>
      </c>
      <c r="L42" s="3"/>
      <c r="M42" t="s">
        <v>3</v>
      </c>
      <c r="N42" t="s">
        <v>4</v>
      </c>
      <c r="O42" t="s">
        <v>5</v>
      </c>
      <c r="P42" t="s">
        <v>7</v>
      </c>
      <c r="Q42" t="s">
        <v>132</v>
      </c>
      <c r="R42" s="6">
        <v>4700106442</v>
      </c>
      <c r="S42" t="s">
        <v>9</v>
      </c>
      <c r="T42" t="s">
        <v>130</v>
      </c>
      <c r="U42" t="s">
        <v>10</v>
      </c>
      <c r="V42" t="s">
        <v>6</v>
      </c>
      <c r="W42" t="s">
        <v>11</v>
      </c>
      <c r="X42" s="2">
        <v>45813</v>
      </c>
      <c r="Y42" t="s">
        <v>12</v>
      </c>
      <c r="Z42" t="s">
        <v>13</v>
      </c>
    </row>
    <row r="43" spans="1:26" x14ac:dyDescent="0.25">
      <c r="A43" t="s">
        <v>0</v>
      </c>
      <c r="B43" s="5">
        <v>256779410313</v>
      </c>
      <c r="C43" t="s">
        <v>134</v>
      </c>
      <c r="D43" s="2">
        <v>45783</v>
      </c>
      <c r="E43" s="2">
        <v>45750</v>
      </c>
      <c r="F43" s="2">
        <v>45780</v>
      </c>
      <c r="G43" s="3">
        <v>-4294.82</v>
      </c>
      <c r="H43" s="3">
        <v>-50.95</v>
      </c>
      <c r="I43" s="3">
        <f>VLOOKUP(B43,[1]Workings!$C:$J,8,0)</f>
        <v>51.84</v>
      </c>
      <c r="J43" s="3">
        <f t="shared" si="0"/>
        <v>0.89000000000000057</v>
      </c>
      <c r="K43" s="3" t="s">
        <v>469</v>
      </c>
      <c r="L43" s="3"/>
      <c r="M43" t="s">
        <v>3</v>
      </c>
      <c r="N43" t="s">
        <v>4</v>
      </c>
      <c r="O43" t="s">
        <v>5</v>
      </c>
      <c r="P43" t="s">
        <v>7</v>
      </c>
      <c r="Q43" t="s">
        <v>135</v>
      </c>
      <c r="R43" s="6">
        <v>4700106442</v>
      </c>
      <c r="S43" t="s">
        <v>9</v>
      </c>
      <c r="T43" t="s">
        <v>133</v>
      </c>
      <c r="U43" t="s">
        <v>10</v>
      </c>
      <c r="V43" t="s">
        <v>6</v>
      </c>
      <c r="W43" t="s">
        <v>11</v>
      </c>
      <c r="X43" s="2">
        <v>45813</v>
      </c>
      <c r="Y43" t="s">
        <v>12</v>
      </c>
      <c r="Z43" t="s">
        <v>13</v>
      </c>
    </row>
    <row r="44" spans="1:26" x14ac:dyDescent="0.25">
      <c r="A44" t="s">
        <v>0</v>
      </c>
      <c r="B44" s="5">
        <v>256779410309</v>
      </c>
      <c r="C44" t="s">
        <v>137</v>
      </c>
      <c r="D44" s="2">
        <v>45783</v>
      </c>
      <c r="E44" s="2">
        <v>45750</v>
      </c>
      <c r="F44" s="2">
        <v>45780</v>
      </c>
      <c r="G44" s="3">
        <v>-3539.07</v>
      </c>
      <c r="H44" s="3">
        <v>-41.98</v>
      </c>
      <c r="I44" s="3">
        <f>VLOOKUP(B44,[1]Workings!$C:$J,8,0)</f>
        <v>42.72</v>
      </c>
      <c r="J44" s="3">
        <f t="shared" si="0"/>
        <v>0.74000000000000199</v>
      </c>
      <c r="K44" s="3" t="s">
        <v>469</v>
      </c>
      <c r="L44" s="3"/>
      <c r="M44" t="s">
        <v>3</v>
      </c>
      <c r="N44" t="s">
        <v>4</v>
      </c>
      <c r="O44" t="s">
        <v>5</v>
      </c>
      <c r="P44" t="s">
        <v>7</v>
      </c>
      <c r="Q44" t="s">
        <v>138</v>
      </c>
      <c r="R44" s="6">
        <v>4700106442</v>
      </c>
      <c r="S44" t="s">
        <v>9</v>
      </c>
      <c r="T44" t="s">
        <v>136</v>
      </c>
      <c r="U44" t="s">
        <v>10</v>
      </c>
      <c r="V44" t="s">
        <v>6</v>
      </c>
      <c r="W44" t="s">
        <v>11</v>
      </c>
      <c r="X44" s="2">
        <v>45813</v>
      </c>
      <c r="Y44" t="s">
        <v>12</v>
      </c>
      <c r="Z44" t="s">
        <v>13</v>
      </c>
    </row>
    <row r="45" spans="1:26" x14ac:dyDescent="0.25">
      <c r="A45" t="s">
        <v>0</v>
      </c>
      <c r="B45" s="5">
        <v>256779410310</v>
      </c>
      <c r="C45" t="s">
        <v>140</v>
      </c>
      <c r="D45" s="2">
        <v>45783</v>
      </c>
      <c r="E45" s="2">
        <v>45750</v>
      </c>
      <c r="F45" s="2">
        <v>45780</v>
      </c>
      <c r="G45" s="3">
        <v>-2986.85</v>
      </c>
      <c r="H45" s="3">
        <v>-35.43</v>
      </c>
      <c r="I45" s="3">
        <f>VLOOKUP(B45,[1]Workings!$C:$J,8,0)</f>
        <v>36.049999999999997</v>
      </c>
      <c r="J45" s="3">
        <f t="shared" si="0"/>
        <v>0.61999999999999744</v>
      </c>
      <c r="K45" s="3" t="s">
        <v>469</v>
      </c>
      <c r="L45" s="3"/>
      <c r="M45" t="s">
        <v>3</v>
      </c>
      <c r="N45" t="s">
        <v>4</v>
      </c>
      <c r="O45" t="s">
        <v>5</v>
      </c>
      <c r="P45" t="s">
        <v>7</v>
      </c>
      <c r="Q45" t="s">
        <v>141</v>
      </c>
      <c r="R45" s="6">
        <v>4700106442</v>
      </c>
      <c r="S45" t="s">
        <v>9</v>
      </c>
      <c r="T45" t="s">
        <v>139</v>
      </c>
      <c r="U45" t="s">
        <v>10</v>
      </c>
      <c r="V45" t="s">
        <v>6</v>
      </c>
      <c r="W45" t="s">
        <v>11</v>
      </c>
      <c r="X45" s="2">
        <v>45813</v>
      </c>
      <c r="Y45" t="s">
        <v>12</v>
      </c>
      <c r="Z45" t="s">
        <v>13</v>
      </c>
    </row>
    <row r="46" spans="1:26" x14ac:dyDescent="0.25">
      <c r="A46" t="s">
        <v>0</v>
      </c>
      <c r="B46" s="5">
        <v>256779410330</v>
      </c>
      <c r="C46" t="s">
        <v>143</v>
      </c>
      <c r="D46" s="2">
        <v>45783</v>
      </c>
      <c r="E46" s="2">
        <v>45750</v>
      </c>
      <c r="F46" s="2">
        <v>45780</v>
      </c>
      <c r="G46" s="3">
        <v>-1549.32</v>
      </c>
      <c r="H46" s="3">
        <v>-18.38</v>
      </c>
      <c r="I46" s="3">
        <f>VLOOKUP(B46,[1]Workings!$C:$J,8,0)</f>
        <v>18.7</v>
      </c>
      <c r="J46" s="3">
        <f t="shared" si="0"/>
        <v>0.32000000000000028</v>
      </c>
      <c r="K46" s="3" t="s">
        <v>469</v>
      </c>
      <c r="L46" s="3"/>
      <c r="M46" t="s">
        <v>3</v>
      </c>
      <c r="N46" t="s">
        <v>4</v>
      </c>
      <c r="O46" t="s">
        <v>5</v>
      </c>
      <c r="P46" t="s">
        <v>7</v>
      </c>
      <c r="Q46" t="s">
        <v>144</v>
      </c>
      <c r="R46" s="6">
        <v>4700106442</v>
      </c>
      <c r="S46" t="s">
        <v>9</v>
      </c>
      <c r="T46" t="s">
        <v>142</v>
      </c>
      <c r="U46" t="s">
        <v>10</v>
      </c>
      <c r="V46" t="s">
        <v>6</v>
      </c>
      <c r="W46" t="s">
        <v>11</v>
      </c>
      <c r="X46" s="2">
        <v>45813</v>
      </c>
      <c r="Y46" t="s">
        <v>12</v>
      </c>
      <c r="Z46" t="s">
        <v>13</v>
      </c>
    </row>
    <row r="47" spans="1:26" x14ac:dyDescent="0.25">
      <c r="A47" t="s">
        <v>0</v>
      </c>
      <c r="B47" s="5">
        <v>256779410328</v>
      </c>
      <c r="C47" t="s">
        <v>146</v>
      </c>
      <c r="D47" s="2">
        <v>45783</v>
      </c>
      <c r="E47" s="2">
        <v>45750</v>
      </c>
      <c r="F47" s="2">
        <v>45780</v>
      </c>
      <c r="G47" s="3">
        <v>-269.8</v>
      </c>
      <c r="H47" s="3">
        <v>-3.2</v>
      </c>
      <c r="I47" s="3">
        <f>VLOOKUP(B47,[1]Workings!$C:$J,8,0)</f>
        <v>3.26</v>
      </c>
      <c r="J47" s="3">
        <f t="shared" si="0"/>
        <v>5.9999999999999609E-2</v>
      </c>
      <c r="K47" s="3" t="s">
        <v>469</v>
      </c>
      <c r="L47" s="3"/>
      <c r="M47" t="s">
        <v>3</v>
      </c>
      <c r="N47" t="s">
        <v>4</v>
      </c>
      <c r="O47" t="s">
        <v>5</v>
      </c>
      <c r="P47" t="s">
        <v>7</v>
      </c>
      <c r="Q47" t="s">
        <v>147</v>
      </c>
      <c r="R47" s="6">
        <v>4700106442</v>
      </c>
      <c r="S47" t="s">
        <v>9</v>
      </c>
      <c r="T47" t="s">
        <v>145</v>
      </c>
      <c r="U47" t="s">
        <v>10</v>
      </c>
      <c r="V47" t="s">
        <v>6</v>
      </c>
      <c r="W47" t="s">
        <v>11</v>
      </c>
      <c r="X47" s="2">
        <v>45813</v>
      </c>
      <c r="Y47" t="s">
        <v>12</v>
      </c>
      <c r="Z47" t="s">
        <v>13</v>
      </c>
    </row>
    <row r="48" spans="1:26" x14ac:dyDescent="0.25">
      <c r="A48" t="s">
        <v>0</v>
      </c>
      <c r="B48" s="5">
        <v>256779410334</v>
      </c>
      <c r="C48" t="s">
        <v>149</v>
      </c>
      <c r="D48" s="2">
        <v>45783</v>
      </c>
      <c r="E48" s="2">
        <v>45750</v>
      </c>
      <c r="F48" s="2">
        <v>45780</v>
      </c>
      <c r="G48" s="3">
        <v>-1260.0999999999999</v>
      </c>
      <c r="H48" s="3">
        <v>-14.95</v>
      </c>
      <c r="I48" s="3">
        <f>VLOOKUP(B48,[1]Workings!$C:$J,8,0)</f>
        <v>15.21</v>
      </c>
      <c r="J48" s="3">
        <f t="shared" si="0"/>
        <v>0.26000000000000156</v>
      </c>
      <c r="K48" s="3" t="s">
        <v>469</v>
      </c>
      <c r="L48" s="3"/>
      <c r="M48" t="s">
        <v>3</v>
      </c>
      <c r="N48" t="s">
        <v>4</v>
      </c>
      <c r="O48" t="s">
        <v>5</v>
      </c>
      <c r="P48" t="s">
        <v>7</v>
      </c>
      <c r="Q48" t="s">
        <v>150</v>
      </c>
      <c r="R48" s="6">
        <v>4700106442</v>
      </c>
      <c r="S48" t="s">
        <v>9</v>
      </c>
      <c r="T48" t="s">
        <v>148</v>
      </c>
      <c r="U48" t="s">
        <v>10</v>
      </c>
      <c r="V48" t="s">
        <v>6</v>
      </c>
      <c r="W48" t="s">
        <v>11</v>
      </c>
      <c r="X48" s="2">
        <v>45813</v>
      </c>
      <c r="Y48" t="s">
        <v>12</v>
      </c>
      <c r="Z48" t="s">
        <v>13</v>
      </c>
    </row>
    <row r="49" spans="1:26" x14ac:dyDescent="0.25">
      <c r="A49" t="s">
        <v>0</v>
      </c>
      <c r="B49" s="5">
        <v>256779410311</v>
      </c>
      <c r="C49" t="s">
        <v>152</v>
      </c>
      <c r="D49" s="2">
        <v>45783</v>
      </c>
      <c r="E49" s="2">
        <v>45750</v>
      </c>
      <c r="F49" s="2">
        <v>45780</v>
      </c>
      <c r="G49" s="3">
        <v>-3012.96</v>
      </c>
      <c r="H49" s="3">
        <v>-35.74</v>
      </c>
      <c r="I49" s="3">
        <f>VLOOKUP(B49,[1]Workings!$C:$J,8,0)</f>
        <v>36.36</v>
      </c>
      <c r="J49" s="3">
        <f t="shared" si="0"/>
        <v>0.61999999999999744</v>
      </c>
      <c r="K49" s="3" t="s">
        <v>469</v>
      </c>
      <c r="L49" s="3"/>
      <c r="M49" t="s">
        <v>3</v>
      </c>
      <c r="N49" t="s">
        <v>4</v>
      </c>
      <c r="O49" t="s">
        <v>5</v>
      </c>
      <c r="P49" t="s">
        <v>7</v>
      </c>
      <c r="Q49" t="s">
        <v>153</v>
      </c>
      <c r="R49" s="6">
        <v>4700106442</v>
      </c>
      <c r="S49" t="s">
        <v>9</v>
      </c>
      <c r="T49" t="s">
        <v>151</v>
      </c>
      <c r="U49" t="s">
        <v>10</v>
      </c>
      <c r="V49" t="s">
        <v>6</v>
      </c>
      <c r="W49" t="s">
        <v>11</v>
      </c>
      <c r="X49" s="2">
        <v>45813</v>
      </c>
      <c r="Y49" t="s">
        <v>12</v>
      </c>
      <c r="Z49" t="s">
        <v>13</v>
      </c>
    </row>
    <row r="50" spans="1:26" x14ac:dyDescent="0.25">
      <c r="A50" t="s">
        <v>0</v>
      </c>
      <c r="B50" s="5">
        <v>256779410332</v>
      </c>
      <c r="C50" t="s">
        <v>155</v>
      </c>
      <c r="D50" s="2">
        <v>45783</v>
      </c>
      <c r="E50" s="2">
        <v>45750</v>
      </c>
      <c r="F50" s="2">
        <v>45780</v>
      </c>
      <c r="G50" s="3">
        <v>-376.51</v>
      </c>
      <c r="H50" s="3">
        <v>-4.47</v>
      </c>
      <c r="I50" s="3">
        <f>VLOOKUP(B50,[1]Workings!$C:$J,8,0)</f>
        <v>3.26</v>
      </c>
      <c r="J50" s="3">
        <f t="shared" si="0"/>
        <v>-1.21</v>
      </c>
      <c r="K50" s="3" t="s">
        <v>470</v>
      </c>
      <c r="L50" s="3"/>
      <c r="M50" t="s">
        <v>3</v>
      </c>
      <c r="N50" t="s">
        <v>4</v>
      </c>
      <c r="O50" t="s">
        <v>5</v>
      </c>
      <c r="P50" t="s">
        <v>7</v>
      </c>
      <c r="Q50" t="s">
        <v>156</v>
      </c>
      <c r="R50" s="6">
        <v>4700106442</v>
      </c>
      <c r="S50" t="s">
        <v>9</v>
      </c>
      <c r="T50" t="s">
        <v>154</v>
      </c>
      <c r="U50" t="s">
        <v>10</v>
      </c>
      <c r="V50" t="s">
        <v>6</v>
      </c>
      <c r="W50" t="s">
        <v>11</v>
      </c>
      <c r="X50" s="2">
        <v>45813</v>
      </c>
      <c r="Y50" t="s">
        <v>12</v>
      </c>
      <c r="Z50" t="s">
        <v>13</v>
      </c>
    </row>
    <row r="51" spans="1:26" x14ac:dyDescent="0.25">
      <c r="A51" t="s">
        <v>0</v>
      </c>
      <c r="B51" s="5">
        <v>256779410312</v>
      </c>
      <c r="C51" t="s">
        <v>158</v>
      </c>
      <c r="D51" s="2">
        <v>45783</v>
      </c>
      <c r="E51" s="2">
        <v>45750</v>
      </c>
      <c r="F51" s="2">
        <v>45780</v>
      </c>
      <c r="G51" s="3">
        <v>-269.8</v>
      </c>
      <c r="H51" s="3">
        <v>-3.2</v>
      </c>
      <c r="I51" s="3">
        <f>VLOOKUP(B51,[1]Workings!$C:$J,8,0)</f>
        <v>3.26</v>
      </c>
      <c r="J51" s="3">
        <f t="shared" si="0"/>
        <v>5.9999999999999609E-2</v>
      </c>
      <c r="K51" s="3" t="s">
        <v>469</v>
      </c>
      <c r="L51" s="3"/>
      <c r="M51" t="s">
        <v>3</v>
      </c>
      <c r="N51" t="s">
        <v>4</v>
      </c>
      <c r="O51" t="s">
        <v>5</v>
      </c>
      <c r="P51" t="s">
        <v>7</v>
      </c>
      <c r="Q51" t="s">
        <v>159</v>
      </c>
      <c r="R51" s="6">
        <v>4700106442</v>
      </c>
      <c r="S51" t="s">
        <v>9</v>
      </c>
      <c r="T51" t="s">
        <v>157</v>
      </c>
      <c r="U51" t="s">
        <v>10</v>
      </c>
      <c r="V51" t="s">
        <v>6</v>
      </c>
      <c r="W51" t="s">
        <v>11</v>
      </c>
      <c r="X51" s="2">
        <v>45813</v>
      </c>
      <c r="Y51" t="s">
        <v>12</v>
      </c>
      <c r="Z51" t="s">
        <v>13</v>
      </c>
    </row>
    <row r="52" spans="1:26" x14ac:dyDescent="0.25">
      <c r="A52" t="s">
        <v>0</v>
      </c>
      <c r="B52" s="5">
        <v>256779410338</v>
      </c>
      <c r="C52" t="s">
        <v>161</v>
      </c>
      <c r="D52" s="2">
        <v>45790</v>
      </c>
      <c r="E52" s="2">
        <v>45750</v>
      </c>
      <c r="F52" s="2">
        <v>45780</v>
      </c>
      <c r="G52" s="3">
        <v>-482.8</v>
      </c>
      <c r="H52" s="3">
        <v>-5.69</v>
      </c>
      <c r="I52" s="3">
        <f>VLOOKUP(B52,[1]Workings!$C:$J,8,0)</f>
        <v>5.69</v>
      </c>
      <c r="J52" s="3">
        <f t="shared" si="0"/>
        <v>0</v>
      </c>
      <c r="K52" s="3" t="s">
        <v>471</v>
      </c>
      <c r="L52" s="3"/>
      <c r="M52" t="s">
        <v>3</v>
      </c>
      <c r="N52" t="s">
        <v>4</v>
      </c>
      <c r="O52" t="s">
        <v>5</v>
      </c>
      <c r="P52" t="s">
        <v>7</v>
      </c>
      <c r="Q52" t="s">
        <v>162</v>
      </c>
      <c r="R52" s="6">
        <v>4700106442</v>
      </c>
      <c r="S52" t="s">
        <v>9</v>
      </c>
      <c r="T52" t="s">
        <v>160</v>
      </c>
      <c r="U52" t="s">
        <v>10</v>
      </c>
      <c r="V52" t="s">
        <v>6</v>
      </c>
      <c r="W52" t="s">
        <v>11</v>
      </c>
      <c r="X52" s="2">
        <v>45813</v>
      </c>
      <c r="Y52" t="s">
        <v>12</v>
      </c>
      <c r="Z52" t="s">
        <v>13</v>
      </c>
    </row>
    <row r="53" spans="1:26" x14ac:dyDescent="0.25">
      <c r="A53" t="s">
        <v>0</v>
      </c>
      <c r="B53" s="5">
        <v>256779410678</v>
      </c>
      <c r="C53" t="s">
        <v>165</v>
      </c>
      <c r="D53" s="2">
        <v>45783</v>
      </c>
      <c r="E53" s="2">
        <v>45751</v>
      </c>
      <c r="F53" s="2">
        <v>45781</v>
      </c>
      <c r="G53" s="3">
        <v>-675124.97</v>
      </c>
      <c r="H53" s="3">
        <v>-8009.1</v>
      </c>
      <c r="I53" s="3">
        <f>VLOOKUP(B53,[1]Workings!$C:$J,8,0)</f>
        <v>8147.2</v>
      </c>
      <c r="J53" s="3">
        <f t="shared" si="0"/>
        <v>138.09999999999945</v>
      </c>
      <c r="K53" s="3" t="s">
        <v>469</v>
      </c>
      <c r="L53" s="3"/>
      <c r="M53" t="s">
        <v>3</v>
      </c>
      <c r="N53" t="s">
        <v>4</v>
      </c>
      <c r="O53" t="s">
        <v>5</v>
      </c>
      <c r="P53" t="s">
        <v>7</v>
      </c>
      <c r="Q53" t="s">
        <v>164</v>
      </c>
      <c r="R53" s="6">
        <v>4700106442</v>
      </c>
      <c r="S53" t="s">
        <v>9</v>
      </c>
      <c r="T53" t="s">
        <v>163</v>
      </c>
      <c r="U53" t="s">
        <v>10</v>
      </c>
      <c r="V53" t="s">
        <v>6</v>
      </c>
      <c r="W53" t="s">
        <v>11</v>
      </c>
      <c r="X53" s="2">
        <v>45813</v>
      </c>
      <c r="Y53" t="s">
        <v>12</v>
      </c>
      <c r="Z53" t="s">
        <v>13</v>
      </c>
    </row>
    <row r="54" spans="1:26" x14ac:dyDescent="0.25">
      <c r="A54" t="s">
        <v>0</v>
      </c>
      <c r="B54" s="5">
        <v>256779410679</v>
      </c>
      <c r="C54" t="s">
        <v>167</v>
      </c>
      <c r="D54" s="2">
        <v>45783</v>
      </c>
      <c r="E54" s="2">
        <v>45751</v>
      </c>
      <c r="F54" s="2">
        <v>45781</v>
      </c>
      <c r="G54" s="3">
        <v>-34531.22</v>
      </c>
      <c r="H54" s="3">
        <v>-409.65</v>
      </c>
      <c r="I54" s="3">
        <f>VLOOKUP(B54,[1]Workings!$C:$J,8,0)</f>
        <v>416.71999999999997</v>
      </c>
      <c r="J54" s="3">
        <f t="shared" si="0"/>
        <v>7.0699999999999932</v>
      </c>
      <c r="K54" s="3" t="s">
        <v>469</v>
      </c>
      <c r="L54" s="3"/>
      <c r="M54" t="s">
        <v>3</v>
      </c>
      <c r="N54" t="s">
        <v>4</v>
      </c>
      <c r="O54" t="s">
        <v>5</v>
      </c>
      <c r="P54" t="s">
        <v>7</v>
      </c>
      <c r="Q54" t="s">
        <v>168</v>
      </c>
      <c r="R54" s="6">
        <v>4700106442</v>
      </c>
      <c r="S54" t="s">
        <v>9</v>
      </c>
      <c r="T54" t="s">
        <v>166</v>
      </c>
      <c r="U54" t="s">
        <v>10</v>
      </c>
      <c r="V54" t="s">
        <v>6</v>
      </c>
      <c r="W54" t="s">
        <v>11</v>
      </c>
      <c r="X54" s="2">
        <v>45813</v>
      </c>
      <c r="Y54" t="s">
        <v>12</v>
      </c>
      <c r="Z54" t="s">
        <v>13</v>
      </c>
    </row>
    <row r="55" spans="1:26" x14ac:dyDescent="0.25">
      <c r="A55" t="s">
        <v>0</v>
      </c>
      <c r="B55" s="5">
        <v>256779410554</v>
      </c>
      <c r="C55" t="s">
        <v>170</v>
      </c>
      <c r="D55" s="2">
        <v>45783</v>
      </c>
      <c r="E55" s="2">
        <v>45751</v>
      </c>
      <c r="F55" s="2">
        <v>45781</v>
      </c>
      <c r="G55" s="3">
        <v>-18269.400000000001</v>
      </c>
      <c r="H55" s="3">
        <v>-216.73</v>
      </c>
      <c r="I55" s="3">
        <f>VLOOKUP(B55,[1]Workings!$C:$J,8,0)</f>
        <v>220.47</v>
      </c>
      <c r="J55" s="3">
        <f t="shared" si="0"/>
        <v>3.7400000000000091</v>
      </c>
      <c r="K55" s="3" t="s">
        <v>469</v>
      </c>
      <c r="L55" s="3"/>
      <c r="M55" t="s">
        <v>3</v>
      </c>
      <c r="N55" t="s">
        <v>4</v>
      </c>
      <c r="O55" t="s">
        <v>5</v>
      </c>
      <c r="P55" t="s">
        <v>7</v>
      </c>
      <c r="Q55" t="s">
        <v>171</v>
      </c>
      <c r="R55" s="6">
        <v>4700106442</v>
      </c>
      <c r="S55" t="s">
        <v>9</v>
      </c>
      <c r="T55" t="s">
        <v>169</v>
      </c>
      <c r="U55" t="s">
        <v>10</v>
      </c>
      <c r="V55" t="s">
        <v>6</v>
      </c>
      <c r="W55" t="s">
        <v>11</v>
      </c>
      <c r="X55" s="2">
        <v>45813</v>
      </c>
      <c r="Y55" t="s">
        <v>12</v>
      </c>
      <c r="Z55" t="s">
        <v>13</v>
      </c>
    </row>
    <row r="56" spans="1:26" x14ac:dyDescent="0.25">
      <c r="A56" t="s">
        <v>0</v>
      </c>
      <c r="B56" s="5">
        <v>256779410464</v>
      </c>
      <c r="C56" t="s">
        <v>173</v>
      </c>
      <c r="D56" s="2">
        <v>45783</v>
      </c>
      <c r="E56" s="2">
        <v>45751</v>
      </c>
      <c r="F56" s="2">
        <v>45781</v>
      </c>
      <c r="G56" s="3">
        <v>-3699.81</v>
      </c>
      <c r="H56" s="3">
        <v>-43.89</v>
      </c>
      <c r="I56" s="3">
        <f>VLOOKUP(B56,[1]Workings!$C:$J,8,0)</f>
        <v>44.650000000000006</v>
      </c>
      <c r="J56" s="3">
        <f t="shared" si="0"/>
        <v>0.76000000000000512</v>
      </c>
      <c r="K56" s="3" t="s">
        <v>469</v>
      </c>
      <c r="L56" s="3"/>
      <c r="M56" t="s">
        <v>3</v>
      </c>
      <c r="N56" t="s">
        <v>4</v>
      </c>
      <c r="O56" t="s">
        <v>5</v>
      </c>
      <c r="P56" t="s">
        <v>7</v>
      </c>
      <c r="Q56" t="s">
        <v>174</v>
      </c>
      <c r="R56" s="6">
        <v>4700106442</v>
      </c>
      <c r="S56" t="s">
        <v>9</v>
      </c>
      <c r="T56" t="s">
        <v>172</v>
      </c>
      <c r="U56" t="s">
        <v>10</v>
      </c>
      <c r="V56" t="s">
        <v>6</v>
      </c>
      <c r="W56" t="s">
        <v>11</v>
      </c>
      <c r="X56" s="2">
        <v>45813</v>
      </c>
      <c r="Y56" t="s">
        <v>12</v>
      </c>
      <c r="Z56" t="s">
        <v>13</v>
      </c>
    </row>
    <row r="57" spans="1:26" x14ac:dyDescent="0.25">
      <c r="A57" t="s">
        <v>0</v>
      </c>
      <c r="B57" s="5">
        <v>256779410553</v>
      </c>
      <c r="C57" t="s">
        <v>176</v>
      </c>
      <c r="D57" s="2">
        <v>45783</v>
      </c>
      <c r="E57" s="2">
        <v>45751</v>
      </c>
      <c r="F57" s="2">
        <v>45781</v>
      </c>
      <c r="G57" s="3">
        <v>-56506.36</v>
      </c>
      <c r="H57" s="3">
        <v>-670.34</v>
      </c>
      <c r="I57" s="3">
        <f>VLOOKUP(B57,[1]Workings!$C:$J,8,0)</f>
        <v>681.91</v>
      </c>
      <c r="J57" s="3">
        <f t="shared" si="0"/>
        <v>11.569999999999936</v>
      </c>
      <c r="K57" s="3" t="s">
        <v>469</v>
      </c>
      <c r="L57" s="3"/>
      <c r="M57" t="s">
        <v>3</v>
      </c>
      <c r="N57" t="s">
        <v>4</v>
      </c>
      <c r="O57" t="s">
        <v>5</v>
      </c>
      <c r="P57" t="s">
        <v>7</v>
      </c>
      <c r="Q57" t="s">
        <v>177</v>
      </c>
      <c r="R57" s="6">
        <v>4700106442</v>
      </c>
      <c r="S57" t="s">
        <v>9</v>
      </c>
      <c r="T57" t="s">
        <v>175</v>
      </c>
      <c r="U57" t="s">
        <v>10</v>
      </c>
      <c r="V57" t="s">
        <v>6</v>
      </c>
      <c r="W57" t="s">
        <v>11</v>
      </c>
      <c r="X57" s="2">
        <v>45813</v>
      </c>
      <c r="Y57" t="s">
        <v>12</v>
      </c>
      <c r="Z57" t="s">
        <v>13</v>
      </c>
    </row>
    <row r="58" spans="1:26" x14ac:dyDescent="0.25">
      <c r="A58" t="s">
        <v>0</v>
      </c>
      <c r="B58" s="5">
        <v>256779410680</v>
      </c>
      <c r="C58" t="s">
        <v>179</v>
      </c>
      <c r="D58" s="2">
        <v>45783</v>
      </c>
      <c r="E58" s="2">
        <v>45751</v>
      </c>
      <c r="F58" s="2">
        <v>45781</v>
      </c>
      <c r="G58" s="3">
        <v>-12038.33</v>
      </c>
      <c r="H58" s="3">
        <v>-142.81</v>
      </c>
      <c r="I58" s="3">
        <f>VLOOKUP(B58,[1]Workings!$C:$J,8,0)</f>
        <v>145.28</v>
      </c>
      <c r="J58" s="3">
        <f t="shared" si="0"/>
        <v>2.4699999999999989</v>
      </c>
      <c r="K58" s="3" t="s">
        <v>469</v>
      </c>
      <c r="L58" s="3"/>
      <c r="M58" t="s">
        <v>3</v>
      </c>
      <c r="N58" t="s">
        <v>4</v>
      </c>
      <c r="O58" t="s">
        <v>5</v>
      </c>
      <c r="P58" t="s">
        <v>7</v>
      </c>
      <c r="Q58" t="s">
        <v>180</v>
      </c>
      <c r="R58" s="6">
        <v>4700106442</v>
      </c>
      <c r="S58" t="s">
        <v>9</v>
      </c>
      <c r="T58" t="s">
        <v>178</v>
      </c>
      <c r="U58" t="s">
        <v>10</v>
      </c>
      <c r="V58" t="s">
        <v>6</v>
      </c>
      <c r="W58" t="s">
        <v>11</v>
      </c>
      <c r="X58" s="2">
        <v>45813</v>
      </c>
      <c r="Y58" t="s">
        <v>12</v>
      </c>
      <c r="Z58" t="s">
        <v>13</v>
      </c>
    </row>
    <row r="59" spans="1:26" x14ac:dyDescent="0.25">
      <c r="A59" t="s">
        <v>0</v>
      </c>
      <c r="B59" s="5">
        <v>256779410463</v>
      </c>
      <c r="C59" t="s">
        <v>182</v>
      </c>
      <c r="D59" s="2">
        <v>45783</v>
      </c>
      <c r="E59" s="2">
        <v>45751</v>
      </c>
      <c r="F59" s="2">
        <v>45781</v>
      </c>
      <c r="G59" s="3">
        <v>-332662.65000000002</v>
      </c>
      <c r="H59" s="3">
        <v>-3946.42</v>
      </c>
      <c r="I59" s="3">
        <f>VLOOKUP(B59,[1]Workings!$C:$J,8,0)</f>
        <v>4014.4700000000003</v>
      </c>
      <c r="J59" s="3">
        <f t="shared" si="0"/>
        <v>68.050000000000182</v>
      </c>
      <c r="K59" s="3" t="s">
        <v>469</v>
      </c>
      <c r="L59" s="3"/>
      <c r="M59" t="s">
        <v>3</v>
      </c>
      <c r="N59" t="s">
        <v>4</v>
      </c>
      <c r="O59" t="s">
        <v>5</v>
      </c>
      <c r="P59" t="s">
        <v>7</v>
      </c>
      <c r="Q59" t="s">
        <v>183</v>
      </c>
      <c r="R59" s="6">
        <v>4700106442</v>
      </c>
      <c r="S59" t="s">
        <v>9</v>
      </c>
      <c r="T59" t="s">
        <v>181</v>
      </c>
      <c r="U59" t="s">
        <v>10</v>
      </c>
      <c r="V59" t="s">
        <v>6</v>
      </c>
      <c r="W59" t="s">
        <v>11</v>
      </c>
      <c r="X59" s="2">
        <v>45813</v>
      </c>
      <c r="Y59" t="s">
        <v>12</v>
      </c>
      <c r="Z59" t="s">
        <v>13</v>
      </c>
    </row>
    <row r="60" spans="1:26" x14ac:dyDescent="0.25">
      <c r="A60" t="s">
        <v>0</v>
      </c>
      <c r="B60" s="5">
        <v>256779410552</v>
      </c>
      <c r="C60" t="s">
        <v>185</v>
      </c>
      <c r="D60" s="2">
        <v>45783</v>
      </c>
      <c r="E60" s="2">
        <v>45751</v>
      </c>
      <c r="F60" s="2">
        <v>45781</v>
      </c>
      <c r="G60" s="3">
        <v>-790615.5</v>
      </c>
      <c r="H60" s="3">
        <v>-9379.18</v>
      </c>
      <c r="I60" s="3">
        <f>VLOOKUP(B60,[1]Workings!$C:$J,8,0)</f>
        <v>9540.9</v>
      </c>
      <c r="J60" s="3">
        <f t="shared" si="0"/>
        <v>161.71999999999935</v>
      </c>
      <c r="K60" s="3" t="s">
        <v>469</v>
      </c>
      <c r="L60" s="3"/>
      <c r="M60" t="s">
        <v>3</v>
      </c>
      <c r="N60" t="s">
        <v>4</v>
      </c>
      <c r="O60" t="s">
        <v>5</v>
      </c>
      <c r="P60" t="s">
        <v>7</v>
      </c>
      <c r="Q60" t="s">
        <v>186</v>
      </c>
      <c r="R60" s="6">
        <v>4700106442</v>
      </c>
      <c r="S60" t="s">
        <v>9</v>
      </c>
      <c r="T60" t="s">
        <v>184</v>
      </c>
      <c r="U60" t="s">
        <v>10</v>
      </c>
      <c r="V60" t="s">
        <v>6</v>
      </c>
      <c r="W60" t="s">
        <v>11</v>
      </c>
      <c r="X60" s="2">
        <v>45813</v>
      </c>
      <c r="Y60" t="s">
        <v>12</v>
      </c>
      <c r="Z60" t="s">
        <v>13</v>
      </c>
    </row>
    <row r="61" spans="1:26" x14ac:dyDescent="0.25">
      <c r="A61" t="s">
        <v>0</v>
      </c>
      <c r="B61" s="5">
        <v>256779410928</v>
      </c>
      <c r="C61" t="s">
        <v>188</v>
      </c>
      <c r="D61" s="2">
        <v>45820</v>
      </c>
      <c r="E61" s="2">
        <v>45763</v>
      </c>
      <c r="F61" s="2">
        <v>45793</v>
      </c>
      <c r="G61" s="3">
        <v>-37656.6</v>
      </c>
      <c r="H61" s="3">
        <v>-440.23</v>
      </c>
      <c r="I61" s="3">
        <f>VLOOKUP(B61,[1]Workings!$C:$J,8,0)</f>
        <v>447.83</v>
      </c>
      <c r="J61" s="3">
        <f t="shared" si="0"/>
        <v>7.5999999999999659</v>
      </c>
      <c r="K61" s="3" t="s">
        <v>469</v>
      </c>
      <c r="L61" s="3"/>
      <c r="M61" t="s">
        <v>3</v>
      </c>
      <c r="N61" t="s">
        <v>4</v>
      </c>
      <c r="O61" t="s">
        <v>5</v>
      </c>
      <c r="P61" t="s">
        <v>7</v>
      </c>
      <c r="Q61" t="s">
        <v>189</v>
      </c>
      <c r="R61" s="6">
        <v>4700106492</v>
      </c>
      <c r="S61" t="s">
        <v>9</v>
      </c>
      <c r="T61" t="s">
        <v>187</v>
      </c>
      <c r="U61" t="s">
        <v>10</v>
      </c>
      <c r="V61" t="s">
        <v>6</v>
      </c>
      <c r="W61" t="s">
        <v>11</v>
      </c>
      <c r="X61" s="2">
        <v>45835</v>
      </c>
      <c r="Y61" t="s">
        <v>12</v>
      </c>
      <c r="Z61" t="s">
        <v>13</v>
      </c>
    </row>
    <row r="62" spans="1:26" x14ac:dyDescent="0.25">
      <c r="A62" t="s">
        <v>0</v>
      </c>
      <c r="B62" s="5">
        <v>256779411998</v>
      </c>
      <c r="C62" t="s">
        <v>191</v>
      </c>
      <c r="D62" s="2">
        <v>45820</v>
      </c>
      <c r="E62" s="2">
        <v>45763</v>
      </c>
      <c r="F62" s="2">
        <v>45793</v>
      </c>
      <c r="G62" s="3">
        <v>-17750.150000000001</v>
      </c>
      <c r="H62" s="3">
        <v>-207.51</v>
      </c>
      <c r="I62" s="3">
        <f>VLOOKUP(B62,[1]Workings!$C:$J,8,0)</f>
        <v>211.10000000000002</v>
      </c>
      <c r="J62" s="3">
        <f t="shared" si="0"/>
        <v>3.5900000000000318</v>
      </c>
      <c r="K62" s="3" t="s">
        <v>469</v>
      </c>
      <c r="L62" s="3"/>
      <c r="M62" t="s">
        <v>3</v>
      </c>
      <c r="N62" t="s">
        <v>4</v>
      </c>
      <c r="O62" t="s">
        <v>5</v>
      </c>
      <c r="P62" t="s">
        <v>7</v>
      </c>
      <c r="Q62" t="s">
        <v>192</v>
      </c>
      <c r="R62" s="6">
        <v>4700106492</v>
      </c>
      <c r="S62" t="s">
        <v>9</v>
      </c>
      <c r="T62" t="s">
        <v>190</v>
      </c>
      <c r="U62" t="s">
        <v>10</v>
      </c>
      <c r="V62" t="s">
        <v>6</v>
      </c>
      <c r="W62" t="s">
        <v>11</v>
      </c>
      <c r="X62" s="2">
        <v>45835</v>
      </c>
      <c r="Y62" t="s">
        <v>12</v>
      </c>
      <c r="Z62" t="s">
        <v>13</v>
      </c>
    </row>
    <row r="63" spans="1:26" x14ac:dyDescent="0.25">
      <c r="A63" t="s">
        <v>0</v>
      </c>
      <c r="B63" s="5">
        <v>256779410927</v>
      </c>
      <c r="C63" t="s">
        <v>194</v>
      </c>
      <c r="D63" s="2">
        <v>45820</v>
      </c>
      <c r="E63" s="2">
        <v>45763</v>
      </c>
      <c r="F63" s="2">
        <v>45793</v>
      </c>
      <c r="G63" s="3">
        <v>-380267.06</v>
      </c>
      <c r="H63" s="3">
        <v>-4445.57</v>
      </c>
      <c r="I63" s="3">
        <f>VLOOKUP(B63,[1]Workings!$C:$J,8,0)</f>
        <v>4522.2300000000005</v>
      </c>
      <c r="J63" s="3">
        <f t="shared" si="0"/>
        <v>76.660000000000764</v>
      </c>
      <c r="K63" s="3" t="s">
        <v>469</v>
      </c>
      <c r="L63" s="3"/>
      <c r="M63" t="s">
        <v>3</v>
      </c>
      <c r="N63" t="s">
        <v>4</v>
      </c>
      <c r="O63" t="s">
        <v>5</v>
      </c>
      <c r="P63" t="s">
        <v>7</v>
      </c>
      <c r="Q63" t="s">
        <v>195</v>
      </c>
      <c r="R63" s="6">
        <v>4700106492</v>
      </c>
      <c r="S63" t="s">
        <v>9</v>
      </c>
      <c r="T63" t="s">
        <v>193</v>
      </c>
      <c r="U63" t="s">
        <v>10</v>
      </c>
      <c r="V63" t="s">
        <v>6</v>
      </c>
      <c r="W63" t="s">
        <v>11</v>
      </c>
      <c r="X63" s="2">
        <v>45835</v>
      </c>
      <c r="Y63" t="s">
        <v>12</v>
      </c>
      <c r="Z63" t="s">
        <v>13</v>
      </c>
    </row>
    <row r="64" spans="1:26" x14ac:dyDescent="0.25">
      <c r="A64" t="s">
        <v>0</v>
      </c>
      <c r="B64" s="5">
        <v>256779412038</v>
      </c>
      <c r="C64" t="s">
        <v>197</v>
      </c>
      <c r="D64" s="2">
        <v>45820</v>
      </c>
      <c r="E64" s="2">
        <v>45763</v>
      </c>
      <c r="F64" s="2">
        <v>45793</v>
      </c>
      <c r="G64" s="3">
        <v>-15325.25</v>
      </c>
      <c r="H64" s="3">
        <v>-179.16</v>
      </c>
      <c r="I64" s="3">
        <f>VLOOKUP(B64,[1]Workings!$C:$J,8,0)</f>
        <v>182.26000000000002</v>
      </c>
      <c r="J64" s="3">
        <f t="shared" si="0"/>
        <v>3.1000000000000227</v>
      </c>
      <c r="K64" s="3" t="s">
        <v>469</v>
      </c>
      <c r="L64" s="3"/>
      <c r="M64" t="s">
        <v>3</v>
      </c>
      <c r="N64" t="s">
        <v>4</v>
      </c>
      <c r="O64" t="s">
        <v>5</v>
      </c>
      <c r="P64" t="s">
        <v>7</v>
      </c>
      <c r="Q64" t="s">
        <v>198</v>
      </c>
      <c r="R64" s="6">
        <v>4700106492</v>
      </c>
      <c r="S64" t="s">
        <v>9</v>
      </c>
      <c r="T64" t="s">
        <v>196</v>
      </c>
      <c r="U64" t="s">
        <v>10</v>
      </c>
      <c r="V64" t="s">
        <v>6</v>
      </c>
      <c r="W64" t="s">
        <v>11</v>
      </c>
      <c r="X64" s="2">
        <v>45835</v>
      </c>
      <c r="Y64" t="s">
        <v>12</v>
      </c>
      <c r="Z64" t="s">
        <v>13</v>
      </c>
    </row>
    <row r="65" spans="1:26" x14ac:dyDescent="0.25">
      <c r="A65" t="s">
        <v>0</v>
      </c>
      <c r="B65" s="5">
        <v>256779412815</v>
      </c>
      <c r="C65" t="s">
        <v>200</v>
      </c>
      <c r="D65" s="2">
        <v>45820</v>
      </c>
      <c r="E65" s="2">
        <v>45771</v>
      </c>
      <c r="F65" s="2">
        <v>45801</v>
      </c>
      <c r="G65" s="3">
        <v>-30717.200000000001</v>
      </c>
      <c r="H65" s="3">
        <v>-359.1</v>
      </c>
      <c r="I65" s="3">
        <f>VLOOKUP(B65,[1]Workings!$C:$J,8,0)</f>
        <v>365.29999999999995</v>
      </c>
      <c r="J65" s="3">
        <f t="shared" si="0"/>
        <v>6.1999999999999318</v>
      </c>
      <c r="K65" s="3" t="s">
        <v>469</v>
      </c>
      <c r="L65" s="3"/>
      <c r="M65" t="s">
        <v>3</v>
      </c>
      <c r="N65" t="s">
        <v>4</v>
      </c>
      <c r="O65" t="s">
        <v>5</v>
      </c>
      <c r="P65" t="s">
        <v>7</v>
      </c>
      <c r="Q65" t="s">
        <v>201</v>
      </c>
      <c r="R65" s="6">
        <v>4700106492</v>
      </c>
      <c r="S65" t="s">
        <v>9</v>
      </c>
      <c r="T65" t="s">
        <v>199</v>
      </c>
      <c r="U65" t="s">
        <v>10</v>
      </c>
      <c r="V65" t="s">
        <v>6</v>
      </c>
      <c r="W65" t="s">
        <v>11</v>
      </c>
      <c r="X65" s="2">
        <v>45835</v>
      </c>
      <c r="Y65" t="s">
        <v>12</v>
      </c>
      <c r="Z65" t="s">
        <v>13</v>
      </c>
    </row>
    <row r="66" spans="1:26" x14ac:dyDescent="0.25">
      <c r="A66" t="s">
        <v>0</v>
      </c>
      <c r="B66" s="5">
        <v>256779412814</v>
      </c>
      <c r="C66" t="s">
        <v>203</v>
      </c>
      <c r="D66" s="2">
        <v>45820</v>
      </c>
      <c r="E66" s="2">
        <v>45771</v>
      </c>
      <c r="F66" s="2">
        <v>45801</v>
      </c>
      <c r="G66" s="3">
        <v>-335764.69</v>
      </c>
      <c r="H66" s="3">
        <v>-3925.31</v>
      </c>
      <c r="I66" s="3">
        <f>VLOOKUP(B66,[1]Workings!$C:$J,8,0)</f>
        <v>3993</v>
      </c>
      <c r="J66" s="3">
        <f t="shared" si="0"/>
        <v>67.690000000000055</v>
      </c>
      <c r="K66" s="3" t="s">
        <v>469</v>
      </c>
      <c r="L66" s="3"/>
      <c r="M66" t="s">
        <v>3</v>
      </c>
      <c r="N66" t="s">
        <v>4</v>
      </c>
      <c r="O66" t="s">
        <v>5</v>
      </c>
      <c r="P66" t="s">
        <v>7</v>
      </c>
      <c r="Q66" t="s">
        <v>204</v>
      </c>
      <c r="R66" s="6">
        <v>4700106492</v>
      </c>
      <c r="S66" t="s">
        <v>9</v>
      </c>
      <c r="T66" t="s">
        <v>202</v>
      </c>
      <c r="U66" t="s">
        <v>10</v>
      </c>
      <c r="V66" t="s">
        <v>6</v>
      </c>
      <c r="W66" t="s">
        <v>11</v>
      </c>
      <c r="X66" s="2">
        <v>45835</v>
      </c>
      <c r="Y66" t="s">
        <v>12</v>
      </c>
      <c r="Z66" t="s">
        <v>13</v>
      </c>
    </row>
    <row r="67" spans="1:26" x14ac:dyDescent="0.25">
      <c r="A67" t="s">
        <v>0</v>
      </c>
      <c r="B67" s="5">
        <v>256779412784</v>
      </c>
      <c r="C67" t="s">
        <v>206</v>
      </c>
      <c r="D67" s="2">
        <v>45890</v>
      </c>
      <c r="E67" s="2">
        <v>45771</v>
      </c>
      <c r="F67" s="2">
        <v>45801</v>
      </c>
      <c r="G67" s="3">
        <v>-5302.07</v>
      </c>
      <c r="H67" s="3">
        <v>-60.9</v>
      </c>
      <c r="I67" s="3">
        <f>VLOOKUP(B67,[1]Workings!$C:$J,8,0)</f>
        <v>61.959999999999994</v>
      </c>
      <c r="J67" s="3">
        <f t="shared" si="0"/>
        <v>1.0599999999999952</v>
      </c>
      <c r="K67" s="3" t="s">
        <v>469</v>
      </c>
      <c r="L67" s="3"/>
      <c r="M67" t="s">
        <v>3</v>
      </c>
      <c r="N67" t="s">
        <v>4</v>
      </c>
      <c r="O67" t="s">
        <v>5</v>
      </c>
      <c r="P67" t="s">
        <v>7</v>
      </c>
      <c r="Q67" t="s">
        <v>207</v>
      </c>
      <c r="R67" s="6">
        <v>4700109549</v>
      </c>
      <c r="S67" t="s">
        <v>9</v>
      </c>
      <c r="T67" t="s">
        <v>205</v>
      </c>
      <c r="U67" t="s">
        <v>10</v>
      </c>
      <c r="V67" t="s">
        <v>6</v>
      </c>
      <c r="W67" t="s">
        <v>11</v>
      </c>
      <c r="X67" s="2">
        <v>45894</v>
      </c>
      <c r="Y67" t="s">
        <v>12</v>
      </c>
      <c r="Z67" t="s">
        <v>13</v>
      </c>
    </row>
    <row r="68" spans="1:26" x14ac:dyDescent="0.25">
      <c r="A68" t="s">
        <v>0</v>
      </c>
      <c r="B68" s="5">
        <v>256779413531</v>
      </c>
      <c r="C68" t="s">
        <v>209</v>
      </c>
      <c r="D68" s="2">
        <v>45821</v>
      </c>
      <c r="E68" s="2">
        <v>45785</v>
      </c>
      <c r="F68" s="2">
        <v>45815</v>
      </c>
      <c r="G68" s="3">
        <v>-10749.97</v>
      </c>
      <c r="H68" s="3">
        <v>-125.68</v>
      </c>
      <c r="I68" s="3">
        <f>VLOOKUP(B68,[1]Workings!$C:$J,8,0)</f>
        <v>127.85</v>
      </c>
      <c r="J68" s="3">
        <f t="shared" ref="J68:J131" si="1">H68+I68</f>
        <v>2.1699999999999875</v>
      </c>
      <c r="K68" s="3" t="s">
        <v>469</v>
      </c>
      <c r="L68" s="3"/>
      <c r="M68" t="s">
        <v>3</v>
      </c>
      <c r="N68" t="s">
        <v>4</v>
      </c>
      <c r="O68" t="s">
        <v>5</v>
      </c>
      <c r="P68" t="s">
        <v>7</v>
      </c>
      <c r="Q68" t="s">
        <v>210</v>
      </c>
      <c r="R68" s="6">
        <v>4700106492</v>
      </c>
      <c r="S68" t="s">
        <v>9</v>
      </c>
      <c r="T68" t="s">
        <v>208</v>
      </c>
      <c r="U68" t="s">
        <v>10</v>
      </c>
      <c r="V68" t="s">
        <v>6</v>
      </c>
      <c r="W68" t="s">
        <v>11</v>
      </c>
      <c r="X68" s="2">
        <v>45835</v>
      </c>
      <c r="Y68" t="s">
        <v>12</v>
      </c>
      <c r="Z68" t="s">
        <v>13</v>
      </c>
    </row>
    <row r="69" spans="1:26" x14ac:dyDescent="0.25">
      <c r="A69" t="s">
        <v>0</v>
      </c>
      <c r="B69" s="5">
        <v>256779413532</v>
      </c>
      <c r="C69" t="s">
        <v>212</v>
      </c>
      <c r="D69" s="2">
        <v>45821</v>
      </c>
      <c r="E69" s="2">
        <v>45785</v>
      </c>
      <c r="F69" s="2">
        <v>45815</v>
      </c>
      <c r="G69" s="3">
        <v>-4232.9399999999996</v>
      </c>
      <c r="H69" s="3">
        <v>-49.49</v>
      </c>
      <c r="I69" s="3">
        <f>VLOOKUP(B69,[1]Workings!$C:$J,8,0)</f>
        <v>50.339999999999996</v>
      </c>
      <c r="J69" s="3">
        <f t="shared" si="1"/>
        <v>0.84999999999999432</v>
      </c>
      <c r="K69" s="3" t="s">
        <v>469</v>
      </c>
      <c r="L69" s="3"/>
      <c r="M69" t="s">
        <v>3</v>
      </c>
      <c r="N69" t="s">
        <v>4</v>
      </c>
      <c r="O69" t="s">
        <v>5</v>
      </c>
      <c r="P69" t="s">
        <v>7</v>
      </c>
      <c r="Q69" t="s">
        <v>213</v>
      </c>
      <c r="R69" s="6">
        <v>4700106492</v>
      </c>
      <c r="S69" t="s">
        <v>9</v>
      </c>
      <c r="T69" t="s">
        <v>211</v>
      </c>
      <c r="U69" t="s">
        <v>10</v>
      </c>
      <c r="V69" t="s">
        <v>6</v>
      </c>
      <c r="W69" t="s">
        <v>11</v>
      </c>
      <c r="X69" s="2">
        <v>45835</v>
      </c>
      <c r="Y69" t="s">
        <v>12</v>
      </c>
      <c r="Z69" t="s">
        <v>13</v>
      </c>
    </row>
    <row r="70" spans="1:26" x14ac:dyDescent="0.25">
      <c r="A70" t="s">
        <v>0</v>
      </c>
      <c r="B70" s="5">
        <v>256779413530</v>
      </c>
      <c r="C70" t="s">
        <v>215</v>
      </c>
      <c r="D70" s="2">
        <v>45821</v>
      </c>
      <c r="E70" s="2">
        <v>45785</v>
      </c>
      <c r="F70" s="2">
        <v>45815</v>
      </c>
      <c r="G70" s="3">
        <v>-340979.33</v>
      </c>
      <c r="H70" s="3">
        <v>-3986.33</v>
      </c>
      <c r="I70" s="3">
        <f>VLOOKUP(B70,[1]Workings!$C:$J,8,0)</f>
        <v>4055.06</v>
      </c>
      <c r="J70" s="3">
        <f t="shared" si="1"/>
        <v>68.730000000000018</v>
      </c>
      <c r="K70" s="3" t="s">
        <v>469</v>
      </c>
      <c r="L70" s="3"/>
      <c r="M70" t="s">
        <v>3</v>
      </c>
      <c r="N70" t="s">
        <v>4</v>
      </c>
      <c r="O70" t="s">
        <v>5</v>
      </c>
      <c r="P70" t="s">
        <v>7</v>
      </c>
      <c r="Q70" t="s">
        <v>216</v>
      </c>
      <c r="R70" s="6">
        <v>4700106492</v>
      </c>
      <c r="S70" t="s">
        <v>9</v>
      </c>
      <c r="T70" t="s">
        <v>214</v>
      </c>
      <c r="U70" t="s">
        <v>10</v>
      </c>
      <c r="V70" t="s">
        <v>6</v>
      </c>
      <c r="W70" t="s">
        <v>11</v>
      </c>
      <c r="X70" s="2">
        <v>45835</v>
      </c>
      <c r="Y70" t="s">
        <v>12</v>
      </c>
      <c r="Z70" t="s">
        <v>13</v>
      </c>
    </row>
    <row r="71" spans="1:26" x14ac:dyDescent="0.25">
      <c r="A71" t="s">
        <v>0</v>
      </c>
      <c r="B71" s="5">
        <v>256779413195</v>
      </c>
      <c r="C71" t="s">
        <v>218</v>
      </c>
      <c r="D71" s="2">
        <v>45890</v>
      </c>
      <c r="E71" s="2">
        <v>45787</v>
      </c>
      <c r="F71" s="2">
        <v>45817</v>
      </c>
      <c r="G71" s="3">
        <v>-10685.92</v>
      </c>
      <c r="H71" s="3">
        <v>-122.74</v>
      </c>
      <c r="I71" s="3">
        <f>VLOOKUP(B71,[1]Workings!$C:$J,8,0)</f>
        <v>124.86999999999999</v>
      </c>
      <c r="J71" s="3">
        <f t="shared" si="1"/>
        <v>2.1299999999999955</v>
      </c>
      <c r="K71" s="3" t="s">
        <v>469</v>
      </c>
      <c r="L71" s="3"/>
      <c r="M71" t="s">
        <v>3</v>
      </c>
      <c r="N71" t="s">
        <v>4</v>
      </c>
      <c r="O71" t="s">
        <v>5</v>
      </c>
      <c r="P71" t="s">
        <v>7</v>
      </c>
      <c r="Q71" t="s">
        <v>219</v>
      </c>
      <c r="R71" s="6">
        <v>4700109549</v>
      </c>
      <c r="S71" t="s">
        <v>9</v>
      </c>
      <c r="T71" t="s">
        <v>217</v>
      </c>
      <c r="U71" t="s">
        <v>10</v>
      </c>
      <c r="V71" t="s">
        <v>6</v>
      </c>
      <c r="W71" t="s">
        <v>11</v>
      </c>
      <c r="X71" s="2">
        <v>45894</v>
      </c>
      <c r="Y71" t="s">
        <v>12</v>
      </c>
      <c r="Z71" t="s">
        <v>13</v>
      </c>
    </row>
    <row r="72" spans="1:26" x14ac:dyDescent="0.25">
      <c r="A72" t="s">
        <v>0</v>
      </c>
      <c r="B72" s="5">
        <v>256779413679</v>
      </c>
      <c r="C72" t="s">
        <v>221</v>
      </c>
      <c r="D72" s="2">
        <v>45821</v>
      </c>
      <c r="E72" s="2">
        <v>45798</v>
      </c>
      <c r="F72" s="2">
        <v>45828</v>
      </c>
      <c r="G72" s="3">
        <v>-11196.97</v>
      </c>
      <c r="H72" s="3">
        <v>-130.9</v>
      </c>
      <c r="I72" s="3">
        <f>VLOOKUP(B72,[1]Workings!$C:$J,8,0)</f>
        <v>133.16999999999999</v>
      </c>
      <c r="J72" s="3">
        <f t="shared" si="1"/>
        <v>2.2699999999999818</v>
      </c>
      <c r="K72" s="3" t="s">
        <v>469</v>
      </c>
      <c r="L72" s="3"/>
      <c r="M72" t="s">
        <v>3</v>
      </c>
      <c r="N72" t="s">
        <v>4</v>
      </c>
      <c r="O72" t="s">
        <v>5</v>
      </c>
      <c r="P72" t="s">
        <v>7</v>
      </c>
      <c r="Q72" t="s">
        <v>222</v>
      </c>
      <c r="R72" s="6">
        <v>4700106492</v>
      </c>
      <c r="S72" t="s">
        <v>9</v>
      </c>
      <c r="T72" t="s">
        <v>220</v>
      </c>
      <c r="U72" t="s">
        <v>10</v>
      </c>
      <c r="V72" t="s">
        <v>6</v>
      </c>
      <c r="W72" t="s">
        <v>11</v>
      </c>
      <c r="X72" s="2">
        <v>45835</v>
      </c>
      <c r="Y72" t="s">
        <v>12</v>
      </c>
      <c r="Z72" t="s">
        <v>13</v>
      </c>
    </row>
    <row r="73" spans="1:26" x14ac:dyDescent="0.25">
      <c r="A73" t="s">
        <v>0</v>
      </c>
      <c r="B73" s="5">
        <v>256779413678</v>
      </c>
      <c r="C73" t="s">
        <v>224</v>
      </c>
      <c r="D73" s="2">
        <v>45821</v>
      </c>
      <c r="E73" s="2">
        <v>45798</v>
      </c>
      <c r="F73" s="2">
        <v>45828</v>
      </c>
      <c r="G73" s="3">
        <v>-1706.4</v>
      </c>
      <c r="H73" s="3">
        <v>-19.95</v>
      </c>
      <c r="I73" s="3">
        <f>VLOOKUP(B73,[1]Workings!$C:$J,8,0)</f>
        <v>20.3</v>
      </c>
      <c r="J73" s="3">
        <f t="shared" si="1"/>
        <v>0.35000000000000142</v>
      </c>
      <c r="K73" s="3" t="s">
        <v>469</v>
      </c>
      <c r="L73" s="3"/>
      <c r="M73" t="s">
        <v>3</v>
      </c>
      <c r="N73" t="s">
        <v>4</v>
      </c>
      <c r="O73" t="s">
        <v>5</v>
      </c>
      <c r="P73" t="s">
        <v>7</v>
      </c>
      <c r="Q73" t="s">
        <v>225</v>
      </c>
      <c r="R73" s="6">
        <v>4700106492</v>
      </c>
      <c r="S73" t="s">
        <v>9</v>
      </c>
      <c r="T73" t="s">
        <v>223</v>
      </c>
      <c r="U73" t="s">
        <v>10</v>
      </c>
      <c r="V73" t="s">
        <v>6</v>
      </c>
      <c r="W73" t="s">
        <v>11</v>
      </c>
      <c r="X73" s="2">
        <v>45835</v>
      </c>
      <c r="Y73" t="s">
        <v>12</v>
      </c>
      <c r="Z73" t="s">
        <v>13</v>
      </c>
    </row>
    <row r="74" spans="1:26" x14ac:dyDescent="0.25">
      <c r="A74" t="s">
        <v>0</v>
      </c>
      <c r="B74" s="5">
        <v>256779413677</v>
      </c>
      <c r="C74" t="s">
        <v>227</v>
      </c>
      <c r="D74" s="2">
        <v>45821</v>
      </c>
      <c r="E74" s="2">
        <v>45798</v>
      </c>
      <c r="F74" s="2">
        <v>45828</v>
      </c>
      <c r="G74" s="3">
        <v>-354959.77</v>
      </c>
      <c r="H74" s="3">
        <v>-4149.7700000000004</v>
      </c>
      <c r="I74" s="3">
        <f>VLOOKUP(B74,[1]Workings!$C:$J,8,0)</f>
        <v>4221.32</v>
      </c>
      <c r="J74" s="3">
        <f t="shared" si="1"/>
        <v>71.549999999999272</v>
      </c>
      <c r="K74" s="3" t="s">
        <v>469</v>
      </c>
      <c r="L74" s="3"/>
      <c r="M74" t="s">
        <v>3</v>
      </c>
      <c r="N74" t="s">
        <v>4</v>
      </c>
      <c r="O74" t="s">
        <v>5</v>
      </c>
      <c r="P74" t="s">
        <v>7</v>
      </c>
      <c r="Q74" t="s">
        <v>228</v>
      </c>
      <c r="R74" s="6">
        <v>4700106492</v>
      </c>
      <c r="S74" t="s">
        <v>9</v>
      </c>
      <c r="T74" t="s">
        <v>226</v>
      </c>
      <c r="U74" t="s">
        <v>10</v>
      </c>
      <c r="V74" t="s">
        <v>6</v>
      </c>
      <c r="W74" t="s">
        <v>11</v>
      </c>
      <c r="X74" s="2">
        <v>45835</v>
      </c>
      <c r="Y74" t="s">
        <v>12</v>
      </c>
      <c r="Z74" t="s">
        <v>13</v>
      </c>
    </row>
    <row r="75" spans="1:26" x14ac:dyDescent="0.25">
      <c r="A75" t="s">
        <v>0</v>
      </c>
      <c r="B75" s="5">
        <v>256779414047</v>
      </c>
      <c r="C75" t="s">
        <v>230</v>
      </c>
      <c r="D75" s="2">
        <v>45840</v>
      </c>
      <c r="E75" s="2">
        <v>45813</v>
      </c>
      <c r="F75" s="2">
        <v>45843</v>
      </c>
      <c r="G75" s="3">
        <v>-11415.96</v>
      </c>
      <c r="H75" s="3">
        <v>-133.41999999999999</v>
      </c>
      <c r="I75" s="3">
        <f>VLOOKUP(B75,[1]Workings!$C:$J,8,0)</f>
        <v>135.72</v>
      </c>
      <c r="J75" s="3">
        <f t="shared" si="1"/>
        <v>2.3000000000000114</v>
      </c>
      <c r="K75" s="3" t="s">
        <v>469</v>
      </c>
      <c r="L75" s="3"/>
      <c r="M75" t="s">
        <v>3</v>
      </c>
      <c r="N75" t="s">
        <v>4</v>
      </c>
      <c r="O75" t="s">
        <v>5</v>
      </c>
      <c r="P75" t="s">
        <v>7</v>
      </c>
      <c r="Q75" t="s">
        <v>231</v>
      </c>
      <c r="R75" s="6">
        <v>4700107705</v>
      </c>
      <c r="S75" t="s">
        <v>9</v>
      </c>
      <c r="T75" t="s">
        <v>229</v>
      </c>
      <c r="U75" t="s">
        <v>10</v>
      </c>
      <c r="V75" t="s">
        <v>6</v>
      </c>
      <c r="W75" t="s">
        <v>11</v>
      </c>
      <c r="X75" s="2">
        <v>45863</v>
      </c>
      <c r="Y75" t="s">
        <v>12</v>
      </c>
      <c r="Z75" t="s">
        <v>13</v>
      </c>
    </row>
    <row r="76" spans="1:26" x14ac:dyDescent="0.25">
      <c r="A76" t="s">
        <v>0</v>
      </c>
      <c r="B76" s="5">
        <v>256779414046</v>
      </c>
      <c r="C76" t="s">
        <v>233</v>
      </c>
      <c r="D76" s="2">
        <v>45840</v>
      </c>
      <c r="E76" s="2">
        <v>45813</v>
      </c>
      <c r="F76" s="2">
        <v>45843</v>
      </c>
      <c r="G76" s="3">
        <v>-1820.49</v>
      </c>
      <c r="H76" s="3">
        <v>-21.28</v>
      </c>
      <c r="I76" s="3">
        <f>VLOOKUP(B76,[1]Workings!$C:$J,8,0)</f>
        <v>21.650000000000002</v>
      </c>
      <c r="J76" s="3">
        <f t="shared" si="1"/>
        <v>0.37000000000000099</v>
      </c>
      <c r="K76" s="3" t="s">
        <v>469</v>
      </c>
      <c r="L76" s="3"/>
      <c r="M76" t="s">
        <v>3</v>
      </c>
      <c r="N76" t="s">
        <v>4</v>
      </c>
      <c r="O76" t="s">
        <v>5</v>
      </c>
      <c r="P76" t="s">
        <v>7</v>
      </c>
      <c r="Q76" t="s">
        <v>234</v>
      </c>
      <c r="R76" s="6">
        <v>4700107705</v>
      </c>
      <c r="S76" t="s">
        <v>9</v>
      </c>
      <c r="T76" t="s">
        <v>232</v>
      </c>
      <c r="U76" t="s">
        <v>10</v>
      </c>
      <c r="V76" t="s">
        <v>6</v>
      </c>
      <c r="W76" t="s">
        <v>11</v>
      </c>
      <c r="X76" s="2">
        <v>45863</v>
      </c>
      <c r="Y76" t="s">
        <v>12</v>
      </c>
      <c r="Z76" t="s">
        <v>13</v>
      </c>
    </row>
    <row r="77" spans="1:26" x14ac:dyDescent="0.25">
      <c r="A77" t="s">
        <v>0</v>
      </c>
      <c r="B77" s="5">
        <v>256779414045</v>
      </c>
      <c r="C77" t="s">
        <v>236</v>
      </c>
      <c r="D77" s="2">
        <v>45840</v>
      </c>
      <c r="E77" s="2">
        <v>45813</v>
      </c>
      <c r="F77" s="2">
        <v>45843</v>
      </c>
      <c r="G77" s="3">
        <v>-367779.82</v>
      </c>
      <c r="H77" s="3">
        <v>-4298.24</v>
      </c>
      <c r="I77" s="3">
        <f>VLOOKUP(B77,[1]Workings!$C:$J,8,0)</f>
        <v>4372.3599999999997</v>
      </c>
      <c r="J77" s="3">
        <f t="shared" si="1"/>
        <v>74.119999999999891</v>
      </c>
      <c r="K77" s="3" t="s">
        <v>469</v>
      </c>
      <c r="L77" s="3"/>
      <c r="M77" t="s">
        <v>3</v>
      </c>
      <c r="N77" t="s">
        <v>4</v>
      </c>
      <c r="O77" t="s">
        <v>5</v>
      </c>
      <c r="P77" t="s">
        <v>7</v>
      </c>
      <c r="Q77" t="s">
        <v>237</v>
      </c>
      <c r="R77" s="6">
        <v>4700107705</v>
      </c>
      <c r="S77" t="s">
        <v>9</v>
      </c>
      <c r="T77" t="s">
        <v>235</v>
      </c>
      <c r="U77" t="s">
        <v>10</v>
      </c>
      <c r="V77" t="s">
        <v>6</v>
      </c>
      <c r="W77" t="s">
        <v>11</v>
      </c>
      <c r="X77" s="2">
        <v>45863</v>
      </c>
      <c r="Y77" t="s">
        <v>12</v>
      </c>
      <c r="Z77" t="s">
        <v>13</v>
      </c>
    </row>
    <row r="78" spans="1:26" x14ac:dyDescent="0.25">
      <c r="A78" t="s">
        <v>0</v>
      </c>
      <c r="B78" s="5">
        <v>256779414395</v>
      </c>
      <c r="C78" t="s">
        <v>239</v>
      </c>
      <c r="D78" s="2">
        <v>45841</v>
      </c>
      <c r="E78" s="2">
        <v>45818</v>
      </c>
      <c r="F78" s="2">
        <v>45848</v>
      </c>
      <c r="G78" s="3">
        <v>-160983.35</v>
      </c>
      <c r="H78" s="3">
        <v>-1879.2</v>
      </c>
      <c r="I78" s="3">
        <f>VLOOKUP(B78,[1]Workings!$C:$J,8,0)</f>
        <v>1911.6</v>
      </c>
      <c r="J78" s="3">
        <f t="shared" si="1"/>
        <v>32.399999999999864</v>
      </c>
      <c r="K78" s="3" t="s">
        <v>469</v>
      </c>
      <c r="L78" s="3"/>
      <c r="M78" t="s">
        <v>3</v>
      </c>
      <c r="N78" t="s">
        <v>4</v>
      </c>
      <c r="O78" t="s">
        <v>5</v>
      </c>
      <c r="P78" t="s">
        <v>7</v>
      </c>
      <c r="Q78" t="s">
        <v>240</v>
      </c>
      <c r="R78" s="6">
        <v>4700107705</v>
      </c>
      <c r="S78" t="s">
        <v>9</v>
      </c>
      <c r="T78" t="s">
        <v>238</v>
      </c>
      <c r="U78" t="s">
        <v>10</v>
      </c>
      <c r="V78" t="s">
        <v>6</v>
      </c>
      <c r="W78" t="s">
        <v>11</v>
      </c>
      <c r="X78" s="2">
        <v>45863</v>
      </c>
      <c r="Y78" t="s">
        <v>12</v>
      </c>
      <c r="Z78" t="s">
        <v>13</v>
      </c>
    </row>
    <row r="79" spans="1:26" x14ac:dyDescent="0.25">
      <c r="A79" t="s">
        <v>0</v>
      </c>
      <c r="B79" s="5">
        <v>256779414615</v>
      </c>
      <c r="C79" t="s">
        <v>242</v>
      </c>
      <c r="D79" s="2">
        <v>45870</v>
      </c>
      <c r="E79" s="2">
        <v>45826</v>
      </c>
      <c r="F79" s="2">
        <v>45856</v>
      </c>
      <c r="G79" s="3">
        <v>-369907.08</v>
      </c>
      <c r="H79" s="3">
        <v>-4221.5</v>
      </c>
      <c r="I79" s="3">
        <f>VLOOKUP(B79,[1]Workings!$C:$J,8,0)</f>
        <v>4294.29</v>
      </c>
      <c r="J79" s="3">
        <f t="shared" si="1"/>
        <v>72.789999999999964</v>
      </c>
      <c r="K79" s="3" t="s">
        <v>469</v>
      </c>
      <c r="L79" s="3"/>
      <c r="M79" t="s">
        <v>3</v>
      </c>
      <c r="N79" t="s">
        <v>4</v>
      </c>
      <c r="O79" t="s">
        <v>5</v>
      </c>
      <c r="P79" t="s">
        <v>7</v>
      </c>
      <c r="Q79" t="s">
        <v>243</v>
      </c>
      <c r="R79" s="6">
        <v>4700109549</v>
      </c>
      <c r="S79" t="s">
        <v>9</v>
      </c>
      <c r="T79" t="s">
        <v>241</v>
      </c>
      <c r="U79" t="s">
        <v>10</v>
      </c>
      <c r="V79" t="s">
        <v>6</v>
      </c>
      <c r="W79" t="s">
        <v>11</v>
      </c>
      <c r="X79" s="2">
        <v>45894</v>
      </c>
      <c r="Y79" t="s">
        <v>12</v>
      </c>
      <c r="Z79" t="s">
        <v>13</v>
      </c>
    </row>
    <row r="80" spans="1:26" x14ac:dyDescent="0.25">
      <c r="A80" t="s">
        <v>0</v>
      </c>
      <c r="B80" s="5">
        <v>256779414616</v>
      </c>
      <c r="C80" t="s">
        <v>245</v>
      </c>
      <c r="D80" s="2">
        <v>45870</v>
      </c>
      <c r="E80" s="2">
        <v>45826</v>
      </c>
      <c r="F80" s="2">
        <v>45856</v>
      </c>
      <c r="G80" s="3">
        <v>-1835.19</v>
      </c>
      <c r="H80" s="3">
        <v>-20.94</v>
      </c>
      <c r="I80" s="3">
        <f>VLOOKUP(B80,[1]Workings!$C:$J,8,0)</f>
        <v>21.31</v>
      </c>
      <c r="J80" s="3">
        <f t="shared" si="1"/>
        <v>0.36999999999999744</v>
      </c>
      <c r="K80" s="3" t="s">
        <v>469</v>
      </c>
      <c r="L80" s="3"/>
      <c r="M80" t="s">
        <v>3</v>
      </c>
      <c r="N80" t="s">
        <v>4</v>
      </c>
      <c r="O80" t="s">
        <v>5</v>
      </c>
      <c r="P80" t="s">
        <v>7</v>
      </c>
      <c r="Q80" t="s">
        <v>246</v>
      </c>
      <c r="R80" s="6">
        <v>4700109549</v>
      </c>
      <c r="S80" t="s">
        <v>9</v>
      </c>
      <c r="T80" t="s">
        <v>244</v>
      </c>
      <c r="U80" t="s">
        <v>10</v>
      </c>
      <c r="V80" t="s">
        <v>6</v>
      </c>
      <c r="W80" t="s">
        <v>11</v>
      </c>
      <c r="X80" s="2">
        <v>45894</v>
      </c>
      <c r="Y80" t="s">
        <v>12</v>
      </c>
      <c r="Z80" t="s">
        <v>13</v>
      </c>
    </row>
    <row r="81" spans="1:26" x14ac:dyDescent="0.25">
      <c r="A81" t="s">
        <v>0</v>
      </c>
      <c r="B81" s="5">
        <v>256779414617</v>
      </c>
      <c r="C81" t="s">
        <v>248</v>
      </c>
      <c r="D81" s="2">
        <v>45873</v>
      </c>
      <c r="E81" s="2">
        <v>45826</v>
      </c>
      <c r="F81" s="2">
        <v>45856</v>
      </c>
      <c r="G81" s="3">
        <v>-5754.88</v>
      </c>
      <c r="H81" s="3">
        <v>-65.77</v>
      </c>
      <c r="I81" s="3">
        <f>VLOOKUP(B81,[1]Workings!$C:$J,8,0)</f>
        <v>66.91</v>
      </c>
      <c r="J81" s="3">
        <f t="shared" si="1"/>
        <v>1.1400000000000006</v>
      </c>
      <c r="K81" s="3" t="s">
        <v>469</v>
      </c>
      <c r="L81" s="3"/>
      <c r="M81" t="s">
        <v>3</v>
      </c>
      <c r="N81" t="s">
        <v>4</v>
      </c>
      <c r="O81" t="s">
        <v>5</v>
      </c>
      <c r="P81" t="s">
        <v>7</v>
      </c>
      <c r="Q81" t="s">
        <v>249</v>
      </c>
      <c r="R81" s="6">
        <v>4700109549</v>
      </c>
      <c r="S81" t="s">
        <v>9</v>
      </c>
      <c r="T81" t="s">
        <v>247</v>
      </c>
      <c r="U81" t="s">
        <v>10</v>
      </c>
      <c r="V81" t="s">
        <v>6</v>
      </c>
      <c r="W81" t="s">
        <v>11</v>
      </c>
      <c r="X81" s="2">
        <v>45894</v>
      </c>
      <c r="Y81" t="s">
        <v>12</v>
      </c>
      <c r="Z81" t="s">
        <v>13</v>
      </c>
    </row>
    <row r="82" spans="1:26" x14ac:dyDescent="0.25">
      <c r="A82" t="s">
        <v>0</v>
      </c>
      <c r="B82" s="5">
        <v>256779414953</v>
      </c>
      <c r="C82" t="s">
        <v>251</v>
      </c>
      <c r="D82" s="2">
        <v>45873</v>
      </c>
      <c r="E82" s="2">
        <v>45842</v>
      </c>
      <c r="F82" s="2">
        <v>45872</v>
      </c>
      <c r="G82" s="3">
        <v>-164437.38</v>
      </c>
      <c r="H82" s="3">
        <v>-1879.19</v>
      </c>
      <c r="I82" s="3">
        <f>VLOOKUP(B82,[1]Workings!$C:$J,8,0)</f>
        <v>1975.32</v>
      </c>
      <c r="J82" s="3">
        <f t="shared" si="1"/>
        <v>96.129999999999882</v>
      </c>
      <c r="K82" s="3" t="s">
        <v>470</v>
      </c>
      <c r="L82" s="3"/>
      <c r="M82" t="s">
        <v>3</v>
      </c>
      <c r="N82" t="s">
        <v>4</v>
      </c>
      <c r="O82" t="s">
        <v>5</v>
      </c>
      <c r="P82" t="s">
        <v>7</v>
      </c>
      <c r="Q82" t="s">
        <v>252</v>
      </c>
      <c r="R82" s="6">
        <v>4700109549</v>
      </c>
      <c r="S82" t="s">
        <v>9</v>
      </c>
      <c r="T82" t="s">
        <v>250</v>
      </c>
      <c r="U82" t="s">
        <v>10</v>
      </c>
      <c r="V82" t="s">
        <v>6</v>
      </c>
      <c r="W82" t="s">
        <v>11</v>
      </c>
      <c r="X82" s="2">
        <v>45894</v>
      </c>
      <c r="Y82" t="s">
        <v>12</v>
      </c>
      <c r="Z82" t="s">
        <v>13</v>
      </c>
    </row>
    <row r="83" spans="1:26" x14ac:dyDescent="0.25">
      <c r="A83" t="s">
        <v>0</v>
      </c>
      <c r="B83" s="5">
        <v>256779415079</v>
      </c>
      <c r="C83" t="s">
        <v>254</v>
      </c>
      <c r="D83" s="2">
        <v>45873</v>
      </c>
      <c r="E83" s="2">
        <v>45842</v>
      </c>
      <c r="F83" s="2">
        <v>45872</v>
      </c>
      <c r="G83" s="3">
        <v>-453580.01</v>
      </c>
      <c r="H83" s="3">
        <v>-5183.51</v>
      </c>
      <c r="I83" s="3">
        <f>VLOOKUP(B83,[1]Workings!$C:$J,8,0)</f>
        <v>5272.89</v>
      </c>
      <c r="J83" s="3">
        <f t="shared" si="1"/>
        <v>89.380000000000109</v>
      </c>
      <c r="K83" s="3" t="s">
        <v>469</v>
      </c>
      <c r="L83" s="3"/>
      <c r="M83" t="s">
        <v>3</v>
      </c>
      <c r="N83" t="s">
        <v>4</v>
      </c>
      <c r="O83" t="s">
        <v>5</v>
      </c>
      <c r="P83" t="s">
        <v>7</v>
      </c>
      <c r="Q83" t="s">
        <v>255</v>
      </c>
      <c r="R83" s="6">
        <v>4700109549</v>
      </c>
      <c r="S83" t="s">
        <v>9</v>
      </c>
      <c r="T83" t="s">
        <v>253</v>
      </c>
      <c r="U83" t="s">
        <v>10</v>
      </c>
      <c r="V83" t="s">
        <v>6</v>
      </c>
      <c r="W83" t="s">
        <v>11</v>
      </c>
      <c r="X83" s="2">
        <v>45894</v>
      </c>
      <c r="Y83" t="s">
        <v>12</v>
      </c>
      <c r="Z83" t="s">
        <v>13</v>
      </c>
    </row>
    <row r="84" spans="1:26" x14ac:dyDescent="0.25">
      <c r="A84" t="s">
        <v>0</v>
      </c>
      <c r="B84" s="5">
        <v>256779415081</v>
      </c>
      <c r="C84" t="s">
        <v>257</v>
      </c>
      <c r="D84" s="2">
        <v>45873</v>
      </c>
      <c r="E84" s="2">
        <v>45842</v>
      </c>
      <c r="F84" s="2">
        <v>45872</v>
      </c>
      <c r="G84" s="3">
        <v>-8575.24</v>
      </c>
      <c r="H84" s="3">
        <v>-98</v>
      </c>
      <c r="I84" s="3">
        <f>VLOOKUP(B84,[1]Workings!$C:$J,8,0)</f>
        <v>99.69</v>
      </c>
      <c r="J84" s="3">
        <f t="shared" si="1"/>
        <v>1.6899999999999977</v>
      </c>
      <c r="K84" s="3" t="s">
        <v>469</v>
      </c>
      <c r="L84" s="3"/>
      <c r="M84" t="s">
        <v>3</v>
      </c>
      <c r="N84" t="s">
        <v>4</v>
      </c>
      <c r="O84" t="s">
        <v>5</v>
      </c>
      <c r="P84" t="s">
        <v>7</v>
      </c>
      <c r="Q84" t="s">
        <v>258</v>
      </c>
      <c r="R84" s="6">
        <v>4700109549</v>
      </c>
      <c r="S84" t="s">
        <v>9</v>
      </c>
      <c r="T84" t="s">
        <v>256</v>
      </c>
      <c r="U84" t="s">
        <v>10</v>
      </c>
      <c r="V84" t="s">
        <v>6</v>
      </c>
      <c r="W84" t="s">
        <v>11</v>
      </c>
      <c r="X84" s="2">
        <v>45894</v>
      </c>
      <c r="Y84" t="s">
        <v>12</v>
      </c>
      <c r="Z84" t="s">
        <v>13</v>
      </c>
    </row>
    <row r="85" spans="1:26" x14ac:dyDescent="0.25">
      <c r="A85" t="s">
        <v>0</v>
      </c>
      <c r="B85" s="5">
        <v>256779415080</v>
      </c>
      <c r="C85" t="s">
        <v>260</v>
      </c>
      <c r="D85" s="2">
        <v>45873</v>
      </c>
      <c r="E85" s="2">
        <v>45842</v>
      </c>
      <c r="F85" s="2">
        <v>45872</v>
      </c>
      <c r="G85" s="3">
        <v>-34583.269999999997</v>
      </c>
      <c r="H85" s="3">
        <v>-395.22</v>
      </c>
      <c r="I85" s="3">
        <f>VLOOKUP(B85,[1]Workings!$C:$J,8,0)</f>
        <v>402.03999999999996</v>
      </c>
      <c r="J85" s="3">
        <f t="shared" si="1"/>
        <v>6.8199999999999363</v>
      </c>
      <c r="K85" s="3" t="s">
        <v>469</v>
      </c>
      <c r="L85" s="3"/>
      <c r="M85" t="s">
        <v>3</v>
      </c>
      <c r="N85" t="s">
        <v>4</v>
      </c>
      <c r="O85" t="s">
        <v>5</v>
      </c>
      <c r="P85" t="s">
        <v>7</v>
      </c>
      <c r="Q85" t="s">
        <v>261</v>
      </c>
      <c r="R85" s="6">
        <v>4700109549</v>
      </c>
      <c r="S85" t="s">
        <v>9</v>
      </c>
      <c r="T85" t="s">
        <v>259</v>
      </c>
      <c r="U85" t="s">
        <v>10</v>
      </c>
      <c r="V85" t="s">
        <v>6</v>
      </c>
      <c r="W85" t="s">
        <v>11</v>
      </c>
      <c r="X85" s="2">
        <v>45894</v>
      </c>
      <c r="Y85" t="s">
        <v>12</v>
      </c>
      <c r="Z85" t="s">
        <v>13</v>
      </c>
    </row>
    <row r="86" spans="1:26" x14ac:dyDescent="0.25">
      <c r="A86" t="s">
        <v>0</v>
      </c>
      <c r="B86" s="5">
        <v>256779415219</v>
      </c>
      <c r="C86" t="s">
        <v>263</v>
      </c>
      <c r="D86" s="2">
        <v>45890</v>
      </c>
      <c r="E86" s="2">
        <v>45842</v>
      </c>
      <c r="F86" s="2">
        <v>45872</v>
      </c>
      <c r="G86" s="3">
        <v>-10624.13</v>
      </c>
      <c r="H86" s="3">
        <v>-122.04</v>
      </c>
      <c r="I86" s="3">
        <f>VLOOKUP(B86,[1]Workings!$C:$J,8,0)</f>
        <v>124.14999999999999</v>
      </c>
      <c r="J86" s="3">
        <f t="shared" si="1"/>
        <v>2.1099999999999852</v>
      </c>
      <c r="K86" s="3" t="s">
        <v>469</v>
      </c>
      <c r="L86" s="3"/>
      <c r="M86" t="s">
        <v>3</v>
      </c>
      <c r="N86" t="s">
        <v>4</v>
      </c>
      <c r="O86" t="s">
        <v>5</v>
      </c>
      <c r="P86" t="s">
        <v>7</v>
      </c>
      <c r="Q86" t="s">
        <v>264</v>
      </c>
      <c r="R86" s="6">
        <v>4700109549</v>
      </c>
      <c r="S86" t="s">
        <v>9</v>
      </c>
      <c r="T86" t="s">
        <v>262</v>
      </c>
      <c r="U86" t="s">
        <v>10</v>
      </c>
      <c r="V86" t="s">
        <v>6</v>
      </c>
      <c r="W86" t="s">
        <v>11</v>
      </c>
      <c r="X86" s="2">
        <v>45894</v>
      </c>
      <c r="Y86" t="s">
        <v>12</v>
      </c>
      <c r="Z86" t="s">
        <v>13</v>
      </c>
    </row>
    <row r="87" spans="1:26" x14ac:dyDescent="0.25">
      <c r="A87" t="s">
        <v>0</v>
      </c>
      <c r="B87" s="5">
        <v>256779415600</v>
      </c>
      <c r="C87" t="s">
        <v>266</v>
      </c>
      <c r="D87" s="2">
        <v>45875</v>
      </c>
      <c r="E87" s="2">
        <v>45857</v>
      </c>
      <c r="F87" s="2">
        <v>45887</v>
      </c>
      <c r="G87" s="3">
        <v>-3451.25</v>
      </c>
      <c r="H87" s="3">
        <v>-39.32</v>
      </c>
      <c r="I87" s="3">
        <f>VLOOKUP(B87,[1]Workings!$C:$J,8,0)</f>
        <v>40.14</v>
      </c>
      <c r="J87" s="3">
        <f t="shared" si="1"/>
        <v>0.82000000000000028</v>
      </c>
      <c r="K87" s="3" t="s">
        <v>469</v>
      </c>
      <c r="L87" s="3"/>
      <c r="M87" t="s">
        <v>3</v>
      </c>
      <c r="N87" t="s">
        <v>4</v>
      </c>
      <c r="O87" t="s">
        <v>5</v>
      </c>
      <c r="P87" t="s">
        <v>7</v>
      </c>
      <c r="Q87" t="s">
        <v>267</v>
      </c>
      <c r="R87" s="6">
        <v>4700109549</v>
      </c>
      <c r="S87" t="s">
        <v>9</v>
      </c>
      <c r="T87" t="s">
        <v>265</v>
      </c>
      <c r="U87" t="s">
        <v>10</v>
      </c>
      <c r="V87" t="s">
        <v>6</v>
      </c>
      <c r="W87" t="s">
        <v>11</v>
      </c>
      <c r="X87" s="2">
        <v>45894</v>
      </c>
      <c r="Y87" t="s">
        <v>12</v>
      </c>
      <c r="Z87" t="s">
        <v>13</v>
      </c>
    </row>
    <row r="88" spans="1:26" x14ac:dyDescent="0.25">
      <c r="A88" t="s">
        <v>0</v>
      </c>
      <c r="B88" s="5">
        <v>256779415598</v>
      </c>
      <c r="C88" t="s">
        <v>269</v>
      </c>
      <c r="D88" s="2">
        <v>45875</v>
      </c>
      <c r="E88" s="2">
        <v>45857</v>
      </c>
      <c r="F88" s="2">
        <v>45887</v>
      </c>
      <c r="G88" s="3">
        <v>-450971.36</v>
      </c>
      <c r="H88" s="3">
        <v>-5137.58</v>
      </c>
      <c r="I88" s="3">
        <f>VLOOKUP(B88,[1]Workings!$C:$J,8,0)</f>
        <v>5226.17</v>
      </c>
      <c r="J88" s="3">
        <f t="shared" si="1"/>
        <v>88.590000000000146</v>
      </c>
      <c r="K88" s="3" t="s">
        <v>469</v>
      </c>
      <c r="L88" s="3"/>
      <c r="M88" t="s">
        <v>3</v>
      </c>
      <c r="N88" t="s">
        <v>4</v>
      </c>
      <c r="O88" t="s">
        <v>5</v>
      </c>
      <c r="P88" t="s">
        <v>7</v>
      </c>
      <c r="Q88" t="s">
        <v>270</v>
      </c>
      <c r="R88" s="6">
        <v>4700109549</v>
      </c>
      <c r="S88" t="s">
        <v>9</v>
      </c>
      <c r="T88" t="s">
        <v>268</v>
      </c>
      <c r="U88" t="s">
        <v>10</v>
      </c>
      <c r="V88" t="s">
        <v>6</v>
      </c>
      <c r="W88" t="s">
        <v>11</v>
      </c>
      <c r="X88" s="2">
        <v>45894</v>
      </c>
      <c r="Y88" t="s">
        <v>12</v>
      </c>
      <c r="Z88" t="s">
        <v>13</v>
      </c>
    </row>
    <row r="89" spans="1:26" x14ac:dyDescent="0.25">
      <c r="A89" t="s">
        <v>0</v>
      </c>
      <c r="B89" s="5">
        <v>256779415599</v>
      </c>
      <c r="C89" t="s">
        <v>272</v>
      </c>
      <c r="D89" s="2">
        <v>45876</v>
      </c>
      <c r="E89" s="2">
        <v>45857</v>
      </c>
      <c r="F89" s="2">
        <v>45887</v>
      </c>
      <c r="G89" s="3">
        <v>-11760.69</v>
      </c>
      <c r="H89" s="3">
        <v>-134.07</v>
      </c>
      <c r="I89" s="3">
        <f>VLOOKUP(B89,[1]Workings!$C:$J,8,0)</f>
        <v>136.38</v>
      </c>
      <c r="J89" s="3">
        <f t="shared" si="1"/>
        <v>2.3100000000000023</v>
      </c>
      <c r="K89" s="3" t="s">
        <v>469</v>
      </c>
      <c r="L89" s="3"/>
      <c r="M89" t="s">
        <v>3</v>
      </c>
      <c r="N89" t="s">
        <v>4</v>
      </c>
      <c r="O89" t="s">
        <v>5</v>
      </c>
      <c r="P89" t="s">
        <v>7</v>
      </c>
      <c r="Q89" t="s">
        <v>273</v>
      </c>
      <c r="R89" s="6">
        <v>4700109549</v>
      </c>
      <c r="S89" t="s">
        <v>9</v>
      </c>
      <c r="T89" t="s">
        <v>271</v>
      </c>
      <c r="U89" t="s">
        <v>10</v>
      </c>
      <c r="V89" t="s">
        <v>6</v>
      </c>
      <c r="W89" t="s">
        <v>11</v>
      </c>
      <c r="X89" s="2">
        <v>45894</v>
      </c>
      <c r="Y89" t="s">
        <v>12</v>
      </c>
      <c r="Z89" t="s">
        <v>13</v>
      </c>
    </row>
    <row r="90" spans="1:26" x14ac:dyDescent="0.25">
      <c r="A90" t="s">
        <v>0</v>
      </c>
      <c r="B90" s="5">
        <v>256779415731</v>
      </c>
      <c r="C90" t="s">
        <v>275</v>
      </c>
      <c r="D90" s="2">
        <v>45890</v>
      </c>
      <c r="E90" s="2">
        <v>45857</v>
      </c>
      <c r="F90" s="2">
        <v>45887</v>
      </c>
      <c r="G90" s="3">
        <v>-64249.46</v>
      </c>
      <c r="H90" s="3">
        <v>-738.01</v>
      </c>
      <c r="I90" s="3">
        <f>VLOOKUP(B90,[1]Workings!$C:$J,8,0)</f>
        <v>750.74</v>
      </c>
      <c r="J90" s="3">
        <f t="shared" si="1"/>
        <v>12.730000000000018</v>
      </c>
      <c r="K90" s="3" t="s">
        <v>469</v>
      </c>
      <c r="L90" s="3"/>
      <c r="M90" t="s">
        <v>3</v>
      </c>
      <c r="N90" t="s">
        <v>4</v>
      </c>
      <c r="O90" t="s">
        <v>5</v>
      </c>
      <c r="P90" t="s">
        <v>7</v>
      </c>
      <c r="Q90" t="s">
        <v>276</v>
      </c>
      <c r="R90" s="6">
        <v>4700109549</v>
      </c>
      <c r="S90" t="s">
        <v>9</v>
      </c>
      <c r="T90" t="s">
        <v>274</v>
      </c>
      <c r="U90" t="s">
        <v>10</v>
      </c>
      <c r="V90" t="s">
        <v>6</v>
      </c>
      <c r="W90" t="s">
        <v>11</v>
      </c>
      <c r="X90" s="2">
        <v>45894</v>
      </c>
      <c r="Y90" t="s">
        <v>12</v>
      </c>
      <c r="Z90" t="s">
        <v>13</v>
      </c>
    </row>
    <row r="91" spans="1:26" x14ac:dyDescent="0.25">
      <c r="A91" t="s">
        <v>0</v>
      </c>
      <c r="B91" s="5" t="s">
        <v>277</v>
      </c>
      <c r="C91" t="s">
        <v>278</v>
      </c>
      <c r="D91" s="2">
        <v>45890</v>
      </c>
      <c r="E91" s="2">
        <v>45858</v>
      </c>
      <c r="F91" s="2">
        <v>45888</v>
      </c>
      <c r="G91" s="3">
        <v>9</v>
      </c>
      <c r="H91" s="3">
        <v>9</v>
      </c>
      <c r="I91" s="3" t="e">
        <f>VLOOKUP(B91,[1]Workings!$C:$J,8,0)</f>
        <v>#N/A</v>
      </c>
      <c r="J91" s="3" t="e">
        <f t="shared" si="1"/>
        <v>#N/A</v>
      </c>
      <c r="K91" s="3" t="s">
        <v>473</v>
      </c>
      <c r="L91" s="3"/>
      <c r="M91" t="s">
        <v>279</v>
      </c>
      <c r="N91" t="s">
        <v>280</v>
      </c>
      <c r="O91" t="s">
        <v>16</v>
      </c>
      <c r="P91" t="s">
        <v>281</v>
      </c>
      <c r="Q91" t="s">
        <v>282</v>
      </c>
      <c r="R91" s="6">
        <v>4700109549</v>
      </c>
      <c r="S91" t="s">
        <v>283</v>
      </c>
      <c r="T91" t="s">
        <v>277</v>
      </c>
      <c r="U91" t="s">
        <v>10</v>
      </c>
      <c r="V91" t="s">
        <v>6</v>
      </c>
      <c r="W91" t="s">
        <v>284</v>
      </c>
      <c r="X91" s="2">
        <v>45894</v>
      </c>
      <c r="Y91" t="s">
        <v>12</v>
      </c>
      <c r="Z91" t="s">
        <v>13</v>
      </c>
    </row>
    <row r="92" spans="1:26" x14ac:dyDescent="0.25">
      <c r="A92" t="s">
        <v>0</v>
      </c>
      <c r="B92" s="5">
        <v>256779415894</v>
      </c>
      <c r="C92" t="s">
        <v>286</v>
      </c>
      <c r="D92" s="2">
        <v>45904</v>
      </c>
      <c r="E92" s="2">
        <v>45862</v>
      </c>
      <c r="F92" s="2">
        <v>45892</v>
      </c>
      <c r="G92" s="3">
        <v>-165426.21</v>
      </c>
      <c r="H92" s="3">
        <v>-1879.19</v>
      </c>
      <c r="I92" s="3">
        <f>VLOOKUP(B92,[1]Workings!$C:$J,8,0)</f>
        <v>1911.6</v>
      </c>
      <c r="J92" s="3">
        <f t="shared" si="1"/>
        <v>32.409999999999854</v>
      </c>
      <c r="K92" s="3" t="s">
        <v>469</v>
      </c>
      <c r="L92" s="3"/>
      <c r="M92" t="s">
        <v>3</v>
      </c>
      <c r="N92" t="s">
        <v>4</v>
      </c>
      <c r="O92" t="s">
        <v>5</v>
      </c>
      <c r="P92" t="s">
        <v>7</v>
      </c>
      <c r="Q92" t="s">
        <v>287</v>
      </c>
      <c r="R92" s="6">
        <v>4700109752</v>
      </c>
      <c r="S92" t="s">
        <v>9</v>
      </c>
      <c r="T92" t="s">
        <v>285</v>
      </c>
      <c r="U92" t="s">
        <v>10</v>
      </c>
      <c r="V92" t="s">
        <v>6</v>
      </c>
      <c r="W92" t="s">
        <v>11</v>
      </c>
      <c r="X92" s="2">
        <v>45938</v>
      </c>
      <c r="Y92" t="s">
        <v>12</v>
      </c>
      <c r="Z92" t="s">
        <v>13</v>
      </c>
    </row>
    <row r="93" spans="1:26" x14ac:dyDescent="0.25">
      <c r="A93" t="s">
        <v>0</v>
      </c>
      <c r="B93" s="5">
        <v>256779415895</v>
      </c>
      <c r="C93" t="s">
        <v>289</v>
      </c>
      <c r="D93" s="2">
        <v>45904</v>
      </c>
      <c r="E93" s="2">
        <v>45862</v>
      </c>
      <c r="F93" s="2">
        <v>45892</v>
      </c>
      <c r="G93" s="3">
        <v>-170940.5</v>
      </c>
      <c r="H93" s="3">
        <v>-1941.83</v>
      </c>
      <c r="I93" s="3">
        <f>VLOOKUP(B93,[1]Workings!$C:$J,8,0)</f>
        <v>1975.32</v>
      </c>
      <c r="J93" s="3">
        <f t="shared" si="1"/>
        <v>33.490000000000009</v>
      </c>
      <c r="K93" s="3" t="s">
        <v>469</v>
      </c>
      <c r="L93" s="3"/>
      <c r="M93" t="s">
        <v>3</v>
      </c>
      <c r="N93" t="s">
        <v>4</v>
      </c>
      <c r="O93" t="s">
        <v>5</v>
      </c>
      <c r="P93" t="s">
        <v>7</v>
      </c>
      <c r="Q93" t="s">
        <v>290</v>
      </c>
      <c r="R93" s="6">
        <v>4700109752</v>
      </c>
      <c r="S93" t="s">
        <v>9</v>
      </c>
      <c r="T93" t="s">
        <v>288</v>
      </c>
      <c r="U93" t="s">
        <v>10</v>
      </c>
      <c r="V93" t="s">
        <v>6</v>
      </c>
      <c r="W93" t="s">
        <v>11</v>
      </c>
      <c r="X93" s="2">
        <v>45938</v>
      </c>
      <c r="Y93" t="s">
        <v>12</v>
      </c>
      <c r="Z93" t="s">
        <v>13</v>
      </c>
    </row>
    <row r="94" spans="1:26" x14ac:dyDescent="0.25">
      <c r="A94" t="s">
        <v>0</v>
      </c>
      <c r="B94" s="5">
        <v>256779415947</v>
      </c>
      <c r="C94" t="s">
        <v>292</v>
      </c>
      <c r="D94" s="2">
        <v>45904</v>
      </c>
      <c r="E94" s="2">
        <v>45862</v>
      </c>
      <c r="F94" s="2">
        <v>45892</v>
      </c>
      <c r="G94" s="3">
        <v>-154397.64000000001</v>
      </c>
      <c r="H94" s="3">
        <v>-1753.91</v>
      </c>
      <c r="I94" s="3">
        <f>VLOOKUP(B94,[1]Workings!$C:$J,8,0)</f>
        <v>1784.16</v>
      </c>
      <c r="J94" s="3">
        <f t="shared" si="1"/>
        <v>30.25</v>
      </c>
      <c r="K94" s="3" t="s">
        <v>469</v>
      </c>
      <c r="L94" s="3"/>
      <c r="M94" t="s">
        <v>3</v>
      </c>
      <c r="N94" t="s">
        <v>4</v>
      </c>
      <c r="O94" t="s">
        <v>5</v>
      </c>
      <c r="P94" t="s">
        <v>7</v>
      </c>
      <c r="Q94" t="s">
        <v>293</v>
      </c>
      <c r="R94" s="6">
        <v>4700109752</v>
      </c>
      <c r="S94" t="s">
        <v>9</v>
      </c>
      <c r="T94" t="s">
        <v>291</v>
      </c>
      <c r="U94" t="s">
        <v>10</v>
      </c>
      <c r="V94" t="s">
        <v>6</v>
      </c>
      <c r="W94" t="s">
        <v>11</v>
      </c>
      <c r="X94" s="2">
        <v>45938</v>
      </c>
      <c r="Y94" t="s">
        <v>12</v>
      </c>
      <c r="Z94" t="s">
        <v>13</v>
      </c>
    </row>
    <row r="95" spans="1:26" x14ac:dyDescent="0.25">
      <c r="A95" t="s">
        <v>0</v>
      </c>
      <c r="B95" s="5">
        <v>256779415903</v>
      </c>
      <c r="C95" t="s">
        <v>295</v>
      </c>
      <c r="D95" s="2">
        <v>45904</v>
      </c>
      <c r="E95" s="2">
        <v>45862</v>
      </c>
      <c r="F95" s="2">
        <v>45892</v>
      </c>
      <c r="G95" s="3">
        <v>-170940.5</v>
      </c>
      <c r="H95" s="3">
        <v>-1941.83</v>
      </c>
      <c r="I95" s="3">
        <f>VLOOKUP(B95,[1]Workings!$C:$J,8,0)</f>
        <v>1975.32</v>
      </c>
      <c r="J95" s="3">
        <f t="shared" si="1"/>
        <v>33.490000000000009</v>
      </c>
      <c r="K95" s="3" t="s">
        <v>469</v>
      </c>
      <c r="L95" s="3"/>
      <c r="M95" t="s">
        <v>3</v>
      </c>
      <c r="N95" t="s">
        <v>4</v>
      </c>
      <c r="O95" t="s">
        <v>5</v>
      </c>
      <c r="P95" t="s">
        <v>7</v>
      </c>
      <c r="Q95" t="s">
        <v>296</v>
      </c>
      <c r="R95" s="6">
        <v>4700109752</v>
      </c>
      <c r="S95" t="s">
        <v>9</v>
      </c>
      <c r="T95" t="s">
        <v>294</v>
      </c>
      <c r="U95" t="s">
        <v>10</v>
      </c>
      <c r="V95" t="s">
        <v>6</v>
      </c>
      <c r="W95" t="s">
        <v>11</v>
      </c>
      <c r="X95" s="2">
        <v>45938</v>
      </c>
      <c r="Y95" t="s">
        <v>12</v>
      </c>
      <c r="Z95" t="s">
        <v>13</v>
      </c>
    </row>
    <row r="96" spans="1:26" x14ac:dyDescent="0.25">
      <c r="A96" t="s">
        <v>0</v>
      </c>
      <c r="B96" s="5">
        <v>256779415899</v>
      </c>
      <c r="C96" t="s">
        <v>298</v>
      </c>
      <c r="D96" s="2">
        <v>45904</v>
      </c>
      <c r="E96" s="2">
        <v>45862</v>
      </c>
      <c r="F96" s="2">
        <v>45892</v>
      </c>
      <c r="G96" s="3">
        <v>-170940.5</v>
      </c>
      <c r="H96" s="3">
        <v>-1941.83</v>
      </c>
      <c r="I96" s="3">
        <f>VLOOKUP(B96,[1]Workings!$C:$J,8,0)</f>
        <v>1975.32</v>
      </c>
      <c r="J96" s="3">
        <f t="shared" si="1"/>
        <v>33.490000000000009</v>
      </c>
      <c r="K96" s="3" t="s">
        <v>469</v>
      </c>
      <c r="L96" s="3"/>
      <c r="M96" t="s">
        <v>3</v>
      </c>
      <c r="N96" t="s">
        <v>4</v>
      </c>
      <c r="O96" t="s">
        <v>5</v>
      </c>
      <c r="P96" t="s">
        <v>7</v>
      </c>
      <c r="Q96" t="s">
        <v>299</v>
      </c>
      <c r="R96" s="6">
        <v>4700109752</v>
      </c>
      <c r="S96" t="s">
        <v>9</v>
      </c>
      <c r="T96" t="s">
        <v>297</v>
      </c>
      <c r="U96" t="s">
        <v>10</v>
      </c>
      <c r="V96" t="s">
        <v>6</v>
      </c>
      <c r="W96" t="s">
        <v>11</v>
      </c>
      <c r="X96" s="2">
        <v>45938</v>
      </c>
      <c r="Y96" t="s">
        <v>12</v>
      </c>
      <c r="Z96" t="s">
        <v>13</v>
      </c>
    </row>
    <row r="97" spans="1:26" x14ac:dyDescent="0.25">
      <c r="A97" t="s">
        <v>0</v>
      </c>
      <c r="B97" s="5">
        <v>256779415897</v>
      </c>
      <c r="C97" t="s">
        <v>301</v>
      </c>
      <c r="D97" s="2">
        <v>45904</v>
      </c>
      <c r="E97" s="2">
        <v>45862</v>
      </c>
      <c r="F97" s="2">
        <v>45892</v>
      </c>
      <c r="G97" s="3">
        <v>-165426.21</v>
      </c>
      <c r="H97" s="3">
        <v>-1879.19</v>
      </c>
      <c r="I97" s="3">
        <f>VLOOKUP(B97,[1]Workings!$C:$J,8,0)</f>
        <v>1911.6</v>
      </c>
      <c r="J97" s="3">
        <f t="shared" si="1"/>
        <v>32.409999999999854</v>
      </c>
      <c r="K97" s="3" t="s">
        <v>469</v>
      </c>
      <c r="L97" s="3"/>
      <c r="M97" t="s">
        <v>3</v>
      </c>
      <c r="N97" t="s">
        <v>4</v>
      </c>
      <c r="O97" t="s">
        <v>5</v>
      </c>
      <c r="P97" t="s">
        <v>7</v>
      </c>
      <c r="Q97" t="s">
        <v>302</v>
      </c>
      <c r="R97" s="6">
        <v>4700109752</v>
      </c>
      <c r="S97" t="s">
        <v>9</v>
      </c>
      <c r="T97" t="s">
        <v>300</v>
      </c>
      <c r="U97" t="s">
        <v>10</v>
      </c>
      <c r="V97" t="s">
        <v>6</v>
      </c>
      <c r="W97" t="s">
        <v>11</v>
      </c>
      <c r="X97" s="2">
        <v>45938</v>
      </c>
      <c r="Y97" t="s">
        <v>12</v>
      </c>
      <c r="Z97" t="s">
        <v>13</v>
      </c>
    </row>
    <row r="98" spans="1:26" x14ac:dyDescent="0.25">
      <c r="A98" t="s">
        <v>0</v>
      </c>
      <c r="B98" s="5">
        <v>256779415975</v>
      </c>
      <c r="C98" t="s">
        <v>304</v>
      </c>
      <c r="D98" s="2">
        <v>45890</v>
      </c>
      <c r="E98" s="2">
        <v>45863</v>
      </c>
      <c r="F98" s="2">
        <v>45893</v>
      </c>
      <c r="G98" s="3">
        <v>-1282.82</v>
      </c>
      <c r="H98" s="3">
        <v>-14.74</v>
      </c>
      <c r="I98" s="3">
        <f>VLOOKUP(B98,[1]Workings!$C:$J,8,0)</f>
        <v>15.19</v>
      </c>
      <c r="J98" s="3">
        <f t="shared" si="1"/>
        <v>0.44999999999999929</v>
      </c>
      <c r="K98" s="3" t="s">
        <v>469</v>
      </c>
      <c r="L98" s="3"/>
      <c r="M98" t="s">
        <v>3</v>
      </c>
      <c r="N98" t="s">
        <v>4</v>
      </c>
      <c r="O98" t="s">
        <v>5</v>
      </c>
      <c r="P98" t="s">
        <v>7</v>
      </c>
      <c r="Q98" t="s">
        <v>305</v>
      </c>
      <c r="R98" s="6">
        <v>4700109549</v>
      </c>
      <c r="S98" t="s">
        <v>9</v>
      </c>
      <c r="T98" t="s">
        <v>303</v>
      </c>
      <c r="U98" t="s">
        <v>10</v>
      </c>
      <c r="V98" t="s">
        <v>6</v>
      </c>
      <c r="W98" t="s">
        <v>11</v>
      </c>
      <c r="X98" s="2">
        <v>45894</v>
      </c>
      <c r="Y98" t="s">
        <v>12</v>
      </c>
      <c r="Z98" t="s">
        <v>13</v>
      </c>
    </row>
    <row r="99" spans="1:26" x14ac:dyDescent="0.25">
      <c r="A99" t="s">
        <v>0</v>
      </c>
      <c r="B99" s="5">
        <v>256779416061</v>
      </c>
      <c r="C99" t="s">
        <v>307</v>
      </c>
      <c r="D99" s="2">
        <v>45904</v>
      </c>
      <c r="E99" s="2">
        <v>45870</v>
      </c>
      <c r="F99" s="2">
        <v>45900</v>
      </c>
      <c r="G99" s="3">
        <v>-170940.5</v>
      </c>
      <c r="H99" s="3">
        <v>-1941.83</v>
      </c>
      <c r="I99" s="3">
        <f>VLOOKUP(B99,[1]Workings!$C:$J,8,0)</f>
        <v>1975.32</v>
      </c>
      <c r="J99" s="3">
        <f t="shared" si="1"/>
        <v>33.490000000000009</v>
      </c>
      <c r="K99" s="3" t="s">
        <v>469</v>
      </c>
      <c r="L99" s="3"/>
      <c r="M99" t="s">
        <v>3</v>
      </c>
      <c r="N99" t="s">
        <v>4</v>
      </c>
      <c r="O99" t="s">
        <v>5</v>
      </c>
      <c r="P99" t="s">
        <v>7</v>
      </c>
      <c r="Q99" t="s">
        <v>308</v>
      </c>
      <c r="R99" s="6">
        <v>4700109752</v>
      </c>
      <c r="S99" t="s">
        <v>9</v>
      </c>
      <c r="T99" t="s">
        <v>306</v>
      </c>
      <c r="U99" t="s">
        <v>10</v>
      </c>
      <c r="V99" t="s">
        <v>6</v>
      </c>
      <c r="W99" t="s">
        <v>11</v>
      </c>
      <c r="X99" s="2">
        <v>45938</v>
      </c>
      <c r="Y99" t="s">
        <v>12</v>
      </c>
      <c r="Z99" t="s">
        <v>13</v>
      </c>
    </row>
    <row r="100" spans="1:26" x14ac:dyDescent="0.25">
      <c r="A100" t="s">
        <v>0</v>
      </c>
      <c r="B100" s="5">
        <v>256779416371</v>
      </c>
      <c r="C100" t="s">
        <v>310</v>
      </c>
      <c r="D100" s="2">
        <v>45890</v>
      </c>
      <c r="E100" s="2">
        <v>45877</v>
      </c>
      <c r="F100" s="2">
        <v>45907</v>
      </c>
      <c r="G100" s="3">
        <v>-454454.1</v>
      </c>
      <c r="H100" s="3">
        <v>-5220.17</v>
      </c>
      <c r="I100" s="3">
        <f>VLOOKUP(B100,[1]Workings!$C:$J,8,0)</f>
        <v>5310.1799999999994</v>
      </c>
      <c r="J100" s="3">
        <f t="shared" si="1"/>
        <v>90.009999999999309</v>
      </c>
      <c r="K100" s="3" t="s">
        <v>469</v>
      </c>
      <c r="L100" s="3"/>
      <c r="M100" t="s">
        <v>3</v>
      </c>
      <c r="N100" t="s">
        <v>4</v>
      </c>
      <c r="O100" t="s">
        <v>5</v>
      </c>
      <c r="P100" t="s">
        <v>7</v>
      </c>
      <c r="Q100" t="s">
        <v>311</v>
      </c>
      <c r="R100" s="6">
        <v>4700109752</v>
      </c>
      <c r="S100" t="s">
        <v>9</v>
      </c>
      <c r="T100" t="s">
        <v>309</v>
      </c>
      <c r="U100" t="s">
        <v>10</v>
      </c>
      <c r="V100" t="s">
        <v>6</v>
      </c>
      <c r="W100" t="s">
        <v>11</v>
      </c>
      <c r="X100" s="2">
        <v>45938</v>
      </c>
      <c r="Y100" t="s">
        <v>12</v>
      </c>
      <c r="Z100" t="s">
        <v>13</v>
      </c>
    </row>
    <row r="101" spans="1:26" x14ac:dyDescent="0.25">
      <c r="A101" t="s">
        <v>0</v>
      </c>
      <c r="B101" s="5">
        <v>256779416479</v>
      </c>
      <c r="C101" t="s">
        <v>313</v>
      </c>
      <c r="D101" s="2">
        <v>45890</v>
      </c>
      <c r="E101" s="2">
        <v>45877</v>
      </c>
      <c r="F101" s="2">
        <v>45907</v>
      </c>
      <c r="G101" s="3">
        <v>-13553.24</v>
      </c>
      <c r="H101" s="3">
        <v>-155.68</v>
      </c>
      <c r="I101" s="3">
        <f>VLOOKUP(B101,[1]Workings!$C:$J,8,0)</f>
        <v>158.37</v>
      </c>
      <c r="J101" s="3">
        <f t="shared" si="1"/>
        <v>2.6899999999999977</v>
      </c>
      <c r="K101" s="3" t="s">
        <v>469</v>
      </c>
      <c r="L101" s="3"/>
      <c r="M101" t="s">
        <v>3</v>
      </c>
      <c r="N101" t="s">
        <v>4</v>
      </c>
      <c r="O101" t="s">
        <v>5</v>
      </c>
      <c r="P101" t="s">
        <v>7</v>
      </c>
      <c r="Q101" t="s">
        <v>314</v>
      </c>
      <c r="R101" s="6">
        <v>4700109752</v>
      </c>
      <c r="S101" t="s">
        <v>9</v>
      </c>
      <c r="T101" t="s">
        <v>312</v>
      </c>
      <c r="U101" t="s">
        <v>10</v>
      </c>
      <c r="V101" t="s">
        <v>6</v>
      </c>
      <c r="W101" t="s">
        <v>11</v>
      </c>
      <c r="X101" s="2">
        <v>45938</v>
      </c>
      <c r="Y101" t="s">
        <v>12</v>
      </c>
      <c r="Z101" t="s">
        <v>13</v>
      </c>
    </row>
    <row r="102" spans="1:26" x14ac:dyDescent="0.25">
      <c r="A102" t="s">
        <v>0</v>
      </c>
      <c r="B102" s="5">
        <v>256779416372</v>
      </c>
      <c r="C102" t="s">
        <v>316</v>
      </c>
      <c r="D102" s="2">
        <v>45897</v>
      </c>
      <c r="E102" s="2">
        <v>45877</v>
      </c>
      <c r="F102" s="2">
        <v>45907</v>
      </c>
      <c r="G102" s="3">
        <v>-45530.58</v>
      </c>
      <c r="H102" s="3">
        <v>-518.80999999999995</v>
      </c>
      <c r="I102" s="3">
        <f>VLOOKUP(B102,[1]Workings!$C:$J,8,0)</f>
        <v>527.77</v>
      </c>
      <c r="J102" s="3">
        <f t="shared" si="1"/>
        <v>8.9600000000000364</v>
      </c>
      <c r="K102" s="3" t="s">
        <v>469</v>
      </c>
      <c r="L102" s="3"/>
      <c r="M102" t="s">
        <v>3</v>
      </c>
      <c r="N102" t="s">
        <v>4</v>
      </c>
      <c r="O102" t="s">
        <v>5</v>
      </c>
      <c r="P102" t="s">
        <v>7</v>
      </c>
      <c r="Q102" t="s">
        <v>317</v>
      </c>
      <c r="R102" s="6">
        <v>4700109752</v>
      </c>
      <c r="S102" t="s">
        <v>9</v>
      </c>
      <c r="T102" t="s">
        <v>315</v>
      </c>
      <c r="U102" t="s">
        <v>10</v>
      </c>
      <c r="V102" t="s">
        <v>6</v>
      </c>
      <c r="W102" t="s">
        <v>11</v>
      </c>
      <c r="X102" s="2">
        <v>45938</v>
      </c>
      <c r="Y102" t="s">
        <v>12</v>
      </c>
      <c r="Z102" t="s">
        <v>13</v>
      </c>
    </row>
    <row r="103" spans="1:26" x14ac:dyDescent="0.25">
      <c r="A103" t="s">
        <v>0</v>
      </c>
      <c r="B103" s="5">
        <v>256779416373</v>
      </c>
      <c r="C103" t="s">
        <v>319</v>
      </c>
      <c r="D103" s="2">
        <v>45904</v>
      </c>
      <c r="E103" s="2">
        <v>45877</v>
      </c>
      <c r="F103" s="2">
        <v>45907</v>
      </c>
      <c r="G103" s="3">
        <v>-1389.69</v>
      </c>
      <c r="H103" s="3">
        <v>-15.79</v>
      </c>
      <c r="I103" s="3">
        <f>VLOOKUP(B103,[1]Workings!$C:$J,8,0)</f>
        <v>16.059999999999999</v>
      </c>
      <c r="J103" s="3">
        <f t="shared" si="1"/>
        <v>0.26999999999999957</v>
      </c>
      <c r="K103" s="3" t="s">
        <v>469</v>
      </c>
      <c r="L103" s="3"/>
      <c r="M103" t="s">
        <v>3</v>
      </c>
      <c r="N103" t="s">
        <v>4</v>
      </c>
      <c r="O103" t="s">
        <v>5</v>
      </c>
      <c r="P103" t="s">
        <v>7</v>
      </c>
      <c r="Q103" t="s">
        <v>320</v>
      </c>
      <c r="R103" s="6">
        <v>4700109752</v>
      </c>
      <c r="S103" t="s">
        <v>9</v>
      </c>
      <c r="T103" t="s">
        <v>318</v>
      </c>
      <c r="U103" t="s">
        <v>10</v>
      </c>
      <c r="V103" t="s">
        <v>6</v>
      </c>
      <c r="W103" t="s">
        <v>11</v>
      </c>
      <c r="X103" s="2">
        <v>45938</v>
      </c>
      <c r="Y103" t="s">
        <v>12</v>
      </c>
      <c r="Z103" t="s">
        <v>13</v>
      </c>
    </row>
    <row r="104" spans="1:26" x14ac:dyDescent="0.25">
      <c r="A104" t="s">
        <v>0</v>
      </c>
      <c r="B104" s="5">
        <v>256779416572</v>
      </c>
      <c r="C104" t="s">
        <v>322</v>
      </c>
      <c r="D104" s="2">
        <v>45908</v>
      </c>
      <c r="E104" s="2">
        <v>45888</v>
      </c>
      <c r="F104" s="2">
        <v>45918</v>
      </c>
      <c r="G104" s="3">
        <v>-171358.54</v>
      </c>
      <c r="H104" s="3">
        <v>-1941.83</v>
      </c>
      <c r="I104" s="3">
        <f>VLOOKUP(B104,[1]Workings!$C:$J,8,0)</f>
        <v>1975.32</v>
      </c>
      <c r="J104" s="3">
        <f t="shared" si="1"/>
        <v>33.490000000000009</v>
      </c>
      <c r="K104" s="3" t="s">
        <v>469</v>
      </c>
      <c r="L104" s="3"/>
      <c r="M104" t="s">
        <v>3</v>
      </c>
      <c r="N104" t="s">
        <v>4</v>
      </c>
      <c r="O104" t="s">
        <v>5</v>
      </c>
      <c r="P104" t="s">
        <v>7</v>
      </c>
      <c r="Q104" t="s">
        <v>323</v>
      </c>
      <c r="R104" s="6">
        <v>4700109752</v>
      </c>
      <c r="S104" t="s">
        <v>9</v>
      </c>
      <c r="T104" t="s">
        <v>321</v>
      </c>
      <c r="U104" t="s">
        <v>10</v>
      </c>
      <c r="V104" t="s">
        <v>6</v>
      </c>
      <c r="W104" t="s">
        <v>11</v>
      </c>
      <c r="X104" s="2">
        <v>45938</v>
      </c>
      <c r="Y104" t="s">
        <v>12</v>
      </c>
      <c r="Z104" t="s">
        <v>13</v>
      </c>
    </row>
    <row r="105" spans="1:26" x14ac:dyDescent="0.25">
      <c r="A105" t="s">
        <v>0</v>
      </c>
      <c r="B105" s="5">
        <v>256779416592</v>
      </c>
      <c r="C105" t="s">
        <v>325</v>
      </c>
      <c r="D105" s="2">
        <v>45908</v>
      </c>
      <c r="E105" s="2">
        <v>45888</v>
      </c>
      <c r="F105" s="2">
        <v>45918</v>
      </c>
      <c r="G105" s="3">
        <v>-165830.57</v>
      </c>
      <c r="H105" s="3">
        <v>-1879.19</v>
      </c>
      <c r="I105" s="3">
        <f>VLOOKUP(B105,[1]Workings!$C:$J,8,0)</f>
        <v>1911.6</v>
      </c>
      <c r="J105" s="3">
        <f t="shared" si="1"/>
        <v>32.409999999999854</v>
      </c>
      <c r="K105" s="3" t="s">
        <v>469</v>
      </c>
      <c r="L105" s="3"/>
      <c r="M105" t="s">
        <v>3</v>
      </c>
      <c r="N105" t="s">
        <v>4</v>
      </c>
      <c r="O105" t="s">
        <v>5</v>
      </c>
      <c r="P105" t="s">
        <v>7</v>
      </c>
      <c r="Q105" t="s">
        <v>326</v>
      </c>
      <c r="R105" s="6">
        <v>4700109752</v>
      </c>
      <c r="S105" t="s">
        <v>9</v>
      </c>
      <c r="T105" t="s">
        <v>324</v>
      </c>
      <c r="U105" t="s">
        <v>10</v>
      </c>
      <c r="V105" t="s">
        <v>6</v>
      </c>
      <c r="W105" t="s">
        <v>11</v>
      </c>
      <c r="X105" s="2">
        <v>45938</v>
      </c>
      <c r="Y105" t="s">
        <v>12</v>
      </c>
      <c r="Z105" t="s">
        <v>13</v>
      </c>
    </row>
    <row r="106" spans="1:26" x14ac:dyDescent="0.25">
      <c r="A106" t="s">
        <v>0</v>
      </c>
      <c r="B106" s="5">
        <v>256779416658</v>
      </c>
      <c r="C106" t="s">
        <v>328</v>
      </c>
      <c r="D106" s="2">
        <v>45904</v>
      </c>
      <c r="E106" s="2">
        <v>45889</v>
      </c>
      <c r="F106" s="2">
        <v>45919</v>
      </c>
      <c r="G106" s="3">
        <v>-423220.89</v>
      </c>
      <c r="H106" s="3">
        <v>-4807.66</v>
      </c>
      <c r="I106" s="3">
        <f>VLOOKUP(B106,[1]Workings!$C:$J,8,0)</f>
        <v>4890.5499999999993</v>
      </c>
      <c r="J106" s="3">
        <f t="shared" si="1"/>
        <v>82.889999999999418</v>
      </c>
      <c r="K106" s="3" t="s">
        <v>469</v>
      </c>
      <c r="L106" s="3"/>
      <c r="M106" t="s">
        <v>3</v>
      </c>
      <c r="N106" t="s">
        <v>4</v>
      </c>
      <c r="O106" t="s">
        <v>5</v>
      </c>
      <c r="P106" t="s">
        <v>7</v>
      </c>
      <c r="Q106" t="s">
        <v>329</v>
      </c>
      <c r="R106" s="6">
        <v>4700109752</v>
      </c>
      <c r="S106" t="s">
        <v>9</v>
      </c>
      <c r="T106" t="s">
        <v>327</v>
      </c>
      <c r="U106" t="s">
        <v>10</v>
      </c>
      <c r="V106" t="s">
        <v>6</v>
      </c>
      <c r="W106" t="s">
        <v>11</v>
      </c>
      <c r="X106" s="2">
        <v>45938</v>
      </c>
      <c r="Y106" t="s">
        <v>12</v>
      </c>
      <c r="Z106" t="s">
        <v>13</v>
      </c>
    </row>
    <row r="107" spans="1:26" x14ac:dyDescent="0.25">
      <c r="A107" t="s">
        <v>0</v>
      </c>
      <c r="B107" s="5">
        <v>256779416659</v>
      </c>
      <c r="C107" t="s">
        <v>332</v>
      </c>
      <c r="D107" s="2">
        <v>45904</v>
      </c>
      <c r="E107" s="2">
        <v>45889</v>
      </c>
      <c r="F107" s="2">
        <v>45919</v>
      </c>
      <c r="G107" s="3">
        <v>-9219.77</v>
      </c>
      <c r="H107" s="3">
        <v>-104.73</v>
      </c>
      <c r="I107" s="3">
        <f>VLOOKUP(B107,[1]Workings!$C:$J,8,0)</f>
        <v>106.54</v>
      </c>
      <c r="J107" s="3">
        <f t="shared" si="1"/>
        <v>1.8100000000000023</v>
      </c>
      <c r="K107" s="3" t="s">
        <v>469</v>
      </c>
      <c r="L107" s="3"/>
      <c r="M107" t="s">
        <v>3</v>
      </c>
      <c r="N107" t="s">
        <v>4</v>
      </c>
      <c r="O107" t="s">
        <v>5</v>
      </c>
      <c r="P107" t="s">
        <v>7</v>
      </c>
      <c r="Q107" t="s">
        <v>331</v>
      </c>
      <c r="R107" s="6">
        <v>4700109752</v>
      </c>
      <c r="S107" t="s">
        <v>9</v>
      </c>
      <c r="T107" t="s">
        <v>330</v>
      </c>
      <c r="U107" t="s">
        <v>10</v>
      </c>
      <c r="V107" t="s">
        <v>6</v>
      </c>
      <c r="W107" t="s">
        <v>11</v>
      </c>
      <c r="X107" s="2">
        <v>45938</v>
      </c>
      <c r="Y107" t="s">
        <v>12</v>
      </c>
      <c r="Z107" t="s">
        <v>13</v>
      </c>
    </row>
    <row r="108" spans="1:26" x14ac:dyDescent="0.25">
      <c r="A108" t="s">
        <v>0</v>
      </c>
      <c r="B108" s="5">
        <v>256779416660</v>
      </c>
      <c r="C108" t="s">
        <v>334</v>
      </c>
      <c r="D108" s="2">
        <v>45904</v>
      </c>
      <c r="E108" s="2">
        <v>45889</v>
      </c>
      <c r="F108" s="2">
        <v>45919</v>
      </c>
      <c r="G108" s="3">
        <v>-752.88</v>
      </c>
      <c r="H108" s="3">
        <v>-8.5500000000000007</v>
      </c>
      <c r="I108" s="3">
        <f>VLOOKUP(B108,[1]Workings!$C:$J,8,0)</f>
        <v>8.6999999999999993</v>
      </c>
      <c r="J108" s="3">
        <f t="shared" si="1"/>
        <v>0.14999999999999858</v>
      </c>
      <c r="K108" s="3" t="s">
        <v>469</v>
      </c>
      <c r="L108" s="3"/>
      <c r="M108" t="s">
        <v>3</v>
      </c>
      <c r="N108" t="s">
        <v>4</v>
      </c>
      <c r="O108" t="s">
        <v>5</v>
      </c>
      <c r="P108" t="s">
        <v>7</v>
      </c>
      <c r="Q108" t="s">
        <v>335</v>
      </c>
      <c r="R108" s="6">
        <v>4700109752</v>
      </c>
      <c r="S108" t="s">
        <v>9</v>
      </c>
      <c r="T108" t="s">
        <v>333</v>
      </c>
      <c r="U108" t="s">
        <v>10</v>
      </c>
      <c r="V108" t="s">
        <v>6</v>
      </c>
      <c r="W108" t="s">
        <v>11</v>
      </c>
      <c r="X108" s="2">
        <v>45938</v>
      </c>
      <c r="Y108" t="s">
        <v>12</v>
      </c>
      <c r="Z108" t="s">
        <v>13</v>
      </c>
    </row>
    <row r="109" spans="1:26" x14ac:dyDescent="0.25">
      <c r="A109" t="s">
        <v>0</v>
      </c>
      <c r="B109" s="5">
        <v>256779416763</v>
      </c>
      <c r="C109" t="s">
        <v>337</v>
      </c>
      <c r="D109" s="2">
        <v>45908</v>
      </c>
      <c r="E109" s="2">
        <v>45889</v>
      </c>
      <c r="F109" s="2">
        <v>45919</v>
      </c>
      <c r="G109" s="3">
        <v>-11259.23</v>
      </c>
      <c r="H109" s="3">
        <v>-127.59</v>
      </c>
      <c r="I109" s="3">
        <f>VLOOKUP(B109,[1]Workings!$C:$J,8,0)</f>
        <v>129.80000000000001</v>
      </c>
      <c r="J109" s="3">
        <f t="shared" si="1"/>
        <v>2.210000000000008</v>
      </c>
      <c r="K109" s="3" t="s">
        <v>469</v>
      </c>
      <c r="L109" s="3"/>
      <c r="M109" t="s">
        <v>3</v>
      </c>
      <c r="N109" t="s">
        <v>4</v>
      </c>
      <c r="O109" t="s">
        <v>5</v>
      </c>
      <c r="P109" t="s">
        <v>7</v>
      </c>
      <c r="Q109" t="s">
        <v>338</v>
      </c>
      <c r="R109" s="6">
        <v>4700109752</v>
      </c>
      <c r="S109" t="s">
        <v>9</v>
      </c>
      <c r="T109" t="s">
        <v>336</v>
      </c>
      <c r="U109" t="s">
        <v>10</v>
      </c>
      <c r="V109" t="s">
        <v>6</v>
      </c>
      <c r="W109" t="s">
        <v>11</v>
      </c>
      <c r="X109" s="2">
        <v>45938</v>
      </c>
      <c r="Y109" t="s">
        <v>12</v>
      </c>
      <c r="Z109" t="s">
        <v>13</v>
      </c>
    </row>
    <row r="110" spans="1:26" x14ac:dyDescent="0.25">
      <c r="A110" t="s">
        <v>0</v>
      </c>
      <c r="B110" s="5">
        <v>256779416902</v>
      </c>
      <c r="C110" t="s">
        <v>340</v>
      </c>
      <c r="D110" s="2">
        <v>45922</v>
      </c>
      <c r="E110" s="2">
        <v>45901</v>
      </c>
      <c r="F110" s="2">
        <v>45931</v>
      </c>
      <c r="G110" s="3">
        <v>-429170.98</v>
      </c>
      <c r="H110" s="3">
        <v>-4868.07</v>
      </c>
      <c r="I110" s="3">
        <f>VLOOKUP(B110,[1]Workings!$C:$J,8,0)</f>
        <v>4952.01</v>
      </c>
      <c r="J110" s="3">
        <f t="shared" si="1"/>
        <v>83.940000000000509</v>
      </c>
      <c r="K110" s="3" t="s">
        <v>469</v>
      </c>
      <c r="L110" s="3"/>
      <c r="M110" t="s">
        <v>3</v>
      </c>
      <c r="N110" t="s">
        <v>4</v>
      </c>
      <c r="O110" t="s">
        <v>5</v>
      </c>
      <c r="P110" t="s">
        <v>7</v>
      </c>
      <c r="Q110" t="s">
        <v>341</v>
      </c>
      <c r="R110" s="6">
        <v>4700109752</v>
      </c>
      <c r="S110" t="s">
        <v>9</v>
      </c>
      <c r="T110" t="s">
        <v>339</v>
      </c>
      <c r="U110" t="s">
        <v>10</v>
      </c>
      <c r="V110" t="s">
        <v>6</v>
      </c>
      <c r="W110" t="s">
        <v>11</v>
      </c>
      <c r="X110" s="2">
        <v>45938</v>
      </c>
      <c r="Y110" t="s">
        <v>12</v>
      </c>
      <c r="Z110" t="s">
        <v>13</v>
      </c>
    </row>
    <row r="111" spans="1:26" x14ac:dyDescent="0.25">
      <c r="A111" t="s">
        <v>0</v>
      </c>
      <c r="B111" s="5">
        <v>256779416903</v>
      </c>
      <c r="C111" t="s">
        <v>343</v>
      </c>
      <c r="D111" s="2">
        <v>45922</v>
      </c>
      <c r="E111" s="2">
        <v>45901</v>
      </c>
      <c r="F111" s="2">
        <v>45931</v>
      </c>
      <c r="G111" s="3">
        <v>-18590.23</v>
      </c>
      <c r="H111" s="3">
        <v>-210.87</v>
      </c>
      <c r="I111" s="3">
        <f>VLOOKUP(B111,[1]Workings!$C:$J,8,0)</f>
        <v>214.51</v>
      </c>
      <c r="J111" s="3">
        <f t="shared" si="1"/>
        <v>3.6399999999999864</v>
      </c>
      <c r="K111" s="3" t="s">
        <v>469</v>
      </c>
      <c r="L111" s="3"/>
      <c r="M111" t="s">
        <v>3</v>
      </c>
      <c r="N111" t="s">
        <v>4</v>
      </c>
      <c r="O111" t="s">
        <v>5</v>
      </c>
      <c r="P111" t="s">
        <v>7</v>
      </c>
      <c r="Q111" t="s">
        <v>344</v>
      </c>
      <c r="R111" s="6">
        <v>4700109752</v>
      </c>
      <c r="S111" t="s">
        <v>9</v>
      </c>
      <c r="T111" t="s">
        <v>342</v>
      </c>
      <c r="U111" t="s">
        <v>10</v>
      </c>
      <c r="V111" t="s">
        <v>6</v>
      </c>
      <c r="W111" t="s">
        <v>11</v>
      </c>
      <c r="X111" s="2">
        <v>45938</v>
      </c>
      <c r="Y111" t="s">
        <v>12</v>
      </c>
      <c r="Z111" t="s">
        <v>13</v>
      </c>
    </row>
    <row r="112" spans="1:26" x14ac:dyDescent="0.25">
      <c r="A112" t="s">
        <v>0</v>
      </c>
      <c r="B112" s="5">
        <v>256779417106</v>
      </c>
      <c r="C112" t="s">
        <v>346</v>
      </c>
      <c r="D112" s="2">
        <v>46042</v>
      </c>
      <c r="E112" s="2">
        <v>45904</v>
      </c>
      <c r="F112" s="2">
        <v>45934</v>
      </c>
      <c r="G112" s="3">
        <v>-11595.52</v>
      </c>
      <c r="H112" s="3">
        <v>-127.6</v>
      </c>
      <c r="I112" s="3">
        <f>VLOOKUP(B112,[1]Workings!$C:$J,8,0)</f>
        <v>129.80000000000001</v>
      </c>
      <c r="J112" s="3">
        <f t="shared" si="1"/>
        <v>2.2000000000000171</v>
      </c>
      <c r="K112" s="3" t="s">
        <v>469</v>
      </c>
      <c r="L112" s="3"/>
      <c r="M112" t="s">
        <v>3</v>
      </c>
      <c r="N112" t="s">
        <v>4</v>
      </c>
      <c r="O112" t="s">
        <v>5</v>
      </c>
      <c r="P112" t="s">
        <v>347</v>
      </c>
      <c r="Q112" t="s">
        <v>348</v>
      </c>
      <c r="R112" t="s">
        <v>6</v>
      </c>
      <c r="S112" t="s">
        <v>9</v>
      </c>
      <c r="T112" t="s">
        <v>345</v>
      </c>
      <c r="U112" t="s">
        <v>10</v>
      </c>
      <c r="V112" t="s">
        <v>6</v>
      </c>
      <c r="W112" t="s">
        <v>11</v>
      </c>
      <c r="X112" s="2"/>
      <c r="Y112" t="s">
        <v>12</v>
      </c>
      <c r="Z112" t="s">
        <v>13</v>
      </c>
    </row>
    <row r="113" spans="1:26" x14ac:dyDescent="0.25">
      <c r="A113" t="s">
        <v>0</v>
      </c>
      <c r="B113" s="5">
        <v>256779417380</v>
      </c>
      <c r="C113" t="s">
        <v>350</v>
      </c>
      <c r="D113" s="2">
        <v>46042</v>
      </c>
      <c r="E113" s="2">
        <v>45904</v>
      </c>
      <c r="F113" s="2">
        <v>45934</v>
      </c>
      <c r="G113" s="3">
        <v>-170771.32</v>
      </c>
      <c r="H113" s="3">
        <v>-1879.19</v>
      </c>
      <c r="I113" s="3">
        <f>VLOOKUP(B113,[1]Workings!$C:$J,8,0)</f>
        <v>1911.6</v>
      </c>
      <c r="J113" s="3">
        <f t="shared" si="1"/>
        <v>32.409999999999854</v>
      </c>
      <c r="K113" s="3" t="s">
        <v>469</v>
      </c>
      <c r="L113" s="3"/>
      <c r="M113" t="s">
        <v>3</v>
      </c>
      <c r="N113" t="s">
        <v>4</v>
      </c>
      <c r="O113" t="s">
        <v>5</v>
      </c>
      <c r="P113" t="s">
        <v>347</v>
      </c>
      <c r="Q113" t="s">
        <v>351</v>
      </c>
      <c r="R113" t="s">
        <v>6</v>
      </c>
      <c r="S113" t="s">
        <v>9</v>
      </c>
      <c r="T113" t="s">
        <v>349</v>
      </c>
      <c r="U113" t="s">
        <v>10</v>
      </c>
      <c r="V113" t="s">
        <v>6</v>
      </c>
      <c r="W113" t="s">
        <v>11</v>
      </c>
      <c r="X113" s="2"/>
      <c r="Y113" t="s">
        <v>12</v>
      </c>
      <c r="Z113" t="s">
        <v>13</v>
      </c>
    </row>
    <row r="114" spans="1:26" x14ac:dyDescent="0.25">
      <c r="A114" t="s">
        <v>0</v>
      </c>
      <c r="B114" s="5">
        <v>256779417393</v>
      </c>
      <c r="C114" t="s">
        <v>353</v>
      </c>
      <c r="D114" s="2">
        <v>45936</v>
      </c>
      <c r="E114" s="2">
        <v>45916</v>
      </c>
      <c r="F114" s="2">
        <v>45946</v>
      </c>
      <c r="G114" s="3">
        <v>-337872.15</v>
      </c>
      <c r="H114" s="3">
        <v>-3805.41</v>
      </c>
      <c r="I114" s="3">
        <f>VLOOKUP(B114,[1]Workings!$C:$J,8,0)</f>
        <v>3871.03</v>
      </c>
      <c r="J114" s="3">
        <f t="shared" si="1"/>
        <v>65.620000000000346</v>
      </c>
      <c r="K114" s="3" t="s">
        <v>469</v>
      </c>
      <c r="L114" s="3"/>
      <c r="M114" t="s">
        <v>3</v>
      </c>
      <c r="N114" t="s">
        <v>4</v>
      </c>
      <c r="O114" t="s">
        <v>5</v>
      </c>
      <c r="P114" t="s">
        <v>7</v>
      </c>
      <c r="Q114" t="s">
        <v>354</v>
      </c>
      <c r="R114" s="6">
        <v>4700110186</v>
      </c>
      <c r="S114" t="s">
        <v>9</v>
      </c>
      <c r="T114" t="s">
        <v>352</v>
      </c>
      <c r="U114" t="s">
        <v>10</v>
      </c>
      <c r="V114" t="s">
        <v>6</v>
      </c>
      <c r="W114" t="s">
        <v>11</v>
      </c>
      <c r="X114" s="2">
        <v>46022</v>
      </c>
      <c r="Y114" t="s">
        <v>12</v>
      </c>
      <c r="Z114" t="s">
        <v>13</v>
      </c>
    </row>
    <row r="115" spans="1:26" x14ac:dyDescent="0.25">
      <c r="A115" t="s">
        <v>0</v>
      </c>
      <c r="B115" s="5">
        <v>256779417394</v>
      </c>
      <c r="C115" t="s">
        <v>356</v>
      </c>
      <c r="D115" s="2">
        <v>46042</v>
      </c>
      <c r="E115" s="2">
        <v>45916</v>
      </c>
      <c r="F115" s="2">
        <v>45946</v>
      </c>
      <c r="G115" s="3">
        <v>-16701.97</v>
      </c>
      <c r="H115" s="3">
        <v>-183.79</v>
      </c>
      <c r="I115" s="3">
        <f>VLOOKUP(B115,[1]Workings!$C:$J,8,0)</f>
        <v>186.96</v>
      </c>
      <c r="J115" s="3">
        <f t="shared" si="1"/>
        <v>3.1700000000000159</v>
      </c>
      <c r="K115" s="3" t="s">
        <v>469</v>
      </c>
      <c r="L115" s="3"/>
      <c r="M115" t="s">
        <v>3</v>
      </c>
      <c r="N115" t="s">
        <v>4</v>
      </c>
      <c r="O115" t="s">
        <v>5</v>
      </c>
      <c r="P115" t="s">
        <v>347</v>
      </c>
      <c r="Q115" t="s">
        <v>357</v>
      </c>
      <c r="R115" t="s">
        <v>6</v>
      </c>
      <c r="S115" t="s">
        <v>9</v>
      </c>
      <c r="T115" t="s">
        <v>355</v>
      </c>
      <c r="U115" t="s">
        <v>10</v>
      </c>
      <c r="V115" t="s">
        <v>6</v>
      </c>
      <c r="W115" t="s">
        <v>11</v>
      </c>
      <c r="X115" s="2"/>
      <c r="Y115" t="s">
        <v>12</v>
      </c>
      <c r="Z115" t="s">
        <v>13</v>
      </c>
    </row>
    <row r="116" spans="1:26" x14ac:dyDescent="0.25">
      <c r="A116" t="s">
        <v>0</v>
      </c>
      <c r="B116" s="5">
        <v>256779417397</v>
      </c>
      <c r="C116" t="s">
        <v>359</v>
      </c>
      <c r="D116" s="2">
        <v>45936</v>
      </c>
      <c r="E116" s="2">
        <v>45917</v>
      </c>
      <c r="F116" s="2">
        <v>45947</v>
      </c>
      <c r="G116" s="3">
        <v>-2683.22</v>
      </c>
      <c r="H116" s="3">
        <v>-30.22</v>
      </c>
      <c r="I116" s="3">
        <f>VLOOKUP(B116,[1]Workings!$C:$J,8,0)</f>
        <v>30.75</v>
      </c>
      <c r="J116" s="3">
        <f t="shared" si="1"/>
        <v>0.53000000000000114</v>
      </c>
      <c r="K116" s="3" t="s">
        <v>469</v>
      </c>
      <c r="L116" s="3"/>
      <c r="M116" t="s">
        <v>3</v>
      </c>
      <c r="N116" t="s">
        <v>4</v>
      </c>
      <c r="O116" t="s">
        <v>5</v>
      </c>
      <c r="P116" t="s">
        <v>7</v>
      </c>
      <c r="Q116" t="s">
        <v>360</v>
      </c>
      <c r="R116" s="6">
        <v>4700110186</v>
      </c>
      <c r="S116" t="s">
        <v>9</v>
      </c>
      <c r="T116" t="s">
        <v>358</v>
      </c>
      <c r="U116" t="s">
        <v>10</v>
      </c>
      <c r="V116" t="s">
        <v>6</v>
      </c>
      <c r="W116" t="s">
        <v>11</v>
      </c>
      <c r="X116" s="2">
        <v>46022</v>
      </c>
      <c r="Y116" t="s">
        <v>12</v>
      </c>
      <c r="Z116" t="s">
        <v>13</v>
      </c>
    </row>
    <row r="117" spans="1:26" x14ac:dyDescent="0.25">
      <c r="A117" t="s">
        <v>0</v>
      </c>
      <c r="B117" s="5">
        <v>256779417828</v>
      </c>
      <c r="C117" t="s">
        <v>362</v>
      </c>
      <c r="D117" s="2">
        <v>45979</v>
      </c>
      <c r="E117" s="2">
        <v>45931</v>
      </c>
      <c r="F117" s="2">
        <v>45961</v>
      </c>
      <c r="G117" s="3">
        <v>-11305.89</v>
      </c>
      <c r="H117" s="3">
        <v>-127.6</v>
      </c>
      <c r="I117" s="3">
        <f>VLOOKUP(B117,[1]Workings!$C:$J,8,0)</f>
        <v>129.80000000000001</v>
      </c>
      <c r="J117" s="3">
        <f t="shared" si="1"/>
        <v>2.2000000000000171</v>
      </c>
      <c r="K117" s="3" t="s">
        <v>469</v>
      </c>
      <c r="L117" s="3"/>
      <c r="M117" t="s">
        <v>3</v>
      </c>
      <c r="N117" t="s">
        <v>4</v>
      </c>
      <c r="O117" t="s">
        <v>5</v>
      </c>
      <c r="P117" t="s">
        <v>347</v>
      </c>
      <c r="Q117" t="s">
        <v>363</v>
      </c>
      <c r="R117" s="6">
        <v>4700110186</v>
      </c>
      <c r="S117" t="s">
        <v>9</v>
      </c>
      <c r="T117" t="s">
        <v>361</v>
      </c>
      <c r="U117" t="s">
        <v>10</v>
      </c>
      <c r="V117" t="s">
        <v>6</v>
      </c>
      <c r="W117" t="s">
        <v>11</v>
      </c>
      <c r="X117" s="2">
        <v>46022</v>
      </c>
      <c r="Y117" t="s">
        <v>12</v>
      </c>
      <c r="Z117" t="s">
        <v>13</v>
      </c>
    </row>
    <row r="118" spans="1:26" x14ac:dyDescent="0.25">
      <c r="A118" t="s">
        <v>0</v>
      </c>
      <c r="B118" s="5">
        <v>256779417827</v>
      </c>
      <c r="C118" t="s">
        <v>365</v>
      </c>
      <c r="D118" s="2">
        <v>46042</v>
      </c>
      <c r="E118" s="2">
        <v>45931</v>
      </c>
      <c r="F118" s="2">
        <v>45961</v>
      </c>
      <c r="G118" s="3">
        <v>-9948.75</v>
      </c>
      <c r="H118" s="3">
        <v>-109.48</v>
      </c>
      <c r="I118" s="3">
        <f>VLOOKUP(B118,[1]Workings!$C:$J,8,0)</f>
        <v>111.36999999999999</v>
      </c>
      <c r="J118" s="3">
        <f t="shared" si="1"/>
        <v>1.8899999999999864</v>
      </c>
      <c r="K118" s="3" t="s">
        <v>469</v>
      </c>
      <c r="L118" s="3"/>
      <c r="M118" t="s">
        <v>3</v>
      </c>
      <c r="N118" t="s">
        <v>4</v>
      </c>
      <c r="O118" t="s">
        <v>5</v>
      </c>
      <c r="P118" t="s">
        <v>347</v>
      </c>
      <c r="Q118" t="s">
        <v>366</v>
      </c>
      <c r="R118" t="s">
        <v>6</v>
      </c>
      <c r="S118" t="s">
        <v>9</v>
      </c>
      <c r="T118" t="s">
        <v>364</v>
      </c>
      <c r="U118" t="s">
        <v>10</v>
      </c>
      <c r="V118" t="s">
        <v>6</v>
      </c>
      <c r="W118" t="s">
        <v>11</v>
      </c>
      <c r="X118" s="2"/>
      <c r="Y118" t="s">
        <v>12</v>
      </c>
      <c r="Z118" t="s">
        <v>13</v>
      </c>
    </row>
    <row r="119" spans="1:26" x14ac:dyDescent="0.25">
      <c r="A119" t="s">
        <v>0</v>
      </c>
      <c r="B119" s="5">
        <v>256779417826</v>
      </c>
      <c r="C119" t="s">
        <v>368</v>
      </c>
      <c r="D119" s="2">
        <v>46042</v>
      </c>
      <c r="E119" s="2">
        <v>45931</v>
      </c>
      <c r="F119" s="2">
        <v>45961</v>
      </c>
      <c r="G119" s="3">
        <v>-259927.41</v>
      </c>
      <c r="H119" s="3">
        <v>-2860.28</v>
      </c>
      <c r="I119" s="3">
        <f>VLOOKUP(B119,[1]Workings!$C:$J,8,0)</f>
        <v>2909.6000000000004</v>
      </c>
      <c r="J119" s="3">
        <f t="shared" si="1"/>
        <v>49.320000000000164</v>
      </c>
      <c r="K119" s="3" t="s">
        <v>469</v>
      </c>
      <c r="L119" s="3"/>
      <c r="M119" t="s">
        <v>3</v>
      </c>
      <c r="N119" t="s">
        <v>4</v>
      </c>
      <c r="O119" t="s">
        <v>5</v>
      </c>
      <c r="P119" t="s">
        <v>347</v>
      </c>
      <c r="Q119" t="s">
        <v>369</v>
      </c>
      <c r="R119" t="s">
        <v>6</v>
      </c>
      <c r="S119" t="s">
        <v>9</v>
      </c>
      <c r="T119" t="s">
        <v>367</v>
      </c>
      <c r="U119" t="s">
        <v>10</v>
      </c>
      <c r="V119" t="s">
        <v>6</v>
      </c>
      <c r="W119" t="s">
        <v>11</v>
      </c>
      <c r="X119" s="2"/>
      <c r="Y119" t="s">
        <v>12</v>
      </c>
      <c r="Z119" t="s">
        <v>13</v>
      </c>
    </row>
    <row r="120" spans="1:26" x14ac:dyDescent="0.25">
      <c r="A120" t="s">
        <v>0</v>
      </c>
      <c r="B120" s="5">
        <v>256779418043</v>
      </c>
      <c r="C120" t="s">
        <v>371</v>
      </c>
      <c r="D120" s="2">
        <v>46042</v>
      </c>
      <c r="E120" s="2">
        <v>45935</v>
      </c>
      <c r="F120" s="2">
        <v>45965</v>
      </c>
      <c r="G120" s="3">
        <v>-196071.04000000001</v>
      </c>
      <c r="H120" s="3">
        <v>-2157.59</v>
      </c>
      <c r="I120" s="3">
        <f>VLOOKUP(B120,[1]Workings!$C:$J,8,0)</f>
        <v>2194.8000000000002</v>
      </c>
      <c r="J120" s="3">
        <f t="shared" si="1"/>
        <v>37.210000000000036</v>
      </c>
      <c r="K120" s="3" t="s">
        <v>469</v>
      </c>
      <c r="L120" s="3"/>
      <c r="M120" t="s">
        <v>3</v>
      </c>
      <c r="N120" t="s">
        <v>4</v>
      </c>
      <c r="O120" t="s">
        <v>5</v>
      </c>
      <c r="P120" t="s">
        <v>347</v>
      </c>
      <c r="Q120" t="s">
        <v>372</v>
      </c>
      <c r="R120" t="s">
        <v>6</v>
      </c>
      <c r="S120" t="s">
        <v>9</v>
      </c>
      <c r="T120" t="s">
        <v>370</v>
      </c>
      <c r="U120" t="s">
        <v>10</v>
      </c>
      <c r="V120" t="s">
        <v>6</v>
      </c>
      <c r="W120" t="s">
        <v>11</v>
      </c>
      <c r="X120" s="2"/>
      <c r="Y120" t="s">
        <v>12</v>
      </c>
      <c r="Z120" t="s">
        <v>13</v>
      </c>
    </row>
    <row r="121" spans="1:26" x14ac:dyDescent="0.25">
      <c r="A121" t="s">
        <v>0</v>
      </c>
      <c r="B121" s="5">
        <v>256779418417</v>
      </c>
      <c r="C121" t="s">
        <v>374</v>
      </c>
      <c r="D121" s="2">
        <v>46042</v>
      </c>
      <c r="E121" s="2">
        <v>45946</v>
      </c>
      <c r="F121" s="2">
        <v>45976</v>
      </c>
      <c r="G121" s="3">
        <v>-4883.05</v>
      </c>
      <c r="H121" s="3">
        <v>-53.73</v>
      </c>
      <c r="I121" s="3">
        <f>VLOOKUP(B121,[1]Workings!$C:$J,8,0)</f>
        <v>54.67</v>
      </c>
      <c r="J121" s="3">
        <f t="shared" si="1"/>
        <v>0.94000000000000483</v>
      </c>
      <c r="K121" s="3" t="s">
        <v>469</v>
      </c>
      <c r="L121" s="3"/>
      <c r="M121" t="s">
        <v>3</v>
      </c>
      <c r="N121" t="s">
        <v>4</v>
      </c>
      <c r="O121" t="s">
        <v>5</v>
      </c>
      <c r="P121" t="s">
        <v>347</v>
      </c>
      <c r="Q121" t="s">
        <v>375</v>
      </c>
      <c r="R121" t="s">
        <v>6</v>
      </c>
      <c r="S121" t="s">
        <v>9</v>
      </c>
      <c r="T121" t="s">
        <v>373</v>
      </c>
      <c r="U121" t="s">
        <v>10</v>
      </c>
      <c r="V121" t="s">
        <v>6</v>
      </c>
      <c r="W121" t="s">
        <v>11</v>
      </c>
      <c r="X121" s="2"/>
      <c r="Y121" t="s">
        <v>12</v>
      </c>
      <c r="Z121" t="s">
        <v>13</v>
      </c>
    </row>
    <row r="122" spans="1:26" x14ac:dyDescent="0.25">
      <c r="A122" t="s">
        <v>0</v>
      </c>
      <c r="B122" s="5">
        <v>256779418416</v>
      </c>
      <c r="C122" t="s">
        <v>377</v>
      </c>
      <c r="D122" s="2">
        <v>46042</v>
      </c>
      <c r="E122" s="2">
        <v>45946</v>
      </c>
      <c r="F122" s="2">
        <v>45976</v>
      </c>
      <c r="G122" s="3">
        <v>-205172.31</v>
      </c>
      <c r="H122" s="3">
        <v>-2257.75</v>
      </c>
      <c r="I122" s="3">
        <f>VLOOKUP(B122,[1]Workings!$C:$J,8,0)</f>
        <v>2296.6799999999998</v>
      </c>
      <c r="J122" s="3">
        <f t="shared" si="1"/>
        <v>38.929999999999836</v>
      </c>
      <c r="K122" s="3" t="s">
        <v>469</v>
      </c>
      <c r="L122" s="3"/>
      <c r="M122" t="s">
        <v>3</v>
      </c>
      <c r="N122" t="s">
        <v>4</v>
      </c>
      <c r="O122" t="s">
        <v>5</v>
      </c>
      <c r="P122" t="s">
        <v>347</v>
      </c>
      <c r="Q122" t="s">
        <v>378</v>
      </c>
      <c r="R122" t="s">
        <v>6</v>
      </c>
      <c r="S122" t="s">
        <v>9</v>
      </c>
      <c r="T122" t="s">
        <v>376</v>
      </c>
      <c r="U122" t="s">
        <v>10</v>
      </c>
      <c r="V122" t="s">
        <v>6</v>
      </c>
      <c r="W122" t="s">
        <v>11</v>
      </c>
      <c r="X122" s="2"/>
      <c r="Y122" t="s">
        <v>12</v>
      </c>
      <c r="Z122" t="s">
        <v>13</v>
      </c>
    </row>
    <row r="123" spans="1:26" x14ac:dyDescent="0.25">
      <c r="A123" t="s">
        <v>0</v>
      </c>
      <c r="B123" s="5">
        <v>256779418763</v>
      </c>
      <c r="C123" t="s">
        <v>380</v>
      </c>
      <c r="D123" s="2">
        <v>46042</v>
      </c>
      <c r="E123" s="2">
        <v>45962</v>
      </c>
      <c r="F123" s="2">
        <v>45992</v>
      </c>
      <c r="G123" s="3">
        <v>-206981.6</v>
      </c>
      <c r="H123" s="3">
        <v>-2277.66</v>
      </c>
      <c r="I123" s="3">
        <f>VLOOKUP(B123,[1]Workings!$C:$J,8,0)</f>
        <v>2316.9299999999998</v>
      </c>
      <c r="J123" s="3">
        <f t="shared" si="1"/>
        <v>39.269999999999982</v>
      </c>
      <c r="K123" s="3" t="s">
        <v>469</v>
      </c>
      <c r="L123" s="3"/>
      <c r="M123" t="s">
        <v>3</v>
      </c>
      <c r="N123" t="s">
        <v>4</v>
      </c>
      <c r="O123" t="s">
        <v>5</v>
      </c>
      <c r="P123" t="s">
        <v>347</v>
      </c>
      <c r="Q123" t="s">
        <v>381</v>
      </c>
      <c r="R123" t="s">
        <v>6</v>
      </c>
      <c r="S123" t="s">
        <v>9</v>
      </c>
      <c r="T123" t="s">
        <v>379</v>
      </c>
      <c r="U123" t="s">
        <v>10</v>
      </c>
      <c r="V123" t="s">
        <v>6</v>
      </c>
      <c r="W123" t="s">
        <v>11</v>
      </c>
      <c r="X123" s="2"/>
      <c r="Y123" t="s">
        <v>12</v>
      </c>
      <c r="Z123" t="s">
        <v>13</v>
      </c>
    </row>
    <row r="124" spans="1:26" x14ac:dyDescent="0.25">
      <c r="A124" t="s">
        <v>0</v>
      </c>
      <c r="B124" s="5">
        <v>256779418764</v>
      </c>
      <c r="C124" t="s">
        <v>383</v>
      </c>
      <c r="D124" s="2">
        <v>46042</v>
      </c>
      <c r="E124" s="2">
        <v>45962</v>
      </c>
      <c r="F124" s="2">
        <v>45992</v>
      </c>
      <c r="G124" s="3">
        <v>-4462.1400000000003</v>
      </c>
      <c r="H124" s="3">
        <v>-49.1</v>
      </c>
      <c r="I124" s="3">
        <f>VLOOKUP(B124,[1]Workings!$C:$J,8,0)</f>
        <v>49.949999999999996</v>
      </c>
      <c r="J124" s="3">
        <f t="shared" si="1"/>
        <v>0.84999999999999432</v>
      </c>
      <c r="K124" s="3" t="s">
        <v>469</v>
      </c>
      <c r="L124" s="3"/>
      <c r="M124" t="s">
        <v>3</v>
      </c>
      <c r="N124" t="s">
        <v>4</v>
      </c>
      <c r="O124" t="s">
        <v>5</v>
      </c>
      <c r="P124" t="s">
        <v>347</v>
      </c>
      <c r="Q124" t="s">
        <v>384</v>
      </c>
      <c r="R124" t="s">
        <v>6</v>
      </c>
      <c r="S124" t="s">
        <v>9</v>
      </c>
      <c r="T124" t="s">
        <v>382</v>
      </c>
      <c r="U124" t="s">
        <v>10</v>
      </c>
      <c r="V124" t="s">
        <v>6</v>
      </c>
      <c r="W124" t="s">
        <v>11</v>
      </c>
      <c r="X124" s="2"/>
      <c r="Y124" t="s">
        <v>12</v>
      </c>
      <c r="Z124" t="s">
        <v>13</v>
      </c>
    </row>
    <row r="125" spans="1:26" x14ac:dyDescent="0.25">
      <c r="A125" t="s">
        <v>0</v>
      </c>
      <c r="B125" s="5">
        <v>256779418808</v>
      </c>
      <c r="C125" t="s">
        <v>386</v>
      </c>
      <c r="D125" s="2">
        <v>46042</v>
      </c>
      <c r="E125" s="2">
        <v>45966</v>
      </c>
      <c r="F125" s="2">
        <v>45996</v>
      </c>
      <c r="G125" s="3">
        <v>-189746.09</v>
      </c>
      <c r="H125" s="3">
        <v>-2087.9899999999998</v>
      </c>
      <c r="I125" s="3">
        <f>VLOOKUP(B125,[1]Workings!$C:$J,8,0)</f>
        <v>2124</v>
      </c>
      <c r="J125" s="3">
        <f t="shared" si="1"/>
        <v>36.010000000000218</v>
      </c>
      <c r="K125" s="3" t="s">
        <v>469</v>
      </c>
      <c r="L125" s="3"/>
      <c r="M125" t="s">
        <v>3</v>
      </c>
      <c r="N125" t="s">
        <v>4</v>
      </c>
      <c r="O125" t="s">
        <v>5</v>
      </c>
      <c r="P125" t="s">
        <v>347</v>
      </c>
      <c r="Q125" t="s">
        <v>387</v>
      </c>
      <c r="R125" t="s">
        <v>6</v>
      </c>
      <c r="S125" t="s">
        <v>9</v>
      </c>
      <c r="T125" t="s">
        <v>385</v>
      </c>
      <c r="U125" t="s">
        <v>10</v>
      </c>
      <c r="V125" t="s">
        <v>6</v>
      </c>
      <c r="W125" t="s">
        <v>11</v>
      </c>
      <c r="X125" s="2"/>
      <c r="Y125" t="s">
        <v>12</v>
      </c>
      <c r="Z125" t="s">
        <v>13</v>
      </c>
    </row>
    <row r="126" spans="1:26" x14ac:dyDescent="0.25">
      <c r="A126" t="s">
        <v>0</v>
      </c>
      <c r="B126" s="5">
        <v>256779419325</v>
      </c>
      <c r="C126" t="s">
        <v>389</v>
      </c>
      <c r="D126" s="2">
        <v>46042</v>
      </c>
      <c r="E126" s="2">
        <v>45978</v>
      </c>
      <c r="F126" s="2">
        <v>46008</v>
      </c>
      <c r="G126" s="3">
        <v>-2712.95</v>
      </c>
      <c r="H126" s="3">
        <v>-29.85</v>
      </c>
      <c r="I126" s="3">
        <f>VLOOKUP(B126,[1]Workings!$C:$J,8,0)</f>
        <v>30.369999999999997</v>
      </c>
      <c r="J126" s="3">
        <f t="shared" si="1"/>
        <v>0.51999999999999602</v>
      </c>
      <c r="K126" s="3" t="s">
        <v>469</v>
      </c>
      <c r="L126" s="3"/>
      <c r="M126" t="s">
        <v>3</v>
      </c>
      <c r="N126" t="s">
        <v>4</v>
      </c>
      <c r="O126" t="s">
        <v>5</v>
      </c>
      <c r="P126" t="s">
        <v>347</v>
      </c>
      <c r="Q126" t="s">
        <v>390</v>
      </c>
      <c r="R126" t="s">
        <v>6</v>
      </c>
      <c r="S126" t="s">
        <v>9</v>
      </c>
      <c r="T126" t="s">
        <v>388</v>
      </c>
      <c r="U126" t="s">
        <v>10</v>
      </c>
      <c r="V126" t="s">
        <v>6</v>
      </c>
      <c r="W126" t="s">
        <v>11</v>
      </c>
      <c r="X126" s="2"/>
      <c r="Y126" t="s">
        <v>12</v>
      </c>
      <c r="Z126" t="s">
        <v>13</v>
      </c>
    </row>
    <row r="127" spans="1:26" x14ac:dyDescent="0.25">
      <c r="A127" t="s">
        <v>0</v>
      </c>
      <c r="B127" s="5">
        <v>256779419324</v>
      </c>
      <c r="C127" t="s">
        <v>392</v>
      </c>
      <c r="D127" s="2">
        <v>46042</v>
      </c>
      <c r="E127" s="2">
        <v>45978</v>
      </c>
      <c r="F127" s="2">
        <v>46008</v>
      </c>
      <c r="G127" s="3">
        <v>-151147.69</v>
      </c>
      <c r="H127" s="3">
        <v>-1663.25</v>
      </c>
      <c r="I127" s="3">
        <f>VLOOKUP(B127,[1]Workings!$C:$J,8,0)</f>
        <v>1691.9399999999998</v>
      </c>
      <c r="J127" s="3">
        <f t="shared" si="1"/>
        <v>28.689999999999827</v>
      </c>
      <c r="K127" s="3" t="s">
        <v>469</v>
      </c>
      <c r="L127" s="3"/>
      <c r="M127" t="s">
        <v>3</v>
      </c>
      <c r="N127" t="s">
        <v>4</v>
      </c>
      <c r="O127" t="s">
        <v>5</v>
      </c>
      <c r="P127" t="s">
        <v>347</v>
      </c>
      <c r="Q127" t="s">
        <v>393</v>
      </c>
      <c r="R127" t="s">
        <v>6</v>
      </c>
      <c r="S127" t="s">
        <v>9</v>
      </c>
      <c r="T127" t="s">
        <v>391</v>
      </c>
      <c r="U127" t="s">
        <v>10</v>
      </c>
      <c r="V127" t="s">
        <v>6</v>
      </c>
      <c r="W127" t="s">
        <v>11</v>
      </c>
      <c r="X127" s="2"/>
      <c r="Y127" t="s">
        <v>12</v>
      </c>
      <c r="Z127" t="s">
        <v>13</v>
      </c>
    </row>
    <row r="128" spans="1:26" x14ac:dyDescent="0.25">
      <c r="A128" t="s">
        <v>0</v>
      </c>
      <c r="B128" s="5">
        <v>256779419644</v>
      </c>
      <c r="C128" t="s">
        <v>395</v>
      </c>
      <c r="D128" s="2">
        <v>46041</v>
      </c>
      <c r="E128" s="2">
        <v>45992</v>
      </c>
      <c r="F128" s="2">
        <v>46022</v>
      </c>
      <c r="G128" s="3">
        <v>-130393.23</v>
      </c>
      <c r="H128" s="3">
        <v>-1437.21</v>
      </c>
      <c r="I128" s="3">
        <f>VLOOKUP(B128,[1]Workings!$C:$J,8,0)</f>
        <v>1462.2</v>
      </c>
      <c r="J128" s="3">
        <f t="shared" si="1"/>
        <v>24.990000000000009</v>
      </c>
      <c r="K128" s="3" t="s">
        <v>469</v>
      </c>
      <c r="L128" s="3"/>
      <c r="M128" t="s">
        <v>3</v>
      </c>
      <c r="N128" t="s">
        <v>4</v>
      </c>
      <c r="O128" t="s">
        <v>5</v>
      </c>
      <c r="P128" t="s">
        <v>347</v>
      </c>
      <c r="Q128" t="s">
        <v>396</v>
      </c>
      <c r="R128" t="s">
        <v>6</v>
      </c>
      <c r="S128" t="s">
        <v>397</v>
      </c>
      <c r="T128" t="s">
        <v>394</v>
      </c>
      <c r="U128" t="s">
        <v>10</v>
      </c>
      <c r="V128" t="s">
        <v>6</v>
      </c>
      <c r="W128" t="s">
        <v>11</v>
      </c>
      <c r="X128" s="2"/>
      <c r="Y128" t="s">
        <v>12</v>
      </c>
      <c r="Z128" t="s">
        <v>13</v>
      </c>
    </row>
    <row r="129" spans="1:26" x14ac:dyDescent="0.25">
      <c r="A129" t="s">
        <v>0</v>
      </c>
      <c r="B129" s="5">
        <v>256779419645</v>
      </c>
      <c r="C129" t="s">
        <v>399</v>
      </c>
      <c r="D129" s="2">
        <v>46041</v>
      </c>
      <c r="E129" s="2">
        <v>45992</v>
      </c>
      <c r="F129" s="2">
        <v>46022</v>
      </c>
      <c r="G129" s="3">
        <v>-2708.39</v>
      </c>
      <c r="H129" s="3">
        <v>-29.85</v>
      </c>
      <c r="I129" s="3">
        <f>VLOOKUP(B129,[1]Workings!$C:$J,8,0)</f>
        <v>30.369999999999997</v>
      </c>
      <c r="J129" s="3">
        <f t="shared" si="1"/>
        <v>0.51999999999999602</v>
      </c>
      <c r="K129" s="3" t="s">
        <v>469</v>
      </c>
      <c r="L129" s="3"/>
      <c r="M129" t="s">
        <v>3</v>
      </c>
      <c r="N129" t="s">
        <v>4</v>
      </c>
      <c r="O129" t="s">
        <v>5</v>
      </c>
      <c r="P129" t="s">
        <v>347</v>
      </c>
      <c r="Q129" t="s">
        <v>400</v>
      </c>
      <c r="R129" t="s">
        <v>6</v>
      </c>
      <c r="S129" t="s">
        <v>397</v>
      </c>
      <c r="T129" t="s">
        <v>398</v>
      </c>
      <c r="U129" t="s">
        <v>10</v>
      </c>
      <c r="V129" t="s">
        <v>6</v>
      </c>
      <c r="W129" t="s">
        <v>11</v>
      </c>
      <c r="X129" s="2"/>
      <c r="Y129" t="s">
        <v>12</v>
      </c>
      <c r="Z129" t="s">
        <v>13</v>
      </c>
    </row>
    <row r="130" spans="1:26" x14ac:dyDescent="0.25">
      <c r="A130" t="s">
        <v>0</v>
      </c>
      <c r="B130" s="5" t="s">
        <v>401</v>
      </c>
      <c r="C130" t="s">
        <v>402</v>
      </c>
      <c r="D130" s="2">
        <v>46029</v>
      </c>
      <c r="E130" s="2">
        <v>46007</v>
      </c>
      <c r="F130" s="2">
        <v>46037</v>
      </c>
      <c r="G130" s="3">
        <v>353716.32</v>
      </c>
      <c r="H130" s="3">
        <v>353716.32</v>
      </c>
      <c r="I130" s="3" t="e">
        <f>VLOOKUP(B130,[1]Workings!$C:$J,8,0)</f>
        <v>#N/A</v>
      </c>
      <c r="J130" s="3" t="e">
        <f t="shared" si="1"/>
        <v>#N/A</v>
      </c>
      <c r="K130" s="3" t="s">
        <v>473</v>
      </c>
      <c r="L130" s="3"/>
      <c r="M130" t="s">
        <v>279</v>
      </c>
      <c r="N130" t="s">
        <v>280</v>
      </c>
      <c r="O130" t="s">
        <v>16</v>
      </c>
      <c r="P130" t="s">
        <v>403</v>
      </c>
      <c r="Q130" t="s">
        <v>404</v>
      </c>
      <c r="R130" t="s">
        <v>6</v>
      </c>
      <c r="S130" t="s">
        <v>405</v>
      </c>
      <c r="T130" t="s">
        <v>401</v>
      </c>
      <c r="U130" t="s">
        <v>10</v>
      </c>
      <c r="V130" t="s">
        <v>6</v>
      </c>
      <c r="W130" t="s">
        <v>406</v>
      </c>
      <c r="X130" s="2"/>
      <c r="Y130" t="s">
        <v>12</v>
      </c>
      <c r="Z130" t="s">
        <v>13</v>
      </c>
    </row>
    <row r="131" spans="1:26" x14ac:dyDescent="0.25">
      <c r="A131" t="s">
        <v>0</v>
      </c>
      <c r="B131" s="5">
        <v>256779450071</v>
      </c>
      <c r="C131" t="s">
        <v>408</v>
      </c>
      <c r="D131" s="2">
        <v>46064</v>
      </c>
      <c r="E131" s="2">
        <v>46024</v>
      </c>
      <c r="F131" s="2">
        <v>46054</v>
      </c>
      <c r="G131" s="3">
        <v>-195347.3</v>
      </c>
      <c r="H131" s="3">
        <v>-2157.59</v>
      </c>
      <c r="I131" s="3">
        <f>VLOOKUP(B131,[1]Workings!$C:$J,8,0)</f>
        <v>2194.8000000000002</v>
      </c>
      <c r="J131" s="3">
        <f t="shared" si="1"/>
        <v>37.210000000000036</v>
      </c>
      <c r="K131" s="3" t="s">
        <v>469</v>
      </c>
      <c r="L131" s="3"/>
      <c r="M131" t="s">
        <v>3</v>
      </c>
      <c r="N131" t="s">
        <v>4</v>
      </c>
      <c r="O131" t="s">
        <v>5</v>
      </c>
      <c r="P131" t="s">
        <v>347</v>
      </c>
      <c r="Q131" t="s">
        <v>409</v>
      </c>
      <c r="R131" t="s">
        <v>6</v>
      </c>
      <c r="S131" t="s">
        <v>397</v>
      </c>
      <c r="T131" t="s">
        <v>407</v>
      </c>
      <c r="U131" t="s">
        <v>10</v>
      </c>
      <c r="V131" t="s">
        <v>6</v>
      </c>
      <c r="W131" t="s">
        <v>11</v>
      </c>
      <c r="X131" s="2"/>
      <c r="Y131" t="s">
        <v>12</v>
      </c>
      <c r="Z131" t="s">
        <v>13</v>
      </c>
    </row>
    <row r="132" spans="1:26" x14ac:dyDescent="0.25">
      <c r="A132" t="s">
        <v>0</v>
      </c>
      <c r="B132" s="5">
        <v>256779450127</v>
      </c>
      <c r="C132" t="s">
        <v>411</v>
      </c>
      <c r="D132" s="2">
        <v>46064</v>
      </c>
      <c r="E132" s="2">
        <v>46025</v>
      </c>
      <c r="F132" s="2">
        <v>46055</v>
      </c>
      <c r="G132" s="3">
        <v>-960.8</v>
      </c>
      <c r="H132" s="3">
        <v>-10.61</v>
      </c>
      <c r="I132" s="3">
        <f>VLOOKUP(B132,[1]Workings!$C:$J,8,0)</f>
        <v>10.8</v>
      </c>
      <c r="J132" s="3">
        <f t="shared" ref="J132:J141" si="2">H132+I132</f>
        <v>0.19000000000000128</v>
      </c>
      <c r="K132" s="3" t="s">
        <v>469</v>
      </c>
      <c r="L132" s="3"/>
      <c r="M132" t="s">
        <v>3</v>
      </c>
      <c r="N132" t="s">
        <v>4</v>
      </c>
      <c r="O132" t="s">
        <v>5</v>
      </c>
      <c r="P132" t="s">
        <v>347</v>
      </c>
      <c r="Q132" t="s">
        <v>412</v>
      </c>
      <c r="R132" t="s">
        <v>6</v>
      </c>
      <c r="S132" t="s">
        <v>397</v>
      </c>
      <c r="T132" t="s">
        <v>410</v>
      </c>
      <c r="U132" t="s">
        <v>10</v>
      </c>
      <c r="V132" t="s">
        <v>6</v>
      </c>
      <c r="W132" t="s">
        <v>11</v>
      </c>
      <c r="X132" s="2"/>
      <c r="Y132" t="s">
        <v>12</v>
      </c>
      <c r="Z132" t="s">
        <v>13</v>
      </c>
    </row>
    <row r="133" spans="1:26" x14ac:dyDescent="0.25">
      <c r="A133" t="s">
        <v>0</v>
      </c>
      <c r="B133" s="5">
        <v>256779450126</v>
      </c>
      <c r="C133" t="s">
        <v>414</v>
      </c>
      <c r="D133" s="2">
        <v>46064</v>
      </c>
      <c r="E133" s="2">
        <v>46025</v>
      </c>
      <c r="F133" s="2">
        <v>46055</v>
      </c>
      <c r="G133" s="3">
        <v>-144213.4</v>
      </c>
      <c r="H133" s="3">
        <v>-1592.82</v>
      </c>
      <c r="I133" s="3">
        <f>VLOOKUP(B133,[1]Workings!$C:$J,8,0)</f>
        <v>1620.2900000000002</v>
      </c>
      <c r="J133" s="3">
        <f t="shared" si="2"/>
        <v>27.470000000000255</v>
      </c>
      <c r="K133" s="3" t="s">
        <v>469</v>
      </c>
      <c r="L133" s="3"/>
      <c r="M133" t="s">
        <v>3</v>
      </c>
      <c r="N133" t="s">
        <v>4</v>
      </c>
      <c r="O133" t="s">
        <v>5</v>
      </c>
      <c r="P133" t="s">
        <v>347</v>
      </c>
      <c r="Q133" t="s">
        <v>415</v>
      </c>
      <c r="R133" t="s">
        <v>6</v>
      </c>
      <c r="S133" t="s">
        <v>397</v>
      </c>
      <c r="T133" t="s">
        <v>413</v>
      </c>
      <c r="U133" t="s">
        <v>10</v>
      </c>
      <c r="V133" t="s">
        <v>6</v>
      </c>
      <c r="W133" t="s">
        <v>11</v>
      </c>
      <c r="X133" s="2"/>
      <c r="Y133" t="s">
        <v>12</v>
      </c>
      <c r="Z133" t="s">
        <v>13</v>
      </c>
    </row>
    <row r="134" spans="1:26" x14ac:dyDescent="0.25">
      <c r="A134" t="s">
        <v>0</v>
      </c>
      <c r="B134" s="5">
        <v>256779450111</v>
      </c>
      <c r="C134" t="s">
        <v>417</v>
      </c>
      <c r="D134" s="2">
        <v>46064</v>
      </c>
      <c r="E134" s="2">
        <v>46027</v>
      </c>
      <c r="F134" s="2">
        <v>46057</v>
      </c>
      <c r="G134" s="3">
        <v>-2342.88</v>
      </c>
      <c r="H134" s="3">
        <v>-25.88</v>
      </c>
      <c r="I134" s="3">
        <f>VLOOKUP(B134,[1]Workings!$C:$J,8,0)</f>
        <v>26.33</v>
      </c>
      <c r="J134" s="3">
        <f t="shared" si="2"/>
        <v>0.44999999999999929</v>
      </c>
      <c r="K134" s="3" t="s">
        <v>469</v>
      </c>
      <c r="L134" s="3"/>
      <c r="M134" t="s">
        <v>3</v>
      </c>
      <c r="N134" t="s">
        <v>4</v>
      </c>
      <c r="O134" t="s">
        <v>5</v>
      </c>
      <c r="P134" t="s">
        <v>347</v>
      </c>
      <c r="Q134" t="s">
        <v>418</v>
      </c>
      <c r="R134" t="s">
        <v>6</v>
      </c>
      <c r="S134" t="s">
        <v>397</v>
      </c>
      <c r="T134" t="s">
        <v>416</v>
      </c>
      <c r="U134" t="s">
        <v>10</v>
      </c>
      <c r="V134" t="s">
        <v>6</v>
      </c>
      <c r="W134" t="s">
        <v>11</v>
      </c>
      <c r="X134" s="2"/>
      <c r="Y134" t="s">
        <v>12</v>
      </c>
      <c r="Z134" t="s">
        <v>13</v>
      </c>
    </row>
    <row r="135" spans="1:26" x14ac:dyDescent="0.25">
      <c r="A135" t="s">
        <v>0</v>
      </c>
      <c r="B135" s="5">
        <v>256779450110</v>
      </c>
      <c r="C135" t="s">
        <v>420</v>
      </c>
      <c r="D135" s="2">
        <v>46064</v>
      </c>
      <c r="E135" s="2">
        <v>46027</v>
      </c>
      <c r="F135" s="2">
        <v>46057</v>
      </c>
      <c r="G135" s="3">
        <v>-118912.66</v>
      </c>
      <c r="H135" s="3">
        <v>-1313.38</v>
      </c>
      <c r="I135" s="3">
        <f>VLOOKUP(B135,[1]Workings!$C:$J,8,0)</f>
        <v>1336.03</v>
      </c>
      <c r="J135" s="3">
        <f t="shared" si="2"/>
        <v>22.649999999999864</v>
      </c>
      <c r="K135" s="3" t="s">
        <v>469</v>
      </c>
      <c r="L135" s="3"/>
      <c r="M135" t="s">
        <v>3</v>
      </c>
      <c r="N135" t="s">
        <v>4</v>
      </c>
      <c r="O135" t="s">
        <v>5</v>
      </c>
      <c r="P135" t="s">
        <v>347</v>
      </c>
      <c r="Q135" t="s">
        <v>421</v>
      </c>
      <c r="R135" t="s">
        <v>6</v>
      </c>
      <c r="S135" t="s">
        <v>397</v>
      </c>
      <c r="T135" t="s">
        <v>419</v>
      </c>
      <c r="U135" t="s">
        <v>10</v>
      </c>
      <c r="V135" t="s">
        <v>6</v>
      </c>
      <c r="W135" t="s">
        <v>11</v>
      </c>
      <c r="X135" s="2"/>
      <c r="Y135" t="s">
        <v>12</v>
      </c>
      <c r="Z135" t="s">
        <v>13</v>
      </c>
    </row>
    <row r="136" spans="1:26" x14ac:dyDescent="0.25">
      <c r="A136" t="s">
        <v>0</v>
      </c>
      <c r="B136" s="5">
        <v>256779450724</v>
      </c>
      <c r="C136" t="s">
        <v>423</v>
      </c>
      <c r="D136" s="2">
        <v>46064</v>
      </c>
      <c r="E136" s="2">
        <v>46028</v>
      </c>
      <c r="F136" s="2">
        <v>46058</v>
      </c>
      <c r="G136" s="3">
        <v>-195347.3</v>
      </c>
      <c r="H136" s="3">
        <v>-2157.59</v>
      </c>
      <c r="I136" s="3">
        <f>VLOOKUP(B136,[1]Workings!$C:$J,8,0)</f>
        <v>2194.8000000000002</v>
      </c>
      <c r="J136" s="3">
        <f t="shared" si="2"/>
        <v>37.210000000000036</v>
      </c>
      <c r="K136" s="3" t="s">
        <v>469</v>
      </c>
      <c r="L136" s="3"/>
      <c r="M136" t="s">
        <v>3</v>
      </c>
      <c r="N136" t="s">
        <v>4</v>
      </c>
      <c r="O136" t="s">
        <v>5</v>
      </c>
      <c r="P136" t="s">
        <v>347</v>
      </c>
      <c r="Q136" t="s">
        <v>424</v>
      </c>
      <c r="R136" t="s">
        <v>6</v>
      </c>
      <c r="S136" t="s">
        <v>397</v>
      </c>
      <c r="T136" t="s">
        <v>422</v>
      </c>
      <c r="U136" t="s">
        <v>10</v>
      </c>
      <c r="V136" t="s">
        <v>6</v>
      </c>
      <c r="W136" t="s">
        <v>11</v>
      </c>
      <c r="X136" s="2"/>
      <c r="Y136" t="s">
        <v>12</v>
      </c>
      <c r="Z136" t="s">
        <v>13</v>
      </c>
    </row>
    <row r="137" spans="1:26" x14ac:dyDescent="0.25">
      <c r="A137" t="s">
        <v>0</v>
      </c>
      <c r="B137" s="5">
        <v>256779450750</v>
      </c>
      <c r="C137" t="s">
        <v>426</v>
      </c>
      <c r="D137" s="2">
        <v>46064</v>
      </c>
      <c r="E137" s="2">
        <v>46038</v>
      </c>
      <c r="F137" s="2">
        <v>46068</v>
      </c>
      <c r="G137" s="3">
        <v>-123383.42</v>
      </c>
      <c r="H137" s="3">
        <v>-1362.76</v>
      </c>
      <c r="I137" s="3">
        <f>VLOOKUP(B137,[1]Workings!$C:$J,8,0)</f>
        <v>1386.26</v>
      </c>
      <c r="J137" s="3">
        <f t="shared" si="2"/>
        <v>23.5</v>
      </c>
      <c r="K137" s="3" t="s">
        <v>469</v>
      </c>
      <c r="L137" s="3"/>
      <c r="M137" t="s">
        <v>3</v>
      </c>
      <c r="N137" t="s">
        <v>4</v>
      </c>
      <c r="O137" t="s">
        <v>5</v>
      </c>
      <c r="P137" t="s">
        <v>347</v>
      </c>
      <c r="Q137" t="s">
        <v>427</v>
      </c>
      <c r="R137" t="s">
        <v>6</v>
      </c>
      <c r="S137" t="s">
        <v>397</v>
      </c>
      <c r="T137" t="s">
        <v>425</v>
      </c>
      <c r="U137" t="s">
        <v>10</v>
      </c>
      <c r="V137" t="s">
        <v>6</v>
      </c>
      <c r="W137" t="s">
        <v>11</v>
      </c>
      <c r="X137" s="2"/>
      <c r="Y137" t="s">
        <v>12</v>
      </c>
      <c r="Z137" t="s">
        <v>13</v>
      </c>
    </row>
    <row r="138" spans="1:26" x14ac:dyDescent="0.25">
      <c r="A138" t="s">
        <v>0</v>
      </c>
      <c r="B138" s="5">
        <v>256779450751</v>
      </c>
      <c r="C138" t="s">
        <v>429</v>
      </c>
      <c r="D138" s="2">
        <v>46064</v>
      </c>
      <c r="E138" s="2">
        <v>46038</v>
      </c>
      <c r="F138" s="2">
        <v>46068</v>
      </c>
      <c r="G138" s="3">
        <v>-900.32</v>
      </c>
      <c r="H138" s="3">
        <v>-9.94</v>
      </c>
      <c r="I138" s="3">
        <f>VLOOKUP(B138,[1]Workings!$C:$J,8,0)</f>
        <v>10.120000000000001</v>
      </c>
      <c r="J138" s="3">
        <f t="shared" si="2"/>
        <v>0.18000000000000149</v>
      </c>
      <c r="K138" s="3" t="s">
        <v>469</v>
      </c>
      <c r="L138" s="3"/>
      <c r="M138" t="s">
        <v>3</v>
      </c>
      <c r="N138" t="s">
        <v>4</v>
      </c>
      <c r="O138" t="s">
        <v>5</v>
      </c>
      <c r="P138" t="s">
        <v>347</v>
      </c>
      <c r="Q138" t="s">
        <v>430</v>
      </c>
      <c r="R138" t="s">
        <v>6</v>
      </c>
      <c r="S138" t="s">
        <v>397</v>
      </c>
      <c r="T138" t="s">
        <v>428</v>
      </c>
      <c r="U138" t="s">
        <v>10</v>
      </c>
      <c r="V138" t="s">
        <v>6</v>
      </c>
      <c r="W138" t="s">
        <v>11</v>
      </c>
      <c r="X138" s="2"/>
      <c r="Y138" t="s">
        <v>12</v>
      </c>
      <c r="Z138" t="s">
        <v>13</v>
      </c>
    </row>
    <row r="139" spans="1:26" x14ac:dyDescent="0.25">
      <c r="A139" t="s">
        <v>0</v>
      </c>
      <c r="B139" s="5" t="s">
        <v>431</v>
      </c>
      <c r="C139" t="s">
        <v>432</v>
      </c>
      <c r="D139" s="2">
        <v>46059</v>
      </c>
      <c r="E139" s="2">
        <v>46042</v>
      </c>
      <c r="F139" s="2">
        <v>46072</v>
      </c>
      <c r="G139" s="3">
        <v>88663.16</v>
      </c>
      <c r="H139" s="3">
        <v>88663.16</v>
      </c>
      <c r="I139" s="3" t="e">
        <f>VLOOKUP(B139,[1]Workings!$C:$J,8,0)</f>
        <v>#N/A</v>
      </c>
      <c r="J139" s="3" t="e">
        <f t="shared" si="2"/>
        <v>#N/A</v>
      </c>
      <c r="K139" s="3" t="s">
        <v>473</v>
      </c>
      <c r="L139" s="3"/>
      <c r="M139" t="s">
        <v>279</v>
      </c>
      <c r="N139" t="s">
        <v>280</v>
      </c>
      <c r="O139" t="s">
        <v>16</v>
      </c>
      <c r="P139" t="s">
        <v>281</v>
      </c>
      <c r="Q139" t="s">
        <v>433</v>
      </c>
      <c r="R139" t="s">
        <v>6</v>
      </c>
      <c r="S139" t="s">
        <v>434</v>
      </c>
      <c r="T139" t="s">
        <v>431</v>
      </c>
      <c r="U139" t="s">
        <v>10</v>
      </c>
      <c r="V139" t="s">
        <v>6</v>
      </c>
      <c r="W139" t="s">
        <v>406</v>
      </c>
      <c r="X139" s="2"/>
      <c r="Y139" t="s">
        <v>12</v>
      </c>
      <c r="Z139" t="s">
        <v>13</v>
      </c>
    </row>
    <row r="140" spans="1:26" x14ac:dyDescent="0.25">
      <c r="A140" t="s">
        <v>0</v>
      </c>
      <c r="B140" s="5" t="s">
        <v>435</v>
      </c>
      <c r="C140" t="s">
        <v>436</v>
      </c>
      <c r="D140" s="2">
        <v>46063</v>
      </c>
      <c r="E140" s="2">
        <v>46042</v>
      </c>
      <c r="F140" s="2">
        <v>46072</v>
      </c>
      <c r="G140" s="3">
        <v>176508.26</v>
      </c>
      <c r="H140" s="3">
        <v>176508.26</v>
      </c>
      <c r="I140" s="3" t="e">
        <f>VLOOKUP(B140,[1]Workings!$C:$J,8,0)</f>
        <v>#N/A</v>
      </c>
      <c r="J140" s="3" t="e">
        <f t="shared" si="2"/>
        <v>#N/A</v>
      </c>
      <c r="K140" s="3" t="s">
        <v>473</v>
      </c>
      <c r="L140" s="3"/>
      <c r="M140" t="s">
        <v>279</v>
      </c>
      <c r="N140" t="s">
        <v>280</v>
      </c>
      <c r="O140" t="s">
        <v>16</v>
      </c>
      <c r="P140" t="s">
        <v>281</v>
      </c>
      <c r="Q140" t="s">
        <v>437</v>
      </c>
      <c r="R140" t="s">
        <v>6</v>
      </c>
      <c r="S140" t="s">
        <v>438</v>
      </c>
      <c r="T140" t="s">
        <v>435</v>
      </c>
      <c r="U140" t="s">
        <v>10</v>
      </c>
      <c r="V140" t="s">
        <v>6</v>
      </c>
      <c r="W140" t="s">
        <v>406</v>
      </c>
      <c r="X140" s="2"/>
      <c r="Y140" t="s">
        <v>12</v>
      </c>
      <c r="Z140" t="s">
        <v>13</v>
      </c>
    </row>
    <row r="141" spans="1:26" x14ac:dyDescent="0.25">
      <c r="A141" t="s">
        <v>0</v>
      </c>
      <c r="B141" s="5" t="s">
        <v>439</v>
      </c>
      <c r="C141" t="s">
        <v>440</v>
      </c>
      <c r="D141" s="2">
        <v>46065</v>
      </c>
      <c r="E141" s="2">
        <v>46042</v>
      </c>
      <c r="F141" s="2">
        <v>46072</v>
      </c>
      <c r="G141" s="3">
        <v>138259.82</v>
      </c>
      <c r="H141" s="3">
        <v>138259.82</v>
      </c>
      <c r="I141" s="3" t="e">
        <f>VLOOKUP(B141,[1]Workings!$C:$J,8,0)</f>
        <v>#N/A</v>
      </c>
      <c r="J141" s="3" t="e">
        <f t="shared" si="2"/>
        <v>#N/A</v>
      </c>
      <c r="K141" s="3" t="s">
        <v>473</v>
      </c>
      <c r="L141" s="3"/>
      <c r="M141" t="s">
        <v>279</v>
      </c>
      <c r="N141" t="s">
        <v>280</v>
      </c>
      <c r="O141" t="s">
        <v>16</v>
      </c>
      <c r="P141" t="s">
        <v>281</v>
      </c>
      <c r="Q141" t="s">
        <v>441</v>
      </c>
      <c r="R141" t="s">
        <v>6</v>
      </c>
      <c r="S141" t="s">
        <v>442</v>
      </c>
      <c r="T141" t="s">
        <v>439</v>
      </c>
      <c r="U141" t="s">
        <v>10</v>
      </c>
      <c r="V141" t="s">
        <v>6</v>
      </c>
      <c r="W141" t="s">
        <v>406</v>
      </c>
      <c r="X141" s="2"/>
      <c r="Y141" t="s">
        <v>12</v>
      </c>
      <c r="Z141" t="s">
        <v>13</v>
      </c>
    </row>
  </sheetData>
  <autoFilter ref="A2:Z141" xr:uid="{00000000-0001-0000-0000-000000000000}"/>
  <phoneticPr fontId="0" type="noConversion"/>
  <pageMargins left="0.75" right="0.75" top="1" bottom="1" header="0.5" footer="0.5"/>
  <headerFooter alignWithMargins="0">
    <oddFooter>&amp;C_x000D_&amp;1#&amp;"Arial"&amp;10&amp;K000000 Internal</oddFooter>
  </headerFooter>
</worksheet>
</file>

<file path=docMetadata/LabelInfo.xml><?xml version="1.0" encoding="utf-8"?>
<clbl:labelList xmlns:clbl="http://schemas.microsoft.com/office/2020/mipLabelMetadata">
  <clbl:label id="{06530cf4-8573-4c29-a912-bbcdac835909}" enabled="1" method="Standard" siteId="{ecaa386b-c8df-4ce0-ad01-740cbdb5ba5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Achal Thakkar</cp:lastModifiedBy>
  <cp:revision>1</cp:revision>
  <dcterms:created xsi:type="dcterms:W3CDTF">2026-02-19T09:50:28Z</dcterms:created>
  <dcterms:modified xsi:type="dcterms:W3CDTF">2026-02-27T13:08:58Z</dcterms:modified>
  <cp:category/>
</cp:coreProperties>
</file>