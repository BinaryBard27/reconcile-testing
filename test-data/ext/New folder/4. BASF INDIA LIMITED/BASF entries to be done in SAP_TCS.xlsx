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"/>
    </mc:Choice>
  </mc:AlternateContent>
  <xr:revisionPtr revIDLastSave="0" documentId="13_ncr:1_{B37736EF-7895-4C6F-9DB1-E9D532F9BB8E}" xr6:coauthVersionLast="47" xr6:coauthVersionMax="47" xr10:uidLastSave="{00000000-0000-0000-0000-000000000000}"/>
  <bookViews>
    <workbookView xWindow="-108" yWindow="-108" windowWidth="23256" windowHeight="12576" xr2:uid="{08CFC468-C01E-4E8D-9ECE-339AEB54932C}"/>
  </bookViews>
  <sheets>
    <sheet name="Sheet9" sheetId="1" r:id="rId1"/>
  </sheets>
  <definedNames>
    <definedName name="_xlnm._FilterDatabase" localSheetId="0" hidden="1">Sheet9!$A$1:$S$56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8" i="1" l="1"/>
  <c r="R137" i="1"/>
  <c r="R136" i="1"/>
  <c r="N139" i="1"/>
  <c r="R135" i="1"/>
  <c r="R129" i="1"/>
  <c r="R128" i="1"/>
  <c r="R127" i="1"/>
  <c r="R126" i="1"/>
  <c r="R125" i="1"/>
  <c r="R124" i="1"/>
  <c r="R123" i="1"/>
  <c r="N131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N105" i="1"/>
  <c r="R89" i="1"/>
  <c r="N85" i="1"/>
  <c r="R84" i="1"/>
  <c r="R83" i="1"/>
  <c r="R82" i="1"/>
  <c r="R81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N76" i="1"/>
  <c r="R80" i="1"/>
  <c r="R36" i="1"/>
  <c r="R131" i="1" l="1"/>
  <c r="R139" i="1"/>
  <c r="R105" i="1"/>
  <c r="R85" i="1"/>
  <c r="R76" i="1"/>
  <c r="N32" i="1" l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32" i="1" l="1"/>
</calcChain>
</file>

<file path=xl/sharedStrings.xml><?xml version="1.0" encoding="utf-8"?>
<sst xmlns="http://schemas.openxmlformats.org/spreadsheetml/2006/main" count="942" uniqueCount="30">
  <si>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</si>
  <si>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</si>
  <si>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</si>
  <si>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</si>
  <si>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</si>
  <si>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</si>
  <si>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</si>
  <si>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</si>
  <si>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</si>
  <si>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</si>
  <si>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</si>
  <si>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</si>
  <si>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</si>
  <si>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</si>
  <si>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</si>
  <si>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</si>
  <si>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</si>
  <si>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</si>
  <si>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</si>
  <si>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212100</t>
  </si>
  <si>
    <t>USD</t>
  </si>
  <si>
    <t xml:space="preserve">Payment </t>
  </si>
  <si>
    <t>DR</t>
  </si>
  <si>
    <t>Invoice</t>
  </si>
  <si>
    <t>INR</t>
  </si>
  <si>
    <t>Company Code Currency Value</t>
  </si>
  <si>
    <t>Company Code Currency Key</t>
  </si>
  <si>
    <t>BASF INDIA LIMITED</t>
  </si>
  <si>
    <t>Exchange (gain)/Loss</t>
  </si>
  <si>
    <t>Invoice not booked by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</si>
</sst>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43" fontId="0" fillId="0" borderId="1" xfId="1" applyFont="1" applyBorder="1" applyAlignment="1">
      <alignment vertical="top"/>
    </xf>
    <xf numFmtId="43" fontId="0" fillId="0" borderId="1" xfId="0" applyNumberFormat="1" applyBorder="1" applyAlignment="1">
      <alignment vertical="top"/>
    </xf>
    <xf numFmtId="0" fontId="0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  <xf numFmtId="43" fontId="2" fillId="4" borderId="1" xfId="0" applyNumberFormat="1" applyFont="1" applyFill="1" applyBorder="1" applyAlignment="1">
      <alignment vertical="top"/>
    </xf>
    <xf numFmtId="0" fontId="1" fillId="0" borderId="1" xfId="2" applyBorder="1" applyAlignment="1">
      <alignment horizontal="left" vertical="top"/>
    </xf>
    <xf numFmtId="0" fontId="1" fillId="0" borderId="1" xfId="2" applyBorder="1" applyAlignment="1">
      <alignment vertical="top"/>
    </xf>
    <xf numFmtId="1" fontId="1" fillId="0" borderId="1" xfId="2" applyNumberFormat="1" applyBorder="1" applyAlignment="1">
      <alignment horizontal="left" vertical="top"/>
    </xf>
    <xf numFmtId="4" fontId="1" fillId="0" borderId="1" xfId="2" applyNumberFormat="1" applyBorder="1" applyAlignment="1">
      <alignment vertical="top"/>
    </xf>
    <xf numFmtId="14" fontId="1" fillId="0" borderId="1" xfId="2" applyNumberFormat="1" applyBorder="1" applyAlignment="1">
      <alignment horizontal="right" vertical="top"/>
    </xf>
    <xf numFmtId="4" fontId="1" fillId="0" borderId="1" xfId="2" applyNumberFormat="1" applyBorder="1" applyAlignment="1">
      <alignment horizontal="right" vertical="top"/>
    </xf>
    <xf numFmtId="14" fontId="1" fillId="4" borderId="1" xfId="2" applyNumberFormat="1" applyFill="1" applyBorder="1" applyAlignment="1">
      <alignment horizontal="right" vertical="top"/>
    </xf>
    <xf numFmtId="0" fontId="1" fillId="4" borderId="1" xfId="2" applyFill="1" applyBorder="1" applyAlignment="1">
      <alignment horizontal="left" vertical="top"/>
    </xf>
    <xf numFmtId="0" fontId="1" fillId="4" borderId="1" xfId="2" applyFill="1" applyBorder="1" applyAlignment="1">
      <alignment vertical="top"/>
    </xf>
    <xf numFmtId="1" fontId="2" fillId="4" borderId="1" xfId="2" applyNumberFormat="1" applyFont="1" applyFill="1" applyBorder="1" applyAlignment="1">
      <alignment vertical="top"/>
    </xf>
    <xf numFmtId="0" fontId="2" fillId="4" borderId="1" xfId="2" applyFont="1" applyFill="1" applyBorder="1" applyAlignment="1">
      <alignment vertical="top"/>
    </xf>
    <xf numFmtId="4" fontId="1" fillId="4" borderId="1" xfId="2" applyNumberFormat="1" applyFill="1" applyBorder="1" applyAlignment="1">
      <alignment horizontal="right" vertical="top"/>
    </xf>
    <xf numFmtId="4" fontId="1" fillId="4" borderId="1" xfId="2" applyNumberFormat="1" applyFill="1" applyBorder="1" applyAlignment="1">
      <alignment vertical="top"/>
    </xf>
  </cellXfs>
  <cellStyles count="3">
    <cellStyle name="Comma" xfId="1" builtinId="3"/>
    <cellStyle name="Normal" xfId="0" builtinId="0"/>
    <cellStyle name="Normal 2" xfId="2" xr:uid="{6A801564-0BA6-463E-9B35-1A052C5DE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139"/>
  <sheetViews>
    <sheetView tabSelected="1" topLeftCell="B139" zoomScale="70" zoomScaleNormal="70" workbookViewId="0">
      <selection activeCell="R139" sqref="R139"/>
    </sheetView>
  </sheetViews>
  <sheetFormatPr defaultColWidth="8.77734375" defaultRowHeight="13.2" x14ac:dyDescent="0.25"/>
  <cols>
    <col min="1" max="1" width="18" style="3" bestFit="1" customWidth="1"/>
    <col min="2" max="2" width="13" style="3" bestFit="1" customWidth="1"/>
    <col min="3" max="3" width="28.6640625" style="3" bestFit="1" customWidth="1"/>
    <col min="4" max="4" width="15.5546875" style="3" bestFit="1" customWidth="1"/>
    <col min="5" max="5" width="21.109375" style="3" bestFit="1" customWidth="1"/>
    <col min="6" max="6" width="10.5546875" style="3" bestFit="1" customWidth="1"/>
    <col min="7" max="7" width="18" style="3" bestFit="1" customWidth="1"/>
    <col min="8" max="8" width="13.109375" style="3" bestFit="1" customWidth="1"/>
    <col min="9" max="9" width="24.5546875" style="3" bestFit="1" customWidth="1"/>
    <col min="10" max="10" width="14.5546875" style="3" bestFit="1" customWidth="1"/>
    <col min="11" max="11" width="15" style="3" bestFit="1" customWidth="1"/>
    <col min="12" max="12" width="14.5546875" style="3" bestFit="1" customWidth="1"/>
    <col min="13" max="13" width="11.21875" style="3" bestFit="1" customWidth="1"/>
    <col min="14" max="14" width="11.6640625" style="3" bestFit="1" customWidth="1"/>
    <col min="15" max="15" width="11.33203125" style="3" bestFit="1" customWidth="1"/>
    <col min="16" max="16" width="14.109375" style="3" bestFit="1" customWidth="1"/>
    <col min="17" max="17" width="9.77734375" style="3" bestFit="1" customWidth="1"/>
    <col min="18" max="18" width="14.109375" style="3" bestFit="1" customWidth="1"/>
    <col min="19" max="19" width="20.44140625" style="3" bestFit="1" customWidth="1"/>
    <col min="20" max="20" width="8.77734375" style="3"/>
    <col min="21" max="21" width="9.109375" style="3" bestFit="1" customWidth="1"/>
    <col min="22" max="16384" width="8.77734375" style="3"/>
  </cols>
  <sheetData>
    <row r="1" spans="1:19" ht="52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26</v>
      </c>
      <c r="P1" s="2" t="s">
        <v>25</v>
      </c>
      <c r="Q1" s="2" t="s">
        <v>14</v>
      </c>
      <c r="R1" s="2" t="s">
        <v>15</v>
      </c>
      <c r="S1" s="2" t="s">
        <v>16</v>
      </c>
    </row>
    <row r="2" spans="1:19" x14ac:dyDescent="0.25">
      <c r="A2" s="4" t="s">
        <v>17</v>
      </c>
      <c r="B2" s="4"/>
      <c r="C2" s="4" t="s">
        <v>27</v>
      </c>
      <c r="D2" s="5">
        <v>45839</v>
      </c>
      <c r="E2" s="19">
        <v>1400000099</v>
      </c>
      <c r="F2" s="4" t="s">
        <v>18</v>
      </c>
      <c r="G2" s="5">
        <v>45832</v>
      </c>
      <c r="H2" s="5">
        <v>45832</v>
      </c>
      <c r="I2" s="4"/>
      <c r="J2" s="20" t="s">
        <v>19</v>
      </c>
      <c r="K2" s="4"/>
      <c r="L2" s="4"/>
      <c r="M2" s="4"/>
      <c r="N2" s="4"/>
      <c r="O2" s="4" t="s">
        <v>24</v>
      </c>
      <c r="P2" s="12">
        <v>-1955562.36</v>
      </c>
      <c r="Q2" s="4"/>
      <c r="R2" s="13">
        <f>P2</f>
        <v>-1955562.36</v>
      </c>
      <c r="S2" s="7" t="s">
        <v>21</v>
      </c>
    </row>
    <row r="3" spans="1:19" x14ac:dyDescent="0.25">
      <c r="A3" s="4" t="s">
        <v>17</v>
      </c>
      <c r="B3" s="4"/>
      <c r="C3" s="4" t="s">
        <v>27</v>
      </c>
      <c r="D3" s="5">
        <v>45730</v>
      </c>
      <c r="E3" s="4">
        <v>1800001709</v>
      </c>
      <c r="F3" s="4" t="s">
        <v>22</v>
      </c>
      <c r="G3" s="5">
        <v>45730</v>
      </c>
      <c r="H3" s="5">
        <v>45730</v>
      </c>
      <c r="I3" s="4"/>
      <c r="J3" s="20" t="s">
        <v>19</v>
      </c>
      <c r="K3" s="4"/>
      <c r="L3" s="21">
        <v>246779411374</v>
      </c>
      <c r="M3" s="4" t="s">
        <v>20</v>
      </c>
      <c r="N3" s="20">
        <v>63.31</v>
      </c>
      <c r="O3" s="4" t="s">
        <v>24</v>
      </c>
      <c r="P3" s="6">
        <v>5488.42</v>
      </c>
      <c r="Q3" s="22">
        <v>92.311624618351743</v>
      </c>
      <c r="R3" s="8">
        <f>P3-Q3</f>
        <v>5396.1083753816483</v>
      </c>
      <c r="S3" s="7" t="s">
        <v>23</v>
      </c>
    </row>
    <row r="4" spans="1:19" x14ac:dyDescent="0.25">
      <c r="A4" s="4" t="s">
        <v>17</v>
      </c>
      <c r="B4" s="4"/>
      <c r="C4" s="4" t="s">
        <v>27</v>
      </c>
      <c r="D4" s="5">
        <v>45750</v>
      </c>
      <c r="E4" s="4">
        <v>1800005417</v>
      </c>
      <c r="F4" s="4" t="s">
        <v>22</v>
      </c>
      <c r="G4" s="5">
        <v>45750</v>
      </c>
      <c r="H4" s="5">
        <v>45750</v>
      </c>
      <c r="I4" s="4"/>
      <c r="J4" s="20" t="s">
        <v>19</v>
      </c>
      <c r="K4" s="4"/>
      <c r="L4" s="21">
        <v>256779410309</v>
      </c>
      <c r="M4" s="4" t="s">
        <v>20</v>
      </c>
      <c r="N4" s="20">
        <v>42.72</v>
      </c>
      <c r="O4" s="4" t="s">
        <v>24</v>
      </c>
      <c r="P4" s="6">
        <v>3713.3</v>
      </c>
      <c r="Q4" s="22">
        <v>62.384749880895839</v>
      </c>
      <c r="R4" s="8">
        <f t="shared" ref="R4:R31" si="0">P4-Q4</f>
        <v>3650.9152501191043</v>
      </c>
      <c r="S4" s="7" t="s">
        <v>23</v>
      </c>
    </row>
    <row r="5" spans="1:19" x14ac:dyDescent="0.25">
      <c r="A5" s="4" t="s">
        <v>17</v>
      </c>
      <c r="B5" s="4"/>
      <c r="C5" s="4" t="s">
        <v>27</v>
      </c>
      <c r="D5" s="5">
        <v>45750</v>
      </c>
      <c r="E5" s="4">
        <v>1800005418</v>
      </c>
      <c r="F5" s="4" t="s">
        <v>22</v>
      </c>
      <c r="G5" s="5">
        <v>45750</v>
      </c>
      <c r="H5" s="5">
        <v>45750</v>
      </c>
      <c r="I5" s="4"/>
      <c r="J5" s="20" t="s">
        <v>19</v>
      </c>
      <c r="K5" s="4"/>
      <c r="L5" s="21">
        <v>256779410310</v>
      </c>
      <c r="M5" s="4" t="s">
        <v>20</v>
      </c>
      <c r="N5" s="20">
        <v>36.049999999999997</v>
      </c>
      <c r="O5" s="4" t="s">
        <v>24</v>
      </c>
      <c r="P5" s="6">
        <v>3133.53</v>
      </c>
      <c r="Q5" s="22">
        <v>52.267767428732498</v>
      </c>
      <c r="R5" s="8">
        <f t="shared" si="0"/>
        <v>3081.2622325712678</v>
      </c>
      <c r="S5" s="7" t="s">
        <v>23</v>
      </c>
    </row>
    <row r="6" spans="1:19" x14ac:dyDescent="0.25">
      <c r="A6" s="4" t="s">
        <v>17</v>
      </c>
      <c r="B6" s="4"/>
      <c r="C6" s="4" t="s">
        <v>27</v>
      </c>
      <c r="D6" s="5">
        <v>45750</v>
      </c>
      <c r="E6" s="4">
        <v>1800005419</v>
      </c>
      <c r="F6" s="4" t="s">
        <v>22</v>
      </c>
      <c r="G6" s="5">
        <v>45750</v>
      </c>
      <c r="H6" s="5">
        <v>45750</v>
      </c>
      <c r="I6" s="4"/>
      <c r="J6" s="20" t="s">
        <v>19</v>
      </c>
      <c r="K6" s="4"/>
      <c r="L6" s="21">
        <v>256779410311</v>
      </c>
      <c r="M6" s="4" t="s">
        <v>20</v>
      </c>
      <c r="N6" s="20">
        <v>36.36</v>
      </c>
      <c r="O6" s="4" t="s">
        <v>24</v>
      </c>
      <c r="P6" s="6">
        <v>3160.48</v>
      </c>
      <c r="Q6" s="22">
        <v>52.267353105763632</v>
      </c>
      <c r="R6" s="8">
        <f t="shared" si="0"/>
        <v>3108.2126468942365</v>
      </c>
      <c r="S6" s="7" t="s">
        <v>23</v>
      </c>
    </row>
    <row r="7" spans="1:19" x14ac:dyDescent="0.25">
      <c r="A7" s="4" t="s">
        <v>17</v>
      </c>
      <c r="B7" s="4"/>
      <c r="C7" s="4" t="s">
        <v>27</v>
      </c>
      <c r="D7" s="5">
        <v>45750</v>
      </c>
      <c r="E7" s="4">
        <v>1800005420</v>
      </c>
      <c r="F7" s="4" t="s">
        <v>22</v>
      </c>
      <c r="G7" s="5">
        <v>45750</v>
      </c>
      <c r="H7" s="5">
        <v>45750</v>
      </c>
      <c r="I7" s="4"/>
      <c r="J7" s="20" t="s">
        <v>19</v>
      </c>
      <c r="K7" s="4"/>
      <c r="L7" s="21">
        <v>256779410312</v>
      </c>
      <c r="M7" s="4" t="s">
        <v>20</v>
      </c>
      <c r="N7" s="20">
        <v>3.26</v>
      </c>
      <c r="O7" s="4" t="s">
        <v>24</v>
      </c>
      <c r="P7" s="6">
        <v>283.37</v>
      </c>
      <c r="Q7" s="22">
        <v>5.058749999999967</v>
      </c>
      <c r="R7" s="8">
        <f t="shared" si="0"/>
        <v>278.31125000000003</v>
      </c>
      <c r="S7" s="7" t="s">
        <v>23</v>
      </c>
    </row>
    <row r="8" spans="1:19" x14ac:dyDescent="0.25">
      <c r="A8" s="4" t="s">
        <v>17</v>
      </c>
      <c r="B8" s="4"/>
      <c r="C8" s="4" t="s">
        <v>27</v>
      </c>
      <c r="D8" s="5">
        <v>45750</v>
      </c>
      <c r="E8" s="4">
        <v>1800005421</v>
      </c>
      <c r="F8" s="4" t="s">
        <v>22</v>
      </c>
      <c r="G8" s="5">
        <v>45750</v>
      </c>
      <c r="H8" s="5">
        <v>45750</v>
      </c>
      <c r="I8" s="4"/>
      <c r="J8" s="20" t="s">
        <v>19</v>
      </c>
      <c r="K8" s="4"/>
      <c r="L8" s="21">
        <v>256779410313</v>
      </c>
      <c r="M8" s="4" t="s">
        <v>20</v>
      </c>
      <c r="N8" s="20">
        <v>51.84</v>
      </c>
      <c r="O8" s="4" t="s">
        <v>24</v>
      </c>
      <c r="P8" s="6">
        <v>4506.03</v>
      </c>
      <c r="Q8" s="22">
        <v>75.022370951913686</v>
      </c>
      <c r="R8" s="8">
        <f t="shared" si="0"/>
        <v>4431.0076290480856</v>
      </c>
      <c r="S8" s="7" t="s">
        <v>23</v>
      </c>
    </row>
    <row r="9" spans="1:19" x14ac:dyDescent="0.25">
      <c r="A9" s="4" t="s">
        <v>17</v>
      </c>
      <c r="B9" s="4"/>
      <c r="C9" s="4" t="s">
        <v>27</v>
      </c>
      <c r="D9" s="5">
        <v>45750</v>
      </c>
      <c r="E9" s="4">
        <v>1800005422</v>
      </c>
      <c r="F9" s="4" t="s">
        <v>22</v>
      </c>
      <c r="G9" s="5">
        <v>45750</v>
      </c>
      <c r="H9" s="5">
        <v>45750</v>
      </c>
      <c r="I9" s="4"/>
      <c r="J9" s="20" t="s">
        <v>19</v>
      </c>
      <c r="K9" s="4"/>
      <c r="L9" s="21">
        <v>256779410314</v>
      </c>
      <c r="M9" s="4" t="s">
        <v>20</v>
      </c>
      <c r="N9" s="20">
        <v>4.67</v>
      </c>
      <c r="O9" s="4" t="s">
        <v>24</v>
      </c>
      <c r="P9" s="6">
        <v>405.92</v>
      </c>
      <c r="Q9" s="22">
        <v>6.7389978213507682</v>
      </c>
      <c r="R9" s="8">
        <f t="shared" si="0"/>
        <v>399.18100217864924</v>
      </c>
      <c r="S9" s="7" t="s">
        <v>23</v>
      </c>
    </row>
    <row r="10" spans="1:19" x14ac:dyDescent="0.25">
      <c r="A10" s="4" t="s">
        <v>17</v>
      </c>
      <c r="B10" s="4"/>
      <c r="C10" s="4" t="s">
        <v>27</v>
      </c>
      <c r="D10" s="5">
        <v>45750</v>
      </c>
      <c r="E10" s="4">
        <v>1800005425</v>
      </c>
      <c r="F10" s="4" t="s">
        <v>22</v>
      </c>
      <c r="G10" s="5">
        <v>45750</v>
      </c>
      <c r="H10" s="5">
        <v>45750</v>
      </c>
      <c r="I10" s="4"/>
      <c r="J10" s="20" t="s">
        <v>19</v>
      </c>
      <c r="K10" s="4"/>
      <c r="L10" s="21">
        <v>256779410317</v>
      </c>
      <c r="M10" s="4" t="s">
        <v>20</v>
      </c>
      <c r="N10" s="20">
        <v>3.26</v>
      </c>
      <c r="O10" s="4" t="s">
        <v>24</v>
      </c>
      <c r="P10" s="6">
        <v>283.37</v>
      </c>
      <c r="Q10" s="22">
        <v>5.058749999999967</v>
      </c>
      <c r="R10" s="8">
        <f t="shared" si="0"/>
        <v>278.31125000000003</v>
      </c>
      <c r="S10" s="7" t="s">
        <v>23</v>
      </c>
    </row>
    <row r="11" spans="1:19" x14ac:dyDescent="0.25">
      <c r="A11" s="4" t="s">
        <v>17</v>
      </c>
      <c r="B11" s="4"/>
      <c r="C11" s="4" t="s">
        <v>27</v>
      </c>
      <c r="D11" s="5">
        <v>45750</v>
      </c>
      <c r="E11" s="4">
        <v>1800005435</v>
      </c>
      <c r="F11" s="4" t="s">
        <v>22</v>
      </c>
      <c r="G11" s="5">
        <v>45750</v>
      </c>
      <c r="H11" s="5">
        <v>45750</v>
      </c>
      <c r="I11" s="4"/>
      <c r="J11" s="20" t="s">
        <v>19</v>
      </c>
      <c r="K11" s="4"/>
      <c r="L11" s="21">
        <v>256779410327</v>
      </c>
      <c r="M11" s="4" t="s">
        <v>20</v>
      </c>
      <c r="N11" s="20">
        <v>11.93</v>
      </c>
      <c r="O11" s="4" t="s">
        <v>24</v>
      </c>
      <c r="P11" s="6">
        <v>1036.98</v>
      </c>
      <c r="Q11" s="22">
        <v>17.697337883958966</v>
      </c>
      <c r="R11" s="8">
        <f t="shared" si="0"/>
        <v>1019.282662116041</v>
      </c>
      <c r="S11" s="7" t="s">
        <v>23</v>
      </c>
    </row>
    <row r="12" spans="1:19" x14ac:dyDescent="0.25">
      <c r="A12" s="4" t="s">
        <v>17</v>
      </c>
      <c r="B12" s="4"/>
      <c r="C12" s="4" t="s">
        <v>27</v>
      </c>
      <c r="D12" s="5">
        <v>45750</v>
      </c>
      <c r="E12" s="4">
        <v>1800005436</v>
      </c>
      <c r="F12" s="4" t="s">
        <v>22</v>
      </c>
      <c r="G12" s="5">
        <v>45750</v>
      </c>
      <c r="H12" s="5">
        <v>45750</v>
      </c>
      <c r="I12" s="4"/>
      <c r="J12" s="20" t="s">
        <v>19</v>
      </c>
      <c r="K12" s="4"/>
      <c r="L12" s="21">
        <v>256779410328</v>
      </c>
      <c r="M12" s="4" t="s">
        <v>20</v>
      </c>
      <c r="N12" s="20">
        <v>3.26</v>
      </c>
      <c r="O12" s="4" t="s">
        <v>24</v>
      </c>
      <c r="P12" s="6">
        <v>283.37</v>
      </c>
      <c r="Q12" s="22">
        <v>5.058749999999967</v>
      </c>
      <c r="R12" s="8">
        <f t="shared" si="0"/>
        <v>278.31125000000003</v>
      </c>
      <c r="S12" s="7" t="s">
        <v>23</v>
      </c>
    </row>
    <row r="13" spans="1:19" x14ac:dyDescent="0.25">
      <c r="A13" s="4" t="s">
        <v>17</v>
      </c>
      <c r="B13" s="4"/>
      <c r="C13" s="4" t="s">
        <v>27</v>
      </c>
      <c r="D13" s="5">
        <v>45750</v>
      </c>
      <c r="E13" s="4">
        <v>1800005437</v>
      </c>
      <c r="F13" s="4" t="s">
        <v>22</v>
      </c>
      <c r="G13" s="5">
        <v>45750</v>
      </c>
      <c r="H13" s="5">
        <v>45750</v>
      </c>
      <c r="I13" s="4"/>
      <c r="J13" s="20" t="s">
        <v>19</v>
      </c>
      <c r="K13" s="4"/>
      <c r="L13" s="21">
        <v>256779410329</v>
      </c>
      <c r="M13" s="4" t="s">
        <v>20</v>
      </c>
      <c r="N13" s="20">
        <v>20.38</v>
      </c>
      <c r="O13" s="4" t="s">
        <v>24</v>
      </c>
      <c r="P13" s="6">
        <v>1771.47</v>
      </c>
      <c r="Q13" s="22">
        <v>30.352387612387567</v>
      </c>
      <c r="R13" s="8">
        <f t="shared" si="0"/>
        <v>1741.1176123876126</v>
      </c>
      <c r="S13" s="7" t="s">
        <v>23</v>
      </c>
    </row>
    <row r="14" spans="1:19" x14ac:dyDescent="0.25">
      <c r="A14" s="4" t="s">
        <v>17</v>
      </c>
      <c r="B14" s="4"/>
      <c r="C14" s="4" t="s">
        <v>27</v>
      </c>
      <c r="D14" s="5">
        <v>45750</v>
      </c>
      <c r="E14" s="4">
        <v>1800005438</v>
      </c>
      <c r="F14" s="4" t="s">
        <v>22</v>
      </c>
      <c r="G14" s="5">
        <v>45750</v>
      </c>
      <c r="H14" s="5">
        <v>45750</v>
      </c>
      <c r="I14" s="4"/>
      <c r="J14" s="20" t="s">
        <v>19</v>
      </c>
      <c r="K14" s="4"/>
      <c r="L14" s="21">
        <v>256779410330</v>
      </c>
      <c r="M14" s="4" t="s">
        <v>20</v>
      </c>
      <c r="N14" s="20">
        <v>18.7</v>
      </c>
      <c r="O14" s="4" t="s">
        <v>24</v>
      </c>
      <c r="P14" s="6">
        <v>1625.44</v>
      </c>
      <c r="Q14" s="22">
        <v>26.97401523394997</v>
      </c>
      <c r="R14" s="8">
        <f t="shared" si="0"/>
        <v>1598.46598476605</v>
      </c>
      <c r="S14" s="7" t="s">
        <v>23</v>
      </c>
    </row>
    <row r="15" spans="1:19" x14ac:dyDescent="0.25">
      <c r="A15" s="4" t="s">
        <v>17</v>
      </c>
      <c r="B15" s="4"/>
      <c r="C15" s="4" t="s">
        <v>27</v>
      </c>
      <c r="D15" s="5">
        <v>45750</v>
      </c>
      <c r="E15" s="4">
        <v>1800005439</v>
      </c>
      <c r="F15" s="4" t="s">
        <v>22</v>
      </c>
      <c r="G15" s="5">
        <v>45750</v>
      </c>
      <c r="H15" s="5">
        <v>45750</v>
      </c>
      <c r="I15" s="4"/>
      <c r="J15" s="20" t="s">
        <v>19</v>
      </c>
      <c r="K15" s="4"/>
      <c r="L15" s="21">
        <v>256779410331</v>
      </c>
      <c r="M15" s="4" t="s">
        <v>20</v>
      </c>
      <c r="N15" s="20">
        <v>8.8000000000000007</v>
      </c>
      <c r="O15" s="4" t="s">
        <v>24</v>
      </c>
      <c r="P15" s="6">
        <v>764.91</v>
      </c>
      <c r="Q15" s="22">
        <v>12.637803468208123</v>
      </c>
      <c r="R15" s="8">
        <f t="shared" si="0"/>
        <v>752.27219653179179</v>
      </c>
      <c r="S15" s="7" t="s">
        <v>23</v>
      </c>
    </row>
    <row r="16" spans="1:19" x14ac:dyDescent="0.25">
      <c r="A16" s="4" t="s">
        <v>17</v>
      </c>
      <c r="B16" s="4"/>
      <c r="C16" s="4" t="s">
        <v>27</v>
      </c>
      <c r="D16" s="5">
        <v>45750</v>
      </c>
      <c r="E16" s="4">
        <v>1800005440</v>
      </c>
      <c r="F16" s="4" t="s">
        <v>22</v>
      </c>
      <c r="G16" s="5">
        <v>45750</v>
      </c>
      <c r="H16" s="5">
        <v>45750</v>
      </c>
      <c r="I16" s="4"/>
      <c r="J16" s="20" t="s">
        <v>19</v>
      </c>
      <c r="K16" s="4"/>
      <c r="L16" s="21">
        <v>256779410332</v>
      </c>
      <c r="M16" s="4" t="s">
        <v>20</v>
      </c>
      <c r="N16" s="20">
        <v>3.26</v>
      </c>
      <c r="O16" s="4" t="s">
        <v>24</v>
      </c>
      <c r="P16" s="6">
        <v>396.36</v>
      </c>
      <c r="Q16" s="22">
        <v>0</v>
      </c>
      <c r="R16" s="8">
        <f t="shared" si="0"/>
        <v>396.36</v>
      </c>
      <c r="S16" s="7" t="s">
        <v>23</v>
      </c>
    </row>
    <row r="17" spans="1:19" x14ac:dyDescent="0.25">
      <c r="A17" s="4" t="s">
        <v>17</v>
      </c>
      <c r="B17" s="4"/>
      <c r="C17" s="4" t="s">
        <v>27</v>
      </c>
      <c r="D17" s="5">
        <v>45750</v>
      </c>
      <c r="E17" s="4">
        <v>1800005441</v>
      </c>
      <c r="F17" s="4" t="s">
        <v>22</v>
      </c>
      <c r="G17" s="5">
        <v>45750</v>
      </c>
      <c r="H17" s="5">
        <v>45750</v>
      </c>
      <c r="I17" s="4"/>
      <c r="J17" s="20" t="s">
        <v>19</v>
      </c>
      <c r="K17" s="4"/>
      <c r="L17" s="21">
        <v>256779410333</v>
      </c>
      <c r="M17" s="4" t="s">
        <v>20</v>
      </c>
      <c r="N17" s="20">
        <v>10.15</v>
      </c>
      <c r="O17" s="4" t="s">
        <v>24</v>
      </c>
      <c r="P17" s="6">
        <v>882.26</v>
      </c>
      <c r="Q17" s="22">
        <v>15.175787362086234</v>
      </c>
      <c r="R17" s="8">
        <f t="shared" si="0"/>
        <v>867.08421263791377</v>
      </c>
      <c r="S17" s="7" t="s">
        <v>23</v>
      </c>
    </row>
    <row r="18" spans="1:19" x14ac:dyDescent="0.25">
      <c r="A18" s="4" t="s">
        <v>17</v>
      </c>
      <c r="B18" s="4"/>
      <c r="C18" s="4" t="s">
        <v>27</v>
      </c>
      <c r="D18" s="5">
        <v>45750</v>
      </c>
      <c r="E18" s="4">
        <v>1800005442</v>
      </c>
      <c r="F18" s="4" t="s">
        <v>22</v>
      </c>
      <c r="G18" s="5">
        <v>45750</v>
      </c>
      <c r="H18" s="5">
        <v>45750</v>
      </c>
      <c r="I18" s="4"/>
      <c r="J18" s="20" t="s">
        <v>19</v>
      </c>
      <c r="K18" s="4"/>
      <c r="L18" s="21">
        <v>256779410334</v>
      </c>
      <c r="M18" s="4" t="s">
        <v>20</v>
      </c>
      <c r="N18" s="20">
        <v>15.21</v>
      </c>
      <c r="O18" s="4" t="s">
        <v>24</v>
      </c>
      <c r="P18" s="6">
        <v>1322.08</v>
      </c>
      <c r="Q18" s="22">
        <v>21.914782608695784</v>
      </c>
      <c r="R18" s="8">
        <f t="shared" si="0"/>
        <v>1300.1652173913042</v>
      </c>
      <c r="S18" s="7" t="s">
        <v>23</v>
      </c>
    </row>
    <row r="19" spans="1:19" x14ac:dyDescent="0.25">
      <c r="A19" s="4" t="s">
        <v>17</v>
      </c>
      <c r="B19" s="4"/>
      <c r="C19" s="4" t="s">
        <v>27</v>
      </c>
      <c r="D19" s="5">
        <v>45750</v>
      </c>
      <c r="E19" s="4">
        <v>1800005443</v>
      </c>
      <c r="F19" s="4" t="s">
        <v>22</v>
      </c>
      <c r="G19" s="5">
        <v>45750</v>
      </c>
      <c r="H19" s="5">
        <v>45750</v>
      </c>
      <c r="I19" s="4"/>
      <c r="J19" s="20" t="s">
        <v>19</v>
      </c>
      <c r="K19" s="4"/>
      <c r="L19" s="21">
        <v>256779410335</v>
      </c>
      <c r="M19" s="4" t="s">
        <v>20</v>
      </c>
      <c r="N19" s="20">
        <v>9.98</v>
      </c>
      <c r="O19" s="4" t="s">
        <v>24</v>
      </c>
      <c r="P19" s="6">
        <v>867.48</v>
      </c>
      <c r="Q19" s="22">
        <v>15.175469387755077</v>
      </c>
      <c r="R19" s="8">
        <f t="shared" si="0"/>
        <v>852.30453061224489</v>
      </c>
      <c r="S19" s="7" t="s">
        <v>23</v>
      </c>
    </row>
    <row r="20" spans="1:19" x14ac:dyDescent="0.25">
      <c r="A20" s="4" t="s">
        <v>17</v>
      </c>
      <c r="B20" s="4"/>
      <c r="C20" s="4" t="s">
        <v>27</v>
      </c>
      <c r="D20" s="5">
        <v>45750</v>
      </c>
      <c r="E20" s="4">
        <v>1800005444</v>
      </c>
      <c r="F20" s="4" t="s">
        <v>22</v>
      </c>
      <c r="G20" s="5">
        <v>45750</v>
      </c>
      <c r="H20" s="5">
        <v>45750</v>
      </c>
      <c r="I20" s="4"/>
      <c r="J20" s="20" t="s">
        <v>19</v>
      </c>
      <c r="K20" s="4"/>
      <c r="L20" s="21">
        <v>256779410336</v>
      </c>
      <c r="M20" s="4" t="s">
        <v>20</v>
      </c>
      <c r="N20" s="20">
        <v>4.7</v>
      </c>
      <c r="O20" s="4" t="s">
        <v>24</v>
      </c>
      <c r="P20" s="6">
        <v>408.53</v>
      </c>
      <c r="Q20" s="22">
        <v>6.7399134199134254</v>
      </c>
      <c r="R20" s="8">
        <f t="shared" si="0"/>
        <v>401.79008658008655</v>
      </c>
      <c r="S20" s="7" t="s">
        <v>23</v>
      </c>
    </row>
    <row r="21" spans="1:19" x14ac:dyDescent="0.25">
      <c r="A21" s="4" t="s">
        <v>17</v>
      </c>
      <c r="B21" s="4"/>
      <c r="C21" s="4" t="s">
        <v>27</v>
      </c>
      <c r="D21" s="5">
        <v>45750</v>
      </c>
      <c r="E21" s="4">
        <v>1800005445</v>
      </c>
      <c r="F21" s="4" t="s">
        <v>22</v>
      </c>
      <c r="G21" s="5">
        <v>45750</v>
      </c>
      <c r="H21" s="5">
        <v>45750</v>
      </c>
      <c r="I21" s="4"/>
      <c r="J21" s="20" t="s">
        <v>19</v>
      </c>
      <c r="K21" s="4"/>
      <c r="L21" s="21">
        <v>256779410337</v>
      </c>
      <c r="M21" s="4" t="s">
        <v>20</v>
      </c>
      <c r="N21" s="20">
        <v>13.74</v>
      </c>
      <c r="O21" s="4" t="s">
        <v>24</v>
      </c>
      <c r="P21" s="6">
        <v>1194.31</v>
      </c>
      <c r="Q21" s="22">
        <v>20.234488888888908</v>
      </c>
      <c r="R21" s="8">
        <f t="shared" si="0"/>
        <v>1174.0755111111109</v>
      </c>
      <c r="S21" s="7" t="s">
        <v>23</v>
      </c>
    </row>
    <row r="22" spans="1:19" x14ac:dyDescent="0.25">
      <c r="A22" s="4" t="s">
        <v>17</v>
      </c>
      <c r="B22" s="4"/>
      <c r="C22" s="4" t="s">
        <v>27</v>
      </c>
      <c r="D22" s="5">
        <v>45750</v>
      </c>
      <c r="E22" s="4">
        <v>1800005446</v>
      </c>
      <c r="F22" s="4" t="s">
        <v>22</v>
      </c>
      <c r="G22" s="5">
        <v>45750</v>
      </c>
      <c r="H22" s="5">
        <v>45750</v>
      </c>
      <c r="I22" s="4"/>
      <c r="J22" s="20" t="s">
        <v>19</v>
      </c>
      <c r="K22" s="4"/>
      <c r="L22" s="21">
        <v>256779410338</v>
      </c>
      <c r="M22" s="4" t="s">
        <v>20</v>
      </c>
      <c r="N22" s="20">
        <v>5.69</v>
      </c>
      <c r="O22" s="4" t="s">
        <v>24</v>
      </c>
      <c r="P22" s="6">
        <v>494.59</v>
      </c>
      <c r="Q22" s="22">
        <v>0</v>
      </c>
      <c r="R22" s="8">
        <f t="shared" si="0"/>
        <v>494.59</v>
      </c>
      <c r="S22" s="7" t="s">
        <v>23</v>
      </c>
    </row>
    <row r="23" spans="1:19" x14ac:dyDescent="0.25">
      <c r="A23" s="4" t="s">
        <v>17</v>
      </c>
      <c r="B23" s="4"/>
      <c r="C23" s="4" t="s">
        <v>27</v>
      </c>
      <c r="D23" s="5">
        <v>45750</v>
      </c>
      <c r="E23" s="4">
        <v>1800005447</v>
      </c>
      <c r="F23" s="4" t="s">
        <v>22</v>
      </c>
      <c r="G23" s="5">
        <v>45750</v>
      </c>
      <c r="H23" s="5">
        <v>45750</v>
      </c>
      <c r="I23" s="4"/>
      <c r="J23" s="20" t="s">
        <v>19</v>
      </c>
      <c r="K23" s="4"/>
      <c r="L23" s="21">
        <v>256779410339</v>
      </c>
      <c r="M23" s="4" t="s">
        <v>20</v>
      </c>
      <c r="N23" s="20">
        <v>18.079999999999998</v>
      </c>
      <c r="O23" s="4" t="s">
        <v>24</v>
      </c>
      <c r="P23" s="6">
        <v>1571.55</v>
      </c>
      <c r="Q23" s="22">
        <v>26.132982554867649</v>
      </c>
      <c r="R23" s="8">
        <f t="shared" si="0"/>
        <v>1545.4170174451324</v>
      </c>
      <c r="S23" s="7" t="s">
        <v>23</v>
      </c>
    </row>
    <row r="24" spans="1:19" x14ac:dyDescent="0.25">
      <c r="A24" s="4" t="s">
        <v>17</v>
      </c>
      <c r="B24" s="4"/>
      <c r="C24" s="4" t="s">
        <v>27</v>
      </c>
      <c r="D24" s="5">
        <v>45751</v>
      </c>
      <c r="E24" s="4">
        <v>1800005571</v>
      </c>
      <c r="F24" s="4" t="s">
        <v>22</v>
      </c>
      <c r="G24" s="5">
        <v>45751</v>
      </c>
      <c r="H24" s="5">
        <v>45751</v>
      </c>
      <c r="I24" s="4"/>
      <c r="J24" s="20" t="s">
        <v>19</v>
      </c>
      <c r="K24" s="4"/>
      <c r="L24" s="21">
        <v>256779410463</v>
      </c>
      <c r="M24" s="4" t="s">
        <v>20</v>
      </c>
      <c r="N24" s="20">
        <v>4014.4700000000003</v>
      </c>
      <c r="O24" s="4" t="s">
        <v>24</v>
      </c>
      <c r="P24" s="6">
        <v>348945.04</v>
      </c>
      <c r="Q24" s="22">
        <v>5736.2605430998383</v>
      </c>
      <c r="R24" s="8">
        <f t="shared" si="0"/>
        <v>343208.77945690014</v>
      </c>
      <c r="S24" s="7" t="s">
        <v>23</v>
      </c>
    </row>
    <row r="25" spans="1:19" x14ac:dyDescent="0.25">
      <c r="A25" s="4" t="s">
        <v>17</v>
      </c>
      <c r="B25" s="4"/>
      <c r="C25" s="4" t="s">
        <v>27</v>
      </c>
      <c r="D25" s="5">
        <v>45751</v>
      </c>
      <c r="E25" s="4">
        <v>1800005572</v>
      </c>
      <c r="F25" s="4" t="s">
        <v>22</v>
      </c>
      <c r="G25" s="5">
        <v>45751</v>
      </c>
      <c r="H25" s="5">
        <v>45751</v>
      </c>
      <c r="I25" s="4"/>
      <c r="J25" s="20" t="s">
        <v>19</v>
      </c>
      <c r="K25" s="4"/>
      <c r="L25" s="21">
        <v>256779410464</v>
      </c>
      <c r="M25" s="4" t="s">
        <v>20</v>
      </c>
      <c r="N25" s="20">
        <v>44.650000000000006</v>
      </c>
      <c r="O25" s="4" t="s">
        <v>24</v>
      </c>
      <c r="P25" s="6">
        <v>3881.06</v>
      </c>
      <c r="Q25" s="22">
        <v>64.065974025974455</v>
      </c>
      <c r="R25" s="8">
        <f t="shared" si="0"/>
        <v>3816.9940259740256</v>
      </c>
      <c r="S25" s="7" t="s">
        <v>23</v>
      </c>
    </row>
    <row r="26" spans="1:19" x14ac:dyDescent="0.25">
      <c r="A26" s="4" t="s">
        <v>17</v>
      </c>
      <c r="B26" s="4"/>
      <c r="C26" s="4" t="s">
        <v>27</v>
      </c>
      <c r="D26" s="5">
        <v>45751</v>
      </c>
      <c r="E26" s="4">
        <v>1800005660</v>
      </c>
      <c r="F26" s="4" t="s">
        <v>22</v>
      </c>
      <c r="G26" s="5">
        <v>45751</v>
      </c>
      <c r="H26" s="5">
        <v>45751</v>
      </c>
      <c r="I26" s="4"/>
      <c r="J26" s="20" t="s">
        <v>19</v>
      </c>
      <c r="K26" s="4"/>
      <c r="L26" s="21">
        <v>256779410552</v>
      </c>
      <c r="M26" s="4" t="s">
        <v>20</v>
      </c>
      <c r="N26" s="20">
        <v>9540.9</v>
      </c>
      <c r="O26" s="4" t="s">
        <v>24</v>
      </c>
      <c r="P26" s="6">
        <v>829312.39</v>
      </c>
      <c r="Q26" s="22">
        <v>13632.144671495747</v>
      </c>
      <c r="R26" s="8">
        <f t="shared" si="0"/>
        <v>815680.24532850424</v>
      </c>
      <c r="S26" s="7" t="s">
        <v>23</v>
      </c>
    </row>
    <row r="27" spans="1:19" x14ac:dyDescent="0.25">
      <c r="A27" s="4" t="s">
        <v>17</v>
      </c>
      <c r="B27" s="4"/>
      <c r="C27" s="4" t="s">
        <v>27</v>
      </c>
      <c r="D27" s="5">
        <v>45751</v>
      </c>
      <c r="E27" s="4">
        <v>1800005661</v>
      </c>
      <c r="F27" s="4" t="s">
        <v>22</v>
      </c>
      <c r="G27" s="5">
        <v>45751</v>
      </c>
      <c r="H27" s="5">
        <v>45751</v>
      </c>
      <c r="I27" s="4"/>
      <c r="J27" s="20" t="s">
        <v>19</v>
      </c>
      <c r="K27" s="4"/>
      <c r="L27" s="21">
        <v>256779410553</v>
      </c>
      <c r="M27" s="4" t="s">
        <v>20</v>
      </c>
      <c r="N27" s="20">
        <v>681.91</v>
      </c>
      <c r="O27" s="4" t="s">
        <v>24</v>
      </c>
      <c r="P27" s="6">
        <v>59272.86</v>
      </c>
      <c r="Q27" s="22">
        <v>975.29400781692334</v>
      </c>
      <c r="R27" s="8">
        <f t="shared" si="0"/>
        <v>58297.565992183074</v>
      </c>
      <c r="S27" s="7" t="s">
        <v>23</v>
      </c>
    </row>
    <row r="28" spans="1:19" x14ac:dyDescent="0.25">
      <c r="A28" s="4" t="s">
        <v>17</v>
      </c>
      <c r="B28" s="4"/>
      <c r="C28" s="4" t="s">
        <v>27</v>
      </c>
      <c r="D28" s="5">
        <v>45751</v>
      </c>
      <c r="E28" s="4">
        <v>1800005662</v>
      </c>
      <c r="F28" s="4" t="s">
        <v>22</v>
      </c>
      <c r="G28" s="5">
        <v>45751</v>
      </c>
      <c r="H28" s="5">
        <v>45751</v>
      </c>
      <c r="I28" s="4"/>
      <c r="J28" s="20" t="s">
        <v>19</v>
      </c>
      <c r="K28" s="4"/>
      <c r="L28" s="21">
        <v>256779410554</v>
      </c>
      <c r="M28" s="4" t="s">
        <v>20</v>
      </c>
      <c r="N28" s="20">
        <v>220.47</v>
      </c>
      <c r="O28" s="4" t="s">
        <v>24</v>
      </c>
      <c r="P28" s="6">
        <v>19163.650000000001</v>
      </c>
      <c r="Q28" s="22">
        <v>315.2657961518949</v>
      </c>
      <c r="R28" s="8">
        <f t="shared" si="0"/>
        <v>18848.384203848105</v>
      </c>
      <c r="S28" s="7" t="s">
        <v>23</v>
      </c>
    </row>
    <row r="29" spans="1:19" x14ac:dyDescent="0.25">
      <c r="A29" s="4" t="s">
        <v>17</v>
      </c>
      <c r="B29" s="4"/>
      <c r="C29" s="4" t="s">
        <v>27</v>
      </c>
      <c r="D29" s="5">
        <v>45751</v>
      </c>
      <c r="E29" s="4">
        <v>1800005786</v>
      </c>
      <c r="F29" s="4" t="s">
        <v>22</v>
      </c>
      <c r="G29" s="5">
        <v>45751</v>
      </c>
      <c r="H29" s="5">
        <v>45751</v>
      </c>
      <c r="I29" s="4"/>
      <c r="J29" s="20" t="s">
        <v>19</v>
      </c>
      <c r="K29" s="4"/>
      <c r="L29" s="21">
        <v>256779410678</v>
      </c>
      <c r="M29" s="4" t="s">
        <v>20</v>
      </c>
      <c r="N29" s="20">
        <v>8147.2</v>
      </c>
      <c r="O29" s="4" t="s">
        <v>24</v>
      </c>
      <c r="P29" s="6">
        <v>708169.45</v>
      </c>
      <c r="Q29" s="22">
        <v>11641.103039917047</v>
      </c>
      <c r="R29" s="8">
        <f t="shared" si="0"/>
        <v>696528.34696008288</v>
      </c>
      <c r="S29" s="7" t="s">
        <v>23</v>
      </c>
    </row>
    <row r="30" spans="1:19" x14ac:dyDescent="0.25">
      <c r="A30" s="4" t="s">
        <v>17</v>
      </c>
      <c r="B30" s="4"/>
      <c r="C30" s="4" t="s">
        <v>27</v>
      </c>
      <c r="D30" s="5">
        <v>45751</v>
      </c>
      <c r="E30" s="4">
        <v>1800005787</v>
      </c>
      <c r="F30" s="4" t="s">
        <v>22</v>
      </c>
      <c r="G30" s="5">
        <v>45751</v>
      </c>
      <c r="H30" s="5">
        <v>45751</v>
      </c>
      <c r="I30" s="4"/>
      <c r="J30" s="20" t="s">
        <v>19</v>
      </c>
      <c r="K30" s="4"/>
      <c r="L30" s="21">
        <v>256779410679</v>
      </c>
      <c r="M30" s="4" t="s">
        <v>20</v>
      </c>
      <c r="N30" s="20">
        <v>416.71999999999997</v>
      </c>
      <c r="O30" s="4" t="s">
        <v>24</v>
      </c>
      <c r="P30" s="6">
        <v>36222.06</v>
      </c>
      <c r="Q30" s="22">
        <v>595.96173660441787</v>
      </c>
      <c r="R30" s="8">
        <f t="shared" si="0"/>
        <v>35626.098263395579</v>
      </c>
      <c r="S30" s="7" t="s">
        <v>23</v>
      </c>
    </row>
    <row r="31" spans="1:19" x14ac:dyDescent="0.25">
      <c r="A31" s="4" t="s">
        <v>17</v>
      </c>
      <c r="B31" s="4"/>
      <c r="C31" s="4" t="s">
        <v>27</v>
      </c>
      <c r="D31" s="5">
        <v>45751</v>
      </c>
      <c r="E31" s="4">
        <v>1800005788</v>
      </c>
      <c r="F31" s="4" t="s">
        <v>22</v>
      </c>
      <c r="G31" s="5">
        <v>45751</v>
      </c>
      <c r="H31" s="5">
        <v>45751</v>
      </c>
      <c r="I31" s="4"/>
      <c r="J31" s="20" t="s">
        <v>19</v>
      </c>
      <c r="K31" s="4"/>
      <c r="L31" s="21">
        <v>256779410680</v>
      </c>
      <c r="M31" s="4" t="s">
        <v>20</v>
      </c>
      <c r="N31" s="20">
        <v>145.28</v>
      </c>
      <c r="O31" s="4" t="s">
        <v>24</v>
      </c>
      <c r="P31" s="6">
        <v>12628</v>
      </c>
      <c r="Q31" s="22">
        <v>208.21143547370625</v>
      </c>
      <c r="R31" s="8">
        <f t="shared" si="0"/>
        <v>12419.788564526294</v>
      </c>
      <c r="S31" s="7" t="s">
        <v>23</v>
      </c>
    </row>
    <row r="32" spans="1:19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10" t="s">
        <v>15</v>
      </c>
      <c r="M32" s="9" t="s">
        <v>20</v>
      </c>
      <c r="N32" s="11">
        <f>SUM(N3:N31)</f>
        <v>23596.949999999997</v>
      </c>
      <c r="O32" s="11"/>
      <c r="P32" s="11"/>
      <c r="Q32" s="9"/>
      <c r="R32" s="11">
        <f>SUM(R2:R31)</f>
        <v>61908.388713186752</v>
      </c>
      <c r="S32" s="9" t="s">
        <v>28</v>
      </c>
    </row>
    <row r="35" spans="1:19" ht="52.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2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  <c r="L35" s="1" t="s">
        <v>11</v>
      </c>
      <c r="M35" s="2" t="s">
        <v>12</v>
      </c>
      <c r="N35" s="2" t="s">
        <v>13</v>
      </c>
      <c r="O35" s="2" t="s">
        <v>26</v>
      </c>
      <c r="P35" s="2" t="s">
        <v>25</v>
      </c>
      <c r="Q35" s="2" t="s">
        <v>14</v>
      </c>
      <c r="R35" s="2" t="s">
        <v>15</v>
      </c>
      <c r="S35" s="2" t="s">
        <v>16</v>
      </c>
    </row>
    <row r="36" spans="1:19" x14ac:dyDescent="0.25">
      <c r="A36" s="4" t="s">
        <v>17</v>
      </c>
      <c r="B36" s="4"/>
      <c r="C36" s="4" t="s">
        <v>27</v>
      </c>
      <c r="D36" s="23">
        <v>45890</v>
      </c>
      <c r="E36" s="19">
        <v>1400000906</v>
      </c>
      <c r="F36" s="4" t="s">
        <v>18</v>
      </c>
      <c r="G36" s="23">
        <v>45890</v>
      </c>
      <c r="H36" s="23">
        <v>45890</v>
      </c>
      <c r="I36" s="4"/>
      <c r="J36" s="20" t="s">
        <v>19</v>
      </c>
      <c r="K36" s="4"/>
      <c r="L36" s="4"/>
      <c r="M36" s="4"/>
      <c r="N36" s="4"/>
      <c r="O36" s="4" t="s">
        <v>24</v>
      </c>
      <c r="P36" s="12">
        <v>-5233094.54</v>
      </c>
      <c r="Q36" s="4"/>
      <c r="R36" s="13">
        <f>P36</f>
        <v>-5233094.54</v>
      </c>
      <c r="S36" s="7" t="s">
        <v>21</v>
      </c>
    </row>
    <row r="37" spans="1:19" x14ac:dyDescent="0.25">
      <c r="A37" s="4" t="s">
        <v>17</v>
      </c>
      <c r="B37" s="4"/>
      <c r="C37" s="4" t="s">
        <v>27</v>
      </c>
      <c r="D37" s="23">
        <v>45730</v>
      </c>
      <c r="E37" s="19">
        <v>1800001710</v>
      </c>
      <c r="F37" s="20" t="s">
        <v>22</v>
      </c>
      <c r="G37" s="23">
        <v>45730</v>
      </c>
      <c r="H37" s="23">
        <v>45730</v>
      </c>
      <c r="I37" s="4"/>
      <c r="J37" s="20" t="s">
        <v>19</v>
      </c>
      <c r="K37" s="4"/>
      <c r="L37" s="21">
        <v>246779411375</v>
      </c>
      <c r="M37" s="4" t="s">
        <v>20</v>
      </c>
      <c r="N37" s="20">
        <v>63.31</v>
      </c>
      <c r="O37" s="4" t="s">
        <v>24</v>
      </c>
      <c r="P37" s="24">
        <v>5488.42</v>
      </c>
      <c r="Q37" s="22">
        <v>92.388507150892323</v>
      </c>
      <c r="R37" s="8">
        <f t="shared" ref="R37:R75" si="1">P37-Q37</f>
        <v>5396.031492849108</v>
      </c>
      <c r="S37" s="7" t="s">
        <v>23</v>
      </c>
    </row>
    <row r="38" spans="1:19" x14ac:dyDescent="0.25">
      <c r="A38" s="4" t="s">
        <v>17</v>
      </c>
      <c r="B38" s="4"/>
      <c r="C38" s="4" t="s">
        <v>27</v>
      </c>
      <c r="D38" s="23">
        <v>45733</v>
      </c>
      <c r="E38" s="19">
        <v>1800002101</v>
      </c>
      <c r="F38" s="20" t="s">
        <v>22</v>
      </c>
      <c r="G38" s="23">
        <v>45733</v>
      </c>
      <c r="H38" s="23">
        <v>45733</v>
      </c>
      <c r="I38" s="4"/>
      <c r="J38" s="20" t="s">
        <v>19</v>
      </c>
      <c r="K38" s="4"/>
      <c r="L38" s="21">
        <v>246779411766</v>
      </c>
      <c r="M38" s="4" t="s">
        <v>20</v>
      </c>
      <c r="N38" s="20">
        <v>63.14</v>
      </c>
      <c r="O38" s="4" t="s">
        <v>24</v>
      </c>
      <c r="P38" s="24">
        <v>5473.69</v>
      </c>
      <c r="Q38" s="22">
        <v>92.388030937801986</v>
      </c>
      <c r="R38" s="8">
        <f t="shared" si="1"/>
        <v>5381.3019690621977</v>
      </c>
      <c r="S38" s="7" t="s">
        <v>23</v>
      </c>
    </row>
    <row r="39" spans="1:19" x14ac:dyDescent="0.25">
      <c r="A39" s="4" t="s">
        <v>17</v>
      </c>
      <c r="B39" s="4"/>
      <c r="C39" s="4" t="s">
        <v>27</v>
      </c>
      <c r="D39" s="23">
        <v>45733</v>
      </c>
      <c r="E39" s="19">
        <v>1800002102</v>
      </c>
      <c r="F39" s="20" t="s">
        <v>22</v>
      </c>
      <c r="G39" s="23">
        <v>45733</v>
      </c>
      <c r="H39" s="23">
        <v>45733</v>
      </c>
      <c r="I39" s="4"/>
      <c r="J39" s="20" t="s">
        <v>19</v>
      </c>
      <c r="K39" s="4"/>
      <c r="L39" s="21">
        <v>246779411767</v>
      </c>
      <c r="M39" s="4" t="s">
        <v>20</v>
      </c>
      <c r="N39" s="20">
        <v>63.14</v>
      </c>
      <c r="O39" s="4" t="s">
        <v>24</v>
      </c>
      <c r="P39" s="24">
        <v>5473.69</v>
      </c>
      <c r="Q39" s="22">
        <v>92.388030937801986</v>
      </c>
      <c r="R39" s="8">
        <f t="shared" si="1"/>
        <v>5381.3019690621977</v>
      </c>
      <c r="S39" s="7" t="s">
        <v>23</v>
      </c>
    </row>
    <row r="40" spans="1:19" x14ac:dyDescent="0.25">
      <c r="A40" s="4" t="s">
        <v>17</v>
      </c>
      <c r="B40" s="4"/>
      <c r="C40" s="4" t="s">
        <v>27</v>
      </c>
      <c r="D40" s="23">
        <v>45733</v>
      </c>
      <c r="E40" s="19">
        <v>1800002103</v>
      </c>
      <c r="F40" s="20" t="s">
        <v>22</v>
      </c>
      <c r="G40" s="23">
        <v>45733</v>
      </c>
      <c r="H40" s="23">
        <v>45733</v>
      </c>
      <c r="I40" s="4"/>
      <c r="J40" s="20" t="s">
        <v>19</v>
      </c>
      <c r="K40" s="4"/>
      <c r="L40" s="21">
        <v>246779411768</v>
      </c>
      <c r="M40" s="4" t="s">
        <v>20</v>
      </c>
      <c r="N40" s="20">
        <v>25.26</v>
      </c>
      <c r="O40" s="4" t="s">
        <v>24</v>
      </c>
      <c r="P40" s="24">
        <v>2189.8200000000002</v>
      </c>
      <c r="Q40" s="22">
        <v>36.776169955699039</v>
      </c>
      <c r="R40" s="8">
        <f t="shared" si="1"/>
        <v>2153.0438300443011</v>
      </c>
      <c r="S40" s="7" t="s">
        <v>23</v>
      </c>
    </row>
    <row r="41" spans="1:19" x14ac:dyDescent="0.25">
      <c r="A41" s="4" t="s">
        <v>17</v>
      </c>
      <c r="B41" s="4"/>
      <c r="C41" s="4" t="s">
        <v>27</v>
      </c>
      <c r="D41" s="23">
        <v>45733</v>
      </c>
      <c r="E41" s="19">
        <v>1800002281</v>
      </c>
      <c r="F41" s="20" t="s">
        <v>22</v>
      </c>
      <c r="G41" s="23">
        <v>45733</v>
      </c>
      <c r="H41" s="23">
        <v>45733</v>
      </c>
      <c r="I41" s="4"/>
      <c r="J41" s="20" t="s">
        <v>19</v>
      </c>
      <c r="K41" s="4"/>
      <c r="L41" s="21">
        <v>246779411946</v>
      </c>
      <c r="M41" s="4" t="s">
        <v>20</v>
      </c>
      <c r="N41" s="20">
        <v>62.849999999999994</v>
      </c>
      <c r="O41" s="4" t="s">
        <v>24</v>
      </c>
      <c r="P41" s="24">
        <v>5448.55</v>
      </c>
      <c r="Q41" s="22">
        <v>92.387294803301813</v>
      </c>
      <c r="R41" s="8">
        <f t="shared" si="1"/>
        <v>5356.162705196698</v>
      </c>
      <c r="S41" s="7" t="s">
        <v>23</v>
      </c>
    </row>
    <row r="42" spans="1:19" x14ac:dyDescent="0.25">
      <c r="A42" s="4" t="s">
        <v>17</v>
      </c>
      <c r="B42" s="4"/>
      <c r="C42" s="4" t="s">
        <v>27</v>
      </c>
      <c r="D42" s="23">
        <v>45733</v>
      </c>
      <c r="E42" s="19">
        <v>1800002282</v>
      </c>
      <c r="F42" s="20" t="s">
        <v>22</v>
      </c>
      <c r="G42" s="23">
        <v>45733</v>
      </c>
      <c r="H42" s="23">
        <v>45733</v>
      </c>
      <c r="I42" s="4"/>
      <c r="J42" s="20" t="s">
        <v>19</v>
      </c>
      <c r="K42" s="4"/>
      <c r="L42" s="21">
        <v>246779411947</v>
      </c>
      <c r="M42" s="4" t="s">
        <v>20</v>
      </c>
      <c r="N42" s="20">
        <v>62.849999999999994</v>
      </c>
      <c r="O42" s="4" t="s">
        <v>24</v>
      </c>
      <c r="P42" s="24">
        <v>5448.55</v>
      </c>
      <c r="Q42" s="22">
        <v>92.387294803301813</v>
      </c>
      <c r="R42" s="8">
        <f t="shared" si="1"/>
        <v>5356.162705196698</v>
      </c>
      <c r="S42" s="7" t="s">
        <v>23</v>
      </c>
    </row>
    <row r="43" spans="1:19" x14ac:dyDescent="0.25">
      <c r="A43" s="4" t="s">
        <v>17</v>
      </c>
      <c r="B43" s="4"/>
      <c r="C43" s="4" t="s">
        <v>27</v>
      </c>
      <c r="D43" s="23">
        <v>45733</v>
      </c>
      <c r="E43" s="19">
        <v>1800002408</v>
      </c>
      <c r="F43" s="20" t="s">
        <v>22</v>
      </c>
      <c r="G43" s="23">
        <v>45733</v>
      </c>
      <c r="H43" s="23">
        <v>45733</v>
      </c>
      <c r="I43" s="4"/>
      <c r="J43" s="20" t="s">
        <v>19</v>
      </c>
      <c r="K43" s="4"/>
      <c r="L43" s="21">
        <v>246779412073</v>
      </c>
      <c r="M43" s="4" t="s">
        <v>20</v>
      </c>
      <c r="N43" s="20">
        <v>64.77</v>
      </c>
      <c r="O43" s="4" t="s">
        <v>24</v>
      </c>
      <c r="P43" s="24">
        <v>5614.99</v>
      </c>
      <c r="Q43" s="22">
        <v>94.094141667975009</v>
      </c>
      <c r="R43" s="8">
        <f t="shared" si="1"/>
        <v>5520.8958583320245</v>
      </c>
      <c r="S43" s="7" t="s">
        <v>23</v>
      </c>
    </row>
    <row r="44" spans="1:19" x14ac:dyDescent="0.25">
      <c r="A44" s="4" t="s">
        <v>17</v>
      </c>
      <c r="B44" s="4"/>
      <c r="C44" s="4" t="s">
        <v>27</v>
      </c>
      <c r="D44" s="23">
        <v>45733</v>
      </c>
      <c r="E44" s="19">
        <v>1800002409</v>
      </c>
      <c r="F44" s="20" t="s">
        <v>22</v>
      </c>
      <c r="G44" s="23">
        <v>45733</v>
      </c>
      <c r="H44" s="23">
        <v>45733</v>
      </c>
      <c r="I44" s="4"/>
      <c r="J44" s="20" t="s">
        <v>19</v>
      </c>
      <c r="K44" s="4"/>
      <c r="L44" s="21">
        <v>246779412074</v>
      </c>
      <c r="M44" s="4" t="s">
        <v>20</v>
      </c>
      <c r="N44" s="20">
        <v>62.02</v>
      </c>
      <c r="O44" s="4" t="s">
        <v>24</v>
      </c>
      <c r="P44" s="24">
        <v>5376.59</v>
      </c>
      <c r="Q44" s="22">
        <v>89.811251435132405</v>
      </c>
      <c r="R44" s="8">
        <f t="shared" si="1"/>
        <v>5286.7787485648678</v>
      </c>
      <c r="S44" s="7" t="s">
        <v>23</v>
      </c>
    </row>
    <row r="45" spans="1:19" x14ac:dyDescent="0.25">
      <c r="A45" s="4" t="s">
        <v>17</v>
      </c>
      <c r="B45" s="4"/>
      <c r="C45" s="4" t="s">
        <v>27</v>
      </c>
      <c r="D45" s="23">
        <v>45733</v>
      </c>
      <c r="E45" s="19">
        <v>1800002410</v>
      </c>
      <c r="F45" s="20" t="s">
        <v>22</v>
      </c>
      <c r="G45" s="23">
        <v>45733</v>
      </c>
      <c r="H45" s="23">
        <v>45733</v>
      </c>
      <c r="I45" s="4"/>
      <c r="J45" s="20" t="s">
        <v>19</v>
      </c>
      <c r="K45" s="4"/>
      <c r="L45" s="21">
        <v>246779412075</v>
      </c>
      <c r="M45" s="4" t="s">
        <v>20</v>
      </c>
      <c r="N45" s="20">
        <v>62.02</v>
      </c>
      <c r="O45" s="4" t="s">
        <v>24</v>
      </c>
      <c r="P45" s="24">
        <v>5376.59</v>
      </c>
      <c r="Q45" s="22">
        <v>89.811251435132405</v>
      </c>
      <c r="R45" s="8">
        <f t="shared" si="1"/>
        <v>5286.7787485648678</v>
      </c>
      <c r="S45" s="7" t="s">
        <v>23</v>
      </c>
    </row>
    <row r="46" spans="1:19" x14ac:dyDescent="0.25">
      <c r="A46" s="4" t="s">
        <v>17</v>
      </c>
      <c r="B46" s="4"/>
      <c r="C46" s="4" t="s">
        <v>27</v>
      </c>
      <c r="D46" s="23">
        <v>45733</v>
      </c>
      <c r="E46" s="19">
        <v>1800002411</v>
      </c>
      <c r="F46" s="20" t="s">
        <v>22</v>
      </c>
      <c r="G46" s="23">
        <v>45733</v>
      </c>
      <c r="H46" s="23">
        <v>45733</v>
      </c>
      <c r="I46" s="4"/>
      <c r="J46" s="20" t="s">
        <v>19</v>
      </c>
      <c r="K46" s="4"/>
      <c r="L46" s="21">
        <v>246779412076</v>
      </c>
      <c r="M46" s="4" t="s">
        <v>20</v>
      </c>
      <c r="N46" s="20">
        <v>62.02</v>
      </c>
      <c r="O46" s="4" t="s">
        <v>24</v>
      </c>
      <c r="P46" s="24">
        <v>5376.59</v>
      </c>
      <c r="Q46" s="22">
        <v>89.811251435132405</v>
      </c>
      <c r="R46" s="8">
        <f t="shared" si="1"/>
        <v>5286.7787485648678</v>
      </c>
      <c r="S46" s="7" t="s">
        <v>23</v>
      </c>
    </row>
    <row r="47" spans="1:19" x14ac:dyDescent="0.25">
      <c r="A47" s="4" t="s">
        <v>17</v>
      </c>
      <c r="B47" s="4"/>
      <c r="C47" s="4" t="s">
        <v>27</v>
      </c>
      <c r="D47" s="23">
        <v>45735</v>
      </c>
      <c r="E47" s="19">
        <v>1800002748</v>
      </c>
      <c r="F47" s="20" t="s">
        <v>22</v>
      </c>
      <c r="G47" s="23">
        <v>45735</v>
      </c>
      <c r="H47" s="23">
        <v>45735</v>
      </c>
      <c r="I47" s="4"/>
      <c r="J47" s="20" t="s">
        <v>19</v>
      </c>
      <c r="K47" s="4"/>
      <c r="L47" s="21">
        <v>246779412615</v>
      </c>
      <c r="M47" s="4" t="s">
        <v>20</v>
      </c>
      <c r="N47" s="20">
        <v>466.45000000000005</v>
      </c>
      <c r="O47" s="4" t="s">
        <v>24</v>
      </c>
      <c r="P47" s="24">
        <v>40437.14</v>
      </c>
      <c r="Q47" s="22">
        <v>676.60222445152215</v>
      </c>
      <c r="R47" s="8">
        <f t="shared" si="1"/>
        <v>39760.537775548481</v>
      </c>
      <c r="S47" s="7" t="s">
        <v>23</v>
      </c>
    </row>
    <row r="48" spans="1:19" x14ac:dyDescent="0.25">
      <c r="A48" s="4" t="s">
        <v>17</v>
      </c>
      <c r="B48" s="4"/>
      <c r="C48" s="4" t="s">
        <v>27</v>
      </c>
      <c r="D48" s="23">
        <v>45735</v>
      </c>
      <c r="E48" s="19">
        <v>1800002833</v>
      </c>
      <c r="F48" s="20" t="s">
        <v>22</v>
      </c>
      <c r="G48" s="23">
        <v>45735</v>
      </c>
      <c r="H48" s="23">
        <v>45735</v>
      </c>
      <c r="I48" s="4"/>
      <c r="J48" s="20" t="s">
        <v>19</v>
      </c>
      <c r="K48" s="4"/>
      <c r="L48" s="21">
        <v>246779412700</v>
      </c>
      <c r="M48" s="4" t="s">
        <v>20</v>
      </c>
      <c r="N48" s="20">
        <v>11315.14</v>
      </c>
      <c r="O48" s="4" t="s">
        <v>24</v>
      </c>
      <c r="P48" s="24">
        <v>980923.74</v>
      </c>
      <c r="Q48" s="22">
        <v>16405.406948985612</v>
      </c>
      <c r="R48" s="8">
        <f t="shared" si="1"/>
        <v>964518.33305101434</v>
      </c>
      <c r="S48" s="7" t="s">
        <v>23</v>
      </c>
    </row>
    <row r="49" spans="1:19" x14ac:dyDescent="0.25">
      <c r="A49" s="4" t="s">
        <v>17</v>
      </c>
      <c r="B49" s="4"/>
      <c r="C49" s="4" t="s">
        <v>27</v>
      </c>
      <c r="D49" s="23">
        <v>45735</v>
      </c>
      <c r="E49" s="19">
        <v>1800002834</v>
      </c>
      <c r="F49" s="20" t="s">
        <v>22</v>
      </c>
      <c r="G49" s="23">
        <v>45735</v>
      </c>
      <c r="H49" s="23">
        <v>45735</v>
      </c>
      <c r="I49" s="4"/>
      <c r="J49" s="20" t="s">
        <v>19</v>
      </c>
      <c r="K49" s="4"/>
      <c r="L49" s="21">
        <v>246779412701</v>
      </c>
      <c r="M49" s="4" t="s">
        <v>20</v>
      </c>
      <c r="N49" s="20">
        <v>499.26</v>
      </c>
      <c r="O49" s="4" t="s">
        <v>24</v>
      </c>
      <c r="P49" s="24">
        <v>43281.48</v>
      </c>
      <c r="Q49" s="22">
        <v>723.64802567236984</v>
      </c>
      <c r="R49" s="8">
        <f t="shared" si="1"/>
        <v>42557.831974327637</v>
      </c>
      <c r="S49" s="7" t="s">
        <v>23</v>
      </c>
    </row>
    <row r="50" spans="1:19" x14ac:dyDescent="0.25">
      <c r="A50" s="4" t="s">
        <v>17</v>
      </c>
      <c r="B50" s="4"/>
      <c r="C50" s="4" t="s">
        <v>27</v>
      </c>
      <c r="D50" s="23">
        <v>45735</v>
      </c>
      <c r="E50" s="19">
        <v>1800002835</v>
      </c>
      <c r="F50" s="20" t="s">
        <v>22</v>
      </c>
      <c r="G50" s="23">
        <v>45735</v>
      </c>
      <c r="H50" s="23">
        <v>45735</v>
      </c>
      <c r="I50" s="4"/>
      <c r="J50" s="20" t="s">
        <v>19</v>
      </c>
      <c r="K50" s="4"/>
      <c r="L50" s="21">
        <v>246779412702</v>
      </c>
      <c r="M50" s="4" t="s">
        <v>20</v>
      </c>
      <c r="N50" s="20">
        <v>203.9</v>
      </c>
      <c r="O50" s="4" t="s">
        <v>24</v>
      </c>
      <c r="P50" s="24">
        <v>17676.349999999999</v>
      </c>
      <c r="Q50" s="22">
        <v>295.96153661943794</v>
      </c>
      <c r="R50" s="8">
        <f t="shared" si="1"/>
        <v>17380.388463380561</v>
      </c>
      <c r="S50" s="7" t="s">
        <v>23</v>
      </c>
    </row>
    <row r="51" spans="1:19" x14ac:dyDescent="0.25">
      <c r="A51" s="4" t="s">
        <v>17</v>
      </c>
      <c r="B51" s="4"/>
      <c r="C51" s="4" t="s">
        <v>27</v>
      </c>
      <c r="D51" s="23">
        <v>45735</v>
      </c>
      <c r="E51" s="19">
        <v>1800002906</v>
      </c>
      <c r="F51" s="20" t="s">
        <v>22</v>
      </c>
      <c r="G51" s="23">
        <v>45735</v>
      </c>
      <c r="H51" s="23">
        <v>45735</v>
      </c>
      <c r="I51" s="4"/>
      <c r="J51" s="20" t="s">
        <v>19</v>
      </c>
      <c r="K51" s="4"/>
      <c r="L51" s="21">
        <v>246779412773</v>
      </c>
      <c r="M51" s="4" t="s">
        <v>20</v>
      </c>
      <c r="N51" s="20">
        <v>10321.08</v>
      </c>
      <c r="O51" s="4" t="s">
        <v>24</v>
      </c>
      <c r="P51" s="24">
        <v>894747.43</v>
      </c>
      <c r="Q51" s="22">
        <v>14964.079561626435</v>
      </c>
      <c r="R51" s="8">
        <f t="shared" si="1"/>
        <v>879783.35043837363</v>
      </c>
      <c r="S51" s="7" t="s">
        <v>23</v>
      </c>
    </row>
    <row r="52" spans="1:19" x14ac:dyDescent="0.25">
      <c r="A52" s="4" t="s">
        <v>17</v>
      </c>
      <c r="B52" s="4"/>
      <c r="C52" s="4" t="s">
        <v>27</v>
      </c>
      <c r="D52" s="23">
        <v>45735</v>
      </c>
      <c r="E52" s="19">
        <v>1800002907</v>
      </c>
      <c r="F52" s="20" t="s">
        <v>22</v>
      </c>
      <c r="G52" s="23">
        <v>45735</v>
      </c>
      <c r="H52" s="23">
        <v>45735</v>
      </c>
      <c r="I52" s="4"/>
      <c r="J52" s="20" t="s">
        <v>19</v>
      </c>
      <c r="K52" s="4"/>
      <c r="L52" s="21">
        <v>246779412774</v>
      </c>
      <c r="M52" s="4" t="s">
        <v>20</v>
      </c>
      <c r="N52" s="20">
        <v>998.5</v>
      </c>
      <c r="O52" s="4" t="s">
        <v>24</v>
      </c>
      <c r="P52" s="24">
        <v>86561.22</v>
      </c>
      <c r="Q52" s="22">
        <v>1448.1670560428656</v>
      </c>
      <c r="R52" s="8">
        <f t="shared" si="1"/>
        <v>85113.05294395714</v>
      </c>
      <c r="S52" s="7" t="s">
        <v>23</v>
      </c>
    </row>
    <row r="53" spans="1:19" x14ac:dyDescent="0.25">
      <c r="A53" s="4" t="s">
        <v>17</v>
      </c>
      <c r="B53" s="4"/>
      <c r="C53" s="4" t="s">
        <v>27</v>
      </c>
      <c r="D53" s="23">
        <v>45735</v>
      </c>
      <c r="E53" s="19">
        <v>1800002908</v>
      </c>
      <c r="F53" s="20" t="s">
        <v>22</v>
      </c>
      <c r="G53" s="23">
        <v>45735</v>
      </c>
      <c r="H53" s="23">
        <v>45735</v>
      </c>
      <c r="I53" s="4"/>
      <c r="J53" s="20" t="s">
        <v>19</v>
      </c>
      <c r="K53" s="4"/>
      <c r="L53" s="21">
        <v>246779412775</v>
      </c>
      <c r="M53" s="4" t="s">
        <v>20</v>
      </c>
      <c r="N53" s="20">
        <v>293.11</v>
      </c>
      <c r="O53" s="4" t="s">
        <v>24</v>
      </c>
      <c r="P53" s="24">
        <v>25410.080000000002</v>
      </c>
      <c r="Q53" s="22">
        <v>425.12801138335766</v>
      </c>
      <c r="R53" s="8">
        <f t="shared" si="1"/>
        <v>24984.951988616645</v>
      </c>
      <c r="S53" s="7" t="s">
        <v>23</v>
      </c>
    </row>
    <row r="54" spans="1:19" x14ac:dyDescent="0.25">
      <c r="A54" s="4" t="s">
        <v>17</v>
      </c>
      <c r="B54" s="4"/>
      <c r="C54" s="4" t="s">
        <v>27</v>
      </c>
      <c r="D54" s="23">
        <v>45735</v>
      </c>
      <c r="E54" s="19">
        <v>1800002985</v>
      </c>
      <c r="F54" s="20" t="s">
        <v>22</v>
      </c>
      <c r="G54" s="23">
        <v>45735</v>
      </c>
      <c r="H54" s="23">
        <v>45735</v>
      </c>
      <c r="I54" s="4"/>
      <c r="J54" s="20" t="s">
        <v>19</v>
      </c>
      <c r="K54" s="4"/>
      <c r="L54" s="21">
        <v>246779412852</v>
      </c>
      <c r="M54" s="4" t="s">
        <v>20</v>
      </c>
      <c r="N54" s="20">
        <v>8211.2099999999991</v>
      </c>
      <c r="O54" s="4" t="s">
        <v>24</v>
      </c>
      <c r="P54" s="24">
        <v>711840.14</v>
      </c>
      <c r="Q54" s="22">
        <v>11905.230702289211</v>
      </c>
      <c r="R54" s="8">
        <f t="shared" si="1"/>
        <v>699934.90929771075</v>
      </c>
      <c r="S54" s="7" t="s">
        <v>23</v>
      </c>
    </row>
    <row r="55" spans="1:19" x14ac:dyDescent="0.25">
      <c r="A55" s="4" t="s">
        <v>17</v>
      </c>
      <c r="B55" s="4"/>
      <c r="C55" s="4" t="s">
        <v>27</v>
      </c>
      <c r="D55" s="23">
        <v>45735</v>
      </c>
      <c r="E55" s="19">
        <v>1800002986</v>
      </c>
      <c r="F55" s="20" t="s">
        <v>22</v>
      </c>
      <c r="G55" s="23">
        <v>45735</v>
      </c>
      <c r="H55" s="23">
        <v>45735</v>
      </c>
      <c r="I55" s="4"/>
      <c r="J55" s="20" t="s">
        <v>19</v>
      </c>
      <c r="K55" s="4"/>
      <c r="L55" s="21">
        <v>246779412853</v>
      </c>
      <c r="M55" s="4" t="s">
        <v>20</v>
      </c>
      <c r="N55" s="20">
        <v>669.73</v>
      </c>
      <c r="O55" s="4" t="s">
        <v>24</v>
      </c>
      <c r="P55" s="24">
        <v>58059.74</v>
      </c>
      <c r="Q55" s="22">
        <v>970.85667167897145</v>
      </c>
      <c r="R55" s="8">
        <f t="shared" si="1"/>
        <v>57088.883328321026</v>
      </c>
      <c r="S55" s="7" t="s">
        <v>23</v>
      </c>
    </row>
    <row r="56" spans="1:19" x14ac:dyDescent="0.25">
      <c r="A56" s="4" t="s">
        <v>17</v>
      </c>
      <c r="B56" s="4"/>
      <c r="C56" s="4" t="s">
        <v>27</v>
      </c>
      <c r="D56" s="23">
        <v>45735</v>
      </c>
      <c r="E56" s="19">
        <v>1800002987</v>
      </c>
      <c r="F56" s="20" t="s">
        <v>22</v>
      </c>
      <c r="G56" s="23">
        <v>45735</v>
      </c>
      <c r="H56" s="23">
        <v>45735</v>
      </c>
      <c r="I56" s="4"/>
      <c r="J56" s="20" t="s">
        <v>19</v>
      </c>
      <c r="K56" s="4"/>
      <c r="L56" s="21">
        <v>246779412854</v>
      </c>
      <c r="M56" s="4" t="s">
        <v>20</v>
      </c>
      <c r="N56" s="20">
        <v>210.27999999999997</v>
      </c>
      <c r="O56" s="4" t="s">
        <v>24</v>
      </c>
      <c r="P56" s="24">
        <v>18229.439999999999</v>
      </c>
      <c r="Q56" s="22">
        <v>305.37877751438913</v>
      </c>
      <c r="R56" s="8">
        <f t="shared" si="1"/>
        <v>17924.061222485609</v>
      </c>
      <c r="S56" s="7" t="s">
        <v>23</v>
      </c>
    </row>
    <row r="57" spans="1:19" x14ac:dyDescent="0.25">
      <c r="A57" s="4" t="s">
        <v>17</v>
      </c>
      <c r="B57" s="4"/>
      <c r="C57" s="4" t="s">
        <v>27</v>
      </c>
      <c r="D57" s="23">
        <v>45735</v>
      </c>
      <c r="E57" s="19">
        <v>1800003058</v>
      </c>
      <c r="F57" s="20" t="s">
        <v>22</v>
      </c>
      <c r="G57" s="23">
        <v>45735</v>
      </c>
      <c r="H57" s="23">
        <v>45735</v>
      </c>
      <c r="I57" s="4"/>
      <c r="J57" s="20" t="s">
        <v>19</v>
      </c>
      <c r="K57" s="4"/>
      <c r="L57" s="21">
        <v>246779412925</v>
      </c>
      <c r="M57" s="4" t="s">
        <v>20</v>
      </c>
      <c r="N57" s="20">
        <v>7103.58</v>
      </c>
      <c r="O57" s="4" t="s">
        <v>24</v>
      </c>
      <c r="P57" s="24">
        <v>615818.30000000005</v>
      </c>
      <c r="Q57" s="22">
        <v>10298.815013217443</v>
      </c>
      <c r="R57" s="8">
        <f t="shared" si="1"/>
        <v>605519.48498678266</v>
      </c>
      <c r="S57" s="7" t="s">
        <v>23</v>
      </c>
    </row>
    <row r="58" spans="1:19" x14ac:dyDescent="0.25">
      <c r="A58" s="4" t="s">
        <v>17</v>
      </c>
      <c r="B58" s="4"/>
      <c r="C58" s="4" t="s">
        <v>27</v>
      </c>
      <c r="D58" s="23">
        <v>45735</v>
      </c>
      <c r="E58" s="19">
        <v>1800003059</v>
      </c>
      <c r="F58" s="20" t="s">
        <v>22</v>
      </c>
      <c r="G58" s="23">
        <v>45735</v>
      </c>
      <c r="H58" s="23">
        <v>45735</v>
      </c>
      <c r="I58" s="4"/>
      <c r="J58" s="20" t="s">
        <v>19</v>
      </c>
      <c r="K58" s="4"/>
      <c r="L58" s="21">
        <v>246779412926</v>
      </c>
      <c r="M58" s="4" t="s">
        <v>20</v>
      </c>
      <c r="N58" s="20">
        <v>791.5</v>
      </c>
      <c r="O58" s="4" t="s">
        <v>24</v>
      </c>
      <c r="P58" s="24">
        <v>68616.13</v>
      </c>
      <c r="Q58" s="22">
        <v>1147.9246679004693</v>
      </c>
      <c r="R58" s="8">
        <f t="shared" si="1"/>
        <v>67468.205332099533</v>
      </c>
      <c r="S58" s="7" t="s">
        <v>23</v>
      </c>
    </row>
    <row r="59" spans="1:19" x14ac:dyDescent="0.25">
      <c r="A59" s="4" t="s">
        <v>17</v>
      </c>
      <c r="B59" s="4"/>
      <c r="C59" s="4" t="s">
        <v>27</v>
      </c>
      <c r="D59" s="23">
        <v>45735</v>
      </c>
      <c r="E59" s="19">
        <v>1800003146</v>
      </c>
      <c r="F59" s="20" t="s">
        <v>22</v>
      </c>
      <c r="G59" s="23">
        <v>45735</v>
      </c>
      <c r="H59" s="23">
        <v>45735</v>
      </c>
      <c r="I59" s="4"/>
      <c r="J59" s="20" t="s">
        <v>19</v>
      </c>
      <c r="K59" s="4"/>
      <c r="L59" s="21">
        <v>246779413013</v>
      </c>
      <c r="M59" s="4" t="s">
        <v>20</v>
      </c>
      <c r="N59" s="20">
        <v>1975.32</v>
      </c>
      <c r="O59" s="4" t="s">
        <v>24</v>
      </c>
      <c r="P59" s="24">
        <v>171242.98</v>
      </c>
      <c r="Q59" s="22">
        <v>2863.8218965517258</v>
      </c>
      <c r="R59" s="8">
        <f t="shared" si="1"/>
        <v>168379.15810344828</v>
      </c>
      <c r="S59" s="7" t="s">
        <v>23</v>
      </c>
    </row>
    <row r="60" spans="1:19" x14ac:dyDescent="0.25">
      <c r="A60" s="4" t="s">
        <v>17</v>
      </c>
      <c r="B60" s="4"/>
      <c r="C60" s="4" t="s">
        <v>27</v>
      </c>
      <c r="D60" s="23">
        <v>45763</v>
      </c>
      <c r="E60" s="19">
        <v>1800006036</v>
      </c>
      <c r="F60" s="20" t="s">
        <v>22</v>
      </c>
      <c r="G60" s="23">
        <v>45763</v>
      </c>
      <c r="H60" s="23">
        <v>45763</v>
      </c>
      <c r="I60" s="4"/>
      <c r="J60" s="20" t="s">
        <v>19</v>
      </c>
      <c r="K60" s="4"/>
      <c r="L60" s="21">
        <v>256779410927</v>
      </c>
      <c r="M60" s="4" t="s">
        <v>20</v>
      </c>
      <c r="N60" s="20">
        <v>4522.2300000000005</v>
      </c>
      <c r="O60" s="4" t="s">
        <v>24</v>
      </c>
      <c r="P60" s="24">
        <v>393080.46</v>
      </c>
      <c r="Q60" s="22">
        <v>6557.3757290066951</v>
      </c>
      <c r="R60" s="8">
        <f t="shared" si="1"/>
        <v>386523.08427099331</v>
      </c>
      <c r="S60" s="7" t="s">
        <v>23</v>
      </c>
    </row>
    <row r="61" spans="1:19" x14ac:dyDescent="0.25">
      <c r="A61" s="4" t="s">
        <v>17</v>
      </c>
      <c r="B61" s="4"/>
      <c r="C61" s="4" t="s">
        <v>27</v>
      </c>
      <c r="D61" s="23">
        <v>45763</v>
      </c>
      <c r="E61" s="19">
        <v>1800006037</v>
      </c>
      <c r="F61" s="20" t="s">
        <v>22</v>
      </c>
      <c r="G61" s="23">
        <v>45763</v>
      </c>
      <c r="H61" s="23">
        <v>45763</v>
      </c>
      <c r="I61" s="4"/>
      <c r="J61" s="20" t="s">
        <v>19</v>
      </c>
      <c r="K61" s="4"/>
      <c r="L61" s="21">
        <v>256779410928</v>
      </c>
      <c r="M61" s="4" t="s">
        <v>20</v>
      </c>
      <c r="N61" s="20">
        <v>447.83</v>
      </c>
      <c r="O61" s="4" t="s">
        <v>24</v>
      </c>
      <c r="P61" s="24">
        <v>38926.199999999997</v>
      </c>
      <c r="Q61" s="22">
        <v>650.09236081139102</v>
      </c>
      <c r="R61" s="8">
        <f t="shared" si="1"/>
        <v>38276.107639188609</v>
      </c>
      <c r="S61" s="7" t="s">
        <v>23</v>
      </c>
    </row>
    <row r="62" spans="1:19" x14ac:dyDescent="0.25">
      <c r="A62" s="4" t="s">
        <v>17</v>
      </c>
      <c r="B62" s="4"/>
      <c r="C62" s="4" t="s">
        <v>27</v>
      </c>
      <c r="D62" s="23">
        <v>45763</v>
      </c>
      <c r="E62" s="19">
        <v>1800007107</v>
      </c>
      <c r="F62" s="20" t="s">
        <v>22</v>
      </c>
      <c r="G62" s="23">
        <v>45763</v>
      </c>
      <c r="H62" s="23">
        <v>45763</v>
      </c>
      <c r="I62" s="4"/>
      <c r="J62" s="20" t="s">
        <v>19</v>
      </c>
      <c r="K62" s="4"/>
      <c r="L62" s="21">
        <v>256779411998</v>
      </c>
      <c r="M62" s="4" t="s">
        <v>20</v>
      </c>
      <c r="N62" s="20">
        <v>211.10000000000002</v>
      </c>
      <c r="O62" s="4" t="s">
        <v>24</v>
      </c>
      <c r="P62" s="24">
        <v>18349.2</v>
      </c>
      <c r="Q62" s="22">
        <v>307.08418148523242</v>
      </c>
      <c r="R62" s="8">
        <f t="shared" si="1"/>
        <v>18042.115818514769</v>
      </c>
      <c r="S62" s="7" t="s">
        <v>23</v>
      </c>
    </row>
    <row r="63" spans="1:19" x14ac:dyDescent="0.25">
      <c r="A63" s="4" t="s">
        <v>17</v>
      </c>
      <c r="B63" s="4"/>
      <c r="C63" s="4" t="s">
        <v>27</v>
      </c>
      <c r="D63" s="23">
        <v>45763</v>
      </c>
      <c r="E63" s="19">
        <v>1800007147</v>
      </c>
      <c r="F63" s="20" t="s">
        <v>22</v>
      </c>
      <c r="G63" s="23">
        <v>45763</v>
      </c>
      <c r="H63" s="23">
        <v>45763</v>
      </c>
      <c r="I63" s="4"/>
      <c r="J63" s="20" t="s">
        <v>19</v>
      </c>
      <c r="K63" s="4"/>
      <c r="L63" s="21">
        <v>256779412038</v>
      </c>
      <c r="M63" s="4" t="s">
        <v>20</v>
      </c>
      <c r="N63" s="20">
        <v>182.26000000000002</v>
      </c>
      <c r="O63" s="4" t="s">
        <v>24</v>
      </c>
      <c r="P63" s="24">
        <v>15842.37</v>
      </c>
      <c r="Q63" s="22">
        <v>265.17233199375056</v>
      </c>
      <c r="R63" s="8">
        <f t="shared" si="1"/>
        <v>15577.197668006251</v>
      </c>
      <c r="S63" s="7" t="s">
        <v>23</v>
      </c>
    </row>
    <row r="64" spans="1:19" x14ac:dyDescent="0.25">
      <c r="A64" s="4" t="s">
        <v>17</v>
      </c>
      <c r="B64" s="4"/>
      <c r="C64" s="4" t="s">
        <v>27</v>
      </c>
      <c r="D64" s="23">
        <v>45771</v>
      </c>
      <c r="E64" s="19">
        <v>1800007923</v>
      </c>
      <c r="F64" s="20" t="s">
        <v>22</v>
      </c>
      <c r="G64" s="23">
        <v>45771</v>
      </c>
      <c r="H64" s="23">
        <v>45771</v>
      </c>
      <c r="I64" s="4"/>
      <c r="J64" s="20" t="s">
        <v>19</v>
      </c>
      <c r="K64" s="4"/>
      <c r="L64" s="21">
        <v>256779412814</v>
      </c>
      <c r="M64" s="4" t="s">
        <v>20</v>
      </c>
      <c r="N64" s="20">
        <v>3993</v>
      </c>
      <c r="O64" s="4" t="s">
        <v>24</v>
      </c>
      <c r="P64" s="24">
        <v>347078.83</v>
      </c>
      <c r="Q64" s="22">
        <v>5790.0934871640757</v>
      </c>
      <c r="R64" s="8">
        <f t="shared" si="1"/>
        <v>341288.73651283595</v>
      </c>
      <c r="S64" s="7" t="s">
        <v>23</v>
      </c>
    </row>
    <row r="65" spans="1:19" x14ac:dyDescent="0.25">
      <c r="A65" s="4" t="s">
        <v>17</v>
      </c>
      <c r="B65" s="4"/>
      <c r="C65" s="4" t="s">
        <v>27</v>
      </c>
      <c r="D65" s="23">
        <v>45771</v>
      </c>
      <c r="E65" s="19">
        <v>1800007924</v>
      </c>
      <c r="F65" s="20" t="s">
        <v>22</v>
      </c>
      <c r="G65" s="23">
        <v>45771</v>
      </c>
      <c r="H65" s="23">
        <v>45771</v>
      </c>
      <c r="I65" s="4"/>
      <c r="J65" s="20" t="s">
        <v>19</v>
      </c>
      <c r="K65" s="4"/>
      <c r="L65" s="21">
        <v>256779412815</v>
      </c>
      <c r="M65" s="4" t="s">
        <v>20</v>
      </c>
      <c r="N65" s="20">
        <v>365.29999999999995</v>
      </c>
      <c r="O65" s="4" t="s">
        <v>24</v>
      </c>
      <c r="P65" s="24">
        <v>31752.54</v>
      </c>
      <c r="Q65" s="22">
        <v>530.34430520745718</v>
      </c>
      <c r="R65" s="8">
        <f t="shared" si="1"/>
        <v>31222.195694792543</v>
      </c>
      <c r="S65" s="7" t="s">
        <v>23</v>
      </c>
    </row>
    <row r="66" spans="1:19" x14ac:dyDescent="0.25">
      <c r="A66" s="4" t="s">
        <v>17</v>
      </c>
      <c r="B66" s="4"/>
      <c r="C66" s="4" t="s">
        <v>27</v>
      </c>
      <c r="D66" s="23">
        <v>45785</v>
      </c>
      <c r="E66" s="19">
        <v>1800008766</v>
      </c>
      <c r="F66" s="20" t="s">
        <v>22</v>
      </c>
      <c r="G66" s="23">
        <v>45785</v>
      </c>
      <c r="H66" s="23">
        <v>45785</v>
      </c>
      <c r="I66" s="4"/>
      <c r="J66" s="20" t="s">
        <v>19</v>
      </c>
      <c r="K66" s="4"/>
      <c r="L66" s="21">
        <v>256779413530</v>
      </c>
      <c r="M66" s="4" t="s">
        <v>20</v>
      </c>
      <c r="N66" s="20">
        <v>4055.06</v>
      </c>
      <c r="O66" s="4" t="s">
        <v>24</v>
      </c>
      <c r="P66" s="24">
        <v>348669.06</v>
      </c>
      <c r="Q66" s="22">
        <v>5878.9687133027137</v>
      </c>
      <c r="R66" s="8">
        <f t="shared" si="1"/>
        <v>342790.09128669731</v>
      </c>
      <c r="S66" s="7" t="s">
        <v>23</v>
      </c>
    </row>
    <row r="67" spans="1:19" x14ac:dyDescent="0.25">
      <c r="A67" s="4" t="s">
        <v>17</v>
      </c>
      <c r="B67" s="4"/>
      <c r="C67" s="4" t="s">
        <v>27</v>
      </c>
      <c r="D67" s="23">
        <v>45785</v>
      </c>
      <c r="E67" s="19">
        <v>1800008767</v>
      </c>
      <c r="F67" s="20" t="s">
        <v>22</v>
      </c>
      <c r="G67" s="23">
        <v>45785</v>
      </c>
      <c r="H67" s="23">
        <v>45785</v>
      </c>
      <c r="I67" s="4"/>
      <c r="J67" s="20" t="s">
        <v>19</v>
      </c>
      <c r="K67" s="4"/>
      <c r="L67" s="21">
        <v>256779413531</v>
      </c>
      <c r="M67" s="4" t="s">
        <v>20</v>
      </c>
      <c r="N67" s="20">
        <v>127.85</v>
      </c>
      <c r="O67" s="4" t="s">
        <v>24</v>
      </c>
      <c r="P67" s="24">
        <v>10993.02</v>
      </c>
      <c r="Q67" s="22">
        <v>185.60976209420642</v>
      </c>
      <c r="R67" s="8">
        <f t="shared" si="1"/>
        <v>10807.410237905795</v>
      </c>
      <c r="S67" s="7" t="s">
        <v>23</v>
      </c>
    </row>
    <row r="68" spans="1:19" x14ac:dyDescent="0.25">
      <c r="A68" s="4" t="s">
        <v>17</v>
      </c>
      <c r="B68" s="4"/>
      <c r="C68" s="4" t="s">
        <v>27</v>
      </c>
      <c r="D68" s="23">
        <v>45785</v>
      </c>
      <c r="E68" s="19">
        <v>1800008768</v>
      </c>
      <c r="F68" s="20" t="s">
        <v>22</v>
      </c>
      <c r="G68" s="23">
        <v>45785</v>
      </c>
      <c r="H68" s="23">
        <v>45785</v>
      </c>
      <c r="I68" s="4"/>
      <c r="J68" s="20" t="s">
        <v>19</v>
      </c>
      <c r="K68" s="4"/>
      <c r="L68" s="21">
        <v>256779413532</v>
      </c>
      <c r="M68" s="4" t="s">
        <v>20</v>
      </c>
      <c r="N68" s="20">
        <v>50.339999999999996</v>
      </c>
      <c r="O68" s="4" t="s">
        <v>24</v>
      </c>
      <c r="P68" s="24">
        <v>4328.42</v>
      </c>
      <c r="Q68" s="22">
        <v>72.70153566376996</v>
      </c>
      <c r="R68" s="8">
        <f t="shared" si="1"/>
        <v>4255.7184643362298</v>
      </c>
      <c r="S68" s="7" t="s">
        <v>23</v>
      </c>
    </row>
    <row r="69" spans="1:19" x14ac:dyDescent="0.25">
      <c r="A69" s="4" t="s">
        <v>17</v>
      </c>
      <c r="B69" s="4"/>
      <c r="C69" s="4" t="s">
        <v>27</v>
      </c>
      <c r="D69" s="23">
        <v>45798</v>
      </c>
      <c r="E69" s="19">
        <v>1800008913</v>
      </c>
      <c r="F69" s="20" t="s">
        <v>22</v>
      </c>
      <c r="G69" s="23">
        <v>45798</v>
      </c>
      <c r="H69" s="23">
        <v>45798</v>
      </c>
      <c r="I69" s="4"/>
      <c r="J69" s="20" t="s">
        <v>19</v>
      </c>
      <c r="K69" s="4"/>
      <c r="L69" s="21">
        <v>256779413677</v>
      </c>
      <c r="M69" s="4" t="s">
        <v>20</v>
      </c>
      <c r="N69" s="20">
        <v>4221.32</v>
      </c>
      <c r="O69" s="4" t="s">
        <v>24</v>
      </c>
      <c r="P69" s="24">
        <v>362964.71</v>
      </c>
      <c r="Q69" s="22">
        <v>6120.1877558273682</v>
      </c>
      <c r="R69" s="8">
        <f t="shared" si="1"/>
        <v>356844.52224417264</v>
      </c>
      <c r="S69" s="7" t="s">
        <v>23</v>
      </c>
    </row>
    <row r="70" spans="1:19" x14ac:dyDescent="0.25">
      <c r="A70" s="4" t="s">
        <v>17</v>
      </c>
      <c r="B70" s="4"/>
      <c r="C70" s="4" t="s">
        <v>27</v>
      </c>
      <c r="D70" s="23">
        <v>45798</v>
      </c>
      <c r="E70" s="19">
        <v>1800008914</v>
      </c>
      <c r="F70" s="20" t="s">
        <v>22</v>
      </c>
      <c r="G70" s="23">
        <v>45798</v>
      </c>
      <c r="H70" s="23">
        <v>45798</v>
      </c>
      <c r="I70" s="4"/>
      <c r="J70" s="20" t="s">
        <v>19</v>
      </c>
      <c r="K70" s="4"/>
      <c r="L70" s="21">
        <v>256779413678</v>
      </c>
      <c r="M70" s="4" t="s">
        <v>20</v>
      </c>
      <c r="N70" s="20">
        <v>20.3</v>
      </c>
      <c r="O70" s="4" t="s">
        <v>24</v>
      </c>
      <c r="P70" s="24">
        <v>1745.47</v>
      </c>
      <c r="Q70" s="22">
        <v>29.936842105263281</v>
      </c>
      <c r="R70" s="8">
        <f t="shared" si="1"/>
        <v>1715.5331578947366</v>
      </c>
      <c r="S70" s="7" t="s">
        <v>23</v>
      </c>
    </row>
    <row r="71" spans="1:19" x14ac:dyDescent="0.25">
      <c r="A71" s="4" t="s">
        <v>17</v>
      </c>
      <c r="B71" s="4"/>
      <c r="C71" s="4" t="s">
        <v>27</v>
      </c>
      <c r="D71" s="23">
        <v>45798</v>
      </c>
      <c r="E71" s="19">
        <v>1800008915</v>
      </c>
      <c r="F71" s="20" t="s">
        <v>22</v>
      </c>
      <c r="G71" s="23">
        <v>45798</v>
      </c>
      <c r="H71" s="23">
        <v>45798</v>
      </c>
      <c r="I71" s="4"/>
      <c r="J71" s="20" t="s">
        <v>19</v>
      </c>
      <c r="K71" s="4"/>
      <c r="L71" s="21">
        <v>256779413679</v>
      </c>
      <c r="M71" s="4" t="s">
        <v>20</v>
      </c>
      <c r="N71" s="20">
        <v>133.16999999999999</v>
      </c>
      <c r="O71" s="4" t="s">
        <v>24</v>
      </c>
      <c r="P71" s="24">
        <v>11450.45</v>
      </c>
      <c r="Q71" s="22">
        <v>194.17205423987622</v>
      </c>
      <c r="R71" s="8">
        <f t="shared" si="1"/>
        <v>11256.277945760125</v>
      </c>
      <c r="S71" s="7" t="s">
        <v>23</v>
      </c>
    </row>
    <row r="72" spans="1:19" x14ac:dyDescent="0.25">
      <c r="A72" s="4" t="s">
        <v>17</v>
      </c>
      <c r="B72" s="4"/>
      <c r="C72" s="4" t="s">
        <v>27</v>
      </c>
      <c r="D72" s="23">
        <v>45730</v>
      </c>
      <c r="E72" s="19">
        <v>1800001506</v>
      </c>
      <c r="F72" s="20" t="s">
        <v>22</v>
      </c>
      <c r="G72" s="23">
        <v>45730</v>
      </c>
      <c r="H72" s="23">
        <v>45730</v>
      </c>
      <c r="I72" s="4"/>
      <c r="J72" s="20" t="s">
        <v>19</v>
      </c>
      <c r="K72" s="4"/>
      <c r="L72" s="21">
        <v>246779412163</v>
      </c>
      <c r="M72" s="4" t="s">
        <v>20</v>
      </c>
      <c r="N72" s="20">
        <v>63.31</v>
      </c>
      <c r="O72" s="4" t="s">
        <v>24</v>
      </c>
      <c r="P72" s="24">
        <v>5488.42</v>
      </c>
      <c r="Q72" s="22">
        <v>92.388507150892323</v>
      </c>
      <c r="R72" s="8">
        <f t="shared" si="1"/>
        <v>5396.031492849108</v>
      </c>
      <c r="S72" s="7" t="s">
        <v>23</v>
      </c>
    </row>
    <row r="73" spans="1:19" x14ac:dyDescent="0.25">
      <c r="A73" s="4" t="s">
        <v>17</v>
      </c>
      <c r="B73" s="4"/>
      <c r="C73" s="4" t="s">
        <v>27</v>
      </c>
      <c r="D73" s="23">
        <v>45730</v>
      </c>
      <c r="E73" s="19">
        <v>1800001507</v>
      </c>
      <c r="F73" s="20" t="s">
        <v>22</v>
      </c>
      <c r="G73" s="23">
        <v>45730</v>
      </c>
      <c r="H73" s="23">
        <v>45730</v>
      </c>
      <c r="I73" s="4"/>
      <c r="J73" s="20" t="s">
        <v>19</v>
      </c>
      <c r="K73" s="4"/>
      <c r="L73" s="21">
        <v>246779412164</v>
      </c>
      <c r="M73" s="4" t="s">
        <v>20</v>
      </c>
      <c r="N73" s="20">
        <v>63.31</v>
      </c>
      <c r="O73" s="4" t="s">
        <v>24</v>
      </c>
      <c r="P73" s="24">
        <v>5488.42</v>
      </c>
      <c r="Q73" s="22">
        <v>92.388507150892323</v>
      </c>
      <c r="R73" s="8">
        <f t="shared" si="1"/>
        <v>5396.031492849108</v>
      </c>
      <c r="S73" s="7" t="s">
        <v>23</v>
      </c>
    </row>
    <row r="74" spans="1:19" x14ac:dyDescent="0.25">
      <c r="A74" s="4" t="s">
        <v>17</v>
      </c>
      <c r="B74" s="4"/>
      <c r="C74" s="4" t="s">
        <v>27</v>
      </c>
      <c r="D74" s="23">
        <v>45730</v>
      </c>
      <c r="E74" s="19">
        <v>1800001654</v>
      </c>
      <c r="F74" s="20" t="s">
        <v>22</v>
      </c>
      <c r="G74" s="23">
        <v>45730</v>
      </c>
      <c r="H74" s="23">
        <v>45730</v>
      </c>
      <c r="I74" s="4"/>
      <c r="J74" s="20" t="s">
        <v>19</v>
      </c>
      <c r="K74" s="4"/>
      <c r="L74" s="21">
        <v>246779412311</v>
      </c>
      <c r="M74" s="4" t="s">
        <v>20</v>
      </c>
      <c r="N74" s="20">
        <v>63.31</v>
      </c>
      <c r="O74" s="4" t="s">
        <v>24</v>
      </c>
      <c r="P74" s="24">
        <v>5488.42</v>
      </c>
      <c r="Q74" s="22">
        <v>92.388507150892323</v>
      </c>
      <c r="R74" s="8">
        <f t="shared" si="1"/>
        <v>5396.031492849108</v>
      </c>
      <c r="S74" s="7" t="s">
        <v>23</v>
      </c>
    </row>
    <row r="75" spans="1:19" x14ac:dyDescent="0.25">
      <c r="A75" s="4" t="s">
        <v>17</v>
      </c>
      <c r="B75" s="4"/>
      <c r="C75" s="4" t="s">
        <v>27</v>
      </c>
      <c r="D75" s="23">
        <v>45730</v>
      </c>
      <c r="E75" s="19">
        <v>1800001655</v>
      </c>
      <c r="F75" s="20" t="s">
        <v>22</v>
      </c>
      <c r="G75" s="23">
        <v>45730</v>
      </c>
      <c r="H75" s="23">
        <v>45730</v>
      </c>
      <c r="I75" s="4"/>
      <c r="J75" s="20" t="s">
        <v>19</v>
      </c>
      <c r="K75" s="4"/>
      <c r="L75" s="21">
        <v>246779412312</v>
      </c>
      <c r="M75" s="4" t="s">
        <v>20</v>
      </c>
      <c r="N75" s="20">
        <v>63.31</v>
      </c>
      <c r="O75" s="4" t="s">
        <v>24</v>
      </c>
      <c r="P75" s="24">
        <v>5488.42</v>
      </c>
      <c r="Q75" s="22">
        <v>92.388507150892323</v>
      </c>
      <c r="R75" s="8">
        <f t="shared" si="1"/>
        <v>5396.031492849108</v>
      </c>
      <c r="S75" s="7" t="s">
        <v>23</v>
      </c>
    </row>
    <row r="76" spans="1:1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0" t="s">
        <v>15</v>
      </c>
      <c r="M76" s="9" t="s">
        <v>20</v>
      </c>
      <c r="N76" s="11">
        <f>SUM(N36:N75)</f>
        <v>62233.439999999995</v>
      </c>
      <c r="O76" s="11"/>
      <c r="P76" s="11"/>
      <c r="Q76" s="9"/>
      <c r="R76" s="11">
        <f>SUM(R36:R75)</f>
        <v>67906.962593997523</v>
      </c>
      <c r="S76" s="9" t="s">
        <v>28</v>
      </c>
    </row>
    <row r="79" spans="1:19" ht="52.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2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2" t="s">
        <v>12</v>
      </c>
      <c r="N79" s="2" t="s">
        <v>13</v>
      </c>
      <c r="O79" s="2" t="s">
        <v>26</v>
      </c>
      <c r="P79" s="2" t="s">
        <v>25</v>
      </c>
      <c r="Q79" s="2" t="s">
        <v>14</v>
      </c>
      <c r="R79" s="2" t="s">
        <v>15</v>
      </c>
      <c r="S79" s="2" t="s">
        <v>16</v>
      </c>
    </row>
    <row r="80" spans="1:19" x14ac:dyDescent="0.25">
      <c r="A80" s="4" t="s">
        <v>17</v>
      </c>
      <c r="B80" s="4"/>
      <c r="C80" s="4" t="s">
        <v>27</v>
      </c>
      <c r="D80" s="23">
        <v>45890</v>
      </c>
      <c r="E80" s="19">
        <v>1400000964</v>
      </c>
      <c r="F80" s="4" t="s">
        <v>18</v>
      </c>
      <c r="G80" s="23">
        <v>45890</v>
      </c>
      <c r="H80" s="23">
        <v>45890</v>
      </c>
      <c r="I80" s="4"/>
      <c r="J80" s="20" t="s">
        <v>19</v>
      </c>
      <c r="K80" s="4"/>
      <c r="L80" s="4"/>
      <c r="M80" s="4"/>
      <c r="N80" s="4"/>
      <c r="O80" s="4" t="s">
        <v>24</v>
      </c>
      <c r="P80" s="12">
        <v>-541999.62</v>
      </c>
      <c r="Q80" s="4"/>
      <c r="R80" s="13">
        <f>P80</f>
        <v>-541999.62</v>
      </c>
      <c r="S80" s="7" t="s">
        <v>21</v>
      </c>
    </row>
    <row r="81" spans="1:19" x14ac:dyDescent="0.25">
      <c r="A81" s="4" t="s">
        <v>17</v>
      </c>
      <c r="B81" s="4"/>
      <c r="C81" s="4" t="s">
        <v>27</v>
      </c>
      <c r="D81" s="23">
        <v>45813</v>
      </c>
      <c r="E81" s="19">
        <v>1800009281</v>
      </c>
      <c r="F81" s="4" t="s">
        <v>22</v>
      </c>
      <c r="G81" s="23">
        <v>45813</v>
      </c>
      <c r="H81" s="23">
        <v>45813</v>
      </c>
      <c r="I81" s="4"/>
      <c r="J81" s="20" t="s">
        <v>19</v>
      </c>
      <c r="K81" s="4"/>
      <c r="L81" s="21">
        <v>256779414045</v>
      </c>
      <c r="M81" s="4" t="s">
        <v>20</v>
      </c>
      <c r="N81" s="20">
        <v>4372.3599999999997</v>
      </c>
      <c r="O81" s="4" t="s">
        <v>24</v>
      </c>
      <c r="P81" s="24">
        <v>373796.47</v>
      </c>
      <c r="Q81" s="4">
        <v>6342.0935681581204</v>
      </c>
      <c r="R81" s="13">
        <f>P81-Q81</f>
        <v>367454.37643184187</v>
      </c>
      <c r="S81" s="14" t="s">
        <v>23</v>
      </c>
    </row>
    <row r="82" spans="1:19" x14ac:dyDescent="0.25">
      <c r="A82" s="4" t="s">
        <v>17</v>
      </c>
      <c r="B82" s="4"/>
      <c r="C82" s="4" t="s">
        <v>27</v>
      </c>
      <c r="D82" s="23">
        <v>45813</v>
      </c>
      <c r="E82" s="19">
        <v>1800009282</v>
      </c>
      <c r="F82" s="4" t="s">
        <v>22</v>
      </c>
      <c r="G82" s="23">
        <v>45813</v>
      </c>
      <c r="H82" s="23">
        <v>45813</v>
      </c>
      <c r="I82" s="4"/>
      <c r="J82" s="20" t="s">
        <v>19</v>
      </c>
      <c r="K82" s="4"/>
      <c r="L82" s="21">
        <v>256779414046</v>
      </c>
      <c r="M82" s="4" t="s">
        <v>20</v>
      </c>
      <c r="N82" s="20">
        <v>21.650000000000002</v>
      </c>
      <c r="O82" s="4" t="s">
        <v>24</v>
      </c>
      <c r="P82" s="24">
        <v>1850.88</v>
      </c>
      <c r="Q82" s="4">
        <v>31.653256578947452</v>
      </c>
      <c r="R82" s="13">
        <f t="shared" ref="R82:R84" si="2">P82-Q82</f>
        <v>1819.2267434210526</v>
      </c>
      <c r="S82" s="14" t="s">
        <v>23</v>
      </c>
    </row>
    <row r="83" spans="1:19" x14ac:dyDescent="0.25">
      <c r="A83" s="4" t="s">
        <v>17</v>
      </c>
      <c r="B83" s="4"/>
      <c r="C83" s="4" t="s">
        <v>27</v>
      </c>
      <c r="D83" s="23">
        <v>45813</v>
      </c>
      <c r="E83" s="19">
        <v>1800009283</v>
      </c>
      <c r="F83" s="4" t="s">
        <v>22</v>
      </c>
      <c r="G83" s="23">
        <v>45813</v>
      </c>
      <c r="H83" s="23">
        <v>45813</v>
      </c>
      <c r="I83" s="4"/>
      <c r="J83" s="20" t="s">
        <v>19</v>
      </c>
      <c r="K83" s="4"/>
      <c r="L83" s="21">
        <v>256779414047</v>
      </c>
      <c r="M83" s="4" t="s">
        <v>20</v>
      </c>
      <c r="N83" s="20">
        <v>135.72</v>
      </c>
      <c r="O83" s="4" t="s">
        <v>24</v>
      </c>
      <c r="P83" s="24">
        <v>11602.81</v>
      </c>
      <c r="Q83" s="4">
        <v>196.79739169539894</v>
      </c>
      <c r="R83" s="13">
        <f t="shared" si="2"/>
        <v>11406.0126083046</v>
      </c>
      <c r="S83" s="14" t="s">
        <v>23</v>
      </c>
    </row>
    <row r="84" spans="1:19" x14ac:dyDescent="0.25">
      <c r="A84" s="4" t="s">
        <v>17</v>
      </c>
      <c r="B84" s="4"/>
      <c r="C84" s="4" t="s">
        <v>27</v>
      </c>
      <c r="D84" s="23">
        <v>45818</v>
      </c>
      <c r="E84" s="19">
        <v>1800009631</v>
      </c>
      <c r="F84" s="4" t="s">
        <v>22</v>
      </c>
      <c r="G84" s="23">
        <v>45818</v>
      </c>
      <c r="H84" s="23">
        <v>45818</v>
      </c>
      <c r="I84" s="4"/>
      <c r="J84" s="20" t="s">
        <v>19</v>
      </c>
      <c r="K84" s="4"/>
      <c r="L84" s="21">
        <v>256779414395</v>
      </c>
      <c r="M84" s="4" t="s">
        <v>20</v>
      </c>
      <c r="N84" s="20">
        <v>1911.6</v>
      </c>
      <c r="O84" s="4" t="s">
        <v>24</v>
      </c>
      <c r="P84" s="24">
        <v>163424.18</v>
      </c>
      <c r="Q84" s="4">
        <v>2775.574999999988</v>
      </c>
      <c r="R84" s="13">
        <f t="shared" si="2"/>
        <v>160648.60500000001</v>
      </c>
      <c r="S84" s="14" t="s">
        <v>23</v>
      </c>
    </row>
    <row r="85" spans="1:19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0" t="s">
        <v>15</v>
      </c>
      <c r="M85" s="9" t="s">
        <v>20</v>
      </c>
      <c r="N85" s="11">
        <f>SUM(N80:N84)</f>
        <v>6441.33</v>
      </c>
      <c r="O85" s="11"/>
      <c r="P85" s="11"/>
      <c r="Q85" s="9"/>
      <c r="R85" s="11">
        <f>SUM(R80:R84)</f>
        <v>-671.39921643247362</v>
      </c>
      <c r="S85" s="9" t="s">
        <v>28</v>
      </c>
    </row>
    <row r="88" spans="1:19" ht="52.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2" t="s">
        <v>5</v>
      </c>
      <c r="G88" s="1" t="s">
        <v>6</v>
      </c>
      <c r="H88" s="1" t="s">
        <v>7</v>
      </c>
      <c r="I88" s="1" t="s">
        <v>8</v>
      </c>
      <c r="J88" s="1" t="s">
        <v>9</v>
      </c>
      <c r="K88" s="1" t="s">
        <v>10</v>
      </c>
      <c r="L88" s="1" t="s">
        <v>11</v>
      </c>
      <c r="M88" s="2" t="s">
        <v>12</v>
      </c>
      <c r="N88" s="2" t="s">
        <v>13</v>
      </c>
      <c r="O88" s="2" t="s">
        <v>26</v>
      </c>
      <c r="P88" s="2" t="s">
        <v>25</v>
      </c>
      <c r="Q88" s="2" t="s">
        <v>14</v>
      </c>
      <c r="R88" s="2" t="s">
        <v>15</v>
      </c>
      <c r="S88" s="2" t="s">
        <v>16</v>
      </c>
    </row>
    <row r="89" spans="1:19" x14ac:dyDescent="0.25">
      <c r="A89" s="4" t="s">
        <v>17</v>
      </c>
      <c r="B89" s="4"/>
      <c r="C89" s="4" t="s">
        <v>27</v>
      </c>
      <c r="D89" s="23">
        <v>45897</v>
      </c>
      <c r="E89" s="19">
        <v>1400001082</v>
      </c>
      <c r="F89" s="4" t="s">
        <v>18</v>
      </c>
      <c r="G89" s="23">
        <v>45897</v>
      </c>
      <c r="H89" s="23">
        <v>45897</v>
      </c>
      <c r="I89" s="4"/>
      <c r="J89" s="20" t="s">
        <v>19</v>
      </c>
      <c r="K89" s="4"/>
      <c r="L89" s="4"/>
      <c r="M89" s="4"/>
      <c r="N89" s="4"/>
      <c r="O89" s="4" t="s">
        <v>24</v>
      </c>
      <c r="P89" s="12">
        <v>-1596991.75</v>
      </c>
      <c r="Q89" s="4"/>
      <c r="R89" s="13">
        <f>P89</f>
        <v>-1596991.75</v>
      </c>
      <c r="S89" s="7" t="s">
        <v>21</v>
      </c>
    </row>
    <row r="90" spans="1:19" x14ac:dyDescent="0.25">
      <c r="A90" s="4" t="s">
        <v>17</v>
      </c>
      <c r="B90" s="4"/>
      <c r="C90" s="4" t="s">
        <v>27</v>
      </c>
      <c r="D90" s="23">
        <v>45771</v>
      </c>
      <c r="E90" s="19">
        <v>1800007893</v>
      </c>
      <c r="F90" s="4" t="s">
        <v>22</v>
      </c>
      <c r="G90" s="23">
        <v>45771</v>
      </c>
      <c r="H90" s="23">
        <v>45771</v>
      </c>
      <c r="I90" s="4"/>
      <c r="J90" s="20" t="s">
        <v>19</v>
      </c>
      <c r="K90" s="4"/>
      <c r="L90" s="21">
        <v>256779412784</v>
      </c>
      <c r="M90" s="4" t="s">
        <v>20</v>
      </c>
      <c r="N90" s="20">
        <v>61.959999999999994</v>
      </c>
      <c r="O90" s="4" t="s">
        <v>24</v>
      </c>
      <c r="P90" s="24">
        <v>5385.68</v>
      </c>
      <c r="Q90" s="4">
        <v>92.285619047618624</v>
      </c>
      <c r="R90" s="13">
        <f>P90-Q90</f>
        <v>5293.3943809523817</v>
      </c>
      <c r="S90" s="7" t="s">
        <v>23</v>
      </c>
    </row>
    <row r="91" spans="1:19" x14ac:dyDescent="0.25">
      <c r="A91" s="4" t="s">
        <v>17</v>
      </c>
      <c r="B91" s="4"/>
      <c r="C91" s="4" t="s">
        <v>27</v>
      </c>
      <c r="D91" s="23">
        <v>45787</v>
      </c>
      <c r="E91" s="19">
        <v>1800008312</v>
      </c>
      <c r="F91" s="4" t="s">
        <v>22</v>
      </c>
      <c r="G91" s="23">
        <v>45787</v>
      </c>
      <c r="H91" s="23">
        <v>45787</v>
      </c>
      <c r="I91" s="4"/>
      <c r="J91" s="20" t="s">
        <v>19</v>
      </c>
      <c r="K91" s="4"/>
      <c r="L91" s="21">
        <v>256779413195</v>
      </c>
      <c r="M91" s="4" t="s">
        <v>20</v>
      </c>
      <c r="N91" s="20">
        <v>124.86999999999999</v>
      </c>
      <c r="O91" s="4" t="s">
        <v>24</v>
      </c>
      <c r="P91" s="24">
        <v>10736.78</v>
      </c>
      <c r="Q91" s="4">
        <v>185.44084731953686</v>
      </c>
      <c r="R91" s="13">
        <f t="shared" ref="R91:R104" si="3">P91-Q91</f>
        <v>10551.339152680464</v>
      </c>
      <c r="S91" s="7" t="s">
        <v>23</v>
      </c>
    </row>
    <row r="92" spans="1:19" x14ac:dyDescent="0.25">
      <c r="A92" s="4" t="s">
        <v>17</v>
      </c>
      <c r="B92" s="4"/>
      <c r="C92" s="4" t="s">
        <v>27</v>
      </c>
      <c r="D92" s="23">
        <v>45826</v>
      </c>
      <c r="E92" s="19">
        <v>1800009851</v>
      </c>
      <c r="F92" s="4" t="s">
        <v>22</v>
      </c>
      <c r="G92" s="23">
        <v>45826</v>
      </c>
      <c r="H92" s="23">
        <v>45826</v>
      </c>
      <c r="I92" s="4"/>
      <c r="J92" s="20" t="s">
        <v>19</v>
      </c>
      <c r="K92" s="4"/>
      <c r="L92" s="21">
        <v>256779414615</v>
      </c>
      <c r="M92" s="4" t="s">
        <v>20</v>
      </c>
      <c r="N92" s="20">
        <v>4294.29</v>
      </c>
      <c r="O92" s="4" t="s">
        <v>24</v>
      </c>
      <c r="P92" s="24">
        <v>367122.2</v>
      </c>
      <c r="Q92" s="4">
        <v>6378.19172171029</v>
      </c>
      <c r="R92" s="13">
        <f t="shared" si="3"/>
        <v>360744.00827828969</v>
      </c>
      <c r="S92" s="7" t="s">
        <v>23</v>
      </c>
    </row>
    <row r="93" spans="1:19" x14ac:dyDescent="0.25">
      <c r="A93" s="4" t="s">
        <v>17</v>
      </c>
      <c r="B93" s="4"/>
      <c r="C93" s="4" t="s">
        <v>27</v>
      </c>
      <c r="D93" s="23">
        <v>45826</v>
      </c>
      <c r="E93" s="19">
        <v>1800009852</v>
      </c>
      <c r="F93" s="4" t="s">
        <v>22</v>
      </c>
      <c r="G93" s="23">
        <v>45826</v>
      </c>
      <c r="H93" s="23">
        <v>45826</v>
      </c>
      <c r="I93" s="4"/>
      <c r="J93" s="20" t="s">
        <v>19</v>
      </c>
      <c r="K93" s="4"/>
      <c r="L93" s="21">
        <v>256779414616</v>
      </c>
      <c r="M93" s="4" t="s">
        <v>20</v>
      </c>
      <c r="N93" s="20">
        <v>21.31</v>
      </c>
      <c r="O93" s="4" t="s">
        <v>24</v>
      </c>
      <c r="P93" s="24">
        <v>1821.81</v>
      </c>
      <c r="Q93" s="4">
        <v>32.426948424068541</v>
      </c>
      <c r="R93" s="13">
        <f t="shared" si="3"/>
        <v>1789.3830515759314</v>
      </c>
      <c r="S93" s="7" t="s">
        <v>23</v>
      </c>
    </row>
    <row r="94" spans="1:19" x14ac:dyDescent="0.25">
      <c r="A94" s="4" t="s">
        <v>17</v>
      </c>
      <c r="B94" s="4"/>
      <c r="C94" s="4" t="s">
        <v>27</v>
      </c>
      <c r="D94" s="23">
        <v>45826</v>
      </c>
      <c r="E94" s="19">
        <v>1800009853</v>
      </c>
      <c r="F94" s="4" t="s">
        <v>22</v>
      </c>
      <c r="G94" s="23">
        <v>45826</v>
      </c>
      <c r="H94" s="23">
        <v>45826</v>
      </c>
      <c r="I94" s="4"/>
      <c r="J94" s="20" t="s">
        <v>19</v>
      </c>
      <c r="K94" s="4"/>
      <c r="L94" s="21">
        <v>256779414617</v>
      </c>
      <c r="M94" s="4" t="s">
        <v>20</v>
      </c>
      <c r="N94" s="20">
        <v>66.91</v>
      </c>
      <c r="O94" s="4" t="s">
        <v>24</v>
      </c>
      <c r="P94" s="24">
        <v>5720.19</v>
      </c>
      <c r="Q94" s="4">
        <v>99.750086665653086</v>
      </c>
      <c r="R94" s="13">
        <f t="shared" si="3"/>
        <v>5620.4399133343468</v>
      </c>
      <c r="S94" s="7" t="s">
        <v>23</v>
      </c>
    </row>
    <row r="95" spans="1:19" x14ac:dyDescent="0.25">
      <c r="A95" s="4" t="s">
        <v>17</v>
      </c>
      <c r="B95" s="4"/>
      <c r="C95" s="4" t="s">
        <v>27</v>
      </c>
      <c r="D95" s="23">
        <v>45842</v>
      </c>
      <c r="E95" s="19">
        <v>1800010193</v>
      </c>
      <c r="F95" s="4" t="s">
        <v>22</v>
      </c>
      <c r="G95" s="23">
        <v>45842</v>
      </c>
      <c r="H95" s="23">
        <v>45842</v>
      </c>
      <c r="I95" s="4"/>
      <c r="J95" s="20" t="s">
        <v>19</v>
      </c>
      <c r="K95" s="4"/>
      <c r="L95" s="21">
        <v>256779414953</v>
      </c>
      <c r="M95" s="4" t="s">
        <v>20</v>
      </c>
      <c r="N95" s="20">
        <v>1975.32</v>
      </c>
      <c r="O95" s="4" t="s">
        <v>24</v>
      </c>
      <c r="P95" s="24">
        <v>169878.84</v>
      </c>
      <c r="Q95" s="4">
        <v>2929.6470726217149</v>
      </c>
      <c r="R95" s="13">
        <f t="shared" si="3"/>
        <v>166949.19292737829</v>
      </c>
      <c r="S95" s="7" t="s">
        <v>23</v>
      </c>
    </row>
    <row r="96" spans="1:19" x14ac:dyDescent="0.25">
      <c r="A96" s="4" t="s">
        <v>17</v>
      </c>
      <c r="B96" s="4"/>
      <c r="C96" s="4" t="s">
        <v>27</v>
      </c>
      <c r="D96" s="23">
        <v>45842</v>
      </c>
      <c r="E96" s="19">
        <v>1800010319</v>
      </c>
      <c r="F96" s="4" t="s">
        <v>22</v>
      </c>
      <c r="G96" s="23">
        <v>45842</v>
      </c>
      <c r="H96" s="23">
        <v>45842</v>
      </c>
      <c r="I96" s="4"/>
      <c r="J96" s="20" t="s">
        <v>19</v>
      </c>
      <c r="K96" s="4"/>
      <c r="L96" s="21">
        <v>256779415079</v>
      </c>
      <c r="M96" s="4" t="s">
        <v>20</v>
      </c>
      <c r="N96" s="20">
        <v>5272.89</v>
      </c>
      <c r="O96" s="4" t="s">
        <v>24</v>
      </c>
      <c r="P96" s="24">
        <v>453472.07</v>
      </c>
      <c r="Q96" s="4">
        <v>7821.1446093091454</v>
      </c>
      <c r="R96" s="13">
        <f t="shared" si="3"/>
        <v>445650.92539069086</v>
      </c>
      <c r="S96" s="7" t="s">
        <v>23</v>
      </c>
    </row>
    <row r="97" spans="1:19" x14ac:dyDescent="0.25">
      <c r="A97" s="4" t="s">
        <v>17</v>
      </c>
      <c r="B97" s="4"/>
      <c r="C97" s="4" t="s">
        <v>27</v>
      </c>
      <c r="D97" s="23">
        <v>45842</v>
      </c>
      <c r="E97" s="19">
        <v>1800010320</v>
      </c>
      <c r="F97" s="4" t="s">
        <v>22</v>
      </c>
      <c r="G97" s="23">
        <v>45842</v>
      </c>
      <c r="H97" s="23">
        <v>45842</v>
      </c>
      <c r="I97" s="4"/>
      <c r="J97" s="20" t="s">
        <v>19</v>
      </c>
      <c r="K97" s="4"/>
      <c r="L97" s="21">
        <v>256779415080</v>
      </c>
      <c r="M97" s="4" t="s">
        <v>20</v>
      </c>
      <c r="N97" s="20">
        <v>402.03999999999996</v>
      </c>
      <c r="O97" s="4" t="s">
        <v>24</v>
      </c>
      <c r="P97" s="24">
        <v>34575.71</v>
      </c>
      <c r="Q97" s="4">
        <v>596.77622944182428</v>
      </c>
      <c r="R97" s="13">
        <f t="shared" si="3"/>
        <v>33978.933770558178</v>
      </c>
      <c r="S97" s="7" t="s">
        <v>23</v>
      </c>
    </row>
    <row r="98" spans="1:19" x14ac:dyDescent="0.25">
      <c r="A98" s="4" t="s">
        <v>17</v>
      </c>
      <c r="B98" s="4"/>
      <c r="C98" s="4" t="s">
        <v>27</v>
      </c>
      <c r="D98" s="23">
        <v>45842</v>
      </c>
      <c r="E98" s="19">
        <v>1800010321</v>
      </c>
      <c r="F98" s="4" t="s">
        <v>22</v>
      </c>
      <c r="G98" s="23">
        <v>45842</v>
      </c>
      <c r="H98" s="23">
        <v>45842</v>
      </c>
      <c r="I98" s="4"/>
      <c r="J98" s="20" t="s">
        <v>19</v>
      </c>
      <c r="K98" s="4"/>
      <c r="L98" s="21">
        <v>256779415081</v>
      </c>
      <c r="M98" s="4" t="s">
        <v>20</v>
      </c>
      <c r="N98" s="20">
        <v>99.69</v>
      </c>
      <c r="O98" s="4" t="s">
        <v>24</v>
      </c>
      <c r="P98" s="24">
        <v>8573.41</v>
      </c>
      <c r="Q98" s="4">
        <v>147.87913877551</v>
      </c>
      <c r="R98" s="13">
        <f t="shared" si="3"/>
        <v>8425.5308612244899</v>
      </c>
      <c r="S98" s="7" t="s">
        <v>23</v>
      </c>
    </row>
    <row r="99" spans="1:19" x14ac:dyDescent="0.25">
      <c r="A99" s="4" t="s">
        <v>17</v>
      </c>
      <c r="B99" s="4"/>
      <c r="C99" s="4" t="s">
        <v>27</v>
      </c>
      <c r="D99" s="23">
        <v>45842</v>
      </c>
      <c r="E99" s="19">
        <v>1800010459</v>
      </c>
      <c r="F99" s="4" t="s">
        <v>22</v>
      </c>
      <c r="G99" s="23">
        <v>45842</v>
      </c>
      <c r="H99" s="23">
        <v>45842</v>
      </c>
      <c r="I99" s="4"/>
      <c r="J99" s="20" t="s">
        <v>19</v>
      </c>
      <c r="K99" s="4"/>
      <c r="L99" s="21">
        <v>256779415219</v>
      </c>
      <c r="M99" s="4" t="s">
        <v>20</v>
      </c>
      <c r="N99" s="20">
        <v>124.14999999999999</v>
      </c>
      <c r="O99" s="4" t="s">
        <v>24</v>
      </c>
      <c r="P99" s="24">
        <v>10676.98</v>
      </c>
      <c r="Q99" s="4">
        <v>183.68497459849098</v>
      </c>
      <c r="R99" s="13">
        <f t="shared" si="3"/>
        <v>10493.295025401509</v>
      </c>
      <c r="S99" s="7" t="s">
        <v>23</v>
      </c>
    </row>
    <row r="100" spans="1:19" x14ac:dyDescent="0.25">
      <c r="A100" s="4" t="s">
        <v>17</v>
      </c>
      <c r="B100" s="4"/>
      <c r="C100" s="4" t="s">
        <v>27</v>
      </c>
      <c r="D100" s="23">
        <v>45857</v>
      </c>
      <c r="E100" s="19">
        <v>1800010838</v>
      </c>
      <c r="F100" s="4" t="s">
        <v>22</v>
      </c>
      <c r="G100" s="23">
        <v>45857</v>
      </c>
      <c r="H100" s="23">
        <v>45857</v>
      </c>
      <c r="I100" s="4"/>
      <c r="J100" s="20" t="s">
        <v>19</v>
      </c>
      <c r="K100" s="4"/>
      <c r="L100" s="21">
        <v>256779415598</v>
      </c>
      <c r="M100" s="4" t="s">
        <v>20</v>
      </c>
      <c r="N100" s="20">
        <v>5226.17</v>
      </c>
      <c r="O100" s="4" t="s">
        <v>24</v>
      </c>
      <c r="P100" s="24">
        <v>449454.12</v>
      </c>
      <c r="Q100" s="4">
        <v>7776.3368711338935</v>
      </c>
      <c r="R100" s="13">
        <f t="shared" si="3"/>
        <v>441677.78312886611</v>
      </c>
      <c r="S100" s="7" t="s">
        <v>23</v>
      </c>
    </row>
    <row r="101" spans="1:19" x14ac:dyDescent="0.25">
      <c r="A101" s="4" t="s">
        <v>17</v>
      </c>
      <c r="B101" s="4"/>
      <c r="C101" s="4" t="s">
        <v>27</v>
      </c>
      <c r="D101" s="23">
        <v>45857</v>
      </c>
      <c r="E101" s="19">
        <v>1800010839</v>
      </c>
      <c r="F101" s="4" t="s">
        <v>22</v>
      </c>
      <c r="G101" s="23">
        <v>45857</v>
      </c>
      <c r="H101" s="23">
        <v>45857</v>
      </c>
      <c r="I101" s="4"/>
      <c r="J101" s="20" t="s">
        <v>19</v>
      </c>
      <c r="K101" s="4"/>
      <c r="L101" s="21">
        <v>256779415599</v>
      </c>
      <c r="M101" s="4" t="s">
        <v>20</v>
      </c>
      <c r="N101" s="20">
        <v>136.38</v>
      </c>
      <c r="O101" s="4" t="s">
        <v>24</v>
      </c>
      <c r="P101" s="24">
        <v>11728.77</v>
      </c>
      <c r="Q101" s="4">
        <v>202.63439919445088</v>
      </c>
      <c r="R101" s="13">
        <f t="shared" si="3"/>
        <v>11526.13560080555</v>
      </c>
      <c r="S101" s="7" t="s">
        <v>23</v>
      </c>
    </row>
    <row r="102" spans="1:19" x14ac:dyDescent="0.25">
      <c r="A102" s="4" t="s">
        <v>17</v>
      </c>
      <c r="B102" s="4"/>
      <c r="C102" s="4" t="s">
        <v>27</v>
      </c>
      <c r="D102" s="23">
        <v>45857</v>
      </c>
      <c r="E102" s="19">
        <v>1800010840</v>
      </c>
      <c r="F102" s="4" t="s">
        <v>22</v>
      </c>
      <c r="G102" s="23">
        <v>45857</v>
      </c>
      <c r="H102" s="23">
        <v>45857</v>
      </c>
      <c r="I102" s="4"/>
      <c r="J102" s="20" t="s">
        <v>19</v>
      </c>
      <c r="K102" s="4"/>
      <c r="L102" s="21">
        <v>256779415600</v>
      </c>
      <c r="M102" s="4" t="s">
        <v>20</v>
      </c>
      <c r="N102" s="20">
        <v>40.14</v>
      </c>
      <c r="O102" s="4" t="s">
        <v>24</v>
      </c>
      <c r="P102" s="24">
        <v>3452.07</v>
      </c>
      <c r="Q102" s="4">
        <v>59.715664172284775</v>
      </c>
      <c r="R102" s="13">
        <f t="shared" si="3"/>
        <v>3392.3543358277152</v>
      </c>
      <c r="S102" s="7" t="s">
        <v>23</v>
      </c>
    </row>
    <row r="103" spans="1:19" x14ac:dyDescent="0.25">
      <c r="A103" s="4" t="s">
        <v>17</v>
      </c>
      <c r="B103" s="4"/>
      <c r="C103" s="4" t="s">
        <v>27</v>
      </c>
      <c r="D103" s="23">
        <v>45857</v>
      </c>
      <c r="E103" s="19">
        <v>1800010971</v>
      </c>
      <c r="F103" s="4" t="s">
        <v>22</v>
      </c>
      <c r="G103" s="23">
        <v>45857</v>
      </c>
      <c r="H103" s="23">
        <v>45857</v>
      </c>
      <c r="I103" s="4"/>
      <c r="J103" s="20" t="s">
        <v>19</v>
      </c>
      <c r="K103" s="4"/>
      <c r="L103" s="21">
        <v>256779415731</v>
      </c>
      <c r="M103" s="4" t="s">
        <v>20</v>
      </c>
      <c r="N103" s="20">
        <v>750.74</v>
      </c>
      <c r="O103" s="4" t="s">
        <v>24</v>
      </c>
      <c r="P103" s="24">
        <v>64564.14</v>
      </c>
      <c r="Q103" s="4">
        <v>1108.2446386905342</v>
      </c>
      <c r="R103" s="13">
        <f t="shared" si="3"/>
        <v>63455.895361309464</v>
      </c>
      <c r="S103" s="7" t="s">
        <v>23</v>
      </c>
    </row>
    <row r="104" spans="1:19" x14ac:dyDescent="0.25">
      <c r="A104" s="4" t="s">
        <v>17</v>
      </c>
      <c r="B104" s="4"/>
      <c r="C104" s="4" t="s">
        <v>27</v>
      </c>
      <c r="D104" s="23">
        <v>45863</v>
      </c>
      <c r="E104" s="19">
        <v>1800011243</v>
      </c>
      <c r="F104" s="4" t="s">
        <v>22</v>
      </c>
      <c r="G104" s="23">
        <v>45863</v>
      </c>
      <c r="H104" s="23">
        <v>45863</v>
      </c>
      <c r="I104" s="4"/>
      <c r="J104" s="20" t="s">
        <v>19</v>
      </c>
      <c r="K104" s="4"/>
      <c r="L104" s="21">
        <v>256779415975</v>
      </c>
      <c r="M104" s="4" t="s">
        <v>20</v>
      </c>
      <c r="N104" s="20">
        <v>15.19</v>
      </c>
      <c r="O104" s="4" t="s">
        <v>24</v>
      </c>
      <c r="P104" s="24">
        <v>1306.3499999999999</v>
      </c>
      <c r="Q104" s="4">
        <v>22.40649886162408</v>
      </c>
      <c r="R104" s="13">
        <f t="shared" si="3"/>
        <v>1283.9435011383757</v>
      </c>
      <c r="S104" s="7" t="s">
        <v>23</v>
      </c>
    </row>
    <row r="105" spans="1:19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 t="s">
        <v>15</v>
      </c>
      <c r="M105" s="9" t="s">
        <v>20</v>
      </c>
      <c r="N105" s="11">
        <f>SUM(N89:N104)</f>
        <v>18612.05</v>
      </c>
      <c r="O105" s="11"/>
      <c r="P105" s="11"/>
      <c r="Q105" s="9"/>
      <c r="R105" s="11">
        <f>SUM(R89:R104)</f>
        <v>-26159.195319966588</v>
      </c>
      <c r="S105" s="9" t="s">
        <v>28</v>
      </c>
    </row>
    <row r="108" spans="1:19" ht="52.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2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11</v>
      </c>
      <c r="M108" s="2" t="s">
        <v>12</v>
      </c>
      <c r="N108" s="2" t="s">
        <v>13</v>
      </c>
      <c r="O108" s="2" t="s">
        <v>26</v>
      </c>
      <c r="P108" s="2" t="s">
        <v>25</v>
      </c>
      <c r="Q108" s="2" t="s">
        <v>14</v>
      </c>
      <c r="R108" s="2" t="s">
        <v>15</v>
      </c>
      <c r="S108" s="2" t="s">
        <v>16</v>
      </c>
    </row>
    <row r="109" spans="1:19" x14ac:dyDescent="0.25">
      <c r="A109" s="4" t="s">
        <v>17</v>
      </c>
      <c r="B109" s="4"/>
      <c r="C109" s="4" t="s">
        <v>27</v>
      </c>
      <c r="D109" s="23">
        <v>45944</v>
      </c>
      <c r="E109" s="19">
        <v>1400001399</v>
      </c>
      <c r="F109" s="4" t="s">
        <v>18</v>
      </c>
      <c r="G109" s="23">
        <v>45944</v>
      </c>
      <c r="H109" s="23">
        <v>45944</v>
      </c>
      <c r="I109" s="4"/>
      <c r="J109" s="20" t="s">
        <v>19</v>
      </c>
      <c r="K109" s="4"/>
      <c r="L109" s="4"/>
      <c r="M109" s="4"/>
      <c r="N109" s="4"/>
      <c r="O109" s="4" t="s">
        <v>24</v>
      </c>
      <c r="P109" s="12">
        <v>-4032039.86</v>
      </c>
      <c r="Q109" s="4"/>
      <c r="R109" s="13">
        <f>P109</f>
        <v>-4032039.86</v>
      </c>
      <c r="S109" s="7" t="s">
        <v>21</v>
      </c>
    </row>
    <row r="110" spans="1:19" x14ac:dyDescent="0.25">
      <c r="A110" s="4" t="s">
        <v>17</v>
      </c>
      <c r="B110" s="4"/>
      <c r="C110" s="4" t="s">
        <v>27</v>
      </c>
      <c r="D110" s="23">
        <v>45735</v>
      </c>
      <c r="E110" s="19">
        <v>1800002747</v>
      </c>
      <c r="F110" s="4" t="s">
        <v>22</v>
      </c>
      <c r="G110" s="23">
        <v>45735</v>
      </c>
      <c r="H110" s="23">
        <v>45735</v>
      </c>
      <c r="I110" s="4"/>
      <c r="J110" s="20" t="s">
        <v>19</v>
      </c>
      <c r="K110" s="4"/>
      <c r="L110" s="21">
        <v>246779412614</v>
      </c>
      <c r="M110" s="4" t="s">
        <v>20</v>
      </c>
      <c r="N110" s="20">
        <v>10858.509999999998</v>
      </c>
      <c r="O110" s="4" t="s">
        <v>24</v>
      </c>
      <c r="P110" s="24">
        <v>941337.91</v>
      </c>
      <c r="Q110" s="22">
        <v>16341.304593393888</v>
      </c>
      <c r="R110" s="13">
        <f>P110-Q110</f>
        <v>924996.6054066061</v>
      </c>
      <c r="S110" s="7" t="s">
        <v>23</v>
      </c>
    </row>
    <row r="111" spans="1:19" x14ac:dyDescent="0.25">
      <c r="A111" s="4" t="s">
        <v>17</v>
      </c>
      <c r="B111" s="4"/>
      <c r="C111" s="4" t="s">
        <v>27</v>
      </c>
      <c r="D111" s="23">
        <v>45862</v>
      </c>
      <c r="E111" s="19">
        <v>1800011134</v>
      </c>
      <c r="F111" s="4" t="s">
        <v>22</v>
      </c>
      <c r="G111" s="23">
        <v>45862</v>
      </c>
      <c r="H111" s="23">
        <v>45862</v>
      </c>
      <c r="I111" s="4"/>
      <c r="J111" s="20" t="s">
        <v>19</v>
      </c>
      <c r="K111" s="4"/>
      <c r="L111" s="21">
        <v>256779415894</v>
      </c>
      <c r="M111" s="4" t="s">
        <v>20</v>
      </c>
      <c r="N111" s="20">
        <v>1911.6</v>
      </c>
      <c r="O111" s="4" t="s">
        <v>24</v>
      </c>
      <c r="P111" s="24">
        <v>164398.88</v>
      </c>
      <c r="Q111" s="22">
        <v>2853.0715181008709</v>
      </c>
      <c r="R111" s="13">
        <f t="shared" ref="R111:R129" si="4">P111-Q111</f>
        <v>161545.80848189915</v>
      </c>
      <c r="S111" s="7" t="s">
        <v>23</v>
      </c>
    </row>
    <row r="112" spans="1:19" x14ac:dyDescent="0.25">
      <c r="A112" s="4" t="s">
        <v>17</v>
      </c>
      <c r="B112" s="4"/>
      <c r="C112" s="4" t="s">
        <v>27</v>
      </c>
      <c r="D112" s="23">
        <v>45862</v>
      </c>
      <c r="E112" s="19">
        <v>1800011135</v>
      </c>
      <c r="F112" s="4" t="s">
        <v>22</v>
      </c>
      <c r="G112" s="23">
        <v>45862</v>
      </c>
      <c r="H112" s="23">
        <v>45862</v>
      </c>
      <c r="I112" s="4"/>
      <c r="J112" s="20" t="s">
        <v>19</v>
      </c>
      <c r="K112" s="4"/>
      <c r="L112" s="21">
        <v>256779415895</v>
      </c>
      <c r="M112" s="4" t="s">
        <v>20</v>
      </c>
      <c r="N112" s="20">
        <v>1975.32</v>
      </c>
      <c r="O112" s="4" t="s">
        <v>24</v>
      </c>
      <c r="P112" s="24">
        <v>169878.84</v>
      </c>
      <c r="Q112" s="22">
        <v>2948.1454838992095</v>
      </c>
      <c r="R112" s="13">
        <f t="shared" si="4"/>
        <v>166930.69451610078</v>
      </c>
      <c r="S112" s="7" t="s">
        <v>23</v>
      </c>
    </row>
    <row r="113" spans="1:19" x14ac:dyDescent="0.25">
      <c r="A113" s="4" t="s">
        <v>17</v>
      </c>
      <c r="B113" s="4"/>
      <c r="C113" s="4" t="s">
        <v>27</v>
      </c>
      <c r="D113" s="23">
        <v>45862</v>
      </c>
      <c r="E113" s="19">
        <v>1800011137</v>
      </c>
      <c r="F113" s="4" t="s">
        <v>22</v>
      </c>
      <c r="G113" s="23">
        <v>45862</v>
      </c>
      <c r="H113" s="23">
        <v>45862</v>
      </c>
      <c r="I113" s="4"/>
      <c r="J113" s="20" t="s">
        <v>19</v>
      </c>
      <c r="K113" s="4"/>
      <c r="L113" s="21">
        <v>256779415897</v>
      </c>
      <c r="M113" s="4" t="s">
        <v>20</v>
      </c>
      <c r="N113" s="20">
        <v>1911.6</v>
      </c>
      <c r="O113" s="4" t="s">
        <v>24</v>
      </c>
      <c r="P113" s="24">
        <v>164398.88</v>
      </c>
      <c r="Q113" s="22">
        <v>2853.0715181008709</v>
      </c>
      <c r="R113" s="13">
        <f t="shared" si="4"/>
        <v>161545.80848189915</v>
      </c>
      <c r="S113" s="7" t="s">
        <v>23</v>
      </c>
    </row>
    <row r="114" spans="1:19" x14ac:dyDescent="0.25">
      <c r="A114" s="4" t="s">
        <v>17</v>
      </c>
      <c r="B114" s="4"/>
      <c r="C114" s="4" t="s">
        <v>27</v>
      </c>
      <c r="D114" s="23">
        <v>45862</v>
      </c>
      <c r="E114" s="19">
        <v>1800011139</v>
      </c>
      <c r="F114" s="4" t="s">
        <v>22</v>
      </c>
      <c r="G114" s="23">
        <v>45862</v>
      </c>
      <c r="H114" s="23">
        <v>45862</v>
      </c>
      <c r="I114" s="4"/>
      <c r="J114" s="20" t="s">
        <v>19</v>
      </c>
      <c r="K114" s="4"/>
      <c r="L114" s="21">
        <v>256779415899</v>
      </c>
      <c r="M114" s="4" t="s">
        <v>20</v>
      </c>
      <c r="N114" s="20">
        <v>1975.32</v>
      </c>
      <c r="O114" s="4" t="s">
        <v>24</v>
      </c>
      <c r="P114" s="24">
        <v>169878.84</v>
      </c>
      <c r="Q114" s="22">
        <v>2948.1454838992095</v>
      </c>
      <c r="R114" s="13">
        <f t="shared" si="4"/>
        <v>166930.69451610078</v>
      </c>
      <c r="S114" s="7" t="s">
        <v>23</v>
      </c>
    </row>
    <row r="115" spans="1:19" x14ac:dyDescent="0.25">
      <c r="A115" s="4" t="s">
        <v>17</v>
      </c>
      <c r="B115" s="4"/>
      <c r="C115" s="4" t="s">
        <v>27</v>
      </c>
      <c r="D115" s="23">
        <v>45862</v>
      </c>
      <c r="E115" s="19">
        <v>1800011143</v>
      </c>
      <c r="F115" s="4" t="s">
        <v>22</v>
      </c>
      <c r="G115" s="23">
        <v>45862</v>
      </c>
      <c r="H115" s="23">
        <v>45862</v>
      </c>
      <c r="I115" s="4"/>
      <c r="J115" s="20" t="s">
        <v>19</v>
      </c>
      <c r="K115" s="4"/>
      <c r="L115" s="21">
        <v>256779415903</v>
      </c>
      <c r="M115" s="4" t="s">
        <v>20</v>
      </c>
      <c r="N115" s="20">
        <v>1975.32</v>
      </c>
      <c r="O115" s="4" t="s">
        <v>24</v>
      </c>
      <c r="P115" s="24">
        <v>169878.84</v>
      </c>
      <c r="Q115" s="22">
        <v>2948.1454838992095</v>
      </c>
      <c r="R115" s="13">
        <f t="shared" si="4"/>
        <v>166930.69451610078</v>
      </c>
      <c r="S115" s="7" t="s">
        <v>23</v>
      </c>
    </row>
    <row r="116" spans="1:19" x14ac:dyDescent="0.25">
      <c r="A116" s="4" t="s">
        <v>17</v>
      </c>
      <c r="B116" s="4"/>
      <c r="C116" s="4" t="s">
        <v>27</v>
      </c>
      <c r="D116" s="23">
        <v>45862</v>
      </c>
      <c r="E116" s="19">
        <v>1800011201</v>
      </c>
      <c r="F116" s="4" t="s">
        <v>22</v>
      </c>
      <c r="G116" s="23">
        <v>45862</v>
      </c>
      <c r="H116" s="23">
        <v>45862</v>
      </c>
      <c r="I116" s="4"/>
      <c r="J116" s="20" t="s">
        <v>19</v>
      </c>
      <c r="K116" s="4"/>
      <c r="L116" s="21">
        <v>256779415947</v>
      </c>
      <c r="M116" s="4" t="s">
        <v>20</v>
      </c>
      <c r="N116" s="20">
        <v>1784.16</v>
      </c>
      <c r="O116" s="4" t="s">
        <v>24</v>
      </c>
      <c r="P116" s="24">
        <v>153438.96</v>
      </c>
      <c r="Q116" s="22">
        <v>2662.9237589157938</v>
      </c>
      <c r="R116" s="13">
        <f t="shared" si="4"/>
        <v>150776.03624108419</v>
      </c>
      <c r="S116" s="7" t="s">
        <v>23</v>
      </c>
    </row>
    <row r="117" spans="1:19" x14ac:dyDescent="0.25">
      <c r="A117" s="4" t="s">
        <v>17</v>
      </c>
      <c r="B117" s="4"/>
      <c r="C117" s="4" t="s">
        <v>27</v>
      </c>
      <c r="D117" s="23">
        <v>45870</v>
      </c>
      <c r="E117" s="19">
        <v>1800011352</v>
      </c>
      <c r="F117" s="4" t="s">
        <v>22</v>
      </c>
      <c r="G117" s="23">
        <v>45870</v>
      </c>
      <c r="H117" s="23">
        <v>45870</v>
      </c>
      <c r="I117" s="4"/>
      <c r="J117" s="20" t="s">
        <v>19</v>
      </c>
      <c r="K117" s="4"/>
      <c r="L117" s="21">
        <v>256779416061</v>
      </c>
      <c r="M117" s="4" t="s">
        <v>20</v>
      </c>
      <c r="N117" s="20">
        <v>1975.32</v>
      </c>
      <c r="O117" s="4" t="s">
        <v>24</v>
      </c>
      <c r="P117" s="24">
        <v>169937.02</v>
      </c>
      <c r="Q117" s="22">
        <v>2948.1454838992095</v>
      </c>
      <c r="R117" s="13">
        <f t="shared" si="4"/>
        <v>166988.87451610077</v>
      </c>
      <c r="S117" s="7" t="s">
        <v>23</v>
      </c>
    </row>
    <row r="118" spans="1:19" x14ac:dyDescent="0.25">
      <c r="A118" s="4" t="s">
        <v>17</v>
      </c>
      <c r="B118" s="4"/>
      <c r="C118" s="4" t="s">
        <v>27</v>
      </c>
      <c r="D118" s="23">
        <v>45877</v>
      </c>
      <c r="E118" s="19">
        <v>1800011521</v>
      </c>
      <c r="F118" s="4" t="s">
        <v>22</v>
      </c>
      <c r="G118" s="23">
        <v>45877</v>
      </c>
      <c r="H118" s="23">
        <v>45877</v>
      </c>
      <c r="I118" s="4"/>
      <c r="J118" s="20" t="s">
        <v>19</v>
      </c>
      <c r="K118" s="4"/>
      <c r="L118" s="21">
        <v>256779416371</v>
      </c>
      <c r="M118" s="4" t="s">
        <v>20</v>
      </c>
      <c r="N118" s="20">
        <v>5310.1799999999994</v>
      </c>
      <c r="O118" s="4" t="s">
        <v>24</v>
      </c>
      <c r="P118" s="24">
        <v>456835.42</v>
      </c>
      <c r="Q118" s="22">
        <v>7836.0309225561014</v>
      </c>
      <c r="R118" s="13">
        <f t="shared" si="4"/>
        <v>448999.38907744386</v>
      </c>
      <c r="S118" s="7" t="s">
        <v>23</v>
      </c>
    </row>
    <row r="119" spans="1:19" x14ac:dyDescent="0.25">
      <c r="A119" s="4" t="s">
        <v>17</v>
      </c>
      <c r="B119" s="4"/>
      <c r="C119" s="4" t="s">
        <v>27</v>
      </c>
      <c r="D119" s="23">
        <v>45877</v>
      </c>
      <c r="E119" s="19">
        <v>1800011522</v>
      </c>
      <c r="F119" s="4" t="s">
        <v>22</v>
      </c>
      <c r="G119" s="23">
        <v>45877</v>
      </c>
      <c r="H119" s="23">
        <v>45877</v>
      </c>
      <c r="I119" s="4"/>
      <c r="J119" s="20" t="s">
        <v>19</v>
      </c>
      <c r="K119" s="4"/>
      <c r="L119" s="21">
        <v>256779416372</v>
      </c>
      <c r="M119" s="4" t="s">
        <v>20</v>
      </c>
      <c r="N119" s="20">
        <v>527.77</v>
      </c>
      <c r="O119" s="4" t="s">
        <v>24</v>
      </c>
      <c r="P119" s="24">
        <v>45404.12</v>
      </c>
      <c r="Q119" s="22">
        <v>786.32639463387693</v>
      </c>
      <c r="R119" s="13">
        <f t="shared" si="4"/>
        <v>44617.793605366125</v>
      </c>
      <c r="S119" s="7" t="s">
        <v>23</v>
      </c>
    </row>
    <row r="120" spans="1:19" x14ac:dyDescent="0.25">
      <c r="A120" s="4" t="s">
        <v>17</v>
      </c>
      <c r="B120" s="4"/>
      <c r="C120" s="4" t="s">
        <v>27</v>
      </c>
      <c r="D120" s="23">
        <v>45877</v>
      </c>
      <c r="E120" s="19">
        <v>1800011523</v>
      </c>
      <c r="F120" s="4" t="s">
        <v>22</v>
      </c>
      <c r="G120" s="23">
        <v>45877</v>
      </c>
      <c r="H120" s="23">
        <v>45877</v>
      </c>
      <c r="I120" s="4"/>
      <c r="J120" s="20" t="s">
        <v>19</v>
      </c>
      <c r="K120" s="4"/>
      <c r="L120" s="21">
        <v>256779416373</v>
      </c>
      <c r="M120" s="4" t="s">
        <v>20</v>
      </c>
      <c r="N120" s="20">
        <v>16.059999999999999</v>
      </c>
      <c r="O120" s="4" t="s">
        <v>24</v>
      </c>
      <c r="P120" s="24">
        <v>1381.64</v>
      </c>
      <c r="Q120" s="22">
        <v>23.762906903103197</v>
      </c>
      <c r="R120" s="13">
        <f t="shared" si="4"/>
        <v>1357.8770930968969</v>
      </c>
      <c r="S120" s="7" t="s">
        <v>23</v>
      </c>
    </row>
    <row r="121" spans="1:19" x14ac:dyDescent="0.25">
      <c r="A121" s="4" t="s">
        <v>17</v>
      </c>
      <c r="B121" s="4"/>
      <c r="C121" s="4" t="s">
        <v>27</v>
      </c>
      <c r="D121" s="23">
        <v>45877</v>
      </c>
      <c r="E121" s="19">
        <v>1800011629</v>
      </c>
      <c r="F121" s="4" t="s">
        <v>22</v>
      </c>
      <c r="G121" s="23">
        <v>45877</v>
      </c>
      <c r="H121" s="23">
        <v>45877</v>
      </c>
      <c r="I121" s="4"/>
      <c r="J121" s="20" t="s">
        <v>19</v>
      </c>
      <c r="K121" s="4"/>
      <c r="L121" s="21">
        <v>256779416479</v>
      </c>
      <c r="M121" s="4" t="s">
        <v>20</v>
      </c>
      <c r="N121" s="20">
        <v>158.37</v>
      </c>
      <c r="O121" s="4" t="s">
        <v>24</v>
      </c>
      <c r="P121" s="24">
        <v>13624.59</v>
      </c>
      <c r="Q121" s="22">
        <v>234.18689362795456</v>
      </c>
      <c r="R121" s="13">
        <f t="shared" si="4"/>
        <v>13390.403106372045</v>
      </c>
      <c r="S121" s="7" t="s">
        <v>23</v>
      </c>
    </row>
    <row r="122" spans="1:19" x14ac:dyDescent="0.25">
      <c r="A122" s="4" t="s">
        <v>17</v>
      </c>
      <c r="B122" s="4"/>
      <c r="C122" s="4" t="s">
        <v>27</v>
      </c>
      <c r="D122" s="23">
        <v>45888</v>
      </c>
      <c r="E122" s="19">
        <v>1800011922</v>
      </c>
      <c r="F122" s="4" t="s">
        <v>22</v>
      </c>
      <c r="G122" s="23">
        <v>45888</v>
      </c>
      <c r="H122" s="23">
        <v>45888</v>
      </c>
      <c r="I122" s="4"/>
      <c r="J122" s="20" t="s">
        <v>19</v>
      </c>
      <c r="K122" s="4"/>
      <c r="L122" s="21">
        <v>256779416572</v>
      </c>
      <c r="M122" s="4" t="s">
        <v>20</v>
      </c>
      <c r="N122" s="20">
        <v>1975.32</v>
      </c>
      <c r="O122" s="4" t="s">
        <v>24</v>
      </c>
      <c r="P122" s="24">
        <v>169937.02</v>
      </c>
      <c r="Q122" s="22">
        <v>2955.3552600382127</v>
      </c>
      <c r="R122" s="13">
        <f t="shared" si="4"/>
        <v>166981.66473996177</v>
      </c>
      <c r="S122" s="7" t="s">
        <v>23</v>
      </c>
    </row>
    <row r="123" spans="1:19" x14ac:dyDescent="0.25">
      <c r="A123" s="4" t="s">
        <v>17</v>
      </c>
      <c r="B123" s="4"/>
      <c r="C123" s="4" t="s">
        <v>27</v>
      </c>
      <c r="D123" s="23">
        <v>45888</v>
      </c>
      <c r="E123" s="19">
        <v>1800011943</v>
      </c>
      <c r="F123" s="4" t="s">
        <v>22</v>
      </c>
      <c r="G123" s="23">
        <v>45888</v>
      </c>
      <c r="H123" s="23">
        <v>45888</v>
      </c>
      <c r="I123" s="4"/>
      <c r="J123" s="20" t="s">
        <v>19</v>
      </c>
      <c r="K123" s="4"/>
      <c r="L123" s="21">
        <v>256779416592</v>
      </c>
      <c r="M123" s="4" t="s">
        <v>20</v>
      </c>
      <c r="N123" s="20">
        <v>1911.6</v>
      </c>
      <c r="O123" s="4" t="s">
        <v>24</v>
      </c>
      <c r="P123" s="24">
        <v>164455.18</v>
      </c>
      <c r="Q123" s="22">
        <v>2860.0454311165854</v>
      </c>
      <c r="R123" s="13">
        <f t="shared" si="4"/>
        <v>161595.1345688834</v>
      </c>
      <c r="S123" s="7" t="s">
        <v>23</v>
      </c>
    </row>
    <row r="124" spans="1:19" x14ac:dyDescent="0.25">
      <c r="A124" s="4" t="s">
        <v>17</v>
      </c>
      <c r="B124" s="4"/>
      <c r="C124" s="4" t="s">
        <v>27</v>
      </c>
      <c r="D124" s="23">
        <v>45889</v>
      </c>
      <c r="E124" s="19">
        <v>1800012072</v>
      </c>
      <c r="F124" s="4" t="s">
        <v>22</v>
      </c>
      <c r="G124" s="23">
        <v>45889</v>
      </c>
      <c r="H124" s="23">
        <v>45889</v>
      </c>
      <c r="I124" s="4"/>
      <c r="J124" s="20" t="s">
        <v>19</v>
      </c>
      <c r="K124" s="4"/>
      <c r="L124" s="21">
        <v>256779416763</v>
      </c>
      <c r="M124" s="4" t="s">
        <v>20</v>
      </c>
      <c r="N124" s="20">
        <v>129.80000000000001</v>
      </c>
      <c r="O124" s="4" t="s">
        <v>24</v>
      </c>
      <c r="P124" s="24">
        <v>11166.71</v>
      </c>
      <c r="Q124" s="22">
        <v>195.02232384983219</v>
      </c>
      <c r="R124" s="13">
        <f t="shared" si="4"/>
        <v>10971.687676150166</v>
      </c>
      <c r="S124" s="7" t="s">
        <v>23</v>
      </c>
    </row>
    <row r="125" spans="1:19" x14ac:dyDescent="0.25">
      <c r="A125" s="4" t="s">
        <v>17</v>
      </c>
      <c r="B125" s="4"/>
      <c r="C125" s="4" t="s">
        <v>27</v>
      </c>
      <c r="D125" s="23">
        <v>45889</v>
      </c>
      <c r="E125" s="19">
        <v>1800012108</v>
      </c>
      <c r="F125" s="4" t="s">
        <v>22</v>
      </c>
      <c r="G125" s="23">
        <v>45889</v>
      </c>
      <c r="H125" s="23">
        <v>45889</v>
      </c>
      <c r="I125" s="4"/>
      <c r="J125" s="20" t="s">
        <v>19</v>
      </c>
      <c r="K125" s="4"/>
      <c r="L125" s="21">
        <v>256779416658</v>
      </c>
      <c r="M125" s="4" t="s">
        <v>20</v>
      </c>
      <c r="N125" s="20">
        <v>4890.5499999999993</v>
      </c>
      <c r="O125" s="4" t="s">
        <v>24</v>
      </c>
      <c r="P125" s="24">
        <v>420734.6</v>
      </c>
      <c r="Q125" s="22">
        <v>7296.8511858367183</v>
      </c>
      <c r="R125" s="13">
        <f t="shared" si="4"/>
        <v>413437.74881416326</v>
      </c>
      <c r="S125" s="7" t="s">
        <v>23</v>
      </c>
    </row>
    <row r="126" spans="1:19" x14ac:dyDescent="0.25">
      <c r="A126" s="4" t="s">
        <v>17</v>
      </c>
      <c r="B126" s="4"/>
      <c r="C126" s="4" t="s">
        <v>27</v>
      </c>
      <c r="D126" s="23">
        <v>45889</v>
      </c>
      <c r="E126" s="19">
        <v>1800012109</v>
      </c>
      <c r="F126" s="4" t="s">
        <v>22</v>
      </c>
      <c r="G126" s="23">
        <v>45889</v>
      </c>
      <c r="H126" s="23">
        <v>45889</v>
      </c>
      <c r="I126" s="4"/>
      <c r="J126" s="20" t="s">
        <v>19</v>
      </c>
      <c r="K126" s="4"/>
      <c r="L126" s="21">
        <v>256779416659</v>
      </c>
      <c r="M126" s="4" t="s">
        <v>20</v>
      </c>
      <c r="N126" s="20">
        <v>106.54</v>
      </c>
      <c r="O126" s="4" t="s">
        <v>24</v>
      </c>
      <c r="P126" s="24">
        <v>9165.65</v>
      </c>
      <c r="Q126" s="22">
        <v>159.3410073522393</v>
      </c>
      <c r="R126" s="13">
        <f t="shared" si="4"/>
        <v>9006.3089926477605</v>
      </c>
      <c r="S126" s="7" t="s">
        <v>23</v>
      </c>
    </row>
    <row r="127" spans="1:19" x14ac:dyDescent="0.25">
      <c r="A127" s="4" t="s">
        <v>17</v>
      </c>
      <c r="B127" s="4"/>
      <c r="C127" s="4" t="s">
        <v>27</v>
      </c>
      <c r="D127" s="23">
        <v>45889</v>
      </c>
      <c r="E127" s="19">
        <v>1800012110</v>
      </c>
      <c r="F127" s="4" t="s">
        <v>22</v>
      </c>
      <c r="G127" s="23">
        <v>45889</v>
      </c>
      <c r="H127" s="23">
        <v>45889</v>
      </c>
      <c r="I127" s="4"/>
      <c r="J127" s="20" t="s">
        <v>19</v>
      </c>
      <c r="K127" s="4"/>
      <c r="L127" s="21">
        <v>256779416660</v>
      </c>
      <c r="M127" s="4" t="s">
        <v>20</v>
      </c>
      <c r="N127" s="20">
        <v>8.6999999999999993</v>
      </c>
      <c r="O127" s="4" t="s">
        <v>24</v>
      </c>
      <c r="P127" s="24">
        <v>748.46</v>
      </c>
      <c r="Q127" s="22">
        <v>13.208421052631452</v>
      </c>
      <c r="R127" s="13">
        <f t="shared" si="4"/>
        <v>735.25157894736856</v>
      </c>
      <c r="S127" s="7" t="s">
        <v>23</v>
      </c>
    </row>
    <row r="128" spans="1:19" x14ac:dyDescent="0.25">
      <c r="A128" s="4" t="s">
        <v>17</v>
      </c>
      <c r="B128" s="4"/>
      <c r="C128" s="4" t="s">
        <v>27</v>
      </c>
      <c r="D128" s="23">
        <v>45901</v>
      </c>
      <c r="E128" s="19">
        <v>1800012266</v>
      </c>
      <c r="F128" s="4" t="s">
        <v>22</v>
      </c>
      <c r="G128" s="23">
        <v>45901</v>
      </c>
      <c r="H128" s="23">
        <v>45901</v>
      </c>
      <c r="I128" s="4"/>
      <c r="J128" s="20" t="s">
        <v>19</v>
      </c>
      <c r="K128" s="4"/>
      <c r="L128" s="21">
        <v>256779416902</v>
      </c>
      <c r="M128" s="4" t="s">
        <v>20</v>
      </c>
      <c r="N128" s="20">
        <v>4952.01</v>
      </c>
      <c r="O128" s="4" t="s">
        <v>24</v>
      </c>
      <c r="P128" s="24">
        <v>433371.84</v>
      </c>
      <c r="Q128" s="22">
        <v>7400.1836582465367</v>
      </c>
      <c r="R128" s="13">
        <f t="shared" si="4"/>
        <v>425971.65634175349</v>
      </c>
      <c r="S128" s="7" t="s">
        <v>23</v>
      </c>
    </row>
    <row r="129" spans="1:19" x14ac:dyDescent="0.25">
      <c r="A129" s="4" t="s">
        <v>17</v>
      </c>
      <c r="B129" s="4"/>
      <c r="C129" s="4" t="s">
        <v>27</v>
      </c>
      <c r="D129" s="23">
        <v>45901</v>
      </c>
      <c r="E129" s="19">
        <v>1800012267</v>
      </c>
      <c r="F129" s="4" t="s">
        <v>22</v>
      </c>
      <c r="G129" s="23">
        <v>45901</v>
      </c>
      <c r="H129" s="23">
        <v>45901</v>
      </c>
      <c r="I129" s="4"/>
      <c r="J129" s="20" t="s">
        <v>19</v>
      </c>
      <c r="K129" s="4"/>
      <c r="L129" s="21">
        <v>256779416903</v>
      </c>
      <c r="M129" s="4" t="s">
        <v>20</v>
      </c>
      <c r="N129" s="20">
        <v>214.51</v>
      </c>
      <c r="O129" s="4" t="s">
        <v>24</v>
      </c>
      <c r="P129" s="24">
        <v>18772.7</v>
      </c>
      <c r="Q129" s="22">
        <v>320.90120548204936</v>
      </c>
      <c r="R129" s="13">
        <f t="shared" si="4"/>
        <v>18451.798794517952</v>
      </c>
      <c r="S129" s="7" t="s">
        <v>23</v>
      </c>
    </row>
    <row r="130" spans="1:19" s="17" customFormat="1" x14ac:dyDescent="0.25">
      <c r="A130" s="16" t="s">
        <v>17</v>
      </c>
      <c r="B130" s="16"/>
      <c r="C130" s="16" t="s">
        <v>27</v>
      </c>
      <c r="D130" s="25"/>
      <c r="E130" s="26"/>
      <c r="F130" s="16"/>
      <c r="G130" s="25"/>
      <c r="H130" s="25"/>
      <c r="I130" s="16"/>
      <c r="J130" s="27"/>
      <c r="K130" s="16"/>
      <c r="L130" s="28">
        <v>246788410023</v>
      </c>
      <c r="M130" s="16"/>
      <c r="N130" s="29"/>
      <c r="O130" s="15" t="s">
        <v>24</v>
      </c>
      <c r="P130" s="30"/>
      <c r="Q130" s="31"/>
      <c r="R130" s="18">
        <v>170940.5</v>
      </c>
      <c r="S130" s="15" t="s">
        <v>29</v>
      </c>
    </row>
    <row r="131" spans="1:19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 t="s">
        <v>15</v>
      </c>
      <c r="M131" s="9" t="s">
        <v>20</v>
      </c>
      <c r="N131" s="11">
        <f>SUM(N109:N129)</f>
        <v>44568.560000000005</v>
      </c>
      <c r="O131" s="11"/>
      <c r="P131" s="11"/>
      <c r="Q131" s="9"/>
      <c r="R131" s="11">
        <f>SUM(R109:R130)</f>
        <v>-78937.428934803553</v>
      </c>
      <c r="S131" s="9" t="s">
        <v>28</v>
      </c>
    </row>
    <row r="134" spans="1:19" ht="52.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2" t="s">
        <v>5</v>
      </c>
      <c r="G134" s="1" t="s">
        <v>6</v>
      </c>
      <c r="H134" s="1" t="s">
        <v>7</v>
      </c>
      <c r="I134" s="1" t="s">
        <v>8</v>
      </c>
      <c r="J134" s="1" t="s">
        <v>9</v>
      </c>
      <c r="K134" s="1" t="s">
        <v>10</v>
      </c>
      <c r="L134" s="1" t="s">
        <v>11</v>
      </c>
      <c r="M134" s="2" t="s">
        <v>12</v>
      </c>
      <c r="N134" s="2" t="s">
        <v>13</v>
      </c>
      <c r="O134" s="2" t="s">
        <v>26</v>
      </c>
      <c r="P134" s="2" t="s">
        <v>25</v>
      </c>
      <c r="Q134" s="2" t="s">
        <v>14</v>
      </c>
      <c r="R134" s="2" t="s">
        <v>15</v>
      </c>
      <c r="S134" s="2" t="s">
        <v>16</v>
      </c>
    </row>
    <row r="135" spans="1:19" x14ac:dyDescent="0.25">
      <c r="A135" s="4" t="s">
        <v>17</v>
      </c>
      <c r="B135" s="4"/>
      <c r="C135" s="4" t="s">
        <v>27</v>
      </c>
      <c r="D135" s="23">
        <v>46030</v>
      </c>
      <c r="E135" s="19">
        <v>1400002414</v>
      </c>
      <c r="F135" s="4" t="s">
        <v>18</v>
      </c>
      <c r="G135" s="23">
        <v>46030</v>
      </c>
      <c r="H135" s="23">
        <v>46030</v>
      </c>
      <c r="I135" s="4"/>
      <c r="J135" s="20" t="s">
        <v>19</v>
      </c>
      <c r="K135" s="4"/>
      <c r="L135" s="4"/>
      <c r="M135" s="4"/>
      <c r="N135" s="4"/>
      <c r="O135" s="4" t="s">
        <v>24</v>
      </c>
      <c r="P135" s="12">
        <v>-351861.26</v>
      </c>
      <c r="Q135" s="4"/>
      <c r="R135" s="13">
        <f>P135</f>
        <v>-351861.26</v>
      </c>
      <c r="S135" s="7" t="s">
        <v>21</v>
      </c>
    </row>
    <row r="136" spans="1:19" x14ac:dyDescent="0.25">
      <c r="A136" s="4" t="s">
        <v>17</v>
      </c>
      <c r="B136" s="4"/>
      <c r="C136" s="4" t="s">
        <v>27</v>
      </c>
      <c r="D136" s="23">
        <v>45916</v>
      </c>
      <c r="E136" s="19">
        <v>1800012760</v>
      </c>
      <c r="F136" s="4" t="s">
        <v>22</v>
      </c>
      <c r="G136" s="23">
        <v>45916</v>
      </c>
      <c r="H136" s="23">
        <v>45916</v>
      </c>
      <c r="I136" s="4"/>
      <c r="J136" s="20" t="s">
        <v>19</v>
      </c>
      <c r="K136" s="4"/>
      <c r="L136" s="21">
        <v>256779417393</v>
      </c>
      <c r="M136" s="4" t="s">
        <v>20</v>
      </c>
      <c r="N136" s="20">
        <v>3871.03</v>
      </c>
      <c r="O136" s="4" t="s">
        <v>24</v>
      </c>
      <c r="P136" s="24">
        <v>338770.6</v>
      </c>
      <c r="Q136" s="22">
        <v>5826.2238452624342</v>
      </c>
      <c r="R136" s="13">
        <f>P136-Q136</f>
        <v>332944.37615473755</v>
      </c>
      <c r="S136" s="14" t="s">
        <v>23</v>
      </c>
    </row>
    <row r="137" spans="1:19" x14ac:dyDescent="0.25">
      <c r="A137" s="4" t="s">
        <v>17</v>
      </c>
      <c r="B137" s="4"/>
      <c r="C137" s="4" t="s">
        <v>27</v>
      </c>
      <c r="D137" s="23">
        <v>45917</v>
      </c>
      <c r="E137" s="19">
        <v>1800012763</v>
      </c>
      <c r="F137" s="4" t="s">
        <v>22</v>
      </c>
      <c r="G137" s="23">
        <v>45917</v>
      </c>
      <c r="H137" s="23">
        <v>45917</v>
      </c>
      <c r="I137" s="4"/>
      <c r="J137" s="20" t="s">
        <v>19</v>
      </c>
      <c r="K137" s="4"/>
      <c r="L137" s="21">
        <v>256779417397</v>
      </c>
      <c r="M137" s="4" t="s">
        <v>20</v>
      </c>
      <c r="N137" s="20">
        <v>30.75</v>
      </c>
      <c r="O137" s="4" t="s">
        <v>24</v>
      </c>
      <c r="P137" s="24">
        <v>2691.07</v>
      </c>
      <c r="Q137" s="22">
        <v>47.058457974851187</v>
      </c>
      <c r="R137" s="13">
        <f t="shared" ref="R137:R138" si="5">P137-Q137</f>
        <v>2644.0115420251491</v>
      </c>
      <c r="S137" s="14" t="s">
        <v>23</v>
      </c>
    </row>
    <row r="138" spans="1:19" x14ac:dyDescent="0.25">
      <c r="A138" s="4" t="s">
        <v>17</v>
      </c>
      <c r="B138" s="4"/>
      <c r="C138" s="4" t="s">
        <v>27</v>
      </c>
      <c r="D138" s="23">
        <v>45931</v>
      </c>
      <c r="E138" s="19">
        <v>1800013212</v>
      </c>
      <c r="F138" s="4" t="s">
        <v>22</v>
      </c>
      <c r="G138" s="23">
        <v>45931</v>
      </c>
      <c r="H138" s="23">
        <v>45931</v>
      </c>
      <c r="I138" s="4"/>
      <c r="J138" s="20" t="s">
        <v>19</v>
      </c>
      <c r="K138" s="4"/>
      <c r="L138" s="21">
        <v>256779417828</v>
      </c>
      <c r="M138" s="4" t="s">
        <v>20</v>
      </c>
      <c r="N138" s="20">
        <v>129.80000000000001</v>
      </c>
      <c r="O138" s="4" t="s">
        <v>24</v>
      </c>
      <c r="P138" s="24">
        <v>11447.16</v>
      </c>
      <c r="Q138" s="22">
        <v>194.92913793103597</v>
      </c>
      <c r="R138" s="13">
        <f t="shared" si="5"/>
        <v>11252.230862068964</v>
      </c>
      <c r="S138" s="14" t="s">
        <v>23</v>
      </c>
    </row>
    <row r="139" spans="1:19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 t="s">
        <v>15</v>
      </c>
      <c r="M139" s="9" t="s">
        <v>20</v>
      </c>
      <c r="N139" s="11">
        <f>SUM(N135:N138)</f>
        <v>4031.5800000000004</v>
      </c>
      <c r="O139" s="11"/>
      <c r="P139" s="11"/>
      <c r="Q139" s="9"/>
      <c r="R139" s="11">
        <f>SUM(R135:R138)</f>
        <v>-5020.641441168349</v>
      </c>
      <c r="S139" s="9" t="s">
        <v>28</v>
      </c>
    </row>
  </sheetData>
  <autoFilter ref="A1:S56" xr:uid="{9A64DEA2-5E90-4A7E-AC04-18C4F62A05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Achal Thakkar</cp:lastModifiedBy>
  <dcterms:created xsi:type="dcterms:W3CDTF">2026-01-19T10:42:57Z</dcterms:created>
  <dcterms:modified xsi:type="dcterms:W3CDTF">2026-03-30T15:03:18Z</dcterms:modified>
</cp:coreProperties>
</file>