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"/>
    </mc:Choice>
  </mc:AlternateContent>
  <xr:revisionPtr revIDLastSave="0" documentId="13_ncr:1_{36444CCF-0FC2-4A5A-B372-13ECE61FF91E}" xr6:coauthVersionLast="47" xr6:coauthVersionMax="47" xr10:uidLastSave="{00000000-0000-0000-0000-000000000000}"/>
  <bookViews>
    <workbookView xWindow="-108" yWindow="-108" windowWidth="23256" windowHeight="12576" tabRatio="930" firstSheet="1" activeTab="6" xr2:uid="{7F7B4C4D-38AB-4714-A3D1-E7713D2E7DAE}"/>
  </bookViews>
  <sheets>
    <sheet name="Summary" sheetId="11" r:id="rId1"/>
    <sheet name="Sheet5" sheetId="9" r:id="rId2"/>
    <sheet name="Sheet3" sheetId="7" state="hidden" r:id="rId3"/>
    <sheet name="Sheet4" sheetId="8" state="hidden" r:id="rId4"/>
    <sheet name="Payment Reco Updated" sheetId="18" r:id="rId5"/>
    <sheet name="Sheet8" sheetId="22" state="hidden" r:id="rId6"/>
    <sheet name="Ascendus Data" sheetId="2" r:id="rId7"/>
    <sheet name="Customer data" sheetId="1" r:id="rId8"/>
    <sheet name="Paym Updated" sheetId="19" r:id="rId9"/>
    <sheet name="Payment Reco" sheetId="3" r:id="rId10"/>
    <sheet name="TDS data" sheetId="10" r:id="rId11"/>
    <sheet name="Sheet2" sheetId="6" state="hidden" r:id="rId12"/>
    <sheet name="Duplicate CN in Ascenudes Books" sheetId="16" r:id="rId13"/>
    <sheet name="Difference in Invoice value  " sheetId="12" r:id="rId14"/>
    <sheet name="Credit Note in customers books" sheetId="17" r:id="rId15"/>
    <sheet name="Customer data Vlookup" sheetId="14" r:id="rId16"/>
  </sheets>
  <definedNames>
    <definedName name="_xlnm._FilterDatabase" localSheetId="6" hidden="1">'Ascendus Data'!$A$2:$AO$337</definedName>
    <definedName name="_xlnm._FilterDatabase" localSheetId="7" hidden="1">'Customer data'!$A$1:$R$188</definedName>
    <definedName name="_xlnm._FilterDatabase" localSheetId="15" hidden="1">'Customer data Vlookup'!$B$3:$I$127</definedName>
    <definedName name="_xlnm._FilterDatabase" localSheetId="9" hidden="1">'Payment Reco'!$A$3:$C$93</definedName>
    <definedName name="_xlnm._FilterDatabase" localSheetId="4" hidden="1">'Payment Reco Updated'!$A$3:$I$31</definedName>
    <definedName name="_xlnm._FilterDatabase" localSheetId="11" hidden="1">Sheet2!$J$1:$R$40</definedName>
    <definedName name="_xlnm._FilterDatabase" localSheetId="2" hidden="1">Sheet3!$A$1:$C$1</definedName>
    <definedName name="_xlnm._FilterDatabase" localSheetId="10" hidden="1">'TDS data'!$A$2:$J$2</definedName>
  </definedNames>
  <calcPr calcId="191029"/>
  <pivotCaches>
    <pivotCache cacheId="10" r:id="rId17"/>
    <pivotCache cacheId="11" r:id="rId18"/>
    <pivotCache cacheId="12" r:id="rId19"/>
    <pivotCache cacheId="1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18" l="1"/>
  <c r="AO336" i="2"/>
  <c r="AO335" i="2"/>
  <c r="AO334" i="2"/>
  <c r="AO333" i="2"/>
  <c r="AO332" i="2"/>
  <c r="AO331" i="2"/>
  <c r="AO330" i="2"/>
  <c r="AO329" i="2"/>
  <c r="AO328" i="2"/>
  <c r="AO327" i="2"/>
  <c r="AO326" i="2"/>
  <c r="AO325" i="2"/>
  <c r="AO324" i="2"/>
  <c r="AO323" i="2"/>
  <c r="AO322" i="2"/>
  <c r="AO321" i="2"/>
  <c r="AO320" i="2"/>
  <c r="AO319" i="2"/>
  <c r="AO318" i="2"/>
  <c r="AO317" i="2"/>
  <c r="AO316" i="2"/>
  <c r="AO315" i="2"/>
  <c r="AO314" i="2"/>
  <c r="AO313" i="2"/>
  <c r="AO312" i="2"/>
  <c r="AO311" i="2"/>
  <c r="AO310" i="2"/>
  <c r="AO309" i="2"/>
  <c r="AO308" i="2"/>
  <c r="AO307" i="2"/>
  <c r="AO306" i="2"/>
  <c r="AO305" i="2"/>
  <c r="AO304" i="2"/>
  <c r="AO303" i="2"/>
  <c r="AO302" i="2"/>
  <c r="AO301" i="2"/>
  <c r="AO300" i="2"/>
  <c r="AO299" i="2"/>
  <c r="AO298" i="2"/>
  <c r="AO297" i="2"/>
  <c r="AO296" i="2"/>
  <c r="AO295" i="2"/>
  <c r="AO294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G30" i="18"/>
  <c r="I30" i="18" s="1"/>
  <c r="G29" i="18"/>
  <c r="I29" i="18" s="1"/>
  <c r="G28" i="18"/>
  <c r="H28" i="18" s="1"/>
  <c r="G27" i="18"/>
  <c r="H27" i="18" s="1"/>
  <c r="G26" i="18"/>
  <c r="H26" i="18" s="1"/>
  <c r="G25" i="18"/>
  <c r="H25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G18" i="18"/>
  <c r="H18" i="18" s="1"/>
  <c r="G17" i="18"/>
  <c r="H17" i="18" s="1"/>
  <c r="G16" i="18"/>
  <c r="H16" i="18" s="1"/>
  <c r="G15" i="18"/>
  <c r="H15" i="18" s="1"/>
  <c r="G14" i="18"/>
  <c r="H14" i="18" s="1"/>
  <c r="G13" i="18"/>
  <c r="H13" i="18" s="1"/>
  <c r="G12" i="18"/>
  <c r="G11" i="18"/>
  <c r="G10" i="18"/>
  <c r="H10" i="18" s="1"/>
  <c r="G9" i="18"/>
  <c r="H9" i="18" s="1"/>
  <c r="H8" i="18"/>
  <c r="G7" i="18"/>
  <c r="H7" i="18" s="1"/>
  <c r="G6" i="18"/>
  <c r="H6" i="18" s="1"/>
  <c r="G5" i="18"/>
  <c r="G4" i="18"/>
  <c r="H4" i="18" s="1"/>
  <c r="H12" i="18"/>
  <c r="H11" i="18"/>
  <c r="H19" i="18"/>
  <c r="H5" i="18"/>
  <c r="H30" i="18" l="1"/>
  <c r="H29" i="18"/>
  <c r="G1" i="3"/>
  <c r="B1" i="3"/>
  <c r="I127" i="14"/>
  <c r="J127" i="14" s="1"/>
  <c r="I126" i="14"/>
  <c r="J126" i="14" s="1"/>
  <c r="I125" i="14"/>
  <c r="J125" i="14" s="1"/>
  <c r="I124" i="14"/>
  <c r="J124" i="14" s="1"/>
  <c r="I123" i="14"/>
  <c r="J123" i="14" s="1"/>
  <c r="I122" i="14"/>
  <c r="J122" i="14" s="1"/>
  <c r="I121" i="14"/>
  <c r="J121" i="14" s="1"/>
  <c r="I120" i="14"/>
  <c r="J120" i="14" s="1"/>
  <c r="I119" i="14"/>
  <c r="J119" i="14" s="1"/>
  <c r="I118" i="14"/>
  <c r="J118" i="14" s="1"/>
  <c r="I117" i="14"/>
  <c r="J117" i="14" s="1"/>
  <c r="I116" i="14"/>
  <c r="J116" i="14" s="1"/>
  <c r="I115" i="14"/>
  <c r="J115" i="14" s="1"/>
  <c r="I114" i="14"/>
  <c r="J114" i="14" s="1"/>
  <c r="I113" i="14"/>
  <c r="J113" i="14" s="1"/>
  <c r="I112" i="14"/>
  <c r="J112" i="14" s="1"/>
  <c r="I111" i="14"/>
  <c r="J111" i="14" s="1"/>
  <c r="I110" i="14"/>
  <c r="J110" i="14" s="1"/>
  <c r="I109" i="14"/>
  <c r="J109" i="14" s="1"/>
  <c r="I108" i="14"/>
  <c r="J108" i="14" s="1"/>
  <c r="I107" i="14"/>
  <c r="J107" i="14" s="1"/>
  <c r="I106" i="14"/>
  <c r="J106" i="14" s="1"/>
  <c r="I105" i="14"/>
  <c r="J105" i="14" s="1"/>
  <c r="I104" i="14"/>
  <c r="J104" i="14" s="1"/>
  <c r="I103" i="14"/>
  <c r="J103" i="14" s="1"/>
  <c r="I102" i="14"/>
  <c r="J102" i="14" s="1"/>
  <c r="I101" i="14"/>
  <c r="J101" i="14" s="1"/>
  <c r="I100" i="14"/>
  <c r="J100" i="14" s="1"/>
  <c r="I99" i="14"/>
  <c r="J99" i="14" s="1"/>
  <c r="I98" i="14"/>
  <c r="J98" i="14" s="1"/>
  <c r="I97" i="14"/>
  <c r="J97" i="14" s="1"/>
  <c r="I96" i="14"/>
  <c r="J96" i="14" s="1"/>
  <c r="I95" i="14"/>
  <c r="J95" i="14" s="1"/>
  <c r="I94" i="14"/>
  <c r="J94" i="14" s="1"/>
  <c r="I93" i="14"/>
  <c r="J93" i="14" s="1"/>
  <c r="I92" i="14"/>
  <c r="J92" i="14" s="1"/>
  <c r="I91" i="14"/>
  <c r="J91" i="14" s="1"/>
  <c r="I90" i="14"/>
  <c r="J90" i="14" s="1"/>
  <c r="I89" i="14"/>
  <c r="J89" i="14" s="1"/>
  <c r="I88" i="14"/>
  <c r="J88" i="14" s="1"/>
  <c r="I87" i="14"/>
  <c r="J87" i="14" s="1"/>
  <c r="I86" i="14"/>
  <c r="J86" i="14" s="1"/>
  <c r="I85" i="14"/>
  <c r="J85" i="14" s="1"/>
  <c r="I84" i="14"/>
  <c r="J84" i="14" s="1"/>
  <c r="I83" i="14"/>
  <c r="J83" i="14" s="1"/>
  <c r="I82" i="14"/>
  <c r="J82" i="14" s="1"/>
  <c r="I81" i="14"/>
  <c r="J81" i="14" s="1"/>
  <c r="I80" i="14"/>
  <c r="J80" i="14" s="1"/>
  <c r="I79" i="14"/>
  <c r="J79" i="14" s="1"/>
  <c r="I78" i="14"/>
  <c r="J78" i="14" s="1"/>
  <c r="I77" i="14"/>
  <c r="J77" i="14" s="1"/>
  <c r="I76" i="14"/>
  <c r="J76" i="14" s="1"/>
  <c r="I75" i="14"/>
  <c r="J75" i="14" s="1"/>
  <c r="I74" i="14"/>
  <c r="J74" i="14" s="1"/>
  <c r="I73" i="14"/>
  <c r="J73" i="14" s="1"/>
  <c r="I72" i="14"/>
  <c r="J72" i="14" s="1"/>
  <c r="I71" i="14"/>
  <c r="J71" i="14" s="1"/>
  <c r="I70" i="14"/>
  <c r="J70" i="14" s="1"/>
  <c r="I69" i="14"/>
  <c r="J69" i="14" s="1"/>
  <c r="I68" i="14"/>
  <c r="J68" i="14" s="1"/>
  <c r="I67" i="14"/>
  <c r="J67" i="14" s="1"/>
  <c r="I66" i="14"/>
  <c r="J66" i="14" s="1"/>
  <c r="I65" i="14"/>
  <c r="J65" i="14" s="1"/>
  <c r="I64" i="14"/>
  <c r="J64" i="14" s="1"/>
  <c r="I63" i="14"/>
  <c r="J63" i="14" s="1"/>
  <c r="I62" i="14"/>
  <c r="J62" i="14" s="1"/>
  <c r="I61" i="14"/>
  <c r="J61" i="14" s="1"/>
  <c r="I60" i="14"/>
  <c r="J60" i="14" s="1"/>
  <c r="I59" i="14"/>
  <c r="J59" i="14" s="1"/>
  <c r="I58" i="14"/>
  <c r="J58" i="14" s="1"/>
  <c r="I57" i="14"/>
  <c r="J57" i="14" s="1"/>
  <c r="I56" i="14"/>
  <c r="J56" i="14" s="1"/>
  <c r="I55" i="14"/>
  <c r="J55" i="14" s="1"/>
  <c r="I54" i="14"/>
  <c r="J54" i="14" s="1"/>
  <c r="I53" i="14"/>
  <c r="J53" i="14" s="1"/>
  <c r="I52" i="14"/>
  <c r="J52" i="14" s="1"/>
  <c r="I51" i="14"/>
  <c r="J51" i="14" s="1"/>
  <c r="I50" i="14"/>
  <c r="J50" i="14" s="1"/>
  <c r="I49" i="14"/>
  <c r="J49" i="14" s="1"/>
  <c r="I48" i="14"/>
  <c r="J48" i="14" s="1"/>
  <c r="I47" i="14"/>
  <c r="J47" i="14" s="1"/>
  <c r="I46" i="14"/>
  <c r="J46" i="14" s="1"/>
  <c r="I45" i="14"/>
  <c r="J45" i="14" s="1"/>
  <c r="I44" i="14"/>
  <c r="J44" i="14" s="1"/>
  <c r="I43" i="14"/>
  <c r="J43" i="14" s="1"/>
  <c r="I42" i="14"/>
  <c r="J42" i="14" s="1"/>
  <c r="I41" i="14"/>
  <c r="J41" i="14" s="1"/>
  <c r="I40" i="14"/>
  <c r="J40" i="14" s="1"/>
  <c r="I39" i="14"/>
  <c r="J39" i="14" s="1"/>
  <c r="I38" i="14"/>
  <c r="J38" i="14" s="1"/>
  <c r="I37" i="14"/>
  <c r="J37" i="14" s="1"/>
  <c r="I36" i="14"/>
  <c r="J36" i="14" s="1"/>
  <c r="I35" i="14"/>
  <c r="J35" i="14" s="1"/>
  <c r="I34" i="14"/>
  <c r="J34" i="14" s="1"/>
  <c r="I33" i="14"/>
  <c r="J33" i="14" s="1"/>
  <c r="I32" i="14"/>
  <c r="J32" i="14" s="1"/>
  <c r="I31" i="14"/>
  <c r="J31" i="14" s="1"/>
  <c r="I30" i="14"/>
  <c r="J30" i="14" s="1"/>
  <c r="I29" i="14"/>
  <c r="J29" i="14" s="1"/>
  <c r="I28" i="14"/>
  <c r="J28" i="14" s="1"/>
  <c r="I27" i="14"/>
  <c r="J27" i="14" s="1"/>
  <c r="I26" i="14"/>
  <c r="J26" i="14" s="1"/>
  <c r="I25" i="14"/>
  <c r="J25" i="14" s="1"/>
  <c r="I24" i="14"/>
  <c r="J24" i="14" s="1"/>
  <c r="I23" i="14"/>
  <c r="J23" i="14" s="1"/>
  <c r="I22" i="14"/>
  <c r="J22" i="14" s="1"/>
  <c r="I21" i="14"/>
  <c r="J21" i="14" s="1"/>
  <c r="I20" i="14"/>
  <c r="J20" i="14" s="1"/>
  <c r="I19" i="14"/>
  <c r="J19" i="14" s="1"/>
  <c r="I18" i="14"/>
  <c r="J18" i="14" s="1"/>
  <c r="I17" i="14"/>
  <c r="J17" i="14" s="1"/>
  <c r="I16" i="14"/>
  <c r="J16" i="14" s="1"/>
  <c r="I15" i="14"/>
  <c r="J15" i="14" s="1"/>
  <c r="I14" i="14"/>
  <c r="J14" i="14" s="1"/>
  <c r="I13" i="14"/>
  <c r="J13" i="14" s="1"/>
  <c r="I12" i="14"/>
  <c r="J12" i="14" s="1"/>
  <c r="I11" i="14"/>
  <c r="J11" i="14" s="1"/>
  <c r="I10" i="14"/>
  <c r="J10" i="14" s="1"/>
  <c r="I9" i="14"/>
  <c r="J9" i="14" s="1"/>
  <c r="I8" i="14"/>
  <c r="J8" i="14" s="1"/>
  <c r="I7" i="14"/>
  <c r="J7" i="14" s="1"/>
  <c r="I6" i="14"/>
  <c r="J6" i="14" s="1"/>
  <c r="I5" i="14"/>
  <c r="J5" i="14" s="1"/>
  <c r="I4" i="14"/>
  <c r="J4" i="14" s="1"/>
  <c r="M1" i="3"/>
  <c r="M4" i="12"/>
  <c r="J7" i="12" a="1"/>
  <c r="J7" i="12" s="1"/>
  <c r="L7" i="12" s="1"/>
  <c r="J6" i="12" a="1"/>
  <c r="J6" i="12" s="1"/>
  <c r="L6" i="12" s="1"/>
  <c r="J5" i="12" a="1"/>
  <c r="J5" i="12" s="1"/>
  <c r="L5" i="12" s="1"/>
  <c r="J4" i="12" a="1"/>
  <c r="J4" i="12" s="1"/>
  <c r="L4" i="12" s="1"/>
  <c r="B8" i="11"/>
  <c r="B6" i="11"/>
  <c r="L5" i="17"/>
  <c r="J3" i="14" l="1"/>
  <c r="M5" i="12"/>
  <c r="M6" i="12"/>
  <c r="M7" i="12"/>
  <c r="L8" i="12"/>
  <c r="B7" i="11" s="1"/>
  <c r="AH4" i="2" a="1"/>
  <c r="AH4" i="2" s="1"/>
  <c r="AH3" i="2" a="1"/>
  <c r="AH3" i="2" s="1"/>
  <c r="AH6" i="2" a="1"/>
  <c r="AH5" i="2" a="1"/>
  <c r="AH13" i="2" a="1"/>
  <c r="AH12" i="2" a="1"/>
  <c r="AH78" i="2" a="1"/>
  <c r="AH78" i="2" s="1"/>
  <c r="AH11" i="2" a="1"/>
  <c r="AH11" i="2" s="1"/>
  <c r="AH17" i="2" a="1"/>
  <c r="AH17" i="2" s="1"/>
  <c r="AH10" i="2" a="1"/>
  <c r="AH10" i="2" s="1"/>
  <c r="AH9" i="2" a="1"/>
  <c r="AH9" i="2" s="1"/>
  <c r="AH8" i="2" a="1"/>
  <c r="AH8" i="2" s="1"/>
  <c r="AH20" i="2" a="1"/>
  <c r="AH20" i="2" s="1"/>
  <c r="AH7" i="2" a="1"/>
  <c r="AH7" i="2" s="1"/>
  <c r="AH14" i="2" a="1"/>
  <c r="AH14" i="2" s="1"/>
  <c r="AH16" i="2" a="1"/>
  <c r="AH15" i="2" a="1"/>
  <c r="AH53" i="2" a="1"/>
  <c r="AH43" i="2" a="1"/>
  <c r="AH144" i="2" a="1"/>
  <c r="AH144" i="2" s="1"/>
  <c r="AH205" i="2" a="1"/>
  <c r="AH205" i="2" s="1"/>
  <c r="AH206" i="2" a="1"/>
  <c r="AH206" i="2" s="1"/>
  <c r="AH249" i="2" a="1"/>
  <c r="AH249" i="2" s="1"/>
  <c r="AH248" i="2" a="1"/>
  <c r="AH248" i="2" s="1"/>
  <c r="AH247" i="2" a="1"/>
  <c r="AH247" i="2" s="1"/>
  <c r="AH218" i="2" a="1"/>
  <c r="AH218" i="2" s="1"/>
  <c r="AH217" i="2" a="1"/>
  <c r="AH23" i="2" a="1"/>
  <c r="AH220" i="2" a="1"/>
  <c r="AH220" i="2" s="1"/>
  <c r="AH219" i="2" a="1"/>
  <c r="AH219" i="2" s="1"/>
  <c r="AH216" i="2" a="1"/>
  <c r="AH67" i="2" a="1"/>
  <c r="AH67" i="2" s="1"/>
  <c r="AH77" i="2" a="1"/>
  <c r="AH77" i="2" s="1"/>
  <c r="AH33" i="2" a="1"/>
  <c r="AH33" i="2" s="1"/>
  <c r="AH244" i="2" a="1"/>
  <c r="AH244" i="2" s="1"/>
  <c r="AH243" i="2" a="1"/>
  <c r="AH243" i="2" s="1"/>
  <c r="AH242" i="2" a="1"/>
  <c r="AH242" i="2" s="1"/>
  <c r="AH241" i="2" a="1"/>
  <c r="AH241" i="2" s="1"/>
  <c r="AH240" i="2" a="1"/>
  <c r="AH239" i="2" a="1"/>
  <c r="AH246" i="2" a="1"/>
  <c r="AH245" i="2" a="1"/>
  <c r="AH245" i="2" s="1"/>
  <c r="AH151" i="2" a="1"/>
  <c r="AH151" i="2" s="1"/>
  <c r="AH150" i="2" a="1"/>
  <c r="AH150" i="2" s="1"/>
  <c r="AH149" i="2" a="1"/>
  <c r="AH149" i="2" s="1"/>
  <c r="AK149" i="2" s="1"/>
  <c r="AH148" i="2" a="1"/>
  <c r="AH148" i="2" s="1"/>
  <c r="AH22" i="2" a="1"/>
  <c r="AH22" i="2" s="1"/>
  <c r="AH65" i="2" a="1"/>
  <c r="AH65" i="2" s="1"/>
  <c r="AH64" i="2" a="1"/>
  <c r="AH64" i="2" s="1"/>
  <c r="AH66" i="2" a="1"/>
  <c r="AH66" i="2" s="1"/>
  <c r="AH258" i="2" a="1"/>
  <c r="AH258" i="2" s="1"/>
  <c r="AH257" i="2" a="1"/>
  <c r="AH257" i="2" s="1"/>
  <c r="AH256" i="2" a="1"/>
  <c r="AH256" i="2" s="1"/>
  <c r="AH255" i="2" a="1"/>
  <c r="AH255" i="2" s="1"/>
  <c r="AH254" i="2" a="1"/>
  <c r="AH254" i="2" s="1"/>
  <c r="AH253" i="2" a="1"/>
  <c r="AH253" i="2" s="1"/>
  <c r="AH252" i="2" a="1"/>
  <c r="AH252" i="2" s="1"/>
  <c r="AH250" i="2" a="1"/>
  <c r="AH250" i="2" s="1"/>
  <c r="AH275" i="2" a="1"/>
  <c r="AH275" i="2" s="1"/>
  <c r="AH274" i="2" a="1"/>
  <c r="AH274" i="2" s="1"/>
  <c r="AH273" i="2" a="1"/>
  <c r="AH273" i="2" s="1"/>
  <c r="AH272" i="2" a="1"/>
  <c r="AH272" i="2" s="1"/>
  <c r="AH271" i="2" a="1"/>
  <c r="AH271" i="2" s="1"/>
  <c r="AH270" i="2" a="1"/>
  <c r="AH270" i="2" s="1"/>
  <c r="AH269" i="2" a="1"/>
  <c r="AH269" i="2" s="1"/>
  <c r="AH268" i="2" a="1"/>
  <c r="AH268" i="2" s="1"/>
  <c r="AH267" i="2" a="1"/>
  <c r="AH267" i="2" s="1"/>
  <c r="AH266" i="2" a="1"/>
  <c r="AH266" i="2" s="1"/>
  <c r="AH265" i="2" a="1"/>
  <c r="AH265" i="2" s="1"/>
  <c r="AH264" i="2" a="1"/>
  <c r="AH264" i="2" s="1"/>
  <c r="AH263" i="2" a="1"/>
  <c r="AH263" i="2" s="1"/>
  <c r="AH262" i="2" a="1"/>
  <c r="AH262" i="2" s="1"/>
  <c r="AH261" i="2" a="1"/>
  <c r="AH261" i="2" s="1"/>
  <c r="AH260" i="2" a="1"/>
  <c r="AH260" i="2" s="1"/>
  <c r="AH259" i="2" a="1"/>
  <c r="AH259" i="2" s="1"/>
  <c r="AH251" i="2" a="1"/>
  <c r="AH251" i="2" s="1"/>
  <c r="AH129" i="2" a="1"/>
  <c r="AH147" i="2" a="1"/>
  <c r="AH147" i="2" s="1"/>
  <c r="AH152" i="2" a="1"/>
  <c r="AH152" i="2" s="1"/>
  <c r="AH154" i="2" a="1"/>
  <c r="AH154" i="2" s="1"/>
  <c r="AH153" i="2" a="1"/>
  <c r="AH153" i="2" s="1"/>
  <c r="AH203" i="2" a="1"/>
  <c r="AH203" i="2" s="1"/>
  <c r="AH202" i="2" a="1"/>
  <c r="AH202" i="2" s="1"/>
  <c r="AH201" i="2" a="1"/>
  <c r="AH201" i="2" s="1"/>
  <c r="AH200" i="2" a="1"/>
  <c r="AH200" i="2" s="1"/>
  <c r="AH199" i="2" a="1"/>
  <c r="AH199" i="2" s="1"/>
  <c r="AH198" i="2" a="1"/>
  <c r="AH198" i="2" s="1"/>
  <c r="AH197" i="2" a="1"/>
  <c r="AH197" i="2" s="1"/>
  <c r="AH196" i="2" a="1"/>
  <c r="AH196" i="2" s="1"/>
  <c r="AH195" i="2" a="1"/>
  <c r="AH195" i="2" s="1"/>
  <c r="AH194" i="2" a="1"/>
  <c r="AH194" i="2" s="1"/>
  <c r="AH193" i="2" a="1"/>
  <c r="AH193" i="2" s="1"/>
  <c r="AH191" i="2" a="1"/>
  <c r="AH191" i="2" s="1"/>
  <c r="AH189" i="2" a="1"/>
  <c r="AH189" i="2" s="1"/>
  <c r="AH187" i="2" a="1"/>
  <c r="AH187" i="2" s="1"/>
  <c r="AH186" i="2" a="1"/>
  <c r="AH186" i="2" s="1"/>
  <c r="AH176" i="2" a="1"/>
  <c r="AH176" i="2" s="1"/>
  <c r="AH170" i="2" a="1"/>
  <c r="AH170" i="2" s="1"/>
  <c r="AH169" i="2" a="1"/>
  <c r="AH169" i="2" s="1"/>
  <c r="AH168" i="2" a="1"/>
  <c r="AH168" i="2" s="1"/>
  <c r="AH167" i="2" a="1"/>
  <c r="AH167" i="2" s="1"/>
  <c r="AH166" i="2" a="1"/>
  <c r="AH166" i="2" s="1"/>
  <c r="AH165" i="2" a="1"/>
  <c r="AH165" i="2" s="1"/>
  <c r="AH164" i="2" a="1"/>
  <c r="AH164" i="2" s="1"/>
  <c r="AH163" i="2" a="1"/>
  <c r="AH163" i="2" s="1"/>
  <c r="AH161" i="2" a="1"/>
  <c r="AH161" i="2" s="1"/>
  <c r="AH158" i="2" a="1"/>
  <c r="AH158" i="2" s="1"/>
  <c r="AH157" i="2" a="1"/>
  <c r="AH157" i="2" s="1"/>
  <c r="AH155" i="2" a="1"/>
  <c r="AH155" i="2" s="1"/>
  <c r="AH204" i="2" a="1"/>
  <c r="AH204" i="2" s="1"/>
  <c r="AH192" i="2" a="1"/>
  <c r="AH192" i="2" s="1"/>
  <c r="AH190" i="2" a="1"/>
  <c r="AH190" i="2" s="1"/>
  <c r="AH188" i="2" a="1"/>
  <c r="AH188" i="2" s="1"/>
  <c r="AH185" i="2" a="1"/>
  <c r="AH185" i="2" s="1"/>
  <c r="AH184" i="2" a="1"/>
  <c r="AH184" i="2" s="1"/>
  <c r="AH183" i="2" a="1"/>
  <c r="AH183" i="2" s="1"/>
  <c r="AH182" i="2" a="1"/>
  <c r="AH182" i="2" s="1"/>
  <c r="AH181" i="2" a="1"/>
  <c r="AH181" i="2" s="1"/>
  <c r="AH180" i="2" a="1"/>
  <c r="AH180" i="2" s="1"/>
  <c r="AH179" i="2" a="1"/>
  <c r="AH179" i="2" s="1"/>
  <c r="AH178" i="2" a="1"/>
  <c r="AH178" i="2" s="1"/>
  <c r="AH177" i="2" a="1"/>
  <c r="AH177" i="2" s="1"/>
  <c r="AH175" i="2" a="1"/>
  <c r="AH175" i="2" s="1"/>
  <c r="AH174" i="2" a="1"/>
  <c r="AH174" i="2" s="1"/>
  <c r="AH173" i="2" a="1"/>
  <c r="AH173" i="2" s="1"/>
  <c r="AH172" i="2" a="1"/>
  <c r="AH172" i="2" s="1"/>
  <c r="AH171" i="2" a="1"/>
  <c r="AH171" i="2" s="1"/>
  <c r="AH162" i="2" a="1"/>
  <c r="AH162" i="2" s="1"/>
  <c r="AH160" i="2" a="1"/>
  <c r="AH160" i="2" s="1"/>
  <c r="AH159" i="2" a="1"/>
  <c r="AH159" i="2" s="1"/>
  <c r="AH156" i="2" a="1"/>
  <c r="AH156" i="2" s="1"/>
  <c r="AH146" i="2" a="1"/>
  <c r="AH146" i="2" s="1"/>
  <c r="AH145" i="2" a="1"/>
  <c r="AH145" i="2" s="1"/>
  <c r="AH75" i="2" a="1"/>
  <c r="AH75" i="2" s="1"/>
  <c r="AH74" i="2" a="1"/>
  <c r="AH74" i="2" s="1"/>
  <c r="AH73" i="2" a="1"/>
  <c r="AH72" i="2" a="1"/>
  <c r="AH71" i="2" a="1"/>
  <c r="AH70" i="2" a="1"/>
  <c r="AH69" i="2" a="1"/>
  <c r="AH69" i="2" s="1"/>
  <c r="AH68" i="2" a="1"/>
  <c r="AH68" i="2" s="1"/>
  <c r="AH76" i="2" a="1"/>
  <c r="AH76" i="2" s="1"/>
  <c r="AH32" i="2" a="1"/>
  <c r="AH32" i="2" s="1"/>
  <c r="AH31" i="2" a="1"/>
  <c r="AH31" i="2" s="1"/>
  <c r="AH30" i="2" a="1"/>
  <c r="AH30" i="2" s="1"/>
  <c r="AH130" i="2" a="1"/>
  <c r="AH130" i="2" s="1"/>
  <c r="AH138" i="2" a="1"/>
  <c r="AH138" i="2" s="1"/>
  <c r="AH137" i="2" a="1"/>
  <c r="AH136" i="2" a="1"/>
  <c r="AH135" i="2" a="1"/>
  <c r="AH134" i="2" a="1"/>
  <c r="AH133" i="2" a="1"/>
  <c r="AH133" i="2" s="1"/>
  <c r="AH132" i="2" a="1"/>
  <c r="AH132" i="2" s="1"/>
  <c r="AH131" i="2" a="1"/>
  <c r="AH131" i="2" s="1"/>
  <c r="AH59" i="2" a="1"/>
  <c r="AH59" i="2" s="1"/>
  <c r="AH58" i="2" a="1"/>
  <c r="AH58" i="2" s="1"/>
  <c r="AH57" i="2" a="1"/>
  <c r="AH57" i="2" s="1"/>
  <c r="AH56" i="2" a="1"/>
  <c r="AH56" i="2" s="1"/>
  <c r="AH55" i="2" a="1"/>
  <c r="AH55" i="2" s="1"/>
  <c r="AH54" i="2" a="1"/>
  <c r="AH330" i="2" a="1"/>
  <c r="AH330" i="2" s="1"/>
  <c r="AH329" i="2" a="1"/>
  <c r="AH329" i="2" s="1"/>
  <c r="AH328" i="2" a="1"/>
  <c r="AH328" i="2" s="1"/>
  <c r="AH327" i="2" a="1"/>
  <c r="AH327" i="2" s="1"/>
  <c r="AH326" i="2" a="1"/>
  <c r="AH326" i="2" s="1"/>
  <c r="AH325" i="2" a="1"/>
  <c r="AH325" i="2" s="1"/>
  <c r="AH324" i="2" a="1"/>
  <c r="AH324" i="2" s="1"/>
  <c r="AH323" i="2" a="1"/>
  <c r="AH323" i="2" s="1"/>
  <c r="AH322" i="2" a="1"/>
  <c r="AH322" i="2" s="1"/>
  <c r="AH321" i="2" a="1"/>
  <c r="AH321" i="2" s="1"/>
  <c r="AH320" i="2" a="1"/>
  <c r="AH320" i="2" s="1"/>
  <c r="AH319" i="2" a="1"/>
  <c r="AH319" i="2" s="1"/>
  <c r="AH232" i="2" a="1"/>
  <c r="AH231" i="2" a="1"/>
  <c r="AH230" i="2" a="1"/>
  <c r="AH229" i="2" a="1"/>
  <c r="AH229" i="2" s="1"/>
  <c r="AH227" i="2" a="1"/>
  <c r="AH227" i="2" s="1"/>
  <c r="AH226" i="2" a="1"/>
  <c r="AH226" i="2" s="1"/>
  <c r="AH225" i="2" a="1"/>
  <c r="AH225" i="2" s="1"/>
  <c r="AH224" i="2" a="1"/>
  <c r="AH224" i="2" s="1"/>
  <c r="AH223" i="2" a="1"/>
  <c r="AH223" i="2" s="1"/>
  <c r="AH222" i="2" a="1"/>
  <c r="AH222" i="2" s="1"/>
  <c r="AH221" i="2" a="1"/>
  <c r="AH221" i="2" s="1"/>
  <c r="AH228" i="2" a="1"/>
  <c r="AH236" i="2" a="1"/>
  <c r="AH235" i="2" a="1"/>
  <c r="AH234" i="2" a="1"/>
  <c r="AH233" i="2" a="1"/>
  <c r="AH46" i="2" a="1"/>
  <c r="AH46" i="2" s="1"/>
  <c r="AH288" i="2" a="1"/>
  <c r="AH288" i="2" s="1"/>
  <c r="AH287" i="2" a="1"/>
  <c r="AH287" i="2" s="1"/>
  <c r="AH286" i="2" a="1"/>
  <c r="AH286" i="2" s="1"/>
  <c r="AH285" i="2" a="1"/>
  <c r="AH285" i="2" s="1"/>
  <c r="AH238" i="2" a="1"/>
  <c r="AH238" i="2" s="1"/>
  <c r="AH237" i="2" a="1"/>
  <c r="AH237" i="2" s="1"/>
  <c r="AH336" i="2" a="1"/>
  <c r="AH336" i="2" s="1"/>
  <c r="AH335" i="2" a="1"/>
  <c r="AH335" i="2" s="1"/>
  <c r="AH332" i="2" a="1"/>
  <c r="AH332" i="2" s="1"/>
  <c r="AH125" i="2" a="1"/>
  <c r="AH125" i="2" s="1"/>
  <c r="AH124" i="2" a="1"/>
  <c r="AH124" i="2" s="1"/>
  <c r="AH334" i="2" a="1"/>
  <c r="AH334" i="2" s="1"/>
  <c r="AH331" i="2" a="1"/>
  <c r="AH331" i="2" s="1"/>
  <c r="AH333" i="2" a="1"/>
  <c r="AH333" i="2" s="1"/>
  <c r="AH318" i="2" a="1"/>
  <c r="AH318" i="2" s="1"/>
  <c r="AH317" i="2" a="1"/>
  <c r="AH317" i="2" s="1"/>
  <c r="AH316" i="2" a="1"/>
  <c r="AH316" i="2" s="1"/>
  <c r="AH315" i="2" a="1"/>
  <c r="AH315" i="2" s="1"/>
  <c r="AH314" i="2" a="1"/>
  <c r="AH314" i="2" s="1"/>
  <c r="AH313" i="2" a="1"/>
  <c r="AH313" i="2" s="1"/>
  <c r="AH312" i="2" a="1"/>
  <c r="AH312" i="2" s="1"/>
  <c r="AH311" i="2" a="1"/>
  <c r="AH311" i="2" s="1"/>
  <c r="AH310" i="2" a="1"/>
  <c r="AH310" i="2" s="1"/>
  <c r="AH309" i="2" a="1"/>
  <c r="AH309" i="2" s="1"/>
  <c r="AH308" i="2" a="1"/>
  <c r="AH308" i="2" s="1"/>
  <c r="AH307" i="2" a="1"/>
  <c r="AH307" i="2" s="1"/>
  <c r="AH306" i="2" a="1"/>
  <c r="AH306" i="2" s="1"/>
  <c r="AH305" i="2" a="1"/>
  <c r="AH305" i="2" s="1"/>
  <c r="AH304" i="2" a="1"/>
  <c r="AH304" i="2" s="1"/>
  <c r="AH303" i="2" a="1"/>
  <c r="AH303" i="2" s="1"/>
  <c r="AH302" i="2" a="1"/>
  <c r="AH302" i="2" s="1"/>
  <c r="AH301" i="2" a="1"/>
  <c r="AH301" i="2" s="1"/>
  <c r="AH300" i="2" a="1"/>
  <c r="AH300" i="2" s="1"/>
  <c r="AH299" i="2" a="1"/>
  <c r="AH299" i="2" s="1"/>
  <c r="AH298" i="2" a="1"/>
  <c r="AH298" i="2" s="1"/>
  <c r="AH297" i="2" a="1"/>
  <c r="AH297" i="2" s="1"/>
  <c r="AH296" i="2" a="1"/>
  <c r="AH296" i="2" s="1"/>
  <c r="AH295" i="2" a="1"/>
  <c r="AH295" i="2" s="1"/>
  <c r="AH294" i="2" a="1"/>
  <c r="AH294" i="2" s="1"/>
  <c r="AH291" i="2" a="1"/>
  <c r="AH291" i="2" s="1"/>
  <c r="AH290" i="2" a="1"/>
  <c r="AH290" i="2" s="1"/>
  <c r="AH289" i="2" a="1"/>
  <c r="AH289" i="2" s="1"/>
  <c r="AH284" i="2" a="1"/>
  <c r="AH284" i="2" s="1"/>
  <c r="AH283" i="2" a="1"/>
  <c r="AH283" i="2" s="1"/>
  <c r="AH282" i="2" a="1"/>
  <c r="AH282" i="2" s="1"/>
  <c r="AH281" i="2" a="1"/>
  <c r="AH281" i="2" s="1"/>
  <c r="AH280" i="2" a="1"/>
  <c r="AH280" i="2" s="1"/>
  <c r="AH279" i="2" a="1"/>
  <c r="AH279" i="2" s="1"/>
  <c r="AH278" i="2" a="1"/>
  <c r="AH278" i="2" s="1"/>
  <c r="AH277" i="2" a="1"/>
  <c r="AH277" i="2" s="1"/>
  <c r="AH276" i="2" a="1"/>
  <c r="AH276" i="2" s="1"/>
  <c r="AH293" i="2" a="1"/>
  <c r="AH293" i="2" s="1"/>
  <c r="AJ293" i="2" s="1"/>
  <c r="AK293" i="2" s="1"/>
  <c r="AH292" i="2" a="1"/>
  <c r="AH292" i="2" s="1"/>
  <c r="AJ292" i="2" s="1"/>
  <c r="AH128" i="2" a="1"/>
  <c r="AH128" i="2" s="1"/>
  <c r="AH127" i="2" a="1"/>
  <c r="AH127" i="2" s="1"/>
  <c r="AH126" i="2" a="1"/>
  <c r="AH126" i="2" s="1"/>
  <c r="AH123" i="2" a="1"/>
  <c r="AH123" i="2" s="1"/>
  <c r="AH122" i="2" a="1"/>
  <c r="AH122" i="2" s="1"/>
  <c r="AH121" i="2" a="1"/>
  <c r="AH121" i="2" s="1"/>
  <c r="AH120" i="2" a="1"/>
  <c r="AH120" i="2" s="1"/>
  <c r="AH119" i="2" a="1"/>
  <c r="AH119" i="2" s="1"/>
  <c r="AH118" i="2" a="1"/>
  <c r="AH118" i="2" s="1"/>
  <c r="AH117" i="2" a="1"/>
  <c r="AH117" i="2" s="1"/>
  <c r="AH116" i="2" a="1"/>
  <c r="AH116" i="2" s="1"/>
  <c r="AH115" i="2" a="1"/>
  <c r="AH115" i="2" s="1"/>
  <c r="AH114" i="2" a="1"/>
  <c r="AH114" i="2" s="1"/>
  <c r="AH113" i="2" a="1"/>
  <c r="AH113" i="2" s="1"/>
  <c r="AH112" i="2" a="1"/>
  <c r="AH112" i="2" s="1"/>
  <c r="AH111" i="2" a="1"/>
  <c r="AH111" i="2" s="1"/>
  <c r="AH110" i="2" a="1"/>
  <c r="AH110" i="2" s="1"/>
  <c r="AH109" i="2" a="1"/>
  <c r="AH109" i="2" s="1"/>
  <c r="AH108" i="2" a="1"/>
  <c r="AH108" i="2" s="1"/>
  <c r="AH107" i="2" a="1"/>
  <c r="AH107" i="2" s="1"/>
  <c r="AH106" i="2" a="1"/>
  <c r="AH106" i="2" s="1"/>
  <c r="AH105" i="2" a="1"/>
  <c r="AH105" i="2" s="1"/>
  <c r="AH104" i="2" a="1"/>
  <c r="AH104" i="2" s="1"/>
  <c r="AH103" i="2" a="1"/>
  <c r="AH103" i="2" s="1"/>
  <c r="AH102" i="2" a="1"/>
  <c r="AH102" i="2" s="1"/>
  <c r="AH101" i="2" a="1"/>
  <c r="AH101" i="2" s="1"/>
  <c r="AH100" i="2" a="1"/>
  <c r="AH100" i="2" s="1"/>
  <c r="AH99" i="2" a="1"/>
  <c r="AH99" i="2" s="1"/>
  <c r="AH98" i="2" a="1"/>
  <c r="AH98" i="2" s="1"/>
  <c r="AH97" i="2" a="1"/>
  <c r="AH97" i="2" s="1"/>
  <c r="AH96" i="2" a="1"/>
  <c r="AH96" i="2" s="1"/>
  <c r="AH95" i="2" a="1"/>
  <c r="AH95" i="2" s="1"/>
  <c r="AH94" i="2" a="1"/>
  <c r="AH94" i="2" s="1"/>
  <c r="AH93" i="2" a="1"/>
  <c r="AH93" i="2" s="1"/>
  <c r="AH92" i="2" a="1"/>
  <c r="AH92" i="2" s="1"/>
  <c r="AH91" i="2" a="1"/>
  <c r="AH91" i="2" s="1"/>
  <c r="AH90" i="2" a="1"/>
  <c r="AH90" i="2" s="1"/>
  <c r="AH89" i="2" a="1"/>
  <c r="AH89" i="2" s="1"/>
  <c r="AH88" i="2" a="1"/>
  <c r="AH88" i="2" s="1"/>
  <c r="AH87" i="2" a="1"/>
  <c r="AH87" i="2" s="1"/>
  <c r="AH86" i="2" a="1"/>
  <c r="AH86" i="2" s="1"/>
  <c r="AH85" i="2" a="1"/>
  <c r="AH85" i="2" s="1"/>
  <c r="AH84" i="2" a="1"/>
  <c r="AH84" i="2" s="1"/>
  <c r="AH83" i="2" a="1"/>
  <c r="AH83" i="2" s="1"/>
  <c r="AH82" i="2" a="1"/>
  <c r="AH82" i="2" s="1"/>
  <c r="AH81" i="2" a="1"/>
  <c r="AH81" i="2" s="1"/>
  <c r="AH80" i="2" a="1"/>
  <c r="AH80" i="2" s="1"/>
  <c r="AH79" i="2" a="1"/>
  <c r="AH79" i="2" s="1"/>
  <c r="AH29" i="2" a="1"/>
  <c r="AH29" i="2" s="1"/>
  <c r="AH19" i="2" a="1"/>
  <c r="AH19" i="2" s="1"/>
  <c r="AH21" i="2" a="1"/>
  <c r="AH21" i="2" s="1"/>
  <c r="AH215" i="2" a="1"/>
  <c r="AH215" i="2" s="1"/>
  <c r="AH214" i="2" a="1"/>
  <c r="AH214" i="2" s="1"/>
  <c r="AH213" i="2" a="1"/>
  <c r="AH213" i="2" s="1"/>
  <c r="AH212" i="2" a="1"/>
  <c r="AH212" i="2" s="1"/>
  <c r="AH211" i="2" a="1"/>
  <c r="AH211" i="2" s="1"/>
  <c r="AH210" i="2" a="1"/>
  <c r="AH210" i="2" s="1"/>
  <c r="AH209" i="2" a="1"/>
  <c r="AH209" i="2" s="1"/>
  <c r="AH208" i="2" a="1"/>
  <c r="AH208" i="2" s="1"/>
  <c r="AH207" i="2" a="1"/>
  <c r="AH207" i="2" s="1"/>
  <c r="AH42" i="2" a="1"/>
  <c r="AH42" i="2" s="1"/>
  <c r="AH41" i="2" a="1"/>
  <c r="AH41" i="2" s="1"/>
  <c r="AH142" i="2" a="1"/>
  <c r="AH142" i="2" s="1"/>
  <c r="AH141" i="2" a="1"/>
  <c r="AH141" i="2" s="1"/>
  <c r="AH140" i="2" a="1"/>
  <c r="AH140" i="2" s="1"/>
  <c r="AH139" i="2" a="1"/>
  <c r="AH139" i="2" s="1"/>
  <c r="AH143" i="2" a="1"/>
  <c r="AH143" i="2" s="1"/>
  <c r="AH52" i="2" a="1"/>
  <c r="AH52" i="2" s="1"/>
  <c r="AH51" i="2" a="1"/>
  <c r="AH51" i="2" s="1"/>
  <c r="AH50" i="2" a="1"/>
  <c r="AH50" i="2" s="1"/>
  <c r="AH49" i="2" a="1"/>
  <c r="AH49" i="2" s="1"/>
  <c r="AH40" i="2" a="1"/>
  <c r="AH40" i="2" s="1"/>
  <c r="AH39" i="2" a="1"/>
  <c r="AH39" i="2" s="1"/>
  <c r="AH38" i="2" a="1"/>
  <c r="AH38" i="2" s="1"/>
  <c r="AH37" i="2" a="1"/>
  <c r="AH37" i="2" s="1"/>
  <c r="AH36" i="2" a="1"/>
  <c r="AH36" i="2" s="1"/>
  <c r="AH34" i="2" a="1"/>
  <c r="AH34" i="2" s="1"/>
  <c r="AH48" i="2" a="1"/>
  <c r="AH48" i="2" s="1"/>
  <c r="AH47" i="2" a="1"/>
  <c r="AH47" i="2" s="1"/>
  <c r="AH63" i="2" a="1"/>
  <c r="AH63" i="2" s="1"/>
  <c r="AH62" i="2" a="1"/>
  <c r="AH62" i="2" s="1"/>
  <c r="AH61" i="2" a="1"/>
  <c r="AH61" i="2" s="1"/>
  <c r="AH60" i="2" a="1"/>
  <c r="AH60" i="2" s="1"/>
  <c r="AH28" i="2" a="1"/>
  <c r="AH28" i="2" s="1"/>
  <c r="AH27" i="2" a="1"/>
  <c r="AH27" i="2" s="1"/>
  <c r="AH26" i="2" a="1"/>
  <c r="AH26" i="2" s="1"/>
  <c r="AH24" i="2" a="1"/>
  <c r="AH24" i="2" s="1"/>
  <c r="AH44" i="2" a="1"/>
  <c r="AH44" i="2" s="1"/>
  <c r="AH25" i="2" a="1"/>
  <c r="AH25" i="2" s="1"/>
  <c r="AH35" i="2" a="1"/>
  <c r="AH35" i="2" s="1"/>
  <c r="AH18" i="2" a="1"/>
  <c r="AH18" i="2" s="1"/>
  <c r="AH45" i="2" a="1"/>
  <c r="AH45" i="2" s="1"/>
  <c r="AJ149" i="2" l="1"/>
  <c r="AJ219" i="2"/>
  <c r="AK219" i="2"/>
  <c r="AJ57" i="2"/>
  <c r="AK57" i="2"/>
  <c r="AJ273" i="2"/>
  <c r="AK273" i="2"/>
  <c r="AJ242" i="2"/>
  <c r="AK242" i="2"/>
  <c r="AJ58" i="2"/>
  <c r="AK58" i="2"/>
  <c r="AJ65" i="2"/>
  <c r="AK65" i="2"/>
  <c r="AJ152" i="2"/>
  <c r="AK152" i="2"/>
  <c r="AJ151" i="2"/>
  <c r="AK151" i="2"/>
  <c r="AJ78" i="2"/>
  <c r="AK78" i="2"/>
  <c r="AJ220" i="2"/>
  <c r="AK220" i="2"/>
  <c r="AJ55" i="2"/>
  <c r="AK55" i="2"/>
  <c r="AJ138" i="2"/>
  <c r="AK138" i="2"/>
  <c r="AJ74" i="2"/>
  <c r="AK74" i="2"/>
  <c r="AJ14" i="2"/>
  <c r="AK14" i="2"/>
  <c r="AJ238" i="2"/>
  <c r="AK238" i="2"/>
  <c r="AJ56" i="2"/>
  <c r="AK56" i="2"/>
  <c r="AJ130" i="2"/>
  <c r="AK130" i="2"/>
  <c r="AJ75" i="2"/>
  <c r="AK75" i="2"/>
  <c r="AJ66" i="2"/>
  <c r="AK66" i="2"/>
  <c r="AJ241" i="2"/>
  <c r="AK241" i="2"/>
  <c r="AJ218" i="2"/>
  <c r="AK218" i="2"/>
  <c r="AJ147" i="2"/>
  <c r="AK147" i="2"/>
  <c r="AJ30" i="2"/>
  <c r="AK30" i="2"/>
  <c r="AJ64" i="2"/>
  <c r="AK64" i="2"/>
  <c r="AJ31" i="2"/>
  <c r="AK31" i="2"/>
  <c r="AJ274" i="2"/>
  <c r="AK274" i="2"/>
  <c r="AJ32" i="2"/>
  <c r="AK32" i="2"/>
  <c r="AJ22" i="2"/>
  <c r="AK22" i="2"/>
  <c r="AJ131" i="2"/>
  <c r="AK131" i="2"/>
  <c r="AJ76" i="2"/>
  <c r="AK76" i="2"/>
  <c r="AJ33" i="2"/>
  <c r="AK33" i="2"/>
  <c r="AJ206" i="2"/>
  <c r="AK206" i="2"/>
  <c r="AJ146" i="2"/>
  <c r="AK146" i="2"/>
  <c r="AJ243" i="2"/>
  <c r="AK243" i="2"/>
  <c r="AJ275" i="2"/>
  <c r="AK275" i="2"/>
  <c r="AJ46" i="2"/>
  <c r="AK46" i="2"/>
  <c r="AJ227" i="2"/>
  <c r="AK227" i="2"/>
  <c r="AJ132" i="2"/>
  <c r="AK132" i="2"/>
  <c r="AJ68" i="2"/>
  <c r="AK68" i="2"/>
  <c r="AJ153" i="2"/>
  <c r="AK153" i="2"/>
  <c r="AJ205" i="2"/>
  <c r="AK205" i="2"/>
  <c r="AJ245" i="2"/>
  <c r="AK245" i="2"/>
  <c r="AJ145" i="2"/>
  <c r="AK145" i="2"/>
  <c r="AJ59" i="2"/>
  <c r="AK59" i="2"/>
  <c r="AJ244" i="2"/>
  <c r="AK244" i="2"/>
  <c r="AH233" i="2"/>
  <c r="AL233" i="2"/>
  <c r="AJ229" i="2"/>
  <c r="AK229" i="2"/>
  <c r="AJ133" i="2"/>
  <c r="AK133" i="2"/>
  <c r="AJ69" i="2"/>
  <c r="AK69" i="2"/>
  <c r="AJ154" i="2"/>
  <c r="AK154" i="2"/>
  <c r="AJ150" i="2"/>
  <c r="AK150" i="2"/>
  <c r="AJ67" i="2"/>
  <c r="AK67" i="2"/>
  <c r="AJ144" i="2"/>
  <c r="AK144" i="2"/>
  <c r="AL30" i="2"/>
  <c r="AL153" i="2"/>
  <c r="AL149" i="2"/>
  <c r="AL219" i="2"/>
  <c r="AL245" i="2"/>
  <c r="AL229" i="2"/>
  <c r="AL33" i="2"/>
  <c r="AL130" i="2"/>
  <c r="AL67" i="2"/>
  <c r="AL133" i="2"/>
  <c r="AL244" i="2"/>
  <c r="AL227" i="2"/>
  <c r="AL145" i="2"/>
  <c r="AL22" i="2"/>
  <c r="AL56" i="2"/>
  <c r="AL57" i="2"/>
  <c r="AL68" i="2"/>
  <c r="AL66" i="2"/>
  <c r="AL242" i="2"/>
  <c r="AL46" i="2"/>
  <c r="AL69" i="2"/>
  <c r="AL64" i="2"/>
  <c r="AL205" i="2"/>
  <c r="AL132" i="2"/>
  <c r="AL243" i="2"/>
  <c r="AL75" i="2"/>
  <c r="AL65" i="2"/>
  <c r="AL144" i="2"/>
  <c r="AH234" i="2"/>
  <c r="AL234" i="2"/>
  <c r="AH230" i="2"/>
  <c r="AL230" i="2"/>
  <c r="AH70" i="2"/>
  <c r="AL70" i="2"/>
  <c r="AH43" i="2"/>
  <c r="AL43" i="2"/>
  <c r="AH235" i="2"/>
  <c r="AL235" i="2"/>
  <c r="AH53" i="2"/>
  <c r="AL53" i="2"/>
  <c r="AH134" i="2"/>
  <c r="AL134" i="2"/>
  <c r="AH216" i="2"/>
  <c r="AL216" i="2"/>
  <c r="AH231" i="2"/>
  <c r="AL231" i="2"/>
  <c r="AH135" i="2"/>
  <c r="AL135" i="2"/>
  <c r="AH71" i="2"/>
  <c r="AL71" i="2"/>
  <c r="AH12" i="2"/>
  <c r="AL12" i="2"/>
  <c r="AH236" i="2"/>
  <c r="AL236" i="2"/>
  <c r="AH232" i="2"/>
  <c r="AL232" i="2"/>
  <c r="AH136" i="2"/>
  <c r="AL136" i="2"/>
  <c r="AH72" i="2"/>
  <c r="AL72" i="2"/>
  <c r="AH129" i="2"/>
  <c r="AL129" i="2"/>
  <c r="AH246" i="2"/>
  <c r="AL246" i="2"/>
  <c r="AH15" i="2"/>
  <c r="AL15" i="2"/>
  <c r="AH13" i="2"/>
  <c r="AL13" i="2"/>
  <c r="AL220" i="2"/>
  <c r="AH228" i="2"/>
  <c r="AL228" i="2"/>
  <c r="AH54" i="2"/>
  <c r="AL54" i="2"/>
  <c r="AH137" i="2"/>
  <c r="AL137" i="2"/>
  <c r="AH73" i="2"/>
  <c r="AL73" i="2"/>
  <c r="AH239" i="2"/>
  <c r="AL239" i="2"/>
  <c r="AH23" i="2"/>
  <c r="AL23" i="2"/>
  <c r="AH16" i="2"/>
  <c r="AL16" i="2"/>
  <c r="AH5" i="2"/>
  <c r="AL5" i="2"/>
  <c r="AH240" i="2"/>
  <c r="AL240" i="2"/>
  <c r="AH217" i="2"/>
  <c r="AL217" i="2"/>
  <c r="AH6" i="2"/>
  <c r="AL6" i="2"/>
  <c r="AL152" i="2"/>
  <c r="AL14" i="2"/>
  <c r="AL55" i="2"/>
  <c r="AL138" i="2"/>
  <c r="AL74" i="2"/>
  <c r="AL147" i="2"/>
  <c r="AL151" i="2"/>
  <c r="AL78" i="2"/>
  <c r="AL58" i="2"/>
  <c r="AL31" i="2"/>
  <c r="AL146" i="2"/>
  <c r="AL273" i="2"/>
  <c r="AL59" i="2"/>
  <c r="AL32" i="2"/>
  <c r="AL274" i="2"/>
  <c r="AL218" i="2"/>
  <c r="AL238" i="2"/>
  <c r="AL131" i="2"/>
  <c r="AL76" i="2"/>
  <c r="AL154" i="2"/>
  <c r="AL275" i="2"/>
  <c r="AL150" i="2"/>
  <c r="AL241" i="2"/>
  <c r="AL206" i="2"/>
  <c r="AL309" i="2"/>
  <c r="AL297" i="2"/>
  <c r="AL314" i="2"/>
  <c r="AL310" i="2"/>
  <c r="AL308" i="2"/>
  <c r="AL302" i="2"/>
  <c r="AL298" i="2"/>
  <c r="AL296" i="2"/>
  <c r="AL280" i="2"/>
  <c r="AL279" i="2"/>
  <c r="AL284" i="2"/>
  <c r="AL278" i="2"/>
  <c r="AL316" i="2"/>
  <c r="AL304" i="2"/>
  <c r="AL290" i="2"/>
  <c r="AL315" i="2"/>
  <c r="AL303" i="2"/>
  <c r="AL289" i="2"/>
  <c r="AL313" i="2"/>
  <c r="AL301" i="2"/>
  <c r="AL283" i="2"/>
  <c r="AL312" i="2"/>
  <c r="AL300" i="2"/>
  <c r="AL282" i="2"/>
  <c r="AL311" i="2"/>
  <c r="AL299" i="2"/>
  <c r="AL281" i="2"/>
  <c r="AL307" i="2"/>
  <c r="AL295" i="2"/>
  <c r="AL277" i="2"/>
  <c r="AL318" i="2"/>
  <c r="AL306" i="2"/>
  <c r="AL294" i="2"/>
  <c r="AL276" i="2"/>
  <c r="AL317" i="2"/>
  <c r="AL305" i="2"/>
  <c r="AL291" i="2"/>
  <c r="AL293" i="2"/>
  <c r="AL292" i="2"/>
  <c r="AJ5" i="2" l="1"/>
  <c r="AK5" i="2"/>
  <c r="AJ72" i="2"/>
  <c r="AK72" i="2"/>
  <c r="AJ135" i="2"/>
  <c r="AK135" i="2"/>
  <c r="AJ43" i="2"/>
  <c r="AK43" i="2"/>
  <c r="AJ23" i="2"/>
  <c r="AK23" i="2"/>
  <c r="AJ13" i="2"/>
  <c r="AK13" i="2"/>
  <c r="AJ216" i="2"/>
  <c r="AK216" i="2"/>
  <c r="AJ230" i="2"/>
  <c r="AK230" i="2"/>
  <c r="AJ6" i="2"/>
  <c r="AK6" i="2"/>
  <c r="AJ239" i="2"/>
  <c r="AK239" i="2"/>
  <c r="AJ137" i="2"/>
  <c r="AK137" i="2"/>
  <c r="AJ71" i="2"/>
  <c r="AK71" i="2"/>
  <c r="AJ54" i="2"/>
  <c r="AK54" i="2"/>
  <c r="AJ16" i="2"/>
  <c r="AK16" i="2"/>
  <c r="AJ228" i="2"/>
  <c r="AK228" i="2"/>
  <c r="AJ232" i="2"/>
  <c r="AK232" i="2"/>
  <c r="AJ240" i="2"/>
  <c r="AK240" i="2"/>
  <c r="AJ129" i="2"/>
  <c r="AK129" i="2"/>
  <c r="AJ235" i="2"/>
  <c r="AK235" i="2"/>
  <c r="AJ136" i="2"/>
  <c r="AK136" i="2"/>
  <c r="AJ231" i="2"/>
  <c r="AK231" i="2"/>
  <c r="AJ70" i="2"/>
  <c r="AK70" i="2"/>
  <c r="AJ233" i="2"/>
  <c r="AK233" i="2"/>
  <c r="AJ15" i="2"/>
  <c r="AK15" i="2"/>
  <c r="AJ236" i="2"/>
  <c r="AK236" i="2"/>
  <c r="AJ134" i="2"/>
  <c r="AK134" i="2"/>
  <c r="AJ234" i="2"/>
  <c r="AK234" i="2"/>
  <c r="AJ217" i="2"/>
  <c r="AK217" i="2"/>
  <c r="AJ73" i="2"/>
  <c r="AK73" i="2"/>
  <c r="AJ246" i="2"/>
  <c r="AK246" i="2"/>
  <c r="AJ12" i="2"/>
  <c r="AK12" i="2"/>
  <c r="AJ53" i="2"/>
  <c r="AK53" i="2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N185" i="1"/>
  <c r="N184" i="1"/>
  <c r="N183" i="1"/>
  <c r="N182" i="1"/>
  <c r="N181" i="1"/>
  <c r="N180" i="1"/>
  <c r="N179" i="1"/>
  <c r="N178" i="1"/>
  <c r="N177" i="1"/>
  <c r="N176" i="1"/>
  <c r="N175" i="1"/>
  <c r="N152" i="1"/>
  <c r="N141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48" i="1"/>
  <c r="N46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6" i="1"/>
  <c r="N5" i="1"/>
  <c r="N4" i="1"/>
  <c r="N3" i="1"/>
  <c r="B9" i="11"/>
  <c r="B5" i="11"/>
  <c r="U337" i="2"/>
  <c r="B11" i="11" s="1"/>
  <c r="J1" i="10"/>
  <c r="H186" i="10"/>
  <c r="J186" i="10" s="1"/>
  <c r="H185" i="10"/>
  <c r="J185" i="10" s="1"/>
  <c r="H184" i="10"/>
  <c r="J184" i="10" s="1"/>
  <c r="H183" i="10"/>
  <c r="J183" i="10" s="1"/>
  <c r="H182" i="10"/>
  <c r="J182" i="10" s="1"/>
  <c r="J181" i="10"/>
  <c r="H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G14" i="9" l="1"/>
  <c r="G13" i="9"/>
  <c r="G12" i="9"/>
  <c r="G11" i="9"/>
  <c r="G10" i="9"/>
  <c r="G9" i="9"/>
  <c r="G8" i="9"/>
  <c r="G7" i="9"/>
  <c r="G6" i="9"/>
  <c r="G5" i="9"/>
  <c r="G4" i="9"/>
  <c r="G15" i="9" s="1"/>
  <c r="G3" i="9"/>
  <c r="C15" i="9"/>
  <c r="F15" i="9"/>
  <c r="Q4" i="6"/>
  <c r="R4" i="6" s="1"/>
  <c r="Q8" i="6"/>
  <c r="R8" i="6" s="1"/>
  <c r="Q11" i="6"/>
  <c r="R11" i="6" s="1"/>
  <c r="Q3" i="6"/>
  <c r="R3" i="6" s="1"/>
  <c r="Q23" i="6"/>
  <c r="R23" i="6" s="1"/>
  <c r="Q6" i="6"/>
  <c r="R6" i="6" s="1"/>
  <c r="Q17" i="6"/>
  <c r="R17" i="6" s="1"/>
  <c r="Q2" i="6"/>
  <c r="R2" i="6" s="1"/>
  <c r="Q16" i="6"/>
  <c r="R16" i="6" s="1"/>
  <c r="Q38" i="6"/>
  <c r="R38" i="6" s="1"/>
  <c r="Q19" i="6"/>
  <c r="R19" i="6" s="1"/>
  <c r="Q7" i="6"/>
  <c r="R7" i="6" s="1"/>
  <c r="Q15" i="6"/>
  <c r="R15" i="6" s="1"/>
  <c r="Q18" i="6"/>
  <c r="R18" i="6" s="1"/>
  <c r="Q5" i="6"/>
  <c r="R5" i="6" s="1"/>
  <c r="Q26" i="6"/>
  <c r="R26" i="6" s="1"/>
  <c r="Q24" i="6"/>
  <c r="R24" i="6" s="1"/>
  <c r="Q31" i="6"/>
  <c r="R31" i="6" s="1"/>
  <c r="Q14" i="6"/>
  <c r="R14" i="6" s="1"/>
  <c r="Q36" i="6"/>
  <c r="R36" i="6" s="1"/>
  <c r="Q35" i="6"/>
  <c r="R35" i="6" s="1"/>
  <c r="Q22" i="6"/>
  <c r="R22" i="6" s="1"/>
  <c r="Q32" i="6"/>
  <c r="R32" i="6" s="1"/>
  <c r="Q34" i="6"/>
  <c r="R34" i="6" s="1"/>
  <c r="Q21" i="6"/>
  <c r="R21" i="6" s="1"/>
  <c r="Q40" i="6"/>
  <c r="R40" i="6" s="1"/>
  <c r="Q13" i="6"/>
  <c r="R13" i="6" s="1"/>
  <c r="Q9" i="6"/>
  <c r="R9" i="6" s="1"/>
  <c r="Q25" i="6"/>
  <c r="R25" i="6" s="1"/>
  <c r="Q30" i="6"/>
  <c r="R30" i="6" s="1"/>
  <c r="Q33" i="6"/>
  <c r="R33" i="6" s="1"/>
  <c r="Q20" i="6"/>
  <c r="R20" i="6" s="1"/>
  <c r="Q39" i="6"/>
  <c r="R39" i="6" s="1"/>
  <c r="Q10" i="6"/>
  <c r="R10" i="6" s="1"/>
  <c r="Q29" i="6"/>
  <c r="R29" i="6" s="1"/>
  <c r="Q27" i="6"/>
  <c r="R27" i="6" s="1"/>
  <c r="Q28" i="6"/>
  <c r="R28" i="6" s="1"/>
  <c r="Q12" i="6"/>
  <c r="R12" i="6" s="1"/>
  <c r="Q37" i="6"/>
  <c r="R37" i="6" s="1"/>
  <c r="L188" i="1"/>
  <c r="C188" i="1"/>
  <c r="H185" i="1"/>
  <c r="H184" i="1"/>
  <c r="J184" i="1" s="1"/>
  <c r="K184" i="1" s="1"/>
  <c r="H183" i="1"/>
  <c r="J183" i="1" s="1"/>
  <c r="H182" i="1"/>
  <c r="H181" i="1"/>
  <c r="J181" i="1" s="1"/>
  <c r="K181" i="1" s="1"/>
  <c r="H180" i="1"/>
  <c r="J180" i="1" s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M174" i="1" s="1"/>
  <c r="N174" i="1" s="1"/>
  <c r="J173" i="1"/>
  <c r="K173" i="1" s="1"/>
  <c r="M173" i="1" s="1"/>
  <c r="N173" i="1" s="1"/>
  <c r="J172" i="1"/>
  <c r="K172" i="1" s="1"/>
  <c r="M172" i="1" s="1"/>
  <c r="N172" i="1" s="1"/>
  <c r="J171" i="1"/>
  <c r="K171" i="1" s="1"/>
  <c r="M171" i="1" s="1"/>
  <c r="N171" i="1" s="1"/>
  <c r="J170" i="1"/>
  <c r="K170" i="1" s="1"/>
  <c r="M170" i="1" s="1"/>
  <c r="N170" i="1" s="1"/>
  <c r="J169" i="1"/>
  <c r="K169" i="1" s="1"/>
  <c r="M169" i="1" s="1"/>
  <c r="N169" i="1" s="1"/>
  <c r="J168" i="1"/>
  <c r="K168" i="1" s="1"/>
  <c r="M168" i="1" s="1"/>
  <c r="N168" i="1" s="1"/>
  <c r="J167" i="1"/>
  <c r="K167" i="1" s="1"/>
  <c r="M167" i="1" s="1"/>
  <c r="N167" i="1" s="1"/>
  <c r="J166" i="1"/>
  <c r="K166" i="1" s="1"/>
  <c r="M166" i="1" s="1"/>
  <c r="N166" i="1" s="1"/>
  <c r="J165" i="1"/>
  <c r="K165" i="1" s="1"/>
  <c r="M165" i="1" s="1"/>
  <c r="N165" i="1" s="1"/>
  <c r="J164" i="1"/>
  <c r="K164" i="1" s="1"/>
  <c r="M164" i="1" s="1"/>
  <c r="N164" i="1" s="1"/>
  <c r="J163" i="1"/>
  <c r="K163" i="1" s="1"/>
  <c r="M163" i="1" s="1"/>
  <c r="N163" i="1" s="1"/>
  <c r="J162" i="1"/>
  <c r="K162" i="1" s="1"/>
  <c r="M162" i="1" s="1"/>
  <c r="N162" i="1" s="1"/>
  <c r="J161" i="1"/>
  <c r="K161" i="1" s="1"/>
  <c r="M161" i="1" s="1"/>
  <c r="N161" i="1" s="1"/>
  <c r="J160" i="1"/>
  <c r="K160" i="1" s="1"/>
  <c r="M160" i="1" s="1"/>
  <c r="N160" i="1" s="1"/>
  <c r="J159" i="1"/>
  <c r="K159" i="1" s="1"/>
  <c r="M159" i="1" s="1"/>
  <c r="N159" i="1" s="1"/>
  <c r="J158" i="1"/>
  <c r="K158" i="1" s="1"/>
  <c r="M158" i="1" s="1"/>
  <c r="N158" i="1" s="1"/>
  <c r="J157" i="1"/>
  <c r="K157" i="1" s="1"/>
  <c r="M157" i="1" s="1"/>
  <c r="N157" i="1" s="1"/>
  <c r="J156" i="1"/>
  <c r="K156" i="1" s="1"/>
  <c r="M156" i="1" s="1"/>
  <c r="N156" i="1" s="1"/>
  <c r="J155" i="1"/>
  <c r="K155" i="1" s="1"/>
  <c r="M155" i="1" s="1"/>
  <c r="N155" i="1" s="1"/>
  <c r="J154" i="1"/>
  <c r="K154" i="1" s="1"/>
  <c r="M154" i="1" s="1"/>
  <c r="N154" i="1" s="1"/>
  <c r="J153" i="1"/>
  <c r="K153" i="1" s="1"/>
  <c r="M153" i="1" s="1"/>
  <c r="N153" i="1" s="1"/>
  <c r="J152" i="1"/>
  <c r="K152" i="1" s="1"/>
  <c r="J151" i="1"/>
  <c r="K151" i="1" s="1"/>
  <c r="M151" i="1" s="1"/>
  <c r="N151" i="1" s="1"/>
  <c r="J150" i="1"/>
  <c r="J149" i="1"/>
  <c r="K149" i="1" s="1"/>
  <c r="M149" i="1" s="1"/>
  <c r="N149" i="1" s="1"/>
  <c r="J148" i="1"/>
  <c r="K148" i="1" s="1"/>
  <c r="M148" i="1" s="1"/>
  <c r="N148" i="1" s="1"/>
  <c r="J147" i="1"/>
  <c r="K147" i="1" s="1"/>
  <c r="M147" i="1" s="1"/>
  <c r="N147" i="1" s="1"/>
  <c r="J146" i="1"/>
  <c r="K146" i="1" s="1"/>
  <c r="M146" i="1" s="1"/>
  <c r="N146" i="1" s="1"/>
  <c r="J145" i="1"/>
  <c r="K145" i="1" s="1"/>
  <c r="M145" i="1" s="1"/>
  <c r="N145" i="1" s="1"/>
  <c r="J144" i="1"/>
  <c r="K144" i="1" s="1"/>
  <c r="M144" i="1" s="1"/>
  <c r="N144" i="1" s="1"/>
  <c r="J143" i="1"/>
  <c r="K143" i="1" s="1"/>
  <c r="M143" i="1" s="1"/>
  <c r="N143" i="1" s="1"/>
  <c r="J142" i="1"/>
  <c r="K142" i="1" s="1"/>
  <c r="M142" i="1" s="1"/>
  <c r="N142" i="1" s="1"/>
  <c r="J141" i="1"/>
  <c r="K141" i="1" s="1"/>
  <c r="J140" i="1"/>
  <c r="K140" i="1" s="1"/>
  <c r="M140" i="1" s="1"/>
  <c r="N140" i="1" s="1"/>
  <c r="J139" i="1"/>
  <c r="K139" i="1" s="1"/>
  <c r="M139" i="1" s="1"/>
  <c r="N139" i="1" s="1"/>
  <c r="J138" i="1"/>
  <c r="K138" i="1" s="1"/>
  <c r="M138" i="1" s="1"/>
  <c r="N138" i="1" s="1"/>
  <c r="J137" i="1"/>
  <c r="K137" i="1" s="1"/>
  <c r="M137" i="1" s="1"/>
  <c r="N137" i="1" s="1"/>
  <c r="J136" i="1"/>
  <c r="K136" i="1" s="1"/>
  <c r="M136" i="1" s="1"/>
  <c r="N136" i="1" s="1"/>
  <c r="J135" i="1"/>
  <c r="K135" i="1" s="1"/>
  <c r="M135" i="1" s="1"/>
  <c r="N135" i="1" s="1"/>
  <c r="J134" i="1"/>
  <c r="K134" i="1" s="1"/>
  <c r="M134" i="1" s="1"/>
  <c r="N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M113" i="1" s="1"/>
  <c r="N113" i="1" s="1"/>
  <c r="J112" i="1"/>
  <c r="K112" i="1" s="1"/>
  <c r="M112" i="1" s="1"/>
  <c r="N112" i="1" s="1"/>
  <c r="J111" i="1"/>
  <c r="K111" i="1" s="1"/>
  <c r="M111" i="1" s="1"/>
  <c r="N111" i="1" s="1"/>
  <c r="J110" i="1"/>
  <c r="K110" i="1" s="1"/>
  <c r="M110" i="1" s="1"/>
  <c r="N110" i="1" s="1"/>
  <c r="J109" i="1"/>
  <c r="K109" i="1" s="1"/>
  <c r="M109" i="1" s="1"/>
  <c r="N109" i="1" s="1"/>
  <c r="J108" i="1"/>
  <c r="K108" i="1" s="1"/>
  <c r="M108" i="1" s="1"/>
  <c r="N108" i="1" s="1"/>
  <c r="J107" i="1"/>
  <c r="K107" i="1" s="1"/>
  <c r="J106" i="1"/>
  <c r="K106" i="1" s="1"/>
  <c r="M106" i="1" s="1"/>
  <c r="N106" i="1" s="1"/>
  <c r="J105" i="1"/>
  <c r="K105" i="1" s="1"/>
  <c r="M105" i="1" s="1"/>
  <c r="N105" i="1" s="1"/>
  <c r="J104" i="1"/>
  <c r="K104" i="1" s="1"/>
  <c r="M104" i="1" s="1"/>
  <c r="N104" i="1" s="1"/>
  <c r="J103" i="1"/>
  <c r="J102" i="1"/>
  <c r="K102" i="1" s="1"/>
  <c r="M102" i="1" s="1"/>
  <c r="N102" i="1" s="1"/>
  <c r="J101" i="1"/>
  <c r="K101" i="1" s="1"/>
  <c r="M101" i="1" s="1"/>
  <c r="N101" i="1" s="1"/>
  <c r="J100" i="1"/>
  <c r="K100" i="1" s="1"/>
  <c r="M100" i="1" s="1"/>
  <c r="N100" i="1" s="1"/>
  <c r="J99" i="1"/>
  <c r="J98" i="1"/>
  <c r="K98" i="1" s="1"/>
  <c r="M98" i="1" s="1"/>
  <c r="N98" i="1" s="1"/>
  <c r="J97" i="1"/>
  <c r="K97" i="1" s="1"/>
  <c r="M97" i="1" s="1"/>
  <c r="N97" i="1" s="1"/>
  <c r="J96" i="1"/>
  <c r="K96" i="1" s="1"/>
  <c r="M96" i="1" s="1"/>
  <c r="N96" i="1" s="1"/>
  <c r="J95" i="1"/>
  <c r="K95" i="1" s="1"/>
  <c r="M95" i="1" s="1"/>
  <c r="N95" i="1" s="1"/>
  <c r="J94" i="1"/>
  <c r="K94" i="1" s="1"/>
  <c r="M94" i="1" s="1"/>
  <c r="N94" i="1" s="1"/>
  <c r="J93" i="1"/>
  <c r="K93" i="1" s="1"/>
  <c r="M93" i="1" s="1"/>
  <c r="N93" i="1" s="1"/>
  <c r="J92" i="1"/>
  <c r="K92" i="1" s="1"/>
  <c r="M92" i="1" s="1"/>
  <c r="N92" i="1" s="1"/>
  <c r="J91" i="1"/>
  <c r="K91" i="1" s="1"/>
  <c r="M91" i="1" s="1"/>
  <c r="N91" i="1" s="1"/>
  <c r="J90" i="1"/>
  <c r="K90" i="1" s="1"/>
  <c r="M90" i="1" s="1"/>
  <c r="N90" i="1" s="1"/>
  <c r="J89" i="1"/>
  <c r="K89" i="1" s="1"/>
  <c r="M89" i="1" s="1"/>
  <c r="N89" i="1" s="1"/>
  <c r="J88" i="1"/>
  <c r="K88" i="1" s="1"/>
  <c r="M88" i="1" s="1"/>
  <c r="N88" i="1" s="1"/>
  <c r="J87" i="1"/>
  <c r="K87" i="1" s="1"/>
  <c r="M87" i="1" s="1"/>
  <c r="N87" i="1" s="1"/>
  <c r="J86" i="1"/>
  <c r="K86" i="1" s="1"/>
  <c r="M86" i="1" s="1"/>
  <c r="N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M51" i="1" s="1"/>
  <c r="N51" i="1" s="1"/>
  <c r="J50" i="1"/>
  <c r="K50" i="1" s="1"/>
  <c r="M50" i="1" s="1"/>
  <c r="N50" i="1" s="1"/>
  <c r="J49" i="1"/>
  <c r="K49" i="1" s="1"/>
  <c r="M49" i="1" s="1"/>
  <c r="N49" i="1" s="1"/>
  <c r="J48" i="1"/>
  <c r="K48" i="1" s="1"/>
  <c r="J47" i="1"/>
  <c r="K47" i="1" s="1"/>
  <c r="M47" i="1" s="1"/>
  <c r="N47" i="1" s="1"/>
  <c r="J46" i="1"/>
  <c r="K46" i="1" s="1"/>
  <c r="J45" i="1"/>
  <c r="K45" i="1" s="1"/>
  <c r="M45" i="1" s="1"/>
  <c r="N45" i="1" s="1"/>
  <c r="J44" i="1"/>
  <c r="K44" i="1" s="1"/>
  <c r="M44" i="1" s="1"/>
  <c r="N44" i="1" s="1"/>
  <c r="J43" i="1"/>
  <c r="K43" i="1" s="1"/>
  <c r="M43" i="1" s="1"/>
  <c r="N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AJ277" i="2" s="1"/>
  <c r="AK277" i="2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M15" i="1" s="1"/>
  <c r="N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AJ289" i="2" s="1"/>
  <c r="AK289" i="2" s="1"/>
  <c r="J7" i="1"/>
  <c r="K7" i="1" s="1"/>
  <c r="M7" i="1" s="1"/>
  <c r="N7" i="1" s="1"/>
  <c r="J6" i="1"/>
  <c r="K6" i="1" s="1"/>
  <c r="J5" i="1"/>
  <c r="K5" i="1" s="1"/>
  <c r="J4" i="1"/>
  <c r="K4" i="1" s="1"/>
  <c r="J3" i="1"/>
  <c r="K3" i="1" s="1"/>
  <c r="J2" i="1"/>
  <c r="K2" i="1" s="1"/>
  <c r="D1" i="3" l="1"/>
  <c r="AJ302" i="2"/>
  <c r="AK302" i="2" s="1"/>
  <c r="AJ276" i="2"/>
  <c r="AK276" i="2" s="1"/>
  <c r="AJ317" i="2"/>
  <c r="AK317" i="2" s="1"/>
  <c r="K8" i="1"/>
  <c r="M8" i="1" s="1"/>
  <c r="N8" i="1" s="1"/>
  <c r="AJ300" i="2"/>
  <c r="AK300" i="2" s="1"/>
  <c r="AJ291" i="2"/>
  <c r="AK291" i="2" s="1"/>
  <c r="AJ294" i="2"/>
  <c r="AK294" i="2" s="1"/>
  <c r="AJ301" i="2"/>
  <c r="AK301" i="2" s="1"/>
  <c r="AJ310" i="2"/>
  <c r="AK310" i="2" s="1"/>
  <c r="AJ311" i="2"/>
  <c r="AK311" i="2" s="1"/>
  <c r="AJ309" i="2"/>
  <c r="AK309" i="2" s="1"/>
  <c r="K99" i="1"/>
  <c r="M99" i="1" s="1"/>
  <c r="N99" i="1" s="1"/>
  <c r="AJ312" i="2"/>
  <c r="AK312" i="2" s="1"/>
  <c r="AK292" i="2"/>
  <c r="AJ318" i="2"/>
  <c r="AK318" i="2" s="1"/>
  <c r="AJ284" i="2"/>
  <c r="AK284" i="2" s="1"/>
  <c r="AJ295" i="2"/>
  <c r="AK295" i="2" s="1"/>
  <c r="AJ296" i="2"/>
  <c r="AK296" i="2" s="1"/>
  <c r="K150" i="1"/>
  <c r="M150" i="1" s="1"/>
  <c r="N150" i="1" s="1"/>
  <c r="AJ282" i="2"/>
  <c r="AK282" i="2" s="1"/>
  <c r="AJ297" i="2"/>
  <c r="AK297" i="2" s="1"/>
  <c r="M107" i="1"/>
  <c r="N107" i="1" s="1"/>
  <c r="AJ305" i="2"/>
  <c r="AK305" i="2" s="1"/>
  <c r="AJ290" i="2"/>
  <c r="AK290" i="2" s="1"/>
  <c r="AJ298" i="2"/>
  <c r="AK298" i="2" s="1"/>
  <c r="AJ313" i="2"/>
  <c r="AK313" i="2" s="1"/>
  <c r="K103" i="1"/>
  <c r="M103" i="1" s="1"/>
  <c r="N103" i="1" s="1"/>
  <c r="AJ306" i="2"/>
  <c r="AK306" i="2" s="1"/>
  <c r="AJ304" i="2"/>
  <c r="AK304" i="2" s="1"/>
  <c r="AJ299" i="2"/>
  <c r="AK299" i="2" s="1"/>
  <c r="AJ314" i="2"/>
  <c r="AK314" i="2" s="1"/>
  <c r="AJ279" i="2"/>
  <c r="AK279" i="2" s="1"/>
  <c r="AJ315" i="2"/>
  <c r="AK315" i="2" s="1"/>
  <c r="AJ280" i="2"/>
  <c r="AK280" i="2" s="1"/>
  <c r="AJ303" i="2"/>
  <c r="AK303" i="2" s="1"/>
  <c r="K25" i="1"/>
  <c r="AJ278" i="2"/>
  <c r="AK278" i="2" s="1"/>
  <c r="AJ316" i="2"/>
  <c r="AK316" i="2" s="1"/>
  <c r="AJ281" i="2"/>
  <c r="AK281" i="2" s="1"/>
  <c r="AJ307" i="2"/>
  <c r="AK307" i="2" s="1"/>
  <c r="AJ283" i="2"/>
  <c r="AK283" i="2" s="1"/>
  <c r="AJ308" i="2"/>
  <c r="AK308" i="2" s="1"/>
  <c r="J182" i="1"/>
  <c r="J185" i="1"/>
  <c r="K185" i="1" s="1"/>
  <c r="M2" i="1"/>
  <c r="N2" i="1" s="1"/>
  <c r="H188" i="1"/>
  <c r="K183" i="1"/>
  <c r="M188" i="1" l="1"/>
  <c r="K182" i="1"/>
  <c r="J188" i="1"/>
  <c r="K188" i="1" l="1"/>
  <c r="P188" i="1" s="1"/>
  <c r="B4" i="11" s="1"/>
  <c r="B10" i="11" s="1"/>
  <c r="B13" i="11" l="1"/>
  <c r="AK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<sst xmlns="http://schemas.openxmlformats.org/spreadsheetml/2006/main" count="10372" uniqueCount="618">
  <si>
    <t>Sr.No.</t>
  </si>
  <si>
    <t>Particulars</t>
  </si>
  <si>
    <t>Bill Amt in USD</t>
  </si>
  <si>
    <t>Month- service Received</t>
  </si>
  <si>
    <t>Date</t>
  </si>
  <si>
    <t>INV NO</t>
  </si>
  <si>
    <t>EX.RATE</t>
  </si>
  <si>
    <t>INVOICE AMT</t>
  </si>
  <si>
    <t>TDS</t>
  </si>
  <si>
    <t>TDS AMOUNT</t>
  </si>
  <si>
    <t>AMT PAYABLE</t>
  </si>
  <si>
    <t>AMOUNT DEDUCTED</t>
  </si>
  <si>
    <t>AMOUNT PAID</t>
  </si>
  <si>
    <t>UTR NO/REMARK</t>
  </si>
  <si>
    <t>MONTH-INV Received &amp;BOOKED</t>
  </si>
  <si>
    <t>REMARK</t>
  </si>
  <si>
    <t>Storage Charges 1st Aug to 31st Aug 2024</t>
  </si>
  <si>
    <t>August, 2024</t>
  </si>
  <si>
    <t>6779IV124000167</t>
  </si>
  <si>
    <t>HDFCN52025072369906032</t>
  </si>
  <si>
    <t>LCL Charges</t>
  </si>
  <si>
    <t>6779IV124000168</t>
  </si>
  <si>
    <t>HDFCN52025032433793860</t>
  </si>
  <si>
    <t>Inbound Handling Charges</t>
  </si>
  <si>
    <t>6779IV124000169</t>
  </si>
  <si>
    <t>Not Approved</t>
  </si>
  <si>
    <t>Lolo Charges</t>
  </si>
  <si>
    <t>6779IV124000170</t>
  </si>
  <si>
    <t>Outbound Handling Charges</t>
  </si>
  <si>
    <t>6779IV124000171</t>
  </si>
  <si>
    <t>VAS Activity Charges</t>
  </si>
  <si>
    <t>6779IV124000172</t>
  </si>
  <si>
    <t>HDFCN52025061495304800</t>
  </si>
  <si>
    <t>Storage Charges 1st Sep to 30th Sep 2024</t>
  </si>
  <si>
    <t>September, 2024</t>
  </si>
  <si>
    <t>6779IV124000173</t>
  </si>
  <si>
    <t>6779IV124000174</t>
  </si>
  <si>
    <t>HDFCN52025032433793867</t>
  </si>
  <si>
    <t>6779IV124000175</t>
  </si>
  <si>
    <t>6779IV124000176</t>
  </si>
  <si>
    <t>6779IV124000177</t>
  </si>
  <si>
    <t>CY Movement Charges</t>
  </si>
  <si>
    <t>6779IV124000178</t>
  </si>
  <si>
    <t>6779IV124000179</t>
  </si>
  <si>
    <t>CREDIT NOTE AWAITED</t>
  </si>
  <si>
    <t>Storage Charges 1st Oct to 31st Oct 2024</t>
  </si>
  <si>
    <t>October, 2024</t>
  </si>
  <si>
    <t>6779IV124000180</t>
  </si>
  <si>
    <t>6779IV124000181</t>
  </si>
  <si>
    <t>HDFCN52025032433793886</t>
  </si>
  <si>
    <t>6779IV124000182</t>
  </si>
  <si>
    <t>6779IV124000183</t>
  </si>
  <si>
    <t>6779IV124000184</t>
  </si>
  <si>
    <t>6779IV124000185</t>
  </si>
  <si>
    <t>Storage Charges 1st Nov to 30th Nov 2024</t>
  </si>
  <si>
    <t>November, 2024</t>
  </si>
  <si>
    <t>6779IV124000186</t>
  </si>
  <si>
    <t>HDFCN52025031215974606</t>
  </si>
  <si>
    <t>6779IV124000187</t>
  </si>
  <si>
    <t>6779IV124000188</t>
  </si>
  <si>
    <t>6779IV124000189</t>
  </si>
  <si>
    <t>Storage Charges 1st Dec to 31st Dec 2024</t>
  </si>
  <si>
    <t>December, 2024</t>
  </si>
  <si>
    <t>6779IV124000190</t>
  </si>
  <si>
    <t>HDFCN52025031215976413</t>
  </si>
  <si>
    <t>6779IV124000191</t>
  </si>
  <si>
    <t>HDFCN52025032433793875</t>
  </si>
  <si>
    <t>6779IV124000192</t>
  </si>
  <si>
    <t>6779IV124000193</t>
  </si>
  <si>
    <t>6779IV124000194</t>
  </si>
  <si>
    <t>6779IV124000195</t>
  </si>
  <si>
    <t>Storage Charges 1st Jan to 31st Jan 2025</t>
  </si>
  <si>
    <t>January, 2025</t>
  </si>
  <si>
    <t>6779IV124000196</t>
  </si>
  <si>
    <t>HDFCN52025031215974609</t>
  </si>
  <si>
    <t>Transportation Inbound</t>
  </si>
  <si>
    <t>6779IV124000197</t>
  </si>
  <si>
    <t>HDFCN52025032433791996</t>
  </si>
  <si>
    <t>CY Destuff Charges</t>
  </si>
  <si>
    <t>6779IV124000198</t>
  </si>
  <si>
    <t>Empty Movement Charges</t>
  </si>
  <si>
    <t>6779IV124000199</t>
  </si>
  <si>
    <t>6779IV124000200</t>
  </si>
  <si>
    <t>HDFCN52025032433791993</t>
  </si>
  <si>
    <t>6779IV124000201</t>
  </si>
  <si>
    <t>Loose Unloading Charges</t>
  </si>
  <si>
    <t>6779IV124000202</t>
  </si>
  <si>
    <t>6779IV124000203</t>
  </si>
  <si>
    <t>6779IV124000204</t>
  </si>
  <si>
    <t>Loose Loading Charges</t>
  </si>
  <si>
    <t>6779IV124000205</t>
  </si>
  <si>
    <t>Storage Charges Feb, 25</t>
  </si>
  <si>
    <t>February, 2025</t>
  </si>
  <si>
    <t>256779410800</t>
  </si>
  <si>
    <t>HDFCN52025051435275414</t>
  </si>
  <si>
    <t>VAS Activity - Feb 25, Ex Rate.87.40</t>
  </si>
  <si>
    <t>256779412037</t>
  </si>
  <si>
    <t>Inbound Handling charges for Mar 2025</t>
  </si>
  <si>
    <t>March, 2025</t>
  </si>
  <si>
    <t>256779410039</t>
  </si>
  <si>
    <t>LCL charges for Mar 2025</t>
  </si>
  <si>
    <t>256779410040</t>
  </si>
  <si>
    <t>LOLO charges for Mar 2025</t>
  </si>
  <si>
    <t>256779410041</t>
  </si>
  <si>
    <t>Empty Cont. Outbound charges for Mar 2025</t>
  </si>
  <si>
    <t>256779410042</t>
  </si>
  <si>
    <t>Cy-WH Destuff charges for Mar 2025</t>
  </si>
  <si>
    <t>256779410102</t>
  </si>
  <si>
    <t>Inbound Handling charges for Mar 2025 Exch. Rate 8</t>
  </si>
  <si>
    <t>256779410103</t>
  </si>
  <si>
    <t>Gate in charges for Mar 2025 Exch. Rate 87.01</t>
  </si>
  <si>
    <t>256779410104</t>
  </si>
  <si>
    <t>VAS Activity -1 -15 Mar 25, Ex Rate. 87.01</t>
  </si>
  <si>
    <t>256779410183</t>
  </si>
  <si>
    <t>Storage Charges Mar, 25</t>
  </si>
  <si>
    <t>256779412122</t>
  </si>
  <si>
    <t>Outbound Handling Charges Aug 2024</t>
  </si>
  <si>
    <t>256779411261</t>
  </si>
  <si>
    <t>Lolo Charges Aug 2024</t>
  </si>
  <si>
    <t>256779411258</t>
  </si>
  <si>
    <t>256779411259</t>
  </si>
  <si>
    <t>256779411260</t>
  </si>
  <si>
    <t>LCL Charges August 2024</t>
  </si>
  <si>
    <t>256779411010</t>
  </si>
  <si>
    <t>Inbound Handling for August 24</t>
  </si>
  <si>
    <t>Lolo Charges for Aug 2024</t>
  </si>
  <si>
    <t>256779411007</t>
  </si>
  <si>
    <t>256779411008</t>
  </si>
  <si>
    <t>256779411009</t>
  </si>
  <si>
    <t>Outbound Handling charges for 31 MAR 25</t>
  </si>
  <si>
    <t>256779412630</t>
  </si>
  <si>
    <t>LOLO charges for 31 Mar 25</t>
  </si>
  <si>
    <t>Inbound Handling charges for 1 Mar 2025</t>
  </si>
  <si>
    <t>256779412598</t>
  </si>
  <si>
    <t>Cy-WH Destuff charges for 31Mar 2025</t>
  </si>
  <si>
    <t>LCL charges for 31 Mar 2025</t>
  </si>
  <si>
    <t>Transportation Inbound charges MAR25</t>
  </si>
  <si>
    <t>Transportation In Chgs - 01 - 15 April25</t>
  </si>
  <si>
    <t>April, 2025</t>
  </si>
  <si>
    <t>256779412875</t>
  </si>
  <si>
    <t>CY WH Destuff chgs - 01 - 15 April25</t>
  </si>
  <si>
    <t>Empty Cont Out - 01 - 15 Apr 25</t>
  </si>
  <si>
    <t>LCL Chgs - 01 - 15 Apr 25</t>
  </si>
  <si>
    <t>Inbound chgs - 01 - 15 Apr 25</t>
  </si>
  <si>
    <t>LOLO chgs - 01 - 15 Apr 25</t>
  </si>
  <si>
    <t>Outbound chgs - 01 - 15 Apr 25</t>
  </si>
  <si>
    <t>256779412903</t>
  </si>
  <si>
    <t>VAS - 16-30 April 25, Ex.Rate-85.05</t>
  </si>
  <si>
    <t>VAS 1-15 April-25,Ex.Rate-85.69</t>
  </si>
  <si>
    <t>HDFCN52025060575568983</t>
  </si>
  <si>
    <t>Weighment-16-30 April25, Ex.Rate-85.05</t>
  </si>
  <si>
    <t>Outbound Handling charges for Feb 2025</t>
  </si>
  <si>
    <t>CY-Movement Charges for Feb 2025</t>
  </si>
  <si>
    <t>LOLO Charges for Feb 2025</t>
  </si>
  <si>
    <t>Outbound chgs - 16 - 30 Apr 25 ( SB1157033 )</t>
  </si>
  <si>
    <t>Outbound chgs - 01 - 15 MAY 25 ( SB1502152 )</t>
  </si>
  <si>
    <t>Storage Chgs - 01 - 31 Apr 25</t>
  </si>
  <si>
    <t>VAS -1-15 May 25, Ex.rate 85.43</t>
  </si>
  <si>
    <t>May,2025</t>
  </si>
  <si>
    <t>Weighment &amp; Misc, 1-15 May 25</t>
  </si>
  <si>
    <t>Empty Lolo Chgs - 01 - 31 Apr 25</t>
  </si>
  <si>
    <t>LCL Chgs - 16 - 30 Apr 25 ( BOEX5000091 / BOEX5000096 )</t>
  </si>
  <si>
    <t>Inbound chgs -16 - 30 Apr 25 ( BOEX5000091 / BOEX5000096 )</t>
  </si>
  <si>
    <t>LOLO chgs - 16 - 30 Apr 25 ( BOEX5000091 / BOEX5000096 )</t>
  </si>
  <si>
    <t>Unit storage -1-31 May 25</t>
  </si>
  <si>
    <t>Scanning  Chgs - 16 - 31 May 25 ( BOE2315452 )</t>
  </si>
  <si>
    <t>HDFCN52025062512710909</t>
  </si>
  <si>
    <t>Transportation In Chgs - 16-31 MAY 25 ( BOE2030748 )</t>
  </si>
  <si>
    <t>CY - WH destuff Chgs - 16-31 MAY 25 ( BOE2030748 )</t>
  </si>
  <si>
    <t>Inbound chgs - 16-31 MAY 25 ( BOE2030748 )</t>
  </si>
  <si>
    <t>Loose chgs - 16-31 MAY 25 ( BOE2030748 )</t>
  </si>
  <si>
    <t>LOLO chgs - 16-31 MAY 25 ( BOE2030748 )</t>
  </si>
  <si>
    <t>Transportation In Chgs - 01 - 15 JUN 25</t>
  </si>
  <si>
    <t>June,2025</t>
  </si>
  <si>
    <t>256779414785</t>
  </si>
  <si>
    <t>CY - WH destuff Chgs - 01 - 15 JUN 25</t>
  </si>
  <si>
    <t>Inbound chgs - 01 - 15 JUN 25</t>
  </si>
  <si>
    <t>LOLO chgs - 01 - 15 JUN 25</t>
  </si>
  <si>
    <t>Outbound chgs - 01 - 15 Jun 25</t>
  </si>
  <si>
    <t>256779414809</t>
  </si>
  <si>
    <t>Loose chgs - 01 - 15 Jun 25</t>
  </si>
  <si>
    <t>LOLO chgs - 01 - 15 Jun 25</t>
  </si>
  <si>
    <t>Transportation Out chgs - 16 - 30 Jun 25 WH 09</t>
  </si>
  <si>
    <t>CY - CY chgs - 16 - 30 Jun 25 WH 09</t>
  </si>
  <si>
    <t>Empty Cont In chgs - 16 - 30 Jun 25 WH 09</t>
  </si>
  <si>
    <t>Outbound chgs - 16 - 30 Jun 25 WH 09</t>
  </si>
  <si>
    <t>Loose chgs - 16 - 30 Jun 25 WH 09</t>
  </si>
  <si>
    <t>LOLO chgs - 16 - 30 Jun 25 WH 09</t>
  </si>
  <si>
    <t>PORT SSR Chgs June 25</t>
  </si>
  <si>
    <t>Detention Chgs - 16 - 30 JUN 25</t>
  </si>
  <si>
    <t>Transportation In Chgs - 16 - 30 JUN 25 WH09</t>
  </si>
  <si>
    <t>CY - WH destuff Chgs - 16 - 30 JUN 25 WH09</t>
  </si>
  <si>
    <t>Inbound chgs - 16 - 30 JUN 25 WH09</t>
  </si>
  <si>
    <t>LOLO chgs - 16 - 30 JUN 25 WH09</t>
  </si>
  <si>
    <t>Empty Cont Out chgs - 16 - 30 JUN 25 WH09</t>
  </si>
  <si>
    <t>Unit Storage - 1-30 June 25</t>
  </si>
  <si>
    <t>HDFCH00646925098</t>
  </si>
  <si>
    <t>PORT SSR Chgs Apr  to June 25</t>
  </si>
  <si>
    <t>HDFCN52025082227307462</t>
  </si>
  <si>
    <t>Weighment- 16-30 June 25</t>
  </si>
  <si>
    <t>Transportation In Chgs - 01 -15 MAY 25</t>
  </si>
  <si>
    <t>Inbound chgs - 01-15 MAY 25</t>
  </si>
  <si>
    <t>HDFCH00676798572</t>
  </si>
  <si>
    <t>LOLO chgs - 01-15 MAY 25</t>
  </si>
  <si>
    <t>Unit Storage - 1-31 July 25</t>
  </si>
  <si>
    <t>July,25</t>
  </si>
  <si>
    <t>HDFCN52025100205721894</t>
  </si>
  <si>
    <t>Transportation In Chgs - 16 - 31 Jul 25</t>
  </si>
  <si>
    <t>Empty Lolo Chgs - 01 - 31 JUL 25</t>
  </si>
  <si>
    <t>HDFCN52025082733046460</t>
  </si>
  <si>
    <t>Cy - WH destuff - 16 - 31 JUL 25</t>
  </si>
  <si>
    <t>Inbound chgs - 16 - 31 JUL 25</t>
  </si>
  <si>
    <t>HDFCN52025090553870975</t>
  </si>
  <si>
    <t>Lolo chgs - 16 - 31 JUL 25</t>
  </si>
  <si>
    <t>Transportation In Chgs - 16 - 31 JUL 25</t>
  </si>
  <si>
    <t>Outbound chgs - 16 - 31 Jul 25</t>
  </si>
  <si>
    <t>Lolo chgs - 16 - 31 Jul 25</t>
  </si>
  <si>
    <t>VAS 16-31 July 25</t>
  </si>
  <si>
    <t>Weighment - 16-31 July 25</t>
  </si>
  <si>
    <t>PORT SSR Chgs July 25</t>
  </si>
  <si>
    <t>VAS - 16-30 June 25</t>
  </si>
  <si>
    <t>Empty Cont Out Chgs - 16 - 31 Jul 25</t>
  </si>
  <si>
    <t>Weighment-Aug 25- 1-15</t>
  </si>
  <si>
    <t>August, 2025</t>
  </si>
  <si>
    <t>Transportation In Chgs - 01 - 15 AUG 25 Invista ( WH 09 )</t>
  </si>
  <si>
    <t>HDFCN52025100308494407</t>
  </si>
  <si>
    <t>Outbound chgs - 01 - 15 Aug 25 WH 09</t>
  </si>
  <si>
    <t>VAS -16-31 Aug 25</t>
  </si>
  <si>
    <t>WEIGHMENT -16-31 Aug 25</t>
  </si>
  <si>
    <t>Detention Chgs - 01 - 31 AUG 25</t>
  </si>
  <si>
    <t>PORT SSR Chgs Aug 25</t>
  </si>
  <si>
    <t>Cy - WH destuff - 16 - 31 AUG 25 ( WH 09 )</t>
  </si>
  <si>
    <t>Inbound chgs - 16 - 31 AUG 25 ( WH 09 )</t>
  </si>
  <si>
    <t>Lolo chgs - 16 - 31 AUG 25 ( WH 09 )</t>
  </si>
  <si>
    <t>Outbound chgs - 16 - 31 Aug 25 WH 09</t>
  </si>
  <si>
    <t>Lolo chgs - 16 - 31 Aug 25 WH 09</t>
  </si>
  <si>
    <t>Unit-Storage-1-31 Aug 25</t>
  </si>
  <si>
    <t>VAS Activity - Feb 25, Ex Rate. 87.40</t>
  </si>
  <si>
    <t>Transportation In Chgs - 16 - 30 SEP 25 ( WH 09 )</t>
  </si>
  <si>
    <t>September, 2025</t>
  </si>
  <si>
    <t>Transportation In Chgs - 01 - 15 OCT 25 ( WH 09 )</t>
  </si>
  <si>
    <t>October, 2025</t>
  </si>
  <si>
    <t>PORT SSR Chgs Oct 25</t>
  </si>
  <si>
    <t>Bond Stamp Paper Chgs Oct 25</t>
  </si>
  <si>
    <t>Unit Storage - 1-31 Oct 2025</t>
  </si>
  <si>
    <t>Transportation In Chgs - 16 - 30 Nov 25 ( CY - Longstanding )</t>
  </si>
  <si>
    <t>November, 2025</t>
  </si>
  <si>
    <t>HDFCH00806112855</t>
  </si>
  <si>
    <t>Bond Stamp Paper Chgs Nov 25</t>
  </si>
  <si>
    <t>HDFCH00806112854</t>
  </si>
  <si>
    <t>Unit Storage - 1-30 Nov 2025</t>
  </si>
  <si>
    <t>Scanning  Chgs - 16 - 30 Nov 25</t>
  </si>
  <si>
    <t>Transportation IN Chgs - 01 - 15 DEC 25 ( WH 09 )</t>
  </si>
  <si>
    <t>December, 2025</t>
  </si>
  <si>
    <t>PORT SSR Chgs Dec 25</t>
  </si>
  <si>
    <t>Unit Storage - 1-31 DEC 2025</t>
  </si>
  <si>
    <t>Approved</t>
  </si>
  <si>
    <t>LCL Chgs - 16 - 31 JAN 26 ( WH 09 )</t>
  </si>
  <si>
    <t>January, 2026</t>
  </si>
  <si>
    <t>Inbound chgs - 16 - 31 JAN 26 ( WH 09 )</t>
  </si>
  <si>
    <t>Loose chgs - 16 - 31 JAN 26 ( WH 09 )</t>
  </si>
  <si>
    <t>Unit Storage 1-31 Jan 2026</t>
  </si>
  <si>
    <t>On Account Payment</t>
  </si>
  <si>
    <t>05/06/25</t>
  </si>
  <si>
    <t>HDFCN52025060575565670</t>
  </si>
  <si>
    <t>Outstanding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</si>
  <si>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</si>
  <si>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</si>
  <si>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</si>
  <si>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</si>
  <si>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</si>
  <si>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</si>
  <si>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</si>
  <si>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</si>
  <si>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</si>
  <si>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</si>
  <si>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</si>
  <si>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</si>
  <si>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</si>
  <si>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</si>
  <si>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</si>
  <si>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</si>
  <si>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</si>
  <si>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</si>
  <si>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</si>
  <si>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</si>
  <si>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</si>
  <si>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</si>
  <si>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</si>
  <si>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</si>
  <si>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</si>
  <si>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</si>
  <si>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</si>
  <si>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</si>
  <si>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</si>
  <si>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</si>
  <si>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</si>
  <si>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</si>
  <si>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Selected</t>
  </si>
  <si>
    <t>6779</t>
  </si>
  <si>
    <t>100222397</t>
  </si>
  <si>
    <t>BARNET INDIA PRIVATE LIMITED</t>
  </si>
  <si>
    <t>2025</t>
  </si>
  <si>
    <t>9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</si>
  <si>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</si>
  <si>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</si>
  <si>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</si>
  <si>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</si>
  <si>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</si>
  <si>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</si>
  <si>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</si>
  <si>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</si>
  <si>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4</t>
  </si>
  <si>
    <t>6779220000</t>
  </si>
  <si>
    <t>Due to Unavilability of payment advice</t>
  </si>
  <si>
    <t>As per SME conformation we park prepay</t>
  </si>
  <si>
    <t>17</t>
  </si>
  <si>
    <t>2</t>
  </si>
  <si>
    <t>12</t>
  </si>
  <si>
    <t>DZ</t>
  </si>
  <si>
    <t>G15K40FCKGJH</t>
  </si>
  <si>
    <t>5</t>
  </si>
  <si>
    <t>10</t>
  </si>
  <si>
    <t>HDFCH00465695692</t>
  </si>
  <si>
    <t>08</t>
  </si>
  <si>
    <t>11</t>
  </si>
  <si>
    <t>Not Selected</t>
  </si>
  <si>
    <t>3</t>
  </si>
  <si>
    <t>CT68PKL3P93Q</t>
  </si>
  <si>
    <t>05</t>
  </si>
  <si>
    <t>8</t>
  </si>
  <si>
    <t>D2WMGTC7VB6Y</t>
  </si>
  <si>
    <t>NA</t>
  </si>
  <si>
    <t>USD</t>
  </si>
  <si>
    <t>7</t>
  </si>
  <si>
    <t>6779224501</t>
  </si>
  <si>
    <t>XC</t>
  </si>
  <si>
    <t>01</t>
  </si>
  <si>
    <t>KNOCK OFF ENTRY</t>
  </si>
  <si>
    <t>KNOKC OFF ENTRY</t>
  </si>
  <si>
    <t>XB</t>
  </si>
  <si>
    <t>6779IV125000009</t>
  </si>
  <si>
    <t>O0</t>
  </si>
  <si>
    <t>VAS Activity Charges. USD 125.59 @ INR 87.59 per U</t>
  </si>
  <si>
    <t>27</t>
  </si>
  <si>
    <t>VAS Activity Charges. USD 150.71 @ INR 87.59 per U</t>
  </si>
  <si>
    <t>67</t>
  </si>
  <si>
    <t>Storage Charges 1st Nov to 30th Nov 2024. USD 887.</t>
  </si>
  <si>
    <t>75</t>
  </si>
  <si>
    <t>Storage Charges 1st Dec to 31st Dec 2024. USD 364.</t>
  </si>
  <si>
    <t>37</t>
  </si>
  <si>
    <t>Storage Charges 1st Jan to 31st Jan 2025. USD 1231</t>
  </si>
  <si>
    <t>61</t>
  </si>
  <si>
    <t>LCL Charges. USD 132 @ INR 87.59 per USD - GST eIn</t>
  </si>
  <si>
    <t>LCL Charges. USD 211.2 @ INR 87.59 per USD - GST e</t>
  </si>
  <si>
    <t>31</t>
  </si>
  <si>
    <t>47</t>
  </si>
  <si>
    <t>LCL Charges. USD 52.8 @ INR 87.59 per USD - GST eI</t>
  </si>
  <si>
    <t>39</t>
  </si>
  <si>
    <t>Transportation Inbound. USD 180 @ INR 87.59 per US</t>
  </si>
  <si>
    <t>77</t>
  </si>
  <si>
    <t>13</t>
  </si>
  <si>
    <t>Storage Charges 1st Sep to 30th Sep 2024. USD 1495</t>
  </si>
  <si>
    <t>29</t>
  </si>
  <si>
    <t>Storage Charges 1st Oct to 31st Oct 2024. USD 2991</t>
  </si>
  <si>
    <t>59</t>
  </si>
  <si>
    <t>Storage Charges 1st Aug to 31st Aug 2024. USD 960.</t>
  </si>
  <si>
    <t>Lolo Charges. USD 691.2 @ INR 87.59 per USD - GST</t>
  </si>
  <si>
    <t>Inbound Handling Charges. USD 188.95 @ INR 87.59 p</t>
  </si>
  <si>
    <t>Lolo Charges. USD 172.8 @ INR 87.59 per USD - GST</t>
  </si>
  <si>
    <t>CY Movement Charges. USD 54 @ INR 87.59 per USD -</t>
  </si>
  <si>
    <t>Outbound Handling Charges. USD 472.38 @ INR 87.59</t>
  </si>
  <si>
    <t>Inbound Handling Charges. USD 755.81 @ INR 87.59 p</t>
  </si>
  <si>
    <t>19</t>
  </si>
  <si>
    <t>Lolo Charges. USD 475.2 @ INR 87.59 per USD - GST</t>
  </si>
  <si>
    <t>21</t>
  </si>
  <si>
    <t>Outbound Handling Charges. USD 283.43 @ INR 87.59</t>
  </si>
  <si>
    <t>23</t>
  </si>
  <si>
    <t>CY Movement Charges. USD 216 @ INR 87.59 per USD -</t>
  </si>
  <si>
    <t>25</t>
  </si>
  <si>
    <t>CY Movement Charges. USD 81 @ INR 87.59 per USD -</t>
  </si>
  <si>
    <t>33</t>
  </si>
  <si>
    <t>Inbound Handling Charges. USD 755.81 @ INR 24.47 p</t>
  </si>
  <si>
    <t>35</t>
  </si>
  <si>
    <t>Outbound Handling Charges. USD 188.95 @ INR 87.59</t>
  </si>
  <si>
    <t>41</t>
  </si>
  <si>
    <t>CY Destuff Charges. USD 27 @ INR 87.59 per USD - G</t>
  </si>
  <si>
    <t>43</t>
  </si>
  <si>
    <t>Empty Movement Charges. USD 180 @ INR 87.59 per US</t>
  </si>
  <si>
    <t>45</t>
  </si>
  <si>
    <t>Outbound Handling Charges. USD 755.81 @ INR 87.59</t>
  </si>
  <si>
    <t>49</t>
  </si>
  <si>
    <t>Inbound Handling Charges. USD 252.93 @ INR 87.59 p</t>
  </si>
  <si>
    <t>51</t>
  </si>
  <si>
    <t>Loose Unloading Charges. USD 31.99 @ INR 87.59 per</t>
  </si>
  <si>
    <t>53</t>
  </si>
  <si>
    <t>Lolo Charges. USD 129.6 @ INR 87.59 per USD - GST</t>
  </si>
  <si>
    <t>55</t>
  </si>
  <si>
    <t>Outbound Handling Charges. USD 63.98 @ INR 87.59 p</t>
  </si>
  <si>
    <t>57</t>
  </si>
  <si>
    <t>Loose Loading Charges. USD 31.99 @ INR 87.59 per U</t>
  </si>
  <si>
    <t>63</t>
  </si>
  <si>
    <t>Inbound Handling Charges. USD 472.38 @ INR 87.59 p</t>
  </si>
  <si>
    <t>65</t>
  </si>
  <si>
    <t>Lolo Charges. USD 432 @ INR 87.59 per USD - GST eI</t>
  </si>
  <si>
    <t>69</t>
  </si>
  <si>
    <t>CY Movement Charges. USD 162 @ INR 87.59 per USD -</t>
  </si>
  <si>
    <t>71</t>
  </si>
  <si>
    <t>Outbound Handling Charges. USD 566.86 @ INR 87.59</t>
  </si>
  <si>
    <t>73</t>
  </si>
  <si>
    <t>Lolo Charges. USD 259.2 @ INR 87.59 per USD - GST</t>
  </si>
  <si>
    <t>6779ZR25000011</t>
  </si>
  <si>
    <t>6779ZP25000179</t>
  </si>
  <si>
    <t>6779ZP25000178</t>
  </si>
  <si>
    <t>6779ZR25000012</t>
  </si>
  <si>
    <t>6779ZP25000180</t>
  </si>
  <si>
    <t>6779ZR25000013</t>
  </si>
  <si>
    <t>DR</t>
  </si>
  <si>
    <t>Storage Charges Jan, 25</t>
  </si>
  <si>
    <t>VAS Activity Charges for the month of September, 2</t>
  </si>
  <si>
    <t>2102586</t>
  </si>
  <si>
    <t>Inbound Handling charges for Dec 2024</t>
  </si>
  <si>
    <t>LCL charges for Dec 2024</t>
  </si>
  <si>
    <t>LOLO charges for Dec 2024</t>
  </si>
  <si>
    <t>Outbound Handling charges for Dec 2024</t>
  </si>
  <si>
    <t>CY - CY charges for Dec 2024</t>
  </si>
  <si>
    <t>VAS Activity Charges for the month of August, 24</t>
  </si>
  <si>
    <t>Cy - WH destuff - 16 - 31 AUG 25</t>
  </si>
  <si>
    <t>2096996</t>
  </si>
  <si>
    <t>Outbound chgs - 16 - 31 Aug 25</t>
  </si>
  <si>
    <t>Transportation In Chgs - 16 - 30 JUN 25</t>
  </si>
  <si>
    <t>Outbound chgs - 16 - 30 Jun 25</t>
  </si>
  <si>
    <t>2123390</t>
  </si>
  <si>
    <t>2123630</t>
  </si>
  <si>
    <t>2123648</t>
  </si>
  <si>
    <t>6</t>
  </si>
  <si>
    <t>Scanning  Chgs - 16 - 31 May 25</t>
  </si>
  <si>
    <t>Transportation In Chgs - 16-31 MAY 25</t>
  </si>
  <si>
    <t>DG</t>
  </si>
  <si>
    <t>Credit note against 246779414018</t>
  </si>
  <si>
    <t>Credit note against 246779414565</t>
  </si>
  <si>
    <t>Credit note against 246779414634</t>
  </si>
  <si>
    <t>Credit note against 246779414709</t>
  </si>
  <si>
    <t>Credit note against 246779414433</t>
  </si>
  <si>
    <t>Credit note against 246779414434</t>
  </si>
  <si>
    <t>Credit note against 246779414435</t>
  </si>
  <si>
    <t>Credit note against 246779414436</t>
  </si>
  <si>
    <t>Credit note against 246779414437</t>
  </si>
  <si>
    <t>Credit note against 246779414439</t>
  </si>
  <si>
    <t>Credit note against 246779411549</t>
  </si>
  <si>
    <t>Credit note against 246779411550</t>
  </si>
  <si>
    <t>Credit note against 246779411551</t>
  </si>
  <si>
    <t>Credit note against 246779411552</t>
  </si>
  <si>
    <t>Credit note against 246779411370</t>
  </si>
  <si>
    <t>Credit note against 246779411371</t>
  </si>
  <si>
    <t>Credit note against 246779411372</t>
  </si>
  <si>
    <t>Credit note against 246779411373</t>
  </si>
  <si>
    <t>Credit note against 246779412161</t>
  </si>
  <si>
    <t>Credit note against 246779412307</t>
  </si>
  <si>
    <t>Credit note against 246779412309</t>
  </si>
  <si>
    <t>Credit note against 256779411838</t>
  </si>
  <si>
    <t>Credit note against 246779414636</t>
  </si>
  <si>
    <t>Credit note against 246779414563</t>
  </si>
  <si>
    <t>Credit note against 246779414564</t>
  </si>
  <si>
    <t>Credit note against 246779414635</t>
  </si>
  <si>
    <t>Credit note against 246779414710</t>
  </si>
  <si>
    <t>Credit note against 246779413974</t>
  </si>
  <si>
    <t>Credit note against 246779414084</t>
  </si>
  <si>
    <t>Credit note against 246779414085</t>
  </si>
  <si>
    <t>Credit note against 246779414086</t>
  </si>
  <si>
    <t>Credit note against 246779414179</t>
  </si>
  <si>
    <t>Credit note against 246779414180</t>
  </si>
  <si>
    <t>Credit note against 246779414181</t>
  </si>
  <si>
    <t>Credit note against 246779414438</t>
  </si>
  <si>
    <t>Credit note against 246779412159</t>
  </si>
  <si>
    <t>Credit note against 246779412160</t>
  </si>
  <si>
    <t>Credit note against 246779412162</t>
  </si>
  <si>
    <t>Credit note against 246779412308</t>
  </si>
  <si>
    <t>Credit note against 246779412310</t>
  </si>
  <si>
    <t>Credit note against 246779414262</t>
  </si>
  <si>
    <t>Credit note against 246779414263</t>
  </si>
  <si>
    <t>Credit note against 246779414264</t>
  </si>
  <si>
    <t>Credit note against 256779411758</t>
  </si>
  <si>
    <t>Credit note against 256779411759</t>
  </si>
  <si>
    <t>Credit note against 256779411760</t>
  </si>
  <si>
    <t>Credit note against 256779410818</t>
  </si>
  <si>
    <t>Credit note against 256779411836</t>
  </si>
  <si>
    <t>Credit note against 256779411837</t>
  </si>
  <si>
    <t>LCL Chgs - 16 - 30 Apr 25</t>
  </si>
  <si>
    <t>Outbound chgs - 16 - 30 Apr 25</t>
  </si>
  <si>
    <t>Inbound Handling charges for Jan 2025</t>
  </si>
  <si>
    <t>Detention Charges for JAN 2025 Exch. Rate 86.60</t>
  </si>
  <si>
    <t>Inbound Handling charges for Sep 2024</t>
  </si>
  <si>
    <t>LCL charges for Sep 2024</t>
  </si>
  <si>
    <t>LOLO charges for Jan Sep 2024</t>
  </si>
  <si>
    <t>Outbound Handling charges for Sep 2024</t>
  </si>
  <si>
    <t>CY - CY charges for Sep 2024</t>
  </si>
  <si>
    <t>LOLO charges for Sep 2024</t>
  </si>
  <si>
    <t>Loose Unloading charges for Jan 2025</t>
  </si>
  <si>
    <t>LCL charges for Jan 2025</t>
  </si>
  <si>
    <t>Transportation Inbound charges for Jan 2025</t>
  </si>
  <si>
    <t>Empty Cont Outbound charges for Jan 2025</t>
  </si>
  <si>
    <t>Cy-WH Destuff charges for Jan 2025</t>
  </si>
  <si>
    <t>LOLO charges for Jan 2025</t>
  </si>
  <si>
    <t>CY-MOVEMENT CHARGES for Nov 2024</t>
  </si>
  <si>
    <t>LOLO Charges for Oct 2024</t>
  </si>
  <si>
    <t>CY-MOVEMENT CHARGES for Oct 2024</t>
  </si>
  <si>
    <t>Outbound Handling charges for Oct 2024</t>
  </si>
  <si>
    <t>LOLO Charges for Nov 2024</t>
  </si>
  <si>
    <t>Outbound Handling charges for Nov 2024</t>
  </si>
  <si>
    <t>Outbound Handling charges for Jan 2025</t>
  </si>
  <si>
    <t>Loose Loading Handling charges for Jan 2025</t>
  </si>
  <si>
    <t>Transportation In Chgs - 01 - 15 AUG 25</t>
  </si>
  <si>
    <t>Outbound chgs - 01 - 15 Aug 25</t>
  </si>
  <si>
    <t>2140080</t>
  </si>
  <si>
    <t>Outbound chgs - 01 - 15 MAY 25</t>
  </si>
  <si>
    <t>CY - CY charges for Mar 25</t>
  </si>
  <si>
    <t>Outbound Handling charges for Mar 25</t>
  </si>
  <si>
    <t>LOLO charges for Mar 25</t>
  </si>
  <si>
    <t>2114881</t>
  </si>
  <si>
    <t>Transportation In Chgs - 01 - 15 OCT 25</t>
  </si>
  <si>
    <t>Credit Note raised against 256779413869</t>
  </si>
  <si>
    <t>Inbound Handling charges for 31 Mar 2025</t>
  </si>
  <si>
    <t>Outbound Handling charges for 31 Mar 25</t>
  </si>
  <si>
    <t>2140069</t>
  </si>
  <si>
    <t>Transportation In Chgs - 16 - 30 Nov 25</t>
  </si>
  <si>
    <t>Transportation In Chgs - 01 - 15 Apr 25</t>
  </si>
  <si>
    <t>Inbound Handling charges for Oct 2024</t>
  </si>
  <si>
    <t>LCL Movement Charges for Oct 2024</t>
  </si>
  <si>
    <t>Transportation In Chgs - 16 - 30 SEP 25</t>
  </si>
  <si>
    <t>2026</t>
  </si>
  <si>
    <t>2139799</t>
  </si>
  <si>
    <t>2139808</t>
  </si>
  <si>
    <t>2156406</t>
  </si>
  <si>
    <t>Transportation IN Chgs - 01 - 15 DEC 25</t>
  </si>
  <si>
    <t>G90RGJ9HVGZQ</t>
  </si>
  <si>
    <t>2158342</t>
  </si>
  <si>
    <t>2158411</t>
  </si>
  <si>
    <t>2172711</t>
  </si>
  <si>
    <t>2173095</t>
  </si>
  <si>
    <t>LCL Chgs - 16 - 31 JAN 26</t>
  </si>
  <si>
    <t>H3YKFZWVB0GN</t>
  </si>
  <si>
    <t>H2PMXC728CY0</t>
  </si>
  <si>
    <t>Rate</t>
  </si>
  <si>
    <t>Difference</t>
  </si>
  <si>
    <t>Gross Amount</t>
  </si>
  <si>
    <t>Net Amount</t>
  </si>
  <si>
    <t xml:space="preserve">As per Customer </t>
  </si>
  <si>
    <t>Sum of AMOUNT PAID</t>
  </si>
  <si>
    <t>Qtr4</t>
  </si>
  <si>
    <t>Dec</t>
  </si>
  <si>
    <t>Qtr1</t>
  </si>
  <si>
    <t>Feb</t>
  </si>
  <si>
    <t>Mar</t>
  </si>
  <si>
    <t>Qtr2</t>
  </si>
  <si>
    <t>May</t>
  </si>
  <si>
    <t>Jun</t>
  </si>
  <si>
    <t>Qtr3</t>
  </si>
  <si>
    <t>Jul</t>
  </si>
  <si>
    <t>Aug</t>
  </si>
  <si>
    <t>Sep</t>
  </si>
  <si>
    <t>Oct</t>
  </si>
  <si>
    <t>Years</t>
  </si>
  <si>
    <t>Quarters</t>
  </si>
  <si>
    <t>Apr</t>
  </si>
  <si>
    <t>Nov</t>
  </si>
  <si>
    <t>Jan</t>
  </si>
  <si>
    <t>Sum of Company Code Currency Value</t>
  </si>
  <si>
    <t>as per SME conformation we park prepay</t>
  </si>
  <si>
    <t>Reconciliation of Ledger as on 31st January 2026</t>
  </si>
  <si>
    <t>Amount</t>
  </si>
  <si>
    <t>Add: TDS recorded by customer but not in our books</t>
  </si>
  <si>
    <t>Derived balance</t>
  </si>
  <si>
    <t>Balance as per Ascendus</t>
  </si>
  <si>
    <t xml:space="preserve"> INVOICE AMT</t>
  </si>
  <si>
    <t xml:space="preserve"> TDS AMOUNT</t>
  </si>
  <si>
    <t xml:space="preserve"> AMT PAYABLE</t>
  </si>
  <si>
    <t xml:space="preserve"> AMOUNT DEDUCTED</t>
  </si>
  <si>
    <t xml:space="preserve"> AMOUNT PAID</t>
  </si>
  <si>
    <t>Total Payment</t>
  </si>
  <si>
    <t>Less: Difference in Invoice value in customers books</t>
  </si>
  <si>
    <t>Less: Duplicate CN in Ascendus Books</t>
  </si>
  <si>
    <t>Balance as per Barnet India Pvt Ltd</t>
  </si>
  <si>
    <t>less: Difference in Payment recorded in Ascendus books</t>
  </si>
  <si>
    <t>Add: Credit Note in Customer's Books</t>
  </si>
  <si>
    <t>AMOUNT DEDUCTED/Credit note</t>
  </si>
  <si>
    <t>Remarks</t>
  </si>
  <si>
    <t>Duplicate Invoice In customers Books</t>
  </si>
  <si>
    <t>Under reporting of invoice Value</t>
  </si>
  <si>
    <t>Invoice Value</t>
  </si>
  <si>
    <t xml:space="preserve">Duplicate CN in Ascendus </t>
  </si>
  <si>
    <t>Payment Date</t>
  </si>
  <si>
    <t>Customer Name</t>
  </si>
  <si>
    <t>Currency</t>
  </si>
  <si>
    <t>Recd Amount</t>
  </si>
  <si>
    <t>Bank Reference</t>
  </si>
  <si>
    <t>As per Ascendus Ledger</t>
  </si>
  <si>
    <t>As per Ascendus Bank Details</t>
  </si>
  <si>
    <t xml:space="preserve">      </t>
  </si>
  <si>
    <t xml:space="preserve"> </t>
  </si>
  <si>
    <t>Clearing Documents</t>
  </si>
  <si>
    <t>Row Labels</t>
  </si>
  <si>
    <t>Grand Total</t>
  </si>
  <si>
    <t>Not Yet Cleared</t>
  </si>
  <si>
    <t>As Per Bank Details</t>
  </si>
  <si>
    <t>As per Ascendus ledger</t>
  </si>
  <si>
    <t>Reasons</t>
  </si>
  <si>
    <t>Reco</t>
  </si>
  <si>
    <t>Documents Not Yet Cleared</t>
  </si>
  <si>
    <t>Not In Bank</t>
  </si>
  <si>
    <t>Foreign exchange Gain/Loss</t>
  </si>
  <si>
    <t xml:space="preserve">Part Payment Cleared </t>
  </si>
  <si>
    <t>Sum of TDS</t>
  </si>
  <si>
    <t>TDS Not Booked</t>
  </si>
  <si>
    <t>Payment reference as per customer</t>
  </si>
  <si>
    <t>HDFCH00646925098 &amp;HDFCH00676798572</t>
  </si>
  <si>
    <t>G15K40FCKGJH+G90RGJ9HVGZQ</t>
  </si>
  <si>
    <t>1400002197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</si>
</sst>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0"/>
      <name val="Arial"/>
      <family val="2"/>
    </font>
    <font>
      <sz val="10"/>
      <name val="Calibri  "/>
    </font>
    <font>
      <sz val="10"/>
      <color theme="1"/>
      <name val="Calibri  "/>
    </font>
    <font>
      <b/>
      <sz val="10"/>
      <name val="Calibri  "/>
    </font>
    <font>
      <b/>
      <sz val="10"/>
      <color theme="1"/>
      <name val="Calibri  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164" fontId="6" fillId="0" borderId="0" applyFont="0" applyFill="0" applyBorder="0" applyAlignment="0" applyProtection="0"/>
  </cellStyleXfs>
  <cellXfs count="23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164" fontId="4" fillId="0" borderId="1" xfId="1" applyFont="1" applyFill="1" applyBorder="1"/>
    <xf numFmtId="14" fontId="4" fillId="0" borderId="1" xfId="0" applyNumberFormat="1" applyFont="1" applyBorder="1"/>
    <xf numFmtId="43" fontId="4" fillId="0" borderId="1" xfId="0" applyNumberFormat="1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17" fontId="4" fillId="0" borderId="1" xfId="0" applyNumberFormat="1" applyFont="1" applyBorder="1"/>
    <xf numFmtId="0" fontId="4" fillId="0" borderId="0" xfId="0" applyFont="1"/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164" fontId="5" fillId="0" borderId="1" xfId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5" fontId="4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1" applyFont="1" applyFill="1" applyBorder="1" applyAlignment="1">
      <alignment horizontal="right" vertical="center"/>
    </xf>
    <xf numFmtId="0" fontId="6" fillId="0" borderId="1" xfId="0" applyFont="1" applyBorder="1"/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4" fontId="4" fillId="0" borderId="1" xfId="0" applyNumberFormat="1" applyFont="1" applyBorder="1"/>
    <xf numFmtId="4" fontId="4" fillId="0" borderId="1" xfId="0" applyNumberFormat="1" applyFont="1" applyBorder="1" applyAlignment="1">
      <alignment horizontal="right" vertical="center"/>
    </xf>
    <xf numFmtId="1" fontId="4" fillId="0" borderId="1" xfId="3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0" fontId="4" fillId="0" borderId="2" xfId="0" applyFont="1" applyBorder="1"/>
    <xf numFmtId="0" fontId="6" fillId="0" borderId="1" xfId="4" applyBorder="1" applyAlignment="1">
      <alignment horizontal="left" vertical="center"/>
    </xf>
    <xf numFmtId="1" fontId="6" fillId="0" borderId="1" xfId="4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4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17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164" fontId="0" fillId="5" borderId="1" xfId="1" applyFont="1" applyFill="1" applyBorder="1"/>
    <xf numFmtId="0" fontId="4" fillId="5" borderId="1" xfId="0" applyFont="1" applyFill="1" applyBorder="1"/>
    <xf numFmtId="164" fontId="0" fillId="5" borderId="1" xfId="0" applyNumberFormat="1" applyFill="1" applyBorder="1"/>
    <xf numFmtId="164" fontId="3" fillId="2" borderId="1" xfId="1" applyFont="1" applyFill="1" applyBorder="1" applyAlignment="1">
      <alignment horizontal="center"/>
    </xf>
    <xf numFmtId="164" fontId="4" fillId="0" borderId="1" xfId="1" applyFont="1" applyBorder="1"/>
    <xf numFmtId="164" fontId="5" fillId="0" borderId="1" xfId="1" applyFont="1" applyBorder="1" applyAlignment="1">
      <alignment vertical="center"/>
    </xf>
    <xf numFmtId="164" fontId="4" fillId="0" borderId="1" xfId="1" applyFont="1" applyBorder="1" applyAlignment="1">
      <alignment horizontal="right" vertical="center"/>
    </xf>
    <xf numFmtId="164" fontId="6" fillId="0" borderId="1" xfId="1" applyFont="1" applyBorder="1" applyAlignment="1">
      <alignment horizontal="right" vertical="center"/>
    </xf>
    <xf numFmtId="164" fontId="0" fillId="0" borderId="1" xfId="1" applyFont="1" applyBorder="1" applyAlignment="1">
      <alignment horizontal="right" vertical="center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65" fontId="0" fillId="0" borderId="1" xfId="1" applyNumberFormat="1" applyFon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165" fontId="0" fillId="0" borderId="0" xfId="1" applyNumberFormat="1" applyFont="1"/>
    <xf numFmtId="9" fontId="0" fillId="0" borderId="1" xfId="2" applyFont="1" applyBorder="1"/>
    <xf numFmtId="165" fontId="0" fillId="0" borderId="1" xfId="1" applyNumberFormat="1" applyFont="1" applyBorder="1"/>
    <xf numFmtId="164" fontId="0" fillId="0" borderId="1" xfId="1" applyFont="1" applyBorder="1" applyAlignment="1">
      <alignment vertical="top"/>
    </xf>
    <xf numFmtId="165" fontId="0" fillId="0" borderId="0" xfId="0" applyNumberFormat="1"/>
    <xf numFmtId="0" fontId="0" fillId="0" borderId="0" xfId="0" applyBorder="1"/>
    <xf numFmtId="165" fontId="0" fillId="0" borderId="1" xfId="1" applyNumberFormat="1" applyFont="1" applyBorder="1" applyAlignment="1">
      <alignment vertical="top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3" fillId="3" borderId="1" xfId="0" applyNumberFormat="1" applyFont="1" applyFill="1" applyBorder="1" applyAlignment="1">
      <alignment horizontal="center"/>
    </xf>
    <xf numFmtId="167" fontId="4" fillId="0" borderId="1" xfId="0" applyNumberFormat="1" applyFont="1" applyBorder="1"/>
    <xf numFmtId="167" fontId="0" fillId="0" borderId="0" xfId="0" applyNumberFormat="1"/>
    <xf numFmtId="164" fontId="0" fillId="0" borderId="1" xfId="1" applyFont="1" applyBorder="1"/>
    <xf numFmtId="164" fontId="0" fillId="6" borderId="1" xfId="1" applyFont="1" applyFill="1" applyBorder="1" applyAlignment="1">
      <alignment vertical="top"/>
    </xf>
    <xf numFmtId="164" fontId="0" fillId="0" borderId="0" xfId="1" applyFont="1"/>
    <xf numFmtId="166" fontId="0" fillId="0" borderId="1" xfId="1" applyNumberFormat="1" applyFont="1" applyBorder="1"/>
    <xf numFmtId="165" fontId="0" fillId="6" borderId="1" xfId="1" applyNumberFormat="1" applyFont="1" applyFill="1" applyBorder="1" applyAlignment="1">
      <alignment vertical="top"/>
    </xf>
    <xf numFmtId="0" fontId="8" fillId="0" borderId="0" xfId="0" applyFont="1" applyBorder="1"/>
    <xf numFmtId="0" fontId="8" fillId="0" borderId="0" xfId="0" applyFont="1"/>
    <xf numFmtId="0" fontId="9" fillId="2" borderId="4" xfId="0" applyFont="1" applyFill="1" applyBorder="1" applyAlignment="1">
      <alignment horizontal="center"/>
    </xf>
    <xf numFmtId="164" fontId="9" fillId="2" borderId="1" xfId="1" applyFont="1" applyFill="1" applyBorder="1" applyAlignment="1">
      <alignment horizontal="center"/>
    </xf>
    <xf numFmtId="14" fontId="7" fillId="0" borderId="4" xfId="0" applyNumberFormat="1" applyFont="1" applyBorder="1"/>
    <xf numFmtId="164" fontId="7" fillId="0" borderId="1" xfId="1" applyFont="1" applyBorder="1"/>
    <xf numFmtId="164" fontId="7" fillId="0" borderId="1" xfId="1" applyFont="1" applyFill="1" applyBorder="1" applyAlignment="1">
      <alignment vertical="center"/>
    </xf>
    <xf numFmtId="164" fontId="7" fillId="0" borderId="1" xfId="1" applyFont="1" applyBorder="1" applyAlignment="1">
      <alignment vertical="center"/>
    </xf>
    <xf numFmtId="164" fontId="7" fillId="0" borderId="1" xfId="1" applyFont="1" applyBorder="1" applyAlignment="1">
      <alignment horizontal="center"/>
    </xf>
    <xf numFmtId="14" fontId="7" fillId="0" borderId="6" xfId="0" applyNumberFormat="1" applyFont="1" applyBorder="1"/>
    <xf numFmtId="164" fontId="7" fillId="0" borderId="7" xfId="1" applyFont="1" applyBorder="1"/>
    <xf numFmtId="164" fontId="8" fillId="0" borderId="0" xfId="1" applyFont="1"/>
    <xf numFmtId="0" fontId="10" fillId="2" borderId="9" xfId="0" applyFont="1" applyFill="1" applyBorder="1" applyAlignment="1">
      <alignment horizontal="center"/>
    </xf>
    <xf numFmtId="0" fontId="7" fillId="0" borderId="9" xfId="0" applyFont="1" applyBorder="1"/>
    <xf numFmtId="0" fontId="7" fillId="0" borderId="12" xfId="0" applyFont="1" applyBorder="1"/>
    <xf numFmtId="165" fontId="8" fillId="0" borderId="0" xfId="1" applyNumberFormat="1" applyFont="1" applyBorder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5" fontId="0" fillId="0" borderId="16" xfId="1" applyNumberFormat="1" applyFont="1" applyBorder="1" applyAlignment="1">
      <alignment horizontal="left" vertical="center" wrapText="1"/>
    </xf>
    <xf numFmtId="165" fontId="0" fillId="0" borderId="9" xfId="1" applyNumberFormat="1" applyFont="1" applyBorder="1" applyAlignment="1">
      <alignment wrapText="1"/>
    </xf>
    <xf numFmtId="165" fontId="0" fillId="0" borderId="12" xfId="1" applyNumberFormat="1" applyFont="1" applyBorder="1" applyAlignment="1">
      <alignment wrapText="1"/>
    </xf>
    <xf numFmtId="165" fontId="0" fillId="0" borderId="15" xfId="1" applyNumberFormat="1" applyFont="1" applyBorder="1" applyAlignment="1">
      <alignment horizontal="left" vertical="center"/>
    </xf>
    <xf numFmtId="165" fontId="0" fillId="0" borderId="5" xfId="1" applyNumberFormat="1" applyFont="1" applyBorder="1"/>
    <xf numFmtId="165" fontId="0" fillId="0" borderId="8" xfId="1" applyNumberFormat="1" applyFont="1" applyBorder="1"/>
    <xf numFmtId="0" fontId="11" fillId="0" borderId="17" xfId="5" applyFont="1" applyBorder="1" applyAlignment="1"/>
    <xf numFmtId="0" fontId="11" fillId="0" borderId="3" xfId="5" applyFont="1" applyBorder="1" applyAlignment="1"/>
    <xf numFmtId="164" fontId="11" fillId="0" borderId="17" xfId="3" applyFont="1" applyBorder="1" applyAlignment="1"/>
    <xf numFmtId="164" fontId="11" fillId="0" borderId="3" xfId="1" applyFont="1" applyBorder="1" applyAlignment="1"/>
    <xf numFmtId="1" fontId="4" fillId="0" borderId="1" xfId="0" quotePrefix="1" applyNumberFormat="1" applyFont="1" applyBorder="1" applyAlignment="1">
      <alignment horizontal="center"/>
    </xf>
    <xf numFmtId="1" fontId="0" fillId="0" borderId="1" xfId="0" applyNumberFormat="1" applyBorder="1"/>
    <xf numFmtId="0" fontId="2" fillId="0" borderId="1" xfId="0" applyFont="1" applyBorder="1"/>
    <xf numFmtId="0" fontId="8" fillId="0" borderId="0" xfId="0" applyFont="1" applyFill="1" applyBorder="1"/>
    <xf numFmtId="164" fontId="9" fillId="0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0" xfId="0" applyFont="1" applyFill="1" applyBorder="1"/>
    <xf numFmtId="14" fontId="7" fillId="0" borderId="1" xfId="0" applyNumberFormat="1" applyFont="1" applyBorder="1"/>
    <xf numFmtId="0" fontId="7" fillId="0" borderId="1" xfId="0" applyFont="1" applyBorder="1"/>
    <xf numFmtId="9" fontId="0" fillId="6" borderId="1" xfId="2" applyFont="1" applyFill="1" applyBorder="1" applyAlignment="1">
      <alignment vertical="top"/>
    </xf>
    <xf numFmtId="9" fontId="0" fillId="0" borderId="0" xfId="2" applyFont="1"/>
    <xf numFmtId="165" fontId="0" fillId="0" borderId="0" xfId="1" applyNumberFormat="1" applyFont="1" applyBorder="1"/>
    <xf numFmtId="1" fontId="0" fillId="6" borderId="1" xfId="0" applyNumberFormat="1" applyFill="1" applyBorder="1" applyAlignment="1">
      <alignment vertical="top"/>
    </xf>
    <xf numFmtId="1" fontId="0" fillId="0" borderId="1" xfId="0" applyNumberFormat="1" applyBorder="1" applyAlignment="1"/>
    <xf numFmtId="165" fontId="8" fillId="0" borderId="0" xfId="0" applyNumberFormat="1" applyFont="1" applyFill="1" applyBorder="1"/>
    <xf numFmtId="164" fontId="12" fillId="0" borderId="21" xfId="3" applyFont="1" applyBorder="1" applyAlignment="1"/>
    <xf numFmtId="164" fontId="12" fillId="0" borderId="20" xfId="3" applyFont="1" applyBorder="1" applyAlignment="1"/>
    <xf numFmtId="164" fontId="12" fillId="0" borderId="22" xfId="3" applyFont="1" applyBorder="1" applyAlignment="1"/>
    <xf numFmtId="0" fontId="4" fillId="0" borderId="1" xfId="0" applyFont="1" applyBorder="1" applyAlignment="1">
      <alignment wrapText="1"/>
    </xf>
    <xf numFmtId="164" fontId="4" fillId="0" borderId="1" xfId="1" applyFont="1" applyFill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164" fontId="4" fillId="0" borderId="1" xfId="1" applyFont="1" applyBorder="1" applyAlignment="1">
      <alignment wrapText="1"/>
    </xf>
    <xf numFmtId="43" fontId="4" fillId="0" borderId="1" xfId="0" applyNumberFormat="1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/>
    <xf numFmtId="164" fontId="2" fillId="0" borderId="0" xfId="0" applyNumberFormat="1" applyFont="1"/>
    <xf numFmtId="164" fontId="0" fillId="6" borderId="1" xfId="1" applyFont="1" applyFill="1" applyBorder="1" applyAlignment="1">
      <alignment horizontal="left" vertical="center"/>
    </xf>
    <xf numFmtId="165" fontId="0" fillId="6" borderId="1" xfId="1" applyNumberFormat="1" applyFont="1" applyFill="1" applyBorder="1" applyAlignment="1">
      <alignment horizontal="left" vertical="center"/>
    </xf>
    <xf numFmtId="9" fontId="0" fillId="6" borderId="1" xfId="2" applyFont="1" applyFill="1" applyBorder="1" applyAlignment="1">
      <alignment horizontal="left" vertical="center"/>
    </xf>
    <xf numFmtId="165" fontId="12" fillId="0" borderId="21" xfId="1" applyNumberFormat="1" applyFont="1" applyBorder="1" applyAlignment="1"/>
    <xf numFmtId="165" fontId="12" fillId="0" borderId="19" xfId="1" applyNumberFormat="1" applyFont="1" applyBorder="1" applyAlignment="1"/>
    <xf numFmtId="165" fontId="12" fillId="0" borderId="20" xfId="1" applyNumberFormat="1" applyFont="1" applyBorder="1" applyAlignment="1"/>
    <xf numFmtId="165" fontId="12" fillId="0" borderId="22" xfId="1" applyNumberFormat="1" applyFont="1" applyBorder="1" applyAlignment="1"/>
    <xf numFmtId="0" fontId="0" fillId="9" borderId="1" xfId="0" applyFill="1" applyBorder="1"/>
    <xf numFmtId="0" fontId="6" fillId="9" borderId="1" xfId="0" applyFont="1" applyFill="1" applyBorder="1"/>
    <xf numFmtId="0" fontId="0" fillId="7" borderId="1" xfId="0" applyFill="1" applyBorder="1" applyAlignment="1">
      <alignment vertical="top"/>
    </xf>
    <xf numFmtId="14" fontId="0" fillId="7" borderId="1" xfId="0" applyNumberFormat="1" applyFill="1" applyBorder="1" applyAlignment="1">
      <alignment horizontal="right" vertical="top"/>
    </xf>
    <xf numFmtId="165" fontId="0" fillId="7" borderId="1" xfId="1" applyNumberFormat="1" applyFont="1" applyFill="1" applyBorder="1" applyAlignment="1">
      <alignment horizontal="right" vertical="top"/>
    </xf>
    <xf numFmtId="164" fontId="0" fillId="0" borderId="1" xfId="1" applyFont="1" applyBorder="1" applyAlignment="1">
      <alignment horizontal="right" vertical="top"/>
    </xf>
    <xf numFmtId="0" fontId="9" fillId="10" borderId="1" xfId="0" applyFont="1" applyFill="1" applyBorder="1" applyAlignment="1">
      <alignment horizontal="center"/>
    </xf>
    <xf numFmtId="164" fontId="9" fillId="10" borderId="1" xfId="1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8" fillId="3" borderId="0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165" fontId="0" fillId="3" borderId="1" xfId="1" applyNumberFormat="1" applyFont="1" applyFill="1" applyBorder="1" applyAlignment="1">
      <alignment horizontal="right" vertical="top"/>
    </xf>
    <xf numFmtId="0" fontId="8" fillId="0" borderId="0" xfId="0" applyFont="1" applyFill="1"/>
    <xf numFmtId="165" fontId="8" fillId="0" borderId="0" xfId="0" applyNumberFormat="1" applyFont="1" applyBorder="1"/>
    <xf numFmtId="165" fontId="2" fillId="10" borderId="1" xfId="0" applyNumberFormat="1" applyFont="1" applyFill="1" applyBorder="1"/>
    <xf numFmtId="165" fontId="1" fillId="0" borderId="1" xfId="1" applyNumberFormat="1" applyFont="1" applyFill="1" applyBorder="1"/>
    <xf numFmtId="165" fontId="1" fillId="3" borderId="1" xfId="1" applyNumberFormat="1" applyFont="1" applyFill="1" applyBorder="1"/>
    <xf numFmtId="165" fontId="8" fillId="0" borderId="0" xfId="0" applyNumberFormat="1" applyFont="1"/>
    <xf numFmtId="0" fontId="10" fillId="0" borderId="0" xfId="0" applyFont="1" applyFill="1" applyBorder="1"/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164" fontId="0" fillId="6" borderId="1" xfId="1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6" borderId="1" xfId="1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3" fontId="0" fillId="8" borderId="1" xfId="0" applyNumberFormat="1" applyFill="1" applyBorder="1"/>
    <xf numFmtId="3" fontId="0" fillId="0" borderId="1" xfId="0" applyNumberFormat="1" applyBorder="1"/>
    <xf numFmtId="3" fontId="1" fillId="0" borderId="1" xfId="1" applyNumberFormat="1" applyFont="1" applyFill="1" applyBorder="1"/>
    <xf numFmtId="3" fontId="0" fillId="9" borderId="1" xfId="0" applyNumberFormat="1" applyFill="1" applyBorder="1"/>
    <xf numFmtId="3" fontId="0" fillId="9" borderId="1" xfId="1" applyNumberFormat="1" applyFont="1" applyFill="1" applyBorder="1" applyAlignment="1">
      <alignment horizontal="right"/>
    </xf>
    <xf numFmtId="3" fontId="8" fillId="0" borderId="0" xfId="0" applyNumberFormat="1" applyFont="1"/>
    <xf numFmtId="3" fontId="0" fillId="0" borderId="0" xfId="0" applyNumberFormat="1"/>
    <xf numFmtId="14" fontId="0" fillId="7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7" borderId="0" xfId="0" applyFill="1"/>
    <xf numFmtId="165" fontId="0" fillId="7" borderId="1" xfId="1" applyNumberFormat="1" applyFont="1" applyFill="1" applyBorder="1"/>
    <xf numFmtId="0" fontId="2" fillId="7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6" borderId="1" xfId="1" applyFont="1" applyFill="1" applyBorder="1" applyAlignment="1">
      <alignment horizontal="center" vertical="center"/>
    </xf>
    <xf numFmtId="0" fontId="0" fillId="0" borderId="0" xfId="0" applyAlignment="1"/>
    <xf numFmtId="164" fontId="0" fillId="0" borderId="0" xfId="0" applyNumberFormat="1" applyFill="1"/>
    <xf numFmtId="14" fontId="0" fillId="12" borderId="1" xfId="0" applyNumberFormat="1" applyFill="1" applyBorder="1"/>
    <xf numFmtId="3" fontId="0" fillId="12" borderId="1" xfId="0" applyNumberFormat="1" applyFill="1" applyBorder="1"/>
    <xf numFmtId="0" fontId="0" fillId="12" borderId="1" xfId="0" applyFill="1" applyBorder="1"/>
    <xf numFmtId="165" fontId="0" fillId="12" borderId="1" xfId="1" applyNumberFormat="1" applyFont="1" applyFill="1" applyBorder="1"/>
    <xf numFmtId="164" fontId="0" fillId="12" borderId="1" xfId="0" applyNumberFormat="1" applyFill="1" applyBorder="1"/>
    <xf numFmtId="0" fontId="0" fillId="12" borderId="0" xfId="0" applyFill="1"/>
    <xf numFmtId="3" fontId="1" fillId="12" borderId="1" xfId="1" applyNumberFormat="1" applyFont="1" applyFill="1" applyBorder="1"/>
    <xf numFmtId="164" fontId="0" fillId="7" borderId="1" xfId="0" applyNumberFormat="1" applyFill="1" applyBorder="1"/>
    <xf numFmtId="164" fontId="2" fillId="0" borderId="1" xfId="1" applyFont="1" applyBorder="1"/>
    <xf numFmtId="165" fontId="2" fillId="0" borderId="1" xfId="1" applyNumberFormat="1" applyFont="1" applyBorder="1"/>
    <xf numFmtId="0" fontId="11" fillId="0" borderId="17" xfId="5" applyFont="1" applyBorder="1" applyAlignment="1">
      <alignment horizontal="center"/>
    </xf>
    <xf numFmtId="0" fontId="11" fillId="0" borderId="18" xfId="5" applyFont="1" applyBorder="1" applyAlignment="1">
      <alignment horizontal="center"/>
    </xf>
    <xf numFmtId="164" fontId="9" fillId="2" borderId="9" xfId="1" applyFont="1" applyFill="1" applyBorder="1" applyAlignment="1">
      <alignment horizontal="center"/>
    </xf>
    <xf numFmtId="164" fontId="9" fillId="2" borderId="10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9" fillId="10" borderId="1" xfId="1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5" fontId="0" fillId="3" borderId="1" xfId="1" applyNumberFormat="1" applyFont="1" applyFill="1" applyBorder="1"/>
  </cellXfs>
  <cellStyles count="7">
    <cellStyle name="Comma" xfId="1" builtinId="3"/>
    <cellStyle name="Comma 2" xfId="3" xr:uid="{C23EE98D-516B-4D2D-98FC-34BE1CCC4547}"/>
    <cellStyle name="Comma 3" xfId="6" xr:uid="{E5855AD9-B20B-462F-B3C6-EE4487078F0E}"/>
    <cellStyle name="Normal" xfId="0" builtinId="0"/>
    <cellStyle name="Normal 2" xfId="5" xr:uid="{516FEBD8-40F9-4FD5-8032-2853278CEF0B}"/>
    <cellStyle name="Normal 3" xfId="4" xr:uid="{BB9EC7C5-C510-4507-A2B9-E4F91E6AFB5C}"/>
    <cellStyle name="Percent" xfId="2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78.667655902776" createdVersion="7" refreshedVersion="7" minRefreshableVersion="3" recordCount="90" xr:uid="{BD603E60-368A-4417-9407-4076433938C9}">
  <cacheSource type="worksheet">
    <worksheetSource ref="A2:C92" sheet="Sheet3"/>
  </cacheSource>
  <cacheFields count="5">
    <cacheField name="Date" numFmtId="14">
      <sharedItems containsSemiMixedTypes="0" containsNonDate="0" containsDate="1" containsString="0" minDate="2025-03-12T00:00:00" maxDate="2026-02-15T00:00:00" count="16">
        <d v="2025-03-12T00:00:00"/>
        <d v="2025-03-24T00:00:00"/>
        <d v="2025-05-14T00:00:00"/>
        <d v="2025-06-05T00:00:00"/>
        <d v="2025-06-13T00:00:00"/>
        <d v="2025-06-14T00:00:00"/>
        <d v="2025-06-25T00:00:00"/>
        <d v="2025-07-23T00:00:00"/>
        <d v="2025-08-22T00:00:00"/>
        <d v="2025-08-27T00:00:00"/>
        <d v="2025-09-05T00:00:00"/>
        <d v="2025-10-02T00:00:00"/>
        <d v="2025-10-03T00:00:00"/>
        <d v="2025-12-02T00:00:00"/>
        <d v="2025-12-15T00:00:00"/>
        <d v="2026-02-14T00:00:00"/>
      </sharedItems>
      <fieldGroup par="4" base="0">
        <rangePr groupBy="months" startDate="2025-03-12T00:00:00" endDate="2026-02-15T00:00:00"/>
        <groupItems count="14">
          <s v="&lt;12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26"/>
        </groupItems>
      </fieldGroup>
    </cacheField>
    <cacheField name="AMOUNT PAID" numFmtId="164">
      <sharedItems containsSemiMixedTypes="0" containsString="0" containsNumber="1" minValue="761.12725040000009" maxValue="341000"/>
    </cacheField>
    <cacheField name="UTR NO/REMARK" numFmtId="0">
      <sharedItems count="24"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HDFCN52025051435275414"/>
        <s v="HDFCN52025060575568983"/>
        <s v="HDFCN52025060575565670"/>
        <s v="HDFCN52025061495304800"/>
        <s v="HDFCN52025062512710909"/>
        <s v="HDFCN52025072369906032"/>
        <s v="HDFCN52025082227307462"/>
        <s v="HDFCN52025082733046460"/>
        <s v="HDFCN52025090553870975"/>
        <s v="HDFCN52025100205721894"/>
        <s v="HDFCN52025100308494407"/>
        <s v="HDFCH00646925098"/>
        <s v="HDFCH00676798572"/>
        <s v="HDFCH00806112855"/>
        <s v="HDFCH00806112854"/>
      </sharedItems>
    </cacheField>
    <cacheField name="Quarters" numFmtId="0" databaseField="0">
      <fieldGroup base="0">
        <rangePr groupBy="quarters" startDate="2025-03-12T00:00:00" endDate="2026-02-15T00:00:00"/>
        <groupItems count="6">
          <s v="&lt;12-03-2025"/>
          <s v="Qtr1"/>
          <s v="Qtr2"/>
          <s v="Qtr3"/>
          <s v="Qtr4"/>
          <s v="&gt;15-02-2026"/>
        </groupItems>
      </fieldGroup>
    </cacheField>
    <cacheField name="Years" numFmtId="0" databaseField="0">
      <fieldGroup base="0">
        <rangePr groupBy="years" startDate="2025-03-12T00:00:00" endDate="2026-02-15T00:00:00"/>
        <groupItems count="4">
          <s v="&lt;12-03-2025"/>
          <s v="2025"/>
          <s v="2026"/>
          <s v="&gt;15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78.669323842594" createdVersion="7" refreshedVersion="7" minRefreshableVersion="3" recordCount="52" xr:uid="{77524EC3-04BD-499A-BC8E-844AA20545D2}">
  <cacheSource type="worksheet">
    <worksheetSource ref="A1:D53" sheet="Sheet4"/>
  </cacheSource>
  <cacheFields count="6">
    <cacheField name="Document Type" numFmtId="0">
      <sharedItems/>
    </cacheField>
    <cacheField name="Document Date" numFmtId="14">
      <sharedItems containsSemiMixedTypes="0" containsNonDate="0" containsDate="1" containsString="0" minDate="2025-04-25T00:00:00" maxDate="2026-02-18T00:00:00" count="14">
        <d v="2025-04-25T00:00:00"/>
        <d v="2025-06-24T00:00:00"/>
        <d v="2025-08-21T00:00:00"/>
        <d v="2025-09-08T00:00:00"/>
        <d v="2025-09-12T00:00:00"/>
        <d v="2025-10-01T00:00:00"/>
        <d v="2025-10-08T00:00:00"/>
        <d v="2025-10-16T00:00:00"/>
        <d v="2025-11-11T00:00:00"/>
        <d v="2025-11-18T00:00:00"/>
        <d v="2025-12-16T00:00:00"/>
        <d v="2025-12-20T00:00:00"/>
        <d v="2026-01-08T00:00:00"/>
        <d v="2026-02-17T00:00:00"/>
      </sharedItems>
      <fieldGroup par="5" base="1">
        <rangePr groupBy="months" startDate="2025-04-25T00:00:00" endDate="2026-02-18T00:00:00"/>
        <groupItems count="14">
          <s v="&lt;2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2-2026"/>
        </groupItems>
      </fieldGroup>
    </cacheField>
    <cacheField name="Company Code Currency Value" numFmtId="165">
      <sharedItems containsSemiMixedTypes="0" containsString="0" containsNumber="1" minValue="-646935.77" maxValue="495157.4"/>
    </cacheField>
    <cacheField name="Text" numFmtId="0">
      <sharedItems/>
    </cacheField>
    <cacheField name="Quarters" numFmtId="0" databaseField="0">
      <fieldGroup base="1">
        <rangePr groupBy="quarters" startDate="2025-04-25T00:00:00" endDate="2026-02-18T00:00:00"/>
        <groupItems count="6">
          <s v="&lt;25-04-2025"/>
          <s v="Qtr1"/>
          <s v="Qtr2"/>
          <s v="Qtr3"/>
          <s v="Qtr4"/>
          <s v="&gt;18-02-2026"/>
        </groupItems>
      </fieldGroup>
    </cacheField>
    <cacheField name="Years" numFmtId="0" databaseField="0">
      <fieldGroup base="1">
        <rangePr groupBy="years" startDate="2025-04-25T00:00:00" endDate="2026-02-18T00:00:00"/>
        <groupItems count="4">
          <s v="&lt;25-04-2025"/>
          <s v="2025"/>
          <s v="2026"/>
          <s v="&gt;18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04.541742245368" createdVersion="7" refreshedVersion="7" minRefreshableVersion="3" recordCount="52" xr:uid="{20E50464-BF71-4721-801B-3771DD88F604}">
  <cacheSource type="worksheet">
    <worksheetSource ref="A1:H53" sheet="Paym Updated"/>
  </cacheSource>
  <cacheFields count="8">
    <cacheField name="Document Number" numFmtId="0">
      <sharedItems containsSemiMixedTypes="0" containsString="0" containsNumber="1" containsInteger="1" minValue="1400000007" maxValue="1400002721"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4-25T00:00:00" maxDate="2026-02-18T00:00:00"/>
    </cacheField>
    <cacheField name="Document Header Text" numFmtId="0">
      <sharedItems count="28"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HDFCN52025090553870975"/>
        <s v=""/>
        <s v="HDFCN52025051435275414"/>
        <s v="HDFCN52025082227307462"/>
        <s v="HDFCH00465695692"/>
        <s v="HDFCN52025100205721894"/>
        <s v="HDFCN52025062512710909"/>
        <s v="CT68PKL3P93Q"/>
        <s v="HDFCN52025082733046460"/>
        <s v="HDFCN52025060575568983"/>
        <s v="HDFCN52025072369906032"/>
        <s v="D2WMGTC7VB6Y"/>
        <s v="G15K40FCKGJH"/>
        <s v="G90RGJ9HVGZQ"/>
        <s v="HDFCN52025061495304800"/>
        <s v="HDFCN52025060575565670"/>
        <s v="HDFCN52025100308494407"/>
        <s v="H3YKFZWVB0GN"/>
        <s v="H2PMXC728CY0"/>
      </sharedItems>
    </cacheField>
    <cacheField name="Company Code Currency Key" numFmtId="164">
      <sharedItems/>
    </cacheField>
    <cacheField name="Company Code Currency Value" numFmtId="164">
      <sharedItems containsSemiMixedTypes="0" containsString="0" containsNumber="1" minValue="-646935.77" maxValue="495157.4"/>
    </cacheField>
    <cacheField name="Text" numFmtId="0">
      <sharedItems/>
    </cacheField>
    <cacheField name="Clearing Documents" numFmtId="0">
      <sharedItems containsMixedTypes="1" containsNumber="1" containsInteger="1" minValue="1400000007" maxValue="1400002389" count="30">
        <n v="1400000007"/>
        <n v="1400000008"/>
        <n v="1400000009"/>
        <n v="1400000010"/>
        <n v="1400000011"/>
        <n v="1400000012"/>
        <n v="1400000013"/>
        <n v="1400000014"/>
        <n v="1400000015"/>
        <n v="1400001449"/>
        <n v="1400001450"/>
        <n v="1400001451"/>
        <n v="1400001452"/>
        <n v="1400001453"/>
        <n v="1400001454"/>
        <n v="1400001455"/>
        <n v="1400001456"/>
        <n v="1400001458"/>
        <n v="1400001468"/>
        <n v="1400001956"/>
        <n v="1400001961"/>
        <n v="1400001971"/>
        <n v="1400001972"/>
        <n v="1400001988"/>
        <n v="1400001989"/>
        <n v="1400001993"/>
        <n v="1400002197"/>
        <n v="1400002388"/>
        <n v="1400002389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04.769384375002" createdVersion="7" refreshedVersion="7" minRefreshableVersion="3" recordCount="334" xr:uid="{4F361911-F6A4-4988-A629-4801BF419E34}">
  <cacheSource type="worksheet">
    <worksheetSource ref="H2:AL336" sheet="Ascendus Data"/>
  </cacheSource>
  <cacheFields count="31">
    <cacheField name="Document Number" numFmtId="0">
      <sharedItems containsSemiMixedTypes="0" containsString="0" containsNumber="1" containsInteger="1" minValue="1400000007" maxValue="7000000220"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3-12T00:00:00" maxDate="2026-02-18T00:00:00"/>
    </cacheField>
    <cacheField name="Entry Date" numFmtId="14">
      <sharedItems containsSemiMixedTypes="0" containsNonDate="0" containsDate="1" containsString="0" minDate="2025-03-17T00:00:00" maxDate="2026-02-18T00:00:00"/>
    </cacheField>
    <cacheField name="Document Header Text" numFmtId="0">
      <sharedItems count="41">
        <s v="H3YKFZWVB0GN"/>
        <s v="H2PMXC728CY0"/>
        <s v="NA"/>
        <s v="2173095"/>
        <s v="G15K40FCKGJH"/>
        <s v="G90RGJ9HVGZQ"/>
        <s v="2158342"/>
        <s v="2158411"/>
        <s v="2156406"/>
        <s v="HDFCN52025082733046460"/>
        <s v="HDFCN52025060575568983"/>
        <s v="HDFCN52025072369906032"/>
        <s v="HDFCN52025100308494407"/>
        <s v="2123630"/>
        <s v="HDFCN52025082227307462"/>
        <s v="HDFCH00465695692"/>
        <s v="HDFCN52025051435275414"/>
        <s v="HDFCN52025100205721894"/>
        <s v="HDFCN52025062512710909"/>
        <s v="HDFCN52025061495304800"/>
        <s v=""/>
        <s v="HDFCN52025090553870975"/>
        <s v="CT68PKL3P93Q"/>
        <s v="D2WMGTC7VB6Y"/>
        <s v="HDFCN52025060575565670"/>
        <s v="HDFCN52025031215974606"/>
        <s v="HDFCN52025031215976413"/>
        <s v="HDFCN52025031215974609"/>
        <s v="HDFCN52025032433793860"/>
        <s v="HDFCN52025032433793867"/>
        <s v="HDFCN52025032433793886"/>
        <s v="HDFCN52025032433793875"/>
        <s v="HDFCN52025032433791996"/>
        <s v="HDFCN52025032433791993"/>
        <s v="6779IV125000009"/>
        <s v="6779ZP25000178"/>
        <s v="6779ZR25000012"/>
        <s v="6779ZR25000011"/>
        <s v="6779ZP25000179"/>
        <s v="6779ZP25000180"/>
        <s v="6779ZR25000013"/>
      </sharedItems>
    </cacheField>
    <cacheField name="Reference" numFmtId="0">
      <sharedItems containsMixedTypes="1" containsNumber="1" containsInteger="1" minValue="2173609" maxValue="256779451520"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164">
      <sharedItems containsSemiMixedTypes="0" containsString="0" containsNumber="1" minValue="-659505.57999999996" maxValue="495157.4"/>
    </cacheField>
    <cacheField name="Company Code Currency Key" numFmtId="164">
      <sharedItems/>
    </cacheField>
    <cacheField name="Company Code Currency Value" numFmtId="164">
      <sharedItems containsSemiMixedTypes="0" containsString="0" containsNumber="1" minValue="-646935.77" maxValue="495157.4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3-12T00:00:00" maxDate="2026-02-18T00:00:00"/>
    </cacheField>
    <cacheField name="Clearing Date" numFmtId="14">
      <sharedItems containsNonDate="0" containsDate="1" containsString="0" containsBlank="1" minDate="2025-04-25T00:00:00" maxDate="2026-01-09T00:00:00"/>
    </cacheField>
    <cacheField name="Clearing Documents" numFmtId="0">
      <sharedItems containsMixedTypes="1" containsNumber="1" containsInteger="1" minValue="1400000007" maxValue="1600000161" count="83">
        <s v=""/>
        <n v="1400002388"/>
        <n v="1400002389"/>
        <n v="1400002197"/>
        <n v="1400001956"/>
        <n v="1400001961"/>
        <n v="1400001971"/>
        <n v="1400001972"/>
        <n v="1400001452"/>
        <n v="1400001453"/>
        <n v="1400001454"/>
        <n v="1400001455"/>
        <n v="1400001456"/>
        <n v="1400001468"/>
        <n v="1400001206"/>
        <n v="1400001449"/>
        <n v="1400001450"/>
        <n v="1400001988"/>
        <n v="1400001458"/>
        <n v="1400001989"/>
        <n v="1400000293"/>
        <n v="1400000294"/>
        <n v="1400000295"/>
        <n v="1400000296"/>
        <n v="1400000297"/>
        <n v="1400000298"/>
        <n v="1400000299"/>
        <n v="1400000300"/>
        <n v="1400000301"/>
        <n v="1400000302"/>
        <n v="1400000303"/>
        <n v="1400000304"/>
        <n v="1400000305"/>
        <n v="1400000306"/>
        <n v="1400000307"/>
        <n v="1400000308"/>
        <n v="1400000309"/>
        <n v="1400000310"/>
        <n v="1400000311"/>
        <n v="1400000312"/>
        <n v="1400000313"/>
        <n v="1400000314"/>
        <n v="1400000315"/>
        <n v="1400000316"/>
        <n v="1400000317"/>
        <n v="1400000318"/>
        <n v="1400000319"/>
        <n v="1400000320"/>
        <n v="1400000321"/>
        <n v="1400000322"/>
        <n v="1400000323"/>
        <n v="1400000324"/>
        <n v="1400000325"/>
        <n v="1400000327"/>
        <n v="1400000328"/>
        <n v="1400000329"/>
        <n v="1400000330"/>
        <n v="1400000331"/>
        <n v="1400000332"/>
        <n v="1400000333"/>
        <n v="1400000334"/>
        <n v="1400000335"/>
        <n v="1400000336"/>
        <n v="1400000337"/>
        <n v="1400000338"/>
        <n v="1400000339"/>
        <n v="1400000340"/>
        <n v="1400000341"/>
        <n v="1400000342"/>
        <n v="1400001451"/>
        <n v="1400001993"/>
        <n v="1400000007"/>
        <n v="1400000008"/>
        <n v="1400000009"/>
        <n v="1400000010"/>
        <n v="1400000011"/>
        <n v="1400000012"/>
        <n v="1400000013"/>
        <n v="1400000014"/>
        <n v="1400000015"/>
        <n v="1600000159"/>
        <n v="1600000160"/>
        <n v="1600000161"/>
      </sharedItems>
    </cacheField>
    <cacheField name="Gross Amount" numFmtId="164">
      <sharedItems containsMixedTypes="1" containsNumber="1" minValue="777.12725040000009" maxValue="440340.630534"/>
    </cacheField>
    <cacheField name="TDS" numFmtId="164">
      <sharedItems containsString="0" containsBlank="1" containsNumber="1" containsInteger="1" minValue="16" maxValue="44034"/>
    </cacheField>
    <cacheField name="Net Amount" numFmtId="164">
      <sharedItems containsString="0" containsBlank="1" containsNumber="1" minValue="761.12725040000009" maxValue="396306.630534"/>
    </cacheField>
    <cacheField name="Difference" numFmtId="0">
      <sharedItems containsString="0" containsBlank="1" containsNumber="1" minValue="-16586.032258400002" maxValue="12351.021784126817"/>
    </cacheField>
    <cacheField name="Rate" numFmtId="0">
      <sharedItems containsString="0" containsBlank="1" containsNumber="1" minValue="1.3761510490407891E-2" maxValue="0.200047871612435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69973.16"/>
    <x v="0"/>
  </r>
  <r>
    <x v="0"/>
    <n v="28756.3"/>
    <x v="1"/>
  </r>
  <r>
    <x v="0"/>
    <n v="97112.2"/>
    <x v="2"/>
  </r>
  <r>
    <x v="1"/>
    <n v="11330.33"/>
    <x v="3"/>
  </r>
  <r>
    <x v="1"/>
    <n v="18128.12"/>
    <x v="4"/>
  </r>
  <r>
    <x v="1"/>
    <n v="18128.12"/>
    <x v="5"/>
  </r>
  <r>
    <x v="1"/>
    <n v="4532.53"/>
    <x v="6"/>
  </r>
  <r>
    <x v="1"/>
    <n v="15450.44"/>
    <x v="7"/>
  </r>
  <r>
    <x v="1"/>
    <n v="4532.53"/>
    <x v="8"/>
  </r>
  <r>
    <x v="2"/>
    <n v="28538.079935999998"/>
    <x v="9"/>
  </r>
  <r>
    <x v="2"/>
    <n v="24143.251442599998"/>
    <x v="9"/>
  </r>
  <r>
    <x v="2"/>
    <n v="6746.2081440000002"/>
    <x v="9"/>
  </r>
  <r>
    <x v="2"/>
    <n v="11040.067872"/>
    <x v="9"/>
  </r>
  <r>
    <x v="2"/>
    <n v="24143.251442599998"/>
    <x v="9"/>
  </r>
  <r>
    <x v="2"/>
    <n v="11040.067872"/>
    <x v="9"/>
  </r>
  <r>
    <x v="2"/>
    <n v="6461.0200469999991"/>
    <x v="9"/>
  </r>
  <r>
    <x v="3"/>
    <n v="2186.2831194"/>
    <x v="10"/>
  </r>
  <r>
    <x v="3"/>
    <n v="3566.6900209999999"/>
    <x v="10"/>
  </r>
  <r>
    <x v="3"/>
    <n v="8026.5902448000006"/>
    <x v="10"/>
  </r>
  <r>
    <x v="3"/>
    <n v="2293.6640200000002"/>
    <x v="10"/>
  </r>
  <r>
    <x v="3"/>
    <n v="3670.0624320000002"/>
    <x v="10"/>
  </r>
  <r>
    <x v="3"/>
    <n v="8026.5902448000006"/>
    <x v="10"/>
  </r>
  <r>
    <x v="3"/>
    <n v="2293.6640200000002"/>
    <x v="10"/>
  </r>
  <r>
    <x v="3"/>
    <n v="3670.0624320000002"/>
    <x v="10"/>
  </r>
  <r>
    <x v="3"/>
    <n v="16052.313576999999"/>
    <x v="10"/>
  </r>
  <r>
    <x v="3"/>
    <n v="4587.3280400000003"/>
    <x v="10"/>
  </r>
  <r>
    <x v="3"/>
    <n v="7340.1248640000003"/>
    <x v="10"/>
  </r>
  <r>
    <x v="3"/>
    <n v="15921.620115"/>
    <x v="10"/>
  </r>
  <r>
    <x v="3"/>
    <n v="15921.620115"/>
    <x v="10"/>
  </r>
  <r>
    <x v="3"/>
    <n v="57739.158243999998"/>
    <x v="10"/>
  </r>
  <r>
    <x v="3"/>
    <n v="4339.1605499999996"/>
    <x v="10"/>
  </r>
  <r>
    <x v="3"/>
    <n v="3551.353118"/>
    <x v="10"/>
  </r>
  <r>
    <x v="3"/>
    <n v="341000"/>
    <x v="11"/>
  </r>
  <r>
    <x v="4"/>
    <n v="4358.9368009999998"/>
    <x v="12"/>
  </r>
  <r>
    <x v="5"/>
    <n v="10780"/>
    <x v="12"/>
  </r>
  <r>
    <x v="5"/>
    <n v="6468"/>
    <x v="12"/>
  </r>
  <r>
    <x v="5"/>
    <n v="4208.8858150000005"/>
    <x v="12"/>
  </r>
  <r>
    <x v="5"/>
    <n v="8897.8787199999988"/>
    <x v="12"/>
  </r>
  <r>
    <x v="5"/>
    <n v="31843.240229999999"/>
    <x v="12"/>
  </r>
  <r>
    <x v="5"/>
    <n v="14560.98336"/>
    <x v="12"/>
  </r>
  <r>
    <x v="5"/>
    <n v="145291.48821587319"/>
    <x v="12"/>
  </r>
  <r>
    <x v="6"/>
    <n v="4189.5389999999998"/>
    <x v="13"/>
  </r>
  <r>
    <x v="6"/>
    <n v="90483.042400000006"/>
    <x v="13"/>
  </r>
  <r>
    <x v="6"/>
    <n v="13572.506359999999"/>
    <x v="13"/>
  </r>
  <r>
    <x v="6"/>
    <n v="46096.027156000004"/>
    <x v="13"/>
  </r>
  <r>
    <x v="6"/>
    <n v="3236.5088314000004"/>
    <x v="13"/>
  </r>
  <r>
    <x v="6"/>
    <n v="21716.210176000001"/>
    <x v="13"/>
  </r>
  <r>
    <x v="7"/>
    <n v="75724.422912000009"/>
    <x v="14"/>
  </r>
  <r>
    <x v="7"/>
    <n v="117900.32934400001"/>
    <x v="14"/>
  </r>
  <r>
    <x v="7"/>
    <n v="235800.65868799994"/>
    <x v="14"/>
  </r>
  <r>
    <x v="7"/>
    <n v="45661.527897599997"/>
    <x v="14"/>
  </r>
  <r>
    <x v="8"/>
    <n v="37895.481252099999"/>
    <x v="15"/>
  </r>
  <r>
    <x v="8"/>
    <n v="7093.6763939000002"/>
    <x v="15"/>
  </r>
  <r>
    <x v="8"/>
    <n v="15934.69268"/>
    <x v="15"/>
  </r>
  <r>
    <x v="8"/>
    <n v="295083.42"/>
    <x v="15"/>
  </r>
  <r>
    <x v="8"/>
    <n v="93274.562960799987"/>
    <x v="15"/>
  </r>
  <r>
    <x v="8"/>
    <n v="12711.761192400001"/>
    <x v="15"/>
  </r>
  <r>
    <x v="8"/>
    <n v="10400.675603199999"/>
    <x v="15"/>
  </r>
  <r>
    <x v="8"/>
    <n v="22763.132399999999"/>
    <x v="15"/>
  </r>
  <r>
    <x v="9"/>
    <n v="27271.162916400001"/>
    <x v="16"/>
  </r>
  <r>
    <x v="9"/>
    <n v="79846.545748400007"/>
    <x v="16"/>
  </r>
  <r>
    <x v="10"/>
    <n v="54987.704565200002"/>
    <x v="17"/>
  </r>
  <r>
    <x v="10"/>
    <n v="25495.508287999997"/>
    <x v="17"/>
  </r>
  <r>
    <x v="10"/>
    <n v="43706.014207999993"/>
    <x v="17"/>
  </r>
  <r>
    <x v="11"/>
    <n v="133225.51016200002"/>
    <x v="18"/>
  </r>
  <r>
    <x v="11"/>
    <n v="1734.6395683999999"/>
    <x v="18"/>
  </r>
  <r>
    <x v="11"/>
    <n v="7965.1257376000003"/>
    <x v="18"/>
  </r>
  <r>
    <x v="11"/>
    <n v="2147.3588231999997"/>
    <x v="18"/>
  </r>
  <r>
    <x v="11"/>
    <n v="1757.1686216999999"/>
    <x v="18"/>
  </r>
  <r>
    <x v="11"/>
    <n v="761.12725040000009"/>
    <x v="18"/>
  </r>
  <r>
    <x v="11"/>
    <n v="35334.903960000003"/>
    <x v="18"/>
  </r>
  <r>
    <x v="11"/>
    <n v="2315.8869100000002"/>
    <x v="18"/>
  </r>
  <r>
    <x v="11"/>
    <n v="8103.3538984000006"/>
    <x v="18"/>
  </r>
  <r>
    <x v="11"/>
    <n v="3704.6190560000005"/>
    <x v="18"/>
  </r>
  <r>
    <x v="11"/>
    <n v="8103.3538984000006"/>
    <x v="18"/>
  </r>
  <r>
    <x v="11"/>
    <n v="3704.6190560000005"/>
    <x v="18"/>
  </r>
  <r>
    <x v="11"/>
    <n v="125885.4033524"/>
    <x v="18"/>
  </r>
  <r>
    <x v="11"/>
    <n v="4317.4713722000006"/>
    <x v="18"/>
  </r>
  <r>
    <x v="12"/>
    <n v="324591.962"/>
    <x v="19"/>
  </r>
  <r>
    <x v="13"/>
    <n v="251990.62622040001"/>
    <x v="20"/>
  </r>
  <r>
    <x v="13"/>
    <n v="15170.1206"/>
    <x v="20"/>
  </r>
  <r>
    <x v="13"/>
    <n v="30249.769499999999"/>
    <x v="20"/>
  </r>
  <r>
    <x v="13"/>
    <n v="30249.769499999999"/>
    <x v="20"/>
  </r>
  <r>
    <x v="13"/>
    <n v="2343.0521063000001"/>
    <x v="20"/>
  </r>
  <r>
    <x v="13"/>
    <n v="971.79820529999995"/>
    <x v="20"/>
  </r>
  <r>
    <x v="13"/>
    <n v="29134.166977599998"/>
    <x v="20"/>
  </r>
  <r>
    <x v="14"/>
    <n v="11262.269532099999"/>
    <x v="21"/>
  </r>
  <r>
    <x v="14"/>
    <n v="3641.2289440000004"/>
    <x v="21"/>
  </r>
  <r>
    <x v="15"/>
    <n v="30424.049000000003"/>
    <x v="22"/>
  </r>
  <r>
    <x v="15"/>
    <n v="971.66756520000001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DZ"/>
    <x v="0"/>
    <n v="-77748.160000000003"/>
    <s v="HDFCN52025031215974606"/>
  </r>
  <r>
    <s v="DZ"/>
    <x v="0"/>
    <n v="-31951.3"/>
    <s v="HDFCN52025031215976413"/>
  </r>
  <r>
    <s v="DZ"/>
    <x v="0"/>
    <n v="-107902.2"/>
    <s v="HDFCN52025031215974609"/>
  </r>
  <r>
    <s v="DZ"/>
    <x v="0"/>
    <n v="-11561.33"/>
    <s v="HDFCN52025032433793860"/>
  </r>
  <r>
    <s v="DZ"/>
    <x v="0"/>
    <n v="-18498.12"/>
    <s v="HDFCN52025032433793867"/>
  </r>
  <r>
    <s v="DZ"/>
    <x v="0"/>
    <n v="-18498.12"/>
    <s v="HDFCN52025032433793886"/>
  </r>
  <r>
    <s v="DZ"/>
    <x v="0"/>
    <n v="-4624.53"/>
    <s v="HDFCN52025032433793875"/>
  </r>
  <r>
    <s v="DZ"/>
    <x v="0"/>
    <n v="-15765.44"/>
    <s v="HDFCN52025032433791996"/>
  </r>
  <r>
    <s v="DZ"/>
    <x v="0"/>
    <n v="-4624.53"/>
    <s v="HDFCN52025032433791993"/>
  </r>
  <r>
    <s v="DZ"/>
    <x v="1"/>
    <n v="-341000"/>
    <s v=""/>
  </r>
  <r>
    <s v="DZ"/>
    <x v="1"/>
    <n v="-112111.95"/>
    <s v=""/>
  </r>
  <r>
    <s v="DZ"/>
    <x v="1"/>
    <n v="112111.95"/>
    <s v=""/>
  </r>
  <r>
    <s v="DZ"/>
    <x v="1"/>
    <n v="159186.29"/>
    <s v=""/>
  </r>
  <r>
    <s v="DZ"/>
    <x v="1"/>
    <n v="-159186.29"/>
    <s v=""/>
  </r>
  <r>
    <s v="DZ"/>
    <x v="2"/>
    <n v="179293.83"/>
    <s v=""/>
  </r>
  <r>
    <s v="DZ"/>
    <x v="2"/>
    <n v="-179293.83"/>
    <s v=""/>
  </r>
  <r>
    <s v="DZ"/>
    <x v="2"/>
    <n v="475086.94"/>
    <s v=""/>
  </r>
  <r>
    <s v="DZ"/>
    <x v="2"/>
    <n v="-475086.94"/>
    <s v=""/>
  </r>
  <r>
    <s v="DZ"/>
    <x v="3"/>
    <n v="495157.4"/>
    <s v=""/>
  </r>
  <r>
    <s v="DZ"/>
    <x v="3"/>
    <n v="-495157.4"/>
    <s v=""/>
  </r>
  <r>
    <s v="DZ"/>
    <x v="3"/>
    <n v="107117.71"/>
    <s v=""/>
  </r>
  <r>
    <s v="DZ"/>
    <x v="3"/>
    <n v="-107117.71"/>
    <s v=""/>
  </r>
  <r>
    <s v="DZ"/>
    <x v="4"/>
    <n v="124189.23"/>
    <s v=""/>
  </r>
  <r>
    <s v="DZ"/>
    <x v="4"/>
    <n v="-124189.23"/>
    <s v=""/>
  </r>
  <r>
    <s v="DZ"/>
    <x v="5"/>
    <n v="-226409"/>
    <s v=""/>
  </r>
  <r>
    <s v="DZ"/>
    <x v="6"/>
    <n v="339060.54"/>
    <s v=""/>
  </r>
  <r>
    <s v="DZ"/>
    <x v="6"/>
    <n v="-339060.54"/>
    <s v=""/>
  </r>
  <r>
    <s v="DZ"/>
    <x v="7"/>
    <n v="2932.62"/>
    <s v="HDFCH00465695692"/>
  </r>
  <r>
    <s v="DZ"/>
    <x v="7"/>
    <n v="-492209.06"/>
    <s v="HDFCN52025082227307462"/>
  </r>
  <r>
    <s v="DZ"/>
    <x v="7"/>
    <n v="-139776.57999999999"/>
    <s v="HDFCH00465695692"/>
  </r>
  <r>
    <s v="DZ"/>
    <x v="7"/>
    <n v="-2932.62"/>
    <s v=""/>
  </r>
  <r>
    <s v="DZ"/>
    <x v="7"/>
    <n v="-116988.95"/>
    <s v="HDFCN52025051435275414"/>
  </r>
  <r>
    <s v="DZ"/>
    <x v="7"/>
    <n v="-646935.77"/>
    <s v="HDFCN52025100205721894"/>
  </r>
  <r>
    <s v="DZ"/>
    <x v="7"/>
    <n v="-182952.83"/>
    <s v="HDFCN52025062512710909"/>
  </r>
  <r>
    <s v="DZ"/>
    <x v="8"/>
    <n v="-324591.96000000002"/>
    <s v=""/>
  </r>
  <r>
    <s v="DZ"/>
    <x v="9"/>
    <n v="-8051.51"/>
    <s v="HDFCN52025060575568983"/>
  </r>
  <r>
    <s v="DZ"/>
    <x v="9"/>
    <n v="-109304.71"/>
    <s v="HDFCN52025082733046460"/>
  </r>
  <r>
    <s v="DZ"/>
    <x v="9"/>
    <n v="-159622.78"/>
    <s v="HDFCN52025060575568983"/>
  </r>
  <r>
    <s v="DZ"/>
    <x v="9"/>
    <n v="-50734.53"/>
    <s v="HDFCN52025072369906032"/>
  </r>
  <r>
    <s v="DZ"/>
    <x v="9"/>
    <n v="-477139.41"/>
    <s v="HDFCN52025072369906032"/>
  </r>
  <r>
    <s v="DZ"/>
    <x v="10"/>
    <n v="-66620.789999999994"/>
    <s v="G15K40FCKGJH"/>
  </r>
  <r>
    <s v="DZ"/>
    <x v="10"/>
    <n v="-296024"/>
    <s v=""/>
  </r>
  <r>
    <s v="DZ"/>
    <x v="10"/>
    <n v="-30866.77"/>
    <s v="G15K40FCKGJH"/>
  </r>
  <r>
    <s v="DZ"/>
    <x v="10"/>
    <n v="-14531.11"/>
    <s v=""/>
  </r>
  <r>
    <s v="DZ"/>
    <x v="11"/>
    <n v="-14903.5"/>
    <s v=""/>
  </r>
  <r>
    <s v="DZ"/>
    <x v="12"/>
    <n v="14531.11"/>
    <s v=""/>
  </r>
  <r>
    <s v="DZ"/>
    <x v="12"/>
    <n v="14903.5"/>
    <s v=""/>
  </r>
  <r>
    <s v="DZ"/>
    <x v="12"/>
    <n v="14531.11"/>
    <s v=""/>
  </r>
  <r>
    <s v="DZ"/>
    <x v="12"/>
    <n v="-30687.62"/>
    <s v=""/>
  </r>
  <r>
    <s v="DZ"/>
    <x v="12"/>
    <n v="-14531.11"/>
    <s v=""/>
  </r>
  <r>
    <s v="DZ"/>
    <x v="13"/>
    <n v="-30424.05"/>
    <s v=""/>
  </r>
  <r>
    <s v="DZ"/>
    <x v="13"/>
    <n v="-971.67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400000007"/>
    <s v="DZ"/>
    <d v="2025-04-25T00:00:00"/>
    <x v="0"/>
    <s v="INR"/>
    <n v="-77748.160000000003"/>
    <s v="HDFCN52025031215974606"/>
    <x v="0"/>
  </r>
  <r>
    <n v="1400000008"/>
    <s v="DZ"/>
    <d v="2025-04-25T00:00:00"/>
    <x v="1"/>
    <s v="INR"/>
    <n v="-31951.3"/>
    <s v="HDFCN52025031215976413"/>
    <x v="1"/>
  </r>
  <r>
    <n v="1400000009"/>
    <s v="DZ"/>
    <d v="2025-04-25T00:00:00"/>
    <x v="2"/>
    <s v="INR"/>
    <n v="-107902.2"/>
    <s v="HDFCN52025031215974609"/>
    <x v="2"/>
  </r>
  <r>
    <n v="1400000010"/>
    <s v="DZ"/>
    <d v="2025-04-25T00:00:00"/>
    <x v="3"/>
    <s v="INR"/>
    <n v="-11561.33"/>
    <s v="HDFCN52025032433793860"/>
    <x v="3"/>
  </r>
  <r>
    <n v="1400000011"/>
    <s v="DZ"/>
    <d v="2025-04-25T00:00:00"/>
    <x v="4"/>
    <s v="INR"/>
    <n v="-18498.12"/>
    <s v="HDFCN52025032433793867"/>
    <x v="4"/>
  </r>
  <r>
    <n v="1400000012"/>
    <s v="DZ"/>
    <d v="2025-04-25T00:00:00"/>
    <x v="5"/>
    <s v="INR"/>
    <n v="-18498.12"/>
    <s v="HDFCN52025032433793886"/>
    <x v="5"/>
  </r>
  <r>
    <n v="1400000013"/>
    <s v="DZ"/>
    <d v="2025-04-25T00:00:00"/>
    <x v="6"/>
    <s v="INR"/>
    <n v="-4624.53"/>
    <s v="HDFCN52025032433793875"/>
    <x v="6"/>
  </r>
  <r>
    <n v="1400000014"/>
    <s v="DZ"/>
    <d v="2025-04-25T00:00:00"/>
    <x v="7"/>
    <s v="INR"/>
    <n v="-15765.44"/>
    <s v="HDFCN52025032433791996"/>
    <x v="7"/>
  </r>
  <r>
    <n v="1400000015"/>
    <s v="DZ"/>
    <d v="2025-04-25T00:00:00"/>
    <x v="8"/>
    <s v="INR"/>
    <n v="-4624.53"/>
    <s v="HDFCN52025032433791993"/>
    <x v="8"/>
  </r>
  <r>
    <n v="1400001449"/>
    <s v="DZ"/>
    <d v="2025-09-12T00:00:00"/>
    <x v="9"/>
    <s v="INR"/>
    <n v="124189.23"/>
    <s v=""/>
    <x v="9"/>
  </r>
  <r>
    <n v="1400001173"/>
    <s v="DZ"/>
    <d v="2025-09-12T00:00:00"/>
    <x v="9"/>
    <s v="INR"/>
    <n v="-124189.23"/>
    <s v=""/>
    <x v="9"/>
  </r>
  <r>
    <n v="1400001450"/>
    <s v="DZ"/>
    <d v="2025-09-08T00:00:00"/>
    <x v="10"/>
    <s v="INR"/>
    <n v="495157.4"/>
    <s v=""/>
    <x v="10"/>
  </r>
  <r>
    <n v="1400001142"/>
    <s v="DZ"/>
    <d v="2025-09-08T00:00:00"/>
    <x v="10"/>
    <s v="INR"/>
    <n v="-495157.4"/>
    <s v=""/>
    <x v="10"/>
  </r>
  <r>
    <n v="1400000063"/>
    <s v="DZ"/>
    <d v="2025-06-24T00:00:00"/>
    <x v="11"/>
    <s v="INR"/>
    <n v="-112111.95"/>
    <s v=""/>
    <x v="11"/>
  </r>
  <r>
    <n v="1400001451"/>
    <s v="DZ"/>
    <d v="2025-06-24T00:00:00"/>
    <x v="11"/>
    <s v="INR"/>
    <n v="112111.95"/>
    <s v=""/>
    <x v="11"/>
  </r>
  <r>
    <n v="1400001452"/>
    <s v="DZ"/>
    <d v="2025-10-16T00:00:00"/>
    <x v="12"/>
    <s v="INR"/>
    <n v="-492209.06"/>
    <s v="HDFCN52025082227307462"/>
    <x v="12"/>
  </r>
  <r>
    <n v="1400001453"/>
    <s v="DZ"/>
    <d v="2025-10-16T00:00:00"/>
    <x v="13"/>
    <s v="INR"/>
    <n v="2932.62"/>
    <s v="HDFCH00465695692"/>
    <x v="13"/>
  </r>
  <r>
    <n v="1400001453"/>
    <s v="DZ"/>
    <d v="2025-10-16T00:00:00"/>
    <x v="13"/>
    <s v="INR"/>
    <n v="-139776.57999999999"/>
    <s v="HDFCH00465695692"/>
    <x v="13"/>
  </r>
  <r>
    <n v="1400001452"/>
    <s v="DZ"/>
    <d v="2025-10-16T00:00:00"/>
    <x v="12"/>
    <s v="INR"/>
    <n v="-2932.62"/>
    <s v=""/>
    <x v="13"/>
  </r>
  <r>
    <n v="1400001454"/>
    <s v="DZ"/>
    <d v="2025-10-16T00:00:00"/>
    <x v="11"/>
    <s v="INR"/>
    <n v="-116988.95"/>
    <s v="HDFCN52025051435275414"/>
    <x v="14"/>
  </r>
  <r>
    <n v="1400001455"/>
    <s v="DZ"/>
    <d v="2025-10-16T00:00:00"/>
    <x v="14"/>
    <s v="INR"/>
    <n v="-646935.77"/>
    <s v="HDFCN52025100205721894"/>
    <x v="15"/>
  </r>
  <r>
    <n v="1400001456"/>
    <s v="DZ"/>
    <d v="2025-10-16T00:00:00"/>
    <x v="15"/>
    <s v="INR"/>
    <n v="-182952.83"/>
    <s v="HDFCN52025062512710909"/>
    <x v="16"/>
  </r>
  <r>
    <n v="1400001458"/>
    <s v="DZ"/>
    <d v="2025-08-21T00:00:00"/>
    <x v="16"/>
    <s v="INR"/>
    <n v="179293.83"/>
    <s v=""/>
    <x v="17"/>
  </r>
  <r>
    <n v="1400000898"/>
    <s v="DZ"/>
    <d v="2025-08-21T00:00:00"/>
    <x v="16"/>
    <s v="INR"/>
    <n v="-179293.83"/>
    <s v=""/>
    <x v="17"/>
  </r>
  <r>
    <n v="1400001468"/>
    <s v="DZ"/>
    <d v="2025-10-08T00:00:00"/>
    <x v="14"/>
    <s v="INR"/>
    <n v="339060.54"/>
    <s v=""/>
    <x v="18"/>
  </r>
  <r>
    <n v="1400001367"/>
    <s v="DZ"/>
    <d v="2025-10-08T00:00:00"/>
    <x v="14"/>
    <s v="INR"/>
    <n v="-339060.54"/>
    <s v=""/>
    <x v="18"/>
  </r>
  <r>
    <n v="1400001956"/>
    <s v="DZ"/>
    <d v="2025-11-18T00:00:00"/>
    <x v="17"/>
    <s v="INR"/>
    <n v="-109304.71"/>
    <s v="HDFCN52025082733046460"/>
    <x v="19"/>
  </r>
  <r>
    <n v="1400001961"/>
    <s v="DZ"/>
    <d v="2025-11-18T00:00:00"/>
    <x v="18"/>
    <s v="INR"/>
    <n v="-8051.51"/>
    <s v="HDFCN52025060575568983"/>
    <x v="20"/>
  </r>
  <r>
    <n v="1400001961"/>
    <s v="DZ"/>
    <d v="2025-11-18T00:00:00"/>
    <x v="18"/>
    <s v="INR"/>
    <n v="-159622.78"/>
    <s v="HDFCN52025060575568983"/>
    <x v="20"/>
  </r>
  <r>
    <n v="1400001971"/>
    <s v="DZ"/>
    <d v="2025-11-18T00:00:00"/>
    <x v="19"/>
    <s v="INR"/>
    <n v="-50734.53"/>
    <s v="HDFCN52025072369906032"/>
    <x v="21"/>
  </r>
  <r>
    <n v="1400001972"/>
    <s v="DZ"/>
    <d v="2025-11-18T00:00:00"/>
    <x v="19"/>
    <s v="INR"/>
    <n v="-477139.41"/>
    <s v="HDFCN52025072369906032"/>
    <x v="22"/>
  </r>
  <r>
    <n v="1400001988"/>
    <s v="DZ"/>
    <d v="2025-09-08T00:00:00"/>
    <x v="17"/>
    <s v="INR"/>
    <n v="107117.71"/>
    <s v=""/>
    <x v="23"/>
  </r>
  <r>
    <n v="1400001145"/>
    <s v="DZ"/>
    <d v="2025-09-08T00:00:00"/>
    <x v="17"/>
    <s v="INR"/>
    <n v="-107117.71"/>
    <s v=""/>
    <x v="23"/>
  </r>
  <r>
    <n v="1400001989"/>
    <s v="DZ"/>
    <d v="2025-08-21T00:00:00"/>
    <x v="20"/>
    <s v="INR"/>
    <n v="475086.94"/>
    <s v=""/>
    <x v="24"/>
  </r>
  <r>
    <n v="1400000962"/>
    <s v="DZ"/>
    <d v="2025-08-21T00:00:00"/>
    <x v="20"/>
    <s v="INR"/>
    <n v="-475086.94"/>
    <s v=""/>
    <x v="24"/>
  </r>
  <r>
    <n v="1400001993"/>
    <s v="DZ"/>
    <d v="2025-06-24T00:00:00"/>
    <x v="18"/>
    <s v="INR"/>
    <n v="159186.29"/>
    <s v=""/>
    <x v="25"/>
  </r>
  <r>
    <n v="1400000115"/>
    <s v="DZ"/>
    <d v="2025-06-24T00:00:00"/>
    <x v="18"/>
    <s v="INR"/>
    <n v="-159186.29"/>
    <s v=""/>
    <x v="25"/>
  </r>
  <r>
    <n v="1400002197"/>
    <s v="DZ"/>
    <d v="2025-12-16T00:00:00"/>
    <x v="21"/>
    <s v="INR"/>
    <n v="-66620.789999999994"/>
    <s v="G15K40FCKGJH"/>
    <x v="26"/>
  </r>
  <r>
    <n v="1400002197"/>
    <s v="DZ"/>
    <d v="2025-12-16T00:00:00"/>
    <x v="21"/>
    <s v="INR"/>
    <n v="-30866.77"/>
    <s v="G15K40FCKGJH"/>
    <x v="26"/>
  </r>
  <r>
    <n v="1400002388"/>
    <s v="DZ"/>
    <d v="2026-01-08T00:00:00"/>
    <x v="21"/>
    <s v="INR"/>
    <n v="14531.11"/>
    <s v=""/>
    <x v="27"/>
  </r>
  <r>
    <n v="1400002198"/>
    <s v="DZ"/>
    <d v="2025-12-16T00:00:00"/>
    <x v="21"/>
    <s v="INR"/>
    <n v="-14531.11"/>
    <s v=""/>
    <x v="27"/>
  </r>
  <r>
    <n v="1400002389"/>
    <s v="DZ"/>
    <d v="2026-01-08T00:00:00"/>
    <x v="22"/>
    <s v="INR"/>
    <n v="14903.5"/>
    <s v=""/>
    <x v="28"/>
  </r>
  <r>
    <n v="1400002389"/>
    <s v="DZ"/>
    <d v="2026-01-08T00:00:00"/>
    <x v="22"/>
    <s v="INR"/>
    <n v="14531.11"/>
    <s v=""/>
    <x v="28"/>
  </r>
  <r>
    <n v="1400002389"/>
    <s v="DZ"/>
    <d v="2026-01-08T00:00:00"/>
    <x v="22"/>
    <s v="INR"/>
    <n v="-30687.62"/>
    <s v=""/>
    <x v="28"/>
  </r>
  <r>
    <n v="1400002237"/>
    <s v="DZ"/>
    <d v="2025-12-20T00:00:00"/>
    <x v="22"/>
    <s v="INR"/>
    <n v="-14903.5"/>
    <s v=""/>
    <x v="28"/>
  </r>
  <r>
    <n v="1400002388"/>
    <s v="DZ"/>
    <d v="2026-01-08T00:00:00"/>
    <x v="21"/>
    <s v="INR"/>
    <n v="-14531.11"/>
    <s v=""/>
    <x v="28"/>
  </r>
  <r>
    <n v="1400001329"/>
    <s v="DZ"/>
    <d v="2025-10-01T00:00:00"/>
    <x v="23"/>
    <s v="INR"/>
    <n v="-226409"/>
    <s v=""/>
    <x v="29"/>
  </r>
  <r>
    <n v="1400000113"/>
    <s v="DZ"/>
    <d v="2025-06-24T00:00:00"/>
    <x v="24"/>
    <s v="INR"/>
    <n v="-341000"/>
    <s v=""/>
    <x v="29"/>
  </r>
  <r>
    <n v="1400002197"/>
    <s v="DZ"/>
    <d v="2025-12-16T00:00:00"/>
    <x v="21"/>
    <s v="INR"/>
    <n v="-296024"/>
    <s v=""/>
    <x v="29"/>
  </r>
  <r>
    <n v="1400001627"/>
    <s v="DZ"/>
    <d v="2025-11-11T00:00:00"/>
    <x v="25"/>
    <s v="INR"/>
    <n v="-324591.96000000002"/>
    <s v=""/>
    <x v="29"/>
  </r>
  <r>
    <n v="1400002720"/>
    <s v="DZ"/>
    <d v="2026-02-17T00:00:00"/>
    <x v="26"/>
    <s v="INR"/>
    <n v="-30424.05"/>
    <s v=""/>
    <x v="29"/>
  </r>
  <r>
    <n v="1400002721"/>
    <s v="DZ"/>
    <d v="2026-02-17T00:00:00"/>
    <x v="27"/>
    <s v="INR"/>
    <n v="-971.67"/>
    <s v=""/>
    <x v="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n v="1400002720"/>
    <s v="DZ"/>
    <d v="2026-02-17T00:00:00"/>
    <d v="2026-02-17T00:00:00"/>
    <x v="0"/>
    <n v="2173609"/>
    <s v="212100"/>
    <s v="Trade Debtors (Ctrl)"/>
    <s v=""/>
    <s v="15"/>
    <s v="INR"/>
    <n v="-30424.05"/>
    <s v="INR"/>
    <n v="-30424.05"/>
    <s v=""/>
    <s v="6779220000"/>
    <s v=""/>
    <s v=""/>
    <s v="2"/>
    <s v=""/>
    <s v=""/>
    <s v=""/>
    <s v=""/>
    <d v="2026-02-17T00:00:00"/>
    <m/>
    <x v="0"/>
    <e v="#N/A"/>
    <m/>
    <m/>
    <m/>
    <m/>
  </r>
  <r>
    <n v="1400002721"/>
    <s v="DZ"/>
    <d v="2026-02-17T00:00:00"/>
    <d v="2026-02-17T00:00:00"/>
    <x v="1"/>
    <n v="2173609"/>
    <s v="212100"/>
    <s v="Trade Debtors (Ctrl)"/>
    <s v=""/>
    <s v="15"/>
    <s v="INR"/>
    <n v="-971.67"/>
    <s v="INR"/>
    <n v="-971.67"/>
    <s v=""/>
    <s v="6779220000"/>
    <s v=""/>
    <s v=""/>
    <s v="2"/>
    <s v=""/>
    <s v=""/>
    <s v=""/>
    <s v=""/>
    <d v="2026-02-17T00:00:00"/>
    <m/>
    <x v="0"/>
    <e v="#N/A"/>
    <m/>
    <m/>
    <m/>
    <m/>
  </r>
  <r>
    <n v="1800017510"/>
    <s v="DR"/>
    <d v="2026-02-12T00:00:00"/>
    <d v="2026-02-16T00:00:00"/>
    <x v="2"/>
    <n v="256779451324"/>
    <s v="212100"/>
    <s v="Trade Debtors (Ctrl)"/>
    <s v=""/>
    <s v="01"/>
    <s v="USD"/>
    <n v="384.56"/>
    <s v="INR"/>
    <n v="34739.300000000003"/>
    <s v="O0"/>
    <s v="6779224501"/>
    <s v=""/>
    <s v="2172711"/>
    <s v="1"/>
    <s v="Unit Storage 1-31 Jan 2026"/>
    <s v=""/>
    <s v=""/>
    <s v=""/>
    <d v="2026-02-12T00:00:00"/>
    <m/>
    <x v="0"/>
    <n v="34739.304512000002"/>
    <n v="3474"/>
    <n v="31265.304512000002"/>
    <n v="-4.5119999995222315E-3"/>
    <n v="0.10000201500893799"/>
  </r>
  <r>
    <n v="1800017704"/>
    <s v="DR"/>
    <d v="2026-02-11T00:00:00"/>
    <d v="2026-02-16T00:00:00"/>
    <x v="3"/>
    <n v="256779451520"/>
    <s v="212100"/>
    <s v="Trade Debtors (Ctrl)"/>
    <s v=""/>
    <s v="01"/>
    <s v="USD"/>
    <n v="61.04"/>
    <s v="INR"/>
    <n v="5514.06"/>
    <s v="O0"/>
    <s v="6779224501"/>
    <s v=""/>
    <s v="NA"/>
    <s v="1"/>
    <s v="LCL Chgs - 16 - 31 JAN 26"/>
    <s v=""/>
    <s v=""/>
    <s v=""/>
    <d v="2026-02-11T00:00:00"/>
    <m/>
    <x v="0"/>
    <n v="5514.0606079999998"/>
    <n v="111"/>
    <n v="5403.0606079999998"/>
    <n v="-6.0799999937444227E-4"/>
    <n v="2.0130357667490016E-2"/>
  </r>
  <r>
    <n v="1400002388"/>
    <s v="DZ"/>
    <d v="2026-01-08T00:00:00"/>
    <d v="2026-01-08T00:00:00"/>
    <x v="4"/>
    <s v=""/>
    <s v="212100"/>
    <s v="Trade Debtors (Ctrl)"/>
    <s v=""/>
    <s v="08"/>
    <s v="INR"/>
    <n v="14531.11"/>
    <s v="INR"/>
    <n v="14531.11"/>
    <s v=""/>
    <s v="6779220000"/>
    <s v=""/>
    <s v=""/>
    <s v="2"/>
    <s v=""/>
    <s v=""/>
    <s v=""/>
    <s v=""/>
    <d v="2026-01-08T00:00:00"/>
    <d v="2026-01-08T00:00:00"/>
    <x v="1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08"/>
    <s v="INR"/>
    <n v="14903.5"/>
    <s v="INR"/>
    <n v="14903.5"/>
    <s v=""/>
    <s v="6779220000"/>
    <s v=""/>
    <s v=""/>
    <s v="3"/>
    <s v=""/>
    <s v=""/>
    <s v=""/>
    <s v=""/>
    <d v="2026-01-08T00:00:00"/>
    <d v="2026-01-08T00:00:00"/>
    <x v="2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08"/>
    <s v="INR"/>
    <n v="14531.11"/>
    <s v="INR"/>
    <n v="14531.11"/>
    <s v=""/>
    <s v="6779224500"/>
    <s v=""/>
    <s v=""/>
    <s v="4"/>
    <s v=""/>
    <s v=""/>
    <s v=""/>
    <s v=""/>
    <d v="2026-01-08T00:00:00"/>
    <d v="2026-01-08T00:00:00"/>
    <x v="2"/>
    <e v="#N/A"/>
    <m/>
    <m/>
    <m/>
    <m/>
  </r>
  <r>
    <n v="1400002389"/>
    <s v="DZ"/>
    <d v="2026-01-08T00:00:00"/>
    <d v="2026-01-08T00:00:00"/>
    <x v="5"/>
    <s v=""/>
    <s v="212100"/>
    <s v="Trade Debtors (Ctrl)"/>
    <s v=""/>
    <s v="15"/>
    <s v="INR"/>
    <n v="-31650.87"/>
    <s v="INR"/>
    <n v="-30687.62"/>
    <s v=""/>
    <s v="6779224500"/>
    <s v=""/>
    <s v=""/>
    <s v="5"/>
    <s v=""/>
    <s v=""/>
    <s v=""/>
    <s v=""/>
    <d v="2026-01-08T00:00:00"/>
    <d v="2026-01-08T00:00:00"/>
    <x v="2"/>
    <e v="#N/A"/>
    <m/>
    <m/>
    <m/>
    <m/>
  </r>
  <r>
    <n v="1400002388"/>
    <s v="DZ"/>
    <d v="2026-01-08T00:00:00"/>
    <d v="2026-01-08T00:00:00"/>
    <x v="4"/>
    <s v=""/>
    <s v="212100"/>
    <s v="Trade Debtors (Ctrl)"/>
    <s v=""/>
    <s v="15"/>
    <s v="INR"/>
    <n v="-14531.11"/>
    <s v="INR"/>
    <n v="-14531.11"/>
    <s v=""/>
    <s v="6779224500"/>
    <s v=""/>
    <s v="NA"/>
    <s v="1"/>
    <s v=""/>
    <s v=""/>
    <s v=""/>
    <s v=""/>
    <d v="2026-01-08T00:00:00"/>
    <d v="2026-01-08T00:00:00"/>
    <x v="2"/>
    <e v="#N/A"/>
    <m/>
    <m/>
    <m/>
    <m/>
  </r>
  <r>
    <n v="1800016266"/>
    <s v="DR"/>
    <d v="2026-01-06T00:00:00"/>
    <d v="2026-01-09T00:00:00"/>
    <x v="6"/>
    <n v="256779440152"/>
    <s v="212100"/>
    <s v="Trade Debtors (Ctrl)"/>
    <s v=""/>
    <s v="01"/>
    <s v="USD"/>
    <n v="246.17"/>
    <s v="INR"/>
    <n v="22338.240000000002"/>
    <s v="O0"/>
    <s v="6779224500"/>
    <s v=""/>
    <s v="NA"/>
    <s v="1"/>
    <s v="PORT SSR Chgs Dec 25"/>
    <s v=""/>
    <s v=""/>
    <s v=""/>
    <d v="2026-01-06T00:00:00"/>
    <m/>
    <x v="0"/>
    <n v="22338.2387738"/>
    <n v="447"/>
    <n v="21891.2387738"/>
    <n v="1.2262000018381514E-3"/>
    <n v="2.0010529030039966E-2"/>
  </r>
  <r>
    <n v="1800016352"/>
    <s v="DR"/>
    <d v="2026-01-06T00:00:00"/>
    <d v="2026-01-12T00:00:00"/>
    <x v="7"/>
    <n v="256779440242"/>
    <s v="212100"/>
    <s v="Trade Debtors (Ctrl)"/>
    <s v=""/>
    <s v="01"/>
    <s v="USD"/>
    <n v="881.6"/>
    <s v="INR"/>
    <n v="79999.149999999994"/>
    <s v="O0"/>
    <s v="6779224500"/>
    <s v=""/>
    <s v="NA"/>
    <s v="1"/>
    <s v="Unit Storage - 1-31 DEC 2025"/>
    <s v=""/>
    <s v=""/>
    <s v=""/>
    <d v="2026-01-06T00:00:00"/>
    <m/>
    <x v="0"/>
    <n v="79999.152224000005"/>
    <n v="8000"/>
    <n v="71999.152224000005"/>
    <n v="-2.2240000107558444E-3"/>
    <n v="0.10000106251128919"/>
  </r>
  <r>
    <n v="1800016064"/>
    <s v="DR"/>
    <d v="2026-01-05T00:00:00"/>
    <d v="2026-01-05T00:00:00"/>
    <x v="8"/>
    <n v="256779440106"/>
    <s v="212100"/>
    <s v="Trade Debtors (Ctrl)"/>
    <s v=""/>
    <s v="01"/>
    <s v="USD"/>
    <n v="700"/>
    <s v="INR"/>
    <n v="63520.2"/>
    <s v="O0"/>
    <s v="6779224500"/>
    <s v=""/>
    <s v="NA"/>
    <s v="1"/>
    <s v="Transportation IN Chgs - 01 - 15 DEC 25"/>
    <s v=""/>
    <s v=""/>
    <s v=""/>
    <d v="2026-01-05T00:00:00"/>
    <m/>
    <x v="0"/>
    <n v="63520.197999999997"/>
    <n v="1270"/>
    <n v="62250.197999999997"/>
    <n v="2.0000000004074536E-3"/>
    <n v="1.9993639818514427E-2"/>
  </r>
  <r>
    <n v="1800015679"/>
    <s v="DR"/>
    <d v="2026-01-02T00:00:00"/>
    <d v="2026-01-02T00:00:00"/>
    <x v="2"/>
    <n v="256779440012"/>
    <s v="212100"/>
    <s v="Trade Debtors (Ctrl)"/>
    <s v=""/>
    <s v="01"/>
    <s v="USD"/>
    <n v="182.78"/>
    <s v="INR"/>
    <n v="16586.03"/>
    <s v="O0"/>
    <s v="6779224500"/>
    <s v=""/>
    <s v="2139799"/>
    <s v="1"/>
    <s v="Unit Storage - 1-30 Nov 2025"/>
    <s v=""/>
    <s v=""/>
    <s v=""/>
    <d v="2026-01-02T00:00:00"/>
    <m/>
    <x v="0"/>
    <n v="33172.062258400001"/>
    <n v="3318"/>
    <n v="29854.062258400001"/>
    <n v="-16586.032258400002"/>
    <n v="0.20004787161243529"/>
  </r>
  <r>
    <n v="1800015717"/>
    <s v="DR"/>
    <d v="2026-01-02T00:00:00"/>
    <d v="2026-01-02T00:00:00"/>
    <x v="2"/>
    <n v="256779440046"/>
    <s v="212100"/>
    <s v="Trade Debtors (Ctrl)"/>
    <s v=""/>
    <s v="01"/>
    <s v="USD"/>
    <n v="50"/>
    <s v="INR"/>
    <n v="4537.16"/>
    <s v="O0"/>
    <s v="6779224500"/>
    <s v=""/>
    <s v="2139808"/>
    <s v="1"/>
    <s v="Scanning  Chgs - 16 - 30 Nov 25"/>
    <s v=""/>
    <s v=""/>
    <s v=""/>
    <d v="2026-01-02T00:00:00"/>
    <m/>
    <x v="0"/>
    <n v="9074.3140000000003"/>
    <n v="182"/>
    <n v="8892.3140000000003"/>
    <n v="-4537.1540000000005"/>
    <n v="4.0113198564740937E-2"/>
  </r>
  <r>
    <n v="1400002237"/>
    <s v="DZ"/>
    <d v="2025-12-20T00:00:00"/>
    <d v="2025-12-20T00:00:00"/>
    <x v="5"/>
    <s v=" "/>
    <s v="212100"/>
    <s v="Trade Debtors (Ctrl)"/>
    <s v=""/>
    <s v="15"/>
    <s v="INR"/>
    <n v="-14903.5"/>
    <s v="INR"/>
    <n v="-14903.5"/>
    <s v=""/>
    <s v="6779220000"/>
    <s v=""/>
    <s v=""/>
    <s v="2"/>
    <s v=""/>
    <s v=""/>
    <s v=""/>
    <s v=""/>
    <d v="2025-12-20T00:00:00"/>
    <d v="2026-01-08T00:00:00"/>
    <x v="2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67082.14"/>
    <s v="INR"/>
    <n v="-66620.789999999994"/>
    <s v=""/>
    <s v="6779224500"/>
    <s v=""/>
    <s v=""/>
    <s v="5"/>
    <s v="G15K40FCKGJH"/>
    <s v=""/>
    <s v=""/>
    <s v=""/>
    <d v="2025-12-16T00:00:00"/>
    <d v="2025-12-16T00:00:00"/>
    <x v="3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31045.05"/>
    <s v="INR"/>
    <n v="-30866.77"/>
    <s v=""/>
    <s v="6779224501"/>
    <s v=""/>
    <s v=""/>
    <s v="4"/>
    <s v="G15K40FCKGJH"/>
    <s v=""/>
    <s v=""/>
    <s v=""/>
    <d v="2025-12-16T00:00:00"/>
    <d v="2025-12-16T00:00:00"/>
    <x v="3"/>
    <e v="#N/A"/>
    <m/>
    <m/>
    <m/>
    <m/>
  </r>
  <r>
    <n v="1400002198"/>
    <s v="DZ"/>
    <d v="2025-12-16T00:00:00"/>
    <d v="2025-12-16T00:00:00"/>
    <x v="4"/>
    <s v=""/>
    <s v="212100"/>
    <s v="Trade Debtors (Ctrl)"/>
    <s v=""/>
    <s v="15"/>
    <s v="INR"/>
    <n v="-14531.11"/>
    <s v="INR"/>
    <n v="-14531.11"/>
    <s v=""/>
    <s v="6779220000"/>
    <s v=""/>
    <s v=""/>
    <s v="2"/>
    <s v=""/>
    <s v=""/>
    <s v=""/>
    <s v=""/>
    <d v="2025-12-16T00:00:00"/>
    <d v="2026-01-08T00:00:00"/>
    <x v="1"/>
    <e v="#N/A"/>
    <m/>
    <m/>
    <m/>
    <m/>
  </r>
  <r>
    <n v="1400002197"/>
    <s v="DZ"/>
    <d v="2025-12-16T00:00:00"/>
    <d v="2025-12-16T00:00:00"/>
    <x v="4"/>
    <s v=""/>
    <s v="212100"/>
    <s v="Trade Debtors (Ctrl)"/>
    <s v=""/>
    <s v="15"/>
    <s v="INR"/>
    <n v="-296024"/>
    <s v="INR"/>
    <n v="-296024"/>
    <s v=""/>
    <s v="6779224500"/>
    <s v=""/>
    <s v="NA"/>
    <s v="3"/>
    <s v=""/>
    <s v=""/>
    <s v=""/>
    <s v=""/>
    <d v="2025-12-16T00:00:00"/>
    <m/>
    <x v="0"/>
    <e v="#N/A"/>
    <m/>
    <m/>
    <m/>
    <m/>
  </r>
  <r>
    <n v="1800015381"/>
    <s v="DR"/>
    <d v="2025-12-08T00:00:00"/>
    <d v="2025-12-09T00:00:00"/>
    <x v="2"/>
    <n v="256779419830"/>
    <s v="212100"/>
    <s v="Trade Debtors (Ctrl)"/>
    <s v=""/>
    <s v="01"/>
    <s v="USD"/>
    <n v="11.18"/>
    <s v="INR"/>
    <n v="991.67"/>
    <s v="O0"/>
    <s v="6779224500"/>
    <s v=""/>
    <s v="2140080"/>
    <s v="1"/>
    <s v="Bond Stamp Paper Chgs Nov 25"/>
    <s v=""/>
    <s v=""/>
    <s v=""/>
    <d v="2025-12-08T00:00:00"/>
    <m/>
    <x v="0"/>
    <n v="991.66756520000001"/>
    <n v="20"/>
    <n v="971.66756520000001"/>
    <n v="2.4347999999463354E-3"/>
    <n v="2.0167999435296017E-2"/>
  </r>
  <r>
    <n v="1800015349"/>
    <s v="DR"/>
    <d v="2025-12-05T00:00:00"/>
    <d v="2025-12-09T00:00:00"/>
    <x v="2"/>
    <n v="256779419798"/>
    <s v="212100"/>
    <s v="Trade Debtors (Ctrl)"/>
    <s v=""/>
    <s v="01"/>
    <s v="USD"/>
    <n v="350"/>
    <s v="INR"/>
    <n v="31045.05"/>
    <s v="O0"/>
    <s v="6779224500"/>
    <s v=""/>
    <s v="2140069"/>
    <s v="1"/>
    <s v="Transportation In Chgs - 16 - 30 Nov 25"/>
    <s v=""/>
    <s v=""/>
    <s v=""/>
    <d v="2025-12-05T00:00:00"/>
    <m/>
    <x v="0"/>
    <n v="31045.049000000003"/>
    <n v="621"/>
    <n v="30424.049000000003"/>
    <n v="9.9999999656574801E-4"/>
    <n v="2.0003188914174724E-2"/>
  </r>
  <r>
    <n v="1400001956"/>
    <s v="DZ"/>
    <d v="2025-11-18T00:00:00"/>
    <d v="2025-11-18T00:00:00"/>
    <x v="9"/>
    <s v=""/>
    <s v="212100"/>
    <s v="Trade Debtors (Ctrl)"/>
    <s v=""/>
    <s v="15"/>
    <s v="INR"/>
    <n v="-109304.71"/>
    <s v="INR"/>
    <n v="-109304.71"/>
    <s v=""/>
    <s v="6779224500"/>
    <s v=""/>
    <s v=""/>
    <s v="3"/>
    <s v="HDFCN52025082733046460"/>
    <s v=""/>
    <s v=""/>
    <s v=""/>
    <d v="2025-11-18T00:00:00"/>
    <d v="2025-11-18T00:00:00"/>
    <x v="4"/>
    <e v="#N/A"/>
    <m/>
    <m/>
    <m/>
    <m/>
  </r>
  <r>
    <n v="1400001961"/>
    <s v="DZ"/>
    <d v="2025-11-18T00:00:00"/>
    <d v="2025-11-18T00:00:00"/>
    <x v="10"/>
    <s v=""/>
    <s v="212100"/>
    <s v="Trade Debtors (Ctrl)"/>
    <s v=""/>
    <s v="15"/>
    <s v="INR"/>
    <n v="-8051.51"/>
    <s v="INR"/>
    <n v="-8051.51"/>
    <s v=""/>
    <s v="6779224500"/>
    <s v=""/>
    <s v=""/>
    <s v="5"/>
    <s v="HDFCN52025060575568983"/>
    <s v=""/>
    <s v=""/>
    <s v=""/>
    <d v="2025-11-18T00:00:00"/>
    <d v="2025-11-18T00:00:00"/>
    <x v="5"/>
    <e v="#N/A"/>
    <m/>
    <m/>
    <m/>
    <m/>
  </r>
  <r>
    <n v="1400001961"/>
    <s v="DZ"/>
    <d v="2025-11-18T00:00:00"/>
    <d v="2025-11-18T00:00:00"/>
    <x v="10"/>
    <s v=""/>
    <s v="212100"/>
    <s v="Trade Debtors (Ctrl)"/>
    <s v=""/>
    <s v="15"/>
    <s v="INR"/>
    <n v="-159132.62"/>
    <s v="INR"/>
    <n v="-159622.78"/>
    <s v=""/>
    <s v="6779224500"/>
    <s v=""/>
    <s v=""/>
    <s v="4"/>
    <s v="HDFCN52025060575568983"/>
    <s v=""/>
    <s v=""/>
    <s v=""/>
    <d v="2025-11-18T00:00:00"/>
    <d v="2025-11-18T00:00:00"/>
    <x v="5"/>
    <e v="#N/A"/>
    <m/>
    <m/>
    <m/>
    <m/>
  </r>
  <r>
    <n v="1400001971"/>
    <s v="DZ"/>
    <d v="2025-11-18T00:00:00"/>
    <d v="2025-11-18T00:00:00"/>
    <x v="11"/>
    <s v=""/>
    <s v="212100"/>
    <s v="Trade Debtors (Ctrl)"/>
    <s v=""/>
    <s v="15"/>
    <s v="INR"/>
    <n v="-50196.87"/>
    <s v="INR"/>
    <n v="-50734.53"/>
    <s v=""/>
    <s v="6779224500"/>
    <s v=""/>
    <s v=""/>
    <s v="4"/>
    <s v="HDFCN52025072369906032"/>
    <s v=""/>
    <s v=""/>
    <s v=""/>
    <d v="2025-11-18T00:00:00"/>
    <d v="2025-11-18T00:00:00"/>
    <x v="6"/>
    <e v="#N/A"/>
    <m/>
    <m/>
    <m/>
    <m/>
  </r>
  <r>
    <n v="1400001972"/>
    <s v="DZ"/>
    <d v="2025-11-18T00:00:00"/>
    <d v="2025-11-18T00:00:00"/>
    <x v="11"/>
    <s v=""/>
    <s v="212100"/>
    <s v="Trade Debtors (Ctrl)"/>
    <s v=""/>
    <s v="15"/>
    <s v="INR"/>
    <n v="-477139.41"/>
    <s v="INR"/>
    <n v="-477139.41"/>
    <s v=""/>
    <s v="6779224500"/>
    <s v=""/>
    <s v=""/>
    <s v="3"/>
    <s v="HDFCN52025072369906032"/>
    <s v=""/>
    <s v=""/>
    <s v=""/>
    <d v="2025-11-18T00:00:00"/>
    <d v="2025-11-18T00:00:00"/>
    <x v="7"/>
    <e v="#N/A"/>
    <m/>
    <m/>
    <m/>
    <m/>
  </r>
  <r>
    <n v="1400001627"/>
    <s v="DZ"/>
    <d v="2025-11-11T00:00:00"/>
    <d v="2025-11-11T00:00:00"/>
    <x v="12"/>
    <s v=""/>
    <s v="212100"/>
    <s v="Trade Debtors (Ctrl)"/>
    <s v=""/>
    <s v="15"/>
    <s v="INR"/>
    <n v="-324591.96000000002"/>
    <s v="INR"/>
    <n v="-324591.96000000002"/>
    <s v=""/>
    <s v="6779220000"/>
    <s v=""/>
    <s v=""/>
    <s v="2"/>
    <s v=""/>
    <s v=""/>
    <s v=""/>
    <s v=""/>
    <d v="2025-11-11T00:00:00"/>
    <m/>
    <x v="0"/>
    <e v="#N/A"/>
    <m/>
    <m/>
    <m/>
    <m/>
  </r>
  <r>
    <n v="1800014545"/>
    <s v="DR"/>
    <d v="2025-11-05T00:00:00"/>
    <d v="2025-11-06T00:00:00"/>
    <x v="2"/>
    <n v="256779418877"/>
    <s v="212100"/>
    <s v="Trade Debtors (Ctrl)"/>
    <s v=""/>
    <s v="01"/>
    <s v="USD"/>
    <n v="367.84"/>
    <s v="INR"/>
    <n v="32371.17"/>
    <s v="O0"/>
    <s v="6779224500"/>
    <s v=""/>
    <s v="2123390"/>
    <s v="1"/>
    <s v="Unit Storage - 1-31 Oct 2025"/>
    <s v=""/>
    <s v=""/>
    <s v=""/>
    <d v="2025-11-05T00:00:00"/>
    <d v="2025-12-16T00:00:00"/>
    <x v="3"/>
    <n v="32371.166977599998"/>
    <n v="3237"/>
    <n v="29134.166977599998"/>
    <n v="3.022400000190828E-3"/>
    <n v="9.9996385672807012E-2"/>
  </r>
  <r>
    <n v="1800014715"/>
    <s v="DR"/>
    <d v="2025-11-05T00:00:00"/>
    <d v="2025-11-07T00:00:00"/>
    <x v="13"/>
    <n v="256779419216"/>
    <s v="212100"/>
    <s v="Trade Debtors (Ctrl)"/>
    <s v=""/>
    <s v="01"/>
    <s v="USD"/>
    <n v="27.17"/>
    <s v="INR"/>
    <n v="2391.0500000000002"/>
    <s v="O0"/>
    <s v="6779224500"/>
    <s v=""/>
    <s v="NA"/>
    <s v="1"/>
    <s v="PORT SSR Chgs Oct 25"/>
    <s v=""/>
    <s v=""/>
    <s v=""/>
    <d v="2025-11-05T00:00:00"/>
    <d v="2025-12-16T00:00:00"/>
    <x v="3"/>
    <n v="2391.0521063000001"/>
    <n v="48"/>
    <n v="2343.0521063000001"/>
    <n v="-2.1062999999230669E-3"/>
    <n v="2.0074862508103131E-2"/>
  </r>
  <r>
    <n v="1800014737"/>
    <s v="DR"/>
    <d v="2025-11-05T00:00:00"/>
    <d v="2025-11-07T00:00:00"/>
    <x v="2"/>
    <n v="256779419240"/>
    <s v="212100"/>
    <s v="Trade Debtors (Ctrl)"/>
    <s v=""/>
    <s v="01"/>
    <s v="USD"/>
    <n v="11.27"/>
    <s v="INR"/>
    <n v="991.8"/>
    <s v="O0"/>
    <s v="6779224500"/>
    <s v=""/>
    <s v="2123648"/>
    <s v="1"/>
    <s v="Bond Stamp Paper Chgs Oct 25"/>
    <s v=""/>
    <s v=""/>
    <s v=""/>
    <d v="2025-11-05T00:00:00"/>
    <d v="2025-12-16T00:00:00"/>
    <x v="3"/>
    <n v="991.79820529999995"/>
    <n v="20"/>
    <n v="971.79820529999995"/>
    <n v="1.7947000000049229E-3"/>
    <n v="2.0165355918531962E-2"/>
  </r>
  <r>
    <n v="1800013820"/>
    <s v="DR"/>
    <d v="2025-10-20T00:00:00"/>
    <d v="2025-10-21T00:00:00"/>
    <x v="2"/>
    <n v="256779418638"/>
    <s v="212100"/>
    <s v="Trade Debtors (Ctrl)"/>
    <s v=""/>
    <s v="01"/>
    <s v="USD"/>
    <n v="350"/>
    <s v="INR"/>
    <n v="30866.77"/>
    <s v="O0"/>
    <s v="6779224500"/>
    <s v=""/>
    <s v="2114881"/>
    <s v="1"/>
    <s v="Transportation In Chgs - 01 - 15 OCT 25"/>
    <s v=""/>
    <s v=""/>
    <s v=""/>
    <d v="2025-10-20T00:00:00"/>
    <d v="2025-12-16T00:00:00"/>
    <x v="3"/>
    <n v="30866.769499999999"/>
    <n v="617"/>
    <n v="30249.769499999999"/>
    <n v="5.0000000192085281E-4"/>
    <n v="1.9989133945663897E-2"/>
  </r>
  <r>
    <n v="1400001452"/>
    <s v="DZ"/>
    <d v="2025-10-16T00:00:00"/>
    <d v="2025-10-16T00:00:00"/>
    <x v="14"/>
    <s v=""/>
    <s v="212100"/>
    <s v="Trade Debtors (Ctrl)"/>
    <s v=""/>
    <s v="15"/>
    <s v="INR"/>
    <n v="-492224.78"/>
    <s v="INR"/>
    <n v="-492209.06"/>
    <s v=""/>
    <s v="6779224500"/>
    <s v=""/>
    <s v=""/>
    <s v="3"/>
    <s v="HDFCN52025082227307462"/>
    <s v=""/>
    <s v=""/>
    <s v=""/>
    <d v="2025-10-16T00:00:00"/>
    <d v="2025-10-16T00:00:00"/>
    <x v="8"/>
    <e v="#N/A"/>
    <m/>
    <m/>
    <m/>
    <m/>
  </r>
  <r>
    <n v="1400001453"/>
    <s v="DZ"/>
    <d v="2025-10-16T00:00:00"/>
    <d v="2025-10-16T00:00:00"/>
    <x v="15"/>
    <s v=""/>
    <s v="212100"/>
    <s v="Trade Debtors (Ctrl)"/>
    <s v=""/>
    <s v="08"/>
    <s v="INR"/>
    <n v="2932.62"/>
    <s v="INR"/>
    <n v="2932.62"/>
    <s v=""/>
    <s v="6779224500"/>
    <s v=""/>
    <s v=""/>
    <s v="4"/>
    <s v="HDFCH00465695692"/>
    <s v=""/>
    <s v=""/>
    <s v=""/>
    <d v="2025-10-16T00:00:00"/>
    <d v="2025-10-16T00:00:00"/>
    <x v="9"/>
    <e v="#N/A"/>
    <m/>
    <m/>
    <m/>
    <m/>
  </r>
  <r>
    <n v="1400001453"/>
    <s v="DZ"/>
    <d v="2025-10-16T00:00:00"/>
    <d v="2025-10-16T00:00:00"/>
    <x v="15"/>
    <s v=""/>
    <s v="212100"/>
    <s v="Trade Debtors (Ctrl)"/>
    <s v=""/>
    <s v="15"/>
    <s v="INR"/>
    <n v="-142188.03"/>
    <s v="INR"/>
    <n v="-139776.57999999999"/>
    <s v=""/>
    <s v="6779224500"/>
    <s v=""/>
    <s v=""/>
    <s v="5"/>
    <s v="HDFCH00465695692"/>
    <s v=""/>
    <s v=""/>
    <s v=""/>
    <d v="2025-10-16T00:00:00"/>
    <d v="2025-10-16T00:00:00"/>
    <x v="9"/>
    <e v="#N/A"/>
    <m/>
    <m/>
    <m/>
    <m/>
  </r>
  <r>
    <n v="1400001452"/>
    <s v="DZ"/>
    <d v="2025-10-16T00:00:00"/>
    <d v="2025-10-16T00:00:00"/>
    <x v="14"/>
    <s v=""/>
    <s v="212100"/>
    <s v="Trade Debtors (Ctrl)"/>
    <s v=""/>
    <s v="15"/>
    <s v="INR"/>
    <n v="-2932.62"/>
    <s v="INR"/>
    <n v="-2932.62"/>
    <s v=""/>
    <s v="6779224500"/>
    <s v=""/>
    <s v="NA"/>
    <s v="2"/>
    <s v=""/>
    <s v=""/>
    <s v=""/>
    <s v=""/>
    <d v="2025-10-16T00:00:00"/>
    <d v="2025-10-16T00:00:00"/>
    <x v="9"/>
    <e v="#N/A"/>
    <m/>
    <m/>
    <m/>
    <m/>
  </r>
  <r>
    <n v="1400001454"/>
    <s v="DZ"/>
    <d v="2025-10-16T00:00:00"/>
    <d v="2025-10-16T00:00:00"/>
    <x v="16"/>
    <s v=""/>
    <s v="212100"/>
    <s v="Trade Debtors (Ctrl)"/>
    <s v=""/>
    <s v="15"/>
    <s v="INR"/>
    <n v="-115726.32"/>
    <s v="INR"/>
    <n v="-116988.95"/>
    <s v=""/>
    <s v=""/>
    <s v=""/>
    <s v=""/>
    <s v="4"/>
    <s v="HDFCN52025051435275414"/>
    <s v=""/>
    <s v=""/>
    <s v=""/>
    <d v="2025-10-16T00:00:00"/>
    <d v="2025-10-16T00:00:00"/>
    <x v="10"/>
    <e v="#N/A"/>
    <m/>
    <m/>
    <m/>
    <m/>
  </r>
  <r>
    <n v="1400001455"/>
    <s v="DZ"/>
    <d v="2025-10-16T00:00:00"/>
    <d v="2025-10-16T00:00:00"/>
    <x v="17"/>
    <s v=""/>
    <s v="212100"/>
    <s v="Trade Debtors (Ctrl)"/>
    <s v=""/>
    <s v="15"/>
    <s v="INR"/>
    <n v="-659505.57999999996"/>
    <s v="INR"/>
    <n v="-646935.77"/>
    <s v=""/>
    <s v="6779224500"/>
    <s v=""/>
    <s v=""/>
    <s v="4"/>
    <s v="HDFCN52025100205721894"/>
    <s v=""/>
    <s v=""/>
    <s v=""/>
    <d v="2025-10-16T00:00:00"/>
    <d v="2025-10-16T00:00:00"/>
    <x v="11"/>
    <e v="#N/A"/>
    <m/>
    <m/>
    <m/>
    <m/>
  </r>
  <r>
    <n v="1400001456"/>
    <s v="DZ"/>
    <d v="2025-10-16T00:00:00"/>
    <d v="2025-10-16T00:00:00"/>
    <x v="18"/>
    <s v=""/>
    <s v="212100"/>
    <s v="Trade Debtors (Ctrl)"/>
    <s v=""/>
    <s v="15"/>
    <s v="USD"/>
    <n v="-2140.0300000000002"/>
    <s v="INR"/>
    <n v="-182952.83"/>
    <s v=""/>
    <s v="6779224500"/>
    <s v=""/>
    <s v=""/>
    <s v="3"/>
    <s v="HDFCN52025062512710909"/>
    <s v=""/>
    <s v=""/>
    <s v=""/>
    <d v="2025-10-16T00:00:00"/>
    <d v="2025-10-16T00:00:00"/>
    <x v="12"/>
    <e v="#N/A"/>
    <m/>
    <m/>
    <m/>
    <m/>
  </r>
  <r>
    <n v="1400001468"/>
    <s v="DZ"/>
    <d v="2025-10-08T00:00:00"/>
    <d v="2025-10-16T00:00:00"/>
    <x v="17"/>
    <s v=""/>
    <s v="212100"/>
    <s v="Trade Debtors (Ctrl)"/>
    <s v=""/>
    <s v="05"/>
    <s v="INR"/>
    <n v="339060.54"/>
    <s v="INR"/>
    <n v="339060.54"/>
    <s v=""/>
    <s v="6779220000"/>
    <s v=""/>
    <s v=""/>
    <s v="2"/>
    <s v=""/>
    <s v=""/>
    <s v=""/>
    <s v=""/>
    <d v="2025-10-08T00:00:00"/>
    <d v="2025-10-08T00:00:00"/>
    <x v="13"/>
    <e v="#N/A"/>
    <m/>
    <m/>
    <m/>
    <m/>
  </r>
  <r>
    <n v="1400001367"/>
    <s v="DZ"/>
    <d v="2025-10-08T00:00:00"/>
    <d v="2025-10-08T00:00:00"/>
    <x v="17"/>
    <s v=""/>
    <s v="212100"/>
    <s v="Trade Debtors (Ctrl)"/>
    <s v=""/>
    <s v="15"/>
    <s v="INR"/>
    <n v="-339060.54"/>
    <s v="INR"/>
    <n v="-339060.54"/>
    <s v=""/>
    <s v="6779220000"/>
    <s v=""/>
    <s v=""/>
    <s v="2"/>
    <s v=""/>
    <s v=""/>
    <s v=""/>
    <s v=""/>
    <d v="2025-10-08T00:00:00"/>
    <d v="2025-10-08T00:00:00"/>
    <x v="13"/>
    <e v="#N/A"/>
    <m/>
    <m/>
    <m/>
    <m/>
  </r>
  <r>
    <n v="1800013318"/>
    <s v="DR"/>
    <d v="2025-10-05T00:00:00"/>
    <d v="2025-10-07T00:00:00"/>
    <x v="2"/>
    <n v="256779417914"/>
    <s v="212100"/>
    <s v="Trade Debtors (Ctrl)"/>
    <s v=""/>
    <s v="01"/>
    <s v="USD"/>
    <n v="350"/>
    <s v="INR"/>
    <n v="30866.77"/>
    <s v="O0"/>
    <s v="6779224501"/>
    <s v=""/>
    <s v="NA"/>
    <s v="1"/>
    <s v="Transportation In Chgs - 16 - 30 SEP 25"/>
    <s v=""/>
    <s v=""/>
    <s v=""/>
    <d v="2025-10-05T00:00:00"/>
    <d v="2025-12-16T00:00:00"/>
    <x v="3"/>
    <n v="30866.769499999999"/>
    <n v="617"/>
    <n v="30249.769499999999"/>
    <n v="5.0000000192085281E-4"/>
    <n v="1.9989133945663897E-2"/>
  </r>
  <r>
    <n v="1400001329"/>
    <s v="DZ"/>
    <d v="2025-10-01T00:00:00"/>
    <d v="2025-10-01T00:00:00"/>
    <x v="19"/>
    <s v=""/>
    <s v="212100"/>
    <s v="Trade Debtors (Ctrl)"/>
    <s v=""/>
    <s v="15"/>
    <s v="INR"/>
    <n v="-226409"/>
    <s v="INR"/>
    <n v="-226409"/>
    <s v=""/>
    <s v="6779220000"/>
    <s v=""/>
    <s v=""/>
    <s v="2"/>
    <s v=""/>
    <s v=""/>
    <s v=""/>
    <s v=""/>
    <d v="2025-10-01T00:00:00"/>
    <m/>
    <x v="0"/>
    <e v="#N/A"/>
    <m/>
    <m/>
    <m/>
    <m/>
  </r>
  <r>
    <n v="1400001206"/>
    <s v="DY"/>
    <d v="2025-09-18T00:00:00"/>
    <d v="2025-09-18T00:00:00"/>
    <x v="20"/>
    <s v=""/>
    <s v="212100"/>
    <s v="Trade Debtors (Ctrl)"/>
    <s v=""/>
    <s v="15"/>
    <s v="INR"/>
    <n v="0"/>
    <s v="INR"/>
    <n v="0"/>
    <s v=""/>
    <s v="6779224500"/>
    <s v=""/>
    <s v=""/>
    <s v="1"/>
    <s v=""/>
    <s v=""/>
    <s v=""/>
    <s v=""/>
    <d v="2025-09-18T00:00:00"/>
    <d v="2025-09-18T00:00:00"/>
    <x v="14"/>
    <e v="#N/A"/>
    <m/>
    <m/>
    <m/>
    <m/>
  </r>
  <r>
    <n v="1800013170"/>
    <s v="DR"/>
    <d v="2025-09-17T00:00:00"/>
    <d v="2025-09-23T00:00:00"/>
    <x v="2"/>
    <n v="256779417777"/>
    <s v="212100"/>
    <s v="Trade Debtors (Ctrl)"/>
    <s v=""/>
    <s v="01"/>
    <s v="USD"/>
    <n v="50.34"/>
    <s v="INR"/>
    <n v="4405.47"/>
    <s v="O0"/>
    <s v="6779224500"/>
    <s v=""/>
    <s v="2102586"/>
    <s v="1"/>
    <s v="VAS Activity - Feb 25, Ex Rate. 87.40"/>
    <s v=""/>
    <s v=""/>
    <s v=""/>
    <d v="2025-09-17T00:00:00"/>
    <d v="2025-10-16T00:00:00"/>
    <x v="11"/>
    <n v="4405.4713722000006"/>
    <n v="88"/>
    <n v="4317.4713722000006"/>
    <n v="-1.3722000003326684E-3"/>
    <n v="1.9975167235277959E-2"/>
  </r>
  <r>
    <n v="1400001449"/>
    <s v="DZ"/>
    <d v="2025-09-12T00:00:00"/>
    <d v="2025-10-16T00:00:00"/>
    <x v="21"/>
    <s v=""/>
    <s v="212100"/>
    <s v="Trade Debtors (Ctrl)"/>
    <s v=""/>
    <s v="05"/>
    <s v="INR"/>
    <n v="124189.23"/>
    <s v="INR"/>
    <n v="124189.23"/>
    <s v=""/>
    <s v="6779220000"/>
    <s v=""/>
    <s v=""/>
    <s v="2"/>
    <s v=""/>
    <s v=""/>
    <s v=""/>
    <s v=""/>
    <d v="2025-09-12T00:00:00"/>
    <d v="2025-10-16T00:00:00"/>
    <x v="15"/>
    <e v="#N/A"/>
    <m/>
    <m/>
    <m/>
    <m/>
  </r>
  <r>
    <n v="1400001173"/>
    <s v="DZ"/>
    <d v="2025-09-12T00:00:00"/>
    <d v="2025-09-12T00:00:00"/>
    <x v="21"/>
    <s v=""/>
    <s v="212100"/>
    <s v="Trade Debtors (Ctrl)"/>
    <s v=""/>
    <s v="15"/>
    <s v="INR"/>
    <n v="-124189.23"/>
    <s v="INR"/>
    <n v="-124189.23"/>
    <s v=""/>
    <s v="6779220000"/>
    <s v=""/>
    <s v=""/>
    <s v="2"/>
    <s v=""/>
    <s v=""/>
    <s v=""/>
    <s v=""/>
    <d v="2025-09-12T00:00:00"/>
    <d v="2025-10-16T00:00:00"/>
    <x v="15"/>
    <e v="#N/A"/>
    <m/>
    <m/>
    <m/>
    <m/>
  </r>
  <r>
    <n v="1400001450"/>
    <s v="DZ"/>
    <d v="2025-09-08T00:00:00"/>
    <d v="2025-10-16T00:00:00"/>
    <x v="20"/>
    <s v=""/>
    <s v="212100"/>
    <s v="Trade Debtors (Ctrl)"/>
    <s v=""/>
    <s v="05"/>
    <s v="INR"/>
    <n v="495157.4"/>
    <s v="INR"/>
    <n v="495157.4"/>
    <s v=""/>
    <s v="6779220000"/>
    <s v=""/>
    <s v=""/>
    <s v="2"/>
    <s v=""/>
    <s v=""/>
    <s v=""/>
    <s v=""/>
    <d v="2025-09-08T00:00:00"/>
    <d v="2025-10-16T00:00:00"/>
    <x v="16"/>
    <e v="#N/A"/>
    <m/>
    <m/>
    <m/>
    <m/>
  </r>
  <r>
    <n v="1400001142"/>
    <s v="DZ"/>
    <d v="2025-09-08T00:00:00"/>
    <d v="2025-09-08T00:00:00"/>
    <x v="20"/>
    <s v=""/>
    <s v="212100"/>
    <s v="Trade Debtors (Ctrl)"/>
    <s v=""/>
    <s v="15"/>
    <s v="INR"/>
    <n v="-495157.4"/>
    <s v="INR"/>
    <n v="-495157.4"/>
    <s v=""/>
    <s v="6779220000"/>
    <s v=""/>
    <s v=""/>
    <s v="2"/>
    <s v=""/>
    <s v=""/>
    <s v=""/>
    <s v=""/>
    <d v="2025-09-08T00:00:00"/>
    <d v="2025-10-16T00:00:00"/>
    <x v="16"/>
    <e v="#N/A"/>
    <m/>
    <m/>
    <m/>
    <m/>
  </r>
  <r>
    <n v="1400001988"/>
    <s v="DZ"/>
    <d v="2025-09-08T00:00:00"/>
    <d v="2025-11-24T00:00:00"/>
    <x v="9"/>
    <s v=""/>
    <s v="212100"/>
    <s v="Trade Debtors (Ctrl)"/>
    <s v=""/>
    <s v="05"/>
    <s v="INR"/>
    <n v="107117.71"/>
    <s v="INR"/>
    <n v="107117.71"/>
    <s v=""/>
    <s v="6779220000"/>
    <s v=""/>
    <s v=""/>
    <s v="2"/>
    <s v=""/>
    <s v=""/>
    <s v=""/>
    <s v=""/>
    <d v="2025-09-08T00:00:00"/>
    <d v="2025-11-24T00:00:00"/>
    <x v="17"/>
    <e v="#N/A"/>
    <m/>
    <m/>
    <m/>
    <m/>
  </r>
  <r>
    <n v="1400001145"/>
    <s v="DZ"/>
    <d v="2025-09-08T00:00:00"/>
    <d v="2025-09-08T00:00:00"/>
    <x v="9"/>
    <s v=""/>
    <s v="212100"/>
    <s v="Trade Debtors (Ctrl)"/>
    <s v=""/>
    <s v="15"/>
    <s v="INR"/>
    <n v="-107117.71"/>
    <s v="INR"/>
    <n v="-107117.71"/>
    <s v=""/>
    <s v="6779220000"/>
    <s v=""/>
    <s v=""/>
    <s v="2"/>
    <s v=""/>
    <s v=""/>
    <s v=""/>
    <s v=""/>
    <d v="2025-09-08T00:00:00"/>
    <d v="2025-11-24T00:00:00"/>
    <x v="17"/>
    <e v="#N/A"/>
    <m/>
    <m/>
    <m/>
    <m/>
  </r>
  <r>
    <n v="1800012483"/>
    <s v="DR"/>
    <d v="2025-09-06T00:00:00"/>
    <d v="2025-09-09T00:00:00"/>
    <x v="2"/>
    <n v="256779417091"/>
    <s v="212100"/>
    <s v="Trade Debtors (Ctrl)"/>
    <s v=""/>
    <s v="01"/>
    <s v="USD"/>
    <n v="1598.28"/>
    <s v="INR"/>
    <n v="139872.4"/>
    <s v="O0"/>
    <s v="6779224500"/>
    <s v=""/>
    <s v="NA"/>
    <s v="1"/>
    <s v="Unit-Storage-1-31 Aug 25"/>
    <s v=""/>
    <s v=""/>
    <s v=""/>
    <d v="2025-09-06T00:00:00"/>
    <d v="2025-10-16T00:00:00"/>
    <x v="11"/>
    <n v="139872.4033524"/>
    <n v="13987"/>
    <n v="125885.4033524"/>
    <n v="-3.3524000027682632E-3"/>
    <n v="9.9998284150411385E-2"/>
  </r>
  <r>
    <n v="1800012439"/>
    <s v="DR"/>
    <d v="2025-09-04T00:00:00"/>
    <d v="2025-09-09T00:00:00"/>
    <x v="2"/>
    <n v="256779417139"/>
    <s v="212100"/>
    <s v="Trade Debtors (Ctrl)"/>
    <s v=""/>
    <s v="01"/>
    <s v="USD"/>
    <n v="25.04"/>
    <s v="INR"/>
    <n v="2191.36"/>
    <s v="O0"/>
    <s v="6779224500"/>
    <s v=""/>
    <s v="NA"/>
    <s v="1"/>
    <s v="VAS -16-31 Aug 25"/>
    <s v=""/>
    <s v=""/>
    <s v=""/>
    <d v="2025-09-04T00:00:00"/>
    <d v="2025-10-16T00:00:00"/>
    <x v="11"/>
    <n v="2191.3588231999997"/>
    <n v="44"/>
    <n v="2147.3588231999997"/>
    <n v="1.176800000393996E-3"/>
    <n v="2.0078855140186914E-2"/>
  </r>
  <r>
    <n v="1800012440"/>
    <s v="DR"/>
    <d v="2025-09-04T00:00:00"/>
    <d v="2025-09-09T00:00:00"/>
    <x v="2"/>
    <n v="256779417140"/>
    <s v="212100"/>
    <s v="Trade Debtors (Ctrl)"/>
    <s v=""/>
    <s v="01"/>
    <s v="USD"/>
    <n v="20.49"/>
    <s v="INR"/>
    <n v="1793.17"/>
    <s v="O0"/>
    <s v="6779224500"/>
    <s v=""/>
    <s v="NA"/>
    <s v="1"/>
    <s v="WEIGHMENT -16-31 Aug 25"/>
    <s v=""/>
    <s v=""/>
    <s v=""/>
    <d v="2025-09-04T00:00:00"/>
    <d v="2025-10-16T00:00:00"/>
    <x v="11"/>
    <n v="1793.1686216999999"/>
    <n v="36"/>
    <n v="1757.1686216999999"/>
    <n v="1.3783000001694745E-3"/>
    <n v="2.0076177941857159E-2"/>
  </r>
  <r>
    <n v="1800012572"/>
    <s v="DR"/>
    <d v="2025-09-04T00:00:00"/>
    <d v="2025-09-09T00:00:00"/>
    <x v="2"/>
    <n v="256779417191"/>
    <s v="212100"/>
    <s v="Trade Debtors (Ctrl)"/>
    <s v=""/>
    <s v="01"/>
    <s v="USD"/>
    <n v="8.8800000000000008"/>
    <s v="INR"/>
    <n v="777.13"/>
    <s v="O0"/>
    <s v="6779224500"/>
    <s v=""/>
    <s v="NA"/>
    <s v="1"/>
    <s v="Detention Chgs - 01 - 31 AUG 25"/>
    <s v=""/>
    <s v=""/>
    <s v=""/>
    <d v="2025-09-04T00:00:00"/>
    <d v="2025-10-16T00:00:00"/>
    <x v="11"/>
    <n v="777.12725040000009"/>
    <n v="16"/>
    <n v="761.12725040000009"/>
    <n v="2.749599999901875E-3"/>
    <n v="2.0588575913939752E-2"/>
  </r>
  <r>
    <n v="1800012577"/>
    <s v="DR"/>
    <d v="2025-09-04T00:00:00"/>
    <d v="2025-09-09T00:00:00"/>
    <x v="2"/>
    <n v="256779417235"/>
    <s v="212100"/>
    <s v="Trade Debtors (Ctrl)"/>
    <s v=""/>
    <s v="01"/>
    <s v="USD"/>
    <n v="412"/>
    <s v="INR"/>
    <n v="36055.9"/>
    <s v="O0"/>
    <s v="6779224500"/>
    <s v=""/>
    <s v="NA"/>
    <s v="1"/>
    <s v="PORT SSR Chgs Aug 25"/>
    <s v=""/>
    <s v=""/>
    <s v=""/>
    <d v="2025-09-04T00:00:00"/>
    <d v="2025-10-16T00:00:00"/>
    <x v="11"/>
    <n v="36055.903960000003"/>
    <n v="721"/>
    <n v="35334.903960000003"/>
    <n v="-3.9600000018253922E-3"/>
    <n v="1.9996727303991855E-2"/>
  </r>
  <r>
    <n v="1800012627"/>
    <s v="DR"/>
    <d v="2025-09-04T00:00:00"/>
    <d v="2025-09-09T00:00:00"/>
    <x v="2"/>
    <n v="256779417267"/>
    <s v="212100"/>
    <s v="Trade Debtors (Ctrl)"/>
    <s v=""/>
    <s v="01"/>
    <s v="USD"/>
    <n v="164.68"/>
    <s v="INR"/>
    <n v="14411.86"/>
    <s v="O0"/>
    <s v="6779224500"/>
    <s v=""/>
    <s v="NA"/>
    <s v="1"/>
    <s v="Cy - WH destuff - 16 - 31 AUG 25"/>
    <s v=""/>
    <s v=""/>
    <s v=""/>
    <d v="2025-09-04T00:00:00"/>
    <d v="2025-10-16T00:00:00"/>
    <x v="11"/>
    <n v="14411.859864400001"/>
    <n v="288"/>
    <n v="14123.859864400001"/>
    <n v="1.3559999933931977E-4"/>
    <n v="1.998354133331853E-2"/>
  </r>
  <r>
    <n v="1800012657"/>
    <s v="DR"/>
    <d v="2025-09-04T00:00:00"/>
    <d v="2025-09-09T00:00:00"/>
    <x v="2"/>
    <n v="256779417297"/>
    <s v="212100"/>
    <s v="Trade Debtors (Ctrl)"/>
    <s v=""/>
    <s v="01"/>
    <s v="USD"/>
    <n v="137.68"/>
    <s v="INR"/>
    <n v="12048.97"/>
    <s v="O0"/>
    <s v="6779224500"/>
    <s v=""/>
    <s v="2096996"/>
    <s v="1"/>
    <s v="Outbound chgs - 16 - 31 Aug 25"/>
    <s v=""/>
    <s v=""/>
    <s v=""/>
    <d v="2025-09-04T00:00:00"/>
    <d v="2025-10-16T00:00:00"/>
    <x v="11"/>
    <n v="12048.9729544"/>
    <n v="241"/>
    <n v="11807.9729544"/>
    <n v="-2.9544000008172588E-3"/>
    <n v="2.0001709689707919E-2"/>
  </r>
  <r>
    <n v="1400001458"/>
    <s v="DZ"/>
    <d v="2025-08-21T00:00:00"/>
    <d v="2025-10-16T00:00:00"/>
    <x v="22"/>
    <s v=""/>
    <s v="212100"/>
    <s v="Trade Debtors (Ctrl)"/>
    <s v=""/>
    <s v="05"/>
    <s v="INR"/>
    <n v="179293.83"/>
    <s v="INR"/>
    <n v="179293.83"/>
    <s v=""/>
    <s v="6779220000"/>
    <s v=""/>
    <s v=""/>
    <s v="2"/>
    <s v=""/>
    <s v=""/>
    <s v=""/>
    <s v=""/>
    <d v="2025-08-21T00:00:00"/>
    <d v="2025-10-16T00:00:00"/>
    <x v="18"/>
    <e v="#N/A"/>
    <m/>
    <m/>
    <m/>
    <m/>
  </r>
  <r>
    <n v="1400000898"/>
    <s v="DZ"/>
    <d v="2025-08-21T00:00:00"/>
    <d v="2025-08-21T00:00:00"/>
    <x v="22"/>
    <s v=""/>
    <s v="212100"/>
    <s v="Trade Debtors (Ctrl)"/>
    <s v=""/>
    <s v="15"/>
    <s v="INR"/>
    <n v="-179293.83"/>
    <s v="INR"/>
    <n v="-179293.83"/>
    <s v=""/>
    <s v="6779220000"/>
    <s v=""/>
    <s v=""/>
    <s v="2"/>
    <s v=""/>
    <s v=""/>
    <s v=""/>
    <s v=""/>
    <d v="2025-08-21T00:00:00"/>
    <d v="2025-10-16T00:00:00"/>
    <x v="18"/>
    <e v="#N/A"/>
    <m/>
    <m/>
    <m/>
    <m/>
  </r>
  <r>
    <n v="1400001989"/>
    <s v="DZ"/>
    <d v="2025-08-21T00:00:00"/>
    <d v="2025-11-24T00:00:00"/>
    <x v="23"/>
    <s v=""/>
    <s v="212100"/>
    <s v="Trade Debtors (Ctrl)"/>
    <s v=""/>
    <s v="05"/>
    <s v="INR"/>
    <n v="475086.94"/>
    <s v="INR"/>
    <n v="475086.94"/>
    <s v=""/>
    <s v="6779220000"/>
    <s v=""/>
    <s v=""/>
    <s v="2"/>
    <s v=""/>
    <s v=""/>
    <s v=""/>
    <s v=""/>
    <d v="2025-08-21T00:00:00"/>
    <d v="2025-11-24T00:00:00"/>
    <x v="19"/>
    <e v="#N/A"/>
    <m/>
    <m/>
    <m/>
    <m/>
  </r>
  <r>
    <n v="1400000962"/>
    <s v="DZ"/>
    <d v="2025-08-21T00:00:00"/>
    <d v="2025-08-21T00:00:00"/>
    <x v="23"/>
    <s v=""/>
    <s v="212100"/>
    <s v="Trade Debtors (Ctrl)"/>
    <s v=""/>
    <s v="15"/>
    <s v="INR"/>
    <n v="-475086.94"/>
    <s v="INR"/>
    <n v="-475086.94"/>
    <s v=""/>
    <s v="6779220000"/>
    <s v=""/>
    <s v=""/>
    <s v="2"/>
    <s v=""/>
    <s v=""/>
    <s v=""/>
    <s v=""/>
    <d v="2025-08-21T00:00:00"/>
    <d v="2025-11-24T00:00:00"/>
    <x v="19"/>
    <e v="#N/A"/>
    <m/>
    <m/>
    <m/>
    <m/>
  </r>
  <r>
    <n v="1800012165"/>
    <s v="DR"/>
    <d v="2025-08-20T00:00:00"/>
    <d v="2025-08-22T00:00:00"/>
    <x v="2"/>
    <n v="256779416810"/>
    <s v="212100"/>
    <s v="Trade Debtors (Ctrl)"/>
    <s v=""/>
    <s v="01"/>
    <s v="USD"/>
    <n v="20.57"/>
    <s v="INR"/>
    <n v="1769.64"/>
    <s v="O0"/>
    <s v="6779224500"/>
    <s v=""/>
    <s v="NA"/>
    <s v="1"/>
    <s v="Weighment-Aug 25- 1-15"/>
    <s v=""/>
    <s v=""/>
    <s v=""/>
    <d v="2025-08-20T00:00:00"/>
    <d v="2025-10-16T00:00:00"/>
    <x v="11"/>
    <n v="1769.6395683999999"/>
    <n v="35"/>
    <n v="1734.6395683999999"/>
    <n v="4.3160000018360734E-4"/>
    <n v="1.9778033950407992E-2"/>
  </r>
  <r>
    <n v="1800012193"/>
    <s v="DR"/>
    <d v="2025-08-20T00:00:00"/>
    <d v="2025-08-22T00:00:00"/>
    <x v="2"/>
    <n v="256779416855"/>
    <s v="212100"/>
    <s v="Trade Debtors (Ctrl)"/>
    <s v=""/>
    <s v="01"/>
    <s v="USD"/>
    <n v="137.68"/>
    <s v="INR"/>
    <n v="11844.63"/>
    <s v="O0"/>
    <s v="6779224500"/>
    <s v=""/>
    <s v="NA"/>
    <s v="1"/>
    <s v="Outbound chgs - 01 - 15 Aug 25"/>
    <s v=""/>
    <s v=""/>
    <s v=""/>
    <d v="2025-08-20T00:00:00"/>
    <d v="2025-10-16T00:00:00"/>
    <x v="11"/>
    <n v="8128.1257376000003"/>
    <n v="163"/>
    <n v="7965.1257376000003"/>
    <n v="3716.5042623999989"/>
    <n v="1.3761510490407891E-2"/>
  </r>
  <r>
    <n v="1800012229"/>
    <s v="DR"/>
    <d v="2025-08-20T00:00:00"/>
    <d v="2025-08-22T00:00:00"/>
    <x v="2"/>
    <n v="256779416825"/>
    <s v="212100"/>
    <s v="Trade Debtors (Ctrl)"/>
    <s v=""/>
    <s v="01"/>
    <s v="USD"/>
    <n v="3850"/>
    <s v="INR"/>
    <n v="331215.96000000002"/>
    <s v="O0"/>
    <s v="6779224500"/>
    <s v=""/>
    <s v="NA"/>
    <s v="1"/>
    <s v="Transportation In Chgs - 01 - 15 AUG 25"/>
    <s v=""/>
    <s v=""/>
    <s v=""/>
    <d v="2025-08-20T00:00:00"/>
    <m/>
    <x v="0"/>
    <n v="331215.962"/>
    <n v="6624"/>
    <n v="324591.962"/>
    <n v="-1.9999999785795808E-3"/>
    <n v="1.9999036278324268E-2"/>
  </r>
  <r>
    <n v="1800011930"/>
    <s v="DR"/>
    <d v="2025-08-19T00:00:00"/>
    <d v="2025-08-19T00:00:00"/>
    <x v="2"/>
    <n v="256779416579"/>
    <s v="212100"/>
    <s v="Trade Debtors (Ctrl)"/>
    <s v=""/>
    <s v="01"/>
    <s v="USD"/>
    <n v="270"/>
    <s v="INR"/>
    <n v="23228.13"/>
    <s v="O0"/>
    <s v="6779224500"/>
    <s v=""/>
    <s v="NA"/>
    <s v="1"/>
    <s v="Empty Cont Out Chgs - 16 - 31 Jul 25"/>
    <s v=""/>
    <s v=""/>
    <s v=""/>
    <d v="2025-08-19T00:00:00"/>
    <d v="2025-10-16T00:00:00"/>
    <x v="8"/>
    <n v="23228.132399999999"/>
    <n v="465"/>
    <n v="22763.132399999999"/>
    <n v="-2.3999999975785613E-3"/>
    <n v="2.0018830616153775E-2"/>
  </r>
  <r>
    <n v="1800011587"/>
    <s v="DR"/>
    <d v="2025-08-08T00:00:00"/>
    <d v="2025-08-08T00:00:00"/>
    <x v="2"/>
    <n v="256779416437"/>
    <s v="212100"/>
    <s v="Trade Debtors (Ctrl)"/>
    <s v=""/>
    <s v="01"/>
    <s v="USD"/>
    <n v="150.77000000000001"/>
    <s v="INR"/>
    <n v="12970.76"/>
    <s v="O0"/>
    <s v="6779224500"/>
    <s v=""/>
    <s v="NA"/>
    <s v="1"/>
    <s v="VAS 16-31 July 25"/>
    <s v=""/>
    <s v=""/>
    <s v=""/>
    <d v="2025-08-08T00:00:00"/>
    <d v="2025-10-16T00:00:00"/>
    <x v="8"/>
    <n v="12970.761192400001"/>
    <n v="259"/>
    <n v="12711.761192400001"/>
    <n v="-1.1924000009457814E-3"/>
    <n v="1.9967989539548956E-2"/>
  </r>
  <r>
    <n v="1800011600"/>
    <s v="DR"/>
    <d v="2025-08-08T00:00:00"/>
    <d v="2025-08-08T00:00:00"/>
    <x v="2"/>
    <n v="256779416450"/>
    <s v="212100"/>
    <s v="Trade Debtors (Ctrl)"/>
    <s v=""/>
    <s v="01"/>
    <s v="USD"/>
    <n v="123.36"/>
    <s v="INR"/>
    <n v="10612.68"/>
    <s v="O0"/>
    <s v="6779224500"/>
    <s v=""/>
    <s v="NA"/>
    <s v="1"/>
    <s v="Weighment - 16-31 July 25"/>
    <s v=""/>
    <s v=""/>
    <s v=""/>
    <d v="2025-08-08T00:00:00"/>
    <d v="2025-10-16T00:00:00"/>
    <x v="8"/>
    <n v="10612.675603199999"/>
    <n v="212"/>
    <n v="10400.675603199999"/>
    <n v="4.3968000009044772E-3"/>
    <n v="1.9976104056656754E-2"/>
  </r>
  <r>
    <n v="1800011763"/>
    <s v="DR"/>
    <d v="2025-08-08T00:00:00"/>
    <d v="2025-08-08T00:00:00"/>
    <x v="2"/>
    <n v="256779416154"/>
    <s v="212100"/>
    <s v="Trade Debtors (Ctrl)"/>
    <s v=""/>
    <s v="01"/>
    <s v="USD"/>
    <n v="1143.6099999999999"/>
    <s v="INR"/>
    <n v="98384.91"/>
    <s v="O0"/>
    <s v="6779224500"/>
    <s v=""/>
    <s v="NA"/>
    <s v="1"/>
    <s v="Cy - WH destuff - 16 - 31 JUL 25"/>
    <s v=""/>
    <s v=""/>
    <s v=""/>
    <d v="2025-08-08T00:00:00"/>
    <d v="2025-10-16T00:00:00"/>
    <x v="8"/>
    <n v="98384.905533199999"/>
    <n v="1967"/>
    <n v="96417.905533199999"/>
    <n v="4.4668000045930967E-3"/>
    <n v="1.9992903383252575E-2"/>
  </r>
  <r>
    <n v="1800011764"/>
    <s v="DR"/>
    <d v="2025-08-08T00:00:00"/>
    <d v="2025-08-08T00:00:00"/>
    <x v="2"/>
    <n v="256779416155"/>
    <s v="212100"/>
    <s v="Trade Debtors (Ctrl)"/>
    <s v=""/>
    <s v="01"/>
    <s v="USD"/>
    <n v="3500"/>
    <s v="INR"/>
    <n v="301105.42"/>
    <s v="O0"/>
    <s v="6779224500"/>
    <s v=""/>
    <s v="NA"/>
    <s v="1"/>
    <s v="Transportation In Chgs - 16 - 31 JUL 25"/>
    <s v=""/>
    <s v=""/>
    <s v=""/>
    <d v="2025-08-08T00:00:00"/>
    <d v="2025-10-16T00:00:00"/>
    <x v="8"/>
    <n v="301105.42"/>
    <n v="6022"/>
    <n v="295083.42"/>
    <n v="0"/>
    <n v="1.9999639993195741E-2"/>
  </r>
  <r>
    <n v="1800011675"/>
    <s v="DR"/>
    <d v="2025-08-08T00:00:00"/>
    <d v="2025-08-08T00:00:00"/>
    <x v="2"/>
    <n v="256779416193"/>
    <s v="212100"/>
    <s v="Trade Debtors (Ctrl)"/>
    <s v=""/>
    <s v="01"/>
    <s v="USD"/>
    <n v="1624.74"/>
    <s v="INR"/>
    <n v="139776.57999999999"/>
    <s v="O0"/>
    <s v="6779224500"/>
    <s v=""/>
    <s v="NA"/>
    <s v="1"/>
    <s v="Outbound chgs - 16 - 31 Jul 25"/>
    <s v=""/>
    <s v=""/>
    <s v=""/>
    <d v="2025-08-08T00:00:00"/>
    <d v="2025-10-16T00:00:00"/>
    <x v="9"/>
    <n v="139776.57716879999"/>
    <n v="2796"/>
    <n v="136980.57716879999"/>
    <n v="2.8311999922152609E-3"/>
    <n v="2.0003351062102107E-2"/>
  </r>
  <r>
    <n v="1800011663"/>
    <s v="DR"/>
    <d v="2025-08-08T00:00:00"/>
    <d v="2025-08-08T00:00:00"/>
    <x v="2"/>
    <n v="256779416093"/>
    <s v="212100"/>
    <s v="Trade Debtors (Ctrl)"/>
    <s v=""/>
    <s v="01"/>
    <s v="USD"/>
    <n v="4902.53"/>
    <s v="INR"/>
    <n v="421765.24"/>
    <s v="O0"/>
    <s v="6779224500"/>
    <s v=""/>
    <s v="NA"/>
    <s v="1"/>
    <s v="Unit Storage - 1-31 July 25"/>
    <s v=""/>
    <s v=""/>
    <s v=""/>
    <d v="2025-08-08T00:00:00"/>
    <d v="2025-10-16T00:00:00"/>
    <x v="11"/>
    <n v="421765.24420359998"/>
    <n v="42177"/>
    <n v="379588.24420359998"/>
    <n v="-4.203599994070828E-3"/>
    <n v="0.10000112858992363"/>
  </r>
  <r>
    <n v="1800011821"/>
    <s v="DR"/>
    <d v="2025-08-08T00:00:00"/>
    <d v="2025-08-08T00:00:00"/>
    <x v="2"/>
    <n v="256779416130"/>
    <s v="212100"/>
    <s v="Trade Debtors (Ctrl)"/>
    <s v=""/>
    <s v="01"/>
    <s v="USD"/>
    <n v="323.47000000000003"/>
    <s v="INR"/>
    <n v="27828.16"/>
    <s v="O0"/>
    <s v="6779224500"/>
    <s v=""/>
    <s v="NA"/>
    <s v="1"/>
    <s v="Empty Lolo Chgs - 01 - 31 JUL 25"/>
    <s v=""/>
    <s v=""/>
    <s v=""/>
    <d v="2025-08-08T00:00:00"/>
    <d v="2025-11-18T00:00:00"/>
    <x v="4"/>
    <n v="27828.162916400001"/>
    <n v="557"/>
    <n v="27271.162916400001"/>
    <n v="-2.9164000006858259E-3"/>
    <n v="2.0015696330623368E-2"/>
  </r>
  <r>
    <n v="1800011849"/>
    <s v="DR"/>
    <d v="2025-08-08T00:00:00"/>
    <d v="2025-08-08T00:00:00"/>
    <x v="2"/>
    <n v="256779416500"/>
    <s v="212100"/>
    <s v="Trade Debtors (Ctrl)"/>
    <s v=""/>
    <s v="01"/>
    <s v="USD"/>
    <n v="947.07"/>
    <s v="INR"/>
    <n v="81476.55"/>
    <s v="O0"/>
    <s v="6779224500"/>
    <s v=""/>
    <s v="NA"/>
    <s v="1"/>
    <s v="PORT SSR Chgs July 25"/>
    <s v=""/>
    <s v=""/>
    <s v=""/>
    <d v="2025-08-08T00:00:00"/>
    <d v="2025-11-18T00:00:00"/>
    <x v="4"/>
    <n v="81476.545748400007"/>
    <n v="1630"/>
    <n v="79846.545748400007"/>
    <n v="4.251599995768629E-3"/>
    <n v="2.0005756257475308E-2"/>
  </r>
  <r>
    <n v="1800011813"/>
    <s v="DR"/>
    <d v="2025-08-08T00:00:00"/>
    <d v="2025-08-08T00:00:00"/>
    <x v="2"/>
    <n v="256779416122"/>
    <s v="212100"/>
    <s v="Trade Debtors (Ctrl)"/>
    <s v=""/>
    <s v="01"/>
    <s v="USD"/>
    <n v="700"/>
    <s v="INR"/>
    <n v="60221.08"/>
    <s v="O0"/>
    <s v="6779224500"/>
    <s v=""/>
    <s v="NA"/>
    <s v="1"/>
    <s v="Transportation In Chgs - 16 - 31 Jul 25"/>
    <s v=""/>
    <s v=""/>
    <s v=""/>
    <d v="2025-08-08T00:00:00"/>
    <m/>
    <x v="0"/>
    <n v="60221.083999999995"/>
    <n v="1204"/>
    <n v="59017.083999999995"/>
    <n v="-3.9999999935389496E-3"/>
    <n v="1.9992999129208575E-2"/>
  </r>
  <r>
    <n v="1600001818"/>
    <s v="DG"/>
    <d v="2025-07-24T00:00:00"/>
    <d v="2025-07-24T00:00:00"/>
    <x v="2"/>
    <n v="256779421438"/>
    <s v="212100"/>
    <s v="Trade Debtors (Ctrl)"/>
    <s v=""/>
    <s v="11"/>
    <s v="USD"/>
    <n v="-356.83"/>
    <s v="INR"/>
    <n v="-30681.56"/>
    <s v="O0"/>
    <s v="6779224500"/>
    <s v=""/>
    <s v="NA"/>
    <s v="1"/>
    <s v="Credit Note raised against 256779413869"/>
    <s v=""/>
    <s v=""/>
    <s v=""/>
    <d v="2025-07-24T00:00:00"/>
    <d v="2025-09-18T00:00:00"/>
    <x v="14"/>
    <e v="#N/A"/>
    <m/>
    <m/>
    <m/>
    <m/>
  </r>
  <r>
    <n v="1800011189"/>
    <s v="DR"/>
    <d v="2025-07-24T00:00:00"/>
    <d v="2025-07-24T00:00:00"/>
    <x v="2"/>
    <n v="256779415941"/>
    <s v="212100"/>
    <s v="Trade Debtors (Ctrl)"/>
    <s v=""/>
    <s v="01"/>
    <s v="USD"/>
    <n v="356.83"/>
    <s v="INR"/>
    <n v="30687.62"/>
    <s v="O0"/>
    <s v="6779224500"/>
    <s v=""/>
    <s v="NA"/>
    <s v="1"/>
    <s v="Transportation In Chgs - 01 -15 MAY 25"/>
    <s v=""/>
    <s v=""/>
    <s v=""/>
    <d v="2025-07-24T00:00:00"/>
    <d v="2026-01-08T00:00:00"/>
    <x v="2"/>
    <n v="30687.619076100003"/>
    <n v="614"/>
    <n v="30073.619076100003"/>
    <n v="9.2389999554143287E-4"/>
    <n v="2.0008068400221329E-2"/>
  </r>
  <r>
    <n v="140000029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0"/>
    <e v="#N/A"/>
    <m/>
    <m/>
    <m/>
    <m/>
  </r>
  <r>
    <n v="140000029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1"/>
    <e v="#N/A"/>
    <m/>
    <m/>
    <m/>
    <m/>
  </r>
  <r>
    <n v="140000029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2"/>
    <e v="#N/A"/>
    <m/>
    <m/>
    <m/>
    <m/>
  </r>
  <r>
    <n v="140000029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3"/>
    <e v="#N/A"/>
    <m/>
    <m/>
    <m/>
    <m/>
  </r>
  <r>
    <n v="140000029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4"/>
    <e v="#N/A"/>
    <m/>
    <m/>
    <m/>
    <m/>
  </r>
  <r>
    <n v="140000029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5"/>
    <e v="#N/A"/>
    <m/>
    <m/>
    <m/>
    <m/>
  </r>
  <r>
    <n v="140000029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6"/>
    <e v="#N/A"/>
    <m/>
    <m/>
    <m/>
    <m/>
  </r>
  <r>
    <n v="140000030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7"/>
    <e v="#N/A"/>
    <m/>
    <m/>
    <m/>
    <m/>
  </r>
  <r>
    <n v="140000030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8"/>
    <e v="#N/A"/>
    <m/>
    <m/>
    <m/>
    <m/>
  </r>
  <r>
    <n v="140000030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29"/>
    <e v="#N/A"/>
    <m/>
    <m/>
    <m/>
    <m/>
  </r>
  <r>
    <n v="140000030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0"/>
    <e v="#N/A"/>
    <m/>
    <m/>
    <m/>
    <m/>
  </r>
  <r>
    <n v="140000030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1"/>
    <e v="#N/A"/>
    <m/>
    <m/>
    <m/>
    <m/>
  </r>
  <r>
    <n v="140000030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2"/>
    <e v="#N/A"/>
    <m/>
    <m/>
    <m/>
    <m/>
  </r>
  <r>
    <n v="140000030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3"/>
    <e v="#N/A"/>
    <m/>
    <m/>
    <m/>
    <m/>
  </r>
  <r>
    <n v="140000030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4"/>
    <e v="#N/A"/>
    <m/>
    <m/>
    <m/>
    <m/>
  </r>
  <r>
    <n v="140000030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5"/>
    <e v="#N/A"/>
    <m/>
    <m/>
    <m/>
    <m/>
  </r>
  <r>
    <n v="140000030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6"/>
    <e v="#N/A"/>
    <m/>
    <m/>
    <m/>
    <m/>
  </r>
  <r>
    <n v="140000031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7"/>
    <e v="#N/A"/>
    <m/>
    <m/>
    <m/>
    <m/>
  </r>
  <r>
    <n v="140000031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8"/>
    <e v="#N/A"/>
    <m/>
    <m/>
    <m/>
    <m/>
  </r>
  <r>
    <n v="140000031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39"/>
    <e v="#N/A"/>
    <m/>
    <m/>
    <m/>
    <m/>
  </r>
  <r>
    <n v="140000031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0"/>
    <e v="#N/A"/>
    <m/>
    <m/>
    <m/>
    <m/>
  </r>
  <r>
    <n v="140000031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1"/>
    <e v="#N/A"/>
    <m/>
    <m/>
    <m/>
    <m/>
  </r>
  <r>
    <n v="140000031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2"/>
    <e v="#N/A"/>
    <m/>
    <m/>
    <m/>
    <m/>
  </r>
  <r>
    <n v="140000031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3"/>
    <e v="#N/A"/>
    <m/>
    <m/>
    <m/>
    <m/>
  </r>
  <r>
    <n v="140000031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4"/>
    <e v="#N/A"/>
    <m/>
    <m/>
    <m/>
    <m/>
  </r>
  <r>
    <n v="140000031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5"/>
    <e v="#N/A"/>
    <m/>
    <m/>
    <m/>
    <m/>
  </r>
  <r>
    <n v="140000031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6"/>
    <e v="#N/A"/>
    <m/>
    <m/>
    <m/>
    <m/>
  </r>
  <r>
    <n v="140000032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7"/>
    <e v="#N/A"/>
    <m/>
    <m/>
    <m/>
    <m/>
  </r>
  <r>
    <n v="140000032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8"/>
    <e v="#N/A"/>
    <m/>
    <m/>
    <m/>
    <m/>
  </r>
  <r>
    <n v="140000032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49"/>
    <e v="#N/A"/>
    <m/>
    <m/>
    <m/>
    <m/>
  </r>
  <r>
    <n v="140000032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0"/>
    <e v="#N/A"/>
    <m/>
    <m/>
    <m/>
    <m/>
  </r>
  <r>
    <n v="140000032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1"/>
    <e v="#N/A"/>
    <m/>
    <m/>
    <m/>
    <m/>
  </r>
  <r>
    <n v="140000032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2"/>
    <e v="#N/A"/>
    <m/>
    <m/>
    <m/>
    <m/>
  </r>
  <r>
    <n v="140000032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3"/>
    <e v="#N/A"/>
    <m/>
    <m/>
    <m/>
    <m/>
  </r>
  <r>
    <n v="140000032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4"/>
    <e v="#N/A"/>
    <m/>
    <m/>
    <m/>
    <m/>
  </r>
  <r>
    <n v="1400000329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5"/>
    <e v="#N/A"/>
    <m/>
    <m/>
    <m/>
    <m/>
  </r>
  <r>
    <n v="140000033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6"/>
    <e v="#N/A"/>
    <m/>
    <m/>
    <m/>
    <m/>
  </r>
  <r>
    <n v="140000033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7"/>
    <e v="#N/A"/>
    <m/>
    <m/>
    <m/>
    <m/>
  </r>
  <r>
    <n v="1400000332"/>
    <s v="DY"/>
    <d v="2025-07-18T00:00:00"/>
    <d v="2025-07-18T00:00:00"/>
    <x v="2"/>
    <s v="KNOKC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8"/>
    <e v="#N/A"/>
    <m/>
    <m/>
    <m/>
    <m/>
  </r>
  <r>
    <n v="1400000333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59"/>
    <e v="#N/A"/>
    <m/>
    <m/>
    <m/>
    <m/>
  </r>
  <r>
    <n v="1400000334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0"/>
    <e v="#N/A"/>
    <m/>
    <m/>
    <m/>
    <m/>
  </r>
  <r>
    <n v="1400000335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1"/>
    <e v="#N/A"/>
    <m/>
    <m/>
    <m/>
    <m/>
  </r>
  <r>
    <n v="1400000336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2"/>
    <e v="#N/A"/>
    <m/>
    <m/>
    <m/>
    <m/>
  </r>
  <r>
    <n v="1400000337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3"/>
    <e v="#N/A"/>
    <m/>
    <m/>
    <m/>
    <m/>
  </r>
  <r>
    <n v="1400000338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4"/>
    <e v="#N/A"/>
    <m/>
    <m/>
    <m/>
    <m/>
  </r>
  <r>
    <n v="1400000339"/>
    <s v="DY"/>
    <d v="2025-07-18T00:00:00"/>
    <d v="2025-07-18T00:00:00"/>
    <x v="2"/>
    <s v="KNOCK OFF ENTRY"/>
    <s v="212100"/>
    <s v="Trade Debtors (Ctrl)"/>
    <s v=""/>
    <s v="08"/>
    <s v="USD"/>
    <n v="1231.96"/>
    <s v="INR"/>
    <n v="107084.21"/>
    <s v=""/>
    <s v="6779224500"/>
    <s v=""/>
    <s v=""/>
    <s v="1"/>
    <s v=""/>
    <s v=""/>
    <s v=""/>
    <s v=""/>
    <d v="2025-07-18T00:00:00"/>
    <d v="2025-07-18T00:00:00"/>
    <x v="65"/>
    <e v="#N/A"/>
    <m/>
    <m/>
    <m/>
    <m/>
  </r>
  <r>
    <n v="1400000339"/>
    <s v="DY"/>
    <d v="2025-07-18T00:00:00"/>
    <d v="2025-07-18T00:00:00"/>
    <x v="2"/>
    <s v="KNOCK OFF ENTRY"/>
    <s v="212100"/>
    <s v="Trade Debtors (Ctrl)"/>
    <s v=""/>
    <s v="15"/>
    <s v="USD"/>
    <n v="-1231.96"/>
    <s v="INR"/>
    <n v="-107084.21"/>
    <s v=""/>
    <s v="6779224500"/>
    <s v=""/>
    <s v=""/>
    <s v="2"/>
    <s v=""/>
    <s v=""/>
    <s v=""/>
    <s v=""/>
    <d v="2025-07-18T00:00:00"/>
    <d v="2025-07-18T00:00:00"/>
    <x v="65"/>
    <e v="#N/A"/>
    <m/>
    <m/>
    <m/>
    <m/>
  </r>
  <r>
    <n v="1400000340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6"/>
    <e v="#N/A"/>
    <m/>
    <m/>
    <m/>
    <m/>
  </r>
  <r>
    <n v="1400000341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7"/>
    <e v="#N/A"/>
    <m/>
    <m/>
    <m/>
    <m/>
  </r>
  <r>
    <n v="1400000342"/>
    <s v="DY"/>
    <d v="2025-07-18T00:00:00"/>
    <d v="2025-07-18T00:00:00"/>
    <x v="2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18T00:00:00"/>
    <d v="2025-07-18T00:00:00"/>
    <x v="68"/>
    <e v="#N/A"/>
    <m/>
    <m/>
    <m/>
    <m/>
  </r>
  <r>
    <n v="1800010755"/>
    <s v="DR"/>
    <d v="2025-07-18T00:00:00"/>
    <d v="2025-07-21T00:00:00"/>
    <x v="2"/>
    <n v="256779415417"/>
    <s v="212100"/>
    <s v="Trade Debtors (Ctrl)"/>
    <s v=""/>
    <s v="01"/>
    <s v="USD"/>
    <n v="449.63"/>
    <s v="INR"/>
    <n v="38668.480000000003"/>
    <s v="O0"/>
    <s v="6779224500"/>
    <s v=""/>
    <s v="NA"/>
    <s v="1"/>
    <s v="PORT SSR Chgs Apr  to June 25"/>
    <s v=""/>
    <s v=""/>
    <s v=""/>
    <d v="2025-07-18T00:00:00"/>
    <d v="2025-10-16T00:00:00"/>
    <x v="8"/>
    <n v="38668.481252099999"/>
    <n v="773"/>
    <n v="37895.481252099999"/>
    <n v="-1.2520999953267165E-3"/>
    <n v="1.9990441827555671E-2"/>
  </r>
  <r>
    <n v="1800010507"/>
    <s v="DR"/>
    <d v="2025-07-04T00:00:00"/>
    <d v="2025-07-09T00:00:00"/>
    <x v="2"/>
    <n v="256779415267"/>
    <s v="212100"/>
    <s v="Trade Debtors (Ctrl)"/>
    <s v=""/>
    <s v="01"/>
    <s v="USD"/>
    <n v="84.17"/>
    <s v="INR"/>
    <n v="7238.68"/>
    <s v="O0"/>
    <s v="6779224500"/>
    <s v=""/>
    <s v=""/>
    <s v="1"/>
    <s v="Weighment- 16-30 June 25"/>
    <s v=""/>
    <s v=""/>
    <s v=""/>
    <d v="2025-07-04T00:00:00"/>
    <d v="2025-10-16T00:00:00"/>
    <x v="8"/>
    <n v="7238.6763939000002"/>
    <n v="145"/>
    <n v="7093.6763939000002"/>
    <n v="3.6061000000700005E-3"/>
    <n v="2.0031276420562863E-2"/>
  </r>
  <r>
    <n v="1800010021"/>
    <s v="DR"/>
    <d v="2025-07-04T00:00:00"/>
    <d v="2025-07-07T00:00:00"/>
    <x v="2"/>
    <n v="256779414785"/>
    <s v="212100"/>
    <s v="Trade Debtors (Ctrl)"/>
    <s v=""/>
    <s v="01"/>
    <s v="USD"/>
    <n v="3262.49"/>
    <s v="INR"/>
    <n v="280576.33"/>
    <s v="O0"/>
    <s v="6779224500"/>
    <s v=""/>
    <s v="NA"/>
    <s v="1"/>
    <s v="Transportation In Chgs - 01 - 15 JUN 25"/>
    <s v=""/>
    <s v=""/>
    <s v=""/>
    <d v="2025-07-04T00:00:00"/>
    <m/>
    <x v="0"/>
    <n v="280576.32586829999"/>
    <n v="5613"/>
    <n v="274963.32586829999"/>
    <n v="4.1317000286653638E-3"/>
    <n v="2.0005251333923998E-2"/>
  </r>
  <r>
    <n v="1800010045"/>
    <s v="DR"/>
    <d v="2025-07-04T00:00:00"/>
    <d v="2025-07-07T00:00:00"/>
    <x v="2"/>
    <n v="256779414809"/>
    <s v="212100"/>
    <s v="Trade Debtors (Ctrl)"/>
    <s v=""/>
    <s v="01"/>
    <s v="USD"/>
    <n v="1980.46"/>
    <s v="INR"/>
    <n v="170320.89"/>
    <s v="O0"/>
    <s v="6779224500"/>
    <s v=""/>
    <s v="NA"/>
    <s v="1"/>
    <s v="Outbound chgs - 01 - 15 Jun 25"/>
    <s v=""/>
    <s v=""/>
    <s v=""/>
    <d v="2025-07-04T00:00:00"/>
    <m/>
    <x v="0"/>
    <n v="170320.88690819999"/>
    <n v="3406"/>
    <n v="166914.88690819999"/>
    <n v="3.0918000265955925E-3"/>
    <n v="1.9997546983226776E-2"/>
  </r>
  <r>
    <n v="1800010091"/>
    <s v="DR"/>
    <d v="2025-07-04T00:00:00"/>
    <d v="2025-07-09T00:00:00"/>
    <x v="2"/>
    <n v="256779414851"/>
    <s v="212100"/>
    <s v="Trade Debtors (Ctrl)"/>
    <s v=""/>
    <s v="01"/>
    <s v="USD"/>
    <n v="139.58000000000001"/>
    <s v="INR"/>
    <n v="12003.97"/>
    <s v="O0"/>
    <s v="6779224500"/>
    <s v=""/>
    <s v="NA"/>
    <s v="1"/>
    <s v="Detention Chgs - 16 - 30 JUN 25"/>
    <s v=""/>
    <s v=""/>
    <s v=""/>
    <d v="2025-07-04T00:00:00"/>
    <m/>
    <x v="0"/>
    <n v="12003.973518600002"/>
    <n v="240"/>
    <n v="11763.973518600002"/>
    <n v="-3.5186000022804365E-3"/>
    <n v="1.9993385521623264E-2"/>
  </r>
  <r>
    <n v="1800010106"/>
    <s v="DR"/>
    <d v="2025-07-04T00:00:00"/>
    <d v="2025-07-09T00:00:00"/>
    <x v="2"/>
    <n v="256779414866"/>
    <s v="212100"/>
    <s v="Trade Debtors (Ctrl)"/>
    <s v=""/>
    <s v="01"/>
    <s v="USD"/>
    <n v="3691.03"/>
    <s v="INR"/>
    <n v="317431.05"/>
    <s v="O0"/>
    <s v="6779224500"/>
    <s v=""/>
    <s v="NA"/>
    <s v="1"/>
    <s v="Transportation In Chgs - 16 - 30 JUN 25"/>
    <s v=""/>
    <s v=""/>
    <s v=""/>
    <d v="2025-07-04T00:00:00"/>
    <m/>
    <x v="0"/>
    <n v="317431.0529901"/>
    <n v="6349"/>
    <n v="311082.0529901"/>
    <n v="-2.9901000089012086E-3"/>
    <n v="2.0001193960074166E-2"/>
  </r>
  <r>
    <n v="1800010238"/>
    <s v="DR"/>
    <d v="2025-07-04T00:00:00"/>
    <d v="2025-07-09T00:00:00"/>
    <x v="2"/>
    <n v="256779414998"/>
    <s v="212100"/>
    <s v="Trade Debtors (Ctrl)"/>
    <s v=""/>
    <s v="01"/>
    <s v="USD"/>
    <n v="1752.33"/>
    <s v="INR"/>
    <n v="150701.54999999999"/>
    <s v="O0"/>
    <s v="6779224500"/>
    <s v=""/>
    <s v="NA"/>
    <s v="1"/>
    <s v="Outbound chgs - 16 - 30 Jun 25"/>
    <s v=""/>
    <s v=""/>
    <s v=""/>
    <d v="2025-07-04T00:00:00"/>
    <m/>
    <x v="0"/>
    <n v="150701.5540611"/>
    <n v="3013"/>
    <n v="147688.5540611"/>
    <n v="-4.0611000149510801E-3"/>
    <n v="1.9993158663597025E-2"/>
  </r>
  <r>
    <n v="1800010271"/>
    <s v="DR"/>
    <d v="2025-07-04T00:00:00"/>
    <d v="2025-07-09T00:00:00"/>
    <x v="2"/>
    <n v="256779415031"/>
    <s v="212100"/>
    <s v="Trade Debtors (Ctrl)"/>
    <s v=""/>
    <s v="01"/>
    <s v="USD"/>
    <n v="14.09"/>
    <s v="INR"/>
    <n v="1211.75"/>
    <s v="O0"/>
    <s v="6779224500"/>
    <s v=""/>
    <s v="NA"/>
    <s v="1"/>
    <s v="PORT SSR Chgs June 25"/>
    <s v=""/>
    <s v=""/>
    <s v=""/>
    <d v="2025-07-04T00:00:00"/>
    <m/>
    <x v="0"/>
    <n v="1211.7494403000001"/>
    <n v="24"/>
    <n v="1187.7494403000001"/>
    <n v="5.5969999993976671E-4"/>
    <n v="1.9806065607592325E-2"/>
  </r>
  <r>
    <n v="1800010445"/>
    <s v="DR"/>
    <d v="2025-07-04T00:00:00"/>
    <d v="2025-07-09T00:00:00"/>
    <x v="2"/>
    <n v="256779415205"/>
    <s v="212100"/>
    <s v="Trade Debtors (Ctrl)"/>
    <s v=""/>
    <s v="01"/>
    <s v="USD"/>
    <n v="5120.2"/>
    <s v="INR"/>
    <n v="440340.63"/>
    <s v="O0"/>
    <s v="6779224500"/>
    <s v=""/>
    <s v="NA"/>
    <s v="1"/>
    <s v="Unit Storage - 1-30 June 25"/>
    <s v=""/>
    <s v=""/>
    <s v=""/>
    <d v="2025-07-04T00:00:00"/>
    <m/>
    <x v="0"/>
    <n v="440340.630534"/>
    <n v="44034"/>
    <n v="396306.630534"/>
    <n v="-5.3399999160319567E-4"/>
    <n v="9.9999856928941575E-2"/>
  </r>
  <r>
    <n v="1800010494"/>
    <s v="DR"/>
    <d v="2025-07-04T00:00:00"/>
    <d v="2025-07-09T00:00:00"/>
    <x v="2"/>
    <n v="256779415254"/>
    <s v="212100"/>
    <s v="Trade Debtors (Ctrl)"/>
    <s v=""/>
    <s v="01"/>
    <s v="USD"/>
    <n v="102.88"/>
    <s v="INR"/>
    <n v="8847.75"/>
    <s v="O0"/>
    <s v="6779224500"/>
    <s v=""/>
    <s v=""/>
    <s v="1"/>
    <s v="VAS - 16-30 June 25"/>
    <s v=""/>
    <s v=""/>
    <s v=""/>
    <d v="2025-07-04T00:00:00"/>
    <m/>
    <x v="0"/>
    <n v="8847.7489296000003"/>
    <n v="177"/>
    <n v="8670.7489296000003"/>
    <n v="1.070399999662186E-3"/>
    <n v="2.0005086038823429E-2"/>
  </r>
  <r>
    <n v="1400000063"/>
    <s v="DZ"/>
    <d v="2025-06-24T00:00:00"/>
    <d v="2025-06-24T00:00:00"/>
    <x v="16"/>
    <s v=""/>
    <s v="212100"/>
    <s v="Trade Debtors (Ctrl)"/>
    <s v=""/>
    <s v="15"/>
    <s v="INR"/>
    <n v="-112111.95"/>
    <s v="INR"/>
    <n v="-112111.95"/>
    <s v=""/>
    <s v="6779220000"/>
    <s v=""/>
    <s v=""/>
    <s v="2"/>
    <s v=""/>
    <s v=""/>
    <s v=""/>
    <s v=""/>
    <d v="2025-06-24T00:00:00"/>
    <d v="2025-10-16T00:00:00"/>
    <x v="69"/>
    <e v="#N/A"/>
    <m/>
    <m/>
    <m/>
    <m/>
  </r>
  <r>
    <n v="1400001451"/>
    <s v="DZ"/>
    <d v="2025-06-24T00:00:00"/>
    <d v="2025-10-16T00:00:00"/>
    <x v="16"/>
    <s v=""/>
    <s v="212100"/>
    <s v="Trade Debtors (Ctrl)"/>
    <s v=""/>
    <s v="05"/>
    <s v="INR"/>
    <n v="112111.95"/>
    <s v="INR"/>
    <n v="112111.95"/>
    <s v=""/>
    <s v="6779220000"/>
    <s v=""/>
    <s v=""/>
    <s v="2"/>
    <s v=""/>
    <s v=""/>
    <s v=""/>
    <s v=""/>
    <d v="2025-06-24T00:00:00"/>
    <d v="2025-10-16T00:00:00"/>
    <x v="69"/>
    <e v="#N/A"/>
    <m/>
    <m/>
    <m/>
    <m/>
  </r>
  <r>
    <n v="1400001993"/>
    <s v="DZ"/>
    <d v="2025-06-24T00:00:00"/>
    <d v="2025-11-24T00:00:00"/>
    <x v="10"/>
    <s v=""/>
    <s v="212100"/>
    <s v="Trade Debtors (Ctrl)"/>
    <s v=""/>
    <s v="05"/>
    <s v="INR"/>
    <n v="159186.29"/>
    <s v="INR"/>
    <n v="159186.29"/>
    <s v=""/>
    <s v="6779220000"/>
    <s v=""/>
    <s v=""/>
    <s v="2"/>
    <s v=""/>
    <s v=""/>
    <s v=""/>
    <s v=""/>
    <d v="2025-06-24T00:00:00"/>
    <d v="2025-11-24T00:00:00"/>
    <x v="70"/>
    <e v="#N/A"/>
    <m/>
    <m/>
    <m/>
    <m/>
  </r>
  <r>
    <n v="1400000115"/>
    <s v="DZ"/>
    <d v="2025-06-24T00:00:00"/>
    <d v="2025-06-24T00:00:00"/>
    <x v="10"/>
    <s v=""/>
    <s v="212100"/>
    <s v="Trade Debtors (Ctrl)"/>
    <s v=""/>
    <s v="15"/>
    <s v="INR"/>
    <n v="-159186.29"/>
    <s v="INR"/>
    <n v="-159186.29"/>
    <s v=""/>
    <s v="6779220000"/>
    <s v=""/>
    <s v=""/>
    <s v="2"/>
    <s v=""/>
    <s v=""/>
    <s v=""/>
    <s v=""/>
    <d v="2025-06-24T00:00:00"/>
    <d v="2025-11-24T00:00:00"/>
    <x v="70"/>
    <e v="#N/A"/>
    <m/>
    <m/>
    <m/>
    <m/>
  </r>
  <r>
    <n v="1400000113"/>
    <s v="DZ"/>
    <d v="2025-06-24T00:00:00"/>
    <d v="2025-06-24T00:00:00"/>
    <x v="24"/>
    <s v=""/>
    <s v="212100"/>
    <s v="Trade Debtors (Ctrl)"/>
    <s v=""/>
    <s v="15"/>
    <s v="INR"/>
    <n v="-341000"/>
    <s v="INR"/>
    <n v="-341000"/>
    <s v=""/>
    <s v="6779220000"/>
    <s v=""/>
    <s v=""/>
    <s v="2"/>
    <s v=""/>
    <s v=""/>
    <s v=""/>
    <s v=""/>
    <d v="2025-06-24T00:00:00"/>
    <m/>
    <x v="0"/>
    <e v="#N/A"/>
    <m/>
    <m/>
    <m/>
    <m/>
  </r>
  <r>
    <n v="1800009485"/>
    <s v="DR"/>
    <d v="2025-06-07T00:00:00"/>
    <d v="2025-06-09T00:00:00"/>
    <x v="2"/>
    <n v="256779414249"/>
    <s v="212100"/>
    <s v="Trade Debtors (Ctrl)"/>
    <s v=""/>
    <s v="01"/>
    <s v="USD"/>
    <n v="2032.81"/>
    <s v="INR"/>
    <n v="173786.51"/>
    <s v="O0"/>
    <s v="6779224500"/>
    <s v=""/>
    <s v="NA"/>
    <s v="1"/>
    <s v="Unit storage -1-31 May 25"/>
    <s v=""/>
    <s v=""/>
    <s v=""/>
    <d v="2025-06-07T00:00:00"/>
    <m/>
    <x v="0"/>
    <n v="161435.48821587319"/>
    <n v="16144"/>
    <n v="145291.48821587319"/>
    <n v="12351.021784126817"/>
    <n v="9.2895587810584379E-2"/>
  </r>
  <r>
    <n v="1800009518"/>
    <s v="DR"/>
    <d v="2025-06-04T00:00:00"/>
    <d v="2025-06-09T00:00:00"/>
    <x v="2"/>
    <n v="256779414282"/>
    <s v="212100"/>
    <s v="Trade Debtors (Ctrl)"/>
    <s v=""/>
    <s v="01"/>
    <s v="USD"/>
    <n v="50"/>
    <s v="INR"/>
    <n v="4274.54"/>
    <s v="O0"/>
    <s v="6779224500"/>
    <s v=""/>
    <s v="NA"/>
    <s v="1"/>
    <s v="Scanning  Chgs - 16 - 31 May 25"/>
    <s v=""/>
    <s v=""/>
    <s v=""/>
    <d v="2025-06-04T00:00:00"/>
    <d v="2025-10-16T00:00:00"/>
    <x v="12"/>
    <n v="4274.5389999999998"/>
    <n v="85"/>
    <n v="4189.5389999999998"/>
    <n v="1.0000000002037268E-3"/>
    <n v="1.9885180627623088E-2"/>
  </r>
  <r>
    <n v="1800009532"/>
    <s v="DR"/>
    <d v="2025-06-04T00:00:00"/>
    <d v="2025-06-09T00:00:00"/>
    <x v="2"/>
    <n v="256779414296"/>
    <s v="212100"/>
    <s v="Trade Debtors (Ctrl)"/>
    <s v=""/>
    <s v="01"/>
    <s v="USD"/>
    <n v="2090.0300000000002"/>
    <s v="INR"/>
    <n v="178678.29"/>
    <s v="O0"/>
    <s v="6779224500"/>
    <s v=""/>
    <s v="NA"/>
    <s v="1"/>
    <s v="Transportation In Chgs - 16-31 MAY 25"/>
    <s v=""/>
    <s v=""/>
    <s v=""/>
    <d v="2025-06-04T00:00:00"/>
    <d v="2025-10-16T00:00:00"/>
    <x v="12"/>
    <n v="178678.29492339998"/>
    <n v="3574"/>
    <n v="175104.29492339998"/>
    <n v="-4.9233999743591994E-3"/>
    <n v="2.0002430065790309E-2"/>
  </r>
  <r>
    <n v="1800009142"/>
    <s v="DR"/>
    <d v="2025-05-28T00:00:00"/>
    <d v="2025-05-28T00:00:00"/>
    <x v="2"/>
    <n v="256779413906"/>
    <s v="212100"/>
    <s v="Trade Debtors (Ctrl)"/>
    <s v=""/>
    <s v="01"/>
    <s v="USD"/>
    <n v="746.12"/>
    <s v="INR"/>
    <n v="64154.16"/>
    <s v="O0"/>
    <s v="6779224500"/>
    <s v=""/>
    <s v="NA"/>
    <s v="1"/>
    <s v="Storage Chgs - 01 - 31 Apr 25"/>
    <s v=""/>
    <s v=""/>
    <s v=""/>
    <d v="2025-05-28T00:00:00"/>
    <d v="2025-11-18T00:00:00"/>
    <x v="5"/>
    <n v="64154.158243999998"/>
    <n v="6415"/>
    <n v="57739.158243999998"/>
    <n v="1.7560000051162206E-3"/>
    <n v="9.9993515619252127E-2"/>
  </r>
  <r>
    <n v="1800009105"/>
    <s v="DR"/>
    <d v="2025-05-20T00:00:00"/>
    <d v="2025-05-28T00:00:00"/>
    <x v="2"/>
    <n v="256779413869"/>
    <s v="212100"/>
    <s v="Trade Debtors (Ctrl)"/>
    <s v=""/>
    <s v="01"/>
    <s v="USD"/>
    <n v="356.83"/>
    <s v="INR"/>
    <n v="30681.56"/>
    <s v="O0"/>
    <s v="6779224500"/>
    <s v=""/>
    <s v="NA"/>
    <s v="1"/>
    <s v="Transportation In Chgs - 01 -15 MAY 25"/>
    <s v=""/>
    <s v=""/>
    <s v=""/>
    <d v="2025-05-20T00:00:00"/>
    <d v="2025-09-18T00:00:00"/>
    <x v="14"/>
    <e v="#N/A"/>
    <m/>
    <m/>
    <m/>
    <m/>
  </r>
  <r>
    <n v="1800008702"/>
    <s v="DR"/>
    <d v="2025-05-20T00:00:00"/>
    <d v="2025-05-28T00:00:00"/>
    <x v="2"/>
    <n v="256779413466"/>
    <s v="212100"/>
    <s v="Trade Debtors (Ctrl)"/>
    <s v=""/>
    <s v="01"/>
    <s v="USD"/>
    <n v="188.95"/>
    <s v="INR"/>
    <n v="16246.62"/>
    <s v="O0"/>
    <s v="6779224500"/>
    <s v=""/>
    <s v="NA"/>
    <s v="1"/>
    <s v="Outbound chgs - 01 - 15 MAY 25"/>
    <s v=""/>
    <s v=""/>
    <s v=""/>
    <d v="2025-05-20T00:00:00"/>
    <d v="2025-11-18T00:00:00"/>
    <x v="5"/>
    <n v="16246.620115"/>
    <n v="325"/>
    <n v="15921.620115"/>
    <n v="-1.1499999891384505E-4"/>
    <n v="2.0004160865460016E-2"/>
  </r>
  <r>
    <n v="1800009066"/>
    <s v="DR"/>
    <d v="2025-05-20T00:00:00"/>
    <d v="2025-05-28T00:00:00"/>
    <x v="2"/>
    <n v="256779413830"/>
    <s v="212100"/>
    <s v="Trade Debtors (Ctrl)"/>
    <s v=""/>
    <s v="01"/>
    <s v="USD"/>
    <n v="51.5"/>
    <s v="INR"/>
    <n v="4428.16"/>
    <s v="O0"/>
    <s v="6779224500"/>
    <s v=""/>
    <s v=""/>
    <s v="1"/>
    <s v="VAS -1-15 May 25, Ex.rate 85.43"/>
    <s v=""/>
    <s v=""/>
    <s v=""/>
    <d v="2025-05-20T00:00:00"/>
    <d v="2025-11-18T00:00:00"/>
    <x v="5"/>
    <n v="4428.1605499999996"/>
    <n v="89"/>
    <n v="4339.1605499999996"/>
    <n v="-5.4999999974825187E-4"/>
    <n v="2.0098641422170833E-2"/>
  </r>
  <r>
    <n v="1800009074"/>
    <s v="DR"/>
    <d v="2025-05-20T00:00:00"/>
    <d v="2025-05-28T00:00:00"/>
    <x v="2"/>
    <n v="256779413838"/>
    <s v="212100"/>
    <s v="Trade Debtors (Ctrl)"/>
    <s v=""/>
    <s v="01"/>
    <s v="USD"/>
    <n v="42.14"/>
    <s v="INR"/>
    <n v="3623.35"/>
    <s v="O0"/>
    <s v="6779224500"/>
    <s v=""/>
    <s v=""/>
    <s v="1"/>
    <s v="Weighment &amp; Misc, 1-15 May 25"/>
    <s v=""/>
    <s v=""/>
    <s v=""/>
    <d v="2025-05-20T00:00:00"/>
    <d v="2025-11-18T00:00:00"/>
    <x v="5"/>
    <n v="3623.353118"/>
    <n v="72"/>
    <n v="3551.353118"/>
    <n v="-3.1180000000858854E-3"/>
    <n v="1.9871113748326823E-2"/>
  </r>
  <r>
    <n v="1800008567"/>
    <s v="DR"/>
    <d v="2025-05-16T00:00:00"/>
    <d v="2025-05-23T00:00:00"/>
    <x v="2"/>
    <n v="256779413331"/>
    <s v="212100"/>
    <s v="Trade Debtors (Ctrl)"/>
    <s v=""/>
    <s v="01"/>
    <s v="USD"/>
    <n v="188.95"/>
    <s v="INR"/>
    <n v="16246.62"/>
    <s v="O0"/>
    <s v="6779224500"/>
    <s v=""/>
    <s v="NA"/>
    <s v="1"/>
    <s v="Outbound chgs - 16 - 30 Apr 25"/>
    <s v=""/>
    <s v=""/>
    <s v=""/>
    <d v="2025-05-16T00:00:00"/>
    <d v="2025-11-18T00:00:00"/>
    <x v="5"/>
    <n v="16246.620115"/>
    <n v="325"/>
    <n v="15921.620115"/>
    <n v="-1.1499999891384505E-4"/>
    <n v="2.0004160865460016E-2"/>
  </r>
  <r>
    <n v="1800008494"/>
    <s v="DR"/>
    <d v="2025-05-16T00:00:00"/>
    <d v="2025-05-23T00:00:00"/>
    <x v="2"/>
    <n v="256779413262"/>
    <s v="212100"/>
    <s v="Trade Debtors (Ctrl)"/>
    <s v=""/>
    <s v="01"/>
    <s v="USD"/>
    <n v="49.95"/>
    <s v="INR"/>
    <n v="4294.8900000000003"/>
    <s v="O0"/>
    <s v="6779224500"/>
    <s v=""/>
    <s v="NA"/>
    <s v="1"/>
    <s v="Empty Lolo Chgs - 01 - 31 Apr 25"/>
    <s v=""/>
    <s v=""/>
    <s v=""/>
    <d v="2025-05-16T00:00:00"/>
    <m/>
    <x v="0"/>
    <n v="4294.8858150000005"/>
    <n v="86"/>
    <n v="4208.8858150000005"/>
    <n v="4.184999999779393E-3"/>
    <n v="2.0023795720030081E-2"/>
  </r>
  <r>
    <n v="1800008530"/>
    <s v="DR"/>
    <d v="2025-05-16T00:00:00"/>
    <d v="2025-05-23T00:00:00"/>
    <x v="2"/>
    <n v="256779413294"/>
    <s v="212100"/>
    <s v="Trade Debtors (Ctrl)"/>
    <s v=""/>
    <s v="01"/>
    <s v="USD"/>
    <n v="656.3"/>
    <s v="INR"/>
    <n v="56431.1"/>
    <s v="O0"/>
    <s v="6779224500"/>
    <s v=""/>
    <s v="NA"/>
    <s v="1"/>
    <s v="LCL Chgs - 16 - 30 Apr 25"/>
    <s v=""/>
    <s v=""/>
    <s v=""/>
    <d v="2025-05-16T00:00:00"/>
    <m/>
    <x v="0"/>
    <n v="56431.102309999995"/>
    <n v="1129"/>
    <n v="55302.102309999995"/>
    <n v="-2.3099999962141737E-3"/>
    <n v="2.0006698434019539E-2"/>
  </r>
  <r>
    <n v="1600000388"/>
    <s v="DG"/>
    <d v="2025-05-14T00:00:00"/>
    <d v="2025-05-16T00:00:00"/>
    <x v="2"/>
    <n v="256779420097"/>
    <s v="212100"/>
    <s v="Trade Debtors (Ctrl)"/>
    <s v=""/>
    <s v="11"/>
    <s v="USD"/>
    <n v="-162"/>
    <s v="INR"/>
    <n v="-14043.98"/>
    <s v="O0"/>
    <s v="6779224500"/>
    <s v=""/>
    <s v="NA"/>
    <s v="1"/>
    <s v="Credit note against 246779414636"/>
    <s v=""/>
    <s v=""/>
    <s v=""/>
    <d v="2025-05-14T00:00:00"/>
    <d v="2025-07-18T00:00:00"/>
    <x v="20"/>
    <e v="#N/A"/>
    <m/>
    <m/>
    <m/>
    <m/>
  </r>
  <r>
    <n v="1600000392"/>
    <s v="DG"/>
    <d v="2025-05-14T00:00:00"/>
    <d v="2025-05-16T00:00:00"/>
    <x v="2"/>
    <n v="256779420101"/>
    <s v="212100"/>
    <s v="Trade Debtors (Ctrl)"/>
    <s v=""/>
    <s v="11"/>
    <s v="USD"/>
    <n v="-254.08"/>
    <s v="INR"/>
    <n v="-22026.52"/>
    <s v="O0"/>
    <s v="6779224500"/>
    <s v=""/>
    <s v="NA"/>
    <s v="1"/>
    <s v="Credit note against 246779414018"/>
    <s v=""/>
    <s v=""/>
    <s v=""/>
    <d v="2025-05-14T00:00:00"/>
    <d v="2025-07-18T00:00:00"/>
    <x v="21"/>
    <e v="#N/A"/>
    <m/>
    <m/>
    <m/>
    <m/>
  </r>
  <r>
    <n v="1600000393"/>
    <s v="DG"/>
    <d v="2025-05-14T00:00:00"/>
    <d v="2025-05-16T00:00:00"/>
    <x v="2"/>
    <n v="256779420102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563"/>
    <s v=""/>
    <s v=""/>
    <s v=""/>
    <d v="2025-05-14T00:00:00"/>
    <d v="2025-07-18T00:00:00"/>
    <x v="22"/>
    <e v="#N/A"/>
    <m/>
    <m/>
    <m/>
    <m/>
  </r>
  <r>
    <n v="1600000394"/>
    <s v="DG"/>
    <d v="2025-05-14T00:00:00"/>
    <d v="2025-05-16T00:00:00"/>
    <x v="2"/>
    <n v="256779420103"/>
    <s v="212100"/>
    <s v="Trade Debtors (Ctrl)"/>
    <s v=""/>
    <s v="11"/>
    <s v="USD"/>
    <n v="-216"/>
    <s v="INR"/>
    <n v="-18725.310000000001"/>
    <s v="O0"/>
    <s v="6779224500"/>
    <s v=""/>
    <s v="NA"/>
    <s v="1"/>
    <s v="Credit note against 246779414564"/>
    <s v=""/>
    <s v=""/>
    <s v=""/>
    <d v="2025-05-14T00:00:00"/>
    <d v="2025-07-18T00:00:00"/>
    <x v="23"/>
    <e v="#N/A"/>
    <m/>
    <m/>
    <m/>
    <m/>
  </r>
  <r>
    <n v="1600000395"/>
    <s v="DG"/>
    <d v="2025-05-14T00:00:00"/>
    <d v="2025-05-16T00:00:00"/>
    <x v="2"/>
    <n v="256779420104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565"/>
    <s v=""/>
    <s v=""/>
    <s v=""/>
    <d v="2025-05-14T00:00:00"/>
    <d v="2025-07-18T00:00:00"/>
    <x v="24"/>
    <e v="#N/A"/>
    <m/>
    <m/>
    <m/>
    <m/>
  </r>
  <r>
    <n v="1600000398"/>
    <s v="DG"/>
    <d v="2025-05-14T00:00:00"/>
    <d v="2025-05-16T00:00:00"/>
    <x v="2"/>
    <n v="256779420107"/>
    <s v="212100"/>
    <s v="Trade Debtors (Ctrl)"/>
    <s v=""/>
    <s v="11"/>
    <s v="USD"/>
    <n v="-259.2"/>
    <s v="INR"/>
    <n v="-22470.37"/>
    <s v="O0"/>
    <s v="6779224500"/>
    <s v=""/>
    <s v="NA"/>
    <s v="1"/>
    <s v="Credit note against 246779414634"/>
    <s v=""/>
    <s v=""/>
    <s v=""/>
    <d v="2025-05-14T00:00:00"/>
    <d v="2025-07-18T00:00:00"/>
    <x v="25"/>
    <e v="#N/A"/>
    <m/>
    <m/>
    <m/>
    <m/>
  </r>
  <r>
    <n v="1600000399"/>
    <s v="DG"/>
    <d v="2025-05-14T00:00:00"/>
    <d v="2025-05-16T00:00:00"/>
    <x v="2"/>
    <n v="256779420108"/>
    <s v="212100"/>
    <s v="Trade Debtors (Ctrl)"/>
    <s v=""/>
    <s v="11"/>
    <s v="USD"/>
    <n v="-566.86"/>
    <s v="INR"/>
    <n v="-49141.81"/>
    <s v="O0"/>
    <s v="6779224500"/>
    <s v=""/>
    <s v="NA"/>
    <s v="1"/>
    <s v="Credit note against 246779414635"/>
    <s v=""/>
    <s v=""/>
    <s v=""/>
    <d v="2025-05-14T00:00:00"/>
    <d v="2025-07-18T00:00:00"/>
    <x v="26"/>
    <e v="#N/A"/>
    <m/>
    <m/>
    <m/>
    <m/>
  </r>
  <r>
    <n v="1600000403"/>
    <s v="DG"/>
    <d v="2025-05-14T00:00:00"/>
    <d v="2025-05-16T00:00:00"/>
    <x v="2"/>
    <n v="256779420112"/>
    <s v="212100"/>
    <s v="Trade Debtors (Ctrl)"/>
    <s v=""/>
    <s v="11"/>
    <s v="USD"/>
    <n v="-63.98"/>
    <s v="INR"/>
    <n v="-5546.51"/>
    <s v="O0"/>
    <s v="6779224500"/>
    <s v=""/>
    <s v="NA"/>
    <s v="1"/>
    <s v="Credit note against 246779414709"/>
    <s v=""/>
    <s v=""/>
    <s v=""/>
    <d v="2025-05-14T00:00:00"/>
    <d v="2025-07-18T00:00:00"/>
    <x v="27"/>
    <e v="#N/A"/>
    <m/>
    <m/>
    <m/>
    <m/>
  </r>
  <r>
    <n v="1600000404"/>
    <s v="DG"/>
    <d v="2025-05-14T00:00:00"/>
    <d v="2025-05-16T00:00:00"/>
    <x v="2"/>
    <n v="256779420113"/>
    <s v="212100"/>
    <s v="Trade Debtors (Ctrl)"/>
    <s v=""/>
    <s v="11"/>
    <s v="USD"/>
    <n v="-31.99"/>
    <s v="INR"/>
    <n v="-2773.25"/>
    <s v="O0"/>
    <s v="6779224500"/>
    <s v=""/>
    <s v="NA"/>
    <s v="1"/>
    <s v="Credit note against 246779414710"/>
    <s v=""/>
    <s v=""/>
    <s v=""/>
    <d v="2025-05-14T00:00:00"/>
    <d v="2025-07-18T00:00:00"/>
    <x v="28"/>
    <e v="#N/A"/>
    <m/>
    <m/>
    <m/>
    <m/>
  </r>
  <r>
    <n v="1600000414"/>
    <s v="DG"/>
    <d v="2025-05-14T00:00:00"/>
    <d v="2025-05-16T00:00:00"/>
    <x v="2"/>
    <n v="256779420123"/>
    <s v="212100"/>
    <s v="Trade Debtors (Ctrl)"/>
    <s v=""/>
    <s v="11"/>
    <s v="USD"/>
    <n v="-39.26"/>
    <s v="INR"/>
    <n v="-3403.5"/>
    <s v="O0"/>
    <s v="6779224500"/>
    <s v=""/>
    <s v="NA"/>
    <s v="1"/>
    <s v="Credit note against 246779413974"/>
    <s v=""/>
    <s v=""/>
    <s v=""/>
    <d v="2025-05-14T00:00:00"/>
    <d v="2025-07-18T00:00:00"/>
    <x v="29"/>
    <e v="#N/A"/>
    <m/>
    <m/>
    <m/>
    <m/>
  </r>
  <r>
    <n v="1600000415"/>
    <s v="DG"/>
    <d v="2025-05-14T00:00:00"/>
    <d v="2025-05-16T00:00:00"/>
    <x v="2"/>
    <n v="256779420124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084"/>
    <s v=""/>
    <s v=""/>
    <s v=""/>
    <d v="2025-05-14T00:00:00"/>
    <d v="2025-07-18T00:00:00"/>
    <x v="30"/>
    <e v="#N/A"/>
    <m/>
    <m/>
    <m/>
    <m/>
  </r>
  <r>
    <n v="1600000416"/>
    <s v="DG"/>
    <d v="2025-05-14T00:00:00"/>
    <d v="2025-05-16T00:00:00"/>
    <x v="2"/>
    <n v="256779420125"/>
    <s v="212100"/>
    <s v="Trade Debtors (Ctrl)"/>
    <s v=""/>
    <s v="11"/>
    <s v="USD"/>
    <n v="-211.2"/>
    <s v="INR"/>
    <n v="-18309.189999999999"/>
    <s v="O0"/>
    <s v="6779224500"/>
    <s v=""/>
    <s v="NA"/>
    <s v="1"/>
    <s v="Credit note against 246779414085"/>
    <s v=""/>
    <s v=""/>
    <s v=""/>
    <d v="2025-05-14T00:00:00"/>
    <d v="2025-07-18T00:00:00"/>
    <x v="31"/>
    <e v="#N/A"/>
    <m/>
    <m/>
    <m/>
    <m/>
  </r>
  <r>
    <n v="1600000417"/>
    <s v="DG"/>
    <d v="2025-05-14T00:00:00"/>
    <d v="2025-05-16T00:00:00"/>
    <x v="2"/>
    <n v="256779420126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086"/>
    <s v=""/>
    <s v=""/>
    <s v=""/>
    <d v="2025-05-14T00:00:00"/>
    <d v="2025-07-18T00:00:00"/>
    <x v="32"/>
    <e v="#N/A"/>
    <m/>
    <m/>
    <m/>
    <m/>
  </r>
  <r>
    <n v="1600000420"/>
    <s v="DG"/>
    <d v="2025-05-14T00:00:00"/>
    <d v="2025-05-16T00:00:00"/>
    <x v="2"/>
    <n v="256779420129"/>
    <s v="212100"/>
    <s v="Trade Debtors (Ctrl)"/>
    <s v=""/>
    <s v="11"/>
    <s v="USD"/>
    <n v="-283.43"/>
    <s v="INR"/>
    <n v="-24570.9"/>
    <s v="O0"/>
    <s v="6779224500"/>
    <s v=""/>
    <s v="NA"/>
    <s v="1"/>
    <s v="Credit note against 246779414179"/>
    <s v=""/>
    <s v=""/>
    <s v=""/>
    <d v="2025-05-14T00:00:00"/>
    <d v="2025-07-18T00:00:00"/>
    <x v="33"/>
    <e v="#N/A"/>
    <m/>
    <m/>
    <m/>
    <m/>
  </r>
  <r>
    <n v="1600000421"/>
    <s v="DG"/>
    <d v="2025-05-14T00:00:00"/>
    <d v="2025-05-16T00:00:00"/>
    <x v="2"/>
    <n v="256779420130"/>
    <s v="212100"/>
    <s v="Trade Debtors (Ctrl)"/>
    <s v=""/>
    <s v="11"/>
    <s v="USD"/>
    <n v="-81"/>
    <s v="INR"/>
    <n v="-7021.99"/>
    <s v="O0"/>
    <s v="6779224500"/>
    <s v=""/>
    <s v="NA"/>
    <s v="1"/>
    <s v="Credit note against 246779414180"/>
    <s v=""/>
    <s v=""/>
    <s v=""/>
    <d v="2025-05-14T00:00:00"/>
    <d v="2025-07-18T00:00:00"/>
    <x v="34"/>
    <e v="#N/A"/>
    <m/>
    <m/>
    <m/>
    <m/>
  </r>
  <r>
    <n v="1600000422"/>
    <s v="DG"/>
    <d v="2025-05-14T00:00:00"/>
    <d v="2025-05-16T00:00:00"/>
    <x v="2"/>
    <n v="256779420131"/>
    <s v="212100"/>
    <s v="Trade Debtors (Ctrl)"/>
    <s v=""/>
    <s v="11"/>
    <s v="USD"/>
    <n v="-129.6"/>
    <s v="INR"/>
    <n v="-11235.19"/>
    <s v="O0"/>
    <s v="6779224500"/>
    <s v=""/>
    <s v="NA"/>
    <s v="1"/>
    <s v="Credit note against 246779414181"/>
    <s v=""/>
    <s v=""/>
    <s v=""/>
    <d v="2025-05-14T00:00:00"/>
    <d v="2025-07-18T00:00:00"/>
    <x v="35"/>
    <e v="#N/A"/>
    <m/>
    <m/>
    <m/>
    <m/>
  </r>
  <r>
    <n v="1600000430"/>
    <s v="DG"/>
    <d v="2025-05-14T00:00:00"/>
    <d v="2025-05-16T00:00:00"/>
    <x v="2"/>
    <n v="256779420139"/>
    <s v="212100"/>
    <s v="Trade Debtors (Ctrl)"/>
    <s v=""/>
    <s v="11"/>
    <s v="USD"/>
    <n v="-158.46"/>
    <s v="INR"/>
    <n v="-13737.1"/>
    <s v="O0"/>
    <s v="6779224500"/>
    <s v=""/>
    <s v="NA"/>
    <s v="1"/>
    <s v="Credit note against 246779414433"/>
    <s v=""/>
    <s v=""/>
    <s v=""/>
    <d v="2025-05-14T00:00:00"/>
    <d v="2025-07-18T00:00:00"/>
    <x v="36"/>
    <e v="#N/A"/>
    <m/>
    <m/>
    <m/>
    <m/>
  </r>
  <r>
    <n v="1600000431"/>
    <s v="DG"/>
    <d v="2025-05-14T00:00:00"/>
    <d v="2025-05-16T00:00:00"/>
    <x v="2"/>
    <n v="256779420140"/>
    <s v="212100"/>
    <s v="Trade Debtors (Ctrl)"/>
    <s v=""/>
    <s v="11"/>
    <s v="USD"/>
    <n v="-31.99"/>
    <s v="INR"/>
    <n v="-2773.25"/>
    <s v="O0"/>
    <s v="6779224500"/>
    <s v=""/>
    <s v="NA"/>
    <s v="1"/>
    <s v="Credit note against 246779414434"/>
    <s v=""/>
    <s v=""/>
    <s v=""/>
    <d v="2025-05-14T00:00:00"/>
    <d v="2025-07-18T00:00:00"/>
    <x v="37"/>
    <e v="#N/A"/>
    <m/>
    <m/>
    <m/>
    <m/>
  </r>
  <r>
    <n v="1600000432"/>
    <s v="DG"/>
    <d v="2025-05-14T00:00:00"/>
    <d v="2025-05-16T00:00:00"/>
    <x v="2"/>
    <n v="256779420141"/>
    <s v="212100"/>
    <s v="Trade Debtors (Ctrl)"/>
    <s v=""/>
    <s v="11"/>
    <s v="USD"/>
    <n v="-26.4"/>
    <s v="INR"/>
    <n v="-2288.65"/>
    <s v="O0"/>
    <s v="6779224500"/>
    <s v=""/>
    <s v="NA"/>
    <s v="1"/>
    <s v="Credit note against 246779414435"/>
    <s v=""/>
    <s v=""/>
    <s v=""/>
    <d v="2025-05-14T00:00:00"/>
    <d v="2025-07-18T00:00:00"/>
    <x v="38"/>
    <e v="#N/A"/>
    <m/>
    <m/>
    <m/>
    <m/>
  </r>
  <r>
    <n v="1600000433"/>
    <s v="DG"/>
    <d v="2025-05-14T00:00:00"/>
    <d v="2025-05-16T00:00:00"/>
    <x v="2"/>
    <n v="256779420142"/>
    <s v="212100"/>
    <s v="Trade Debtors (Ctrl)"/>
    <s v=""/>
    <s v="11"/>
    <s v="USD"/>
    <n v="-180"/>
    <s v="INR"/>
    <n v="-15604.43"/>
    <s v="O0"/>
    <s v="6779224500"/>
    <s v=""/>
    <s v="NA"/>
    <s v="1"/>
    <s v="Credit note against 246779414436"/>
    <s v=""/>
    <s v=""/>
    <s v=""/>
    <d v="2025-05-14T00:00:00"/>
    <d v="2025-07-18T00:00:00"/>
    <x v="39"/>
    <e v="#N/A"/>
    <m/>
    <m/>
    <m/>
    <m/>
  </r>
  <r>
    <n v="1600000434"/>
    <s v="DG"/>
    <d v="2025-05-14T00:00:00"/>
    <d v="2025-05-16T00:00:00"/>
    <x v="2"/>
    <n v="256779420143"/>
    <s v="212100"/>
    <s v="Trade Debtors (Ctrl)"/>
    <s v=""/>
    <s v="11"/>
    <s v="USD"/>
    <n v="-90"/>
    <s v="INR"/>
    <n v="-7802.21"/>
    <s v="O0"/>
    <s v="6779224500"/>
    <s v=""/>
    <s v="NA"/>
    <s v="1"/>
    <s v="Credit note against 246779414437"/>
    <s v=""/>
    <s v=""/>
    <s v=""/>
    <d v="2025-05-14T00:00:00"/>
    <d v="2025-07-18T00:00:00"/>
    <x v="40"/>
    <e v="#N/A"/>
    <m/>
    <m/>
    <m/>
    <m/>
  </r>
  <r>
    <n v="1600000435"/>
    <s v="DG"/>
    <d v="2025-05-14T00:00:00"/>
    <d v="2025-05-16T00:00:00"/>
    <x v="2"/>
    <n v="256779420144"/>
    <s v="212100"/>
    <s v="Trade Debtors (Ctrl)"/>
    <s v=""/>
    <s v="11"/>
    <s v="USD"/>
    <n v="-27"/>
    <s v="INR"/>
    <n v="-2340.66"/>
    <s v="O0"/>
    <s v="6779224500"/>
    <s v=""/>
    <s v="NA"/>
    <s v="1"/>
    <s v="Credit note against 246779414438"/>
    <s v=""/>
    <s v=""/>
    <s v=""/>
    <d v="2025-05-14T00:00:00"/>
    <d v="2025-07-18T00:00:00"/>
    <x v="41"/>
    <e v="#N/A"/>
    <m/>
    <m/>
    <m/>
    <m/>
  </r>
  <r>
    <n v="1600000436"/>
    <s v="DG"/>
    <d v="2025-05-14T00:00:00"/>
    <d v="2025-05-16T00:00:00"/>
    <x v="2"/>
    <n v="256779420145"/>
    <s v="212100"/>
    <s v="Trade Debtors (Ctrl)"/>
    <s v=""/>
    <s v="11"/>
    <s v="USD"/>
    <n v="-86.4"/>
    <s v="INR"/>
    <n v="-7490.12"/>
    <s v="O0"/>
    <s v="6779224500"/>
    <s v=""/>
    <s v="NA"/>
    <s v="1"/>
    <s v="Credit note against 246779414439"/>
    <s v=""/>
    <s v=""/>
    <s v=""/>
    <d v="2025-05-14T00:00:00"/>
    <d v="2025-07-18T00:00:00"/>
    <x v="42"/>
    <e v="#N/A"/>
    <m/>
    <m/>
    <m/>
    <m/>
  </r>
  <r>
    <n v="1600000461"/>
    <s v="DG"/>
    <d v="2025-05-14T00:00:00"/>
    <d v="2025-05-16T00:00:00"/>
    <x v="2"/>
    <n v="256779420170"/>
    <s v="212100"/>
    <s v="Trade Debtors (Ctrl)"/>
    <s v=""/>
    <s v="11"/>
    <s v="USD"/>
    <n v="-78.77"/>
    <s v="INR"/>
    <n v="-6828.67"/>
    <s v="O0"/>
    <s v="6779224500"/>
    <s v=""/>
    <s v="NA"/>
    <s v="1"/>
    <s v="Credit note against 246779411549"/>
    <s v=""/>
    <s v=""/>
    <s v=""/>
    <d v="2025-05-14T00:00:00"/>
    <d v="2025-07-18T00:00:00"/>
    <x v="43"/>
    <e v="#N/A"/>
    <m/>
    <m/>
    <m/>
    <m/>
  </r>
  <r>
    <n v="1600000462"/>
    <s v="DG"/>
    <d v="2025-05-14T00:00:00"/>
    <d v="2025-05-16T00:00:00"/>
    <x v="2"/>
    <n v="256779420171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0"/>
    <s v=""/>
    <s v=""/>
    <s v=""/>
    <d v="2025-05-14T00:00:00"/>
    <d v="2025-07-18T00:00:00"/>
    <x v="44"/>
    <e v="#N/A"/>
    <m/>
    <m/>
    <m/>
    <m/>
  </r>
  <r>
    <n v="1600000463"/>
    <s v="DG"/>
    <d v="2025-05-14T00:00:00"/>
    <d v="2025-05-16T00:00:00"/>
    <x v="2"/>
    <n v="256779420172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1"/>
    <s v=""/>
    <s v=""/>
    <s v=""/>
    <d v="2025-05-14T00:00:00"/>
    <d v="2025-07-18T00:00:00"/>
    <x v="45"/>
    <e v="#N/A"/>
    <m/>
    <m/>
    <m/>
    <m/>
  </r>
  <r>
    <n v="1600000464"/>
    <s v="DG"/>
    <d v="2025-05-14T00:00:00"/>
    <d v="2025-05-16T00:00:00"/>
    <x v="2"/>
    <n v="256779420173"/>
    <s v="212100"/>
    <s v="Trade Debtors (Ctrl)"/>
    <s v=""/>
    <s v="11"/>
    <s v="USD"/>
    <n v="-26.26"/>
    <s v="INR"/>
    <n v="-2276.5100000000002"/>
    <s v="O0"/>
    <s v="6779224500"/>
    <s v=""/>
    <s v="NA"/>
    <s v="1"/>
    <s v="Credit note against 246779411552"/>
    <s v=""/>
    <s v=""/>
    <s v=""/>
    <d v="2025-05-14T00:00:00"/>
    <d v="2025-07-18T00:00:00"/>
    <x v="46"/>
    <e v="#N/A"/>
    <m/>
    <m/>
    <m/>
    <m/>
  </r>
  <r>
    <n v="1600000477"/>
    <s v="DG"/>
    <d v="2025-05-14T00:00:00"/>
    <d v="2025-05-16T00:00:00"/>
    <x v="2"/>
    <n v="256779420186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0"/>
    <s v=""/>
    <s v=""/>
    <s v=""/>
    <d v="2025-05-14T00:00:00"/>
    <d v="2025-07-18T00:00:00"/>
    <x v="47"/>
    <e v="#N/A"/>
    <m/>
    <m/>
    <m/>
    <m/>
  </r>
  <r>
    <n v="1600000478"/>
    <s v="DG"/>
    <d v="2025-05-14T00:00:00"/>
    <d v="2025-05-16T00:00:00"/>
    <x v="2"/>
    <n v="256779420187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1371"/>
    <s v=""/>
    <s v=""/>
    <s v=""/>
    <d v="2025-05-14T00:00:00"/>
    <d v="2025-07-18T00:00:00"/>
    <x v="48"/>
    <e v="#N/A"/>
    <m/>
    <m/>
    <m/>
    <m/>
  </r>
  <r>
    <n v="1600000479"/>
    <s v="DG"/>
    <d v="2025-05-14T00:00:00"/>
    <d v="2025-05-16T00:00:00"/>
    <x v="2"/>
    <n v="256779420188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2"/>
    <s v=""/>
    <s v=""/>
    <s v=""/>
    <d v="2025-05-14T00:00:00"/>
    <d v="2025-07-18T00:00:00"/>
    <x v="49"/>
    <e v="#N/A"/>
    <m/>
    <m/>
    <m/>
    <m/>
  </r>
  <r>
    <n v="1600000480"/>
    <s v="DG"/>
    <d v="2025-05-14T00:00:00"/>
    <d v="2025-05-16T00:00:00"/>
    <x v="2"/>
    <n v="256779420189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1373"/>
    <s v=""/>
    <s v=""/>
    <s v=""/>
    <d v="2025-05-14T00:00:00"/>
    <d v="2025-07-18T00:00:00"/>
    <x v="50"/>
    <e v="#N/A"/>
    <m/>
    <m/>
    <m/>
    <m/>
  </r>
  <r>
    <n v="1600000513"/>
    <s v="DG"/>
    <d v="2025-05-14T00:00:00"/>
    <d v="2025-05-16T00:00:00"/>
    <x v="2"/>
    <n v="256779420222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59"/>
    <s v=""/>
    <s v=""/>
    <s v=""/>
    <d v="2025-05-14T00:00:00"/>
    <d v="2025-07-18T00:00:00"/>
    <x v="51"/>
    <e v="#N/A"/>
    <m/>
    <m/>
    <m/>
    <m/>
  </r>
  <r>
    <n v="1600000514"/>
    <s v="DG"/>
    <d v="2025-05-14T00:00:00"/>
    <d v="2025-05-16T00:00:00"/>
    <x v="2"/>
    <n v="256779420223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2160"/>
    <s v=""/>
    <s v=""/>
    <s v=""/>
    <d v="2025-05-14T00:00:00"/>
    <d v="2025-07-18T00:00:00"/>
    <x v="52"/>
    <e v="#N/A"/>
    <m/>
    <m/>
    <m/>
    <m/>
  </r>
  <r>
    <n v="1600000515"/>
    <s v="DG"/>
    <d v="2025-05-14T00:00:00"/>
    <d v="2025-05-16T00:00:00"/>
    <x v="2"/>
    <n v="256779420224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61"/>
    <s v=""/>
    <s v=""/>
    <s v=""/>
    <d v="2025-05-14T00:00:00"/>
    <d v="2025-07-18T00:00:00"/>
    <x v="53"/>
    <e v="#N/A"/>
    <m/>
    <m/>
    <m/>
    <m/>
  </r>
  <r>
    <n v="1600000516"/>
    <s v="DG"/>
    <d v="2025-05-14T00:00:00"/>
    <d v="2025-05-16T00:00:00"/>
    <x v="2"/>
    <n v="256779420225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162"/>
    <s v=""/>
    <s v=""/>
    <s v=""/>
    <d v="2025-05-14T00:00:00"/>
    <d v="2025-07-18T00:00:00"/>
    <x v="54"/>
    <e v="#N/A"/>
    <m/>
    <m/>
    <m/>
    <m/>
  </r>
  <r>
    <n v="1600000649"/>
    <s v="DG"/>
    <d v="2025-05-14T00:00:00"/>
    <d v="2025-05-16T00:00:00"/>
    <x v="2"/>
    <n v="256779420358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07"/>
    <s v=""/>
    <s v=""/>
    <s v=""/>
    <d v="2025-05-14T00:00:00"/>
    <d v="2025-07-18T00:00:00"/>
    <x v="55"/>
    <e v="#N/A"/>
    <m/>
    <m/>
    <m/>
    <m/>
  </r>
  <r>
    <n v="1600000650"/>
    <s v="DG"/>
    <d v="2025-05-14T00:00:00"/>
    <d v="2025-05-16T00:00:00"/>
    <x v="2"/>
    <n v="256779420359"/>
    <s v="212100"/>
    <s v="Trade Debtors (Ctrl)"/>
    <s v=""/>
    <s v="11"/>
    <s v="USD"/>
    <n v="-52.46"/>
    <s v="INR"/>
    <n v="-4547.82"/>
    <s v="O0"/>
    <s v="6779224500"/>
    <s v=""/>
    <s v="NA"/>
    <s v="1"/>
    <s v="Credit note against 246779412308"/>
    <s v=""/>
    <s v=""/>
    <s v=""/>
    <d v="2025-05-14T00:00:00"/>
    <d v="2025-07-18T00:00:00"/>
    <x v="56"/>
    <e v="#N/A"/>
    <m/>
    <m/>
    <m/>
    <m/>
  </r>
  <r>
    <n v="1600000651"/>
    <s v="DG"/>
    <d v="2025-05-14T00:00:00"/>
    <d v="2025-05-16T00:00:00"/>
    <x v="2"/>
    <n v="256779420360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09"/>
    <s v=""/>
    <s v=""/>
    <s v=""/>
    <d v="2025-05-14T00:00:00"/>
    <d v="2025-07-18T00:00:00"/>
    <x v="57"/>
    <e v="#N/A"/>
    <m/>
    <m/>
    <m/>
    <m/>
  </r>
  <r>
    <n v="1600000652"/>
    <s v="DG"/>
    <d v="2025-05-14T00:00:00"/>
    <d v="2025-05-16T00:00:00"/>
    <x v="2"/>
    <n v="256779420361"/>
    <s v="212100"/>
    <s v="Trade Debtors (Ctrl)"/>
    <s v=""/>
    <s v="11"/>
    <s v="USD"/>
    <n v="-26.23"/>
    <s v="INR"/>
    <n v="-2273.91"/>
    <s v="O0"/>
    <s v="6779224500"/>
    <s v=""/>
    <s v="NA"/>
    <s v="1"/>
    <s v="Credit note against 246779412310"/>
    <s v=""/>
    <s v=""/>
    <s v=""/>
    <d v="2025-05-14T00:00:00"/>
    <d v="2025-07-18T00:00:00"/>
    <x v="58"/>
    <e v="#N/A"/>
    <m/>
    <m/>
    <m/>
    <m/>
  </r>
  <r>
    <n v="1600000695"/>
    <s v="DG"/>
    <d v="2025-05-14T00:00:00"/>
    <d v="2025-05-16T00:00:00"/>
    <x v="2"/>
    <n v="256779420404"/>
    <s v="212100"/>
    <s v="Trade Debtors (Ctrl)"/>
    <s v=""/>
    <s v="11"/>
    <s v="USD"/>
    <n v="-345.6"/>
    <s v="INR"/>
    <n v="-29960.5"/>
    <s v="O0"/>
    <s v="6779224500"/>
    <s v=""/>
    <s v="NA"/>
    <s v="1"/>
    <s v="Credit note against 246779414262"/>
    <s v=""/>
    <s v=""/>
    <s v=""/>
    <d v="2025-05-14T00:00:00"/>
    <d v="2025-07-18T00:00:00"/>
    <x v="59"/>
    <e v="#N/A"/>
    <m/>
    <m/>
    <m/>
    <m/>
  </r>
  <r>
    <n v="1600000696"/>
    <s v="DG"/>
    <d v="2025-05-14T00:00:00"/>
    <d v="2025-05-16T00:00:00"/>
    <x v="2"/>
    <n v="256779420405"/>
    <s v="212100"/>
    <s v="Trade Debtors (Ctrl)"/>
    <s v=""/>
    <s v="11"/>
    <s v="USD"/>
    <n v="-755.81"/>
    <s v="INR"/>
    <n v="-65522.12"/>
    <s v="O0"/>
    <s v="6779224500"/>
    <s v=""/>
    <s v="NA"/>
    <s v="1"/>
    <s v="Credit note against 246779414263"/>
    <s v=""/>
    <s v=""/>
    <s v=""/>
    <d v="2025-05-14T00:00:00"/>
    <d v="2025-07-18T00:00:00"/>
    <x v="60"/>
    <e v="#N/A"/>
    <m/>
    <m/>
    <m/>
    <m/>
  </r>
  <r>
    <n v="1600000697"/>
    <s v="DG"/>
    <d v="2025-05-14T00:00:00"/>
    <d v="2025-05-16T00:00:00"/>
    <x v="2"/>
    <n v="256779420406"/>
    <s v="212100"/>
    <s v="Trade Debtors (Ctrl)"/>
    <s v=""/>
    <s v="11"/>
    <s v="USD"/>
    <n v="-211.2"/>
    <s v="INR"/>
    <n v="-18309.189999999999"/>
    <s v="O0"/>
    <s v="6779224500"/>
    <s v=""/>
    <s v="NA"/>
    <s v="1"/>
    <s v="Credit note against 246779414264"/>
    <s v=""/>
    <s v=""/>
    <s v=""/>
    <d v="2025-05-14T00:00:00"/>
    <d v="2025-07-18T00:00:00"/>
    <x v="61"/>
    <e v="#N/A"/>
    <m/>
    <m/>
    <m/>
    <m/>
  </r>
  <r>
    <n v="1600000727"/>
    <s v="DG"/>
    <d v="2025-05-14T00:00:00"/>
    <d v="2025-05-16T00:00:00"/>
    <x v="2"/>
    <n v="256779420436"/>
    <s v="212100"/>
    <s v="Trade Debtors (Ctrl)"/>
    <s v=""/>
    <s v="11"/>
    <s v="USD"/>
    <n v="-188.95"/>
    <s v="INR"/>
    <n v="-16423.88"/>
    <s v="O0"/>
    <s v="6779224500"/>
    <s v=""/>
    <s v="NA"/>
    <s v="1"/>
    <s v="Credit note against 256779411758"/>
    <s v=""/>
    <s v=""/>
    <s v=""/>
    <d v="2025-05-14T00:00:00"/>
    <d v="2025-07-18T00:00:00"/>
    <x v="62"/>
    <e v="#N/A"/>
    <m/>
    <m/>
    <m/>
    <m/>
  </r>
  <r>
    <n v="1600000728"/>
    <s v="DG"/>
    <d v="2025-05-14T00:00:00"/>
    <d v="2025-05-16T00:00:00"/>
    <x v="2"/>
    <n v="256779420437"/>
    <s v="212100"/>
    <s v="Trade Debtors (Ctrl)"/>
    <s v=""/>
    <s v="11"/>
    <s v="USD"/>
    <n v="-52.8"/>
    <s v="INR"/>
    <n v="-4589.47"/>
    <s v="O0"/>
    <s v="6779224500"/>
    <s v=""/>
    <s v="NA"/>
    <s v="1"/>
    <s v="Credit note against 256779411759"/>
    <s v=""/>
    <s v=""/>
    <s v=""/>
    <d v="2025-05-14T00:00:00"/>
    <d v="2025-07-18T00:00:00"/>
    <x v="63"/>
    <e v="#N/A"/>
    <m/>
    <m/>
    <m/>
    <m/>
  </r>
  <r>
    <n v="1600000729"/>
    <s v="DG"/>
    <d v="2025-05-14T00:00:00"/>
    <d v="2025-05-16T00:00:00"/>
    <x v="2"/>
    <n v="256779420438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760"/>
    <s v=""/>
    <s v=""/>
    <s v=""/>
    <d v="2025-05-14T00:00:00"/>
    <d v="2025-07-18T00:00:00"/>
    <x v="64"/>
    <e v="#N/A"/>
    <m/>
    <m/>
    <m/>
    <m/>
  </r>
  <r>
    <n v="1600000745"/>
    <s v="DG"/>
    <d v="2025-05-14T00:00:00"/>
    <d v="2025-05-16T00:00:00"/>
    <x v="2"/>
    <n v="256779420454"/>
    <s v="212100"/>
    <s v="Trade Debtors (Ctrl)"/>
    <s v=""/>
    <s v="11"/>
    <s v="USD"/>
    <n v="-1231.96"/>
    <s v="INR"/>
    <n v="-107084.21"/>
    <s v="O0"/>
    <s v="6779224500"/>
    <s v=""/>
    <s v="NA"/>
    <s v="1"/>
    <s v="Credit note against 256779410818"/>
    <s v=""/>
    <s v=""/>
    <s v=""/>
    <d v="2025-05-14T00:00:00"/>
    <d v="2025-07-18T00:00:00"/>
    <x v="65"/>
    <e v="#N/A"/>
    <m/>
    <m/>
    <m/>
    <m/>
  </r>
  <r>
    <n v="1600000821"/>
    <s v="DG"/>
    <d v="2025-05-14T00:00:00"/>
    <d v="2025-05-16T00:00:00"/>
    <x v="2"/>
    <n v="256779420530"/>
    <s v="212100"/>
    <s v="Trade Debtors (Ctrl)"/>
    <s v=""/>
    <s v="11"/>
    <s v="USD"/>
    <n v="-188.95"/>
    <s v="INR"/>
    <n v="-16423.88"/>
    <s v="O0"/>
    <s v="6779224500"/>
    <s v=""/>
    <s v="NA"/>
    <s v="1"/>
    <s v="Credit note against 256779411836"/>
    <s v=""/>
    <s v=""/>
    <s v=""/>
    <d v="2025-05-14T00:00:00"/>
    <d v="2025-07-18T00:00:00"/>
    <x v="66"/>
    <e v="#N/A"/>
    <m/>
    <m/>
    <m/>
    <m/>
  </r>
  <r>
    <n v="1600000822"/>
    <s v="DG"/>
    <d v="2025-05-14T00:00:00"/>
    <d v="2025-05-16T00:00:00"/>
    <x v="2"/>
    <n v="256779420531"/>
    <s v="212100"/>
    <s v="Trade Debtors (Ctrl)"/>
    <s v=""/>
    <s v="11"/>
    <s v="USD"/>
    <n v="-54"/>
    <s v="INR"/>
    <n v="-4693.78"/>
    <s v="O0"/>
    <s v="6779224500"/>
    <s v=""/>
    <s v="NA"/>
    <s v="1"/>
    <s v="Credit note against 256779411837"/>
    <s v=""/>
    <s v=""/>
    <s v=""/>
    <d v="2025-05-14T00:00:00"/>
    <d v="2025-07-18T00:00:00"/>
    <x v="67"/>
    <e v="#N/A"/>
    <m/>
    <m/>
    <m/>
    <m/>
  </r>
  <r>
    <n v="1600000820"/>
    <s v="DG"/>
    <d v="2025-05-14T00:00:00"/>
    <d v="2025-05-16T00:00:00"/>
    <x v="2"/>
    <n v="256779420529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760"/>
    <s v=""/>
    <s v=""/>
    <s v=""/>
    <d v="2025-05-14T00:00:00"/>
    <d v="2025-07-18T00:00:00"/>
    <x v="68"/>
    <e v="#N/A"/>
    <m/>
    <m/>
    <m/>
    <m/>
  </r>
  <r>
    <n v="1600000823"/>
    <s v="DG"/>
    <d v="2025-05-14T00:00:00"/>
    <d v="2025-05-16T00:00:00"/>
    <x v="2"/>
    <n v="256779420532"/>
    <s v="212100"/>
    <s v="Trade Debtors (Ctrl)"/>
    <s v=""/>
    <s v="11"/>
    <s v="USD"/>
    <n v="-86.4"/>
    <s v="INR"/>
    <n v="-7510.05"/>
    <s v="O0"/>
    <s v="6779224500"/>
    <s v=""/>
    <s v="NA"/>
    <s v="1"/>
    <s v="Credit note against 256779411838"/>
    <s v=""/>
    <s v=""/>
    <s v=""/>
    <d v="2025-05-14T00:00:00"/>
    <m/>
    <x v="0"/>
    <e v="#N/A"/>
    <m/>
    <m/>
    <m/>
    <m/>
  </r>
  <r>
    <n v="1800008365"/>
    <s v="DR"/>
    <d v="2025-05-10T00:00:00"/>
    <d v="2025-05-15T00:00:00"/>
    <x v="2"/>
    <n v="256779413248"/>
    <s v="212100"/>
    <s v="Trade Debtors (Ctrl)"/>
    <s v=""/>
    <s v="01"/>
    <s v="USD"/>
    <n v="42.33"/>
    <s v="INR"/>
    <n v="3639.69"/>
    <s v="O0"/>
    <s v="6779224500"/>
    <s v=""/>
    <s v="NA"/>
    <s v="1"/>
    <s v="Weighment-16-30 April25, Ex.Rate-85.05"/>
    <s v=""/>
    <s v=""/>
    <s v=""/>
    <d v="2025-05-10T00:00:00"/>
    <d v="2025-11-18T00:00:00"/>
    <x v="5"/>
    <n v="3639.6900209999999"/>
    <n v="73"/>
    <n v="3566.6900209999999"/>
    <n v="-2.0999999833293259E-5"/>
    <n v="2.0056653176506789E-2"/>
  </r>
  <r>
    <n v="1800008351"/>
    <s v="DR"/>
    <d v="2025-05-10T00:00:00"/>
    <d v="2025-05-15T00:00:00"/>
    <x v="2"/>
    <n v="256779413234"/>
    <s v="212100"/>
    <s v="Trade Debtors (Ctrl)"/>
    <s v=""/>
    <s v="01"/>
    <s v="USD"/>
    <n v="51.73"/>
    <s v="INR"/>
    <n v="4447.9399999999996"/>
    <s v="O0"/>
    <s v="6779224500"/>
    <s v=""/>
    <s v="NA"/>
    <s v="1"/>
    <s v="VAS - 16-30 April 25, Ex.Rate-85.05"/>
    <s v=""/>
    <s v=""/>
    <s v=""/>
    <d v="2025-05-10T00:00:00"/>
    <m/>
    <x v="0"/>
    <n v="4447.9368009999998"/>
    <n v="89"/>
    <n v="4358.9368009999998"/>
    <n v="3.1989999997676932E-3"/>
    <n v="2.0009262714874753E-2"/>
  </r>
  <r>
    <n v="1400000007"/>
    <s v="DZ"/>
    <d v="2025-04-25T00:00:00"/>
    <d v="2025-04-25T00:00:00"/>
    <x v="25"/>
    <s v=""/>
    <s v="212100"/>
    <s v="Trade Debtors (Ctrl)"/>
    <s v=""/>
    <s v="15"/>
    <s v="INR"/>
    <n v="-77748.160000000003"/>
    <s v="INR"/>
    <n v="-77748.160000000003"/>
    <s v=""/>
    <s v="6779224500"/>
    <s v=""/>
    <s v=""/>
    <s v="3"/>
    <s v="HDFCN52025031215974606"/>
    <s v=""/>
    <s v=""/>
    <s v=""/>
    <d v="2025-04-25T00:00:00"/>
    <d v="2025-04-25T00:00:00"/>
    <x v="71"/>
    <e v="#N/A"/>
    <m/>
    <m/>
    <m/>
    <m/>
  </r>
  <r>
    <n v="1400000008"/>
    <s v="DZ"/>
    <d v="2025-04-25T00:00:00"/>
    <d v="2025-04-25T00:00:00"/>
    <x v="26"/>
    <s v=""/>
    <s v="212100"/>
    <s v="Trade Debtors (Ctrl)"/>
    <s v=""/>
    <s v="15"/>
    <s v="INR"/>
    <n v="-31951.3"/>
    <s v="INR"/>
    <n v="-31951.3"/>
    <s v=""/>
    <s v="6779224500"/>
    <s v=""/>
    <s v=""/>
    <s v="3"/>
    <s v="HDFCN52025031215976413"/>
    <s v=""/>
    <s v=""/>
    <s v=""/>
    <d v="2025-04-25T00:00:00"/>
    <d v="2025-04-25T00:00:00"/>
    <x v="72"/>
    <e v="#N/A"/>
    <m/>
    <m/>
    <m/>
    <m/>
  </r>
  <r>
    <n v="1400000009"/>
    <s v="DZ"/>
    <d v="2025-04-25T00:00:00"/>
    <d v="2025-04-25T00:00:00"/>
    <x v="27"/>
    <s v=""/>
    <s v="212100"/>
    <s v="Trade Debtors (Ctrl)"/>
    <s v=""/>
    <s v="15"/>
    <s v="INR"/>
    <n v="-107902.2"/>
    <s v="INR"/>
    <n v="-107902.2"/>
    <s v=""/>
    <s v="6779224500"/>
    <s v=""/>
    <s v=""/>
    <s v="3"/>
    <s v="HDFCN52025031215974609"/>
    <s v=""/>
    <s v=""/>
    <s v=""/>
    <d v="2025-04-25T00:00:00"/>
    <d v="2025-04-25T00:00:00"/>
    <x v="73"/>
    <e v="#N/A"/>
    <m/>
    <m/>
    <m/>
    <m/>
  </r>
  <r>
    <n v="1400000010"/>
    <s v="DZ"/>
    <d v="2025-04-25T00:00:00"/>
    <d v="2025-04-25T00:00:00"/>
    <x v="28"/>
    <s v=""/>
    <s v="212100"/>
    <s v="Trade Debtors (Ctrl)"/>
    <s v=""/>
    <s v="15"/>
    <s v="INR"/>
    <n v="-11561.33"/>
    <s v="INR"/>
    <n v="-11561.33"/>
    <s v=""/>
    <s v="6779224500"/>
    <s v=""/>
    <s v=""/>
    <s v="3"/>
    <s v="HDFCN52025032433793860"/>
    <s v=""/>
    <s v=""/>
    <s v=""/>
    <d v="2025-04-25T00:00:00"/>
    <d v="2025-04-25T00:00:00"/>
    <x v="74"/>
    <e v="#N/A"/>
    <m/>
    <m/>
    <m/>
    <m/>
  </r>
  <r>
    <n v="1400000011"/>
    <s v="DZ"/>
    <d v="2025-04-25T00:00:00"/>
    <d v="2025-04-25T00:00:00"/>
    <x v="29"/>
    <s v=""/>
    <s v="212100"/>
    <s v="Trade Debtors (Ctrl)"/>
    <s v=""/>
    <s v="15"/>
    <s v="INR"/>
    <n v="-18498.12"/>
    <s v="INR"/>
    <n v="-18498.12"/>
    <s v=""/>
    <s v="6779224500"/>
    <s v=""/>
    <s v=""/>
    <s v="3"/>
    <s v="HDFCN52025032433793867"/>
    <s v=""/>
    <s v=""/>
    <s v=""/>
    <d v="2025-04-25T00:00:00"/>
    <d v="2025-04-25T00:00:00"/>
    <x v="75"/>
    <e v="#N/A"/>
    <m/>
    <m/>
    <m/>
    <m/>
  </r>
  <r>
    <n v="1400000012"/>
    <s v="DZ"/>
    <d v="2025-04-25T00:00:00"/>
    <d v="2025-04-25T00:00:00"/>
    <x v="30"/>
    <s v=""/>
    <s v="212100"/>
    <s v="Trade Debtors (Ctrl)"/>
    <s v=""/>
    <s v="15"/>
    <s v="INR"/>
    <n v="-18498.12"/>
    <s v="INR"/>
    <n v="-18498.12"/>
    <s v=""/>
    <s v="6779224500"/>
    <s v=""/>
    <s v=""/>
    <s v="3"/>
    <s v="HDFCN52025032433793886"/>
    <s v=""/>
    <s v=""/>
    <s v=""/>
    <d v="2025-04-25T00:00:00"/>
    <d v="2025-04-25T00:00:00"/>
    <x v="76"/>
    <e v="#N/A"/>
    <m/>
    <m/>
    <m/>
    <m/>
  </r>
  <r>
    <n v="1400000013"/>
    <s v="DZ"/>
    <d v="2025-04-25T00:00:00"/>
    <d v="2025-04-25T00:00:00"/>
    <x v="31"/>
    <s v=""/>
    <s v="212100"/>
    <s v="Trade Debtors (Ctrl)"/>
    <s v=""/>
    <s v="15"/>
    <s v="INR"/>
    <n v="-4624.53"/>
    <s v="INR"/>
    <n v="-4624.53"/>
    <s v=""/>
    <s v="6779224500"/>
    <s v=""/>
    <s v=""/>
    <s v="3"/>
    <s v="HDFCN52025032433793875"/>
    <s v=""/>
    <s v=""/>
    <s v=""/>
    <d v="2025-04-25T00:00:00"/>
    <d v="2025-04-25T00:00:00"/>
    <x v="77"/>
    <e v="#N/A"/>
    <m/>
    <m/>
    <m/>
    <m/>
  </r>
  <r>
    <n v="1400000014"/>
    <s v="DZ"/>
    <d v="2025-04-25T00:00:00"/>
    <d v="2025-04-25T00:00:00"/>
    <x v="32"/>
    <s v=""/>
    <s v="212100"/>
    <s v="Trade Debtors (Ctrl)"/>
    <s v=""/>
    <s v="15"/>
    <s v="INR"/>
    <n v="-15765.44"/>
    <s v="INR"/>
    <n v="-15765.44"/>
    <s v=""/>
    <s v="6779224500"/>
    <s v=""/>
    <s v=""/>
    <s v="3"/>
    <s v="HDFCN52025032433791996"/>
    <s v=""/>
    <s v=""/>
    <s v=""/>
    <d v="2025-04-25T00:00:00"/>
    <d v="2025-04-25T00:00:00"/>
    <x v="78"/>
    <e v="#N/A"/>
    <m/>
    <m/>
    <m/>
    <m/>
  </r>
  <r>
    <n v="1400000015"/>
    <s v="DZ"/>
    <d v="2025-04-25T00:00:00"/>
    <d v="2025-04-25T00:00:00"/>
    <x v="33"/>
    <s v=""/>
    <s v="212100"/>
    <s v="Trade Debtors (Ctrl)"/>
    <s v=""/>
    <s v="15"/>
    <s v="INR"/>
    <n v="-4624.53"/>
    <s v="INR"/>
    <n v="-4624.53"/>
    <s v=""/>
    <s v="6779224500"/>
    <s v=""/>
    <s v=""/>
    <s v="3"/>
    <s v="HDFCN52025032433791993"/>
    <s v=""/>
    <s v=""/>
    <s v=""/>
    <d v="2025-04-25T00:00:00"/>
    <d v="2025-04-25T00:00:00"/>
    <x v="79"/>
    <e v="#N/A"/>
    <m/>
    <m/>
    <m/>
    <m/>
  </r>
  <r>
    <n v="1800007875"/>
    <s v="DR"/>
    <d v="2025-04-24T00:00:00"/>
    <d v="2025-04-26T00:00:00"/>
    <x v="2"/>
    <n v="256779412766"/>
    <s v="212100"/>
    <s v="Trade Debtors (Ctrl)"/>
    <s v=""/>
    <s v="01"/>
    <s v="USD"/>
    <n v="25.67"/>
    <s v="INR"/>
    <n v="2231.2800000000002"/>
    <s v="O0"/>
    <s v="6779224500"/>
    <s v=""/>
    <s v="NA"/>
    <s v="1"/>
    <s v="VAS 1-15 April-25,Ex.Rate-85.69"/>
    <s v=""/>
    <s v=""/>
    <s v=""/>
    <d v="2025-04-24T00:00:00"/>
    <d v="2025-11-18T00:00:00"/>
    <x v="5"/>
    <n v="2231.2831194"/>
    <n v="45"/>
    <n v="2186.2831194"/>
    <n v="-3.1193999998322397E-3"/>
    <n v="2.0167796063246205E-2"/>
  </r>
  <r>
    <n v="1800007984"/>
    <s v="DR"/>
    <d v="2025-04-23T00:00:00"/>
    <d v="2025-04-29T00:00:00"/>
    <x v="2"/>
    <n v="256779412875"/>
    <s v="212100"/>
    <s v="Trade Debtors (Ctrl)"/>
    <s v=""/>
    <s v="01"/>
    <s v="USD"/>
    <n v="581.28"/>
    <s v="INR"/>
    <n v="50525.919999999998"/>
    <s v="O0"/>
    <s v="6779224500"/>
    <s v=""/>
    <s v="NA"/>
    <s v="1"/>
    <s v="Transportation In Chgs - 01 - 15 Apr 25"/>
    <s v=""/>
    <s v=""/>
    <s v=""/>
    <d v="2025-04-23T00:00:00"/>
    <m/>
    <x v="0"/>
    <n v="50525.919999999998"/>
    <n v="1010"/>
    <n v="49515.92"/>
    <n v="0"/>
    <n v="1.9989739919629372E-2"/>
  </r>
  <r>
    <n v="1800008012"/>
    <s v="DR"/>
    <d v="2025-04-23T00:00:00"/>
    <d v="2025-04-29T00:00:00"/>
    <x v="2"/>
    <n v="256779412903"/>
    <s v="212100"/>
    <s v="Trade Debtors (Ctrl)"/>
    <s v=""/>
    <s v="01"/>
    <s v="USD"/>
    <n v="153.88999999999999"/>
    <s v="INR"/>
    <n v="13376.4"/>
    <s v="O0"/>
    <s v="6779224500"/>
    <s v=""/>
    <s v="NA"/>
    <s v="1"/>
    <s v="Outbound chgs - 01 - 15 Apr 25"/>
    <s v=""/>
    <s v=""/>
    <s v=""/>
    <d v="2025-04-23T00:00:00"/>
    <m/>
    <x v="0"/>
    <n v="13376.399999999998"/>
    <n v="267"/>
    <n v="13109.399999999998"/>
    <n v="0"/>
    <n v="1.9960527496187316E-2"/>
  </r>
  <r>
    <n v="1800007707"/>
    <s v="DR"/>
    <d v="2025-04-22T00:00:00"/>
    <d v="2025-04-23T00:00:00"/>
    <x v="2"/>
    <n v="256779412598"/>
    <s v="212100"/>
    <s v="Trade Debtors (Ctrl)"/>
    <s v=""/>
    <s v="01"/>
    <s v="USD"/>
    <n v="1360.46"/>
    <s v="INR"/>
    <n v="118253.66"/>
    <s v="O0"/>
    <s v="6779224500"/>
    <s v=""/>
    <s v="NA"/>
    <s v="1"/>
    <s v="Inbound Handling charges for 31 Mar 2025"/>
    <s v=""/>
    <s v=""/>
    <s v=""/>
    <d v="2025-04-22T00:00:00"/>
    <m/>
    <x v="0"/>
    <n v="118253.6592372"/>
    <n v="2365"/>
    <n v="115888.6592372"/>
    <n v="7.6280000212136656E-4"/>
    <n v="1.9999380991675014E-2"/>
  </r>
  <r>
    <n v="1800007739"/>
    <s v="DR"/>
    <d v="2025-04-22T00:00:00"/>
    <d v="2025-04-23T00:00:00"/>
    <x v="2"/>
    <n v="256779412630"/>
    <s v="212100"/>
    <s v="Trade Debtors (Ctrl)"/>
    <s v=""/>
    <s v="01"/>
    <s v="USD"/>
    <n v="532.46"/>
    <s v="INR"/>
    <n v="46282.39"/>
    <s v="O0"/>
    <s v="6779224500"/>
    <s v=""/>
    <s v="NA"/>
    <s v="1"/>
    <s v="Outbound Handling charges for 31 Mar 25"/>
    <s v=""/>
    <s v=""/>
    <s v=""/>
    <d v="2025-04-22T00:00:00"/>
    <m/>
    <x v="0"/>
    <n v="46282.392277200001"/>
    <n v="925"/>
    <n v="45357.392277200001"/>
    <n v="-2.2772000011173077E-3"/>
    <n v="1.9986003315731967E-2"/>
  </r>
  <r>
    <n v="1800006867"/>
    <s v="DR"/>
    <d v="2025-04-16T00:00:00"/>
    <d v="2025-04-17T00:00:00"/>
    <x v="2"/>
    <n v="256779411758"/>
    <s v="212100"/>
    <s v="Trade Debtors (Ctrl)"/>
    <s v=""/>
    <s v="01"/>
    <s v="USD"/>
    <n v="188.95"/>
    <s v="INR"/>
    <n v="16423.88"/>
    <s v="O0"/>
    <s v="6779224500"/>
    <s v=""/>
    <s v="NA"/>
    <s v="1"/>
    <s v="Inbound Handling charges for Dec 2024"/>
    <s v=""/>
    <s v=""/>
    <s v=""/>
    <d v="2025-04-16T00:00:00"/>
    <d v="2025-07-18T00:00:00"/>
    <x v="62"/>
    <e v="#N/A"/>
    <m/>
    <m/>
    <m/>
    <m/>
  </r>
  <r>
    <n v="1800006868"/>
    <s v="DR"/>
    <d v="2025-04-16T00:00:00"/>
    <d v="2025-04-17T00:00:00"/>
    <x v="2"/>
    <n v="256779411759"/>
    <s v="212100"/>
    <s v="Trade Debtors (Ctrl)"/>
    <s v=""/>
    <s v="01"/>
    <s v="USD"/>
    <n v="52.8"/>
    <s v="INR"/>
    <n v="4589.47"/>
    <s v="O0"/>
    <s v="6779224500"/>
    <s v=""/>
    <s v="NA"/>
    <s v="1"/>
    <s v="LCL charges for Dec 2024"/>
    <s v=""/>
    <s v=""/>
    <s v=""/>
    <d v="2025-04-16T00:00:00"/>
    <d v="2025-07-18T00:00:00"/>
    <x v="63"/>
    <e v="#N/A"/>
    <m/>
    <m/>
    <m/>
    <m/>
  </r>
  <r>
    <n v="1800006869"/>
    <s v="DR"/>
    <d v="2025-04-16T00:00:00"/>
    <d v="2025-04-17T00:00:00"/>
    <x v="2"/>
    <n v="256779411760"/>
    <s v="212100"/>
    <s v="Trade Debtors (Ctrl)"/>
    <s v=""/>
    <s v="01"/>
    <s v="USD"/>
    <n v="86.4"/>
    <s v="INR"/>
    <n v="7510.05"/>
    <s v="O0"/>
    <s v="6779224500"/>
    <s v=""/>
    <s v="NA"/>
    <s v="1"/>
    <s v="LOLO charges for Dec 2024"/>
    <s v=""/>
    <s v=""/>
    <s v=""/>
    <d v="2025-04-16T00:00:00"/>
    <d v="2025-07-18T00:00:00"/>
    <x v="64"/>
    <e v="#N/A"/>
    <m/>
    <m/>
    <m/>
    <m/>
  </r>
  <r>
    <n v="1800006945"/>
    <s v="DR"/>
    <d v="2025-04-16T00:00:00"/>
    <d v="2025-04-17T00:00:00"/>
    <x v="2"/>
    <n v="256779411836"/>
    <s v="212100"/>
    <s v="Trade Debtors (Ctrl)"/>
    <s v=""/>
    <s v="01"/>
    <s v="USD"/>
    <n v="188.95"/>
    <s v="INR"/>
    <n v="16423.88"/>
    <s v="O0"/>
    <s v="6779224500"/>
    <s v=""/>
    <s v="NA"/>
    <s v="1"/>
    <s v="Outbound Handling charges for Dec 2024"/>
    <s v=""/>
    <s v=""/>
    <s v=""/>
    <d v="2025-04-16T00:00:00"/>
    <d v="2025-07-18T00:00:00"/>
    <x v="66"/>
    <e v="#N/A"/>
    <m/>
    <m/>
    <m/>
    <m/>
  </r>
  <r>
    <n v="1800006946"/>
    <s v="DR"/>
    <d v="2025-04-16T00:00:00"/>
    <d v="2025-04-17T00:00:00"/>
    <x v="2"/>
    <n v="256779411837"/>
    <s v="212100"/>
    <s v="Trade Debtors (Ctrl)"/>
    <s v=""/>
    <s v="01"/>
    <s v="USD"/>
    <n v="54"/>
    <s v="INR"/>
    <n v="4693.78"/>
    <s v="O0"/>
    <s v="6779224500"/>
    <s v=""/>
    <s v="NA"/>
    <s v="1"/>
    <s v="CY - CY charges for Dec 2024"/>
    <s v=""/>
    <s v=""/>
    <s v=""/>
    <d v="2025-04-16T00:00:00"/>
    <d v="2025-07-18T00:00:00"/>
    <x v="67"/>
    <e v="#N/A"/>
    <m/>
    <m/>
    <m/>
    <m/>
  </r>
  <r>
    <n v="1800006947"/>
    <s v="DR"/>
    <d v="2025-04-16T00:00:00"/>
    <d v="2025-04-17T00:00:00"/>
    <x v="2"/>
    <n v="256779411838"/>
    <s v="212100"/>
    <s v="Trade Debtors (Ctrl)"/>
    <s v=""/>
    <s v="01"/>
    <s v="USD"/>
    <n v="86.4"/>
    <s v="INR"/>
    <n v="7510.05"/>
    <s v="O0"/>
    <s v="6779224500"/>
    <s v=""/>
    <s v="NA"/>
    <s v="1"/>
    <s v="LOLO charges for Dec 2024"/>
    <s v=""/>
    <s v=""/>
    <s v=""/>
    <d v="2025-04-16T00:00:00"/>
    <d v="2025-07-18T00:00:00"/>
    <x v="68"/>
    <e v="#N/A"/>
    <m/>
    <m/>
    <m/>
    <m/>
  </r>
  <r>
    <n v="1800007231"/>
    <s v="DR"/>
    <d v="2025-04-16T00:00:00"/>
    <d v="2025-04-17T00:00:00"/>
    <x v="2"/>
    <n v="256779412122"/>
    <s v="212100"/>
    <s v="Trade Debtors (Ctrl)"/>
    <s v=""/>
    <s v="01"/>
    <s v="USD"/>
    <n v="583.67999999999995"/>
    <s v="INR"/>
    <n v="50734.53"/>
    <s v="O0"/>
    <s v="6779224500"/>
    <s v=""/>
    <s v="NA"/>
    <s v="1"/>
    <s v="Storage Charges Mar, 25"/>
    <s v=""/>
    <s v=""/>
    <s v=""/>
    <d v="2025-04-16T00:00:00"/>
    <d v="2025-11-18T00:00:00"/>
    <x v="6"/>
    <n v="50734.527897599997"/>
    <n v="5073"/>
    <n v="45661.527897599997"/>
    <n v="2.10240000160411E-3"/>
    <n v="9.9991071169871881E-2"/>
  </r>
  <r>
    <n v="1800007146"/>
    <s v="DR"/>
    <d v="2025-04-16T00:00:00"/>
    <d v="2025-04-17T00:00:00"/>
    <x v="2"/>
    <n v="256779412037"/>
    <s v="212100"/>
    <s v="Trade Debtors (Ctrl)"/>
    <s v=""/>
    <s v="01"/>
    <s v="USD"/>
    <n v="25.17"/>
    <s v="INR"/>
    <n v="2187.8200000000002"/>
    <s v="O0"/>
    <s v="6779224500"/>
    <s v=""/>
    <s v="NA"/>
    <s v="1"/>
    <s v="VAS Activity - Feb 25, Ex Rate. 87.40"/>
    <s v=""/>
    <s v=""/>
    <s v=""/>
    <d v="2025-04-16T00:00:00"/>
    <m/>
    <x v="0"/>
    <n v="2187.8222094000002"/>
    <n v="44"/>
    <n v="2143.8222094000002"/>
    <n v="-2.2094000000834058E-3"/>
    <n v="2.0111343712005555E-2"/>
  </r>
  <r>
    <n v="1800006367"/>
    <s v="DR"/>
    <d v="2025-04-16T00:00:00"/>
    <d v="2025-04-16T00:00:00"/>
    <x v="2"/>
    <n v="256779411258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68"/>
    <s v="DR"/>
    <d v="2025-04-16T00:00:00"/>
    <d v="2025-04-16T00:00:00"/>
    <x v="2"/>
    <n v="256779411259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69"/>
    <s v="DR"/>
    <d v="2025-04-16T00:00:00"/>
    <d v="2025-04-16T00:00:00"/>
    <x v="2"/>
    <n v="256779411260"/>
    <s v="212100"/>
    <s v="Trade Debtors (Ctrl)"/>
    <s v=""/>
    <s v="01"/>
    <s v="USD"/>
    <n v="137.68"/>
    <s v="INR"/>
    <n v="11967.4"/>
    <s v="O0"/>
    <s v=""/>
    <s v=""/>
    <s v="NA"/>
    <s v="1"/>
    <s v="Outbound Handling Charges Aug 2024"/>
    <s v=""/>
    <s v=""/>
    <s v=""/>
    <d v="2025-04-16T00:00:00"/>
    <m/>
    <x v="0"/>
    <n v="11967.3961776"/>
    <n v="239"/>
    <n v="11728.3961776"/>
    <n v="3.8223999999900116E-3"/>
    <n v="1.9970921002055584E-2"/>
  </r>
  <r>
    <n v="1800006370"/>
    <s v="DR"/>
    <d v="2025-04-16T00:00:00"/>
    <d v="2025-04-16T00:00:00"/>
    <x v="2"/>
    <n v="256779411261"/>
    <s v="212100"/>
    <s v="Trade Debtors (Ctrl)"/>
    <s v=""/>
    <s v="01"/>
    <s v="USD"/>
    <n v="275.35000000000002"/>
    <s v="INR"/>
    <n v="23933.919999999998"/>
    <s v="O0"/>
    <s v=""/>
    <s v=""/>
    <s v="NA"/>
    <s v="1"/>
    <s v="Outbound Handling Charges Aug 2024"/>
    <s v=""/>
    <s v=""/>
    <s v=""/>
    <d v="2025-04-16T00:00:00"/>
    <m/>
    <x v="0"/>
    <n v="23933.923136999998"/>
    <n v="478"/>
    <n v="23455.923136999998"/>
    <n v="-3.1369999996968545E-3"/>
    <n v="1.9971655290900947E-2"/>
  </r>
  <r>
    <n v="1800006116"/>
    <s v="DR"/>
    <d v="2025-04-15T00:00:00"/>
    <d v="2025-04-16T00:00:00"/>
    <x v="2"/>
    <n v="256779411007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6117"/>
    <s v="DR"/>
    <d v="2025-04-15T00:00:00"/>
    <d v="2025-04-16T00:00:00"/>
    <x v="2"/>
    <n v="256779411008"/>
    <s v="212100"/>
    <s v="Trade Debtors (Ctrl)"/>
    <s v=""/>
    <s v="01"/>
    <s v="USD"/>
    <n v="328.15"/>
    <s v="INR"/>
    <n v="28523.4"/>
    <s v="O0"/>
    <s v=""/>
    <s v=""/>
    <s v="NA"/>
    <s v="1"/>
    <s v="LCL Charges August 2024"/>
    <s v=""/>
    <s v=""/>
    <s v=""/>
    <d v="2025-04-15T00:00:00"/>
    <m/>
    <x v="0"/>
    <n v="28523.395233000003"/>
    <n v="570"/>
    <n v="27953.395233000003"/>
    <n v="4.7669999985373579E-3"/>
    <n v="1.9983592418856097E-2"/>
  </r>
  <r>
    <n v="1800006118"/>
    <s v="DR"/>
    <d v="2025-04-15T00:00:00"/>
    <d v="2025-04-16T00:00:00"/>
    <x v="2"/>
    <n v="256779411009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6119"/>
    <s v="DR"/>
    <d v="2025-04-15T00:00:00"/>
    <d v="2025-04-16T00:00:00"/>
    <x v="2"/>
    <n v="256779411010"/>
    <s v="212100"/>
    <s v="Trade Debtors (Ctrl)"/>
    <s v=""/>
    <s v="01"/>
    <s v="USD"/>
    <n v="164.08"/>
    <s v="INR"/>
    <n v="14262.13"/>
    <s v="O0"/>
    <s v=""/>
    <s v=""/>
    <s v="NA"/>
    <s v="1"/>
    <s v="LCL Charges August 2024"/>
    <s v=""/>
    <s v=""/>
    <s v=""/>
    <d v="2025-04-15T00:00:00"/>
    <m/>
    <x v="0"/>
    <n v="14262.132225600002"/>
    <n v="285"/>
    <n v="13977.132225600002"/>
    <n v="-2.2256000029301504E-3"/>
    <n v="1.9982989918055718E-2"/>
  </r>
  <r>
    <n v="1800005927"/>
    <s v="DR"/>
    <d v="2025-04-04T00:00:00"/>
    <d v="2025-04-05T00:00:00"/>
    <x v="2"/>
    <n v="256779410818"/>
    <s v="212100"/>
    <s v="Trade Debtors (Ctrl)"/>
    <s v=""/>
    <s v="01"/>
    <s v="USD"/>
    <n v="1231.96"/>
    <s v="INR"/>
    <n v="107084.21"/>
    <s v="O0"/>
    <s v=""/>
    <s v=""/>
    <s v="NA"/>
    <s v="1"/>
    <s v="Storage Charges Jan, 25"/>
    <s v=""/>
    <s v=""/>
    <s v=""/>
    <d v="2025-04-04T00:00:00"/>
    <d v="2025-07-18T00:00:00"/>
    <x v="65"/>
    <e v="#N/A"/>
    <m/>
    <m/>
    <m/>
    <m/>
  </r>
  <r>
    <n v="1800005909"/>
    <s v="DR"/>
    <d v="2025-04-04T00:00:00"/>
    <d v="2025-04-05T00:00:00"/>
    <x v="2"/>
    <n v="256779410800"/>
    <s v="212100"/>
    <s v="Trade Debtors (Ctrl)"/>
    <s v=""/>
    <s v="01"/>
    <s v="USD"/>
    <n v="364.8"/>
    <s v="INR"/>
    <n v="31709.08"/>
    <s v="O0"/>
    <s v=""/>
    <s v=""/>
    <s v="NA"/>
    <s v="1"/>
    <s v="Storage Charges Feb, 25"/>
    <s v=""/>
    <s v=""/>
    <s v=""/>
    <d v="2025-04-04T00:00:00"/>
    <d v="2025-10-16T00:00:00"/>
    <x v="10"/>
    <n v="31709.079935999998"/>
    <n v="3171"/>
    <n v="28538.079935999998"/>
    <n v="6.400000347639434E-5"/>
    <n v="0.10000290137714496"/>
  </r>
  <r>
    <n v="1800005093"/>
    <s v="DR"/>
    <d v="2025-04-03T00:00:00"/>
    <d v="2025-04-05T00:00:00"/>
    <x v="2"/>
    <n v="256779410039"/>
    <s v="212100"/>
    <s v="Trade Debtors (Ctrl)"/>
    <s v=""/>
    <s v="01"/>
    <s v="USD"/>
    <n v="283.43"/>
    <s v="INR"/>
    <n v="24636.25"/>
    <s v="O0"/>
    <s v=""/>
    <s v=""/>
    <s v="NA"/>
    <s v="1"/>
    <s v="Inbound Handling charges for Mar 2025"/>
    <s v=""/>
    <s v=""/>
    <s v=""/>
    <d v="2025-04-03T00:00:00"/>
    <d v="2025-10-16T00:00:00"/>
    <x v="10"/>
    <n v="24636.251442599998"/>
    <n v="493"/>
    <n v="24143.251442599998"/>
    <n v="-1.4425999979721382E-3"/>
    <n v="2.001116241311076E-2"/>
  </r>
  <r>
    <n v="1800005094"/>
    <s v="DR"/>
    <d v="2025-04-03T00:00:00"/>
    <d v="2025-04-05T00:00:00"/>
    <x v="2"/>
    <n v="256779410040"/>
    <s v="212100"/>
    <s v="Trade Debtors (Ctrl)"/>
    <s v=""/>
    <s v="01"/>
    <s v="USD"/>
    <n v="79.2"/>
    <s v="INR"/>
    <n v="6884.21"/>
    <s v="O0"/>
    <s v=""/>
    <s v=""/>
    <s v="NA"/>
    <s v="1"/>
    <s v="LCL charges for Mar 2025"/>
    <s v=""/>
    <s v=""/>
    <s v=""/>
    <d v="2025-04-03T00:00:00"/>
    <d v="2025-10-16T00:00:00"/>
    <x v="10"/>
    <n v="6884.2081440000002"/>
    <n v="138"/>
    <n v="6746.2081440000002"/>
    <n v="1.855999999861524E-3"/>
    <n v="2.0045873092192131E-2"/>
  </r>
  <r>
    <n v="1800005095"/>
    <s v="DR"/>
    <d v="2025-04-03T00:00:00"/>
    <d v="2025-04-05T00:00:00"/>
    <x v="2"/>
    <n v="256779410041"/>
    <s v="212100"/>
    <s v="Trade Debtors (Ctrl)"/>
    <s v=""/>
    <s v="01"/>
    <s v="USD"/>
    <n v="129.6"/>
    <s v="INR"/>
    <n v="11265.07"/>
    <s v="O0"/>
    <s v=""/>
    <s v=""/>
    <s v="NA"/>
    <s v="1"/>
    <s v="LOLO charges for Mar 2025"/>
    <s v=""/>
    <s v=""/>
    <s v=""/>
    <d v="2025-04-03T00:00:00"/>
    <d v="2025-10-16T00:00:00"/>
    <x v="10"/>
    <n v="11265.067872"/>
    <n v="225"/>
    <n v="11040.067872"/>
    <n v="2.1280000000842847E-3"/>
    <n v="1.9973244729060716E-2"/>
  </r>
  <r>
    <n v="1800005156"/>
    <s v="DR"/>
    <d v="2025-04-03T00:00:00"/>
    <d v="2025-04-05T00:00:00"/>
    <x v="2"/>
    <n v="256779410102"/>
    <s v="212100"/>
    <s v="Trade Debtors (Ctrl)"/>
    <s v=""/>
    <s v="01"/>
    <s v="USD"/>
    <n v="283.43"/>
    <s v="INR"/>
    <n v="24636.25"/>
    <s v="O0"/>
    <s v=""/>
    <s v=""/>
    <s v="NA"/>
    <s v="1"/>
    <s v="Outbound Handling charges for Mar 25"/>
    <s v=""/>
    <s v=""/>
    <s v=""/>
    <d v="2025-04-03T00:00:00"/>
    <d v="2025-10-16T00:00:00"/>
    <x v="10"/>
    <n v="24636.251442599998"/>
    <n v="493"/>
    <n v="24143.251442599998"/>
    <n v="-1.4425999979721382E-3"/>
    <n v="2.001116241311076E-2"/>
  </r>
  <r>
    <n v="1800005158"/>
    <s v="DR"/>
    <d v="2025-04-03T00:00:00"/>
    <d v="2025-04-05T00:00:00"/>
    <x v="2"/>
    <n v="256779410104"/>
    <s v="212100"/>
    <s v="Trade Debtors (Ctrl)"/>
    <s v=""/>
    <s v="01"/>
    <s v="USD"/>
    <n v="129.6"/>
    <s v="INR"/>
    <n v="11265.07"/>
    <s v="O0"/>
    <s v=""/>
    <s v=""/>
    <s v="NA"/>
    <s v="1"/>
    <s v="LOLO charges for Mar 25"/>
    <s v=""/>
    <s v=""/>
    <s v=""/>
    <d v="2025-04-03T00:00:00"/>
    <d v="2025-10-16T00:00:00"/>
    <x v="10"/>
    <n v="11265.067872"/>
    <n v="225"/>
    <n v="11040.067872"/>
    <n v="2.1280000000842847E-3"/>
    <n v="1.9973244729060716E-2"/>
  </r>
  <r>
    <n v="1800005291"/>
    <s v="DR"/>
    <d v="2025-04-03T00:00:00"/>
    <d v="2025-04-05T00:00:00"/>
    <x v="2"/>
    <n v="256779410183"/>
    <s v="212100"/>
    <s v="Trade Debtors (Ctrl)"/>
    <s v=""/>
    <s v="01"/>
    <s v="USD"/>
    <n v="75.849999999999994"/>
    <s v="INR"/>
    <n v="6593.02"/>
    <s v="O0"/>
    <s v=""/>
    <s v=""/>
    <s v="NA"/>
    <s v="1"/>
    <s v="VAS Activity -1 -15 Mar 25, Ex Rate. 87.01"/>
    <s v=""/>
    <s v=""/>
    <s v=""/>
    <d v="2025-04-03T00:00:00"/>
    <d v="2025-10-16T00:00:00"/>
    <x v="10"/>
    <n v="6593.0200469999991"/>
    <n v="132"/>
    <n v="6461.0200469999991"/>
    <n v="-4.6999998630781192E-5"/>
    <n v="2.0021173908163482E-2"/>
  </r>
  <r>
    <n v="1800005096"/>
    <s v="DR"/>
    <d v="2025-04-03T00:00:00"/>
    <d v="2025-04-05T00:00:00"/>
    <x v="2"/>
    <n v="256779410042"/>
    <s v="212100"/>
    <s v="Trade Debtors (Ctrl)"/>
    <s v=""/>
    <s v="01"/>
    <s v="USD"/>
    <n v="270"/>
    <s v="INR"/>
    <n v="23468.89"/>
    <s v="O0"/>
    <s v=""/>
    <s v=""/>
    <s v="NA"/>
    <s v="1"/>
    <s v="Empty Cont. Outbound charges for Mar 2025"/>
    <s v=""/>
    <s v=""/>
    <s v=""/>
    <d v="2025-04-03T00:00:00"/>
    <m/>
    <x v="0"/>
    <n v="23468.8914"/>
    <n v="469"/>
    <n v="22999.8914"/>
    <n v="-1.4000000010128133E-3"/>
    <n v="1.9983902093367006E-2"/>
  </r>
  <r>
    <n v="1800005157"/>
    <s v="DR"/>
    <d v="2025-04-03T00:00:00"/>
    <d v="2025-04-05T00:00:00"/>
    <x v="2"/>
    <n v="256779410103"/>
    <s v="212100"/>
    <s v="Trade Debtors (Ctrl)"/>
    <s v=""/>
    <s v="01"/>
    <s v="USD"/>
    <n v="81"/>
    <s v="INR"/>
    <n v="7040.67"/>
    <s v="O0"/>
    <s v=""/>
    <s v=""/>
    <s v="NA"/>
    <s v="1"/>
    <s v="CY - CY charges for Mar 25"/>
    <s v=""/>
    <s v=""/>
    <s v=""/>
    <d v="2025-04-03T00:00:00"/>
    <m/>
    <x v="0"/>
    <n v="7040.6674199999998"/>
    <n v="141"/>
    <n v="6899.6674199999998"/>
    <n v="2.5800000003073364E-3"/>
    <n v="2.0026503159500445E-2"/>
  </r>
  <r>
    <n v="1800004394"/>
    <s v="DR"/>
    <d v="2025-03-21T00:00:00"/>
    <d v="2025-03-21T00:00:00"/>
    <x v="2"/>
    <n v="246779414262"/>
    <s v="212100"/>
    <s v="Trade Debtors (Ctrl)"/>
    <s v=""/>
    <s v="01"/>
    <s v="USD"/>
    <n v="345.6"/>
    <s v="INR"/>
    <n v="29960.5"/>
    <s v="O0"/>
    <s v="6779224500"/>
    <s v=""/>
    <s v="NA"/>
    <s v="1"/>
    <s v="LOLO Charges for Oct 2024"/>
    <s v=""/>
    <s v=""/>
    <s v=""/>
    <d v="2025-03-21T00:00:00"/>
    <d v="2025-07-18T00:00:00"/>
    <x v="59"/>
    <e v="#N/A"/>
    <m/>
    <m/>
    <m/>
    <m/>
  </r>
  <r>
    <n v="1800004395"/>
    <s v="DR"/>
    <d v="2025-03-21T00:00:00"/>
    <d v="2025-03-21T00:00:00"/>
    <x v="2"/>
    <n v="246779414263"/>
    <s v="212100"/>
    <s v="Trade Debtors (Ctrl)"/>
    <s v=""/>
    <s v="01"/>
    <s v="USD"/>
    <n v="755.81"/>
    <s v="INR"/>
    <n v="65522.12"/>
    <s v="O0"/>
    <s v="6779224500"/>
    <s v=""/>
    <s v="NA"/>
    <s v="1"/>
    <s v="Inbound Handling charges for Oct 2024"/>
    <s v=""/>
    <s v=""/>
    <s v=""/>
    <d v="2025-03-21T00:00:00"/>
    <d v="2025-07-18T00:00:00"/>
    <x v="60"/>
    <e v="#N/A"/>
    <m/>
    <m/>
    <m/>
    <m/>
  </r>
  <r>
    <n v="1800004396"/>
    <s v="DR"/>
    <d v="2025-03-21T00:00:00"/>
    <d v="2025-03-21T00:00:00"/>
    <x v="2"/>
    <n v="246779414264"/>
    <s v="212100"/>
    <s v="Trade Debtors (Ctrl)"/>
    <s v=""/>
    <s v="01"/>
    <s v="USD"/>
    <n v="211.2"/>
    <s v="INR"/>
    <n v="18309.189999999999"/>
    <s v="O0"/>
    <s v="6779224500"/>
    <s v=""/>
    <s v="NA"/>
    <s v="1"/>
    <s v="LCL Movement Charges for Oct 2024"/>
    <s v=""/>
    <s v=""/>
    <s v=""/>
    <d v="2025-03-21T00:00:00"/>
    <d v="2025-07-18T00:00:00"/>
    <x v="61"/>
    <e v="#N/A"/>
    <m/>
    <m/>
    <m/>
    <m/>
  </r>
  <r>
    <n v="1800004768"/>
    <s v="DR"/>
    <d v="2025-03-20T00:00:00"/>
    <d v="2025-03-21T00:00:00"/>
    <x v="2"/>
    <n v="246779414636"/>
    <s v="212100"/>
    <s v="Trade Debtors (Ctrl)"/>
    <s v=""/>
    <s v="01"/>
    <s v="USD"/>
    <n v="162"/>
    <s v="INR"/>
    <n v="14043.98"/>
    <s v="O0"/>
    <s v="6779224500"/>
    <s v=""/>
    <s v="NA"/>
    <s v="1"/>
    <s v="CY-MOVEMENT CHARGES for Nov 2024"/>
    <s v=""/>
    <s v=""/>
    <s v=""/>
    <d v="2025-03-20T00:00:00"/>
    <d v="2025-07-18T00:00:00"/>
    <x v="20"/>
    <e v="#N/A"/>
    <m/>
    <m/>
    <m/>
    <m/>
  </r>
  <r>
    <n v="1800004150"/>
    <s v="DR"/>
    <d v="2025-03-20T00:00:00"/>
    <d v="2025-03-21T00:00:00"/>
    <x v="2"/>
    <n v="246779414018"/>
    <s v="212100"/>
    <s v="Trade Debtors (Ctrl)"/>
    <s v=""/>
    <s v="01"/>
    <s v="USD"/>
    <n v="254.08"/>
    <s v="INR"/>
    <n v="22026.52"/>
    <s v="O0"/>
    <s v="6779224500"/>
    <s v=""/>
    <s v="NA"/>
    <s v="1"/>
    <s v="Inbound Handling charges for Jan 2025"/>
    <s v=""/>
    <s v=""/>
    <s v=""/>
    <d v="2025-03-20T00:00:00"/>
    <d v="2025-07-18T00:00:00"/>
    <x v="21"/>
    <e v="#N/A"/>
    <m/>
    <m/>
    <m/>
    <m/>
  </r>
  <r>
    <n v="1800004695"/>
    <s v="DR"/>
    <d v="2025-03-20T00:00:00"/>
    <d v="2025-03-21T00:00:00"/>
    <x v="2"/>
    <n v="246779414563"/>
    <s v="212100"/>
    <s v="Trade Debtors (Ctrl)"/>
    <s v=""/>
    <s v="01"/>
    <s v="USD"/>
    <n v="345.6"/>
    <s v="INR"/>
    <n v="29960.5"/>
    <s v="O0"/>
    <s v="6779224500"/>
    <s v=""/>
    <s v="NA"/>
    <s v="1"/>
    <s v="LOLO Charges for Oct 2024"/>
    <s v=""/>
    <s v=""/>
    <s v=""/>
    <d v="2025-03-20T00:00:00"/>
    <d v="2025-07-18T00:00:00"/>
    <x v="22"/>
    <e v="#N/A"/>
    <m/>
    <m/>
    <m/>
    <m/>
  </r>
  <r>
    <n v="1800004696"/>
    <s v="DR"/>
    <d v="2025-03-20T00:00:00"/>
    <d v="2025-03-21T00:00:00"/>
    <x v="2"/>
    <n v="246779414564"/>
    <s v="212100"/>
    <s v="Trade Debtors (Ctrl)"/>
    <s v=""/>
    <s v="01"/>
    <s v="USD"/>
    <n v="216"/>
    <s v="INR"/>
    <n v="18725.310000000001"/>
    <s v="O0"/>
    <s v="6779224500"/>
    <s v=""/>
    <s v="NA"/>
    <s v="1"/>
    <s v="CY-MOVEMENT CHARGES for Oct 2024"/>
    <s v=""/>
    <s v=""/>
    <s v=""/>
    <d v="2025-03-20T00:00:00"/>
    <d v="2025-07-18T00:00:00"/>
    <x v="23"/>
    <e v="#N/A"/>
    <m/>
    <m/>
    <m/>
    <m/>
  </r>
  <r>
    <n v="1800004697"/>
    <s v="DR"/>
    <d v="2025-03-20T00:00:00"/>
    <d v="2025-03-21T00:00:00"/>
    <x v="2"/>
    <n v="246779414565"/>
    <s v="212100"/>
    <s v="Trade Debtors (Ctrl)"/>
    <s v=""/>
    <s v="01"/>
    <s v="USD"/>
    <n v="755.81"/>
    <s v="INR"/>
    <n v="65522.12"/>
    <s v="O0"/>
    <s v="6779224500"/>
    <s v=""/>
    <s v="NA"/>
    <s v="1"/>
    <s v="Outbound Handling charges for Oct 2024"/>
    <s v=""/>
    <s v=""/>
    <s v=""/>
    <d v="2025-03-20T00:00:00"/>
    <d v="2025-07-18T00:00:00"/>
    <x v="24"/>
    <e v="#N/A"/>
    <m/>
    <m/>
    <m/>
    <m/>
  </r>
  <r>
    <n v="1800004766"/>
    <s v="DR"/>
    <d v="2025-03-20T00:00:00"/>
    <d v="2025-03-21T00:00:00"/>
    <x v="2"/>
    <n v="246779414634"/>
    <s v="212100"/>
    <s v="Trade Debtors (Ctrl)"/>
    <s v=""/>
    <s v="01"/>
    <s v="USD"/>
    <n v="259.2"/>
    <s v="INR"/>
    <n v="22470.37"/>
    <s v="O0"/>
    <s v="6779224500"/>
    <s v=""/>
    <s v="NA"/>
    <s v="1"/>
    <s v="LOLO Charges for Nov 2024"/>
    <s v=""/>
    <s v=""/>
    <s v=""/>
    <d v="2025-03-20T00:00:00"/>
    <d v="2025-07-18T00:00:00"/>
    <x v="25"/>
    <e v="#N/A"/>
    <m/>
    <m/>
    <m/>
    <m/>
  </r>
  <r>
    <n v="1800004767"/>
    <s v="DR"/>
    <d v="2025-03-20T00:00:00"/>
    <d v="2025-03-21T00:00:00"/>
    <x v="2"/>
    <n v="246779414635"/>
    <s v="212100"/>
    <s v="Trade Debtors (Ctrl)"/>
    <s v=""/>
    <s v="01"/>
    <s v="USD"/>
    <n v="566.86"/>
    <s v="INR"/>
    <n v="49141.81"/>
    <s v="O0"/>
    <s v="6779224500"/>
    <s v=""/>
    <s v="NA"/>
    <s v="1"/>
    <s v="Outbound Handling charges for Nov 2024"/>
    <s v=""/>
    <s v=""/>
    <s v=""/>
    <d v="2025-03-20T00:00:00"/>
    <d v="2025-07-18T00:00:00"/>
    <x v="26"/>
    <e v="#N/A"/>
    <m/>
    <m/>
    <m/>
    <m/>
  </r>
  <r>
    <n v="1800004841"/>
    <s v="DR"/>
    <d v="2025-03-20T00:00:00"/>
    <d v="2025-03-21T00:00:00"/>
    <x v="2"/>
    <n v="246779414709"/>
    <s v="212100"/>
    <s v="Trade Debtors (Ctrl)"/>
    <s v=""/>
    <s v="01"/>
    <s v="USD"/>
    <n v="63.98"/>
    <s v="INR"/>
    <n v="5546.51"/>
    <s v="O0"/>
    <s v="6779224500"/>
    <s v=""/>
    <s v="NA"/>
    <s v="1"/>
    <s v="Outbound Handling charges for Jan 2025"/>
    <s v=""/>
    <s v=""/>
    <s v=""/>
    <d v="2025-03-20T00:00:00"/>
    <d v="2025-07-18T00:00:00"/>
    <x v="27"/>
    <e v="#N/A"/>
    <m/>
    <m/>
    <m/>
    <m/>
  </r>
  <r>
    <n v="1800004842"/>
    <s v="DR"/>
    <d v="2025-03-20T00:00:00"/>
    <d v="2025-03-21T00:00:00"/>
    <x v="2"/>
    <n v="246779414710"/>
    <s v="212100"/>
    <s v="Trade Debtors (Ctrl)"/>
    <s v=""/>
    <s v="01"/>
    <s v="USD"/>
    <n v="31.99"/>
    <s v="INR"/>
    <n v="2773.25"/>
    <s v="O0"/>
    <s v="6779224500"/>
    <s v=""/>
    <s v="NA"/>
    <s v="1"/>
    <s v="Loose Loading Handling charges for Jan 2025"/>
    <s v=""/>
    <s v=""/>
    <s v=""/>
    <d v="2025-03-20T00:00:00"/>
    <d v="2025-07-18T00:00:00"/>
    <x v="28"/>
    <e v="#N/A"/>
    <m/>
    <m/>
    <m/>
    <m/>
  </r>
  <r>
    <n v="1800003945"/>
    <s v="DR"/>
    <d v="2025-03-20T00:00:00"/>
    <d v="2025-03-21T00:00:00"/>
    <x v="2"/>
    <n v="246779413974"/>
    <s v="212100"/>
    <s v="Trade Debtors (Ctrl)"/>
    <s v=""/>
    <s v="01"/>
    <s v="USD"/>
    <n v="39.26"/>
    <s v="INR"/>
    <n v="3403.5"/>
    <s v="O0"/>
    <s v="6779224500"/>
    <s v=""/>
    <s v="NA"/>
    <s v="1"/>
    <s v="Detention Charges for JAN 2025 Exch. Rate 86.60"/>
    <s v=""/>
    <s v=""/>
    <s v=""/>
    <d v="2025-03-20T00:00:00"/>
    <d v="2025-07-18T00:00:00"/>
    <x v="29"/>
    <e v="#N/A"/>
    <m/>
    <m/>
    <m/>
    <m/>
  </r>
  <r>
    <n v="1800004216"/>
    <s v="DR"/>
    <d v="2025-03-20T00:00:00"/>
    <d v="2025-03-21T00:00:00"/>
    <x v="2"/>
    <n v="246779414084"/>
    <s v="212100"/>
    <s v="Trade Debtors (Ctrl)"/>
    <s v=""/>
    <s v="01"/>
    <s v="USD"/>
    <n v="755.81"/>
    <s v="INR"/>
    <n v="65522.12"/>
    <s v="O0"/>
    <s v="6779224500"/>
    <s v=""/>
    <s v="NA"/>
    <s v="1"/>
    <s v="Inbound Handling charges for Sep 2024"/>
    <s v=""/>
    <s v=""/>
    <s v=""/>
    <d v="2025-03-20T00:00:00"/>
    <d v="2025-07-18T00:00:00"/>
    <x v="30"/>
    <e v="#N/A"/>
    <m/>
    <m/>
    <m/>
    <m/>
  </r>
  <r>
    <n v="1800004217"/>
    <s v="DR"/>
    <d v="2025-03-20T00:00:00"/>
    <d v="2025-03-21T00:00:00"/>
    <x v="2"/>
    <n v="246779414085"/>
    <s v="212100"/>
    <s v="Trade Debtors (Ctrl)"/>
    <s v=""/>
    <s v="01"/>
    <s v="USD"/>
    <n v="211.2"/>
    <s v="INR"/>
    <n v="18309.189999999999"/>
    <s v="O0"/>
    <s v="6779224500"/>
    <s v=""/>
    <s v="NA"/>
    <s v="1"/>
    <s v="LCL charges for Sep 2024"/>
    <s v=""/>
    <s v=""/>
    <s v=""/>
    <d v="2025-03-20T00:00:00"/>
    <d v="2025-07-18T00:00:00"/>
    <x v="31"/>
    <e v="#N/A"/>
    <m/>
    <m/>
    <m/>
    <m/>
  </r>
  <r>
    <n v="1800004218"/>
    <s v="DR"/>
    <d v="2025-03-20T00:00:00"/>
    <d v="2025-03-21T00:00:00"/>
    <x v="2"/>
    <n v="246779414086"/>
    <s v="212100"/>
    <s v="Trade Debtors (Ctrl)"/>
    <s v=""/>
    <s v="01"/>
    <s v="USD"/>
    <n v="345.6"/>
    <s v="INR"/>
    <n v="29960.5"/>
    <s v="O0"/>
    <s v="6779224500"/>
    <s v=""/>
    <s v="NA"/>
    <s v="1"/>
    <s v="LOLO charges for Jan Sep 2024"/>
    <s v=""/>
    <s v=""/>
    <s v=""/>
    <d v="2025-03-20T00:00:00"/>
    <d v="2025-07-18T00:00:00"/>
    <x v="32"/>
    <e v="#N/A"/>
    <m/>
    <m/>
    <m/>
    <m/>
  </r>
  <r>
    <n v="1800004311"/>
    <s v="DR"/>
    <d v="2025-03-20T00:00:00"/>
    <d v="2025-03-21T00:00:00"/>
    <x v="2"/>
    <n v="246779414179"/>
    <s v="212100"/>
    <s v="Trade Debtors (Ctrl)"/>
    <s v=""/>
    <s v="01"/>
    <s v="USD"/>
    <n v="283.43"/>
    <s v="INR"/>
    <n v="24570.9"/>
    <s v="O0"/>
    <s v="6779224500"/>
    <s v=""/>
    <s v="NA"/>
    <s v="1"/>
    <s v="Outbound Handling charges for Sep 2024"/>
    <s v=""/>
    <s v=""/>
    <s v=""/>
    <d v="2025-03-20T00:00:00"/>
    <d v="2025-07-18T00:00:00"/>
    <x v="33"/>
    <e v="#N/A"/>
    <m/>
    <m/>
    <m/>
    <m/>
  </r>
  <r>
    <n v="1800004312"/>
    <s v="DR"/>
    <d v="2025-03-20T00:00:00"/>
    <d v="2025-03-21T00:00:00"/>
    <x v="2"/>
    <n v="246779414180"/>
    <s v="212100"/>
    <s v="Trade Debtors (Ctrl)"/>
    <s v=""/>
    <s v="01"/>
    <s v="USD"/>
    <n v="81"/>
    <s v="INR"/>
    <n v="7021.99"/>
    <s v="O0"/>
    <s v="6779224500"/>
    <s v=""/>
    <s v="NA"/>
    <s v="1"/>
    <s v="CY - CY charges for Sep 2024"/>
    <s v=""/>
    <s v=""/>
    <s v=""/>
    <d v="2025-03-20T00:00:00"/>
    <d v="2025-07-18T00:00:00"/>
    <x v="34"/>
    <e v="#N/A"/>
    <m/>
    <m/>
    <m/>
    <m/>
  </r>
  <r>
    <n v="1800004313"/>
    <s v="DR"/>
    <d v="2025-03-20T00:00:00"/>
    <d v="2025-03-21T00:00:00"/>
    <x v="2"/>
    <n v="246779414181"/>
    <s v="212100"/>
    <s v="Trade Debtors (Ctrl)"/>
    <s v=""/>
    <s v="01"/>
    <s v="USD"/>
    <n v="129.6"/>
    <s v="INR"/>
    <n v="11235.19"/>
    <s v="O0"/>
    <s v="6779224500"/>
    <s v=""/>
    <s v="NA"/>
    <s v="1"/>
    <s v="LOLO charges for Sep 2024"/>
    <s v=""/>
    <s v=""/>
    <s v=""/>
    <d v="2025-03-20T00:00:00"/>
    <d v="2025-07-18T00:00:00"/>
    <x v="35"/>
    <e v="#N/A"/>
    <m/>
    <m/>
    <m/>
    <m/>
  </r>
  <r>
    <n v="1800004565"/>
    <s v="DR"/>
    <d v="2025-03-20T00:00:00"/>
    <d v="2025-03-21T00:00:00"/>
    <x v="2"/>
    <n v="246779414433"/>
    <s v="212100"/>
    <s v="Trade Debtors (Ctrl)"/>
    <s v=""/>
    <s v="01"/>
    <s v="USD"/>
    <n v="158.46"/>
    <s v="INR"/>
    <n v="13737.1"/>
    <s v="O0"/>
    <s v="6779224500"/>
    <s v=""/>
    <s v="NA"/>
    <s v="1"/>
    <s v="Inbound Handling charges for Jan 2025"/>
    <s v=""/>
    <s v=""/>
    <s v=""/>
    <d v="2025-03-20T00:00:00"/>
    <d v="2025-07-18T00:00:00"/>
    <x v="36"/>
    <e v="#N/A"/>
    <m/>
    <m/>
    <m/>
    <m/>
  </r>
  <r>
    <n v="1800004566"/>
    <s v="DR"/>
    <d v="2025-03-20T00:00:00"/>
    <d v="2025-03-21T00:00:00"/>
    <x v="2"/>
    <n v="246779414434"/>
    <s v="212100"/>
    <s v="Trade Debtors (Ctrl)"/>
    <s v=""/>
    <s v="01"/>
    <s v="USD"/>
    <n v="31.99"/>
    <s v="INR"/>
    <n v="2773.25"/>
    <s v="O0"/>
    <s v="6779224500"/>
    <s v=""/>
    <s v="NA"/>
    <s v="1"/>
    <s v="Loose Unloading charges for Jan 2025"/>
    <s v=""/>
    <s v=""/>
    <s v=""/>
    <d v="2025-03-20T00:00:00"/>
    <d v="2025-07-18T00:00:00"/>
    <x v="37"/>
    <e v="#N/A"/>
    <m/>
    <m/>
    <m/>
    <m/>
  </r>
  <r>
    <n v="1800004567"/>
    <s v="DR"/>
    <d v="2025-03-20T00:00:00"/>
    <d v="2025-03-21T00:00:00"/>
    <x v="2"/>
    <n v="246779414435"/>
    <s v="212100"/>
    <s v="Trade Debtors (Ctrl)"/>
    <s v=""/>
    <s v="01"/>
    <s v="USD"/>
    <n v="26.4"/>
    <s v="INR"/>
    <n v="2288.65"/>
    <s v="O0"/>
    <s v="6779224500"/>
    <s v=""/>
    <s v="NA"/>
    <s v="1"/>
    <s v="LCL charges for Jan 2025"/>
    <s v=""/>
    <s v=""/>
    <s v=""/>
    <d v="2025-03-20T00:00:00"/>
    <d v="2025-07-18T00:00:00"/>
    <x v="38"/>
    <e v="#N/A"/>
    <m/>
    <m/>
    <m/>
    <m/>
  </r>
  <r>
    <n v="1800004568"/>
    <s v="DR"/>
    <d v="2025-03-20T00:00:00"/>
    <d v="2025-03-21T00:00:00"/>
    <x v="2"/>
    <n v="246779414436"/>
    <s v="212100"/>
    <s v="Trade Debtors (Ctrl)"/>
    <s v=""/>
    <s v="01"/>
    <s v="USD"/>
    <n v="180"/>
    <s v="INR"/>
    <n v="15604.43"/>
    <s v="O0"/>
    <s v="6779224500"/>
    <s v=""/>
    <s v="NA"/>
    <s v="1"/>
    <s v="Transportation Inbound charges for Jan 2025"/>
    <s v=""/>
    <s v=""/>
    <s v=""/>
    <d v="2025-03-20T00:00:00"/>
    <d v="2025-07-18T00:00:00"/>
    <x v="39"/>
    <e v="#N/A"/>
    <m/>
    <m/>
    <m/>
    <m/>
  </r>
  <r>
    <n v="1800004569"/>
    <s v="DR"/>
    <d v="2025-03-20T00:00:00"/>
    <d v="2025-03-21T00:00:00"/>
    <x v="2"/>
    <n v="246779414437"/>
    <s v="212100"/>
    <s v="Trade Debtors (Ctrl)"/>
    <s v=""/>
    <s v="01"/>
    <s v="USD"/>
    <n v="90"/>
    <s v="INR"/>
    <n v="7802.21"/>
    <s v="O0"/>
    <s v="6779224500"/>
    <s v=""/>
    <s v="NA"/>
    <s v="1"/>
    <s v="Empty Cont Outbound charges for Jan 2025"/>
    <s v=""/>
    <s v=""/>
    <s v=""/>
    <d v="2025-03-20T00:00:00"/>
    <d v="2025-07-18T00:00:00"/>
    <x v="40"/>
    <e v="#N/A"/>
    <m/>
    <m/>
    <m/>
    <m/>
  </r>
  <r>
    <n v="1800004570"/>
    <s v="DR"/>
    <d v="2025-03-20T00:00:00"/>
    <d v="2025-03-21T00:00:00"/>
    <x v="2"/>
    <n v="246779414438"/>
    <s v="212100"/>
    <s v="Trade Debtors (Ctrl)"/>
    <s v=""/>
    <s v="01"/>
    <s v="USD"/>
    <n v="27"/>
    <s v="INR"/>
    <n v="2340.66"/>
    <s v="O0"/>
    <s v="6779224500"/>
    <s v=""/>
    <s v="NA"/>
    <s v="1"/>
    <s v="Cy-WH Destuff charges for Jan 2025"/>
    <s v=""/>
    <s v=""/>
    <s v=""/>
    <d v="2025-03-20T00:00:00"/>
    <d v="2025-07-18T00:00:00"/>
    <x v="41"/>
    <e v="#N/A"/>
    <m/>
    <m/>
    <m/>
    <m/>
  </r>
  <r>
    <n v="1800004571"/>
    <s v="DR"/>
    <d v="2025-03-20T00:00:00"/>
    <d v="2025-03-21T00:00:00"/>
    <x v="2"/>
    <n v="246779414439"/>
    <s v="212100"/>
    <s v="Trade Debtors (Ctrl)"/>
    <s v=""/>
    <s v="01"/>
    <s v="USD"/>
    <n v="86.4"/>
    <s v="INR"/>
    <n v="7490.12"/>
    <s v="O0"/>
    <s v="6779224500"/>
    <s v=""/>
    <s v="NA"/>
    <s v="1"/>
    <s v="LOLO charges for Jan 2025"/>
    <s v=""/>
    <s v=""/>
    <s v=""/>
    <d v="2025-03-20T00:00:00"/>
    <d v="2025-07-18T00:00:00"/>
    <x v="42"/>
    <e v="#N/A"/>
    <m/>
    <m/>
    <m/>
    <m/>
  </r>
  <r>
    <n v="1800004103"/>
    <s v="DR"/>
    <d v="2025-03-20T00:00:00"/>
    <d v="2025-03-21T00:00:00"/>
    <x v="2"/>
    <n v="246779413959"/>
    <s v="212100"/>
    <s v="Trade Debtors (Ctrl)"/>
    <s v=""/>
    <s v="01"/>
    <s v="USD"/>
    <n v="164.68"/>
    <s v="INR"/>
    <n v="14276.32"/>
    <s v="O0"/>
    <s v="6779224500"/>
    <s v=""/>
    <s v="NA"/>
    <s v="1"/>
    <s v="Outbound Handling charges for Feb 2025"/>
    <s v=""/>
    <s v=""/>
    <s v=""/>
    <d v="2025-03-20T00:00:00"/>
    <d v="2025-11-18T00:00:00"/>
    <x v="5"/>
    <n v="14276.316696800002"/>
    <n v="286"/>
    <n v="13990.316696800002"/>
    <n v="3.3031999973900383E-3"/>
    <n v="2.0033173815100811E-2"/>
  </r>
  <r>
    <n v="1800004104"/>
    <s v="DR"/>
    <d v="2025-03-20T00:00:00"/>
    <d v="2025-03-21T00:00:00"/>
    <x v="2"/>
    <n v="246779413960"/>
    <s v="212100"/>
    <s v="Trade Debtors (Ctrl)"/>
    <s v=""/>
    <s v="01"/>
    <s v="USD"/>
    <n v="164.68"/>
    <s v="INR"/>
    <n v="14276.32"/>
    <s v="O0"/>
    <s v="6779224500"/>
    <s v=""/>
    <s v="NA"/>
    <s v="1"/>
    <s v="Outbound Handling charges for Feb 2025"/>
    <s v=""/>
    <s v=""/>
    <s v=""/>
    <d v="2025-03-20T00:00:00"/>
    <d v="2025-11-18T00:00:00"/>
    <x v="5"/>
    <n v="14276.316696800002"/>
    <n v="286"/>
    <n v="13990.316696800002"/>
    <n v="3.3031999973900383E-3"/>
    <n v="2.0033173815100811E-2"/>
  </r>
  <r>
    <n v="1800004107"/>
    <s v="DR"/>
    <d v="2025-03-20T00:00:00"/>
    <d v="2025-03-21T00:00:00"/>
    <x v="2"/>
    <n v="246779413963"/>
    <s v="212100"/>
    <s v="Trade Debtors (Ctrl)"/>
    <s v=""/>
    <s v="01"/>
    <s v="USD"/>
    <n v="329.35"/>
    <s v="INR"/>
    <n v="28551.77"/>
    <s v="O0"/>
    <s v="6779224500"/>
    <s v=""/>
    <s v="NA"/>
    <s v="1"/>
    <s v="Outbound Handling charges for Feb 2025"/>
    <s v=""/>
    <s v=""/>
    <s v=""/>
    <d v="2025-03-20T00:00:00"/>
    <d v="2025-11-18T00:00:00"/>
    <x v="5"/>
    <n v="28551.766481000002"/>
    <n v="572"/>
    <n v="27979.766481000002"/>
    <n v="3.5189999980502762E-3"/>
    <n v="2.0033784245249944E-2"/>
  </r>
  <r>
    <n v="7000000181"/>
    <s v="XB"/>
    <d v="2025-03-17T00:00:00"/>
    <d v="2025-03-17T00:00:00"/>
    <x v="34"/>
    <s v="6779IV124000186"/>
    <s v="212100"/>
    <s v="Trade Debtors (Ctrl)"/>
    <s v=""/>
    <s v="01"/>
    <s v="INR"/>
    <n v="77748.160000000003"/>
    <s v="INR"/>
    <n v="77748.160000000003"/>
    <s v="O0"/>
    <s v="6779224500"/>
    <s v=""/>
    <s v="6779IV125000009"/>
    <s v="67"/>
    <s v="Storage Charges 1st Nov to 30th Nov 2024. USD 887."/>
    <s v="100222397"/>
    <s v=""/>
    <s v="100222397"/>
    <d v="2025-03-24T00:00:00"/>
    <d v="2025-04-25T00:00:00"/>
    <x v="71"/>
    <n v="77748.162943999996"/>
    <n v="7775"/>
    <n v="69973.162943999996"/>
    <n v="-2.9439999925671145E-3"/>
    <n v="0.10000236661549289"/>
  </r>
  <r>
    <n v="7000000181"/>
    <s v="XB"/>
    <d v="2025-03-17T00:00:00"/>
    <d v="2025-03-17T00:00:00"/>
    <x v="34"/>
    <s v="6779IV124000190"/>
    <s v="212100"/>
    <s v="Trade Debtors (Ctrl)"/>
    <s v=""/>
    <s v="01"/>
    <s v="INR"/>
    <n v="31951.3"/>
    <s v="INR"/>
    <n v="31951.3"/>
    <s v="O0"/>
    <s v="6779224500"/>
    <s v=""/>
    <s v="6779IV125000009"/>
    <s v="75"/>
    <s v="Storage Charges 1st Dec to 31st Dec 2024. USD 364."/>
    <s v="100222397"/>
    <s v=""/>
    <s v="100222397"/>
    <d v="2025-03-24T00:00:00"/>
    <d v="2025-04-25T00:00:00"/>
    <x v="72"/>
    <n v="31951.29984"/>
    <n v="3195"/>
    <n v="28756.29984"/>
    <n v="1.5999999959603883E-4"/>
    <n v="9.9995931307959307E-2"/>
  </r>
  <r>
    <n v="7000000181"/>
    <s v="XB"/>
    <d v="2025-03-17T00:00:00"/>
    <d v="2025-03-17T00:00:00"/>
    <x v="34"/>
    <s v="6779IV124000196"/>
    <s v="212100"/>
    <s v="Trade Debtors (Ctrl)"/>
    <s v=""/>
    <s v="01"/>
    <s v="INR"/>
    <n v="107902.2"/>
    <s v="INR"/>
    <n v="107902.2"/>
    <s v="O0"/>
    <s v="6779224500"/>
    <s v=""/>
    <s v="6779IV125000009"/>
    <s v="37"/>
    <s v="Storage Charges 1st Jan to 31st Jan 2025. USD 1231"/>
    <s v="100222397"/>
    <s v=""/>
    <s v="100222397"/>
    <d v="2025-03-24T00:00:00"/>
    <d v="2025-04-25T00:00:00"/>
    <x v="73"/>
    <n v="107902.20216799999"/>
    <n v="10790"/>
    <n v="97112.202167999989"/>
    <n v="-2.1679999917978421E-3"/>
    <n v="9.9997961116640818E-2"/>
  </r>
  <r>
    <n v="7000000181"/>
    <s v="XB"/>
    <d v="2025-03-17T00:00:00"/>
    <d v="2025-03-17T00:00:00"/>
    <x v="34"/>
    <s v="6779IV124000168"/>
    <s v="212100"/>
    <s v="Trade Debtors (Ctrl)"/>
    <s v=""/>
    <s v="01"/>
    <s v="INR"/>
    <n v="11561.33"/>
    <s v="INR"/>
    <n v="11561.33"/>
    <s v="O0"/>
    <s v="6779224500"/>
    <s v=""/>
    <s v="6779IV125000009"/>
    <s v="61"/>
    <s v="LCL Charges. USD 132 @ INR 87.59 per USD - GST eIn"/>
    <s v="100222397"/>
    <s v=""/>
    <s v="100222397"/>
    <d v="2025-03-24T00:00:00"/>
    <d v="2025-04-25T00:00:00"/>
    <x v="74"/>
    <n v="11561.3256"/>
    <n v="231"/>
    <n v="11330.3256"/>
    <n v="4.3999999998050043E-3"/>
    <n v="1.9980400178872156E-2"/>
  </r>
  <r>
    <n v="7000000181"/>
    <s v="XB"/>
    <d v="2025-03-17T00:00:00"/>
    <d v="2025-03-17T00:00:00"/>
    <x v="34"/>
    <s v="6779IV124000174"/>
    <s v="212100"/>
    <s v="Trade Debtors (Ctrl)"/>
    <s v=""/>
    <s v="01"/>
    <s v="INR"/>
    <n v="18498.12"/>
    <s v="INR"/>
    <n v="18498.12"/>
    <s v="O0"/>
    <s v="6779224500"/>
    <s v=""/>
    <s v="6779IV125000009"/>
    <s v="15"/>
    <s v="as per SME conformation we park prepay"/>
    <s v="100222397"/>
    <s v=""/>
    <s v="100222397"/>
    <d v="2025-03-24T00:00:00"/>
    <d v="2025-04-25T00:00:00"/>
    <x v="75"/>
    <n v="18498.120960000004"/>
    <n v="370"/>
    <n v="18128.120960000004"/>
    <n v="-9.6000000485219061E-4"/>
    <n v="2.0002032638992504E-2"/>
  </r>
  <r>
    <n v="7000000181"/>
    <s v="XB"/>
    <d v="2025-03-17T00:00:00"/>
    <d v="2025-03-17T00:00:00"/>
    <x v="34"/>
    <s v="6779IV124000181"/>
    <s v="212100"/>
    <s v="Trade Debtors (Ctrl)"/>
    <s v=""/>
    <s v="01"/>
    <s v="INR"/>
    <n v="18498.12"/>
    <s v="INR"/>
    <n v="18498.12"/>
    <s v="O0"/>
    <s v="6779224500"/>
    <s v=""/>
    <s v="6779IV125000009"/>
    <s v="31"/>
    <s v="LCL Charges. USD 211.2 @ INR 87.59 per USD - GST e"/>
    <s v="100222397"/>
    <s v=""/>
    <s v="100222397"/>
    <d v="2025-03-24T00:00:00"/>
    <d v="2025-04-25T00:00:00"/>
    <x v="76"/>
    <n v="18498.120960000004"/>
    <n v="370"/>
    <n v="18128.120960000004"/>
    <n v="-9.6000000485219061E-4"/>
    <n v="2.0002032638992504E-2"/>
  </r>
  <r>
    <n v="7000000181"/>
    <s v="XB"/>
    <d v="2025-03-17T00:00:00"/>
    <d v="2025-03-17T00:00:00"/>
    <x v="34"/>
    <s v="6779IV124000191"/>
    <s v="212100"/>
    <s v="Trade Debtors (Ctrl)"/>
    <s v=""/>
    <s v="01"/>
    <s v="INR"/>
    <n v="4624.53"/>
    <s v="INR"/>
    <n v="4624.53"/>
    <s v="O0"/>
    <s v="6779224500"/>
    <s v=""/>
    <s v="6779IV125000009"/>
    <s v="47"/>
    <s v="LCL Charges. USD 52.8 @ INR 87.59 per USD - GST eI"/>
    <s v="100222397"/>
    <s v=""/>
    <s v="100222397"/>
    <d v="2025-03-24T00:00:00"/>
    <d v="2025-04-25T00:00:00"/>
    <x v="77"/>
    <n v="4624.53024"/>
    <n v="92"/>
    <n v="4532.53024"/>
    <n v="-2.4000000030355295E-4"/>
    <n v="1.9893913543646599E-2"/>
  </r>
  <r>
    <n v="7000000181"/>
    <s v="XB"/>
    <d v="2025-03-17T00:00:00"/>
    <d v="2025-03-17T00:00:00"/>
    <x v="34"/>
    <s v="6779IV124000197"/>
    <s v="212100"/>
    <s v="Trade Debtors (Ctrl)"/>
    <s v=""/>
    <s v="01"/>
    <s v="INR"/>
    <n v="15765.44"/>
    <s v="INR"/>
    <n v="15765.44"/>
    <s v="O0"/>
    <s v="6779224500"/>
    <s v=""/>
    <s v="6779IV125000009"/>
    <s v="39"/>
    <s v="Transportation Inbound. USD 180 @ INR 87.59 per US"/>
    <s v="100222397"/>
    <s v=""/>
    <s v="100222397"/>
    <d v="2025-03-24T00:00:00"/>
    <d v="2025-04-25T00:00:00"/>
    <x v="78"/>
    <n v="15765.444000000001"/>
    <n v="315"/>
    <n v="15450.444000000001"/>
    <n v="-4.0000000008149073E-3"/>
    <n v="1.9980412852416425E-2"/>
  </r>
  <r>
    <n v="7000000181"/>
    <s v="XB"/>
    <d v="2025-03-17T00:00:00"/>
    <d v="2025-03-17T00:00:00"/>
    <x v="34"/>
    <s v="6779IV124000200"/>
    <s v="212100"/>
    <s v="Trade Debtors (Ctrl)"/>
    <s v=""/>
    <s v="01"/>
    <s v="INR"/>
    <n v="4624.53"/>
    <s v="INR"/>
    <n v="4624.53"/>
    <s v="O0"/>
    <s v="6779224500"/>
    <s v=""/>
    <s v="6779IV125000009"/>
    <s v="77"/>
    <s v="LCL Charges. USD 52.8 @ INR 87.59 per USD - GST eI"/>
    <s v="100222397"/>
    <s v=""/>
    <s v="100222397"/>
    <d v="2025-03-24T00:00:00"/>
    <d v="2025-04-25T00:00:00"/>
    <x v="79"/>
    <n v="4624.53024"/>
    <n v="92"/>
    <n v="4532.53024"/>
    <n v="-2.4000000030355295E-4"/>
    <n v="1.9893913543646599E-2"/>
  </r>
  <r>
    <n v="1800001884"/>
    <s v="DR"/>
    <d v="2025-03-17T00:00:00"/>
    <d v="2025-03-17T00:00:00"/>
    <x v="2"/>
    <n v="246779411549"/>
    <s v="212100"/>
    <s v="Trade Debtors (Ctrl)"/>
    <s v=""/>
    <s v="01"/>
    <s v="USD"/>
    <n v="78.77"/>
    <s v="INR"/>
    <n v="6828.67"/>
    <s v="O0"/>
    <s v="6779224500"/>
    <s v=""/>
    <s v="NA"/>
    <s v="1"/>
    <s v="VAS Activity Charges for the month of September, 2"/>
    <s v=""/>
    <s v=""/>
    <s v=""/>
    <d v="2025-03-17T00:00:00"/>
    <d v="2025-07-18T00:00:00"/>
    <x v="43"/>
    <e v="#N/A"/>
    <m/>
    <m/>
    <m/>
    <m/>
  </r>
  <r>
    <n v="1800001885"/>
    <s v="DR"/>
    <d v="2025-03-17T00:00:00"/>
    <d v="2025-03-17T00:00:00"/>
    <x v="2"/>
    <n v="246779411550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4"/>
    <e v="#N/A"/>
    <m/>
    <m/>
    <m/>
    <m/>
  </r>
  <r>
    <n v="1800001886"/>
    <s v="DR"/>
    <d v="2025-03-17T00:00:00"/>
    <d v="2025-03-17T00:00:00"/>
    <x v="2"/>
    <n v="246779411551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5"/>
    <e v="#N/A"/>
    <m/>
    <m/>
    <m/>
    <m/>
  </r>
  <r>
    <n v="1800001887"/>
    <s v="DR"/>
    <d v="2025-03-17T00:00:00"/>
    <d v="2025-03-17T00:00:00"/>
    <x v="2"/>
    <n v="246779411552"/>
    <s v="212100"/>
    <s v="Trade Debtors (Ctrl)"/>
    <s v=""/>
    <s v="01"/>
    <s v="USD"/>
    <n v="26.26"/>
    <s v="INR"/>
    <n v="2276.5100000000002"/>
    <s v="O0"/>
    <s v="6779224500"/>
    <s v=""/>
    <s v="NA"/>
    <s v="1"/>
    <s v="VAS Activity Charges for the month of September, 2"/>
    <s v=""/>
    <s v=""/>
    <s v=""/>
    <d v="2025-03-17T00:00:00"/>
    <d v="2025-07-18T00:00:00"/>
    <x v="46"/>
    <e v="#N/A"/>
    <m/>
    <m/>
    <m/>
    <m/>
  </r>
  <r>
    <n v="7000000181"/>
    <s v="XB"/>
    <d v="2025-03-17T00:00:00"/>
    <d v="2025-03-17T00:00:00"/>
    <x v="34"/>
    <s v="6779IV124000173"/>
    <s v="212100"/>
    <s v="Trade Debtors (Ctrl)"/>
    <s v=""/>
    <s v="01"/>
    <s v="INR"/>
    <n v="131000.33"/>
    <s v="INR"/>
    <n v="131000.33"/>
    <s v="O0"/>
    <s v="6779224500"/>
    <s v=""/>
    <s v="6779IV125000009"/>
    <s v="13"/>
    <s v="Storage Charges 1st Sep to 30th Sep 2024. USD 1495"/>
    <s v="100222397"/>
    <s v=""/>
    <s v="100222397"/>
    <d v="2025-03-24T00:00:00"/>
    <d v="2025-11-18T00:00:00"/>
    <x v="7"/>
    <n v="131000.32934400001"/>
    <n v="13100"/>
    <n v="117900.32934400001"/>
    <n v="6.559999892488122E-4"/>
    <n v="9.9999748092237634E-2"/>
  </r>
  <r>
    <n v="7000000181"/>
    <s v="XB"/>
    <d v="2025-03-17T00:00:00"/>
    <d v="2025-03-17T00:00:00"/>
    <x v="34"/>
    <s v="6779IV124000180"/>
    <s v="212100"/>
    <s v="Trade Debtors (Ctrl)"/>
    <s v=""/>
    <s v="01"/>
    <s v="INR"/>
    <n v="262000.66"/>
    <s v="INR"/>
    <n v="262000.66"/>
    <s v="O0"/>
    <s v="6779224500"/>
    <s v=""/>
    <s v="6779IV125000009"/>
    <s v="29"/>
    <s v="Storage Charges 1st Oct to 31st Oct 2024. USD 2991"/>
    <s v="100222397"/>
    <s v=""/>
    <s v="100222397"/>
    <d v="2025-03-24T00:00:00"/>
    <d v="2025-11-18T00:00:00"/>
    <x v="7"/>
    <n v="262000.65868799994"/>
    <n v="26200"/>
    <n v="235800.65868799994"/>
    <n v="1.3120000658091158E-3"/>
    <n v="9.9999748092237634E-2"/>
  </r>
  <r>
    <n v="7000000181"/>
    <s v="XB"/>
    <d v="2025-03-17T00:00:00"/>
    <d v="2025-03-17T00:00:00"/>
    <x v="34"/>
    <s v="6779IV124000167"/>
    <s v="212100"/>
    <s v="Trade Debtors (Ctrl)"/>
    <s v=""/>
    <s v="01"/>
    <s v="INR"/>
    <n v="84138.42"/>
    <s v="INR"/>
    <n v="84138.42"/>
    <s v="O0"/>
    <s v="6779224500"/>
    <s v=""/>
    <s v="6779IV125000009"/>
    <s v="59"/>
    <s v="Storage Charges 1st Aug to 31st Aug 2024. USD 960."/>
    <s v="100222397"/>
    <s v=""/>
    <s v="100222397"/>
    <d v="2025-03-24T00:00:00"/>
    <d v="2025-11-18T00:00:00"/>
    <x v="7"/>
    <n v="84138.422912000009"/>
    <n v="8414"/>
    <n v="75724.422912000009"/>
    <n v="-2.9120000108378008E-3"/>
    <n v="0.10000187785793933"/>
  </r>
  <r>
    <n v="7000000181"/>
    <s v="XB"/>
    <d v="2025-03-17T00:00:00"/>
    <d v="2025-03-17T00:00:00"/>
    <x v="34"/>
    <s v="6779IV124000172"/>
    <s v="212100"/>
    <s v="Trade Debtors (Ctrl)"/>
    <s v=""/>
    <s v="01"/>
    <s v="INR"/>
    <n v="11000"/>
    <s v="INR"/>
    <n v="11000"/>
    <s v="O0"/>
    <s v="6779224500"/>
    <s v=""/>
    <s v="6779IV125000009"/>
    <s v="11"/>
    <s v="VAS Activity Charges. USD 125.59 @ INR 87.59 per U"/>
    <s v="100222397"/>
    <s v=""/>
    <s v="100222397"/>
    <d v="2025-03-24T00:00:00"/>
    <m/>
    <x v="0"/>
    <n v="11000"/>
    <n v="220"/>
    <n v="10780"/>
    <n v="0"/>
    <n v="0.02"/>
  </r>
  <r>
    <n v="7000000181"/>
    <s v="XB"/>
    <d v="2025-03-17T00:00:00"/>
    <d v="2025-03-17T00:00:00"/>
    <x v="34"/>
    <s v="6779IV124000179"/>
    <s v="212100"/>
    <s v="Trade Debtors (Ctrl)"/>
    <s v=""/>
    <s v="01"/>
    <s v="INR"/>
    <n v="13200"/>
    <s v="INR"/>
    <n v="13200"/>
    <s v="O0"/>
    <s v="6779224500"/>
    <s v=""/>
    <s v="6779IV125000009"/>
    <s v="27"/>
    <s v="VAS Activity Charges. USD 150.71 @ INR 87.59 per U"/>
    <s v="100222397"/>
    <s v=""/>
    <s v="100222397"/>
    <d v="2025-03-24T00:00:00"/>
    <m/>
    <x v="0"/>
    <n v="13200"/>
    <n v="264"/>
    <n v="12936"/>
    <n v="0"/>
    <n v="0.02"/>
  </r>
  <r>
    <n v="7000000181"/>
    <s v="XB"/>
    <d v="2025-03-17T00:00:00"/>
    <d v="2025-03-17T00:00:00"/>
    <x v="34"/>
    <s v="6779IV124000183"/>
    <s v="212100"/>
    <s v="Trade Debtors (Ctrl)"/>
    <s v=""/>
    <s v="01"/>
    <s v="INR"/>
    <n v="60539.3"/>
    <s v="INR"/>
    <n v="60539.3"/>
    <s v="O0"/>
    <s v="6779224500"/>
    <s v=""/>
    <s v="6779IV125000009"/>
    <s v="1"/>
    <s v="Lolo Charges. USD 691.2 @ INR 87.59 per USD - GST"/>
    <s v="100222397"/>
    <s v=""/>
    <s v="100222397"/>
    <d v="2025-03-24T00:00:00"/>
    <m/>
    <x v="0"/>
    <n v="60539.304960000001"/>
    <n v="1211"/>
    <n v="59328.304960000001"/>
    <n v="-4.9599999983911403E-3"/>
    <n v="2.0003534893862335E-2"/>
  </r>
  <r>
    <n v="7000000181"/>
    <s v="XB"/>
    <d v="2025-03-17T00:00:00"/>
    <d v="2025-03-17T00:00:00"/>
    <x v="34"/>
    <s v="6779IV124000192"/>
    <s v="212100"/>
    <s v="Trade Debtors (Ctrl)"/>
    <s v=""/>
    <s v="01"/>
    <s v="INR"/>
    <n v="16549.509999999998"/>
    <s v="INR"/>
    <n v="16549.509999999998"/>
    <s v="O0"/>
    <s v="6779224500"/>
    <s v=""/>
    <s v="6779IV125000009"/>
    <s v="3"/>
    <s v="Inbound Handling Charges. USD 188.95 @ INR 87.59 p"/>
    <s v="100222397"/>
    <s v=""/>
    <s v="100222397"/>
    <d v="2025-03-24T00:00:00"/>
    <m/>
    <x v="0"/>
    <n v="16549.512081600002"/>
    <n v="331"/>
    <n v="16218.512081600002"/>
    <n v="-2.0816000032937154E-3"/>
    <n v="2.0000592162547414E-2"/>
  </r>
  <r>
    <n v="7000000181"/>
    <s v="XB"/>
    <d v="2025-03-17T00:00:00"/>
    <d v="2025-03-17T00:00:00"/>
    <x v="34"/>
    <s v="6779IV124000193"/>
    <s v="212100"/>
    <s v="Trade Debtors (Ctrl)"/>
    <s v=""/>
    <s v="01"/>
    <s v="INR"/>
    <n v="15134.83"/>
    <s v="INR"/>
    <n v="15134.83"/>
    <s v="O0"/>
    <s v="6779224500"/>
    <s v=""/>
    <s v="6779IV125000009"/>
    <s v="5"/>
    <s v="Lolo Charges. USD 172.8 @ INR 87.59 per USD - GST"/>
    <s v="100222397"/>
    <s v=""/>
    <s v="100222397"/>
    <d v="2025-03-24T00:00:00"/>
    <m/>
    <x v="0"/>
    <n v="15134.826240000002"/>
    <n v="303"/>
    <n v="14831.826240000002"/>
    <n v="3.7599999977828702E-3"/>
    <n v="2.0020046475579839E-2"/>
  </r>
  <r>
    <n v="7000000181"/>
    <s v="XB"/>
    <d v="2025-03-17T00:00:00"/>
    <d v="2025-03-17T00:00:00"/>
    <x v="34"/>
    <s v="6779IV124000194"/>
    <s v="212100"/>
    <s v="Trade Debtors (Ctrl)"/>
    <s v=""/>
    <s v="01"/>
    <s v="INR"/>
    <n v="4729.63"/>
    <s v="INR"/>
    <n v="4729.63"/>
    <s v="O0"/>
    <s v="6779224500"/>
    <s v=""/>
    <s v="6779IV125000009"/>
    <s v="7"/>
    <s v="CY Movement Charges. USD 54 @ INR 87.59 per USD -"/>
    <s v="100222397"/>
    <s v=""/>
    <s v="100222397"/>
    <d v="2025-03-24T00:00:00"/>
    <m/>
    <x v="0"/>
    <n v="4729.6332000000002"/>
    <n v="95"/>
    <n v="4634.6332000000002"/>
    <n v="-3.200000000106229E-3"/>
    <n v="2.0086137816277383E-2"/>
  </r>
  <r>
    <n v="7000000181"/>
    <s v="XB"/>
    <d v="2025-03-17T00:00:00"/>
    <d v="2025-03-17T00:00:00"/>
    <x v="34"/>
    <s v="6779IV124000169"/>
    <s v="212100"/>
    <s v="Trade Debtors (Ctrl)"/>
    <s v=""/>
    <s v="01"/>
    <s v="INR"/>
    <n v="41373.78"/>
    <s v="INR"/>
    <n v="41373.78"/>
    <s v="O0"/>
    <s v="6779224500"/>
    <s v=""/>
    <s v="6779IV125000009"/>
    <s v="9"/>
    <s v="Outbound Handling Charges. USD 472.38 @ INR 87.59"/>
    <s v="100222397"/>
    <s v=""/>
    <s v="100222397"/>
    <d v="2025-03-24T00:00:00"/>
    <m/>
    <x v="0"/>
    <n v="41373.780204000002"/>
    <n v="827"/>
    <n v="40546.780204000002"/>
    <n v="-2.0400000357767567E-4"/>
    <n v="1.9988504796999453E-2"/>
  </r>
  <r>
    <n v="7000000181"/>
    <s v="XB"/>
    <d v="2025-03-17T00:00:00"/>
    <d v="2025-03-17T00:00:00"/>
    <x v="34"/>
    <s v="6779IV124000175"/>
    <s v="212100"/>
    <s v="Trade Debtors (Ctrl)"/>
    <s v=""/>
    <s v="01"/>
    <s v="INR"/>
    <n v="66198.05"/>
    <s v="INR"/>
    <n v="66198.05"/>
    <s v="O0"/>
    <s v="6779224500"/>
    <s v=""/>
    <s v="6779IV125000009"/>
    <s v="17"/>
    <s v="Inbound Handling Charges. USD 755.81 @ INR 87.59 p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176"/>
    <s v="212100"/>
    <s v="Trade Debtors (Ctrl)"/>
    <s v=""/>
    <s v="01"/>
    <s v="INR"/>
    <n v="41620.769999999997"/>
    <s v="INR"/>
    <n v="41620.769999999997"/>
    <s v="O0"/>
    <s v="6779224500"/>
    <s v=""/>
    <s v="6779IV125000009"/>
    <s v="19"/>
    <s v="Lolo Charges. USD 475.2 @ INR 87.59 per USD - GST"/>
    <s v="100222397"/>
    <s v=""/>
    <s v="100222397"/>
    <d v="2025-03-24T00:00:00"/>
    <m/>
    <x v="0"/>
    <n v="41620.77216"/>
    <n v="832"/>
    <n v="40788.77216"/>
    <n v="-2.1600000036414713E-3"/>
    <n v="1.9990019406176292E-2"/>
  </r>
  <r>
    <n v="7000000181"/>
    <s v="XB"/>
    <d v="2025-03-17T00:00:00"/>
    <d v="2025-03-17T00:00:00"/>
    <x v="34"/>
    <s v="6779IV124000177"/>
    <s v="212100"/>
    <s v="Trade Debtors (Ctrl)"/>
    <s v=""/>
    <s v="01"/>
    <s v="INR"/>
    <n v="24824.27"/>
    <s v="INR"/>
    <n v="24824.27"/>
    <s v="O0"/>
    <s v="6779224500"/>
    <s v=""/>
    <s v="6779IV125000009"/>
    <s v="21"/>
    <s v="Outbound Handling Charges. USD 283.43 @ INR 87.59"/>
    <s v="100222397"/>
    <s v=""/>
    <s v="100222397"/>
    <d v="2025-03-24T00:00:00"/>
    <m/>
    <x v="0"/>
    <n v="24824.268122400001"/>
    <n v="496"/>
    <n v="24328.268122400001"/>
    <n v="1.8775999997160397E-3"/>
    <n v="1.998044655492387E-2"/>
  </r>
  <r>
    <n v="7000000181"/>
    <s v="XB"/>
    <d v="2025-03-17T00:00:00"/>
    <d v="2025-03-17T00:00:00"/>
    <x v="34"/>
    <s v="6779IV124000184"/>
    <s v="212100"/>
    <s v="Trade Debtors (Ctrl)"/>
    <s v=""/>
    <s v="01"/>
    <s v="INR"/>
    <n v="18918.53"/>
    <s v="INR"/>
    <n v="18918.53"/>
    <s v="O0"/>
    <s v="6779224500"/>
    <s v=""/>
    <s v="6779IV125000009"/>
    <s v="23"/>
    <s v="CY Movement Charges. USD 216 @ INR 87.59 per USD -"/>
    <s v="100222397"/>
    <s v=""/>
    <s v="100222397"/>
    <d v="2025-03-24T00:00:00"/>
    <m/>
    <x v="0"/>
    <n v="18918.532800000001"/>
    <n v="378"/>
    <n v="18540.532800000001"/>
    <n v="-2.8000000020256266E-3"/>
    <n v="1.9980410740157932E-2"/>
  </r>
  <r>
    <n v="7000000181"/>
    <s v="XB"/>
    <d v="2025-03-17T00:00:00"/>
    <d v="2025-03-17T00:00:00"/>
    <x v="34"/>
    <s v="6779IV124000178"/>
    <s v="212100"/>
    <s v="Trade Debtors (Ctrl)"/>
    <s v=""/>
    <s v="01"/>
    <s v="INR"/>
    <n v="7094.45"/>
    <s v="INR"/>
    <n v="7094.45"/>
    <s v="O0"/>
    <s v="6779224500"/>
    <s v=""/>
    <s v="6779IV125000009"/>
    <s v="25"/>
    <s v="CY Movement Charges. USD 81 @ INR 87.59 per USD -"/>
    <s v="100222397"/>
    <s v=""/>
    <s v="100222397"/>
    <d v="2025-03-24T00:00:00"/>
    <m/>
    <x v="0"/>
    <n v="7094.4498000000003"/>
    <n v="142"/>
    <n v="6952.4498000000003"/>
    <n v="1.9999999949504854E-4"/>
    <n v="2.0015646033166773E-2"/>
  </r>
  <r>
    <n v="7000000181"/>
    <s v="XB"/>
    <d v="2025-03-17T00:00:00"/>
    <d v="2025-03-17T00:00:00"/>
    <x v="34"/>
    <s v="6779IV124000182"/>
    <s v="212100"/>
    <s v="Trade Debtors (Ctrl)"/>
    <s v=""/>
    <s v="01"/>
    <s v="INR"/>
    <n v="66198.05"/>
    <s v="INR"/>
    <n v="66198.05"/>
    <s v="O0"/>
    <s v="6779224500"/>
    <s v=""/>
    <s v="6779IV125000009"/>
    <s v="33"/>
    <s v="Inbound Handling Charges. USD 755.81 @ INR 24.47 p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195"/>
    <s v="212100"/>
    <s v="Trade Debtors (Ctrl)"/>
    <s v=""/>
    <s v="01"/>
    <s v="INR"/>
    <n v="16549.509999999998"/>
    <s v="INR"/>
    <n v="16549.509999999998"/>
    <s v="O0"/>
    <s v="6779224500"/>
    <s v=""/>
    <s v="6779IV125000009"/>
    <s v="35"/>
    <s v="Outbound Handling Charges. USD 188.95 @ INR 87.59"/>
    <s v="100222397"/>
    <s v=""/>
    <s v="100222397"/>
    <d v="2025-03-24T00:00:00"/>
    <m/>
    <x v="0"/>
    <n v="16549.512081600002"/>
    <n v="331"/>
    <n v="16218.512081600002"/>
    <n v="-2.0816000032937154E-3"/>
    <n v="2.0000592162547414E-2"/>
  </r>
  <r>
    <n v="7000000181"/>
    <s v="XB"/>
    <d v="2025-03-17T00:00:00"/>
    <d v="2025-03-17T00:00:00"/>
    <x v="34"/>
    <s v="6779IV124000198"/>
    <s v="212100"/>
    <s v="Trade Debtors (Ctrl)"/>
    <s v=""/>
    <s v="01"/>
    <s v="INR"/>
    <n v="2364.8200000000002"/>
    <s v="INR"/>
    <n v="2364.8200000000002"/>
    <s v="O0"/>
    <s v="6779224500"/>
    <s v=""/>
    <s v="6779IV125000009"/>
    <s v="41"/>
    <s v="CY Destuff Charges. USD 27 @ INR 87.59 per USD - G"/>
    <s v="100222397"/>
    <s v=""/>
    <s v="100222397"/>
    <d v="2025-03-24T00:00:00"/>
    <m/>
    <x v="0"/>
    <n v="2364.8166000000001"/>
    <n v="47"/>
    <n v="2317.8166000000001"/>
    <n v="3.4000000000560249E-3"/>
    <n v="1.9874662765030741E-2"/>
  </r>
  <r>
    <n v="7000000181"/>
    <s v="XB"/>
    <d v="2025-03-17T00:00:00"/>
    <d v="2025-03-17T00:00:00"/>
    <x v="34"/>
    <s v="6779IV124000199"/>
    <s v="212100"/>
    <s v="Trade Debtors (Ctrl)"/>
    <s v=""/>
    <s v="01"/>
    <s v="INR"/>
    <n v="15765.44"/>
    <s v="INR"/>
    <n v="15765.44"/>
    <s v="O0"/>
    <s v="6779224500"/>
    <s v=""/>
    <s v="6779IV125000009"/>
    <s v="43"/>
    <s v="Empty Movement Charges. USD 180 @ INR 87.59 per US"/>
    <s v="100222397"/>
    <s v=""/>
    <s v="100222397"/>
    <d v="2025-03-24T00:00:00"/>
    <m/>
    <x v="0"/>
    <n v="15765.444000000001"/>
    <n v="315"/>
    <n v="15450.444000000001"/>
    <n v="-4.0000000008149073E-3"/>
    <n v="1.9980412852416425E-2"/>
  </r>
  <r>
    <n v="7000000181"/>
    <s v="XB"/>
    <d v="2025-03-17T00:00:00"/>
    <d v="2025-03-17T00:00:00"/>
    <x v="34"/>
    <s v="6779IV124000185"/>
    <s v="212100"/>
    <s v="Trade Debtors (Ctrl)"/>
    <s v=""/>
    <s v="01"/>
    <s v="INR"/>
    <n v="66198.05"/>
    <s v="INR"/>
    <n v="66198.05"/>
    <s v="O0"/>
    <s v="6779224500"/>
    <s v=""/>
    <s v="6779IV125000009"/>
    <s v="45"/>
    <s v="Outbound Handling Charges. USD 755.81 @ INR 87.59"/>
    <s v="100222397"/>
    <s v=""/>
    <s v="100222397"/>
    <d v="2025-03-24T00:00:00"/>
    <m/>
    <x v="0"/>
    <n v="66198.048326400007"/>
    <n v="1324"/>
    <n v="64874.048326400007"/>
    <n v="1.6735999961383641E-3"/>
    <n v="2.0000589141220926E-2"/>
  </r>
  <r>
    <n v="7000000181"/>
    <s v="XB"/>
    <d v="2025-03-17T00:00:00"/>
    <d v="2025-03-17T00:00:00"/>
    <x v="34"/>
    <s v="6779IV124000201"/>
    <s v="212100"/>
    <s v="Trade Debtors (Ctrl)"/>
    <s v=""/>
    <s v="01"/>
    <s v="INR"/>
    <n v="22153.25"/>
    <s v="INR"/>
    <n v="22153.25"/>
    <s v="O0"/>
    <s v="6779224500"/>
    <s v=""/>
    <s v="6779IV125000009"/>
    <s v="49"/>
    <s v="Inbound Handling Charges. USD 252.93 @ INR 87.59 p"/>
    <s v="100222397"/>
    <s v=""/>
    <s v="100222397"/>
    <d v="2025-03-24T00:00:00"/>
    <m/>
    <x v="0"/>
    <n v="22153.2515656"/>
    <n v="443"/>
    <n v="21710.2515656"/>
    <n v="-1.5655999995942693E-3"/>
    <n v="1.9997065893266226E-2"/>
  </r>
  <r>
    <n v="7000000181"/>
    <s v="XB"/>
    <d v="2025-03-17T00:00:00"/>
    <d v="2025-03-17T00:00:00"/>
    <x v="34"/>
    <s v="6779IV124000202"/>
    <s v="212100"/>
    <s v="Trade Debtors (Ctrl)"/>
    <s v=""/>
    <s v="01"/>
    <s v="INR"/>
    <n v="2801.87"/>
    <s v="INR"/>
    <n v="2801.87"/>
    <s v="O0"/>
    <s v="6779224500"/>
    <s v=""/>
    <s v="6779IV125000009"/>
    <s v="51"/>
    <s v="Loose Unloading Charges. USD 31.99 @ INR 87.59 per"/>
    <s v="100222397"/>
    <s v=""/>
    <s v="100222397"/>
    <d v="2025-03-24T00:00:00"/>
    <m/>
    <x v="0"/>
    <n v="2801.8697419999999"/>
    <n v="56"/>
    <n v="2745.8697419999999"/>
    <n v="2.5800000003073364E-4"/>
    <n v="1.9986651771852371E-2"/>
  </r>
  <r>
    <n v="7000000181"/>
    <s v="XB"/>
    <d v="2025-03-17T00:00:00"/>
    <d v="2025-03-17T00:00:00"/>
    <x v="34"/>
    <s v="6779IV124000203"/>
    <s v="212100"/>
    <s v="Trade Debtors (Ctrl)"/>
    <s v=""/>
    <s v="01"/>
    <s v="INR"/>
    <n v="11351.12"/>
    <s v="INR"/>
    <n v="11351.12"/>
    <s v="O0"/>
    <s v="6779224500"/>
    <s v=""/>
    <s v="6779IV125000009"/>
    <s v="53"/>
    <s v="Lolo Charges. USD 129.6 @ INR 87.59 per USD - GST"/>
    <s v="100222397"/>
    <s v=""/>
    <s v="100222397"/>
    <d v="2025-03-24T00:00:00"/>
    <m/>
    <x v="0"/>
    <n v="11351.119680000003"/>
    <n v="227"/>
    <n v="11124.119680000003"/>
    <n v="3.1999999737308826E-4"/>
    <n v="1.9998026626447434E-2"/>
  </r>
  <r>
    <n v="7000000181"/>
    <s v="XB"/>
    <d v="2025-03-17T00:00:00"/>
    <d v="2025-03-17T00:00:00"/>
    <x v="34"/>
    <s v="6779IV124000204"/>
    <s v="212100"/>
    <s v="Trade Debtors (Ctrl)"/>
    <s v=""/>
    <s v="01"/>
    <s v="INR"/>
    <n v="5603.74"/>
    <s v="INR"/>
    <n v="5603.74"/>
    <s v="O0"/>
    <s v="6779224500"/>
    <s v=""/>
    <s v="6779IV125000009"/>
    <s v="55"/>
    <s v="Outbound Handling Charges. USD 63.98 @ INR 87.59 p"/>
    <s v="100222397"/>
    <s v=""/>
    <s v="100222397"/>
    <d v="2025-03-24T00:00:00"/>
    <m/>
    <x v="0"/>
    <n v="5603.7394839999997"/>
    <n v="112"/>
    <n v="5491.7394839999997"/>
    <n v="5.1600000006146729E-4"/>
    <n v="1.9986651771852371E-2"/>
  </r>
  <r>
    <n v="7000000181"/>
    <s v="XB"/>
    <d v="2025-03-17T00:00:00"/>
    <d v="2025-03-17T00:00:00"/>
    <x v="34"/>
    <s v="6779IV124000205"/>
    <s v="212100"/>
    <s v="Trade Debtors (Ctrl)"/>
    <s v=""/>
    <s v="01"/>
    <s v="INR"/>
    <n v="2801.87"/>
    <s v="INR"/>
    <n v="2801.87"/>
    <s v="O0"/>
    <s v="6779224500"/>
    <s v=""/>
    <s v="6779IV125000009"/>
    <s v="57"/>
    <s v="Loose Loading Charges. USD 31.99 @ INR 87.59 per U"/>
    <s v="100222397"/>
    <s v=""/>
    <s v="100222397"/>
    <d v="2025-03-24T00:00:00"/>
    <m/>
    <x v="0"/>
    <n v="2801.8697419999999"/>
    <n v="56"/>
    <n v="2745.8697419999999"/>
    <n v="2.5800000003073364E-4"/>
    <n v="1.9986651771852371E-2"/>
  </r>
  <r>
    <n v="7000000181"/>
    <s v="XB"/>
    <d v="2025-03-17T00:00:00"/>
    <d v="2025-03-17T00:00:00"/>
    <x v="34"/>
    <s v="6779IV124000171"/>
    <s v="212100"/>
    <s v="Trade Debtors (Ctrl)"/>
    <s v=""/>
    <s v="01"/>
    <s v="INR"/>
    <n v="41373.78"/>
    <s v="INR"/>
    <n v="41373.78"/>
    <s v="O0"/>
    <s v="6779224500"/>
    <s v=""/>
    <s v="6779IV125000009"/>
    <s v="63"/>
    <s v="Inbound Handling Charges. USD 472.38 @ INR 87.59 p"/>
    <s v="100222397"/>
    <s v=""/>
    <s v="100222397"/>
    <d v="2025-03-24T00:00:00"/>
    <m/>
    <x v="0"/>
    <n v="41373.780204000002"/>
    <n v="827"/>
    <n v="40546.780204000002"/>
    <n v="-2.0400000357767567E-4"/>
    <n v="1.9988504796999453E-2"/>
  </r>
  <r>
    <n v="7000000181"/>
    <s v="XB"/>
    <d v="2025-03-17T00:00:00"/>
    <d v="2025-03-17T00:00:00"/>
    <x v="34"/>
    <s v="6779IV124000170"/>
    <s v="212100"/>
    <s v="Trade Debtors (Ctrl)"/>
    <s v=""/>
    <s v="01"/>
    <s v="INR"/>
    <n v="37837.07"/>
    <s v="INR"/>
    <n v="37837.07"/>
    <s v="O0"/>
    <s v="6779224500"/>
    <s v=""/>
    <s v="6779IV125000009"/>
    <s v="65"/>
    <s v="Lolo Charges. USD 432 @ INR 87.59 per USD - GST eI"/>
    <s v="100222397"/>
    <s v=""/>
    <s v="100222397"/>
    <d v="2025-03-24T00:00:00"/>
    <m/>
    <x v="0"/>
    <n v="37837.065600000002"/>
    <n v="757"/>
    <n v="37080.065600000002"/>
    <n v="4.3999999979860149E-3"/>
    <n v="2.0006834567264327E-2"/>
  </r>
  <r>
    <n v="7000000181"/>
    <s v="XB"/>
    <d v="2025-03-17T00:00:00"/>
    <d v="2025-03-17T00:00:00"/>
    <x v="34"/>
    <s v="6779IV124000187"/>
    <s v="212100"/>
    <s v="Trade Debtors (Ctrl)"/>
    <s v=""/>
    <s v="01"/>
    <s v="INR"/>
    <n v="14188.9"/>
    <s v="INR"/>
    <n v="14188.9"/>
    <s v="O0"/>
    <s v="6779224500"/>
    <s v=""/>
    <s v="6779IV125000009"/>
    <s v="69"/>
    <s v="CY Movement Charges. USD 162 @ INR 87.59 per USD -"/>
    <s v="100222397"/>
    <s v=""/>
    <s v="100222397"/>
    <d v="2025-03-24T00:00:00"/>
    <m/>
    <x v="0"/>
    <n v="14188.899600000001"/>
    <n v="284"/>
    <n v="13904.899600000001"/>
    <n v="3.9999999899009708E-4"/>
    <n v="2.0015646033166773E-2"/>
  </r>
  <r>
    <n v="7000000181"/>
    <s v="XB"/>
    <d v="2025-03-17T00:00:00"/>
    <d v="2025-03-17T00:00:00"/>
    <x v="34"/>
    <s v="6779IV124000188"/>
    <s v="212100"/>
    <s v="Trade Debtors (Ctrl)"/>
    <s v=""/>
    <s v="01"/>
    <s v="INR"/>
    <n v="49648.54"/>
    <s v="INR"/>
    <n v="49648.54"/>
    <s v="O0"/>
    <s v="6779224500"/>
    <s v=""/>
    <s v="6779IV125000009"/>
    <s v="71"/>
    <s v="Outbound Handling Charges. USD 566.86 @ INR 87.59"/>
    <s v="100222397"/>
    <s v=""/>
    <s v="100222397"/>
    <d v="2025-03-24T00:00:00"/>
    <m/>
    <x v="0"/>
    <n v="49648.536244800001"/>
    <n v="993"/>
    <n v="48655.536244800001"/>
    <n v="3.7551999994320795E-3"/>
    <n v="2.0000588134112301E-2"/>
  </r>
  <r>
    <n v="7000000181"/>
    <s v="XB"/>
    <d v="2025-03-17T00:00:00"/>
    <d v="2025-03-17T00:00:00"/>
    <x v="34"/>
    <s v="6779IV124000189"/>
    <s v="212100"/>
    <s v="Trade Debtors (Ctrl)"/>
    <s v=""/>
    <s v="01"/>
    <s v="INR"/>
    <n v="22702.240000000002"/>
    <s v="INR"/>
    <n v="22702.240000000002"/>
    <s v="O0"/>
    <s v="6779224500"/>
    <s v=""/>
    <s v="6779IV125000009"/>
    <s v="73"/>
    <s v="Lolo Charges. USD 259.2 @ INR 87.59 per USD - GST"/>
    <s v="100222397"/>
    <s v=""/>
    <s v="100222397"/>
    <d v="2025-03-24T00:00:00"/>
    <m/>
    <x v="0"/>
    <n v="22702.23936"/>
    <n v="454"/>
    <n v="22248.23936"/>
    <n v="6.4000000202213414E-4"/>
    <n v="1.9998026626447434E-2"/>
  </r>
  <r>
    <n v="1800001705"/>
    <s v="DR"/>
    <d v="2025-03-14T00:00:00"/>
    <d v="2025-03-17T00:00:00"/>
    <x v="2"/>
    <n v="246779411370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47"/>
    <e v="#N/A"/>
    <m/>
    <m/>
    <m/>
    <m/>
  </r>
  <r>
    <n v="1800001706"/>
    <s v="DR"/>
    <d v="2025-03-14T00:00:00"/>
    <d v="2025-03-17T00:00:00"/>
    <x v="2"/>
    <n v="246779411371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48"/>
    <e v="#N/A"/>
    <m/>
    <m/>
    <m/>
    <m/>
  </r>
  <r>
    <n v="1800001707"/>
    <s v="DR"/>
    <d v="2025-03-14T00:00:00"/>
    <d v="2025-03-17T00:00:00"/>
    <x v="2"/>
    <n v="246779411372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49"/>
    <e v="#N/A"/>
    <m/>
    <m/>
    <m/>
    <m/>
  </r>
  <r>
    <n v="1800001708"/>
    <s v="DR"/>
    <d v="2025-03-14T00:00:00"/>
    <d v="2025-03-17T00:00:00"/>
    <x v="2"/>
    <n v="246779411373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0"/>
    <e v="#N/A"/>
    <m/>
    <m/>
    <m/>
    <m/>
  </r>
  <r>
    <n v="1800001502"/>
    <s v="DR"/>
    <d v="2025-03-14T00:00:00"/>
    <d v="2025-03-19T00:00:00"/>
    <x v="2"/>
    <n v="246779412159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1"/>
    <e v="#N/A"/>
    <m/>
    <m/>
    <m/>
    <m/>
  </r>
  <r>
    <n v="1800001503"/>
    <s v="DR"/>
    <d v="2025-03-14T00:00:00"/>
    <d v="2025-03-19T00:00:00"/>
    <x v="2"/>
    <n v="246779412160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52"/>
    <e v="#N/A"/>
    <m/>
    <m/>
    <m/>
    <m/>
  </r>
  <r>
    <n v="1800001504"/>
    <s v="DR"/>
    <d v="2025-03-14T00:00:00"/>
    <d v="2025-03-19T00:00:00"/>
    <x v="2"/>
    <n v="246779412161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3"/>
    <e v="#N/A"/>
    <m/>
    <m/>
    <m/>
    <m/>
  </r>
  <r>
    <n v="1800001505"/>
    <s v="DR"/>
    <d v="2025-03-14T00:00:00"/>
    <d v="2025-03-19T00:00:00"/>
    <x v="2"/>
    <n v="246779412162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4"/>
    <e v="#N/A"/>
    <m/>
    <m/>
    <m/>
    <m/>
  </r>
  <r>
    <n v="1800001650"/>
    <s v="DR"/>
    <d v="2025-03-14T00:00:00"/>
    <d v="2025-03-19T00:00:00"/>
    <x v="2"/>
    <n v="246779412307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5"/>
    <e v="#N/A"/>
    <m/>
    <m/>
    <m/>
    <m/>
  </r>
  <r>
    <n v="1800001651"/>
    <s v="DR"/>
    <d v="2025-03-14T00:00:00"/>
    <d v="2025-03-19T00:00:00"/>
    <x v="2"/>
    <n v="246779412308"/>
    <s v="212100"/>
    <s v="Trade Debtors (Ctrl)"/>
    <s v=""/>
    <s v="01"/>
    <s v="USD"/>
    <n v="52.46"/>
    <s v="INR"/>
    <n v="4547.82"/>
    <s v="O0"/>
    <s v="6779224500"/>
    <s v=""/>
    <s v="NA"/>
    <s v="1"/>
    <s v="VAS Activity Charges for the month of August, 24"/>
    <s v=""/>
    <s v=""/>
    <s v=""/>
    <d v="2025-03-14T00:00:00"/>
    <d v="2025-07-18T00:00:00"/>
    <x v="56"/>
    <e v="#N/A"/>
    <m/>
    <m/>
    <m/>
    <m/>
  </r>
  <r>
    <n v="1800001652"/>
    <s v="DR"/>
    <d v="2025-03-14T00:00:00"/>
    <d v="2025-03-19T00:00:00"/>
    <x v="2"/>
    <n v="246779412309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7"/>
    <e v="#N/A"/>
    <m/>
    <m/>
    <m/>
    <m/>
  </r>
  <r>
    <n v="1800001653"/>
    <s v="DR"/>
    <d v="2025-03-14T00:00:00"/>
    <d v="2025-03-19T00:00:00"/>
    <x v="2"/>
    <n v="246779412310"/>
    <s v="212100"/>
    <s v="Trade Debtors (Ctrl)"/>
    <s v=""/>
    <s v="01"/>
    <s v="USD"/>
    <n v="26.23"/>
    <s v="INR"/>
    <n v="2273.91"/>
    <s v="O0"/>
    <s v="6779224500"/>
    <s v=""/>
    <s v="NA"/>
    <s v="1"/>
    <s v="VAS Activity Charges for the month of August, 24"/>
    <s v=""/>
    <s v=""/>
    <s v=""/>
    <d v="2025-03-14T00:00:00"/>
    <d v="2025-07-18T00:00:00"/>
    <x v="58"/>
    <e v="#N/A"/>
    <m/>
    <m/>
    <m/>
    <m/>
  </r>
  <r>
    <n v="7000000191"/>
    <s v="XC"/>
    <d v="2025-03-12T00:00:00"/>
    <d v="2025-03-22T00:00:00"/>
    <x v="35"/>
    <s v="6779ZP25000178"/>
    <s v="212100"/>
    <s v="Trade Debtors (Ctrl)"/>
    <s v=""/>
    <s v="11"/>
    <s v="INR"/>
    <n v="-28756.3"/>
    <s v="INR"/>
    <n v="-28756.3"/>
    <s v=""/>
    <s v="6779220000"/>
    <s v=""/>
    <s v="6779ZP25000178"/>
    <s v="1"/>
    <s v="Due to Unavilability of payment advice"/>
    <s v="100222397"/>
    <s v=""/>
    <s v="100222397"/>
    <d v="2025-03-12T00:00:00"/>
    <d v="2025-04-26T00:00:00"/>
    <x v="80"/>
    <e v="#N/A"/>
    <m/>
    <m/>
    <m/>
    <m/>
  </r>
  <r>
    <n v="7000000219"/>
    <s v="XC"/>
    <d v="2025-03-12T00:00:00"/>
    <d v="2025-04-25T00:00:00"/>
    <x v="36"/>
    <s v="6779ZR25000012"/>
    <s v="212100"/>
    <s v="Trade Debtors (Ctrl)"/>
    <s v=""/>
    <s v="01"/>
    <s v="INR"/>
    <n v="28756.3"/>
    <s v="INR"/>
    <n v="28756.3"/>
    <s v=""/>
    <s v="6779220000"/>
    <s v=""/>
    <s v="6779ZP25000178"/>
    <s v="1"/>
    <s v="Due to Unavilability of payment advice"/>
    <s v="100222397"/>
    <s v=""/>
    <s v="100222397"/>
    <d v="2025-03-12T00:00:00"/>
    <d v="2025-04-26T00:00:00"/>
    <x v="80"/>
    <e v="#N/A"/>
    <m/>
    <m/>
    <m/>
    <m/>
  </r>
  <r>
    <n v="7000000218"/>
    <s v="XC"/>
    <d v="2025-03-12T00:00:00"/>
    <d v="2025-04-25T00:00:00"/>
    <x v="37"/>
    <s v="6779ZR25000011"/>
    <s v="212100"/>
    <s v="Trade Debtors (Ctrl)"/>
    <s v=""/>
    <s v="01"/>
    <s v="INR"/>
    <n v="69973.16"/>
    <s v="INR"/>
    <n v="69973.16"/>
    <s v=""/>
    <s v="6779220000"/>
    <s v=""/>
    <s v="6779ZP25000179"/>
    <s v="1"/>
    <s v="As per SME conformation we park prepay"/>
    <s v="100222397"/>
    <s v=""/>
    <s v="100222397"/>
    <d v="2025-03-12T00:00:00"/>
    <d v="2025-04-26T00:00:00"/>
    <x v="81"/>
    <e v="#N/A"/>
    <m/>
    <m/>
    <m/>
    <m/>
  </r>
  <r>
    <n v="7000000192"/>
    <s v="XC"/>
    <d v="2025-03-12T00:00:00"/>
    <d v="2025-03-22T00:00:00"/>
    <x v="38"/>
    <s v="6779ZP25000179"/>
    <s v="212100"/>
    <s v="Trade Debtors (Ctrl)"/>
    <s v=""/>
    <s v="11"/>
    <s v="INR"/>
    <n v="-69973.16"/>
    <s v="INR"/>
    <n v="-69973.16"/>
    <s v=""/>
    <s v="6779220000"/>
    <s v=""/>
    <s v="6779ZP25000179"/>
    <s v="1"/>
    <s v="As per SME conformation we park prepay"/>
    <s v="100222397"/>
    <s v=""/>
    <s v="100222397"/>
    <d v="2025-03-12T00:00:00"/>
    <d v="2025-04-26T00:00:00"/>
    <x v="81"/>
    <e v="#N/A"/>
    <m/>
    <m/>
    <m/>
    <m/>
  </r>
  <r>
    <n v="7000000193"/>
    <s v="XC"/>
    <d v="2025-03-12T00:00:00"/>
    <d v="2025-03-22T00:00:00"/>
    <x v="39"/>
    <s v="6779ZP25000180"/>
    <s v="212100"/>
    <s v="Trade Debtors (Ctrl)"/>
    <s v=""/>
    <s v="11"/>
    <s v="INR"/>
    <n v="-97112.2"/>
    <s v="INR"/>
    <n v="-97112.2"/>
    <s v=""/>
    <s v="6779220000"/>
    <s v=""/>
    <s v="6779ZP25000180"/>
    <s v="1"/>
    <s v="As per SME conformation we park prepay"/>
    <s v="100222397"/>
    <s v=""/>
    <s v="100222397"/>
    <d v="2025-03-12T00:00:00"/>
    <d v="2025-04-26T00:00:00"/>
    <x v="82"/>
    <e v="#N/A"/>
    <m/>
    <m/>
    <m/>
    <m/>
  </r>
  <r>
    <n v="7000000220"/>
    <s v="XC"/>
    <d v="2025-03-12T00:00:00"/>
    <d v="2025-04-25T00:00:00"/>
    <x v="40"/>
    <s v="6779ZR25000013"/>
    <s v="212100"/>
    <s v="Trade Debtors (Ctrl)"/>
    <s v=""/>
    <s v="01"/>
    <s v="INR"/>
    <n v="97112.2"/>
    <s v="INR"/>
    <n v="97112.2"/>
    <s v=""/>
    <s v="6779220000"/>
    <s v=""/>
    <s v="6779ZP25000180"/>
    <s v="1"/>
    <s v="As per SME conformation we park prepay"/>
    <s v="100222397"/>
    <s v=""/>
    <s v="100222397"/>
    <d v="2025-03-12T00:00:00"/>
    <d v="2025-04-26T00:00:00"/>
    <x v="82"/>
    <e v="#N/A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3FABD-72A9-4589-982A-D8EF33BA8E24}" name="PivotTable1" cacheId="1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E2:H11" firstHeaderRow="1" firstDataRow="1" firstDataCol="3"/>
  <pivotFields count="5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numFmtId="164" outline="0" showAll="0" defaultSubtotal="0"/>
    <pivotField compact="0" outline="0" showAll="0" defaultSubtotal="0">
      <items count="24">
        <item x="20"/>
        <item x="21"/>
        <item x="23"/>
        <item x="22"/>
        <item x="0"/>
        <item x="2"/>
        <item x="1"/>
        <item x="8"/>
        <item x="7"/>
        <item x="3"/>
        <item x="4"/>
        <item x="6"/>
        <item x="5"/>
        <item x="9"/>
        <item x="11"/>
        <item x="10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4"/>
    <field x="3"/>
    <field x="0"/>
  </rowFields>
  <rowItems count="9">
    <i>
      <x v="1"/>
      <x v="1"/>
      <x v="3"/>
    </i>
    <i r="1">
      <x v="2"/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2"/>
    </i>
    <i>
      <x v="2"/>
      <x v="1"/>
      <x v="2"/>
    </i>
  </rowItems>
  <colItems count="1">
    <i/>
  </colItems>
  <dataFields count="1">
    <dataField name="Sum of AMOUNT PAI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353D1-206C-4BED-93B7-803E071DB3BB}" name="PivotTable3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I1:L10" firstHeaderRow="1" firstDataRow="1" firstDataCol="3"/>
  <pivotFields count="6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numFmtId="165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5"/>
    <field x="4"/>
    <field x="1"/>
  </rowFields>
  <rowItems count="9">
    <i>
      <x v="1"/>
      <x v="2"/>
      <x v="4"/>
    </i>
    <i r="2">
      <x v="6"/>
    </i>
    <i r="1">
      <x v="3"/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</rowItems>
  <colItems count="1">
    <i/>
  </colItems>
  <dataFields count="1">
    <dataField name="Sum of Company Code Currency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61693-236D-46E6-B9E4-10A8EB21DCCE}" name="PivotTable8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7" firstHeaderRow="1" firstDataRow="1" firstDataCol="1"/>
  <pivotFields count="31">
    <pivotField showAll="0"/>
    <pivotField showAll="0"/>
    <pivotField numFmtId="14" showAll="0"/>
    <pivotField numFmtId="14" showAll="0"/>
    <pivotField showAll="0">
      <items count="42">
        <item x="20"/>
        <item x="13"/>
        <item x="8"/>
        <item x="6"/>
        <item x="7"/>
        <item x="3"/>
        <item x="34"/>
        <item x="35"/>
        <item x="38"/>
        <item x="39"/>
        <item x="37"/>
        <item x="36"/>
        <item x="40"/>
        <item x="22"/>
        <item x="23"/>
        <item x="4"/>
        <item x="5"/>
        <item x="1"/>
        <item x="0"/>
        <item x="15"/>
        <item x="25"/>
        <item x="27"/>
        <item x="26"/>
        <item x="33"/>
        <item x="32"/>
        <item x="28"/>
        <item x="29"/>
        <item x="31"/>
        <item x="30"/>
        <item x="16"/>
        <item x="24"/>
        <item x="10"/>
        <item x="19"/>
        <item x="18"/>
        <item x="11"/>
        <item x="14"/>
        <item x="9"/>
        <item x="21"/>
        <item x="17"/>
        <item x="12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4">
        <item x="71"/>
        <item x="72"/>
        <item x="73"/>
        <item x="74"/>
        <item x="75"/>
        <item x="76"/>
        <item x="77"/>
        <item x="78"/>
        <item x="7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4"/>
        <item x="15"/>
        <item x="16"/>
        <item x="69"/>
        <item x="8"/>
        <item x="9"/>
        <item x="10"/>
        <item x="11"/>
        <item x="12"/>
        <item x="18"/>
        <item x="13"/>
        <item x="4"/>
        <item x="5"/>
        <item x="6"/>
        <item x="7"/>
        <item x="17"/>
        <item x="19"/>
        <item x="70"/>
        <item x="3"/>
        <item x="1"/>
        <item x="2"/>
        <item x="80"/>
        <item x="81"/>
        <item x="8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5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Sum of TDS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484BE-6D38-4E66-A5FD-CCB0CD684A36}" name="PivotTable2" cacheId="1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J1:L38" firstHeaderRow="1" firstDataRow="1" firstDataCol="2"/>
  <pivotFields count="8">
    <pivotField compact="0" outline="0" showAll="0" defaultSubtotal="0"/>
    <pivotField compact="0" outline="0" showAll="0" defaultSubtotal="0"/>
    <pivotField compact="0" numFmtId="14" outline="0" showAll="0" defaultSubtotal="0"/>
    <pivotField axis="axisRow" compact="0" outline="0" showAll="0" sortType="descending" defaultSubtotal="0">
      <items count="28">
        <item x="25"/>
        <item x="14"/>
        <item x="9"/>
        <item x="17"/>
        <item x="12"/>
        <item x="19"/>
        <item x="15"/>
        <item x="23"/>
        <item x="18"/>
        <item x="24"/>
        <item x="11"/>
        <item x="5"/>
        <item x="6"/>
        <item x="4"/>
        <item x="3"/>
        <item x="7"/>
        <item x="8"/>
        <item x="1"/>
        <item x="2"/>
        <item x="0"/>
        <item x="13"/>
        <item x="26"/>
        <item x="27"/>
        <item x="22"/>
        <item x="21"/>
        <item x="20"/>
        <item x="16"/>
        <item x="10"/>
      </items>
    </pivotField>
    <pivotField compact="0" outline="0" showAll="0" defaultSubtotal="0"/>
    <pivotField dataField="1" compact="0" numFmtId="164" outline="0" showAll="0" defaultSubtotal="0"/>
    <pivotField compact="0" outline="0" showAll="0" defaultSubtota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2">
    <field x="7"/>
    <field x="3"/>
  </rowFields>
  <rowItems count="37">
    <i>
      <x/>
      <x v="19"/>
    </i>
    <i>
      <x v="1"/>
      <x v="17"/>
    </i>
    <i>
      <x v="2"/>
      <x v="18"/>
    </i>
    <i>
      <x v="3"/>
      <x v="14"/>
    </i>
    <i>
      <x v="4"/>
      <x v="13"/>
    </i>
    <i>
      <x v="5"/>
      <x v="11"/>
    </i>
    <i>
      <x v="6"/>
      <x v="12"/>
    </i>
    <i>
      <x v="7"/>
      <x v="15"/>
    </i>
    <i>
      <x v="8"/>
      <x v="16"/>
    </i>
    <i>
      <x v="9"/>
      <x v="2"/>
    </i>
    <i>
      <x v="10"/>
      <x v="27"/>
    </i>
    <i>
      <x v="11"/>
      <x v="10"/>
    </i>
    <i>
      <x v="12"/>
      <x v="4"/>
    </i>
    <i>
      <x v="13"/>
      <x v="4"/>
    </i>
    <i r="1">
      <x v="20"/>
    </i>
    <i>
      <x v="14"/>
      <x v="10"/>
    </i>
    <i>
      <x v="15"/>
      <x v="1"/>
    </i>
    <i>
      <x v="16"/>
      <x v="6"/>
    </i>
    <i>
      <x v="17"/>
      <x v="26"/>
    </i>
    <i>
      <x v="18"/>
      <x v="1"/>
    </i>
    <i>
      <x v="19"/>
      <x v="3"/>
    </i>
    <i>
      <x v="20"/>
      <x v="8"/>
    </i>
    <i>
      <x v="21"/>
      <x v="5"/>
    </i>
    <i>
      <x v="22"/>
      <x v="5"/>
    </i>
    <i>
      <x v="23"/>
      <x v="3"/>
    </i>
    <i>
      <x v="24"/>
      <x v="25"/>
    </i>
    <i>
      <x v="25"/>
      <x v="8"/>
    </i>
    <i>
      <x v="26"/>
      <x v="24"/>
    </i>
    <i>
      <x v="27"/>
      <x v="24"/>
    </i>
    <i>
      <x v="28"/>
      <x v="23"/>
    </i>
    <i r="1">
      <x v="24"/>
    </i>
    <i>
      <x v="29"/>
      <x/>
    </i>
    <i r="1">
      <x v="7"/>
    </i>
    <i r="1">
      <x v="9"/>
    </i>
    <i r="1">
      <x v="21"/>
    </i>
    <i r="1">
      <x v="22"/>
    </i>
    <i r="1">
      <x v="24"/>
    </i>
  </rowItems>
  <colItems count="1">
    <i/>
  </colItems>
  <dataFields count="1">
    <dataField name="Sum of Company Code Currency Val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CB7C-E4DB-4044-A806-A860F9C2FF88}">
  <dimension ref="A1:B13"/>
  <sheetViews>
    <sheetView workbookViewId="0">
      <selection activeCell="B9" sqref="B9"/>
    </sheetView>
  </sheetViews>
  <sheetFormatPr defaultRowHeight="14.4"/>
  <cols>
    <col min="1" max="1" width="79.77734375" bestFit="1" customWidth="1"/>
    <col min="2" max="2" width="16.5546875" bestFit="1" customWidth="1"/>
  </cols>
  <sheetData>
    <row r="1" spans="1:2" ht="15" thickBot="1"/>
    <row r="2" spans="1:2" ht="15" thickBot="1">
      <c r="A2" s="223" t="s">
        <v>569</v>
      </c>
      <c r="B2" s="224"/>
    </row>
    <row r="3" spans="1:2" ht="15" thickBot="1">
      <c r="A3" s="109" t="s">
        <v>1</v>
      </c>
      <c r="B3" s="110" t="s">
        <v>570</v>
      </c>
    </row>
    <row r="4" spans="1:2">
      <c r="A4" s="128" t="s">
        <v>582</v>
      </c>
      <c r="B4" s="155">
        <f>'Customer data'!P188</f>
        <v>1917316.7376189991</v>
      </c>
    </row>
    <row r="5" spans="1:2">
      <c r="A5" s="129" t="s">
        <v>571</v>
      </c>
      <c r="B5" s="156">
        <f>'TDS data'!J1</f>
        <v>298205</v>
      </c>
    </row>
    <row r="6" spans="1:2">
      <c r="A6" s="129" t="s">
        <v>584</v>
      </c>
      <c r="B6" s="157">
        <f>'Credit Note in customers books'!L5</f>
        <v>397146.73835519992</v>
      </c>
    </row>
    <row r="7" spans="1:2">
      <c r="A7" s="129" t="s">
        <v>580</v>
      </c>
      <c r="B7" s="157">
        <f>-'Difference in Invoice value  '!L8</f>
        <v>-5055.660211873188</v>
      </c>
    </row>
    <row r="8" spans="1:2">
      <c r="A8" s="129" t="s">
        <v>581</v>
      </c>
      <c r="B8" s="157">
        <f>'Duplicate CN in Ascenudes Books'!H3</f>
        <v>-7510.05</v>
      </c>
    </row>
    <row r="9" spans="1:2">
      <c r="A9" s="129" t="s">
        <v>583</v>
      </c>
      <c r="B9" s="157">
        <f>Sheet5!G15</f>
        <v>-464928.21215392707</v>
      </c>
    </row>
    <row r="10" spans="1:2">
      <c r="A10" s="129" t="s">
        <v>572</v>
      </c>
      <c r="B10" s="157">
        <f>SUM(B4:B9)</f>
        <v>2135174.5536083989</v>
      </c>
    </row>
    <row r="11" spans="1:2">
      <c r="A11" s="129" t="s">
        <v>573</v>
      </c>
      <c r="B11" s="157">
        <f>'Ascendus Data'!U337</f>
        <v>2135174.5600000019</v>
      </c>
    </row>
    <row r="12" spans="1:2" ht="15" thickBot="1">
      <c r="A12" s="130"/>
      <c r="B12" s="158"/>
    </row>
    <row r="13" spans="1:2" ht="15" thickBot="1">
      <c r="A13" s="111" t="s">
        <v>544</v>
      </c>
      <c r="B13" s="112">
        <f>B10-B11-B12</f>
        <v>-6.3916030339896679E-3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58FB-043B-407E-944C-CB0AAD24AF99}">
  <dimension ref="A1:G15"/>
  <sheetViews>
    <sheetView workbookViewId="0">
      <selection activeCell="A6" sqref="A6"/>
    </sheetView>
  </sheetViews>
  <sheetFormatPr defaultRowHeight="14.4"/>
  <cols>
    <col min="1" max="1" width="5.33203125" bestFit="1" customWidth="1"/>
    <col min="2" max="2" width="10" customWidth="1"/>
    <col min="3" max="3" width="15.33203125" customWidth="1"/>
    <col min="4" max="4" width="7.33203125" customWidth="1"/>
    <col min="5" max="5" width="7.77734375" customWidth="1"/>
    <col min="6" max="6" width="20.44140625" style="61" customWidth="1"/>
    <col min="7" max="7" width="12.88671875" bestFit="1" customWidth="1"/>
  </cols>
  <sheetData>
    <row r="1" spans="1:7" ht="15" thickBot="1"/>
    <row r="2" spans="1:7" s="70" customFormat="1" ht="28.8">
      <c r="A2" s="101" t="s">
        <v>562</v>
      </c>
      <c r="B2" s="102" t="s">
        <v>4</v>
      </c>
      <c r="C2" s="103" t="s">
        <v>286</v>
      </c>
      <c r="D2" s="101" t="s">
        <v>562</v>
      </c>
      <c r="E2" s="102" t="s">
        <v>4</v>
      </c>
      <c r="F2" s="106" t="s">
        <v>548</v>
      </c>
    </row>
    <row r="3" spans="1:7">
      <c r="A3" s="98">
        <v>2025</v>
      </c>
      <c r="B3" s="43" t="s">
        <v>553</v>
      </c>
      <c r="C3" s="104">
        <v>0</v>
      </c>
      <c r="D3" s="98">
        <v>2025</v>
      </c>
      <c r="E3" s="43" t="s">
        <v>553</v>
      </c>
      <c r="F3" s="107">
        <v>267943.73</v>
      </c>
      <c r="G3" s="61">
        <f>C3+F3</f>
        <v>267943.73</v>
      </c>
    </row>
    <row r="4" spans="1:7">
      <c r="A4" s="98">
        <v>2025</v>
      </c>
      <c r="B4" s="43" t="s">
        <v>564</v>
      </c>
      <c r="C4" s="104">
        <v>-291173.73000000004</v>
      </c>
      <c r="D4" s="98">
        <v>2025</v>
      </c>
      <c r="E4" s="43" t="s">
        <v>564</v>
      </c>
      <c r="F4" s="107">
        <v>0</v>
      </c>
      <c r="G4" s="61">
        <f t="shared" ref="G4:G14" si="0">C4+F4</f>
        <v>-291173.73000000004</v>
      </c>
    </row>
    <row r="5" spans="1:7">
      <c r="A5" s="98">
        <v>2025</v>
      </c>
      <c r="B5" s="43" t="s">
        <v>555</v>
      </c>
      <c r="C5" s="104">
        <v>0</v>
      </c>
      <c r="D5" s="98">
        <v>2025</v>
      </c>
      <c r="E5" s="43" t="s">
        <v>555</v>
      </c>
      <c r="F5" s="107">
        <v>112111.94675619999</v>
      </c>
      <c r="G5" s="61">
        <f t="shared" si="0"/>
        <v>112111.94675619999</v>
      </c>
    </row>
    <row r="6" spans="1:7">
      <c r="A6" s="98">
        <v>2025</v>
      </c>
      <c r="B6" s="43" t="s">
        <v>556</v>
      </c>
      <c r="C6" s="104">
        <v>-341000</v>
      </c>
      <c r="D6" s="98">
        <v>2025</v>
      </c>
      <c r="E6" s="43" t="s">
        <v>556</v>
      </c>
      <c r="F6" s="107">
        <v>905889.53222227318</v>
      </c>
      <c r="G6" s="61">
        <f t="shared" si="0"/>
        <v>564889.53222227318</v>
      </c>
    </row>
    <row r="7" spans="1:7">
      <c r="A7" s="98">
        <v>2025</v>
      </c>
      <c r="B7" s="43" t="s">
        <v>558</v>
      </c>
      <c r="C7" s="104">
        <v>0</v>
      </c>
      <c r="D7" s="98">
        <v>2025</v>
      </c>
      <c r="E7" s="43" t="s">
        <v>558</v>
      </c>
      <c r="F7" s="107">
        <v>475086.93884159997</v>
      </c>
      <c r="G7" s="61">
        <f t="shared" si="0"/>
        <v>475086.93884159997</v>
      </c>
    </row>
    <row r="8" spans="1:7">
      <c r="A8" s="98">
        <v>2025</v>
      </c>
      <c r="B8" s="43" t="s">
        <v>559</v>
      </c>
      <c r="C8" s="104">
        <v>0</v>
      </c>
      <c r="D8" s="98">
        <v>2025</v>
      </c>
      <c r="E8" s="43" t="s">
        <v>559</v>
      </c>
      <c r="F8" s="107">
        <v>602275.11114719999</v>
      </c>
      <c r="G8" s="61">
        <f t="shared" si="0"/>
        <v>602275.11114719999</v>
      </c>
    </row>
    <row r="9" spans="1:7">
      <c r="A9" s="98">
        <v>2025</v>
      </c>
      <c r="B9" s="43" t="s">
        <v>560</v>
      </c>
      <c r="C9" s="104">
        <v>0</v>
      </c>
      <c r="D9" s="98">
        <v>2025</v>
      </c>
      <c r="E9" s="43" t="s">
        <v>560</v>
      </c>
      <c r="F9" s="107">
        <v>124189.2270612</v>
      </c>
      <c r="G9" s="61">
        <f t="shared" si="0"/>
        <v>124189.2270612</v>
      </c>
    </row>
    <row r="10" spans="1:7">
      <c r="A10" s="98">
        <v>2025</v>
      </c>
      <c r="B10" s="43" t="s">
        <v>561</v>
      </c>
      <c r="C10" s="104">
        <v>-1805272.19</v>
      </c>
      <c r="D10" s="98">
        <v>2025</v>
      </c>
      <c r="E10" s="43" t="s">
        <v>561</v>
      </c>
      <c r="F10" s="107">
        <v>663652.50366669998</v>
      </c>
      <c r="G10" s="61">
        <f t="shared" si="0"/>
        <v>-1141619.6863333001</v>
      </c>
    </row>
    <row r="11" spans="1:7">
      <c r="A11" s="98">
        <v>2025</v>
      </c>
      <c r="B11" s="43" t="s">
        <v>565</v>
      </c>
      <c r="C11" s="104">
        <v>-1129444.9000000001</v>
      </c>
      <c r="D11" s="98">
        <v>2025</v>
      </c>
      <c r="E11" s="43" t="s">
        <v>565</v>
      </c>
      <c r="F11" s="107">
        <v>0</v>
      </c>
      <c r="G11" s="61">
        <f t="shared" si="0"/>
        <v>-1129444.9000000001</v>
      </c>
    </row>
    <row r="12" spans="1:7">
      <c r="A12" s="98">
        <v>2025</v>
      </c>
      <c r="B12" s="43" t="s">
        <v>550</v>
      </c>
      <c r="C12" s="104">
        <v>-422946.17</v>
      </c>
      <c r="D12" s="98">
        <v>2025</v>
      </c>
      <c r="E12" s="43" t="s">
        <v>550</v>
      </c>
      <c r="F12" s="107">
        <v>375012.80158570001</v>
      </c>
      <c r="G12" s="61">
        <f t="shared" si="0"/>
        <v>-47933.36841429997</v>
      </c>
    </row>
    <row r="13" spans="1:7">
      <c r="A13" s="98">
        <v>2026</v>
      </c>
      <c r="B13" s="43" t="s">
        <v>566</v>
      </c>
      <c r="C13" s="104">
        <v>-1253.0099999999984</v>
      </c>
      <c r="D13" s="98">
        <v>2026</v>
      </c>
      <c r="E13" s="43" t="s">
        <v>566</v>
      </c>
      <c r="F13" s="107">
        <v>0</v>
      </c>
      <c r="G13" s="61">
        <f t="shared" si="0"/>
        <v>-1253.0099999999984</v>
      </c>
    </row>
    <row r="14" spans="1:7" ht="15" thickBot="1">
      <c r="A14" s="99">
        <v>2026</v>
      </c>
      <c r="B14" s="100" t="s">
        <v>552</v>
      </c>
      <c r="C14" s="105">
        <v>-31395.719999999998</v>
      </c>
      <c r="D14" s="99">
        <v>2026</v>
      </c>
      <c r="E14" s="100" t="s">
        <v>552</v>
      </c>
      <c r="F14" s="108">
        <v>31395.716565200004</v>
      </c>
      <c r="G14" s="61">
        <f t="shared" si="0"/>
        <v>-3.4347999935562257E-3</v>
      </c>
    </row>
    <row r="15" spans="1:7">
      <c r="C15" s="65">
        <f>SUM(C3:C14)</f>
        <v>-4022485.72</v>
      </c>
      <c r="F15" s="61">
        <f>SUM(F3:F14)</f>
        <v>3557557.5078460728</v>
      </c>
      <c r="G15" s="65">
        <f>SUM(G3:G14)</f>
        <v>-464928.21215392707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B029-B200-4EAF-AA3B-8F8F33D6422B}">
  <dimension ref="A1:H92"/>
  <sheetViews>
    <sheetView topLeftCell="A2" workbookViewId="0">
      <selection activeCell="E14" sqref="E14:H23"/>
    </sheetView>
  </sheetViews>
  <sheetFormatPr defaultRowHeight="14.4"/>
  <cols>
    <col min="1" max="1" width="10.109375" bestFit="1" customWidth="1"/>
    <col min="2" max="2" width="14.5546875" bestFit="1" customWidth="1"/>
    <col min="3" max="3" width="24.109375" bestFit="1" customWidth="1"/>
    <col min="5" max="5" width="12.33203125" bestFit="1" customWidth="1"/>
    <col min="6" max="6" width="19.6640625" bestFit="1" customWidth="1"/>
    <col min="7" max="7" width="7.109375" bestFit="1" customWidth="1"/>
    <col min="8" max="8" width="19.6640625" bestFit="1" customWidth="1"/>
  </cols>
  <sheetData>
    <row r="1" spans="1:8">
      <c r="A1" s="225" t="s">
        <v>547</v>
      </c>
      <c r="B1" s="226"/>
      <c r="C1" s="226"/>
    </row>
    <row r="2" spans="1:8">
      <c r="A2" s="81" t="s">
        <v>4</v>
      </c>
      <c r="B2" s="82" t="s">
        <v>12</v>
      </c>
      <c r="C2" s="91" t="s">
        <v>13</v>
      </c>
      <c r="E2" s="95" t="s">
        <v>562</v>
      </c>
      <c r="F2" s="95" t="s">
        <v>563</v>
      </c>
      <c r="G2" s="95" t="s">
        <v>4</v>
      </c>
      <c r="H2" t="s">
        <v>548</v>
      </c>
    </row>
    <row r="3" spans="1:8">
      <c r="A3" s="83">
        <v>45728</v>
      </c>
      <c r="B3" s="84">
        <v>69973.16</v>
      </c>
      <c r="C3" s="92" t="s">
        <v>57</v>
      </c>
      <c r="E3" t="s">
        <v>302</v>
      </c>
      <c r="F3" t="s">
        <v>551</v>
      </c>
      <c r="G3" s="97" t="s">
        <v>553</v>
      </c>
      <c r="H3" s="96">
        <v>267943.73</v>
      </c>
    </row>
    <row r="4" spans="1:8">
      <c r="A4" s="83">
        <v>45728</v>
      </c>
      <c r="B4" s="84">
        <v>28756.3</v>
      </c>
      <c r="C4" s="92" t="s">
        <v>64</v>
      </c>
      <c r="F4" t="s">
        <v>554</v>
      </c>
      <c r="G4" s="97" t="s">
        <v>555</v>
      </c>
      <c r="H4" s="96">
        <v>112111.94675619999</v>
      </c>
    </row>
    <row r="5" spans="1:8">
      <c r="A5" s="83">
        <v>45728</v>
      </c>
      <c r="B5" s="84">
        <v>97112.2</v>
      </c>
      <c r="C5" s="92" t="s">
        <v>74</v>
      </c>
      <c r="G5" s="97" t="s">
        <v>556</v>
      </c>
      <c r="H5" s="96">
        <v>905889.53222227318</v>
      </c>
    </row>
    <row r="6" spans="1:8">
      <c r="A6" s="83">
        <v>45740</v>
      </c>
      <c r="B6" s="84">
        <v>11330.33</v>
      </c>
      <c r="C6" s="92" t="s">
        <v>22</v>
      </c>
      <c r="F6" t="s">
        <v>557</v>
      </c>
      <c r="G6" s="97" t="s">
        <v>558</v>
      </c>
      <c r="H6" s="96">
        <v>475086.93884159997</v>
      </c>
    </row>
    <row r="7" spans="1:8">
      <c r="A7" s="83">
        <v>45740</v>
      </c>
      <c r="B7" s="84">
        <v>18128.12</v>
      </c>
      <c r="C7" s="92" t="s">
        <v>37</v>
      </c>
      <c r="G7" s="97" t="s">
        <v>559</v>
      </c>
      <c r="H7" s="96">
        <v>602275.11114719999</v>
      </c>
    </row>
    <row r="8" spans="1:8">
      <c r="A8" s="83">
        <v>45740</v>
      </c>
      <c r="B8" s="84">
        <v>18128.12</v>
      </c>
      <c r="C8" s="92" t="s">
        <v>49</v>
      </c>
      <c r="G8" s="97" t="s">
        <v>560</v>
      </c>
      <c r="H8" s="96">
        <v>124189.2270612</v>
      </c>
    </row>
    <row r="9" spans="1:8">
      <c r="A9" s="83">
        <v>45740</v>
      </c>
      <c r="B9" s="84">
        <v>4532.53</v>
      </c>
      <c r="C9" s="92" t="s">
        <v>66</v>
      </c>
      <c r="F9" t="s">
        <v>549</v>
      </c>
      <c r="G9" s="97" t="s">
        <v>561</v>
      </c>
      <c r="H9" s="96">
        <v>663652.50366669998</v>
      </c>
    </row>
    <row r="10" spans="1:8">
      <c r="A10" s="83">
        <v>45740</v>
      </c>
      <c r="B10" s="84">
        <v>15450.44</v>
      </c>
      <c r="C10" s="92" t="s">
        <v>77</v>
      </c>
      <c r="G10" s="97" t="s">
        <v>550</v>
      </c>
      <c r="H10" s="96">
        <v>375012.80158570001</v>
      </c>
    </row>
    <row r="11" spans="1:8">
      <c r="A11" s="83">
        <v>45740</v>
      </c>
      <c r="B11" s="84">
        <v>4532.53</v>
      </c>
      <c r="C11" s="92" t="s">
        <v>83</v>
      </c>
      <c r="E11" t="s">
        <v>530</v>
      </c>
      <c r="F11" t="s">
        <v>551</v>
      </c>
      <c r="G11" s="97" t="s">
        <v>552</v>
      </c>
      <c r="H11" s="96">
        <v>31395.716565200004</v>
      </c>
    </row>
    <row r="12" spans="1:8">
      <c r="A12" s="83">
        <v>45791</v>
      </c>
      <c r="B12" s="85">
        <v>28538.079935999998</v>
      </c>
      <c r="C12" s="92" t="s">
        <v>94</v>
      </c>
    </row>
    <row r="13" spans="1:8">
      <c r="A13" s="83">
        <v>45791</v>
      </c>
      <c r="B13" s="86">
        <v>24143.251442599998</v>
      </c>
      <c r="C13" s="92" t="s">
        <v>94</v>
      </c>
    </row>
    <row r="14" spans="1:8">
      <c r="A14" s="83">
        <v>45791</v>
      </c>
      <c r="B14" s="86">
        <v>6746.2081440000002</v>
      </c>
      <c r="C14" s="92" t="s">
        <v>94</v>
      </c>
      <c r="E14" t="s">
        <v>562</v>
      </c>
      <c r="F14" t="s">
        <v>563</v>
      </c>
      <c r="G14" t="s">
        <v>4</v>
      </c>
      <c r="H14" t="s">
        <v>548</v>
      </c>
    </row>
    <row r="15" spans="1:8">
      <c r="A15" s="83">
        <v>45791</v>
      </c>
      <c r="B15" s="86">
        <v>11040.067872</v>
      </c>
      <c r="C15" s="92" t="s">
        <v>94</v>
      </c>
      <c r="E15" t="s">
        <v>302</v>
      </c>
      <c r="F15" t="s">
        <v>551</v>
      </c>
      <c r="G15" t="s">
        <v>553</v>
      </c>
      <c r="H15">
        <v>267943.73</v>
      </c>
    </row>
    <row r="16" spans="1:8">
      <c r="A16" s="83">
        <v>45791</v>
      </c>
      <c r="B16" s="86">
        <v>24143.251442599998</v>
      </c>
      <c r="C16" s="92" t="s">
        <v>94</v>
      </c>
      <c r="F16" t="s">
        <v>554</v>
      </c>
      <c r="G16" t="s">
        <v>555</v>
      </c>
      <c r="H16">
        <v>112111.94675619999</v>
      </c>
    </row>
    <row r="17" spans="1:8">
      <c r="A17" s="83">
        <v>45791</v>
      </c>
      <c r="B17" s="86">
        <v>11040.067872</v>
      </c>
      <c r="C17" s="92" t="s">
        <v>94</v>
      </c>
      <c r="G17" t="s">
        <v>556</v>
      </c>
      <c r="H17">
        <v>905889.53222227318</v>
      </c>
    </row>
    <row r="18" spans="1:8">
      <c r="A18" s="83">
        <v>45791</v>
      </c>
      <c r="B18" s="86">
        <v>6461.0200469999991</v>
      </c>
      <c r="C18" s="92" t="s">
        <v>94</v>
      </c>
      <c r="F18" t="s">
        <v>557</v>
      </c>
      <c r="G18" t="s">
        <v>558</v>
      </c>
      <c r="H18">
        <v>475086.93884159997</v>
      </c>
    </row>
    <row r="19" spans="1:8">
      <c r="A19" s="83">
        <v>45813</v>
      </c>
      <c r="B19" s="84">
        <v>2186.2831194</v>
      </c>
      <c r="C19" s="92" t="s">
        <v>149</v>
      </c>
      <c r="G19" t="s">
        <v>559</v>
      </c>
      <c r="H19">
        <v>602275.11114719999</v>
      </c>
    </row>
    <row r="20" spans="1:8">
      <c r="A20" s="83">
        <v>45813</v>
      </c>
      <c r="B20" s="84">
        <v>3566.6900209999999</v>
      </c>
      <c r="C20" s="92" t="s">
        <v>149</v>
      </c>
      <c r="G20" t="s">
        <v>560</v>
      </c>
      <c r="H20">
        <v>124189.2270612</v>
      </c>
    </row>
    <row r="21" spans="1:8">
      <c r="A21" s="83">
        <v>45813</v>
      </c>
      <c r="B21" s="84">
        <v>8026.5902448000006</v>
      </c>
      <c r="C21" s="92" t="s">
        <v>149</v>
      </c>
      <c r="F21" t="s">
        <v>549</v>
      </c>
      <c r="G21" t="s">
        <v>561</v>
      </c>
      <c r="H21">
        <v>663652.50366669998</v>
      </c>
    </row>
    <row r="22" spans="1:8">
      <c r="A22" s="83">
        <v>45813</v>
      </c>
      <c r="B22" s="84">
        <v>2293.6640200000002</v>
      </c>
      <c r="C22" s="92" t="s">
        <v>149</v>
      </c>
      <c r="G22" t="s">
        <v>550</v>
      </c>
      <c r="H22">
        <v>375012.80158570001</v>
      </c>
    </row>
    <row r="23" spans="1:8">
      <c r="A23" s="83">
        <v>45813</v>
      </c>
      <c r="B23" s="84">
        <v>3670.0624320000002</v>
      </c>
      <c r="C23" s="92" t="s">
        <v>149</v>
      </c>
      <c r="E23" t="s">
        <v>530</v>
      </c>
      <c r="F23" t="s">
        <v>551</v>
      </c>
      <c r="G23" t="s">
        <v>552</v>
      </c>
      <c r="H23">
        <v>31395.716565200004</v>
      </c>
    </row>
    <row r="24" spans="1:8">
      <c r="A24" s="83">
        <v>45813</v>
      </c>
      <c r="B24" s="84">
        <v>8026.5902448000006</v>
      </c>
      <c r="C24" s="92" t="s">
        <v>149</v>
      </c>
    </row>
    <row r="25" spans="1:8">
      <c r="A25" s="83">
        <v>45813</v>
      </c>
      <c r="B25" s="84">
        <v>2293.6640200000002</v>
      </c>
      <c r="C25" s="92" t="s">
        <v>149</v>
      </c>
    </row>
    <row r="26" spans="1:8">
      <c r="A26" s="83">
        <v>45813</v>
      </c>
      <c r="B26" s="84">
        <v>3670.0624320000002</v>
      </c>
      <c r="C26" s="92" t="s">
        <v>149</v>
      </c>
    </row>
    <row r="27" spans="1:8">
      <c r="A27" s="83">
        <v>45813</v>
      </c>
      <c r="B27" s="84">
        <v>16052.313576999999</v>
      </c>
      <c r="C27" s="92" t="s">
        <v>149</v>
      </c>
    </row>
    <row r="28" spans="1:8">
      <c r="A28" s="83">
        <v>45813</v>
      </c>
      <c r="B28" s="84">
        <v>4587.3280400000003</v>
      </c>
      <c r="C28" s="92" t="s">
        <v>149</v>
      </c>
    </row>
    <row r="29" spans="1:8">
      <c r="A29" s="83">
        <v>45813</v>
      </c>
      <c r="B29" s="84">
        <v>7340.1248640000003</v>
      </c>
      <c r="C29" s="92" t="s">
        <v>149</v>
      </c>
    </row>
    <row r="30" spans="1:8">
      <c r="A30" s="83">
        <v>45813</v>
      </c>
      <c r="B30" s="84">
        <v>15921.620115</v>
      </c>
      <c r="C30" s="92" t="s">
        <v>149</v>
      </c>
    </row>
    <row r="31" spans="1:8">
      <c r="A31" s="83">
        <v>45813</v>
      </c>
      <c r="B31" s="84">
        <v>15921.620115</v>
      </c>
      <c r="C31" s="92" t="s">
        <v>149</v>
      </c>
    </row>
    <row r="32" spans="1:8">
      <c r="A32" s="83">
        <v>45813</v>
      </c>
      <c r="B32" s="84">
        <v>57739.158243999998</v>
      </c>
      <c r="C32" s="92" t="s">
        <v>149</v>
      </c>
    </row>
    <row r="33" spans="1:3">
      <c r="A33" s="83">
        <v>45813</v>
      </c>
      <c r="B33" s="84">
        <v>4339.1605499999996</v>
      </c>
      <c r="C33" s="92" t="s">
        <v>149</v>
      </c>
    </row>
    <row r="34" spans="1:3">
      <c r="A34" s="83">
        <v>45813</v>
      </c>
      <c r="B34" s="84">
        <v>3551.353118</v>
      </c>
      <c r="C34" s="92" t="s">
        <v>149</v>
      </c>
    </row>
    <row r="35" spans="1:3">
      <c r="A35" s="83">
        <v>45813</v>
      </c>
      <c r="B35" s="84">
        <v>341000</v>
      </c>
      <c r="C35" s="92" t="s">
        <v>264</v>
      </c>
    </row>
    <row r="36" spans="1:3">
      <c r="A36" s="83">
        <v>45821</v>
      </c>
      <c r="B36" s="84">
        <v>4358.9368009999998</v>
      </c>
      <c r="C36" s="92" t="s">
        <v>32</v>
      </c>
    </row>
    <row r="37" spans="1:3">
      <c r="A37" s="83">
        <v>45822</v>
      </c>
      <c r="B37" s="84">
        <v>10780</v>
      </c>
      <c r="C37" s="92" t="s">
        <v>32</v>
      </c>
    </row>
    <row r="38" spans="1:3">
      <c r="A38" s="83">
        <v>45822</v>
      </c>
      <c r="B38" s="84">
        <v>6468</v>
      </c>
      <c r="C38" s="92" t="s">
        <v>32</v>
      </c>
    </row>
    <row r="39" spans="1:3">
      <c r="A39" s="83">
        <v>45822</v>
      </c>
      <c r="B39" s="84">
        <v>4208.8858150000005</v>
      </c>
      <c r="C39" s="92" t="s">
        <v>32</v>
      </c>
    </row>
    <row r="40" spans="1:3">
      <c r="A40" s="83">
        <v>45822</v>
      </c>
      <c r="B40" s="84">
        <v>8897.8787199999988</v>
      </c>
      <c r="C40" s="92" t="s">
        <v>32</v>
      </c>
    </row>
    <row r="41" spans="1:3">
      <c r="A41" s="83">
        <v>45822</v>
      </c>
      <c r="B41" s="84">
        <v>31843.240229999999</v>
      </c>
      <c r="C41" s="92" t="s">
        <v>32</v>
      </c>
    </row>
    <row r="42" spans="1:3">
      <c r="A42" s="83">
        <v>45822</v>
      </c>
      <c r="B42" s="84">
        <v>14560.98336</v>
      </c>
      <c r="C42" s="92" t="s">
        <v>32</v>
      </c>
    </row>
    <row r="43" spans="1:3">
      <c r="A43" s="83">
        <v>45822</v>
      </c>
      <c r="B43" s="84">
        <v>145291.48821587319</v>
      </c>
      <c r="C43" s="92" t="s">
        <v>32</v>
      </c>
    </row>
    <row r="44" spans="1:3">
      <c r="A44" s="83">
        <v>45833</v>
      </c>
      <c r="B44" s="84">
        <v>4189.5389999999998</v>
      </c>
      <c r="C44" s="92" t="s">
        <v>166</v>
      </c>
    </row>
    <row r="45" spans="1:3">
      <c r="A45" s="83">
        <v>45833</v>
      </c>
      <c r="B45" s="84">
        <v>90483.042400000006</v>
      </c>
      <c r="C45" s="92" t="s">
        <v>166</v>
      </c>
    </row>
    <row r="46" spans="1:3">
      <c r="A46" s="83">
        <v>45833</v>
      </c>
      <c r="B46" s="84">
        <v>13572.506359999999</v>
      </c>
      <c r="C46" s="92" t="s">
        <v>166</v>
      </c>
    </row>
    <row r="47" spans="1:3">
      <c r="A47" s="83">
        <v>45833</v>
      </c>
      <c r="B47" s="84">
        <v>46096.027156000004</v>
      </c>
      <c r="C47" s="92" t="s">
        <v>166</v>
      </c>
    </row>
    <row r="48" spans="1:3">
      <c r="A48" s="83">
        <v>45833</v>
      </c>
      <c r="B48" s="84">
        <v>3236.5088314000004</v>
      </c>
      <c r="C48" s="92" t="s">
        <v>166</v>
      </c>
    </row>
    <row r="49" spans="1:3">
      <c r="A49" s="83">
        <v>45833</v>
      </c>
      <c r="B49" s="84">
        <v>21716.210176000001</v>
      </c>
      <c r="C49" s="92" t="s">
        <v>166</v>
      </c>
    </row>
    <row r="50" spans="1:3">
      <c r="A50" s="83">
        <v>45861</v>
      </c>
      <c r="B50" s="84">
        <v>75724.422912000009</v>
      </c>
      <c r="C50" s="92" t="s">
        <v>19</v>
      </c>
    </row>
    <row r="51" spans="1:3">
      <c r="A51" s="83">
        <v>45861</v>
      </c>
      <c r="B51" s="84">
        <v>117900.32934400001</v>
      </c>
      <c r="C51" s="92" t="s">
        <v>19</v>
      </c>
    </row>
    <row r="52" spans="1:3">
      <c r="A52" s="83">
        <v>45861</v>
      </c>
      <c r="B52" s="84">
        <v>235800.65868799994</v>
      </c>
      <c r="C52" s="92" t="s">
        <v>19</v>
      </c>
    </row>
    <row r="53" spans="1:3">
      <c r="A53" s="83">
        <v>45861</v>
      </c>
      <c r="B53" s="86">
        <v>45661.527897599997</v>
      </c>
      <c r="C53" s="92" t="s">
        <v>19</v>
      </c>
    </row>
    <row r="54" spans="1:3">
      <c r="A54" s="83">
        <v>45891</v>
      </c>
      <c r="B54" s="84">
        <v>37895.481252099999</v>
      </c>
      <c r="C54" s="92" t="s">
        <v>198</v>
      </c>
    </row>
    <row r="55" spans="1:3">
      <c r="A55" s="83">
        <v>45891</v>
      </c>
      <c r="B55" s="84">
        <v>7093.6763939000002</v>
      </c>
      <c r="C55" s="92" t="s">
        <v>198</v>
      </c>
    </row>
    <row r="56" spans="1:3">
      <c r="A56" s="83">
        <v>45891</v>
      </c>
      <c r="B56" s="84">
        <v>15934.69268</v>
      </c>
      <c r="C56" s="92" t="s">
        <v>198</v>
      </c>
    </row>
    <row r="57" spans="1:3">
      <c r="A57" s="83">
        <v>45891</v>
      </c>
      <c r="B57" s="84">
        <v>295083.42</v>
      </c>
      <c r="C57" s="92" t="s">
        <v>198</v>
      </c>
    </row>
    <row r="58" spans="1:3">
      <c r="A58" s="83">
        <v>45891</v>
      </c>
      <c r="B58" s="84">
        <v>93274.562960799987</v>
      </c>
      <c r="C58" s="92" t="s">
        <v>198</v>
      </c>
    </row>
    <row r="59" spans="1:3">
      <c r="A59" s="83">
        <v>45891</v>
      </c>
      <c r="B59" s="84">
        <v>12711.761192400001</v>
      </c>
      <c r="C59" s="92" t="s">
        <v>198</v>
      </c>
    </row>
    <row r="60" spans="1:3">
      <c r="A60" s="83">
        <v>45891</v>
      </c>
      <c r="B60" s="84">
        <v>10400.675603199999</v>
      </c>
      <c r="C60" s="92" t="s">
        <v>198</v>
      </c>
    </row>
    <row r="61" spans="1:3">
      <c r="A61" s="83">
        <v>45891</v>
      </c>
      <c r="B61" s="84">
        <v>22763.132399999999</v>
      </c>
      <c r="C61" s="92" t="s">
        <v>198</v>
      </c>
    </row>
    <row r="62" spans="1:3">
      <c r="A62" s="83">
        <v>45896</v>
      </c>
      <c r="B62" s="84">
        <v>27271.162916400001</v>
      </c>
      <c r="C62" s="92" t="s">
        <v>209</v>
      </c>
    </row>
    <row r="63" spans="1:3">
      <c r="A63" s="83">
        <v>45896</v>
      </c>
      <c r="B63" s="84">
        <v>79846.545748400007</v>
      </c>
      <c r="C63" s="92" t="s">
        <v>209</v>
      </c>
    </row>
    <row r="64" spans="1:3">
      <c r="A64" s="83">
        <v>45905</v>
      </c>
      <c r="B64" s="84">
        <v>54987.704565200002</v>
      </c>
      <c r="C64" s="92" t="s">
        <v>212</v>
      </c>
    </row>
    <row r="65" spans="1:3">
      <c r="A65" s="83">
        <v>45905</v>
      </c>
      <c r="B65" s="84">
        <v>25495.508287999997</v>
      </c>
      <c r="C65" s="92" t="s">
        <v>212</v>
      </c>
    </row>
    <row r="66" spans="1:3">
      <c r="A66" s="83">
        <v>45905</v>
      </c>
      <c r="B66" s="84">
        <v>43706.014207999993</v>
      </c>
      <c r="C66" s="92" t="s">
        <v>212</v>
      </c>
    </row>
    <row r="67" spans="1:3">
      <c r="A67" s="83">
        <v>45932</v>
      </c>
      <c r="B67" s="84">
        <v>133225.51016200002</v>
      </c>
      <c r="C67" s="92" t="s">
        <v>206</v>
      </c>
    </row>
    <row r="68" spans="1:3">
      <c r="A68" s="83">
        <v>45932</v>
      </c>
      <c r="B68" s="84">
        <v>1734.6395683999999</v>
      </c>
      <c r="C68" s="92" t="s">
        <v>206</v>
      </c>
    </row>
    <row r="69" spans="1:3">
      <c r="A69" s="83">
        <v>45932</v>
      </c>
      <c r="B69" s="84">
        <v>7965.1257376000003</v>
      </c>
      <c r="C69" s="92" t="s">
        <v>206</v>
      </c>
    </row>
    <row r="70" spans="1:3">
      <c r="A70" s="83">
        <v>45932</v>
      </c>
      <c r="B70" s="84">
        <v>2147.3588231999997</v>
      </c>
      <c r="C70" s="92" t="s">
        <v>206</v>
      </c>
    </row>
    <row r="71" spans="1:3">
      <c r="A71" s="83">
        <v>45932</v>
      </c>
      <c r="B71" s="84">
        <v>1757.1686216999999</v>
      </c>
      <c r="C71" s="92" t="s">
        <v>206</v>
      </c>
    </row>
    <row r="72" spans="1:3">
      <c r="A72" s="83">
        <v>45932</v>
      </c>
      <c r="B72" s="84">
        <v>761.12725040000009</v>
      </c>
      <c r="C72" s="92" t="s">
        <v>206</v>
      </c>
    </row>
    <row r="73" spans="1:3">
      <c r="A73" s="83">
        <v>45932</v>
      </c>
      <c r="B73" s="84">
        <v>35334.903960000003</v>
      </c>
      <c r="C73" s="92" t="s">
        <v>206</v>
      </c>
    </row>
    <row r="74" spans="1:3">
      <c r="A74" s="83">
        <v>45932</v>
      </c>
      <c r="B74" s="84">
        <v>2315.8869100000002</v>
      </c>
      <c r="C74" s="92" t="s">
        <v>206</v>
      </c>
    </row>
    <row r="75" spans="1:3">
      <c r="A75" s="83">
        <v>45932</v>
      </c>
      <c r="B75" s="84">
        <v>8103.3538984000006</v>
      </c>
      <c r="C75" s="92" t="s">
        <v>206</v>
      </c>
    </row>
    <row r="76" spans="1:3">
      <c r="A76" s="83">
        <v>45932</v>
      </c>
      <c r="B76" s="84">
        <v>3704.6190560000005</v>
      </c>
      <c r="C76" s="92" t="s">
        <v>206</v>
      </c>
    </row>
    <row r="77" spans="1:3">
      <c r="A77" s="83">
        <v>45932</v>
      </c>
      <c r="B77" s="84">
        <v>8103.3538984000006</v>
      </c>
      <c r="C77" s="92" t="s">
        <v>206</v>
      </c>
    </row>
    <row r="78" spans="1:3">
      <c r="A78" s="83">
        <v>45932</v>
      </c>
      <c r="B78" s="84">
        <v>3704.6190560000005</v>
      </c>
      <c r="C78" s="92" t="s">
        <v>206</v>
      </c>
    </row>
    <row r="79" spans="1:3">
      <c r="A79" s="83">
        <v>45932</v>
      </c>
      <c r="B79" s="87">
        <v>125885.4033524</v>
      </c>
      <c r="C79" s="92" t="s">
        <v>206</v>
      </c>
    </row>
    <row r="80" spans="1:3">
      <c r="A80" s="83">
        <v>45932</v>
      </c>
      <c r="B80" s="84">
        <v>4317.4713722000006</v>
      </c>
      <c r="C80" s="92" t="s">
        <v>206</v>
      </c>
    </row>
    <row r="81" spans="1:3">
      <c r="A81" s="83">
        <v>45933</v>
      </c>
      <c r="B81" s="84">
        <v>324591.962</v>
      </c>
      <c r="C81" s="92" t="s">
        <v>225</v>
      </c>
    </row>
    <row r="82" spans="1:3">
      <c r="A82" s="83">
        <v>45993</v>
      </c>
      <c r="B82" s="84">
        <v>251990.62622040001</v>
      </c>
      <c r="C82" s="92" t="s">
        <v>196</v>
      </c>
    </row>
    <row r="83" spans="1:3">
      <c r="A83" s="83">
        <v>45993</v>
      </c>
      <c r="B83" s="84">
        <v>15170.1206</v>
      </c>
      <c r="C83" s="92" t="s">
        <v>196</v>
      </c>
    </row>
    <row r="84" spans="1:3">
      <c r="A84" s="83">
        <v>45993</v>
      </c>
      <c r="B84" s="84">
        <v>30249.769499999999</v>
      </c>
      <c r="C84" s="92" t="s">
        <v>196</v>
      </c>
    </row>
    <row r="85" spans="1:3">
      <c r="A85" s="83">
        <v>45993</v>
      </c>
      <c r="B85" s="84">
        <v>30249.769499999999</v>
      </c>
      <c r="C85" s="92" t="s">
        <v>196</v>
      </c>
    </row>
    <row r="86" spans="1:3">
      <c r="A86" s="83">
        <v>45993</v>
      </c>
      <c r="B86" s="84">
        <v>2343.0521063000001</v>
      </c>
      <c r="C86" s="92" t="s">
        <v>196</v>
      </c>
    </row>
    <row r="87" spans="1:3">
      <c r="A87" s="83">
        <v>45993</v>
      </c>
      <c r="B87" s="84">
        <v>971.79820529999995</v>
      </c>
      <c r="C87" s="92" t="s">
        <v>196</v>
      </c>
    </row>
    <row r="88" spans="1:3">
      <c r="A88" s="83">
        <v>45993</v>
      </c>
      <c r="B88" s="84">
        <v>29134.166977599998</v>
      </c>
      <c r="C88" s="92" t="s">
        <v>196</v>
      </c>
    </row>
    <row r="89" spans="1:3">
      <c r="A89" s="83">
        <v>46006</v>
      </c>
      <c r="B89" s="84">
        <v>11262.269532099999</v>
      </c>
      <c r="C89" s="92" t="s">
        <v>202</v>
      </c>
    </row>
    <row r="90" spans="1:3">
      <c r="A90" s="83">
        <v>46006</v>
      </c>
      <c r="B90" s="84">
        <v>3641.2289440000004</v>
      </c>
      <c r="C90" s="92" t="s">
        <v>202</v>
      </c>
    </row>
    <row r="91" spans="1:3">
      <c r="A91" s="83">
        <v>46067</v>
      </c>
      <c r="B91" s="84">
        <v>30424.049000000003</v>
      </c>
      <c r="C91" s="92" t="s">
        <v>247</v>
      </c>
    </row>
    <row r="92" spans="1:3" ht="15" thickBot="1">
      <c r="A92" s="88">
        <v>46067</v>
      </c>
      <c r="B92" s="89">
        <v>971.66756520000001</v>
      </c>
      <c r="C92" s="93" t="s">
        <v>249</v>
      </c>
    </row>
  </sheetData>
  <autoFilter ref="A1:C1" xr:uid="{02C0B029-B200-4EAF-AA3B-8F8F33D6422B}">
    <sortState xmlns:xlrd2="http://schemas.microsoft.com/office/spreadsheetml/2017/richdata2" ref="A2:C53">
      <sortCondition ref="B1"/>
    </sortState>
  </autoFilter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6CD8-4E6B-4CEB-9504-0A7402036178}">
  <dimension ref="A1:L53"/>
  <sheetViews>
    <sheetView workbookViewId="0">
      <selection activeCell="E14" sqref="E14:H23"/>
    </sheetView>
  </sheetViews>
  <sheetFormatPr defaultRowHeight="14.4"/>
  <cols>
    <col min="9" max="9" width="12.33203125" bestFit="1" customWidth="1"/>
    <col min="10" max="10" width="33.33203125" bestFit="1" customWidth="1"/>
    <col min="11" max="11" width="16.33203125" bestFit="1" customWidth="1"/>
    <col min="12" max="12" width="33.33203125" bestFit="1" customWidth="1"/>
  </cols>
  <sheetData>
    <row r="1" spans="1:12" ht="57.6">
      <c r="A1" s="55" t="s">
        <v>274</v>
      </c>
      <c r="B1" s="54" t="s">
        <v>275</v>
      </c>
      <c r="C1" s="55" t="s">
        <v>286</v>
      </c>
      <c r="D1" s="54" t="s">
        <v>292</v>
      </c>
      <c r="I1" s="95" t="s">
        <v>562</v>
      </c>
      <c r="J1" s="95" t="s">
        <v>563</v>
      </c>
      <c r="K1" s="95" t="s">
        <v>275</v>
      </c>
      <c r="L1" t="s">
        <v>567</v>
      </c>
    </row>
    <row r="2" spans="1:12">
      <c r="A2" s="56" t="s">
        <v>319</v>
      </c>
      <c r="B2" s="57">
        <v>45772</v>
      </c>
      <c r="C2" s="59">
        <v>-77748.160000000003</v>
      </c>
      <c r="D2" s="56" t="s">
        <v>57</v>
      </c>
      <c r="I2" t="s">
        <v>302</v>
      </c>
      <c r="J2" t="s">
        <v>554</v>
      </c>
      <c r="K2" s="97" t="s">
        <v>564</v>
      </c>
      <c r="L2" s="96">
        <v>-291173.73000000004</v>
      </c>
    </row>
    <row r="3" spans="1:12">
      <c r="A3" s="56" t="s">
        <v>319</v>
      </c>
      <c r="B3" s="57">
        <v>45772</v>
      </c>
      <c r="C3" s="59">
        <v>-31951.3</v>
      </c>
      <c r="D3" s="56" t="s">
        <v>64</v>
      </c>
      <c r="K3" s="97" t="s">
        <v>556</v>
      </c>
      <c r="L3" s="96">
        <v>-341000</v>
      </c>
    </row>
    <row r="4" spans="1:12">
      <c r="A4" s="56" t="s">
        <v>319</v>
      </c>
      <c r="B4" s="57">
        <v>45772</v>
      </c>
      <c r="C4" s="59">
        <v>-107902.2</v>
      </c>
      <c r="D4" s="56" t="s">
        <v>74</v>
      </c>
      <c r="J4" t="s">
        <v>557</v>
      </c>
      <c r="K4" s="97" t="s">
        <v>559</v>
      </c>
      <c r="L4" s="96">
        <v>0</v>
      </c>
    </row>
    <row r="5" spans="1:12">
      <c r="A5" s="56" t="s">
        <v>319</v>
      </c>
      <c r="B5" s="57">
        <v>45772</v>
      </c>
      <c r="C5" s="59">
        <v>-11561.33</v>
      </c>
      <c r="D5" s="56" t="s">
        <v>22</v>
      </c>
      <c r="K5" s="97" t="s">
        <v>560</v>
      </c>
      <c r="L5" s="96">
        <v>0</v>
      </c>
    </row>
    <row r="6" spans="1:12">
      <c r="A6" s="56" t="s">
        <v>319</v>
      </c>
      <c r="B6" s="57">
        <v>45772</v>
      </c>
      <c r="C6" s="59">
        <v>-18498.12</v>
      </c>
      <c r="D6" s="56" t="s">
        <v>37</v>
      </c>
      <c r="J6" t="s">
        <v>549</v>
      </c>
      <c r="K6" s="97" t="s">
        <v>561</v>
      </c>
      <c r="L6" s="96">
        <v>-1805272.19</v>
      </c>
    </row>
    <row r="7" spans="1:12">
      <c r="A7" s="56" t="s">
        <v>319</v>
      </c>
      <c r="B7" s="57">
        <v>45772</v>
      </c>
      <c r="C7" s="59">
        <v>-18498.12</v>
      </c>
      <c r="D7" s="56" t="s">
        <v>49</v>
      </c>
      <c r="K7" s="97" t="s">
        <v>565</v>
      </c>
      <c r="L7" s="96">
        <v>-1129444.9000000001</v>
      </c>
    </row>
    <row r="8" spans="1:12">
      <c r="A8" s="56" t="s">
        <v>319</v>
      </c>
      <c r="B8" s="57">
        <v>45772</v>
      </c>
      <c r="C8" s="59">
        <v>-4624.53</v>
      </c>
      <c r="D8" s="56" t="s">
        <v>66</v>
      </c>
      <c r="K8" s="97" t="s">
        <v>550</v>
      </c>
      <c r="L8" s="96">
        <v>-422946.17</v>
      </c>
    </row>
    <row r="9" spans="1:12">
      <c r="A9" s="56" t="s">
        <v>319</v>
      </c>
      <c r="B9" s="57">
        <v>45772</v>
      </c>
      <c r="C9" s="59">
        <v>-15765.44</v>
      </c>
      <c r="D9" s="56" t="s">
        <v>77</v>
      </c>
      <c r="I9" t="s">
        <v>530</v>
      </c>
      <c r="J9" t="s">
        <v>551</v>
      </c>
      <c r="K9" s="97" t="s">
        <v>566</v>
      </c>
      <c r="L9" s="96">
        <v>-1253.0099999999984</v>
      </c>
    </row>
    <row r="10" spans="1:12">
      <c r="A10" s="56" t="s">
        <v>319</v>
      </c>
      <c r="B10" s="57">
        <v>45772</v>
      </c>
      <c r="C10" s="59">
        <v>-4624.53</v>
      </c>
      <c r="D10" s="56" t="s">
        <v>83</v>
      </c>
      <c r="K10" s="97" t="s">
        <v>552</v>
      </c>
      <c r="L10" s="96">
        <v>-31395.719999999998</v>
      </c>
    </row>
    <row r="11" spans="1:12">
      <c r="A11" s="56" t="s">
        <v>319</v>
      </c>
      <c r="B11" s="57">
        <v>45832</v>
      </c>
      <c r="C11" s="59">
        <v>-341000</v>
      </c>
      <c r="D11" s="56" t="s">
        <v>305</v>
      </c>
    </row>
    <row r="12" spans="1:12">
      <c r="A12" s="56" t="s">
        <v>319</v>
      </c>
      <c r="B12" s="57">
        <v>45832</v>
      </c>
      <c r="C12" s="59">
        <v>-112111.95</v>
      </c>
      <c r="D12" s="56" t="s">
        <v>305</v>
      </c>
    </row>
    <row r="13" spans="1:12">
      <c r="A13" s="56" t="s">
        <v>319</v>
      </c>
      <c r="B13" s="57">
        <v>45832</v>
      </c>
      <c r="C13" s="59">
        <v>112111.95</v>
      </c>
      <c r="D13" s="56" t="s">
        <v>305</v>
      </c>
    </row>
    <row r="14" spans="1:12">
      <c r="A14" s="56" t="s">
        <v>319</v>
      </c>
      <c r="B14" s="57">
        <v>45832</v>
      </c>
      <c r="C14" s="59">
        <v>159186.29</v>
      </c>
      <c r="D14" s="56" t="s">
        <v>305</v>
      </c>
    </row>
    <row r="15" spans="1:12">
      <c r="A15" s="56" t="s">
        <v>319</v>
      </c>
      <c r="B15" s="57">
        <v>45832</v>
      </c>
      <c r="C15" s="59">
        <v>-159186.29</v>
      </c>
      <c r="D15" s="56" t="s">
        <v>305</v>
      </c>
    </row>
    <row r="16" spans="1:12">
      <c r="A16" s="56" t="s">
        <v>319</v>
      </c>
      <c r="B16" s="57">
        <v>45890</v>
      </c>
      <c r="C16" s="59">
        <v>179293.83</v>
      </c>
      <c r="D16" s="56" t="s">
        <v>305</v>
      </c>
    </row>
    <row r="17" spans="1:4">
      <c r="A17" s="56" t="s">
        <v>319</v>
      </c>
      <c r="B17" s="57">
        <v>45890</v>
      </c>
      <c r="C17" s="59">
        <v>-179293.83</v>
      </c>
      <c r="D17" s="56" t="s">
        <v>305</v>
      </c>
    </row>
    <row r="18" spans="1:4">
      <c r="A18" s="56" t="s">
        <v>319</v>
      </c>
      <c r="B18" s="57">
        <v>45890</v>
      </c>
      <c r="C18" s="59">
        <v>475086.94</v>
      </c>
      <c r="D18" s="56" t="s">
        <v>305</v>
      </c>
    </row>
    <row r="19" spans="1:4">
      <c r="A19" s="56" t="s">
        <v>319</v>
      </c>
      <c r="B19" s="57">
        <v>45890</v>
      </c>
      <c r="C19" s="59">
        <v>-475086.94</v>
      </c>
      <c r="D19" s="56" t="s">
        <v>305</v>
      </c>
    </row>
    <row r="20" spans="1:4">
      <c r="A20" s="56" t="s">
        <v>319</v>
      </c>
      <c r="B20" s="57">
        <v>45908</v>
      </c>
      <c r="C20" s="59">
        <v>495157.4</v>
      </c>
      <c r="D20" s="56" t="s">
        <v>305</v>
      </c>
    </row>
    <row r="21" spans="1:4">
      <c r="A21" s="56" t="s">
        <v>319</v>
      </c>
      <c r="B21" s="57">
        <v>45908</v>
      </c>
      <c r="C21" s="59">
        <v>-495157.4</v>
      </c>
      <c r="D21" s="56" t="s">
        <v>305</v>
      </c>
    </row>
    <row r="22" spans="1:4">
      <c r="A22" s="56" t="s">
        <v>319</v>
      </c>
      <c r="B22" s="57">
        <v>45908</v>
      </c>
      <c r="C22" s="59">
        <v>107117.71</v>
      </c>
      <c r="D22" s="56" t="s">
        <v>305</v>
      </c>
    </row>
    <row r="23" spans="1:4">
      <c r="A23" s="56" t="s">
        <v>319</v>
      </c>
      <c r="B23" s="57">
        <v>45908</v>
      </c>
      <c r="C23" s="59">
        <v>-107117.71</v>
      </c>
      <c r="D23" s="56" t="s">
        <v>305</v>
      </c>
    </row>
    <row r="24" spans="1:4">
      <c r="A24" s="56" t="s">
        <v>319</v>
      </c>
      <c r="B24" s="57">
        <v>45912</v>
      </c>
      <c r="C24" s="59">
        <v>124189.23</v>
      </c>
      <c r="D24" s="56" t="s">
        <v>305</v>
      </c>
    </row>
    <row r="25" spans="1:4">
      <c r="A25" s="56" t="s">
        <v>319</v>
      </c>
      <c r="B25" s="57">
        <v>45912</v>
      </c>
      <c r="C25" s="59">
        <v>-124189.23</v>
      </c>
      <c r="D25" s="56" t="s">
        <v>305</v>
      </c>
    </row>
    <row r="26" spans="1:4">
      <c r="A26" s="56" t="s">
        <v>319</v>
      </c>
      <c r="B26" s="57">
        <v>45931</v>
      </c>
      <c r="C26" s="59">
        <v>-226409</v>
      </c>
      <c r="D26" s="56" t="s">
        <v>305</v>
      </c>
    </row>
    <row r="27" spans="1:4">
      <c r="A27" s="56" t="s">
        <v>319</v>
      </c>
      <c r="B27" s="57">
        <v>45938</v>
      </c>
      <c r="C27" s="59">
        <v>339060.54</v>
      </c>
      <c r="D27" s="56" t="s">
        <v>305</v>
      </c>
    </row>
    <row r="28" spans="1:4">
      <c r="A28" s="56" t="s">
        <v>319</v>
      </c>
      <c r="B28" s="57">
        <v>45938</v>
      </c>
      <c r="C28" s="59">
        <v>-339060.54</v>
      </c>
      <c r="D28" s="56" t="s">
        <v>305</v>
      </c>
    </row>
    <row r="29" spans="1:4">
      <c r="A29" s="56" t="s">
        <v>319</v>
      </c>
      <c r="B29" s="57">
        <v>45946</v>
      </c>
      <c r="C29" s="59">
        <v>2932.62</v>
      </c>
      <c r="D29" s="56" t="s">
        <v>323</v>
      </c>
    </row>
    <row r="30" spans="1:4">
      <c r="A30" s="56" t="s">
        <v>319</v>
      </c>
      <c r="B30" s="57">
        <v>45946</v>
      </c>
      <c r="C30" s="59">
        <v>-492209.06</v>
      </c>
      <c r="D30" s="56" t="s">
        <v>198</v>
      </c>
    </row>
    <row r="31" spans="1:4">
      <c r="A31" s="56" t="s">
        <v>319</v>
      </c>
      <c r="B31" s="57">
        <v>45946</v>
      </c>
      <c r="C31" s="59">
        <v>-139776.57999999999</v>
      </c>
      <c r="D31" s="56" t="s">
        <v>323</v>
      </c>
    </row>
    <row r="32" spans="1:4">
      <c r="A32" s="56" t="s">
        <v>319</v>
      </c>
      <c r="B32" s="57">
        <v>45946</v>
      </c>
      <c r="C32" s="59">
        <v>-2932.62</v>
      </c>
      <c r="D32" s="56" t="s">
        <v>305</v>
      </c>
    </row>
    <row r="33" spans="1:4">
      <c r="A33" s="56" t="s">
        <v>319</v>
      </c>
      <c r="B33" s="57">
        <v>45946</v>
      </c>
      <c r="C33" s="59">
        <v>-116988.95</v>
      </c>
      <c r="D33" s="56" t="s">
        <v>94</v>
      </c>
    </row>
    <row r="34" spans="1:4">
      <c r="A34" s="56" t="s">
        <v>319</v>
      </c>
      <c r="B34" s="57">
        <v>45946</v>
      </c>
      <c r="C34" s="59">
        <v>-646935.77</v>
      </c>
      <c r="D34" s="56" t="s">
        <v>206</v>
      </c>
    </row>
    <row r="35" spans="1:4">
      <c r="A35" s="56" t="s">
        <v>319</v>
      </c>
      <c r="B35" s="57">
        <v>45946</v>
      </c>
      <c r="C35" s="59">
        <v>-182952.83</v>
      </c>
      <c r="D35" s="56" t="s">
        <v>166</v>
      </c>
    </row>
    <row r="36" spans="1:4">
      <c r="A36" s="56" t="s">
        <v>319</v>
      </c>
      <c r="B36" s="57">
        <v>45972</v>
      </c>
      <c r="C36" s="59">
        <v>-324591.96000000002</v>
      </c>
      <c r="D36" s="56" t="s">
        <v>305</v>
      </c>
    </row>
    <row r="37" spans="1:4">
      <c r="A37" s="56" t="s">
        <v>319</v>
      </c>
      <c r="B37" s="57">
        <v>45979</v>
      </c>
      <c r="C37" s="59">
        <v>-8051.51</v>
      </c>
      <c r="D37" s="56" t="s">
        <v>149</v>
      </c>
    </row>
    <row r="38" spans="1:4">
      <c r="A38" s="56" t="s">
        <v>319</v>
      </c>
      <c r="B38" s="57">
        <v>45979</v>
      </c>
      <c r="C38" s="59">
        <v>-109304.71</v>
      </c>
      <c r="D38" s="56" t="s">
        <v>209</v>
      </c>
    </row>
    <row r="39" spans="1:4">
      <c r="A39" s="56" t="s">
        <v>319</v>
      </c>
      <c r="B39" s="57">
        <v>45979</v>
      </c>
      <c r="C39" s="59">
        <v>-159622.78</v>
      </c>
      <c r="D39" s="56" t="s">
        <v>149</v>
      </c>
    </row>
    <row r="40" spans="1:4">
      <c r="A40" s="56" t="s">
        <v>319</v>
      </c>
      <c r="B40" s="57">
        <v>45979</v>
      </c>
      <c r="C40" s="59">
        <v>-50734.53</v>
      </c>
      <c r="D40" s="56" t="s">
        <v>19</v>
      </c>
    </row>
    <row r="41" spans="1:4">
      <c r="A41" s="56" t="s">
        <v>319</v>
      </c>
      <c r="B41" s="57">
        <v>45979</v>
      </c>
      <c r="C41" s="59">
        <v>-477139.41</v>
      </c>
      <c r="D41" s="56" t="s">
        <v>19</v>
      </c>
    </row>
    <row r="42" spans="1:4">
      <c r="A42" s="56" t="s">
        <v>319</v>
      </c>
      <c r="B42" s="57">
        <v>46007</v>
      </c>
      <c r="C42" s="59">
        <v>-66620.789999999994</v>
      </c>
      <c r="D42" s="56" t="s">
        <v>320</v>
      </c>
    </row>
    <row r="43" spans="1:4">
      <c r="A43" s="56" t="s">
        <v>319</v>
      </c>
      <c r="B43" s="57">
        <v>46007</v>
      </c>
      <c r="C43" s="59">
        <v>-296024</v>
      </c>
      <c r="D43" s="56" t="s">
        <v>305</v>
      </c>
    </row>
    <row r="44" spans="1:4">
      <c r="A44" s="56" t="s">
        <v>319</v>
      </c>
      <c r="B44" s="57">
        <v>46007</v>
      </c>
      <c r="C44" s="59">
        <v>-30866.77</v>
      </c>
      <c r="D44" s="56" t="s">
        <v>320</v>
      </c>
    </row>
    <row r="45" spans="1:4">
      <c r="A45" s="56" t="s">
        <v>319</v>
      </c>
      <c r="B45" s="57">
        <v>46007</v>
      </c>
      <c r="C45" s="59">
        <v>-14531.11</v>
      </c>
      <c r="D45" s="56" t="s">
        <v>305</v>
      </c>
    </row>
    <row r="46" spans="1:4">
      <c r="A46" s="56" t="s">
        <v>319</v>
      </c>
      <c r="B46" s="57">
        <v>46011</v>
      </c>
      <c r="C46" s="59">
        <v>-14903.5</v>
      </c>
      <c r="D46" s="56" t="s">
        <v>305</v>
      </c>
    </row>
    <row r="47" spans="1:4">
      <c r="A47" s="56" t="s">
        <v>319</v>
      </c>
      <c r="B47" s="57">
        <v>46030</v>
      </c>
      <c r="C47" s="59">
        <v>14531.11</v>
      </c>
      <c r="D47" s="56" t="s">
        <v>305</v>
      </c>
    </row>
    <row r="48" spans="1:4">
      <c r="A48" s="56" t="s">
        <v>319</v>
      </c>
      <c r="B48" s="57">
        <v>46030</v>
      </c>
      <c r="C48" s="59">
        <v>14903.5</v>
      </c>
      <c r="D48" s="56" t="s">
        <v>305</v>
      </c>
    </row>
    <row r="49" spans="1:4">
      <c r="A49" s="56" t="s">
        <v>319</v>
      </c>
      <c r="B49" s="57">
        <v>46030</v>
      </c>
      <c r="C49" s="59">
        <v>14531.11</v>
      </c>
      <c r="D49" s="56" t="s">
        <v>305</v>
      </c>
    </row>
    <row r="50" spans="1:4">
      <c r="A50" s="56" t="s">
        <v>319</v>
      </c>
      <c r="B50" s="57">
        <v>46030</v>
      </c>
      <c r="C50" s="59">
        <v>-30687.62</v>
      </c>
      <c r="D50" s="56" t="s">
        <v>305</v>
      </c>
    </row>
    <row r="51" spans="1:4">
      <c r="A51" s="56" t="s">
        <v>319</v>
      </c>
      <c r="B51" s="57">
        <v>46030</v>
      </c>
      <c r="C51" s="59">
        <v>-14531.11</v>
      </c>
      <c r="D51" s="56" t="s">
        <v>305</v>
      </c>
    </row>
    <row r="52" spans="1:4">
      <c r="A52" s="56" t="s">
        <v>319</v>
      </c>
      <c r="B52" s="57">
        <v>46070</v>
      </c>
      <c r="C52" s="59">
        <v>-30424.05</v>
      </c>
      <c r="D52" s="56" t="s">
        <v>305</v>
      </c>
    </row>
    <row r="53" spans="1:4">
      <c r="A53" s="56" t="s">
        <v>319</v>
      </c>
      <c r="B53" s="57">
        <v>46070</v>
      </c>
      <c r="C53" s="59">
        <v>-971.67</v>
      </c>
      <c r="D53" s="56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CEB3-E084-42E7-AB59-A2C2F391D3D8}">
  <dimension ref="A2:K31"/>
  <sheetViews>
    <sheetView topLeftCell="A4" workbookViewId="0">
      <selection activeCell="F15" sqref="F15"/>
    </sheetView>
  </sheetViews>
  <sheetFormatPr defaultColWidth="8.77734375" defaultRowHeight="14.4"/>
  <cols>
    <col min="1" max="1" width="12.77734375" bestFit="1" customWidth="1"/>
    <col min="2" max="2" width="12.21875" style="197" bestFit="1" customWidth="1"/>
    <col min="3" max="3" width="23.88671875" bestFit="1" customWidth="1"/>
    <col min="4" max="4" width="13.77734375" bestFit="1" customWidth="1"/>
    <col min="5" max="5" width="23.88671875" bestFit="1" customWidth="1"/>
    <col min="6" max="6" width="19.88671875" bestFit="1" customWidth="1"/>
    <col min="7" max="7" width="13.6640625" bestFit="1" customWidth="1"/>
    <col min="8" max="8" width="16.21875" bestFit="1" customWidth="1"/>
    <col min="9" max="9" width="23.88671875" bestFit="1" customWidth="1"/>
    <col min="10" max="10" width="11.21875" style="207" bestFit="1" customWidth="1"/>
    <col min="11" max="11" width="9.77734375" style="207" bestFit="1" customWidth="1"/>
    <col min="12" max="16384" width="8.77734375" style="207"/>
  </cols>
  <sheetData>
    <row r="2" spans="1:11">
      <c r="A2" s="227" t="s">
        <v>604</v>
      </c>
      <c r="B2" s="227"/>
      <c r="C2" s="227"/>
      <c r="D2" s="228" t="s">
        <v>605</v>
      </c>
      <c r="E2" s="228"/>
      <c r="F2" s="229"/>
      <c r="G2" s="230" t="s">
        <v>607</v>
      </c>
      <c r="H2" s="230"/>
      <c r="I2" s="230"/>
    </row>
    <row r="3" spans="1:11" s="208" customFormat="1" ht="28.8">
      <c r="A3" s="203" t="s">
        <v>591</v>
      </c>
      <c r="B3" s="204" t="s">
        <v>594</v>
      </c>
      <c r="C3" s="203" t="s">
        <v>595</v>
      </c>
      <c r="D3" s="205" t="s">
        <v>600</v>
      </c>
      <c r="E3" s="205" t="s">
        <v>277</v>
      </c>
      <c r="F3" s="205" t="s">
        <v>567</v>
      </c>
      <c r="G3" s="206" t="s">
        <v>8</v>
      </c>
      <c r="H3" s="206" t="s">
        <v>544</v>
      </c>
      <c r="I3" s="206" t="s">
        <v>606</v>
      </c>
    </row>
    <row r="4" spans="1:11">
      <c r="A4" s="42">
        <v>45933</v>
      </c>
      <c r="B4" s="191">
        <v>324591.96000000002</v>
      </c>
      <c r="C4" s="43" t="s">
        <v>225</v>
      </c>
      <c r="D4" s="43" t="s">
        <v>603</v>
      </c>
      <c r="E4" s="43" t="s">
        <v>225</v>
      </c>
      <c r="F4" s="63">
        <v>-324591.96000000002</v>
      </c>
      <c r="G4" s="63">
        <f>_xlfn.XLOOKUP(D4,Sheet8!$D:$D,Sheet8!$E:$E,0,0)</f>
        <v>0</v>
      </c>
      <c r="H4" s="41">
        <f>B4+F4+G4</f>
        <v>0</v>
      </c>
      <c r="I4" s="43" t="s">
        <v>608</v>
      </c>
    </row>
    <row r="5" spans="1:11" s="201" customFormat="1">
      <c r="A5" s="198">
        <v>45933</v>
      </c>
      <c r="B5" s="200">
        <v>339060.54</v>
      </c>
      <c r="C5" s="199" t="s">
        <v>206</v>
      </c>
      <c r="D5" s="199">
        <v>1400001455</v>
      </c>
      <c r="E5" s="199" t="s">
        <v>206</v>
      </c>
      <c r="F5" s="202">
        <v>-646935.77</v>
      </c>
      <c r="G5" s="236">
        <f>_xlfn.XLOOKUP(D5,Sheet8!$D:$D,Sheet8!$E:$E,0,0)</f>
        <v>57796</v>
      </c>
      <c r="H5" s="220">
        <f>B5+F5+G5</f>
        <v>-250079.23000000004</v>
      </c>
      <c r="I5" s="199" t="s">
        <v>611</v>
      </c>
    </row>
    <row r="6" spans="1:11">
      <c r="A6" s="42">
        <v>45896</v>
      </c>
      <c r="B6" s="192">
        <v>107117.71</v>
      </c>
      <c r="C6" s="43" t="s">
        <v>209</v>
      </c>
      <c r="D6" s="43">
        <v>1400001956</v>
      </c>
      <c r="E6" s="43" t="s">
        <v>209</v>
      </c>
      <c r="F6" s="63">
        <v>-109304.71</v>
      </c>
      <c r="G6" s="236">
        <f>_xlfn.XLOOKUP(D6,Sheet8!$D:$D,Sheet8!$E:$E,0,0)</f>
        <v>2187</v>
      </c>
      <c r="H6" s="41">
        <f t="shared" ref="H6:H27" si="0">B6+F6+G6</f>
        <v>0</v>
      </c>
      <c r="I6" s="43"/>
    </row>
    <row r="7" spans="1:11">
      <c r="A7" s="42">
        <v>45891</v>
      </c>
      <c r="B7" s="192">
        <v>495157.4</v>
      </c>
      <c r="C7" s="43" t="s">
        <v>198</v>
      </c>
      <c r="D7" s="43">
        <v>1400001452</v>
      </c>
      <c r="E7" s="43" t="s">
        <v>198</v>
      </c>
      <c r="F7" s="63">
        <v>-492209.06</v>
      </c>
      <c r="G7" s="236">
        <f>_xlfn.XLOOKUP(D7,Sheet8!$D:$D,Sheet8!$E:$E,0,0)</f>
        <v>9843</v>
      </c>
      <c r="H7" s="41">
        <f t="shared" si="0"/>
        <v>12791.340000000026</v>
      </c>
      <c r="I7" s="43" t="s">
        <v>610</v>
      </c>
      <c r="J7" s="212"/>
      <c r="K7" s="212"/>
    </row>
    <row r="8" spans="1:11" s="218" customFormat="1">
      <c r="A8" s="213"/>
      <c r="B8" s="214"/>
      <c r="C8" s="215"/>
      <c r="D8" s="215">
        <v>1400001453</v>
      </c>
      <c r="E8" s="215"/>
      <c r="F8" s="216">
        <v>-2932.62</v>
      </c>
      <c r="G8" s="236"/>
      <c r="H8" s="217">
        <f t="shared" si="0"/>
        <v>-2932.62</v>
      </c>
      <c r="I8" s="215" t="s">
        <v>609</v>
      </c>
    </row>
    <row r="9" spans="1:11" s="218" customFormat="1">
      <c r="A9" s="213"/>
      <c r="B9" s="219"/>
      <c r="C9" s="215"/>
      <c r="D9" s="215">
        <v>1400001453</v>
      </c>
      <c r="E9" s="215" t="s">
        <v>323</v>
      </c>
      <c r="F9" s="216">
        <v>-136843.96</v>
      </c>
      <c r="G9" s="236">
        <f>_xlfn.XLOOKUP(D9,Sheet8!$D:$D,Sheet8!$E:$E,0,0)</f>
        <v>2796</v>
      </c>
      <c r="H9" s="217">
        <f>B9+F9+G9</f>
        <v>-134047.96</v>
      </c>
      <c r="I9" s="215" t="s">
        <v>609</v>
      </c>
    </row>
    <row r="10" spans="1:11">
      <c r="A10" s="42">
        <v>45861</v>
      </c>
      <c r="B10" s="192">
        <v>475086.94</v>
      </c>
      <c r="C10" s="43" t="s">
        <v>19</v>
      </c>
      <c r="D10" s="43">
        <v>1400001972</v>
      </c>
      <c r="E10" s="43" t="s">
        <v>19</v>
      </c>
      <c r="F10" s="63">
        <v>-477139.41</v>
      </c>
      <c r="G10" s="236">
        <f>_xlfn.XLOOKUP(D10,Sheet8!$D:$D,Sheet8!$E:$E,0,0)</f>
        <v>47714</v>
      </c>
      <c r="H10" s="41">
        <f t="shared" si="0"/>
        <v>45661.530000000028</v>
      </c>
      <c r="I10" s="43"/>
    </row>
    <row r="11" spans="1:11">
      <c r="A11" s="42"/>
      <c r="B11" s="192"/>
      <c r="C11" s="43"/>
      <c r="D11" s="43">
        <v>1400001971</v>
      </c>
      <c r="E11" s="43" t="s">
        <v>19</v>
      </c>
      <c r="F11" s="63">
        <v>-50734.53</v>
      </c>
      <c r="G11" s="216">
        <f>_xlfn.XLOOKUP(D11,Sheet8!$D:$D,Sheet8!$E:$E,0,0)</f>
        <v>5073</v>
      </c>
      <c r="H11" s="41">
        <f t="shared" si="0"/>
        <v>-45661.53</v>
      </c>
      <c r="I11" s="43"/>
    </row>
    <row r="12" spans="1:11">
      <c r="A12" s="42">
        <v>45833</v>
      </c>
      <c r="B12" s="192">
        <v>179293.83</v>
      </c>
      <c r="C12" s="43" t="s">
        <v>166</v>
      </c>
      <c r="D12" s="43">
        <v>1400001456</v>
      </c>
      <c r="E12" s="43" t="s">
        <v>166</v>
      </c>
      <c r="F12" s="63">
        <v>-182952.83</v>
      </c>
      <c r="G12" s="236">
        <f>_xlfn.XLOOKUP(D12,Sheet8!$D:$D,Sheet8!$E:$E,0,0)</f>
        <v>3659</v>
      </c>
      <c r="H12" s="41">
        <f t="shared" si="0"/>
        <v>0</v>
      </c>
      <c r="I12" s="43"/>
    </row>
    <row r="13" spans="1:11">
      <c r="A13" s="42">
        <v>45822</v>
      </c>
      <c r="B13" s="192">
        <v>226409</v>
      </c>
      <c r="C13" s="43" t="s">
        <v>32</v>
      </c>
      <c r="D13" s="43" t="s">
        <v>603</v>
      </c>
      <c r="E13" s="43" t="s">
        <v>32</v>
      </c>
      <c r="F13" s="63">
        <v>-226409</v>
      </c>
      <c r="G13" s="63">
        <f>_xlfn.XLOOKUP(D13,Sheet8!$D:$D,Sheet8!$E:$E,0,0)</f>
        <v>0</v>
      </c>
      <c r="H13" s="41">
        <f t="shared" si="0"/>
        <v>0</v>
      </c>
      <c r="I13" s="43" t="s">
        <v>608</v>
      </c>
    </row>
    <row r="14" spans="1:11">
      <c r="A14" s="42">
        <v>45813</v>
      </c>
      <c r="B14" s="192">
        <v>159186.29</v>
      </c>
      <c r="C14" s="43" t="s">
        <v>149</v>
      </c>
      <c r="D14" s="43">
        <v>1400001961</v>
      </c>
      <c r="E14" s="43" t="s">
        <v>149</v>
      </c>
      <c r="F14" s="63">
        <v>-167674.29</v>
      </c>
      <c r="G14" s="236">
        <f>_xlfn.XLOOKUP(D14,Sheet8!$D:$D,Sheet8!$E:$E,0,0)</f>
        <v>8488</v>
      </c>
      <c r="H14" s="41">
        <f t="shared" si="0"/>
        <v>0</v>
      </c>
      <c r="I14" s="43"/>
    </row>
    <row r="15" spans="1:11">
      <c r="A15" s="42">
        <v>45813</v>
      </c>
      <c r="B15" s="192">
        <v>341000</v>
      </c>
      <c r="C15" s="43" t="s">
        <v>264</v>
      </c>
      <c r="D15" s="43" t="s">
        <v>603</v>
      </c>
      <c r="E15" s="43" t="s">
        <v>264</v>
      </c>
      <c r="F15" s="63">
        <v>-341000</v>
      </c>
      <c r="G15" s="63">
        <f>_xlfn.XLOOKUP(D15,Sheet8!$D:$D,Sheet8!$E:$E,0,0)</f>
        <v>0</v>
      </c>
      <c r="H15" s="41">
        <f t="shared" si="0"/>
        <v>0</v>
      </c>
      <c r="I15" s="43" t="s">
        <v>608</v>
      </c>
    </row>
    <row r="16" spans="1:11">
      <c r="A16" s="42">
        <v>45791</v>
      </c>
      <c r="B16" s="191">
        <v>112111.95</v>
      </c>
      <c r="C16" s="43" t="s">
        <v>94</v>
      </c>
      <c r="D16" s="43">
        <v>1400001454</v>
      </c>
      <c r="E16" s="43" t="s">
        <v>94</v>
      </c>
      <c r="F16" s="63">
        <v>-116988.95</v>
      </c>
      <c r="G16" s="236">
        <f>_xlfn.XLOOKUP(D16,Sheet8!$D:$D,Sheet8!$E:$E,0,0)</f>
        <v>4877</v>
      </c>
      <c r="H16" s="41">
        <f t="shared" si="0"/>
        <v>0</v>
      </c>
      <c r="I16" s="43"/>
    </row>
    <row r="17" spans="1:10">
      <c r="A17" s="42">
        <v>45740</v>
      </c>
      <c r="B17" s="193">
        <v>18128.12</v>
      </c>
      <c r="C17" s="43" t="s">
        <v>49</v>
      </c>
      <c r="D17" s="43">
        <v>1400000012</v>
      </c>
      <c r="E17" s="43" t="s">
        <v>49</v>
      </c>
      <c r="F17" s="63">
        <v>-18498.12</v>
      </c>
      <c r="G17" s="236">
        <f>_xlfn.XLOOKUP(D17,Sheet8!$D:$D,Sheet8!$E:$E,0,0)</f>
        <v>370</v>
      </c>
      <c r="H17" s="41">
        <f t="shared" si="0"/>
        <v>0</v>
      </c>
      <c r="I17" s="43"/>
    </row>
    <row r="18" spans="1:10">
      <c r="A18" s="42">
        <v>45740</v>
      </c>
      <c r="B18" s="193">
        <v>4532.53</v>
      </c>
      <c r="C18" s="43" t="s">
        <v>66</v>
      </c>
      <c r="D18" s="43">
        <v>1400000013</v>
      </c>
      <c r="E18" s="43" t="s">
        <v>66</v>
      </c>
      <c r="F18" s="63">
        <v>-4624.53</v>
      </c>
      <c r="G18" s="236">
        <f>_xlfn.XLOOKUP(D18,Sheet8!$D:$D,Sheet8!$E:$E,0,0)</f>
        <v>92</v>
      </c>
      <c r="H18" s="41">
        <f t="shared" si="0"/>
        <v>0</v>
      </c>
      <c r="I18" s="43"/>
    </row>
    <row r="19" spans="1:10">
      <c r="A19" s="42">
        <v>45740</v>
      </c>
      <c r="B19" s="193">
        <v>18128.12</v>
      </c>
      <c r="C19" s="43" t="s">
        <v>37</v>
      </c>
      <c r="D19" s="43">
        <v>1400000011</v>
      </c>
      <c r="E19" s="43" t="s">
        <v>37</v>
      </c>
      <c r="F19" s="63">
        <v>-18498.12</v>
      </c>
      <c r="G19" s="236">
        <f>_xlfn.XLOOKUP(D19,Sheet8!$D:$D,Sheet8!$E:$E,0,0)</f>
        <v>370</v>
      </c>
      <c r="H19" s="41">
        <f t="shared" si="0"/>
        <v>0</v>
      </c>
      <c r="I19" s="43"/>
    </row>
    <row r="20" spans="1:10">
      <c r="A20" s="42">
        <v>45740</v>
      </c>
      <c r="B20" s="193">
        <v>11330.33</v>
      </c>
      <c r="C20" s="43" t="s">
        <v>22</v>
      </c>
      <c r="D20" s="43">
        <v>1400000010</v>
      </c>
      <c r="E20" s="43" t="s">
        <v>22</v>
      </c>
      <c r="F20" s="63">
        <v>-11561.33</v>
      </c>
      <c r="G20" s="236">
        <f>_xlfn.XLOOKUP(D20,Sheet8!$D:$D,Sheet8!$E:$E,0,0)</f>
        <v>231</v>
      </c>
      <c r="H20" s="41">
        <f t="shared" si="0"/>
        <v>0</v>
      </c>
      <c r="I20" s="43"/>
    </row>
    <row r="21" spans="1:10">
      <c r="A21" s="42">
        <v>45740</v>
      </c>
      <c r="B21" s="193">
        <v>15450.44</v>
      </c>
      <c r="C21" s="43" t="s">
        <v>77</v>
      </c>
      <c r="D21" s="43">
        <v>1400000014</v>
      </c>
      <c r="E21" s="43" t="s">
        <v>77</v>
      </c>
      <c r="F21" s="63">
        <v>-15765.44</v>
      </c>
      <c r="G21" s="236">
        <f>_xlfn.XLOOKUP(D21,Sheet8!$D:$D,Sheet8!$E:$E,0,0)</f>
        <v>315</v>
      </c>
      <c r="H21" s="41">
        <f t="shared" si="0"/>
        <v>0</v>
      </c>
      <c r="I21" s="43"/>
    </row>
    <row r="22" spans="1:10">
      <c r="A22" s="42">
        <v>45740</v>
      </c>
      <c r="B22" s="193">
        <v>4532.53</v>
      </c>
      <c r="C22" s="43" t="s">
        <v>83</v>
      </c>
      <c r="D22" s="43">
        <v>1400000015</v>
      </c>
      <c r="E22" s="43" t="s">
        <v>83</v>
      </c>
      <c r="F22" s="63">
        <v>-4624.53</v>
      </c>
      <c r="G22" s="236">
        <f>_xlfn.XLOOKUP(D22,Sheet8!$D:$D,Sheet8!$E:$E,0,0)</f>
        <v>92</v>
      </c>
      <c r="H22" s="41">
        <f t="shared" si="0"/>
        <v>0</v>
      </c>
      <c r="I22" s="43"/>
    </row>
    <row r="23" spans="1:10">
      <c r="A23" s="42">
        <v>45728</v>
      </c>
      <c r="B23" s="193">
        <v>28756.3</v>
      </c>
      <c r="C23" s="43" t="s">
        <v>64</v>
      </c>
      <c r="D23" s="43">
        <v>1400000008</v>
      </c>
      <c r="E23" s="43" t="s">
        <v>64</v>
      </c>
      <c r="F23" s="63">
        <v>-31951.3</v>
      </c>
      <c r="G23" s="236">
        <f>_xlfn.XLOOKUP(D23,Sheet8!$D:$D,Sheet8!$E:$E,0,0)</f>
        <v>3195</v>
      </c>
      <c r="H23" s="41">
        <f t="shared" si="0"/>
        <v>0</v>
      </c>
      <c r="I23" s="43"/>
    </row>
    <row r="24" spans="1:10">
      <c r="A24" s="42">
        <v>45728</v>
      </c>
      <c r="B24" s="193">
        <v>97112.2</v>
      </c>
      <c r="C24" s="43" t="s">
        <v>74</v>
      </c>
      <c r="D24" s="43">
        <v>1400000009</v>
      </c>
      <c r="E24" s="43" t="s">
        <v>74</v>
      </c>
      <c r="F24" s="63">
        <v>-107902.2</v>
      </c>
      <c r="G24" s="236">
        <f>_xlfn.XLOOKUP(D24,Sheet8!$D:$D,Sheet8!$E:$E,0,0)</f>
        <v>10790</v>
      </c>
      <c r="H24" s="41">
        <f t="shared" si="0"/>
        <v>0</v>
      </c>
      <c r="I24" s="43"/>
    </row>
    <row r="25" spans="1:10">
      <c r="A25" s="42">
        <v>45728</v>
      </c>
      <c r="B25" s="193">
        <v>69973.16</v>
      </c>
      <c r="C25" s="43" t="s">
        <v>57</v>
      </c>
      <c r="D25" s="43">
        <v>1400000007</v>
      </c>
      <c r="E25" s="43" t="s">
        <v>57</v>
      </c>
      <c r="F25" s="63">
        <v>-77748.160000000003</v>
      </c>
      <c r="G25" s="236">
        <f>_xlfn.XLOOKUP(D25,Sheet8!$D:$D,Sheet8!$E:$E,0,0)</f>
        <v>7775</v>
      </c>
      <c r="H25" s="41">
        <f t="shared" si="0"/>
        <v>0</v>
      </c>
      <c r="I25" s="43"/>
    </row>
    <row r="26" spans="1:10">
      <c r="A26" s="42">
        <v>46069</v>
      </c>
      <c r="B26" s="192">
        <v>30424.05</v>
      </c>
      <c r="C26" s="43" t="s">
        <v>541</v>
      </c>
      <c r="D26" s="43" t="s">
        <v>603</v>
      </c>
      <c r="E26" s="43" t="s">
        <v>541</v>
      </c>
      <c r="F26" s="63">
        <v>-30424.05</v>
      </c>
      <c r="G26" s="63">
        <f>_xlfn.XLOOKUP(D26,Sheet8!$D:$D,Sheet8!$E:$E,0,0)</f>
        <v>0</v>
      </c>
      <c r="H26" s="41">
        <f t="shared" si="0"/>
        <v>0</v>
      </c>
      <c r="I26" s="43" t="s">
        <v>608</v>
      </c>
    </row>
    <row r="27" spans="1:10">
      <c r="A27" s="42">
        <v>46069</v>
      </c>
      <c r="B27" s="192">
        <v>971.67</v>
      </c>
      <c r="C27" s="43" t="s">
        <v>542</v>
      </c>
      <c r="D27" s="43" t="s">
        <v>603</v>
      </c>
      <c r="E27" s="43" t="s">
        <v>542</v>
      </c>
      <c r="F27" s="63">
        <v>-971.67</v>
      </c>
      <c r="G27" s="63">
        <f>_xlfn.XLOOKUP(D27,Sheet8!$D:$D,Sheet8!$E:$E,0,0)</f>
        <v>0</v>
      </c>
      <c r="H27" s="41">
        <f t="shared" si="0"/>
        <v>0</v>
      </c>
      <c r="I27" s="43" t="s">
        <v>608</v>
      </c>
    </row>
    <row r="28" spans="1:10">
      <c r="A28" s="42">
        <v>46006</v>
      </c>
      <c r="B28" s="194">
        <v>14903.5</v>
      </c>
      <c r="C28" s="159" t="s">
        <v>535</v>
      </c>
      <c r="D28" s="43" t="s">
        <v>603</v>
      </c>
      <c r="E28" s="43" t="s">
        <v>320</v>
      </c>
      <c r="F28" s="63">
        <v>-296024</v>
      </c>
      <c r="G28" s="63">
        <f>_xlfn.XLOOKUP(D29,Sheet8!$D:$D,Sheet8!$E:$E,0,0)</f>
        <v>0</v>
      </c>
      <c r="H28" s="41">
        <f>B29+F28+G28</f>
        <v>64085.299999999988</v>
      </c>
      <c r="I28" s="43" t="s">
        <v>608</v>
      </c>
      <c r="J28" s="212"/>
    </row>
    <row r="29" spans="1:10">
      <c r="A29" s="42">
        <v>45993</v>
      </c>
      <c r="B29" s="195">
        <v>360109.3</v>
      </c>
      <c r="C29" s="160" t="s">
        <v>320</v>
      </c>
      <c r="D29" s="43" t="s">
        <v>603</v>
      </c>
      <c r="E29" s="43" t="s">
        <v>320</v>
      </c>
      <c r="F29" s="63">
        <v>-97487.56</v>
      </c>
      <c r="G29" s="63">
        <f>_xlfn.XLOOKUP(D30,Sheet8!$D:$D,Sheet8!$E:$E,0,0)</f>
        <v>4539</v>
      </c>
      <c r="H29" s="41">
        <f>B30+F29+G29</f>
        <v>-92948.56</v>
      </c>
      <c r="I29" s="62">
        <f>G29/F29</f>
        <v>-4.6559786705093448E-2</v>
      </c>
      <c r="J29" s="212"/>
    </row>
    <row r="30" spans="1:10">
      <c r="A30" s="80"/>
      <c r="B30" s="196"/>
      <c r="C30" s="80"/>
      <c r="D30" s="43">
        <v>1400002197</v>
      </c>
      <c r="E30" s="43" t="s">
        <v>616</v>
      </c>
      <c r="F30" s="63">
        <f>-14531.11-16156.51</f>
        <v>-30687.620000000003</v>
      </c>
      <c r="G30" s="236">
        <f>_xlfn.XLOOKUP(D31,Sheet8!$D:$D,Sheet8!$E:$E,0,0)</f>
        <v>614</v>
      </c>
      <c r="H30" s="41">
        <f>B31+F30+G30</f>
        <v>-30073.620000000003</v>
      </c>
      <c r="I30" s="62">
        <f>G30/F30</f>
        <v>-2.0008068400221325E-2</v>
      </c>
    </row>
    <row r="31" spans="1:10">
      <c r="A31" s="80"/>
      <c r="B31" s="196"/>
      <c r="C31" s="80"/>
      <c r="D31" s="43">
        <v>1400002389</v>
      </c>
      <c r="H31" s="150"/>
    </row>
  </sheetData>
  <autoFilter ref="A3:I31" xr:uid="{59B7CEB3-E084-42E7-AB59-A2C2F391D3D8}"/>
  <mergeCells count="3">
    <mergeCell ref="A2:C2"/>
    <mergeCell ref="D2:F2"/>
    <mergeCell ref="G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CA75-A439-4FF5-976C-DFA960D40C7E}">
  <dimension ref="A3:E87"/>
  <sheetViews>
    <sheetView workbookViewId="0">
      <selection activeCell="E4" sqref="E4:E87"/>
    </sheetView>
  </sheetViews>
  <sheetFormatPr defaultRowHeight="14.4"/>
  <cols>
    <col min="1" max="1" width="12.33203125" bestFit="1" customWidth="1"/>
    <col min="2" max="2" width="10.21875" bestFit="1" customWidth="1"/>
    <col min="4" max="4" width="14.21875" bestFit="1" customWidth="1"/>
    <col min="5" max="5" width="11.21875" bestFit="1" customWidth="1"/>
  </cols>
  <sheetData>
    <row r="3" spans="1:5">
      <c r="A3" s="95" t="s">
        <v>601</v>
      </c>
      <c r="B3" t="s">
        <v>612</v>
      </c>
      <c r="D3" s="115" t="s">
        <v>601</v>
      </c>
      <c r="E3" s="115" t="s">
        <v>612</v>
      </c>
    </row>
    <row r="4" spans="1:5">
      <c r="A4" s="190">
        <v>1400000007</v>
      </c>
      <c r="B4" s="96">
        <v>7775</v>
      </c>
      <c r="D4" s="43">
        <v>1400000007</v>
      </c>
      <c r="E4" s="63">
        <v>7775</v>
      </c>
    </row>
    <row r="5" spans="1:5">
      <c r="A5" s="190">
        <v>1400000008</v>
      </c>
      <c r="B5" s="96">
        <v>3195</v>
      </c>
      <c r="D5" s="43">
        <v>1400000008</v>
      </c>
      <c r="E5" s="63">
        <v>3195</v>
      </c>
    </row>
    <row r="6" spans="1:5">
      <c r="A6" s="190">
        <v>1400000009</v>
      </c>
      <c r="B6" s="96">
        <v>10790</v>
      </c>
      <c r="D6" s="43">
        <v>1400000009</v>
      </c>
      <c r="E6" s="63">
        <v>10790</v>
      </c>
    </row>
    <row r="7" spans="1:5">
      <c r="A7" s="190">
        <v>1400000010</v>
      </c>
      <c r="B7" s="96">
        <v>231</v>
      </c>
      <c r="D7" s="43">
        <v>1400000010</v>
      </c>
      <c r="E7" s="63">
        <v>231</v>
      </c>
    </row>
    <row r="8" spans="1:5">
      <c r="A8" s="190">
        <v>1400000011</v>
      </c>
      <c r="B8" s="96">
        <v>370</v>
      </c>
      <c r="D8" s="43">
        <v>1400000011</v>
      </c>
      <c r="E8" s="63">
        <v>370</v>
      </c>
    </row>
    <row r="9" spans="1:5">
      <c r="A9" s="190">
        <v>1400000012</v>
      </c>
      <c r="B9" s="96">
        <v>370</v>
      </c>
      <c r="D9" s="43">
        <v>1400000012</v>
      </c>
      <c r="E9" s="63">
        <v>370</v>
      </c>
    </row>
    <row r="10" spans="1:5">
      <c r="A10" s="190">
        <v>1400000013</v>
      </c>
      <c r="B10" s="96">
        <v>92</v>
      </c>
      <c r="D10" s="43">
        <v>1400000013</v>
      </c>
      <c r="E10" s="63">
        <v>92</v>
      </c>
    </row>
    <row r="11" spans="1:5">
      <c r="A11" s="190">
        <v>1400000014</v>
      </c>
      <c r="B11" s="96">
        <v>315</v>
      </c>
      <c r="D11" s="43">
        <v>1400000014</v>
      </c>
      <c r="E11" s="63">
        <v>315</v>
      </c>
    </row>
    <row r="12" spans="1:5">
      <c r="A12" s="190">
        <v>1400000015</v>
      </c>
      <c r="B12" s="96">
        <v>92</v>
      </c>
      <c r="D12" s="43">
        <v>1400000015</v>
      </c>
      <c r="E12" s="63">
        <v>92</v>
      </c>
    </row>
    <row r="13" spans="1:5">
      <c r="A13" s="190">
        <v>1400000293</v>
      </c>
      <c r="B13" s="96"/>
      <c r="D13" s="43">
        <v>1400000293</v>
      </c>
      <c r="E13" s="63"/>
    </row>
    <row r="14" spans="1:5">
      <c r="A14" s="190">
        <v>1400000294</v>
      </c>
      <c r="B14" s="96"/>
      <c r="D14" s="43">
        <v>1400000294</v>
      </c>
      <c r="E14" s="63"/>
    </row>
    <row r="15" spans="1:5">
      <c r="A15" s="190">
        <v>1400000295</v>
      </c>
      <c r="B15" s="96"/>
      <c r="D15" s="43">
        <v>1400000295</v>
      </c>
      <c r="E15" s="63"/>
    </row>
    <row r="16" spans="1:5">
      <c r="A16" s="190">
        <v>1400000296</v>
      </c>
      <c r="B16" s="96"/>
      <c r="D16" s="43">
        <v>1400000296</v>
      </c>
      <c r="E16" s="63"/>
    </row>
    <row r="17" spans="1:5">
      <c r="A17" s="190">
        <v>1400000297</v>
      </c>
      <c r="B17" s="96"/>
      <c r="D17" s="43">
        <v>1400000297</v>
      </c>
      <c r="E17" s="63"/>
    </row>
    <row r="18" spans="1:5">
      <c r="A18" s="190">
        <v>1400000298</v>
      </c>
      <c r="B18" s="96"/>
      <c r="D18" s="43">
        <v>1400000298</v>
      </c>
      <c r="E18" s="63"/>
    </row>
    <row r="19" spans="1:5">
      <c r="A19" s="190">
        <v>1400000299</v>
      </c>
      <c r="B19" s="96"/>
      <c r="D19" s="43">
        <v>1400000299</v>
      </c>
      <c r="E19" s="63"/>
    </row>
    <row r="20" spans="1:5">
      <c r="A20" s="190">
        <v>1400000300</v>
      </c>
      <c r="B20" s="96"/>
      <c r="D20" s="43">
        <v>1400000300</v>
      </c>
      <c r="E20" s="63"/>
    </row>
    <row r="21" spans="1:5">
      <c r="A21" s="190">
        <v>1400000301</v>
      </c>
      <c r="B21" s="96"/>
      <c r="D21" s="43">
        <v>1400000301</v>
      </c>
      <c r="E21" s="63"/>
    </row>
    <row r="22" spans="1:5">
      <c r="A22" s="190">
        <v>1400000302</v>
      </c>
      <c r="B22" s="96"/>
      <c r="D22" s="43">
        <v>1400000302</v>
      </c>
      <c r="E22" s="63"/>
    </row>
    <row r="23" spans="1:5">
      <c r="A23" s="190">
        <v>1400000303</v>
      </c>
      <c r="B23" s="96"/>
      <c r="D23" s="43">
        <v>1400000303</v>
      </c>
      <c r="E23" s="63"/>
    </row>
    <row r="24" spans="1:5">
      <c r="A24" s="190">
        <v>1400000304</v>
      </c>
      <c r="B24" s="96"/>
      <c r="D24" s="43">
        <v>1400000304</v>
      </c>
      <c r="E24" s="63"/>
    </row>
    <row r="25" spans="1:5">
      <c r="A25" s="190">
        <v>1400000305</v>
      </c>
      <c r="B25" s="96"/>
      <c r="D25" s="43">
        <v>1400000305</v>
      </c>
      <c r="E25" s="63"/>
    </row>
    <row r="26" spans="1:5">
      <c r="A26" s="190">
        <v>1400000306</v>
      </c>
      <c r="B26" s="96"/>
      <c r="D26" s="43">
        <v>1400000306</v>
      </c>
      <c r="E26" s="63"/>
    </row>
    <row r="27" spans="1:5">
      <c r="A27" s="190">
        <v>1400000307</v>
      </c>
      <c r="B27" s="96"/>
      <c r="D27" s="43">
        <v>1400000307</v>
      </c>
      <c r="E27" s="63"/>
    </row>
    <row r="28" spans="1:5">
      <c r="A28" s="190">
        <v>1400000308</v>
      </c>
      <c r="B28" s="96"/>
      <c r="D28" s="43">
        <v>1400000308</v>
      </c>
      <c r="E28" s="63"/>
    </row>
    <row r="29" spans="1:5">
      <c r="A29" s="190">
        <v>1400000309</v>
      </c>
      <c r="B29" s="96"/>
      <c r="D29" s="43">
        <v>1400000309</v>
      </c>
      <c r="E29" s="63"/>
    </row>
    <row r="30" spans="1:5">
      <c r="A30" s="190">
        <v>1400000310</v>
      </c>
      <c r="B30" s="96"/>
      <c r="D30" s="43">
        <v>1400000310</v>
      </c>
      <c r="E30" s="63"/>
    </row>
    <row r="31" spans="1:5">
      <c r="A31" s="190">
        <v>1400000311</v>
      </c>
      <c r="B31" s="96"/>
      <c r="D31" s="43">
        <v>1400000311</v>
      </c>
      <c r="E31" s="63"/>
    </row>
    <row r="32" spans="1:5">
      <c r="A32" s="190">
        <v>1400000312</v>
      </c>
      <c r="B32" s="96"/>
      <c r="D32" s="43">
        <v>1400000312</v>
      </c>
      <c r="E32" s="63"/>
    </row>
    <row r="33" spans="1:5">
      <c r="A33" s="190">
        <v>1400000313</v>
      </c>
      <c r="B33" s="96"/>
      <c r="D33" s="43">
        <v>1400000313</v>
      </c>
      <c r="E33" s="63"/>
    </row>
    <row r="34" spans="1:5">
      <c r="A34" s="190">
        <v>1400000314</v>
      </c>
      <c r="B34" s="96"/>
      <c r="D34" s="43">
        <v>1400000314</v>
      </c>
      <c r="E34" s="63"/>
    </row>
    <row r="35" spans="1:5">
      <c r="A35" s="190">
        <v>1400000315</v>
      </c>
      <c r="B35" s="96"/>
      <c r="D35" s="43">
        <v>1400000315</v>
      </c>
      <c r="E35" s="63"/>
    </row>
    <row r="36" spans="1:5">
      <c r="A36" s="190">
        <v>1400000316</v>
      </c>
      <c r="B36" s="96"/>
      <c r="D36" s="43">
        <v>1400000316</v>
      </c>
      <c r="E36" s="63"/>
    </row>
    <row r="37" spans="1:5">
      <c r="A37" s="190">
        <v>1400000317</v>
      </c>
      <c r="B37" s="96"/>
      <c r="D37" s="43">
        <v>1400000317</v>
      </c>
      <c r="E37" s="63"/>
    </row>
    <row r="38" spans="1:5">
      <c r="A38" s="190">
        <v>1400000318</v>
      </c>
      <c r="B38" s="96"/>
      <c r="D38" s="43">
        <v>1400000318</v>
      </c>
      <c r="E38" s="63"/>
    </row>
    <row r="39" spans="1:5">
      <c r="A39" s="190">
        <v>1400000319</v>
      </c>
      <c r="B39" s="96"/>
      <c r="D39" s="43">
        <v>1400000319</v>
      </c>
      <c r="E39" s="63"/>
    </row>
    <row r="40" spans="1:5">
      <c r="A40" s="190">
        <v>1400000320</v>
      </c>
      <c r="B40" s="96"/>
      <c r="D40" s="43">
        <v>1400000320</v>
      </c>
      <c r="E40" s="63"/>
    </row>
    <row r="41" spans="1:5">
      <c r="A41" s="190">
        <v>1400000321</v>
      </c>
      <c r="B41" s="96"/>
      <c r="D41" s="43">
        <v>1400000321</v>
      </c>
      <c r="E41" s="63"/>
    </row>
    <row r="42" spans="1:5">
      <c r="A42" s="190">
        <v>1400000322</v>
      </c>
      <c r="B42" s="96"/>
      <c r="D42" s="43">
        <v>1400000322</v>
      </c>
      <c r="E42" s="63"/>
    </row>
    <row r="43" spans="1:5">
      <c r="A43" s="190">
        <v>1400000323</v>
      </c>
      <c r="B43" s="96"/>
      <c r="D43" s="43">
        <v>1400000323</v>
      </c>
      <c r="E43" s="63"/>
    </row>
    <row r="44" spans="1:5">
      <c r="A44" s="190">
        <v>1400000324</v>
      </c>
      <c r="B44" s="96"/>
      <c r="D44" s="43">
        <v>1400000324</v>
      </c>
      <c r="E44" s="63"/>
    </row>
    <row r="45" spans="1:5">
      <c r="A45" s="190">
        <v>1400000325</v>
      </c>
      <c r="B45" s="96"/>
      <c r="D45" s="43">
        <v>1400000325</v>
      </c>
      <c r="E45" s="63"/>
    </row>
    <row r="46" spans="1:5">
      <c r="A46" s="190">
        <v>1400000327</v>
      </c>
      <c r="B46" s="96"/>
      <c r="D46" s="43">
        <v>1400000327</v>
      </c>
      <c r="E46" s="63"/>
    </row>
    <row r="47" spans="1:5">
      <c r="A47" s="190">
        <v>1400000328</v>
      </c>
      <c r="B47" s="96"/>
      <c r="D47" s="43">
        <v>1400000328</v>
      </c>
      <c r="E47" s="63"/>
    </row>
    <row r="48" spans="1:5">
      <c r="A48" s="190">
        <v>1400000329</v>
      </c>
      <c r="B48" s="96"/>
      <c r="D48" s="43">
        <v>1400000329</v>
      </c>
      <c r="E48" s="63"/>
    </row>
    <row r="49" spans="1:5">
      <c r="A49" s="190">
        <v>1400000330</v>
      </c>
      <c r="B49" s="96"/>
      <c r="D49" s="43">
        <v>1400000330</v>
      </c>
      <c r="E49" s="63"/>
    </row>
    <row r="50" spans="1:5">
      <c r="A50" s="190">
        <v>1400000331</v>
      </c>
      <c r="B50" s="96"/>
      <c r="D50" s="43">
        <v>1400000331</v>
      </c>
      <c r="E50" s="63"/>
    </row>
    <row r="51" spans="1:5">
      <c r="A51" s="190">
        <v>1400000332</v>
      </c>
      <c r="B51" s="96"/>
      <c r="D51" s="43">
        <v>1400000332</v>
      </c>
      <c r="E51" s="63"/>
    </row>
    <row r="52" spans="1:5">
      <c r="A52" s="190">
        <v>1400000333</v>
      </c>
      <c r="B52" s="96"/>
      <c r="D52" s="43">
        <v>1400000333</v>
      </c>
      <c r="E52" s="63"/>
    </row>
    <row r="53" spans="1:5">
      <c r="A53" s="190">
        <v>1400000334</v>
      </c>
      <c r="B53" s="96"/>
      <c r="D53" s="43">
        <v>1400000334</v>
      </c>
      <c r="E53" s="63"/>
    </row>
    <row r="54" spans="1:5">
      <c r="A54" s="190">
        <v>1400000335</v>
      </c>
      <c r="B54" s="96"/>
      <c r="D54" s="43">
        <v>1400000335</v>
      </c>
      <c r="E54" s="63"/>
    </row>
    <row r="55" spans="1:5">
      <c r="A55" s="190">
        <v>1400000336</v>
      </c>
      <c r="B55" s="96"/>
      <c r="D55" s="43">
        <v>1400000336</v>
      </c>
      <c r="E55" s="63"/>
    </row>
    <row r="56" spans="1:5">
      <c r="A56" s="190">
        <v>1400000337</v>
      </c>
      <c r="B56" s="96"/>
      <c r="D56" s="43">
        <v>1400000337</v>
      </c>
      <c r="E56" s="63"/>
    </row>
    <row r="57" spans="1:5">
      <c r="A57" s="190">
        <v>1400000338</v>
      </c>
      <c r="B57" s="96"/>
      <c r="D57" s="43">
        <v>1400000338</v>
      </c>
      <c r="E57" s="63"/>
    </row>
    <row r="58" spans="1:5">
      <c r="A58" s="190">
        <v>1400000339</v>
      </c>
      <c r="B58" s="96"/>
      <c r="D58" s="43">
        <v>1400000339</v>
      </c>
      <c r="E58" s="63"/>
    </row>
    <row r="59" spans="1:5">
      <c r="A59" s="190">
        <v>1400000340</v>
      </c>
      <c r="B59" s="96"/>
      <c r="D59" s="43">
        <v>1400000340</v>
      </c>
      <c r="E59" s="63"/>
    </row>
    <row r="60" spans="1:5">
      <c r="A60" s="190">
        <v>1400000341</v>
      </c>
      <c r="B60" s="96"/>
      <c r="D60" s="43">
        <v>1400000341</v>
      </c>
      <c r="E60" s="63"/>
    </row>
    <row r="61" spans="1:5">
      <c r="A61" s="190">
        <v>1400000342</v>
      </c>
      <c r="B61" s="96"/>
      <c r="D61" s="43">
        <v>1400000342</v>
      </c>
      <c r="E61" s="63"/>
    </row>
    <row r="62" spans="1:5">
      <c r="A62" s="190">
        <v>1400001206</v>
      </c>
      <c r="B62" s="96"/>
      <c r="D62" s="43">
        <v>1400001206</v>
      </c>
      <c r="E62" s="63"/>
    </row>
    <row r="63" spans="1:5">
      <c r="A63" s="190">
        <v>1400001449</v>
      </c>
      <c r="B63" s="96"/>
      <c r="D63" s="43">
        <v>1400001449</v>
      </c>
      <c r="E63" s="63"/>
    </row>
    <row r="64" spans="1:5">
      <c r="A64" s="190">
        <v>1400001450</v>
      </c>
      <c r="B64" s="96"/>
      <c r="D64" s="43">
        <v>1400001450</v>
      </c>
      <c r="E64" s="63"/>
    </row>
    <row r="65" spans="1:5">
      <c r="A65" s="190">
        <v>1400001451</v>
      </c>
      <c r="B65" s="96"/>
      <c r="D65" s="43">
        <v>1400001451</v>
      </c>
      <c r="E65" s="63"/>
    </row>
    <row r="66" spans="1:5">
      <c r="A66" s="190">
        <v>1400001452</v>
      </c>
      <c r="B66" s="96">
        <v>9843</v>
      </c>
      <c r="D66" s="43">
        <v>1400001452</v>
      </c>
      <c r="E66" s="63">
        <v>9843</v>
      </c>
    </row>
    <row r="67" spans="1:5">
      <c r="A67" s="190">
        <v>1400001453</v>
      </c>
      <c r="B67" s="96">
        <v>2796</v>
      </c>
      <c r="D67" s="43">
        <v>1400001453</v>
      </c>
      <c r="E67" s="63">
        <v>2796</v>
      </c>
    </row>
    <row r="68" spans="1:5">
      <c r="A68" s="190">
        <v>1400001454</v>
      </c>
      <c r="B68" s="96">
        <v>4877</v>
      </c>
      <c r="D68" s="43">
        <v>1400001454</v>
      </c>
      <c r="E68" s="63">
        <v>4877</v>
      </c>
    </row>
    <row r="69" spans="1:5">
      <c r="A69" s="190">
        <v>1400001455</v>
      </c>
      <c r="B69" s="96">
        <v>57796</v>
      </c>
      <c r="D69" s="43">
        <v>1400001455</v>
      </c>
      <c r="E69" s="63">
        <v>57796</v>
      </c>
    </row>
    <row r="70" spans="1:5">
      <c r="A70" s="190">
        <v>1400001456</v>
      </c>
      <c r="B70" s="96">
        <v>3659</v>
      </c>
      <c r="D70" s="43">
        <v>1400001456</v>
      </c>
      <c r="E70" s="63">
        <v>3659</v>
      </c>
    </row>
    <row r="71" spans="1:5">
      <c r="A71" s="190">
        <v>1400001458</v>
      </c>
      <c r="B71" s="96"/>
      <c r="D71" s="43">
        <v>1400001458</v>
      </c>
      <c r="E71" s="63"/>
    </row>
    <row r="72" spans="1:5">
      <c r="A72" s="190">
        <v>1400001468</v>
      </c>
      <c r="B72" s="96"/>
      <c r="D72" s="43">
        <v>1400001468</v>
      </c>
      <c r="E72" s="63"/>
    </row>
    <row r="73" spans="1:5">
      <c r="A73" s="190">
        <v>1400001956</v>
      </c>
      <c r="B73" s="96">
        <v>2187</v>
      </c>
      <c r="D73" s="43">
        <v>1400001956</v>
      </c>
      <c r="E73" s="63">
        <v>2187</v>
      </c>
    </row>
    <row r="74" spans="1:5">
      <c r="A74" s="190">
        <v>1400001961</v>
      </c>
      <c r="B74" s="96">
        <v>8488</v>
      </c>
      <c r="D74" s="43">
        <v>1400001961</v>
      </c>
      <c r="E74" s="63">
        <v>8488</v>
      </c>
    </row>
    <row r="75" spans="1:5">
      <c r="A75" s="190">
        <v>1400001971</v>
      </c>
      <c r="B75" s="96">
        <v>5073</v>
      </c>
      <c r="D75" s="43">
        <v>1400001971</v>
      </c>
      <c r="E75" s="63">
        <v>5073</v>
      </c>
    </row>
    <row r="76" spans="1:5">
      <c r="A76" s="190">
        <v>1400001972</v>
      </c>
      <c r="B76" s="96">
        <v>47714</v>
      </c>
      <c r="D76" s="43">
        <v>1400001972</v>
      </c>
      <c r="E76" s="63">
        <v>47714</v>
      </c>
    </row>
    <row r="77" spans="1:5">
      <c r="A77" s="190">
        <v>1400001988</v>
      </c>
      <c r="B77" s="96"/>
      <c r="D77" s="43">
        <v>1400001988</v>
      </c>
      <c r="E77" s="63"/>
    </row>
    <row r="78" spans="1:5">
      <c r="A78" s="190">
        <v>1400001989</v>
      </c>
      <c r="B78" s="96"/>
      <c r="D78" s="43">
        <v>1400001989</v>
      </c>
      <c r="E78" s="63"/>
    </row>
    <row r="79" spans="1:5">
      <c r="A79" s="190">
        <v>1400001993</v>
      </c>
      <c r="B79" s="96"/>
      <c r="D79" s="43">
        <v>1400001993</v>
      </c>
      <c r="E79" s="63"/>
    </row>
    <row r="80" spans="1:5">
      <c r="A80" s="190">
        <v>1400002197</v>
      </c>
      <c r="B80" s="96">
        <v>4539</v>
      </c>
      <c r="D80" s="43">
        <v>1400002197</v>
      </c>
      <c r="E80" s="63">
        <v>4539</v>
      </c>
    </row>
    <row r="81" spans="1:5">
      <c r="A81" s="190">
        <v>1400002388</v>
      </c>
      <c r="B81" s="96"/>
      <c r="D81" s="43">
        <v>1400002388</v>
      </c>
      <c r="E81" s="63"/>
    </row>
    <row r="82" spans="1:5">
      <c r="A82" s="190">
        <v>1400002389</v>
      </c>
      <c r="B82" s="96">
        <v>614</v>
      </c>
      <c r="D82" s="43">
        <v>1400002389</v>
      </c>
      <c r="E82" s="63">
        <v>614</v>
      </c>
    </row>
    <row r="83" spans="1:5">
      <c r="A83" s="190">
        <v>1600000159</v>
      </c>
      <c r="B83" s="96"/>
      <c r="D83" s="43">
        <v>1600000159</v>
      </c>
      <c r="E83" s="63"/>
    </row>
    <row r="84" spans="1:5">
      <c r="A84" s="190">
        <v>1600000160</v>
      </c>
      <c r="B84" s="96"/>
      <c r="D84" s="43">
        <v>1600000160</v>
      </c>
      <c r="E84" s="63"/>
    </row>
    <row r="85" spans="1:5">
      <c r="A85" s="190">
        <v>1600000161</v>
      </c>
      <c r="B85" s="96"/>
      <c r="D85" s="43">
        <v>1600000161</v>
      </c>
      <c r="E85" s="63"/>
    </row>
    <row r="86" spans="1:5">
      <c r="A86" s="190"/>
      <c r="B86" s="96">
        <v>127389</v>
      </c>
      <c r="D86" s="43" t="s">
        <v>613</v>
      </c>
      <c r="E86" s="63">
        <v>127389</v>
      </c>
    </row>
    <row r="87" spans="1:5">
      <c r="A87" s="190" t="s">
        <v>602</v>
      </c>
      <c r="B87" s="96">
        <v>298205</v>
      </c>
      <c r="D87" s="221" t="s">
        <v>602</v>
      </c>
      <c r="E87" s="222">
        <v>298205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7FD1-F396-42B7-81D1-58E95535B33E}">
  <sheetPr filterMode="1"/>
  <dimension ref="A1:AO337"/>
  <sheetViews>
    <sheetView tabSelected="1" topLeftCell="R2" zoomScaleNormal="100" workbookViewId="0">
      <selection activeCell="AO2" sqref="AO2"/>
    </sheetView>
  </sheetViews>
  <sheetFormatPr defaultRowHeight="14.4"/>
  <cols>
    <col min="1" max="1" width="11.44140625" hidden="1" customWidth="1"/>
    <col min="2" max="2" width="13.5546875" hidden="1" customWidth="1"/>
    <col min="3" max="3" width="9.77734375" hidden="1" customWidth="1"/>
    <col min="4" max="4" width="27.77734375" hidden="1" customWidth="1"/>
    <col min="5" max="5" width="9.44140625" hidden="1" customWidth="1"/>
    <col min="6" max="6" width="6.77734375" hidden="1" customWidth="1"/>
    <col min="7" max="7" width="13.44140625" hidden="1" customWidth="1"/>
    <col min="8" max="8" width="11.6640625" customWidth="1"/>
    <col min="9" max="9" width="6.21875" bestFit="1" customWidth="1"/>
    <col min="10" max="10" width="11.77734375" customWidth="1"/>
    <col min="11" max="11" width="11.77734375" hidden="1" customWidth="1"/>
    <col min="12" max="12" width="26.6640625" customWidth="1"/>
    <col min="13" max="13" width="14" customWidth="1"/>
    <col min="14" max="14" width="13.21875" hidden="1" customWidth="1"/>
    <col min="15" max="15" width="22.77734375" hidden="1" customWidth="1"/>
    <col min="16" max="16" width="16" hidden="1" customWidth="1"/>
    <col min="17" max="17" width="12.44140625" hidden="1" customWidth="1"/>
    <col min="18" max="18" width="3.77734375" style="184" customWidth="1"/>
    <col min="19" max="19" width="11.77734375" style="76" bestFit="1" customWidth="1"/>
    <col min="20" max="20" width="3.44140625" style="189" customWidth="1"/>
    <col min="21" max="21" width="12.44140625" style="76" customWidth="1"/>
    <col min="22" max="22" width="10.77734375" hidden="1" customWidth="1"/>
    <col min="23" max="23" width="13.6640625" hidden="1" customWidth="1"/>
    <col min="24" max="24" width="19.5546875" hidden="1" customWidth="1"/>
    <col min="25" max="25" width="15.5546875" hidden="1" customWidth="1"/>
    <col min="26" max="26" width="6.88671875" hidden="1" customWidth="1"/>
    <col min="27" max="27" width="46.77734375" customWidth="1"/>
    <col min="28" max="30" width="16.33203125" hidden="1" customWidth="1"/>
    <col min="31" max="31" width="21.21875" hidden="1" customWidth="1"/>
    <col min="32" max="32" width="14.21875" hidden="1" customWidth="1"/>
    <col min="33" max="33" width="13" customWidth="1"/>
    <col min="34" max="34" width="11.5546875" style="76" customWidth="1"/>
    <col min="35" max="35" width="11.21875" style="76" bestFit="1" customWidth="1"/>
    <col min="36" max="36" width="14.109375" style="76" bestFit="1" customWidth="1"/>
    <col min="37" max="37" width="12.6640625" style="61" bestFit="1" customWidth="1"/>
    <col min="38" max="38" width="6.77734375" style="123" bestFit="1" customWidth="1"/>
    <col min="39" max="39" width="0" hidden="1" customWidth="1"/>
  </cols>
  <sheetData>
    <row r="1" spans="1:4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86"/>
      <c r="S1" s="74"/>
      <c r="T1" s="187"/>
      <c r="U1" s="74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74"/>
      <c r="AI1" s="74"/>
      <c r="AJ1" s="74"/>
      <c r="AK1" s="63">
        <f>SUBTOTAL(9,AK148:AK334)</f>
        <v>5.0740000033329125E-3</v>
      </c>
      <c r="AL1" s="62"/>
    </row>
    <row r="2" spans="1:41" s="211" customFormat="1">
      <c r="A2" s="54" t="s">
        <v>266</v>
      </c>
      <c r="B2" s="54" t="s">
        <v>267</v>
      </c>
      <c r="C2" s="54" t="s">
        <v>268</v>
      </c>
      <c r="D2" s="54" t="s">
        <v>269</v>
      </c>
      <c r="E2" s="54" t="s">
        <v>270</v>
      </c>
      <c r="F2" s="54" t="s">
        <v>271</v>
      </c>
      <c r="G2" s="54" t="s">
        <v>272</v>
      </c>
      <c r="H2" s="54" t="s">
        <v>273</v>
      </c>
      <c r="I2" s="54" t="s">
        <v>274</v>
      </c>
      <c r="J2" s="54" t="s">
        <v>275</v>
      </c>
      <c r="K2" s="54" t="s">
        <v>276</v>
      </c>
      <c r="L2" s="54" t="s">
        <v>277</v>
      </c>
      <c r="M2" s="54" t="s">
        <v>278</v>
      </c>
      <c r="N2" s="54" t="s">
        <v>279</v>
      </c>
      <c r="O2" s="54" t="s">
        <v>280</v>
      </c>
      <c r="P2" s="54" t="s">
        <v>281</v>
      </c>
      <c r="Q2" s="54" t="s">
        <v>282</v>
      </c>
      <c r="R2" s="209" t="s">
        <v>283</v>
      </c>
      <c r="S2" s="75" t="s">
        <v>284</v>
      </c>
      <c r="T2" s="210" t="s">
        <v>285</v>
      </c>
      <c r="U2" s="75" t="s">
        <v>286</v>
      </c>
      <c r="V2" s="54" t="s">
        <v>287</v>
      </c>
      <c r="W2" s="54" t="s">
        <v>288</v>
      </c>
      <c r="X2" s="54" t="s">
        <v>289</v>
      </c>
      <c r="Y2" s="54" t="s">
        <v>290</v>
      </c>
      <c r="Z2" s="54" t="s">
        <v>291</v>
      </c>
      <c r="AA2" s="54" t="s">
        <v>292</v>
      </c>
      <c r="AB2" s="54" t="s">
        <v>293</v>
      </c>
      <c r="AC2" s="54" t="s">
        <v>294</v>
      </c>
      <c r="AD2" s="54" t="s">
        <v>295</v>
      </c>
      <c r="AE2" s="54" t="s">
        <v>296</v>
      </c>
      <c r="AF2" s="54" t="s">
        <v>297</v>
      </c>
      <c r="AG2" s="54" t="s">
        <v>600</v>
      </c>
      <c r="AH2" s="75" t="s">
        <v>545</v>
      </c>
      <c r="AI2" s="75" t="s">
        <v>8</v>
      </c>
      <c r="AJ2" s="75" t="s">
        <v>546</v>
      </c>
      <c r="AK2" s="78" t="s">
        <v>544</v>
      </c>
      <c r="AL2" s="122" t="s">
        <v>543</v>
      </c>
      <c r="AO2" s="211" t="s">
        <v>614</v>
      </c>
    </row>
    <row r="3" spans="1:41" hidden="1">
      <c r="A3" s="56" t="s">
        <v>298</v>
      </c>
      <c r="B3" s="56" t="s">
        <v>299</v>
      </c>
      <c r="C3" s="56" t="s">
        <v>300</v>
      </c>
      <c r="D3" s="56" t="s">
        <v>301</v>
      </c>
      <c r="E3" s="56" t="s">
        <v>302</v>
      </c>
      <c r="F3" s="56" t="s">
        <v>303</v>
      </c>
      <c r="G3" s="57">
        <v>46070</v>
      </c>
      <c r="H3" s="58">
        <v>1400002720</v>
      </c>
      <c r="I3" s="56" t="s">
        <v>319</v>
      </c>
      <c r="J3" s="57">
        <v>46070</v>
      </c>
      <c r="K3" s="57">
        <v>46070</v>
      </c>
      <c r="L3" s="56" t="s">
        <v>541</v>
      </c>
      <c r="M3" s="60">
        <v>2173609</v>
      </c>
      <c r="N3" s="56" t="s">
        <v>306</v>
      </c>
      <c r="O3" s="56" t="s">
        <v>307</v>
      </c>
      <c r="P3" s="56" t="s">
        <v>305</v>
      </c>
      <c r="Q3" s="56" t="s">
        <v>308</v>
      </c>
      <c r="R3" s="186" t="s">
        <v>309</v>
      </c>
      <c r="S3" s="164">
        <v>-30424.05</v>
      </c>
      <c r="T3" s="187" t="s">
        <v>309</v>
      </c>
      <c r="U3" s="164">
        <v>-30424.05</v>
      </c>
      <c r="V3" s="56" t="s">
        <v>305</v>
      </c>
      <c r="W3" s="56" t="s">
        <v>313</v>
      </c>
      <c r="X3" s="56" t="s">
        <v>305</v>
      </c>
      <c r="Y3" s="56" t="s">
        <v>305</v>
      </c>
      <c r="Z3" s="56" t="s">
        <v>317</v>
      </c>
      <c r="AA3" s="56" t="s">
        <v>305</v>
      </c>
      <c r="AB3" s="56" t="s">
        <v>305</v>
      </c>
      <c r="AC3" s="56" t="s">
        <v>305</v>
      </c>
      <c r="AD3" s="56" t="s">
        <v>305</v>
      </c>
      <c r="AE3" s="57">
        <v>46070</v>
      </c>
      <c r="AF3" s="57"/>
      <c r="AG3" s="56" t="s">
        <v>305</v>
      </c>
      <c r="AH3" s="74" t="e" cm="1">
        <f t="array" ref="AH3">VLOOKUP(M3,'Customer data Vlookup'!$B$3:$H$127,{2,3},0)</f>
        <v>#N/A</v>
      </c>
      <c r="AI3" s="74"/>
      <c r="AJ3" s="74"/>
      <c r="AK3" s="43"/>
      <c r="AL3" s="43"/>
      <c r="AO3" t="e">
        <f>VLOOKUP(M3,'Customer data'!F:P,11,0)</f>
        <v>#N/A</v>
      </c>
    </row>
    <row r="4" spans="1:41" hidden="1">
      <c r="A4" s="56" t="s">
        <v>298</v>
      </c>
      <c r="B4" s="56" t="s">
        <v>299</v>
      </c>
      <c r="C4" s="56" t="s">
        <v>300</v>
      </c>
      <c r="D4" s="56" t="s">
        <v>301</v>
      </c>
      <c r="E4" s="56" t="s">
        <v>302</v>
      </c>
      <c r="F4" s="56" t="s">
        <v>318</v>
      </c>
      <c r="G4" s="57">
        <v>46070</v>
      </c>
      <c r="H4" s="58">
        <v>1400002721</v>
      </c>
      <c r="I4" s="56" t="s">
        <v>319</v>
      </c>
      <c r="J4" s="57">
        <v>46070</v>
      </c>
      <c r="K4" s="57">
        <v>46070</v>
      </c>
      <c r="L4" s="56" t="s">
        <v>542</v>
      </c>
      <c r="M4" s="60">
        <v>2173609</v>
      </c>
      <c r="N4" s="56" t="s">
        <v>306</v>
      </c>
      <c r="O4" s="56" t="s">
        <v>307</v>
      </c>
      <c r="P4" s="56" t="s">
        <v>305</v>
      </c>
      <c r="Q4" s="56" t="s">
        <v>308</v>
      </c>
      <c r="R4" s="186" t="s">
        <v>309</v>
      </c>
      <c r="S4" s="164">
        <v>-971.67</v>
      </c>
      <c r="T4" s="187" t="s">
        <v>309</v>
      </c>
      <c r="U4" s="164">
        <v>-971.67</v>
      </c>
      <c r="V4" s="56" t="s">
        <v>305</v>
      </c>
      <c r="W4" s="56" t="s">
        <v>313</v>
      </c>
      <c r="X4" s="56" t="s">
        <v>305</v>
      </c>
      <c r="Y4" s="56" t="s">
        <v>305</v>
      </c>
      <c r="Z4" s="56" t="s">
        <v>317</v>
      </c>
      <c r="AA4" s="56" t="s">
        <v>305</v>
      </c>
      <c r="AB4" s="56" t="s">
        <v>305</v>
      </c>
      <c r="AC4" s="56" t="s">
        <v>305</v>
      </c>
      <c r="AD4" s="56" t="s">
        <v>305</v>
      </c>
      <c r="AE4" s="57">
        <v>46070</v>
      </c>
      <c r="AF4" s="57"/>
      <c r="AG4" s="56" t="s">
        <v>305</v>
      </c>
      <c r="AH4" s="74" t="e" cm="1">
        <f t="array" ref="AH4">VLOOKUP(M4,'Customer data Vlookup'!$B$3:$H$127,{2,3},0)</f>
        <v>#N/A</v>
      </c>
      <c r="AI4" s="74"/>
      <c r="AJ4" s="74"/>
      <c r="AK4" s="43"/>
      <c r="AL4" s="43"/>
      <c r="AO4" t="e">
        <f>VLOOKUP(M4,'Customer data'!F:P,11,0)</f>
        <v>#N/A</v>
      </c>
    </row>
    <row r="5" spans="1:41" hidden="1">
      <c r="A5" s="56" t="s">
        <v>298</v>
      </c>
      <c r="B5" s="56" t="s">
        <v>299</v>
      </c>
      <c r="C5" s="56" t="s">
        <v>300</v>
      </c>
      <c r="D5" s="56" t="s">
        <v>301</v>
      </c>
      <c r="E5" s="56" t="s">
        <v>302</v>
      </c>
      <c r="F5" s="56" t="s">
        <v>322</v>
      </c>
      <c r="G5" s="57">
        <v>46065</v>
      </c>
      <c r="H5" s="58">
        <v>1800017510</v>
      </c>
      <c r="I5" s="56" t="s">
        <v>417</v>
      </c>
      <c r="J5" s="57">
        <v>46065</v>
      </c>
      <c r="K5" s="57">
        <v>46069</v>
      </c>
      <c r="L5" s="56" t="s">
        <v>332</v>
      </c>
      <c r="M5" s="60">
        <v>256779451324</v>
      </c>
      <c r="N5" s="56" t="s">
        <v>306</v>
      </c>
      <c r="O5" s="56" t="s">
        <v>307</v>
      </c>
      <c r="P5" s="56" t="s">
        <v>305</v>
      </c>
      <c r="Q5" s="56" t="s">
        <v>337</v>
      </c>
      <c r="R5" s="186" t="s">
        <v>333</v>
      </c>
      <c r="S5" s="164">
        <v>384.56</v>
      </c>
      <c r="T5" s="187" t="s">
        <v>309</v>
      </c>
      <c r="U5" s="164">
        <v>34739.300000000003</v>
      </c>
      <c r="V5" s="56" t="s">
        <v>342</v>
      </c>
      <c r="W5" s="56" t="s">
        <v>335</v>
      </c>
      <c r="X5" s="56" t="s">
        <v>305</v>
      </c>
      <c r="Y5" s="56" t="s">
        <v>538</v>
      </c>
      <c r="Z5" s="56" t="s">
        <v>311</v>
      </c>
      <c r="AA5" s="56" t="s">
        <v>261</v>
      </c>
      <c r="AB5" s="56" t="s">
        <v>305</v>
      </c>
      <c r="AC5" s="56" t="s">
        <v>305</v>
      </c>
      <c r="AD5" s="56" t="s">
        <v>305</v>
      </c>
      <c r="AE5" s="57">
        <v>46065</v>
      </c>
      <c r="AF5" s="57"/>
      <c r="AG5" s="56" t="s">
        <v>305</v>
      </c>
      <c r="AH5" s="74" cm="1">
        <f t="array" ref="AH5:AI5">VLOOKUP(M5,'Customer data Vlookup'!$B$3:$H$127,{2,3},0)</f>
        <v>34739.304512000002</v>
      </c>
      <c r="AI5" s="74">
        <v>3474</v>
      </c>
      <c r="AJ5" s="74">
        <f>AH5-AI5</f>
        <v>31265.304512000002</v>
      </c>
      <c r="AK5" s="41">
        <f>U5-AH5</f>
        <v>-4.5119999995222315E-3</v>
      </c>
      <c r="AL5" s="62">
        <f>AI5/U5</f>
        <v>0.10000201500893799</v>
      </c>
      <c r="AO5" t="str">
        <f>VLOOKUP(M5,'Customer data'!F:P,11,0)</f>
        <v>Not Approved</v>
      </c>
    </row>
    <row r="6" spans="1:41" hidden="1">
      <c r="A6" s="56" t="s">
        <v>298</v>
      </c>
      <c r="B6" s="56" t="s">
        <v>299</v>
      </c>
      <c r="C6" s="56" t="s">
        <v>300</v>
      </c>
      <c r="D6" s="56" t="s">
        <v>301</v>
      </c>
      <c r="E6" s="56" t="s">
        <v>302</v>
      </c>
      <c r="F6" s="56" t="s">
        <v>325</v>
      </c>
      <c r="G6" s="57">
        <v>46064</v>
      </c>
      <c r="H6" s="58">
        <v>1800017704</v>
      </c>
      <c r="I6" s="56" t="s">
        <v>417</v>
      </c>
      <c r="J6" s="57">
        <v>46064</v>
      </c>
      <c r="K6" s="57">
        <v>46069</v>
      </c>
      <c r="L6" s="56" t="s">
        <v>539</v>
      </c>
      <c r="M6" s="60">
        <v>256779451520</v>
      </c>
      <c r="N6" s="56" t="s">
        <v>306</v>
      </c>
      <c r="O6" s="56" t="s">
        <v>307</v>
      </c>
      <c r="P6" s="56" t="s">
        <v>305</v>
      </c>
      <c r="Q6" s="56" t="s">
        <v>337</v>
      </c>
      <c r="R6" s="186" t="s">
        <v>333</v>
      </c>
      <c r="S6" s="164">
        <v>61.04</v>
      </c>
      <c r="T6" s="187" t="s">
        <v>309</v>
      </c>
      <c r="U6" s="164">
        <v>5514.06</v>
      </c>
      <c r="V6" s="56" t="s">
        <v>342</v>
      </c>
      <c r="W6" s="56" t="s">
        <v>335</v>
      </c>
      <c r="X6" s="56" t="s">
        <v>305</v>
      </c>
      <c r="Y6" s="56" t="s">
        <v>332</v>
      </c>
      <c r="Z6" s="56" t="s">
        <v>311</v>
      </c>
      <c r="AA6" s="56" t="s">
        <v>540</v>
      </c>
      <c r="AB6" s="56" t="s">
        <v>305</v>
      </c>
      <c r="AC6" s="56" t="s">
        <v>305</v>
      </c>
      <c r="AD6" s="56" t="s">
        <v>305</v>
      </c>
      <c r="AE6" s="57">
        <v>46064</v>
      </c>
      <c r="AF6" s="57"/>
      <c r="AG6" s="56" t="s">
        <v>305</v>
      </c>
      <c r="AH6" s="74" cm="1">
        <f t="array" ref="AH6:AI6">VLOOKUP(M6,'Customer data Vlookup'!$B$3:$H$127,{2,3},0)</f>
        <v>5514.0606079999998</v>
      </c>
      <c r="AI6" s="74">
        <v>111</v>
      </c>
      <c r="AJ6" s="74">
        <f>AH6-AI6</f>
        <v>5403.0606079999998</v>
      </c>
      <c r="AK6" s="41">
        <f>U6-AH6</f>
        <v>-6.0799999937444227E-4</v>
      </c>
      <c r="AL6" s="62">
        <f>AI6/U6</f>
        <v>2.0130357667490016E-2</v>
      </c>
      <c r="AO6" t="str">
        <f>VLOOKUP(M6,'Customer data'!F:P,11,0)</f>
        <v>Not Approved</v>
      </c>
    </row>
    <row r="7" spans="1:41" hidden="1">
      <c r="A7" s="56" t="s">
        <v>326</v>
      </c>
      <c r="B7" s="56" t="s">
        <v>299</v>
      </c>
      <c r="C7" s="56" t="s">
        <v>300</v>
      </c>
      <c r="D7" s="56" t="s">
        <v>301</v>
      </c>
      <c r="E7" s="56" t="s">
        <v>302</v>
      </c>
      <c r="F7" s="56" t="s">
        <v>322</v>
      </c>
      <c r="G7" s="57">
        <v>46030</v>
      </c>
      <c r="H7" s="58">
        <v>1400002388</v>
      </c>
      <c r="I7" s="56" t="s">
        <v>319</v>
      </c>
      <c r="J7" s="57">
        <v>46030</v>
      </c>
      <c r="K7" s="57">
        <v>46030</v>
      </c>
      <c r="L7" s="56" t="s">
        <v>320</v>
      </c>
      <c r="M7" s="60" t="s">
        <v>305</v>
      </c>
      <c r="N7" s="56" t="s">
        <v>306</v>
      </c>
      <c r="O7" s="56" t="s">
        <v>307</v>
      </c>
      <c r="P7" s="56" t="s">
        <v>305</v>
      </c>
      <c r="Q7" s="56" t="s">
        <v>324</v>
      </c>
      <c r="R7" s="186" t="s">
        <v>309</v>
      </c>
      <c r="S7" s="164">
        <v>14531.11</v>
      </c>
      <c r="T7" s="187" t="s">
        <v>309</v>
      </c>
      <c r="U7" s="164">
        <v>14531.11</v>
      </c>
      <c r="V7" s="56" t="s">
        <v>305</v>
      </c>
      <c r="W7" s="56" t="s">
        <v>313</v>
      </c>
      <c r="X7" s="56" t="s">
        <v>305</v>
      </c>
      <c r="Y7" s="56" t="s">
        <v>305</v>
      </c>
      <c r="Z7" s="56" t="s">
        <v>317</v>
      </c>
      <c r="AA7" s="56" t="s">
        <v>305</v>
      </c>
      <c r="AB7" s="56" t="s">
        <v>305</v>
      </c>
      <c r="AC7" s="56" t="s">
        <v>305</v>
      </c>
      <c r="AD7" s="56" t="s">
        <v>305</v>
      </c>
      <c r="AE7" s="57">
        <v>46030</v>
      </c>
      <c r="AF7" s="57">
        <v>46030</v>
      </c>
      <c r="AG7" s="58">
        <v>1400002388</v>
      </c>
      <c r="AH7" s="74" t="e" cm="1">
        <f t="array" ref="AH7">VLOOKUP(M7,'Customer data Vlookup'!$B$3:$H$127,{2,3},0)</f>
        <v>#N/A</v>
      </c>
      <c r="AI7" s="74"/>
      <c r="AJ7" s="74"/>
      <c r="AK7" s="43"/>
      <c r="AL7" s="43"/>
      <c r="AO7" t="e">
        <f>VLOOKUP(M7,'Customer data'!F:P,11,0)</f>
        <v>#N/A</v>
      </c>
    </row>
    <row r="8" spans="1:41" hidden="1">
      <c r="A8" s="56" t="s">
        <v>298</v>
      </c>
      <c r="B8" s="56" t="s">
        <v>299</v>
      </c>
      <c r="C8" s="56" t="s">
        <v>300</v>
      </c>
      <c r="D8" s="56" t="s">
        <v>301</v>
      </c>
      <c r="E8" s="56" t="s">
        <v>302</v>
      </c>
      <c r="F8" s="56" t="s">
        <v>325</v>
      </c>
      <c r="G8" s="57">
        <v>46030</v>
      </c>
      <c r="H8" s="58">
        <v>1400002389</v>
      </c>
      <c r="I8" s="56" t="s">
        <v>319</v>
      </c>
      <c r="J8" s="57">
        <v>46030</v>
      </c>
      <c r="K8" s="57">
        <v>46030</v>
      </c>
      <c r="L8" s="56" t="s">
        <v>535</v>
      </c>
      <c r="M8" s="60" t="s">
        <v>305</v>
      </c>
      <c r="N8" s="56" t="s">
        <v>306</v>
      </c>
      <c r="O8" s="56" t="s">
        <v>307</v>
      </c>
      <c r="P8" s="56" t="s">
        <v>305</v>
      </c>
      <c r="Q8" s="56" t="s">
        <v>324</v>
      </c>
      <c r="R8" s="186" t="s">
        <v>309</v>
      </c>
      <c r="S8" s="164">
        <v>14903.5</v>
      </c>
      <c r="T8" s="187" t="s">
        <v>309</v>
      </c>
      <c r="U8" s="164">
        <v>14903.5</v>
      </c>
      <c r="V8" s="56" t="s">
        <v>305</v>
      </c>
      <c r="W8" s="56" t="s">
        <v>313</v>
      </c>
      <c r="X8" s="56" t="s">
        <v>305</v>
      </c>
      <c r="Y8" s="56" t="s">
        <v>305</v>
      </c>
      <c r="Z8" s="56" t="s">
        <v>327</v>
      </c>
      <c r="AA8" s="56" t="s">
        <v>305</v>
      </c>
      <c r="AB8" s="56" t="s">
        <v>305</v>
      </c>
      <c r="AC8" s="56" t="s">
        <v>305</v>
      </c>
      <c r="AD8" s="56" t="s">
        <v>305</v>
      </c>
      <c r="AE8" s="57">
        <v>46030</v>
      </c>
      <c r="AF8" s="57">
        <v>46030</v>
      </c>
      <c r="AG8" s="58">
        <v>1400002389</v>
      </c>
      <c r="AH8" s="74" t="e" cm="1">
        <f t="array" ref="AH8">VLOOKUP(M8,'Customer data Vlookup'!$B$3:$H$127,{2,3},0)</f>
        <v>#N/A</v>
      </c>
      <c r="AI8" s="74"/>
      <c r="AJ8" s="74"/>
      <c r="AK8" s="43"/>
      <c r="AL8" s="43"/>
      <c r="AO8" t="e">
        <f>VLOOKUP(M8,'Customer data'!F:P,11,0)</f>
        <v>#N/A</v>
      </c>
    </row>
    <row r="9" spans="1:41" hidden="1">
      <c r="A9" s="56" t="s">
        <v>298</v>
      </c>
      <c r="B9" s="56" t="s">
        <v>299</v>
      </c>
      <c r="C9" s="56" t="s">
        <v>300</v>
      </c>
      <c r="D9" s="56" t="s">
        <v>301</v>
      </c>
      <c r="E9" s="56" t="s">
        <v>302</v>
      </c>
      <c r="F9" s="56" t="s">
        <v>325</v>
      </c>
      <c r="G9" s="57">
        <v>46030</v>
      </c>
      <c r="H9" s="58">
        <v>1400002389</v>
      </c>
      <c r="I9" s="56" t="s">
        <v>319</v>
      </c>
      <c r="J9" s="57">
        <v>46030</v>
      </c>
      <c r="K9" s="57">
        <v>46030</v>
      </c>
      <c r="L9" s="56" t="s">
        <v>535</v>
      </c>
      <c r="M9" s="60" t="s">
        <v>305</v>
      </c>
      <c r="N9" s="56" t="s">
        <v>306</v>
      </c>
      <c r="O9" s="56" t="s">
        <v>307</v>
      </c>
      <c r="P9" s="56" t="s">
        <v>305</v>
      </c>
      <c r="Q9" s="56" t="s">
        <v>324</v>
      </c>
      <c r="R9" s="186" t="s">
        <v>309</v>
      </c>
      <c r="S9" s="164">
        <v>14531.11</v>
      </c>
      <c r="T9" s="187" t="s">
        <v>309</v>
      </c>
      <c r="U9" s="164">
        <v>14531.11</v>
      </c>
      <c r="V9" s="56" t="s">
        <v>305</v>
      </c>
      <c r="W9" s="56" t="s">
        <v>310</v>
      </c>
      <c r="X9" s="56" t="s">
        <v>305</v>
      </c>
      <c r="Y9" s="56" t="s">
        <v>305</v>
      </c>
      <c r="Z9" s="56" t="s">
        <v>312</v>
      </c>
      <c r="AA9" s="56" t="s">
        <v>305</v>
      </c>
      <c r="AB9" s="56" t="s">
        <v>305</v>
      </c>
      <c r="AC9" s="56" t="s">
        <v>305</v>
      </c>
      <c r="AD9" s="56" t="s">
        <v>305</v>
      </c>
      <c r="AE9" s="57">
        <v>46030</v>
      </c>
      <c r="AF9" s="57">
        <v>46030</v>
      </c>
      <c r="AG9" s="58">
        <v>1400002389</v>
      </c>
      <c r="AH9" s="74" t="e" cm="1">
        <f t="array" ref="AH9">VLOOKUP(M9,'Customer data Vlookup'!$B$3:$H$127,{2,3},0)</f>
        <v>#N/A</v>
      </c>
      <c r="AI9" s="74"/>
      <c r="AJ9" s="74"/>
      <c r="AK9" s="43"/>
      <c r="AL9" s="43"/>
      <c r="AO9" t="e">
        <f>VLOOKUP(M9,'Customer data'!F:P,11,0)</f>
        <v>#N/A</v>
      </c>
    </row>
    <row r="10" spans="1:41" hidden="1">
      <c r="A10" s="56" t="s">
        <v>298</v>
      </c>
      <c r="B10" s="56" t="s">
        <v>299</v>
      </c>
      <c r="C10" s="56" t="s">
        <v>300</v>
      </c>
      <c r="D10" s="56" t="s">
        <v>301</v>
      </c>
      <c r="E10" s="56" t="s">
        <v>302</v>
      </c>
      <c r="F10" s="56" t="s">
        <v>325</v>
      </c>
      <c r="G10" s="57">
        <v>46030</v>
      </c>
      <c r="H10" s="58">
        <v>1400002389</v>
      </c>
      <c r="I10" s="56" t="s">
        <v>319</v>
      </c>
      <c r="J10" s="57">
        <v>46030</v>
      </c>
      <c r="K10" s="57">
        <v>46030</v>
      </c>
      <c r="L10" s="56" t="s">
        <v>535</v>
      </c>
      <c r="M10" s="60" t="s">
        <v>305</v>
      </c>
      <c r="N10" s="56" t="s">
        <v>306</v>
      </c>
      <c r="O10" s="56" t="s">
        <v>307</v>
      </c>
      <c r="P10" s="56" t="s">
        <v>305</v>
      </c>
      <c r="Q10" s="56" t="s">
        <v>308</v>
      </c>
      <c r="R10" s="186" t="s">
        <v>309</v>
      </c>
      <c r="S10" s="164">
        <v>-31650.87</v>
      </c>
      <c r="T10" s="187" t="s">
        <v>309</v>
      </c>
      <c r="U10" s="164">
        <v>-30687.62</v>
      </c>
      <c r="V10" s="56" t="s">
        <v>305</v>
      </c>
      <c r="W10" s="56" t="s">
        <v>310</v>
      </c>
      <c r="X10" s="56" t="s">
        <v>305</v>
      </c>
      <c r="Y10" s="56" t="s">
        <v>305</v>
      </c>
      <c r="Z10" s="56" t="s">
        <v>321</v>
      </c>
      <c r="AA10" s="56" t="s">
        <v>305</v>
      </c>
      <c r="AB10" s="56" t="s">
        <v>305</v>
      </c>
      <c r="AC10" s="56" t="s">
        <v>305</v>
      </c>
      <c r="AD10" s="56" t="s">
        <v>305</v>
      </c>
      <c r="AE10" s="57">
        <v>46030</v>
      </c>
      <c r="AF10" s="57">
        <v>46030</v>
      </c>
      <c r="AG10" s="58">
        <v>1400002389</v>
      </c>
      <c r="AH10" s="74" t="e" cm="1">
        <f t="array" ref="AH10">VLOOKUP(M10,'Customer data Vlookup'!$B$3:$H$127,{2,3},0)</f>
        <v>#N/A</v>
      </c>
      <c r="AI10" s="74"/>
      <c r="AJ10" s="74"/>
      <c r="AK10" s="43"/>
      <c r="AL10" s="43"/>
      <c r="AO10" t="e">
        <f>VLOOKUP(M10,'Customer data'!F:P,11,0)</f>
        <v>#N/A</v>
      </c>
    </row>
    <row r="11" spans="1:41" hidden="1">
      <c r="A11" s="56" t="s">
        <v>298</v>
      </c>
      <c r="B11" s="56" t="s">
        <v>299</v>
      </c>
      <c r="C11" s="56" t="s">
        <v>300</v>
      </c>
      <c r="D11" s="56" t="s">
        <v>301</v>
      </c>
      <c r="E11" s="56" t="s">
        <v>302</v>
      </c>
      <c r="F11" s="56" t="s">
        <v>325</v>
      </c>
      <c r="G11" s="57">
        <v>46030</v>
      </c>
      <c r="H11" s="58">
        <v>1400002388</v>
      </c>
      <c r="I11" s="56" t="s">
        <v>319</v>
      </c>
      <c r="J11" s="57">
        <v>46030</v>
      </c>
      <c r="K11" s="57">
        <v>46030</v>
      </c>
      <c r="L11" s="56" t="s">
        <v>320</v>
      </c>
      <c r="M11" s="60" t="s">
        <v>305</v>
      </c>
      <c r="N11" s="56" t="s">
        <v>306</v>
      </c>
      <c r="O11" s="56" t="s">
        <v>307</v>
      </c>
      <c r="P11" s="56" t="s">
        <v>305</v>
      </c>
      <c r="Q11" s="56" t="s">
        <v>308</v>
      </c>
      <c r="R11" s="186" t="s">
        <v>309</v>
      </c>
      <c r="S11" s="164">
        <v>-14531.11</v>
      </c>
      <c r="T11" s="187" t="s">
        <v>309</v>
      </c>
      <c r="U11" s="164">
        <v>-14531.11</v>
      </c>
      <c r="V11" s="56" t="s">
        <v>305</v>
      </c>
      <c r="W11" s="56" t="s">
        <v>310</v>
      </c>
      <c r="X11" s="56" t="s">
        <v>305</v>
      </c>
      <c r="Y11" s="56" t="s">
        <v>332</v>
      </c>
      <c r="Z11" s="56" t="s">
        <v>311</v>
      </c>
      <c r="AA11" s="56" t="s">
        <v>305</v>
      </c>
      <c r="AB11" s="56" t="s">
        <v>305</v>
      </c>
      <c r="AC11" s="56" t="s">
        <v>305</v>
      </c>
      <c r="AD11" s="56" t="s">
        <v>305</v>
      </c>
      <c r="AE11" s="57">
        <v>46030</v>
      </c>
      <c r="AF11" s="57">
        <v>46030</v>
      </c>
      <c r="AG11" s="58">
        <v>1400002389</v>
      </c>
      <c r="AH11" s="74" t="e" cm="1">
        <f t="array" ref="AH11">VLOOKUP(M11,'Customer data Vlookup'!$B$3:$H$127,{2,3},0)</f>
        <v>#N/A</v>
      </c>
      <c r="AI11" s="74"/>
      <c r="AJ11" s="74"/>
      <c r="AK11" s="43"/>
      <c r="AL11" s="43"/>
      <c r="AO11" t="e">
        <f>VLOOKUP(M11,'Customer data'!F:P,11,0)</f>
        <v>#N/A</v>
      </c>
    </row>
    <row r="12" spans="1:41" hidden="1">
      <c r="A12" s="56" t="s">
        <v>298</v>
      </c>
      <c r="B12" s="56" t="s">
        <v>299</v>
      </c>
      <c r="C12" s="56" t="s">
        <v>300</v>
      </c>
      <c r="D12" s="56" t="s">
        <v>301</v>
      </c>
      <c r="E12" s="56" t="s">
        <v>302</v>
      </c>
      <c r="F12" s="56" t="s">
        <v>322</v>
      </c>
      <c r="G12" s="57">
        <v>46028</v>
      </c>
      <c r="H12" s="58">
        <v>1800016266</v>
      </c>
      <c r="I12" s="56" t="s">
        <v>417</v>
      </c>
      <c r="J12" s="57">
        <v>46028</v>
      </c>
      <c r="K12" s="57">
        <v>46031</v>
      </c>
      <c r="L12" s="56" t="s">
        <v>536</v>
      </c>
      <c r="M12" s="60">
        <v>256779440152</v>
      </c>
      <c r="N12" s="56" t="s">
        <v>306</v>
      </c>
      <c r="O12" s="56" t="s">
        <v>307</v>
      </c>
      <c r="P12" s="56" t="s">
        <v>305</v>
      </c>
      <c r="Q12" s="56" t="s">
        <v>337</v>
      </c>
      <c r="R12" s="186" t="s">
        <v>333</v>
      </c>
      <c r="S12" s="164">
        <v>246.17</v>
      </c>
      <c r="T12" s="187" t="s">
        <v>309</v>
      </c>
      <c r="U12" s="164">
        <v>22338.240000000002</v>
      </c>
      <c r="V12" s="56" t="s">
        <v>342</v>
      </c>
      <c r="W12" s="56" t="s">
        <v>310</v>
      </c>
      <c r="X12" s="56" t="s">
        <v>305</v>
      </c>
      <c r="Y12" s="56" t="s">
        <v>332</v>
      </c>
      <c r="Z12" s="56" t="s">
        <v>311</v>
      </c>
      <c r="AA12" s="56" t="s">
        <v>254</v>
      </c>
      <c r="AB12" s="56" t="s">
        <v>305</v>
      </c>
      <c r="AC12" s="56" t="s">
        <v>305</v>
      </c>
      <c r="AD12" s="56" t="s">
        <v>305</v>
      </c>
      <c r="AE12" s="57">
        <v>46028</v>
      </c>
      <c r="AF12" s="57"/>
      <c r="AG12" s="56" t="s">
        <v>305</v>
      </c>
      <c r="AH12" s="74" cm="1">
        <f t="array" ref="AH12:AI12">VLOOKUP(M12,'Customer data Vlookup'!$B$3:$H$127,{2,3},0)</f>
        <v>22338.2387738</v>
      </c>
      <c r="AI12" s="74">
        <v>447</v>
      </c>
      <c r="AJ12" s="74">
        <f>AH12-AI12</f>
        <v>21891.2387738</v>
      </c>
      <c r="AK12" s="41">
        <f>U12-AH12</f>
        <v>1.2262000018381514E-3</v>
      </c>
      <c r="AL12" s="62">
        <f>AI12/U12</f>
        <v>2.0010529030039966E-2</v>
      </c>
      <c r="AO12" t="str">
        <f>VLOOKUP(M12,'Customer data'!F:P,11,0)</f>
        <v>Not Approved</v>
      </c>
    </row>
    <row r="13" spans="1:41" hidden="1">
      <c r="A13" s="56" t="s">
        <v>298</v>
      </c>
      <c r="B13" s="56" t="s">
        <v>299</v>
      </c>
      <c r="C13" s="56" t="s">
        <v>300</v>
      </c>
      <c r="D13" s="56" t="s">
        <v>301</v>
      </c>
      <c r="E13" s="56" t="s">
        <v>302</v>
      </c>
      <c r="F13" s="56" t="s">
        <v>330</v>
      </c>
      <c r="G13" s="57">
        <v>46028</v>
      </c>
      <c r="H13" s="58">
        <v>1800016352</v>
      </c>
      <c r="I13" s="56" t="s">
        <v>417</v>
      </c>
      <c r="J13" s="57">
        <v>46028</v>
      </c>
      <c r="K13" s="57">
        <v>46034</v>
      </c>
      <c r="L13" s="56" t="s">
        <v>537</v>
      </c>
      <c r="M13" s="60">
        <v>256779440242</v>
      </c>
      <c r="N13" s="56" t="s">
        <v>306</v>
      </c>
      <c r="O13" s="56" t="s">
        <v>307</v>
      </c>
      <c r="P13" s="56" t="s">
        <v>305</v>
      </c>
      <c r="Q13" s="56" t="s">
        <v>337</v>
      </c>
      <c r="R13" s="186" t="s">
        <v>333</v>
      </c>
      <c r="S13" s="164">
        <v>881.6</v>
      </c>
      <c r="T13" s="187" t="s">
        <v>309</v>
      </c>
      <c r="U13" s="164">
        <v>79999.149999999994</v>
      </c>
      <c r="V13" s="56" t="s">
        <v>342</v>
      </c>
      <c r="W13" s="56" t="s">
        <v>310</v>
      </c>
      <c r="X13" s="56" t="s">
        <v>305</v>
      </c>
      <c r="Y13" s="56" t="s">
        <v>332</v>
      </c>
      <c r="Z13" s="56" t="s">
        <v>311</v>
      </c>
      <c r="AA13" s="56" t="s">
        <v>255</v>
      </c>
      <c r="AB13" s="56" t="s">
        <v>305</v>
      </c>
      <c r="AC13" s="56" t="s">
        <v>305</v>
      </c>
      <c r="AD13" s="56" t="s">
        <v>305</v>
      </c>
      <c r="AE13" s="57">
        <v>46028</v>
      </c>
      <c r="AF13" s="57"/>
      <c r="AG13" s="56" t="s">
        <v>305</v>
      </c>
      <c r="AH13" s="74" cm="1">
        <f t="array" ref="AH13:AI13">VLOOKUP(M13,'Customer data Vlookup'!$B$3:$H$127,{2,3},0)</f>
        <v>79999.152224000005</v>
      </c>
      <c r="AI13" s="74">
        <v>8000</v>
      </c>
      <c r="AJ13" s="74">
        <f>AH13-AI13</f>
        <v>71999.152224000005</v>
      </c>
      <c r="AK13" s="41">
        <f>U13-AH13</f>
        <v>-2.2240000107558444E-3</v>
      </c>
      <c r="AL13" s="62">
        <f>AI13/U13</f>
        <v>0.10000106251128919</v>
      </c>
      <c r="AO13" t="str">
        <f>VLOOKUP(M13,'Customer data'!F:P,11,0)</f>
        <v>Not Approved</v>
      </c>
    </row>
    <row r="14" spans="1:41" hidden="1">
      <c r="A14" s="56" t="s">
        <v>298</v>
      </c>
      <c r="B14" s="56" t="s">
        <v>299</v>
      </c>
      <c r="C14" s="56" t="s">
        <v>300</v>
      </c>
      <c r="D14" s="56" t="s">
        <v>301</v>
      </c>
      <c r="E14" s="56" t="s">
        <v>302</v>
      </c>
      <c r="F14" s="56" t="s">
        <v>325</v>
      </c>
      <c r="G14" s="57">
        <v>46027</v>
      </c>
      <c r="H14" s="58">
        <v>1800016064</v>
      </c>
      <c r="I14" s="56" t="s">
        <v>417</v>
      </c>
      <c r="J14" s="57">
        <v>46027</v>
      </c>
      <c r="K14" s="57">
        <v>46027</v>
      </c>
      <c r="L14" s="56" t="s">
        <v>533</v>
      </c>
      <c r="M14" s="60">
        <v>256779440106</v>
      </c>
      <c r="N14" s="56" t="s">
        <v>306</v>
      </c>
      <c r="O14" s="56" t="s">
        <v>307</v>
      </c>
      <c r="P14" s="56" t="s">
        <v>305</v>
      </c>
      <c r="Q14" s="56" t="s">
        <v>337</v>
      </c>
      <c r="R14" s="186" t="s">
        <v>333</v>
      </c>
      <c r="S14" s="164">
        <v>700</v>
      </c>
      <c r="T14" s="187" t="s">
        <v>309</v>
      </c>
      <c r="U14" s="164">
        <v>63520.2</v>
      </c>
      <c r="V14" s="56" t="s">
        <v>342</v>
      </c>
      <c r="W14" s="56" t="s">
        <v>310</v>
      </c>
      <c r="X14" s="56" t="s">
        <v>305</v>
      </c>
      <c r="Y14" s="56" t="s">
        <v>332</v>
      </c>
      <c r="Z14" s="56" t="s">
        <v>311</v>
      </c>
      <c r="AA14" s="56" t="s">
        <v>534</v>
      </c>
      <c r="AB14" s="56" t="s">
        <v>305</v>
      </c>
      <c r="AC14" s="56" t="s">
        <v>305</v>
      </c>
      <c r="AD14" s="56" t="s">
        <v>305</v>
      </c>
      <c r="AE14" s="57">
        <v>46027</v>
      </c>
      <c r="AF14" s="57"/>
      <c r="AG14" s="56" t="s">
        <v>305</v>
      </c>
      <c r="AH14" s="74" cm="1">
        <f t="array" ref="AH14:AI14">VLOOKUP(M14,'Customer data Vlookup'!$B$3:$H$127,{2,3},0)</f>
        <v>63520.197999999997</v>
      </c>
      <c r="AI14" s="74">
        <v>1270</v>
      </c>
      <c r="AJ14" s="74">
        <f>AH14-AI14</f>
        <v>62250.197999999997</v>
      </c>
      <c r="AK14" s="41">
        <f>U14-AH14</f>
        <v>2.0000000004074536E-3</v>
      </c>
      <c r="AL14" s="62">
        <f>AI14/U14</f>
        <v>1.9993639818514427E-2</v>
      </c>
      <c r="AO14" t="str">
        <f>VLOOKUP(M14,'Customer data'!F:P,11,0)</f>
        <v>Not Approved</v>
      </c>
    </row>
    <row r="15" spans="1:41" hidden="1">
      <c r="A15" s="56" t="s">
        <v>298</v>
      </c>
      <c r="B15" s="56" t="s">
        <v>299</v>
      </c>
      <c r="C15" s="56" t="s">
        <v>300</v>
      </c>
      <c r="D15" s="56" t="s">
        <v>301</v>
      </c>
      <c r="E15" s="56" t="s">
        <v>302</v>
      </c>
      <c r="F15" s="56" t="s">
        <v>330</v>
      </c>
      <c r="G15" s="57">
        <v>46024</v>
      </c>
      <c r="H15" s="58">
        <v>1800015679</v>
      </c>
      <c r="I15" s="56" t="s">
        <v>417</v>
      </c>
      <c r="J15" s="57">
        <v>46024</v>
      </c>
      <c r="K15" s="57">
        <v>46024</v>
      </c>
      <c r="L15" s="56" t="s">
        <v>332</v>
      </c>
      <c r="M15" s="60">
        <v>256779440012</v>
      </c>
      <c r="N15" s="56" t="s">
        <v>306</v>
      </c>
      <c r="O15" s="56" t="s">
        <v>307</v>
      </c>
      <c r="P15" s="56" t="s">
        <v>305</v>
      </c>
      <c r="Q15" s="56" t="s">
        <v>337</v>
      </c>
      <c r="R15" s="186" t="s">
        <v>333</v>
      </c>
      <c r="S15" s="164">
        <v>182.78</v>
      </c>
      <c r="T15" s="187" t="s">
        <v>309</v>
      </c>
      <c r="U15" s="164">
        <v>16586.03</v>
      </c>
      <c r="V15" s="56" t="s">
        <v>342</v>
      </c>
      <c r="W15" s="56" t="s">
        <v>310</v>
      </c>
      <c r="X15" s="56" t="s">
        <v>305</v>
      </c>
      <c r="Y15" s="56" t="s">
        <v>531</v>
      </c>
      <c r="Z15" s="56" t="s">
        <v>311</v>
      </c>
      <c r="AA15" s="56" t="s">
        <v>250</v>
      </c>
      <c r="AB15" s="56" t="s">
        <v>305</v>
      </c>
      <c r="AC15" s="56" t="s">
        <v>305</v>
      </c>
      <c r="AD15" s="56" t="s">
        <v>305</v>
      </c>
      <c r="AE15" s="57">
        <v>46024</v>
      </c>
      <c r="AF15" s="57"/>
      <c r="AG15" s="56" t="s">
        <v>305</v>
      </c>
      <c r="AH15" s="74" cm="1">
        <f t="array" ref="AH15:AI15">VLOOKUP(M15,'Customer data Vlookup'!$B$3:$H$127,{2,3},0)</f>
        <v>33172.062258400001</v>
      </c>
      <c r="AI15" s="74">
        <v>3318</v>
      </c>
      <c r="AJ15" s="74">
        <f>AH15-AI15</f>
        <v>29854.062258400001</v>
      </c>
      <c r="AK15" s="41">
        <f>U15-AH15</f>
        <v>-16586.032258400002</v>
      </c>
      <c r="AL15" s="62">
        <f>AI15/U15</f>
        <v>0.20004787161243529</v>
      </c>
      <c r="AO15" t="str">
        <f>VLOOKUP(M15,'Customer data'!F:P,11,0)</f>
        <v>Not Approved</v>
      </c>
    </row>
    <row r="16" spans="1:41" hidden="1">
      <c r="A16" s="56" t="s">
        <v>298</v>
      </c>
      <c r="B16" s="56" t="s">
        <v>299</v>
      </c>
      <c r="C16" s="56" t="s">
        <v>300</v>
      </c>
      <c r="D16" s="56" t="s">
        <v>301</v>
      </c>
      <c r="E16" s="56" t="s">
        <v>302</v>
      </c>
      <c r="F16" s="56" t="s">
        <v>322</v>
      </c>
      <c r="G16" s="57">
        <v>46024</v>
      </c>
      <c r="H16" s="58">
        <v>1800015717</v>
      </c>
      <c r="I16" s="56" t="s">
        <v>417</v>
      </c>
      <c r="J16" s="57">
        <v>46024</v>
      </c>
      <c r="K16" s="57">
        <v>46024</v>
      </c>
      <c r="L16" s="56" t="s">
        <v>332</v>
      </c>
      <c r="M16" s="60">
        <v>256779440046</v>
      </c>
      <c r="N16" s="56" t="s">
        <v>306</v>
      </c>
      <c r="O16" s="56" t="s">
        <v>307</v>
      </c>
      <c r="P16" s="56" t="s">
        <v>305</v>
      </c>
      <c r="Q16" s="56" t="s">
        <v>337</v>
      </c>
      <c r="R16" s="186" t="s">
        <v>333</v>
      </c>
      <c r="S16" s="164">
        <v>50</v>
      </c>
      <c r="T16" s="187" t="s">
        <v>309</v>
      </c>
      <c r="U16" s="164">
        <v>4537.16</v>
      </c>
      <c r="V16" s="56" t="s">
        <v>342</v>
      </c>
      <c r="W16" s="56" t="s">
        <v>310</v>
      </c>
      <c r="X16" s="56" t="s">
        <v>305</v>
      </c>
      <c r="Y16" s="56" t="s">
        <v>532</v>
      </c>
      <c r="Z16" s="56" t="s">
        <v>311</v>
      </c>
      <c r="AA16" s="56" t="s">
        <v>251</v>
      </c>
      <c r="AB16" s="56" t="s">
        <v>305</v>
      </c>
      <c r="AC16" s="56" t="s">
        <v>305</v>
      </c>
      <c r="AD16" s="56" t="s">
        <v>305</v>
      </c>
      <c r="AE16" s="57">
        <v>46024</v>
      </c>
      <c r="AF16" s="57"/>
      <c r="AG16" s="56" t="s">
        <v>305</v>
      </c>
      <c r="AH16" s="74" cm="1">
        <f t="array" ref="AH16:AI16">VLOOKUP(M16,'Customer data Vlookup'!$B$3:$H$127,{2,3},0)</f>
        <v>9074.3140000000003</v>
      </c>
      <c r="AI16" s="74">
        <v>182</v>
      </c>
      <c r="AJ16" s="74">
        <f>AH16-AI16</f>
        <v>8892.3140000000003</v>
      </c>
      <c r="AK16" s="41">
        <f>U16-AH16</f>
        <v>-4537.1540000000005</v>
      </c>
      <c r="AL16" s="62">
        <f>AI16/U16</f>
        <v>4.0113198564740937E-2</v>
      </c>
      <c r="AO16" t="str">
        <f>VLOOKUP(M16,'Customer data'!F:P,11,0)</f>
        <v>Not Approved</v>
      </c>
    </row>
    <row r="17" spans="1:41" hidden="1">
      <c r="A17" s="56" t="s">
        <v>298</v>
      </c>
      <c r="B17" s="56" t="s">
        <v>299</v>
      </c>
      <c r="C17" s="56" t="s">
        <v>300</v>
      </c>
      <c r="D17" s="56" t="s">
        <v>301</v>
      </c>
      <c r="E17" s="56" t="s">
        <v>302</v>
      </c>
      <c r="F17" s="56" t="s">
        <v>303</v>
      </c>
      <c r="G17" s="57">
        <v>46011</v>
      </c>
      <c r="H17" s="58">
        <v>1400002237</v>
      </c>
      <c r="I17" s="56" t="s">
        <v>319</v>
      </c>
      <c r="J17" s="57">
        <v>46011</v>
      </c>
      <c r="K17" s="57">
        <v>46011</v>
      </c>
      <c r="L17" s="56" t="s">
        <v>535</v>
      </c>
      <c r="M17" s="60" t="s">
        <v>599</v>
      </c>
      <c r="N17" s="56" t="s">
        <v>306</v>
      </c>
      <c r="O17" s="56" t="s">
        <v>307</v>
      </c>
      <c r="P17" s="56" t="s">
        <v>305</v>
      </c>
      <c r="Q17" s="56" t="s">
        <v>308</v>
      </c>
      <c r="R17" s="186" t="s">
        <v>309</v>
      </c>
      <c r="S17" s="164">
        <v>-14903.5</v>
      </c>
      <c r="T17" s="187" t="s">
        <v>309</v>
      </c>
      <c r="U17" s="164">
        <v>-14903.5</v>
      </c>
      <c r="V17" s="56" t="s">
        <v>305</v>
      </c>
      <c r="W17" s="56" t="s">
        <v>313</v>
      </c>
      <c r="X17" s="56" t="s">
        <v>305</v>
      </c>
      <c r="Y17" s="56" t="s">
        <v>305</v>
      </c>
      <c r="Z17" s="56" t="s">
        <v>317</v>
      </c>
      <c r="AA17" s="56" t="s">
        <v>305</v>
      </c>
      <c r="AB17" s="56" t="s">
        <v>305</v>
      </c>
      <c r="AC17" s="56" t="s">
        <v>305</v>
      </c>
      <c r="AD17" s="56" t="s">
        <v>305</v>
      </c>
      <c r="AE17" s="57">
        <v>46011</v>
      </c>
      <c r="AF17" s="57">
        <v>46030</v>
      </c>
      <c r="AG17" s="58">
        <v>1400002389</v>
      </c>
      <c r="AH17" s="74" t="e" cm="1">
        <f t="array" ref="AH17">VLOOKUP(M17,'Customer data Vlookup'!$B$3:$H$127,{2,3},0)</f>
        <v>#N/A</v>
      </c>
      <c r="AI17" s="74"/>
      <c r="AJ17" s="74"/>
      <c r="AK17" s="43"/>
      <c r="AL17" s="43"/>
      <c r="AO17" t="e">
        <f>VLOOKUP(M17,'Customer data'!F:P,11,0)</f>
        <v>#N/A</v>
      </c>
    </row>
    <row r="18" spans="1:41" hidden="1">
      <c r="A18" s="56" t="s">
        <v>298</v>
      </c>
      <c r="B18" s="56" t="s">
        <v>299</v>
      </c>
      <c r="C18" s="56" t="s">
        <v>300</v>
      </c>
      <c r="D18" s="56" t="s">
        <v>301</v>
      </c>
      <c r="E18" s="56" t="s">
        <v>302</v>
      </c>
      <c r="F18" s="56" t="s">
        <v>322</v>
      </c>
      <c r="G18" s="57">
        <v>46007</v>
      </c>
      <c r="H18" s="58">
        <v>1400002197</v>
      </c>
      <c r="I18" s="56" t="s">
        <v>319</v>
      </c>
      <c r="J18" s="57">
        <v>46007</v>
      </c>
      <c r="K18" s="57">
        <v>46007</v>
      </c>
      <c r="L18" s="56" t="s">
        <v>320</v>
      </c>
      <c r="M18" s="64" t="s">
        <v>305</v>
      </c>
      <c r="N18" s="56" t="s">
        <v>306</v>
      </c>
      <c r="O18" s="56" t="s">
        <v>307</v>
      </c>
      <c r="P18" s="56" t="s">
        <v>305</v>
      </c>
      <c r="Q18" s="56" t="s">
        <v>308</v>
      </c>
      <c r="R18" s="186" t="s">
        <v>309</v>
      </c>
      <c r="S18" s="164">
        <v>-67082.14</v>
      </c>
      <c r="T18" s="187" t="s">
        <v>309</v>
      </c>
      <c r="U18" s="164">
        <v>-66620.789999999994</v>
      </c>
      <c r="V18" s="56" t="s">
        <v>305</v>
      </c>
      <c r="W18" s="56" t="s">
        <v>310</v>
      </c>
      <c r="X18" s="56" t="s">
        <v>305</v>
      </c>
      <c r="Y18" s="56" t="s">
        <v>305</v>
      </c>
      <c r="Z18" s="56" t="s">
        <v>321</v>
      </c>
      <c r="AA18" s="56" t="s">
        <v>320</v>
      </c>
      <c r="AB18" s="56" t="s">
        <v>305</v>
      </c>
      <c r="AC18" s="56" t="s">
        <v>305</v>
      </c>
      <c r="AD18" s="56" t="s">
        <v>305</v>
      </c>
      <c r="AE18" s="57">
        <v>46007</v>
      </c>
      <c r="AF18" s="57">
        <v>46007</v>
      </c>
      <c r="AG18" s="58">
        <v>1400002197</v>
      </c>
      <c r="AH18" s="74" t="e" cm="1">
        <f t="array" ref="AH18">VLOOKUP(M18,'Customer data Vlookup'!$B$3:$H$127,{2,3},0)</f>
        <v>#N/A</v>
      </c>
      <c r="AI18" s="74"/>
      <c r="AJ18" s="74"/>
      <c r="AK18" s="43"/>
      <c r="AL18" s="43"/>
      <c r="AO18" t="e">
        <f>VLOOKUP(M18,'Customer data'!F:P,11,0)</f>
        <v>#N/A</v>
      </c>
    </row>
    <row r="19" spans="1:41" hidden="1">
      <c r="A19" s="56" t="s">
        <v>298</v>
      </c>
      <c r="B19" s="56" t="s">
        <v>299</v>
      </c>
      <c r="C19" s="56" t="s">
        <v>300</v>
      </c>
      <c r="D19" s="56" t="s">
        <v>301</v>
      </c>
      <c r="E19" s="56" t="s">
        <v>302</v>
      </c>
      <c r="F19" s="56" t="s">
        <v>322</v>
      </c>
      <c r="G19" s="57">
        <v>46007</v>
      </c>
      <c r="H19" s="58">
        <v>1400002197</v>
      </c>
      <c r="I19" s="56" t="s">
        <v>319</v>
      </c>
      <c r="J19" s="57">
        <v>46007</v>
      </c>
      <c r="K19" s="57">
        <v>46007</v>
      </c>
      <c r="L19" s="56" t="s">
        <v>320</v>
      </c>
      <c r="M19" s="64" t="s">
        <v>305</v>
      </c>
      <c r="N19" s="56" t="s">
        <v>306</v>
      </c>
      <c r="O19" s="56" t="s">
        <v>307</v>
      </c>
      <c r="P19" s="56" t="s">
        <v>305</v>
      </c>
      <c r="Q19" s="56" t="s">
        <v>308</v>
      </c>
      <c r="R19" s="186" t="s">
        <v>309</v>
      </c>
      <c r="S19" s="164">
        <v>-31045.05</v>
      </c>
      <c r="T19" s="187" t="s">
        <v>309</v>
      </c>
      <c r="U19" s="164">
        <v>-30866.77</v>
      </c>
      <c r="V19" s="56" t="s">
        <v>305</v>
      </c>
      <c r="W19" s="56" t="s">
        <v>335</v>
      </c>
      <c r="X19" s="56" t="s">
        <v>305</v>
      </c>
      <c r="Y19" s="56" t="s">
        <v>305</v>
      </c>
      <c r="Z19" s="56" t="s">
        <v>312</v>
      </c>
      <c r="AA19" s="56" t="s">
        <v>320</v>
      </c>
      <c r="AB19" s="56" t="s">
        <v>305</v>
      </c>
      <c r="AC19" s="56" t="s">
        <v>305</v>
      </c>
      <c r="AD19" s="56" t="s">
        <v>305</v>
      </c>
      <c r="AE19" s="57">
        <v>46007</v>
      </c>
      <c r="AF19" s="57">
        <v>46007</v>
      </c>
      <c r="AG19" s="58">
        <v>1400002197</v>
      </c>
      <c r="AH19" s="74" t="e" cm="1">
        <f t="array" ref="AH19">VLOOKUP(M19,'Customer data Vlookup'!$B$3:$H$127,{2,3},0)</f>
        <v>#N/A</v>
      </c>
      <c r="AI19" s="74"/>
      <c r="AJ19" s="74"/>
      <c r="AK19" s="43"/>
      <c r="AL19" s="43"/>
      <c r="AO19" t="e">
        <f>VLOOKUP(M19,'Customer data'!F:P,11,0)</f>
        <v>#N/A</v>
      </c>
    </row>
    <row r="20" spans="1:41" hidden="1">
      <c r="A20" s="56" t="s">
        <v>298</v>
      </c>
      <c r="B20" s="56" t="s">
        <v>299</v>
      </c>
      <c r="C20" s="56" t="s">
        <v>300</v>
      </c>
      <c r="D20" s="56" t="s">
        <v>301</v>
      </c>
      <c r="E20" s="56" t="s">
        <v>302</v>
      </c>
      <c r="F20" s="56" t="s">
        <v>322</v>
      </c>
      <c r="G20" s="57">
        <v>46007</v>
      </c>
      <c r="H20" s="58">
        <v>1400002198</v>
      </c>
      <c r="I20" s="56" t="s">
        <v>319</v>
      </c>
      <c r="J20" s="57">
        <v>46007</v>
      </c>
      <c r="K20" s="57">
        <v>46007</v>
      </c>
      <c r="L20" s="56" t="s">
        <v>320</v>
      </c>
      <c r="M20" s="60" t="s">
        <v>305</v>
      </c>
      <c r="N20" s="56" t="s">
        <v>306</v>
      </c>
      <c r="O20" s="56" t="s">
        <v>307</v>
      </c>
      <c r="P20" s="56" t="s">
        <v>305</v>
      </c>
      <c r="Q20" s="56" t="s">
        <v>308</v>
      </c>
      <c r="R20" s="186" t="s">
        <v>309</v>
      </c>
      <c r="S20" s="164">
        <v>-14531.11</v>
      </c>
      <c r="T20" s="187" t="s">
        <v>309</v>
      </c>
      <c r="U20" s="164">
        <v>-14531.11</v>
      </c>
      <c r="V20" s="56" t="s">
        <v>305</v>
      </c>
      <c r="W20" s="56" t="s">
        <v>313</v>
      </c>
      <c r="X20" s="56" t="s">
        <v>305</v>
      </c>
      <c r="Y20" s="56" t="s">
        <v>305</v>
      </c>
      <c r="Z20" s="56" t="s">
        <v>317</v>
      </c>
      <c r="AA20" s="56" t="s">
        <v>305</v>
      </c>
      <c r="AB20" s="56" t="s">
        <v>305</v>
      </c>
      <c r="AC20" s="56" t="s">
        <v>305</v>
      </c>
      <c r="AD20" s="56" t="s">
        <v>305</v>
      </c>
      <c r="AE20" s="57">
        <v>46007</v>
      </c>
      <c r="AF20" s="57">
        <v>46030</v>
      </c>
      <c r="AG20" s="58">
        <v>1400002388</v>
      </c>
      <c r="AH20" s="74" t="e" cm="1">
        <f t="array" ref="AH20">VLOOKUP(M20,'Customer data Vlookup'!$B$3:$H$127,{2,3},0)</f>
        <v>#N/A</v>
      </c>
      <c r="AI20" s="74"/>
      <c r="AJ20" s="74"/>
      <c r="AK20" s="43"/>
      <c r="AL20" s="43"/>
      <c r="AO20" t="e">
        <f>VLOOKUP(M20,'Customer data'!F:P,11,0)</f>
        <v>#N/A</v>
      </c>
    </row>
    <row r="21" spans="1:41" hidden="1">
      <c r="A21" s="56" t="s">
        <v>298</v>
      </c>
      <c r="B21" s="56" t="s">
        <v>299</v>
      </c>
      <c r="C21" s="56" t="s">
        <v>300</v>
      </c>
      <c r="D21" s="56" t="s">
        <v>301</v>
      </c>
      <c r="E21" s="56" t="s">
        <v>302</v>
      </c>
      <c r="F21" s="56" t="s">
        <v>322</v>
      </c>
      <c r="G21" s="57">
        <v>46007</v>
      </c>
      <c r="H21" s="58">
        <v>1400002197</v>
      </c>
      <c r="I21" s="56" t="s">
        <v>319</v>
      </c>
      <c r="J21" s="57">
        <v>46007</v>
      </c>
      <c r="K21" s="57">
        <v>46007</v>
      </c>
      <c r="L21" s="56" t="s">
        <v>320</v>
      </c>
      <c r="M21" s="64" t="s">
        <v>305</v>
      </c>
      <c r="N21" s="56" t="s">
        <v>306</v>
      </c>
      <c r="O21" s="56" t="s">
        <v>307</v>
      </c>
      <c r="P21" s="56" t="s">
        <v>305</v>
      </c>
      <c r="Q21" s="56" t="s">
        <v>308</v>
      </c>
      <c r="R21" s="186" t="s">
        <v>309</v>
      </c>
      <c r="S21" s="164">
        <v>-296024</v>
      </c>
      <c r="T21" s="187" t="s">
        <v>309</v>
      </c>
      <c r="U21" s="164">
        <v>-296024</v>
      </c>
      <c r="V21" s="56" t="s">
        <v>305</v>
      </c>
      <c r="W21" s="56" t="s">
        <v>310</v>
      </c>
      <c r="X21" s="56" t="s">
        <v>305</v>
      </c>
      <c r="Y21" s="56" t="s">
        <v>332</v>
      </c>
      <c r="Z21" s="56" t="s">
        <v>327</v>
      </c>
      <c r="AA21" s="56" t="s">
        <v>305</v>
      </c>
      <c r="AB21" s="56" t="s">
        <v>305</v>
      </c>
      <c r="AC21" s="56" t="s">
        <v>305</v>
      </c>
      <c r="AD21" s="56" t="s">
        <v>305</v>
      </c>
      <c r="AE21" s="57">
        <v>46007</v>
      </c>
      <c r="AF21" s="57"/>
      <c r="AG21" s="56" t="s">
        <v>305</v>
      </c>
      <c r="AH21" s="74" t="e" cm="1">
        <f t="array" ref="AH21">VLOOKUP(M21,'Customer data Vlookup'!$B$3:$H$127,{2,3},0)</f>
        <v>#N/A</v>
      </c>
      <c r="AI21" s="74"/>
      <c r="AJ21" s="74"/>
      <c r="AK21" s="43"/>
      <c r="AL21" s="43"/>
      <c r="AO21" t="e">
        <f>VLOOKUP(M21,'Customer data'!F:P,11,0)</f>
        <v>#N/A</v>
      </c>
    </row>
    <row r="22" spans="1:41">
      <c r="A22" s="56" t="s">
        <v>298</v>
      </c>
      <c r="B22" s="56" t="s">
        <v>299</v>
      </c>
      <c r="C22" s="56" t="s">
        <v>300</v>
      </c>
      <c r="D22" s="56" t="s">
        <v>301</v>
      </c>
      <c r="E22" s="56" t="s">
        <v>302</v>
      </c>
      <c r="F22" s="56" t="s">
        <v>322</v>
      </c>
      <c r="G22" s="57">
        <v>45999</v>
      </c>
      <c r="H22" s="58">
        <v>1800015381</v>
      </c>
      <c r="I22" s="56" t="s">
        <v>417</v>
      </c>
      <c r="J22" s="57">
        <v>45999</v>
      </c>
      <c r="K22" s="57">
        <v>46000</v>
      </c>
      <c r="L22" s="56" t="s">
        <v>332</v>
      </c>
      <c r="M22" s="60">
        <v>256779419830</v>
      </c>
      <c r="N22" s="56" t="s">
        <v>306</v>
      </c>
      <c r="O22" s="56" t="s">
        <v>307</v>
      </c>
      <c r="P22" s="56" t="s">
        <v>305</v>
      </c>
      <c r="Q22" s="56" t="s">
        <v>337</v>
      </c>
      <c r="R22" s="186" t="s">
        <v>333</v>
      </c>
      <c r="S22" s="164">
        <v>11.18</v>
      </c>
      <c r="T22" s="187" t="s">
        <v>309</v>
      </c>
      <c r="U22" s="164">
        <v>991.67</v>
      </c>
      <c r="V22" s="56" t="s">
        <v>342</v>
      </c>
      <c r="W22" s="56" t="s">
        <v>310</v>
      </c>
      <c r="X22" s="56" t="s">
        <v>305</v>
      </c>
      <c r="Y22" s="56" t="s">
        <v>514</v>
      </c>
      <c r="Z22" s="56" t="s">
        <v>311</v>
      </c>
      <c r="AA22" s="56" t="s">
        <v>248</v>
      </c>
      <c r="AB22" s="56" t="s">
        <v>305</v>
      </c>
      <c r="AC22" s="56" t="s">
        <v>305</v>
      </c>
      <c r="AD22" s="56" t="s">
        <v>305</v>
      </c>
      <c r="AE22" s="57">
        <v>45999</v>
      </c>
      <c r="AF22" s="57"/>
      <c r="AG22" s="56" t="s">
        <v>305</v>
      </c>
      <c r="AH22" s="74" cm="1">
        <f t="array" ref="AH22:AI22">VLOOKUP(M22,'Customer data Vlookup'!$B$3:$H$127,{2,3},0)</f>
        <v>991.66756520000001</v>
      </c>
      <c r="AI22" s="74">
        <v>20</v>
      </c>
      <c r="AJ22" s="74">
        <f>AH22-AI22</f>
        <v>971.66756520000001</v>
      </c>
      <c r="AK22" s="41">
        <f>U22-AH22</f>
        <v>2.4347999999463354E-3</v>
      </c>
      <c r="AL22" s="62">
        <f>AI22/U22</f>
        <v>2.0167999435296017E-2</v>
      </c>
      <c r="AO22" t="str">
        <f>VLOOKUP(M22,'Customer data'!F:P,11,0)</f>
        <v>HDFCH00806112854</v>
      </c>
    </row>
    <row r="23" spans="1:41">
      <c r="A23" s="56" t="s">
        <v>298</v>
      </c>
      <c r="B23" s="56" t="s">
        <v>299</v>
      </c>
      <c r="C23" s="56" t="s">
        <v>300</v>
      </c>
      <c r="D23" s="56" t="s">
        <v>301</v>
      </c>
      <c r="E23" s="56" t="s">
        <v>302</v>
      </c>
      <c r="F23" s="56" t="s">
        <v>322</v>
      </c>
      <c r="G23" s="57">
        <v>45996</v>
      </c>
      <c r="H23" s="58">
        <v>1800015349</v>
      </c>
      <c r="I23" s="56" t="s">
        <v>417</v>
      </c>
      <c r="J23" s="57">
        <v>45996</v>
      </c>
      <c r="K23" s="57">
        <v>46000</v>
      </c>
      <c r="L23" s="56" t="s">
        <v>332</v>
      </c>
      <c r="M23" s="60">
        <v>256779419798</v>
      </c>
      <c r="N23" s="56" t="s">
        <v>306</v>
      </c>
      <c r="O23" s="56" t="s">
        <v>307</v>
      </c>
      <c r="P23" s="56" t="s">
        <v>305</v>
      </c>
      <c r="Q23" s="56" t="s">
        <v>337</v>
      </c>
      <c r="R23" s="186" t="s">
        <v>333</v>
      </c>
      <c r="S23" s="164">
        <v>350</v>
      </c>
      <c r="T23" s="187" t="s">
        <v>309</v>
      </c>
      <c r="U23" s="164">
        <v>31045.05</v>
      </c>
      <c r="V23" s="56" t="s">
        <v>342</v>
      </c>
      <c r="W23" s="56" t="s">
        <v>310</v>
      </c>
      <c r="X23" s="56" t="s">
        <v>305</v>
      </c>
      <c r="Y23" s="56" t="s">
        <v>524</v>
      </c>
      <c r="Z23" s="56" t="s">
        <v>311</v>
      </c>
      <c r="AA23" s="56" t="s">
        <v>525</v>
      </c>
      <c r="AB23" s="56" t="s">
        <v>305</v>
      </c>
      <c r="AC23" s="56" t="s">
        <v>305</v>
      </c>
      <c r="AD23" s="56" t="s">
        <v>305</v>
      </c>
      <c r="AE23" s="57">
        <v>45996</v>
      </c>
      <c r="AF23" s="57"/>
      <c r="AG23" s="56" t="s">
        <v>305</v>
      </c>
      <c r="AH23" s="74" cm="1">
        <f t="array" ref="AH23:AI23">VLOOKUP(M23,'Customer data Vlookup'!$B$3:$H$127,{2,3},0)</f>
        <v>31045.049000000003</v>
      </c>
      <c r="AI23" s="74">
        <v>621</v>
      </c>
      <c r="AJ23" s="74">
        <f>AH23-AI23</f>
        <v>30424.049000000003</v>
      </c>
      <c r="AK23" s="41">
        <f>U23-AH23</f>
        <v>9.9999999656574801E-4</v>
      </c>
      <c r="AL23" s="62">
        <f>AI23/U23</f>
        <v>2.0003188914174724E-2</v>
      </c>
      <c r="AO23" t="str">
        <f>VLOOKUP(M23,'Customer data'!F:P,11,0)</f>
        <v>HDFCH00806112855</v>
      </c>
    </row>
    <row r="24" spans="1:41" hidden="1">
      <c r="A24" s="56" t="s">
        <v>298</v>
      </c>
      <c r="B24" s="56" t="s">
        <v>299</v>
      </c>
      <c r="C24" s="56" t="s">
        <v>300</v>
      </c>
      <c r="D24" s="56" t="s">
        <v>301</v>
      </c>
      <c r="E24" s="56" t="s">
        <v>302</v>
      </c>
      <c r="F24" s="56" t="s">
        <v>322</v>
      </c>
      <c r="G24" s="57">
        <v>45979</v>
      </c>
      <c r="H24" s="58">
        <v>1400001956</v>
      </c>
      <c r="I24" s="56" t="s">
        <v>319</v>
      </c>
      <c r="J24" s="57">
        <v>45979</v>
      </c>
      <c r="K24" s="57">
        <v>45979</v>
      </c>
      <c r="L24" s="56" t="s">
        <v>209</v>
      </c>
      <c r="M24" s="64" t="s">
        <v>305</v>
      </c>
      <c r="N24" s="56" t="s">
        <v>306</v>
      </c>
      <c r="O24" s="56" t="s">
        <v>307</v>
      </c>
      <c r="P24" s="56" t="s">
        <v>305</v>
      </c>
      <c r="Q24" s="56" t="s">
        <v>308</v>
      </c>
      <c r="R24" s="186" t="s">
        <v>309</v>
      </c>
      <c r="S24" s="164">
        <v>-109304.71</v>
      </c>
      <c r="T24" s="187" t="s">
        <v>309</v>
      </c>
      <c r="U24" s="164">
        <v>-109304.71</v>
      </c>
      <c r="V24" s="56" t="s">
        <v>305</v>
      </c>
      <c r="W24" s="56" t="s">
        <v>310</v>
      </c>
      <c r="X24" s="56" t="s">
        <v>305</v>
      </c>
      <c r="Y24" s="56" t="s">
        <v>305</v>
      </c>
      <c r="Z24" s="56" t="s">
        <v>327</v>
      </c>
      <c r="AA24" s="56" t="s">
        <v>209</v>
      </c>
      <c r="AB24" s="56" t="s">
        <v>305</v>
      </c>
      <c r="AC24" s="56" t="s">
        <v>305</v>
      </c>
      <c r="AD24" s="56" t="s">
        <v>305</v>
      </c>
      <c r="AE24" s="57">
        <v>45979</v>
      </c>
      <c r="AF24" s="57">
        <v>45979</v>
      </c>
      <c r="AG24" s="58">
        <v>1400001956</v>
      </c>
      <c r="AH24" s="74" t="e" cm="1">
        <f t="array" ref="AH24">VLOOKUP(M24,'Customer data Vlookup'!$B$3:$H$127,{2,3},0)</f>
        <v>#N/A</v>
      </c>
      <c r="AI24" s="74"/>
      <c r="AJ24" s="74"/>
      <c r="AK24" s="43"/>
      <c r="AL24" s="43"/>
      <c r="AO24" t="e">
        <f>VLOOKUP(M24,'Customer data'!F:P,11,0)</f>
        <v>#N/A</v>
      </c>
    </row>
    <row r="25" spans="1:41" hidden="1">
      <c r="A25" s="56" t="s">
        <v>298</v>
      </c>
      <c r="B25" s="56" t="s">
        <v>299</v>
      </c>
      <c r="C25" s="56" t="s">
        <v>300</v>
      </c>
      <c r="D25" s="56" t="s">
        <v>301</v>
      </c>
      <c r="E25" s="56" t="s">
        <v>302</v>
      </c>
      <c r="F25" s="56" t="s">
        <v>303</v>
      </c>
      <c r="G25" s="57">
        <v>45979</v>
      </c>
      <c r="H25" s="58">
        <v>1400001961</v>
      </c>
      <c r="I25" s="56" t="s">
        <v>319</v>
      </c>
      <c r="J25" s="57">
        <v>45979</v>
      </c>
      <c r="K25" s="57">
        <v>45979</v>
      </c>
      <c r="L25" s="56" t="s">
        <v>149</v>
      </c>
      <c r="M25" s="64" t="s">
        <v>305</v>
      </c>
      <c r="N25" s="56" t="s">
        <v>306</v>
      </c>
      <c r="O25" s="56" t="s">
        <v>307</v>
      </c>
      <c r="P25" s="56" t="s">
        <v>305</v>
      </c>
      <c r="Q25" s="56" t="s">
        <v>308</v>
      </c>
      <c r="R25" s="186" t="s">
        <v>309</v>
      </c>
      <c r="S25" s="164">
        <v>-8051.51</v>
      </c>
      <c r="T25" s="187" t="s">
        <v>309</v>
      </c>
      <c r="U25" s="164">
        <v>-8051.51</v>
      </c>
      <c r="V25" s="56" t="s">
        <v>305</v>
      </c>
      <c r="W25" s="56" t="s">
        <v>310</v>
      </c>
      <c r="X25" s="56" t="s">
        <v>305</v>
      </c>
      <c r="Y25" s="56" t="s">
        <v>305</v>
      </c>
      <c r="Z25" s="56" t="s">
        <v>321</v>
      </c>
      <c r="AA25" s="56" t="s">
        <v>149</v>
      </c>
      <c r="AB25" s="56" t="s">
        <v>305</v>
      </c>
      <c r="AC25" s="56" t="s">
        <v>305</v>
      </c>
      <c r="AD25" s="56" t="s">
        <v>305</v>
      </c>
      <c r="AE25" s="57">
        <v>45979</v>
      </c>
      <c r="AF25" s="57">
        <v>45979</v>
      </c>
      <c r="AG25" s="58">
        <v>1400001961</v>
      </c>
      <c r="AH25" s="74" t="e" cm="1">
        <f t="array" ref="AH25">VLOOKUP(M25,'Customer data Vlookup'!$B$3:$H$127,{2,3},0)</f>
        <v>#N/A</v>
      </c>
      <c r="AI25" s="74"/>
      <c r="AJ25" s="74"/>
      <c r="AK25" s="43"/>
      <c r="AL25" s="43"/>
      <c r="AO25" t="e">
        <f>VLOOKUP(M25,'Customer data'!F:P,11,0)</f>
        <v>#N/A</v>
      </c>
    </row>
    <row r="26" spans="1:41" hidden="1">
      <c r="A26" s="56" t="s">
        <v>298</v>
      </c>
      <c r="B26" s="56" t="s">
        <v>299</v>
      </c>
      <c r="C26" s="56" t="s">
        <v>300</v>
      </c>
      <c r="D26" s="56" t="s">
        <v>301</v>
      </c>
      <c r="E26" s="56" t="s">
        <v>302</v>
      </c>
      <c r="F26" s="56" t="s">
        <v>325</v>
      </c>
      <c r="G26" s="57">
        <v>45979</v>
      </c>
      <c r="H26" s="58">
        <v>1400001961</v>
      </c>
      <c r="I26" s="56" t="s">
        <v>319</v>
      </c>
      <c r="J26" s="57">
        <v>45979</v>
      </c>
      <c r="K26" s="57">
        <v>45979</v>
      </c>
      <c r="L26" s="56" t="s">
        <v>149</v>
      </c>
      <c r="M26" s="64" t="s">
        <v>305</v>
      </c>
      <c r="N26" s="56" t="s">
        <v>306</v>
      </c>
      <c r="O26" s="56" t="s">
        <v>307</v>
      </c>
      <c r="P26" s="56" t="s">
        <v>305</v>
      </c>
      <c r="Q26" s="56" t="s">
        <v>308</v>
      </c>
      <c r="R26" s="186" t="s">
        <v>309</v>
      </c>
      <c r="S26" s="164">
        <v>-159132.62</v>
      </c>
      <c r="T26" s="187" t="s">
        <v>309</v>
      </c>
      <c r="U26" s="164">
        <v>-159622.78</v>
      </c>
      <c r="V26" s="56" t="s">
        <v>305</v>
      </c>
      <c r="W26" s="56" t="s">
        <v>310</v>
      </c>
      <c r="X26" s="56" t="s">
        <v>305</v>
      </c>
      <c r="Y26" s="56" t="s">
        <v>305</v>
      </c>
      <c r="Z26" s="56" t="s">
        <v>312</v>
      </c>
      <c r="AA26" s="56" t="s">
        <v>149</v>
      </c>
      <c r="AB26" s="56" t="s">
        <v>305</v>
      </c>
      <c r="AC26" s="56" t="s">
        <v>305</v>
      </c>
      <c r="AD26" s="56" t="s">
        <v>305</v>
      </c>
      <c r="AE26" s="57">
        <v>45979</v>
      </c>
      <c r="AF26" s="57">
        <v>45979</v>
      </c>
      <c r="AG26" s="58">
        <v>1400001961</v>
      </c>
      <c r="AH26" s="74" t="e" cm="1">
        <f t="array" ref="AH26">VLOOKUP(M26,'Customer data Vlookup'!$B$3:$H$127,{2,3},0)</f>
        <v>#N/A</v>
      </c>
      <c r="AI26" s="74"/>
      <c r="AJ26" s="74"/>
      <c r="AK26" s="43"/>
      <c r="AL26" s="43"/>
      <c r="AO26" t="e">
        <f>VLOOKUP(M26,'Customer data'!F:P,11,0)</f>
        <v>#N/A</v>
      </c>
    </row>
    <row r="27" spans="1:41" hidden="1">
      <c r="A27" s="56" t="s">
        <v>298</v>
      </c>
      <c r="B27" s="56" t="s">
        <v>299</v>
      </c>
      <c r="C27" s="56" t="s">
        <v>300</v>
      </c>
      <c r="D27" s="56" t="s">
        <v>301</v>
      </c>
      <c r="E27" s="56" t="s">
        <v>302</v>
      </c>
      <c r="F27" s="56" t="s">
        <v>303</v>
      </c>
      <c r="G27" s="57">
        <v>45979</v>
      </c>
      <c r="H27" s="58">
        <v>1400001971</v>
      </c>
      <c r="I27" s="56" t="s">
        <v>319</v>
      </c>
      <c r="J27" s="57">
        <v>45979</v>
      </c>
      <c r="K27" s="57">
        <v>45979</v>
      </c>
      <c r="L27" s="56" t="s">
        <v>19</v>
      </c>
      <c r="M27" s="64" t="s">
        <v>305</v>
      </c>
      <c r="N27" s="56" t="s">
        <v>306</v>
      </c>
      <c r="O27" s="56" t="s">
        <v>307</v>
      </c>
      <c r="P27" s="56" t="s">
        <v>305</v>
      </c>
      <c r="Q27" s="56" t="s">
        <v>308</v>
      </c>
      <c r="R27" s="186" t="s">
        <v>309</v>
      </c>
      <c r="S27" s="164">
        <v>-50196.87</v>
      </c>
      <c r="T27" s="187" t="s">
        <v>309</v>
      </c>
      <c r="U27" s="164">
        <v>-50734.53</v>
      </c>
      <c r="V27" s="56" t="s">
        <v>305</v>
      </c>
      <c r="W27" s="56" t="s">
        <v>310</v>
      </c>
      <c r="X27" s="56" t="s">
        <v>305</v>
      </c>
      <c r="Y27" s="56" t="s">
        <v>305</v>
      </c>
      <c r="Z27" s="56" t="s">
        <v>312</v>
      </c>
      <c r="AA27" s="56" t="s">
        <v>19</v>
      </c>
      <c r="AB27" s="56" t="s">
        <v>305</v>
      </c>
      <c r="AC27" s="56" t="s">
        <v>305</v>
      </c>
      <c r="AD27" s="56" t="s">
        <v>305</v>
      </c>
      <c r="AE27" s="57">
        <v>45979</v>
      </c>
      <c r="AF27" s="57">
        <v>45979</v>
      </c>
      <c r="AG27" s="58">
        <v>1400001971</v>
      </c>
      <c r="AH27" s="74" t="e" cm="1">
        <f t="array" ref="AH27">VLOOKUP(M27,'Customer data Vlookup'!$B$3:$H$127,{2,3},0)</f>
        <v>#N/A</v>
      </c>
      <c r="AI27" s="74"/>
      <c r="AJ27" s="74"/>
      <c r="AK27" s="43"/>
      <c r="AL27" s="43"/>
      <c r="AO27" t="e">
        <f>VLOOKUP(M27,'Customer data'!F:P,11,0)</f>
        <v>#N/A</v>
      </c>
    </row>
    <row r="28" spans="1:41" hidden="1">
      <c r="A28" s="56" t="s">
        <v>326</v>
      </c>
      <c r="B28" s="56" t="s">
        <v>299</v>
      </c>
      <c r="C28" s="56" t="s">
        <v>300</v>
      </c>
      <c r="D28" s="56" t="s">
        <v>301</v>
      </c>
      <c r="E28" s="56" t="s">
        <v>302</v>
      </c>
      <c r="F28" s="56" t="s">
        <v>334</v>
      </c>
      <c r="G28" s="57">
        <v>45979</v>
      </c>
      <c r="H28" s="58">
        <v>1400001972</v>
      </c>
      <c r="I28" s="56" t="s">
        <v>319</v>
      </c>
      <c r="J28" s="57">
        <v>45979</v>
      </c>
      <c r="K28" s="57">
        <v>45979</v>
      </c>
      <c r="L28" s="56" t="s">
        <v>19</v>
      </c>
      <c r="M28" s="64" t="s">
        <v>305</v>
      </c>
      <c r="N28" s="56" t="s">
        <v>306</v>
      </c>
      <c r="O28" s="56" t="s">
        <v>307</v>
      </c>
      <c r="P28" s="56" t="s">
        <v>305</v>
      </c>
      <c r="Q28" s="56" t="s">
        <v>308</v>
      </c>
      <c r="R28" s="186" t="s">
        <v>309</v>
      </c>
      <c r="S28" s="164">
        <v>-477139.41</v>
      </c>
      <c r="T28" s="187" t="s">
        <v>309</v>
      </c>
      <c r="U28" s="164">
        <v>-477139.41</v>
      </c>
      <c r="V28" s="56" t="s">
        <v>305</v>
      </c>
      <c r="W28" s="56" t="s">
        <v>310</v>
      </c>
      <c r="X28" s="56" t="s">
        <v>305</v>
      </c>
      <c r="Y28" s="56" t="s">
        <v>305</v>
      </c>
      <c r="Z28" s="56" t="s">
        <v>327</v>
      </c>
      <c r="AA28" s="56" t="s">
        <v>19</v>
      </c>
      <c r="AB28" s="56" t="s">
        <v>305</v>
      </c>
      <c r="AC28" s="56" t="s">
        <v>305</v>
      </c>
      <c r="AD28" s="56" t="s">
        <v>305</v>
      </c>
      <c r="AE28" s="57">
        <v>45979</v>
      </c>
      <c r="AF28" s="57">
        <v>45979</v>
      </c>
      <c r="AG28" s="58">
        <v>1400001972</v>
      </c>
      <c r="AH28" s="74" t="e" cm="1">
        <f t="array" ref="AH28">VLOOKUP(M28,'Customer data Vlookup'!$B$3:$H$127,{2,3},0)</f>
        <v>#N/A</v>
      </c>
      <c r="AI28" s="74"/>
      <c r="AJ28" s="74"/>
      <c r="AK28" s="43"/>
      <c r="AL28" s="43"/>
      <c r="AO28" t="e">
        <f>VLOOKUP(M28,'Customer data'!F:P,11,0)</f>
        <v>#N/A</v>
      </c>
    </row>
    <row r="29" spans="1:41" hidden="1">
      <c r="A29" s="56" t="s">
        <v>298</v>
      </c>
      <c r="B29" s="56" t="s">
        <v>299</v>
      </c>
      <c r="C29" s="56" t="s">
        <v>300</v>
      </c>
      <c r="D29" s="56" t="s">
        <v>301</v>
      </c>
      <c r="E29" s="56" t="s">
        <v>302</v>
      </c>
      <c r="F29" s="56" t="s">
        <v>334</v>
      </c>
      <c r="G29" s="57">
        <v>45972</v>
      </c>
      <c r="H29" s="58">
        <v>1400001627</v>
      </c>
      <c r="I29" s="56" t="s">
        <v>319</v>
      </c>
      <c r="J29" s="57">
        <v>45972</v>
      </c>
      <c r="K29" s="57">
        <v>45972</v>
      </c>
      <c r="L29" s="56" t="s">
        <v>225</v>
      </c>
      <c r="M29" s="64" t="s">
        <v>305</v>
      </c>
      <c r="N29" s="56" t="s">
        <v>306</v>
      </c>
      <c r="O29" s="56" t="s">
        <v>307</v>
      </c>
      <c r="P29" s="56" t="s">
        <v>305</v>
      </c>
      <c r="Q29" s="56" t="s">
        <v>308</v>
      </c>
      <c r="R29" s="186" t="s">
        <v>309</v>
      </c>
      <c r="S29" s="164">
        <v>-324591.96000000002</v>
      </c>
      <c r="T29" s="187" t="s">
        <v>309</v>
      </c>
      <c r="U29" s="164">
        <v>-324591.96000000002</v>
      </c>
      <c r="V29" s="56" t="s">
        <v>305</v>
      </c>
      <c r="W29" s="56" t="s">
        <v>313</v>
      </c>
      <c r="X29" s="56" t="s">
        <v>305</v>
      </c>
      <c r="Y29" s="56" t="s">
        <v>305</v>
      </c>
      <c r="Z29" s="56" t="s">
        <v>317</v>
      </c>
      <c r="AA29" s="56" t="s">
        <v>305</v>
      </c>
      <c r="AB29" s="56" t="s">
        <v>305</v>
      </c>
      <c r="AC29" s="56" t="s">
        <v>305</v>
      </c>
      <c r="AD29" s="56" t="s">
        <v>305</v>
      </c>
      <c r="AE29" s="57">
        <v>45972</v>
      </c>
      <c r="AF29" s="57"/>
      <c r="AG29" s="56" t="s">
        <v>305</v>
      </c>
      <c r="AH29" s="74" t="e" cm="1">
        <f t="array" ref="AH29">VLOOKUP(M29,'Customer data Vlookup'!$B$3:$H$127,{2,3},0)</f>
        <v>#N/A</v>
      </c>
      <c r="AI29" s="74"/>
      <c r="AJ29" s="74"/>
      <c r="AK29" s="43"/>
      <c r="AL29" s="43"/>
      <c r="AO29" t="e">
        <f>VLOOKUP(M29,'Customer data'!F:P,11,0)</f>
        <v>#N/A</v>
      </c>
    </row>
    <row r="30" spans="1:41" hidden="1">
      <c r="A30" s="56" t="s">
        <v>298</v>
      </c>
      <c r="B30" s="56" t="s">
        <v>299</v>
      </c>
      <c r="C30" s="56" t="s">
        <v>300</v>
      </c>
      <c r="D30" s="56" t="s">
        <v>301</v>
      </c>
      <c r="E30" s="56" t="s">
        <v>302</v>
      </c>
      <c r="F30" s="56" t="s">
        <v>322</v>
      </c>
      <c r="G30" s="57">
        <v>45966</v>
      </c>
      <c r="H30" s="58">
        <v>1800014545</v>
      </c>
      <c r="I30" s="56" t="s">
        <v>417</v>
      </c>
      <c r="J30" s="57">
        <v>45966</v>
      </c>
      <c r="K30" s="57">
        <v>45967</v>
      </c>
      <c r="L30" s="56" t="s">
        <v>332</v>
      </c>
      <c r="M30" s="60">
        <v>256779418877</v>
      </c>
      <c r="N30" s="56" t="s">
        <v>306</v>
      </c>
      <c r="O30" s="56" t="s">
        <v>307</v>
      </c>
      <c r="P30" s="56" t="s">
        <v>305</v>
      </c>
      <c r="Q30" s="56" t="s">
        <v>337</v>
      </c>
      <c r="R30" s="186" t="s">
        <v>333</v>
      </c>
      <c r="S30" s="164">
        <v>367.84</v>
      </c>
      <c r="T30" s="187" t="s">
        <v>309</v>
      </c>
      <c r="U30" s="164">
        <v>32371.17</v>
      </c>
      <c r="V30" s="56" t="s">
        <v>342</v>
      </c>
      <c r="W30" s="56" t="s">
        <v>310</v>
      </c>
      <c r="X30" s="56" t="s">
        <v>305</v>
      </c>
      <c r="Y30" s="56" t="s">
        <v>432</v>
      </c>
      <c r="Z30" s="56" t="s">
        <v>311</v>
      </c>
      <c r="AA30" s="56" t="s">
        <v>244</v>
      </c>
      <c r="AB30" s="56" t="s">
        <v>305</v>
      </c>
      <c r="AC30" s="56" t="s">
        <v>305</v>
      </c>
      <c r="AD30" s="56" t="s">
        <v>305</v>
      </c>
      <c r="AE30" s="57">
        <v>45966</v>
      </c>
      <c r="AF30" s="57">
        <v>46007</v>
      </c>
      <c r="AG30" s="58">
        <v>1400002197</v>
      </c>
      <c r="AH30" s="74" cm="1">
        <f t="array" ref="AH30:AI30">VLOOKUP(M30,'Customer data Vlookup'!$B$3:$H$127,{2,3},0)</f>
        <v>32371.166977599998</v>
      </c>
      <c r="AI30" s="74">
        <v>3237</v>
      </c>
      <c r="AJ30" s="74">
        <f>AH30-AI30</f>
        <v>29134.166977599998</v>
      </c>
      <c r="AK30" s="41">
        <f>U30-AH30</f>
        <v>3.022400000190828E-3</v>
      </c>
      <c r="AL30" s="62">
        <f>AI30/U30</f>
        <v>9.9996385672807012E-2</v>
      </c>
      <c r="AO30" t="str">
        <f>VLOOKUP(M30,'Customer data'!F:P,11,0)</f>
        <v>HDFCH00646925098</v>
      </c>
    </row>
    <row r="31" spans="1:41" hidden="1">
      <c r="A31" s="56" t="s">
        <v>298</v>
      </c>
      <c r="B31" s="56" t="s">
        <v>299</v>
      </c>
      <c r="C31" s="56" t="s">
        <v>300</v>
      </c>
      <c r="D31" s="56" t="s">
        <v>301</v>
      </c>
      <c r="E31" s="56" t="s">
        <v>302</v>
      </c>
      <c r="F31" s="56" t="s">
        <v>325</v>
      </c>
      <c r="G31" s="57">
        <v>45966</v>
      </c>
      <c r="H31" s="58">
        <v>1800014715</v>
      </c>
      <c r="I31" s="56" t="s">
        <v>417</v>
      </c>
      <c r="J31" s="57">
        <v>45966</v>
      </c>
      <c r="K31" s="57">
        <v>45968</v>
      </c>
      <c r="L31" s="56" t="s">
        <v>433</v>
      </c>
      <c r="M31" s="60">
        <v>256779419216</v>
      </c>
      <c r="N31" s="56" t="s">
        <v>306</v>
      </c>
      <c r="O31" s="56" t="s">
        <v>307</v>
      </c>
      <c r="P31" s="56" t="s">
        <v>305</v>
      </c>
      <c r="Q31" s="56" t="s">
        <v>337</v>
      </c>
      <c r="R31" s="186" t="s">
        <v>333</v>
      </c>
      <c r="S31" s="164">
        <v>27.17</v>
      </c>
      <c r="T31" s="187" t="s">
        <v>309</v>
      </c>
      <c r="U31" s="164">
        <v>2391.0500000000002</v>
      </c>
      <c r="V31" s="56" t="s">
        <v>342</v>
      </c>
      <c r="W31" s="56" t="s">
        <v>310</v>
      </c>
      <c r="X31" s="56" t="s">
        <v>305</v>
      </c>
      <c r="Y31" s="56" t="s">
        <v>332</v>
      </c>
      <c r="Z31" s="56" t="s">
        <v>311</v>
      </c>
      <c r="AA31" s="56" t="s">
        <v>242</v>
      </c>
      <c r="AB31" s="56" t="s">
        <v>305</v>
      </c>
      <c r="AC31" s="56" t="s">
        <v>305</v>
      </c>
      <c r="AD31" s="56" t="s">
        <v>305</v>
      </c>
      <c r="AE31" s="57">
        <v>45966</v>
      </c>
      <c r="AF31" s="57">
        <v>46007</v>
      </c>
      <c r="AG31" s="58">
        <v>1400002197</v>
      </c>
      <c r="AH31" s="74" cm="1">
        <f t="array" ref="AH31:AI31">VLOOKUP(M31,'Customer data Vlookup'!$B$3:$H$127,{2,3},0)</f>
        <v>2391.0521063000001</v>
      </c>
      <c r="AI31" s="74">
        <v>48</v>
      </c>
      <c r="AJ31" s="74">
        <f>AH31-AI31</f>
        <v>2343.0521063000001</v>
      </c>
      <c r="AK31" s="41">
        <f>U31-AH31</f>
        <v>-2.1062999999230669E-3</v>
      </c>
      <c r="AL31" s="62">
        <f>AI31/U31</f>
        <v>2.0074862508103131E-2</v>
      </c>
      <c r="AO31" t="str">
        <f>VLOOKUP(M31,'Customer data'!F:P,11,0)</f>
        <v>HDFCH00646925098</v>
      </c>
    </row>
    <row r="32" spans="1:41" hidden="1">
      <c r="A32" s="56" t="s">
        <v>298</v>
      </c>
      <c r="B32" s="56" t="s">
        <v>299</v>
      </c>
      <c r="C32" s="56" t="s">
        <v>300</v>
      </c>
      <c r="D32" s="56" t="s">
        <v>301</v>
      </c>
      <c r="E32" s="56" t="s">
        <v>302</v>
      </c>
      <c r="F32" s="56" t="s">
        <v>334</v>
      </c>
      <c r="G32" s="57">
        <v>45966</v>
      </c>
      <c r="H32" s="58">
        <v>1800014737</v>
      </c>
      <c r="I32" s="56" t="s">
        <v>417</v>
      </c>
      <c r="J32" s="57">
        <v>45966</v>
      </c>
      <c r="K32" s="57">
        <v>45968</v>
      </c>
      <c r="L32" s="56" t="s">
        <v>332</v>
      </c>
      <c r="M32" s="60">
        <v>256779419240</v>
      </c>
      <c r="N32" s="56" t="s">
        <v>306</v>
      </c>
      <c r="O32" s="56" t="s">
        <v>307</v>
      </c>
      <c r="P32" s="56" t="s">
        <v>305</v>
      </c>
      <c r="Q32" s="56" t="s">
        <v>337</v>
      </c>
      <c r="R32" s="186" t="s">
        <v>333</v>
      </c>
      <c r="S32" s="164">
        <v>11.27</v>
      </c>
      <c r="T32" s="187" t="s">
        <v>309</v>
      </c>
      <c r="U32" s="164">
        <v>991.8</v>
      </c>
      <c r="V32" s="56" t="s">
        <v>342</v>
      </c>
      <c r="W32" s="56" t="s">
        <v>310</v>
      </c>
      <c r="X32" s="56" t="s">
        <v>305</v>
      </c>
      <c r="Y32" s="56" t="s">
        <v>434</v>
      </c>
      <c r="Z32" s="56" t="s">
        <v>311</v>
      </c>
      <c r="AA32" s="56" t="s">
        <v>243</v>
      </c>
      <c r="AB32" s="56" t="s">
        <v>305</v>
      </c>
      <c r="AC32" s="56" t="s">
        <v>305</v>
      </c>
      <c r="AD32" s="56" t="s">
        <v>305</v>
      </c>
      <c r="AE32" s="57">
        <v>45966</v>
      </c>
      <c r="AF32" s="57">
        <v>46007</v>
      </c>
      <c r="AG32" s="58">
        <v>1400002197</v>
      </c>
      <c r="AH32" s="74" cm="1">
        <f t="array" ref="AH32:AI32">VLOOKUP(M32,'Customer data Vlookup'!$B$3:$H$127,{2,3},0)</f>
        <v>991.79820529999995</v>
      </c>
      <c r="AI32" s="74">
        <v>20</v>
      </c>
      <c r="AJ32" s="74">
        <f>AH32-AI32</f>
        <v>971.79820529999995</v>
      </c>
      <c r="AK32" s="41">
        <f>U32-AH32</f>
        <v>1.7947000000049229E-3</v>
      </c>
      <c r="AL32" s="62">
        <f>AI32/U32</f>
        <v>2.0165355918531962E-2</v>
      </c>
      <c r="AO32" t="str">
        <f>VLOOKUP(M32,'Customer data'!F:P,11,0)</f>
        <v>HDFCH00646925098</v>
      </c>
    </row>
    <row r="33" spans="1:41" hidden="1">
      <c r="A33" s="56" t="s">
        <v>298</v>
      </c>
      <c r="B33" s="56" t="s">
        <v>299</v>
      </c>
      <c r="C33" s="56" t="s">
        <v>300</v>
      </c>
      <c r="D33" s="56" t="s">
        <v>301</v>
      </c>
      <c r="E33" s="56" t="s">
        <v>302</v>
      </c>
      <c r="F33" s="56" t="s">
        <v>322</v>
      </c>
      <c r="G33" s="57">
        <v>45950</v>
      </c>
      <c r="H33" s="58">
        <v>1800013820</v>
      </c>
      <c r="I33" s="56" t="s">
        <v>417</v>
      </c>
      <c r="J33" s="57">
        <v>45950</v>
      </c>
      <c r="K33" s="57">
        <v>45951</v>
      </c>
      <c r="L33" s="56" t="s">
        <v>332</v>
      </c>
      <c r="M33" s="60">
        <v>256779418638</v>
      </c>
      <c r="N33" s="56" t="s">
        <v>306</v>
      </c>
      <c r="O33" s="56" t="s">
        <v>307</v>
      </c>
      <c r="P33" s="56" t="s">
        <v>305</v>
      </c>
      <c r="Q33" s="56" t="s">
        <v>337</v>
      </c>
      <c r="R33" s="186" t="s">
        <v>333</v>
      </c>
      <c r="S33" s="164">
        <v>350</v>
      </c>
      <c r="T33" s="187" t="s">
        <v>309</v>
      </c>
      <c r="U33" s="164">
        <v>30866.77</v>
      </c>
      <c r="V33" s="56" t="s">
        <v>342</v>
      </c>
      <c r="W33" s="56" t="s">
        <v>310</v>
      </c>
      <c r="X33" s="56" t="s">
        <v>305</v>
      </c>
      <c r="Y33" s="56" t="s">
        <v>519</v>
      </c>
      <c r="Z33" s="56" t="s">
        <v>311</v>
      </c>
      <c r="AA33" s="56" t="s">
        <v>520</v>
      </c>
      <c r="AB33" s="56" t="s">
        <v>305</v>
      </c>
      <c r="AC33" s="56" t="s">
        <v>305</v>
      </c>
      <c r="AD33" s="56" t="s">
        <v>305</v>
      </c>
      <c r="AE33" s="57">
        <v>45950</v>
      </c>
      <c r="AF33" s="57">
        <v>46007</v>
      </c>
      <c r="AG33" s="58">
        <v>1400002197</v>
      </c>
      <c r="AH33" s="74" cm="1">
        <f t="array" ref="AH33:AI33">VLOOKUP(M33,'Customer data Vlookup'!$B$3:$H$127,{2,3},0)</f>
        <v>30866.769499999999</v>
      </c>
      <c r="AI33" s="74">
        <v>617</v>
      </c>
      <c r="AJ33" s="74">
        <f>AH33-AI33</f>
        <v>30249.769499999999</v>
      </c>
      <c r="AK33" s="41">
        <f>U33-AH33</f>
        <v>5.0000000192085281E-4</v>
      </c>
      <c r="AL33" s="62">
        <f>AI33/U33</f>
        <v>1.9989133945663897E-2</v>
      </c>
      <c r="AO33" t="str">
        <f>VLOOKUP(M33,'Customer data'!F:P,11,0)</f>
        <v>HDFCH00646925098</v>
      </c>
    </row>
    <row r="34" spans="1:41" hidden="1">
      <c r="A34" s="56" t="s">
        <v>298</v>
      </c>
      <c r="B34" s="56" t="s">
        <v>299</v>
      </c>
      <c r="C34" s="56" t="s">
        <v>300</v>
      </c>
      <c r="D34" s="56" t="s">
        <v>301</v>
      </c>
      <c r="E34" s="56" t="s">
        <v>302</v>
      </c>
      <c r="F34" s="56" t="s">
        <v>322</v>
      </c>
      <c r="G34" s="57">
        <v>45946</v>
      </c>
      <c r="H34" s="58">
        <v>1400001452</v>
      </c>
      <c r="I34" s="56" t="s">
        <v>319</v>
      </c>
      <c r="J34" s="57">
        <v>45946</v>
      </c>
      <c r="K34" s="57">
        <v>45946</v>
      </c>
      <c r="L34" s="56" t="s">
        <v>198</v>
      </c>
      <c r="M34" s="64" t="s">
        <v>305</v>
      </c>
      <c r="N34" s="56" t="s">
        <v>306</v>
      </c>
      <c r="O34" s="56" t="s">
        <v>307</v>
      </c>
      <c r="P34" s="56" t="s">
        <v>305</v>
      </c>
      <c r="Q34" s="56" t="s">
        <v>308</v>
      </c>
      <c r="R34" s="186" t="s">
        <v>309</v>
      </c>
      <c r="S34" s="164">
        <v>-492224.78</v>
      </c>
      <c r="T34" s="187" t="s">
        <v>309</v>
      </c>
      <c r="U34" s="164">
        <v>-492209.06</v>
      </c>
      <c r="V34" s="56" t="s">
        <v>305</v>
      </c>
      <c r="W34" s="56" t="s">
        <v>310</v>
      </c>
      <c r="X34" s="56" t="s">
        <v>305</v>
      </c>
      <c r="Y34" s="56" t="s">
        <v>305</v>
      </c>
      <c r="Z34" s="56" t="s">
        <v>327</v>
      </c>
      <c r="AA34" s="56" t="s">
        <v>198</v>
      </c>
      <c r="AB34" s="56" t="s">
        <v>305</v>
      </c>
      <c r="AC34" s="56" t="s">
        <v>305</v>
      </c>
      <c r="AD34" s="56" t="s">
        <v>305</v>
      </c>
      <c r="AE34" s="57">
        <v>45946</v>
      </c>
      <c r="AF34" s="57">
        <v>45946</v>
      </c>
      <c r="AG34" s="58">
        <v>1400001452</v>
      </c>
      <c r="AH34" s="74" t="e" cm="1">
        <f t="array" ref="AH34">VLOOKUP(M34,'Customer data Vlookup'!$B$3:$H$127,{2,3},0)</f>
        <v>#N/A</v>
      </c>
      <c r="AI34" s="74"/>
      <c r="AJ34" s="74"/>
      <c r="AK34" s="43"/>
      <c r="AL34" s="43"/>
      <c r="AO34" t="e">
        <f>VLOOKUP(M34,'Customer data'!F:P,11,0)</f>
        <v>#N/A</v>
      </c>
    </row>
    <row r="35" spans="1:41" hidden="1">
      <c r="A35" s="56" t="s">
        <v>298</v>
      </c>
      <c r="B35" s="56" t="s">
        <v>299</v>
      </c>
      <c r="C35" s="56" t="s">
        <v>300</v>
      </c>
      <c r="D35" s="56" t="s">
        <v>301</v>
      </c>
      <c r="E35" s="56" t="s">
        <v>302</v>
      </c>
      <c r="F35" s="56" t="s">
        <v>312</v>
      </c>
      <c r="G35" s="57">
        <v>45946</v>
      </c>
      <c r="H35" s="58">
        <v>1400001453</v>
      </c>
      <c r="I35" s="56" t="s">
        <v>319</v>
      </c>
      <c r="J35" s="57">
        <v>45946</v>
      </c>
      <c r="K35" s="57">
        <v>45946</v>
      </c>
      <c r="L35" s="56" t="s">
        <v>323</v>
      </c>
      <c r="M35" s="64" t="s">
        <v>305</v>
      </c>
      <c r="N35" s="56" t="s">
        <v>306</v>
      </c>
      <c r="O35" s="56" t="s">
        <v>307</v>
      </c>
      <c r="P35" s="56" t="s">
        <v>305</v>
      </c>
      <c r="Q35" s="56" t="s">
        <v>324</v>
      </c>
      <c r="R35" s="186" t="s">
        <v>309</v>
      </c>
      <c r="S35" s="164">
        <v>2932.62</v>
      </c>
      <c r="T35" s="187" t="s">
        <v>309</v>
      </c>
      <c r="U35" s="164">
        <v>2932.62</v>
      </c>
      <c r="V35" s="56" t="s">
        <v>305</v>
      </c>
      <c r="W35" s="56" t="s">
        <v>310</v>
      </c>
      <c r="X35" s="56" t="s">
        <v>305</v>
      </c>
      <c r="Y35" s="56" t="s">
        <v>305</v>
      </c>
      <c r="Z35" s="56" t="s">
        <v>312</v>
      </c>
      <c r="AA35" s="56" t="s">
        <v>323</v>
      </c>
      <c r="AB35" s="56" t="s">
        <v>305</v>
      </c>
      <c r="AC35" s="56" t="s">
        <v>305</v>
      </c>
      <c r="AD35" s="56" t="s">
        <v>305</v>
      </c>
      <c r="AE35" s="57">
        <v>45946</v>
      </c>
      <c r="AF35" s="57">
        <v>45946</v>
      </c>
      <c r="AG35" s="58">
        <v>1400001453</v>
      </c>
      <c r="AH35" s="74" t="e" cm="1">
        <f t="array" ref="AH35">VLOOKUP(M35,'Customer data Vlookup'!$B$3:$H$127,{2,3},0)</f>
        <v>#N/A</v>
      </c>
      <c r="AI35" s="74"/>
      <c r="AJ35" s="74"/>
      <c r="AK35" s="43"/>
      <c r="AL35" s="43"/>
      <c r="AO35" t="e">
        <f>VLOOKUP(M35,'Customer data'!F:P,11,0)</f>
        <v>#N/A</v>
      </c>
    </row>
    <row r="36" spans="1:41" hidden="1">
      <c r="A36" s="56" t="s">
        <v>298</v>
      </c>
      <c r="B36" s="56" t="s">
        <v>299</v>
      </c>
      <c r="C36" s="56" t="s">
        <v>300</v>
      </c>
      <c r="D36" s="56" t="s">
        <v>301</v>
      </c>
      <c r="E36" s="56" t="s">
        <v>302</v>
      </c>
      <c r="F36" s="56" t="s">
        <v>312</v>
      </c>
      <c r="G36" s="57">
        <v>45946</v>
      </c>
      <c r="H36" s="58">
        <v>1400001453</v>
      </c>
      <c r="I36" s="56" t="s">
        <v>319</v>
      </c>
      <c r="J36" s="57">
        <v>45946</v>
      </c>
      <c r="K36" s="57">
        <v>45946</v>
      </c>
      <c r="L36" s="56" t="s">
        <v>323</v>
      </c>
      <c r="M36" s="64" t="s">
        <v>305</v>
      </c>
      <c r="N36" s="56" t="s">
        <v>306</v>
      </c>
      <c r="O36" s="56" t="s">
        <v>307</v>
      </c>
      <c r="P36" s="56" t="s">
        <v>305</v>
      </c>
      <c r="Q36" s="56" t="s">
        <v>308</v>
      </c>
      <c r="R36" s="186" t="s">
        <v>309</v>
      </c>
      <c r="S36" s="164">
        <v>-142188.03</v>
      </c>
      <c r="T36" s="187" t="s">
        <v>309</v>
      </c>
      <c r="U36" s="164">
        <v>-139776.57999999999</v>
      </c>
      <c r="V36" s="56" t="s">
        <v>305</v>
      </c>
      <c r="W36" s="56" t="s">
        <v>310</v>
      </c>
      <c r="X36" s="56" t="s">
        <v>305</v>
      </c>
      <c r="Y36" s="56" t="s">
        <v>305</v>
      </c>
      <c r="Z36" s="56" t="s">
        <v>321</v>
      </c>
      <c r="AA36" s="56" t="s">
        <v>323</v>
      </c>
      <c r="AB36" s="56" t="s">
        <v>305</v>
      </c>
      <c r="AC36" s="56" t="s">
        <v>305</v>
      </c>
      <c r="AD36" s="56" t="s">
        <v>305</v>
      </c>
      <c r="AE36" s="57">
        <v>45946</v>
      </c>
      <c r="AF36" s="57">
        <v>45946</v>
      </c>
      <c r="AG36" s="58">
        <v>1400001453</v>
      </c>
      <c r="AH36" s="74" t="e" cm="1">
        <f t="array" ref="AH36">VLOOKUP(M36,'Customer data Vlookup'!$B$3:$H$127,{2,3},0)</f>
        <v>#N/A</v>
      </c>
      <c r="AI36" s="74"/>
      <c r="AJ36" s="74"/>
      <c r="AK36" s="43"/>
      <c r="AL36" s="43"/>
      <c r="AO36" t="e">
        <f>VLOOKUP(M36,'Customer data'!F:P,11,0)</f>
        <v>#N/A</v>
      </c>
    </row>
    <row r="37" spans="1:41" hidden="1">
      <c r="A37" s="56" t="s">
        <v>298</v>
      </c>
      <c r="B37" s="56" t="s">
        <v>299</v>
      </c>
      <c r="C37" s="56" t="s">
        <v>300</v>
      </c>
      <c r="D37" s="56" t="s">
        <v>301</v>
      </c>
      <c r="E37" s="56" t="s">
        <v>302</v>
      </c>
      <c r="F37" s="56" t="s">
        <v>312</v>
      </c>
      <c r="G37" s="57">
        <v>45946</v>
      </c>
      <c r="H37" s="58">
        <v>1400001452</v>
      </c>
      <c r="I37" s="56" t="s">
        <v>319</v>
      </c>
      <c r="J37" s="57">
        <v>45946</v>
      </c>
      <c r="K37" s="57">
        <v>45946</v>
      </c>
      <c r="L37" s="56" t="s">
        <v>198</v>
      </c>
      <c r="M37" s="64" t="s">
        <v>305</v>
      </c>
      <c r="N37" s="56" t="s">
        <v>306</v>
      </c>
      <c r="O37" s="56" t="s">
        <v>307</v>
      </c>
      <c r="P37" s="56" t="s">
        <v>305</v>
      </c>
      <c r="Q37" s="56" t="s">
        <v>308</v>
      </c>
      <c r="R37" s="186" t="s">
        <v>309</v>
      </c>
      <c r="S37" s="164">
        <v>-2932.62</v>
      </c>
      <c r="T37" s="187" t="s">
        <v>309</v>
      </c>
      <c r="U37" s="164">
        <v>-2932.62</v>
      </c>
      <c r="V37" s="56" t="s">
        <v>305</v>
      </c>
      <c r="W37" s="56" t="s">
        <v>310</v>
      </c>
      <c r="X37" s="56" t="s">
        <v>305</v>
      </c>
      <c r="Y37" s="56" t="s">
        <v>332</v>
      </c>
      <c r="Z37" s="56" t="s">
        <v>317</v>
      </c>
      <c r="AA37" s="56" t="s">
        <v>305</v>
      </c>
      <c r="AB37" s="56" t="s">
        <v>305</v>
      </c>
      <c r="AC37" s="56" t="s">
        <v>305</v>
      </c>
      <c r="AD37" s="56" t="s">
        <v>305</v>
      </c>
      <c r="AE37" s="57">
        <v>45946</v>
      </c>
      <c r="AF37" s="57">
        <v>45946</v>
      </c>
      <c r="AG37" s="58">
        <v>1400001453</v>
      </c>
      <c r="AH37" s="74" t="e" cm="1">
        <f t="array" ref="AH37">VLOOKUP(M37,'Customer data Vlookup'!$B$3:$H$127,{2,3},0)</f>
        <v>#N/A</v>
      </c>
      <c r="AI37" s="74"/>
      <c r="AJ37" s="74"/>
      <c r="AK37" s="43"/>
      <c r="AL37" s="43"/>
      <c r="AO37" t="e">
        <f>VLOOKUP(M37,'Customer data'!F:P,11,0)</f>
        <v>#N/A</v>
      </c>
    </row>
    <row r="38" spans="1:41" hidden="1">
      <c r="A38" s="56" t="s">
        <v>298</v>
      </c>
      <c r="B38" s="56" t="s">
        <v>299</v>
      </c>
      <c r="C38" s="56" t="s">
        <v>300</v>
      </c>
      <c r="D38" s="56" t="s">
        <v>301</v>
      </c>
      <c r="E38" s="56" t="s">
        <v>302</v>
      </c>
      <c r="F38" s="56" t="s">
        <v>312</v>
      </c>
      <c r="G38" s="57">
        <v>45946</v>
      </c>
      <c r="H38" s="58">
        <v>1400001454</v>
      </c>
      <c r="I38" s="56" t="s">
        <v>319</v>
      </c>
      <c r="J38" s="57">
        <v>45946</v>
      </c>
      <c r="K38" s="57">
        <v>45946</v>
      </c>
      <c r="L38" s="56" t="s">
        <v>94</v>
      </c>
      <c r="M38" s="64" t="s">
        <v>305</v>
      </c>
      <c r="N38" s="56" t="s">
        <v>306</v>
      </c>
      <c r="O38" s="56" t="s">
        <v>307</v>
      </c>
      <c r="P38" s="56" t="s">
        <v>305</v>
      </c>
      <c r="Q38" s="56" t="s">
        <v>308</v>
      </c>
      <c r="R38" s="186" t="s">
        <v>309</v>
      </c>
      <c r="S38" s="164">
        <v>-115726.32</v>
      </c>
      <c r="T38" s="187" t="s">
        <v>309</v>
      </c>
      <c r="U38" s="164">
        <v>-116988.95</v>
      </c>
      <c r="V38" s="56" t="s">
        <v>305</v>
      </c>
      <c r="W38" s="56" t="s">
        <v>305</v>
      </c>
      <c r="X38" s="56" t="s">
        <v>305</v>
      </c>
      <c r="Y38" s="56" t="s">
        <v>305</v>
      </c>
      <c r="Z38" s="56" t="s">
        <v>312</v>
      </c>
      <c r="AA38" s="56" t="s">
        <v>94</v>
      </c>
      <c r="AB38" s="56" t="s">
        <v>305</v>
      </c>
      <c r="AC38" s="56" t="s">
        <v>305</v>
      </c>
      <c r="AD38" s="56" t="s">
        <v>305</v>
      </c>
      <c r="AE38" s="57">
        <v>45946</v>
      </c>
      <c r="AF38" s="57">
        <v>45946</v>
      </c>
      <c r="AG38" s="58">
        <v>1400001454</v>
      </c>
      <c r="AH38" s="74" t="e" cm="1">
        <f t="array" ref="AH38">VLOOKUP(M38,'Customer data Vlookup'!$B$3:$H$127,{2,3},0)</f>
        <v>#N/A</v>
      </c>
      <c r="AI38" s="74"/>
      <c r="AJ38" s="74"/>
      <c r="AK38" s="43"/>
      <c r="AL38" s="43"/>
      <c r="AO38" t="e">
        <f>VLOOKUP(M38,'Customer data'!F:P,11,0)</f>
        <v>#N/A</v>
      </c>
    </row>
    <row r="39" spans="1:41" hidden="1">
      <c r="A39" s="56" t="s">
        <v>298</v>
      </c>
      <c r="B39" s="56" t="s">
        <v>299</v>
      </c>
      <c r="C39" s="56" t="s">
        <v>300</v>
      </c>
      <c r="D39" s="56" t="s">
        <v>301</v>
      </c>
      <c r="E39" s="56" t="s">
        <v>302</v>
      </c>
      <c r="F39" s="56" t="s">
        <v>312</v>
      </c>
      <c r="G39" s="57">
        <v>45946</v>
      </c>
      <c r="H39" s="58">
        <v>1400001455</v>
      </c>
      <c r="I39" s="56" t="s">
        <v>319</v>
      </c>
      <c r="J39" s="57">
        <v>45946</v>
      </c>
      <c r="K39" s="57">
        <v>45946</v>
      </c>
      <c r="L39" s="56" t="s">
        <v>206</v>
      </c>
      <c r="M39" s="64" t="s">
        <v>305</v>
      </c>
      <c r="N39" s="56" t="s">
        <v>306</v>
      </c>
      <c r="O39" s="56" t="s">
        <v>307</v>
      </c>
      <c r="P39" s="56" t="s">
        <v>305</v>
      </c>
      <c r="Q39" s="56" t="s">
        <v>308</v>
      </c>
      <c r="R39" s="186" t="s">
        <v>309</v>
      </c>
      <c r="S39" s="164">
        <v>-659505.57999999996</v>
      </c>
      <c r="T39" s="187" t="s">
        <v>309</v>
      </c>
      <c r="U39" s="164">
        <v>-646935.77</v>
      </c>
      <c r="V39" s="56" t="s">
        <v>305</v>
      </c>
      <c r="W39" s="56" t="s">
        <v>310</v>
      </c>
      <c r="X39" s="56" t="s">
        <v>305</v>
      </c>
      <c r="Y39" s="56" t="s">
        <v>305</v>
      </c>
      <c r="Z39" s="56" t="s">
        <v>312</v>
      </c>
      <c r="AA39" s="56" t="s">
        <v>206</v>
      </c>
      <c r="AB39" s="56" t="s">
        <v>305</v>
      </c>
      <c r="AC39" s="56" t="s">
        <v>305</v>
      </c>
      <c r="AD39" s="56" t="s">
        <v>305</v>
      </c>
      <c r="AE39" s="57">
        <v>45946</v>
      </c>
      <c r="AF39" s="57">
        <v>45946</v>
      </c>
      <c r="AG39" s="58">
        <v>1400001455</v>
      </c>
      <c r="AH39" s="74" t="e" cm="1">
        <f t="array" ref="AH39">VLOOKUP(M39,'Customer data Vlookup'!$B$3:$H$127,{2,3},0)</f>
        <v>#N/A</v>
      </c>
      <c r="AI39" s="74"/>
      <c r="AJ39" s="74"/>
      <c r="AK39" s="43"/>
      <c r="AL39" s="43"/>
      <c r="AO39" t="e">
        <f>VLOOKUP(M39,'Customer data'!F:P,11,0)</f>
        <v>#N/A</v>
      </c>
    </row>
    <row r="40" spans="1:41" hidden="1">
      <c r="A40" s="56" t="s">
        <v>298</v>
      </c>
      <c r="B40" s="56" t="s">
        <v>299</v>
      </c>
      <c r="C40" s="56" t="s">
        <v>300</v>
      </c>
      <c r="D40" s="56" t="s">
        <v>301</v>
      </c>
      <c r="E40" s="56" t="s">
        <v>302</v>
      </c>
      <c r="F40" s="56" t="s">
        <v>312</v>
      </c>
      <c r="G40" s="57">
        <v>45946</v>
      </c>
      <c r="H40" s="58">
        <v>1400001456</v>
      </c>
      <c r="I40" s="56" t="s">
        <v>319</v>
      </c>
      <c r="J40" s="57">
        <v>45946</v>
      </c>
      <c r="K40" s="57">
        <v>45946</v>
      </c>
      <c r="L40" s="56" t="s">
        <v>166</v>
      </c>
      <c r="M40" s="64" t="s">
        <v>305</v>
      </c>
      <c r="N40" s="56" t="s">
        <v>306</v>
      </c>
      <c r="O40" s="56" t="s">
        <v>307</v>
      </c>
      <c r="P40" s="56" t="s">
        <v>305</v>
      </c>
      <c r="Q40" s="56" t="s">
        <v>308</v>
      </c>
      <c r="R40" s="186" t="s">
        <v>333</v>
      </c>
      <c r="S40" s="164">
        <v>-2140.0300000000002</v>
      </c>
      <c r="T40" s="187" t="s">
        <v>309</v>
      </c>
      <c r="U40" s="164">
        <v>-182952.83</v>
      </c>
      <c r="V40" s="56" t="s">
        <v>305</v>
      </c>
      <c r="W40" s="56" t="s">
        <v>310</v>
      </c>
      <c r="X40" s="56" t="s">
        <v>305</v>
      </c>
      <c r="Y40" s="56" t="s">
        <v>305</v>
      </c>
      <c r="Z40" s="56" t="s">
        <v>327</v>
      </c>
      <c r="AA40" s="56" t="s">
        <v>166</v>
      </c>
      <c r="AB40" s="56" t="s">
        <v>305</v>
      </c>
      <c r="AC40" s="56" t="s">
        <v>305</v>
      </c>
      <c r="AD40" s="56" t="s">
        <v>305</v>
      </c>
      <c r="AE40" s="57">
        <v>45946</v>
      </c>
      <c r="AF40" s="57">
        <v>45946</v>
      </c>
      <c r="AG40" s="58">
        <v>1400001456</v>
      </c>
      <c r="AH40" s="74" t="e" cm="1">
        <f t="array" ref="AH40">VLOOKUP(M40,'Customer data Vlookup'!$B$3:$H$127,{2,3},0)</f>
        <v>#N/A</v>
      </c>
      <c r="AI40" s="74"/>
      <c r="AJ40" s="74"/>
      <c r="AK40" s="43"/>
      <c r="AL40" s="43"/>
      <c r="AO40" t="e">
        <f>VLOOKUP(M40,'Customer data'!F:P,11,0)</f>
        <v>#N/A</v>
      </c>
    </row>
    <row r="41" spans="1:41" hidden="1">
      <c r="A41" s="56" t="s">
        <v>298</v>
      </c>
      <c r="B41" s="56" t="s">
        <v>299</v>
      </c>
      <c r="C41" s="56" t="s">
        <v>300</v>
      </c>
      <c r="D41" s="56" t="s">
        <v>301</v>
      </c>
      <c r="E41" s="56" t="s">
        <v>302</v>
      </c>
      <c r="F41" s="56" t="s">
        <v>312</v>
      </c>
      <c r="G41" s="57">
        <v>45938</v>
      </c>
      <c r="H41" s="58">
        <v>1400001468</v>
      </c>
      <c r="I41" s="56" t="s">
        <v>319</v>
      </c>
      <c r="J41" s="57">
        <v>45938</v>
      </c>
      <c r="K41" s="57">
        <v>45946</v>
      </c>
      <c r="L41" s="56" t="s">
        <v>206</v>
      </c>
      <c r="M41" s="64" t="s">
        <v>305</v>
      </c>
      <c r="N41" s="56" t="s">
        <v>306</v>
      </c>
      <c r="O41" s="56" t="s">
        <v>307</v>
      </c>
      <c r="P41" s="56" t="s">
        <v>305</v>
      </c>
      <c r="Q41" s="56" t="s">
        <v>329</v>
      </c>
      <c r="R41" s="186" t="s">
        <v>309</v>
      </c>
      <c r="S41" s="164">
        <v>339060.54</v>
      </c>
      <c r="T41" s="187" t="s">
        <v>309</v>
      </c>
      <c r="U41" s="164">
        <v>339060.54</v>
      </c>
      <c r="V41" s="56" t="s">
        <v>305</v>
      </c>
      <c r="W41" s="56" t="s">
        <v>313</v>
      </c>
      <c r="X41" s="56" t="s">
        <v>305</v>
      </c>
      <c r="Y41" s="56" t="s">
        <v>305</v>
      </c>
      <c r="Z41" s="56" t="s">
        <v>317</v>
      </c>
      <c r="AA41" s="56" t="s">
        <v>305</v>
      </c>
      <c r="AB41" s="56" t="s">
        <v>305</v>
      </c>
      <c r="AC41" s="56" t="s">
        <v>305</v>
      </c>
      <c r="AD41" s="56" t="s">
        <v>305</v>
      </c>
      <c r="AE41" s="57">
        <v>45938</v>
      </c>
      <c r="AF41" s="57">
        <v>45938</v>
      </c>
      <c r="AG41" s="58">
        <v>1400001468</v>
      </c>
      <c r="AH41" s="74" t="e" cm="1">
        <f t="array" ref="AH41">VLOOKUP(M41,'Customer data Vlookup'!$B$3:$H$127,{2,3},0)</f>
        <v>#N/A</v>
      </c>
      <c r="AI41" s="74"/>
      <c r="AJ41" s="74"/>
      <c r="AK41" s="43"/>
      <c r="AL41" s="43"/>
      <c r="AO41" t="e">
        <f>VLOOKUP(M41,'Customer data'!F:P,11,0)</f>
        <v>#N/A</v>
      </c>
    </row>
    <row r="42" spans="1:41" hidden="1">
      <c r="A42" s="56" t="s">
        <v>298</v>
      </c>
      <c r="B42" s="56" t="s">
        <v>299</v>
      </c>
      <c r="C42" s="56" t="s">
        <v>300</v>
      </c>
      <c r="D42" s="56" t="s">
        <v>301</v>
      </c>
      <c r="E42" s="56" t="s">
        <v>302</v>
      </c>
      <c r="F42" s="56" t="s">
        <v>312</v>
      </c>
      <c r="G42" s="57">
        <v>45938</v>
      </c>
      <c r="H42" s="58">
        <v>1400001367</v>
      </c>
      <c r="I42" s="56" t="s">
        <v>319</v>
      </c>
      <c r="J42" s="57">
        <v>45938</v>
      </c>
      <c r="K42" s="57">
        <v>45938</v>
      </c>
      <c r="L42" s="56" t="s">
        <v>206</v>
      </c>
      <c r="M42" s="64" t="s">
        <v>305</v>
      </c>
      <c r="N42" s="56" t="s">
        <v>306</v>
      </c>
      <c r="O42" s="56" t="s">
        <v>307</v>
      </c>
      <c r="P42" s="56" t="s">
        <v>305</v>
      </c>
      <c r="Q42" s="56" t="s">
        <v>308</v>
      </c>
      <c r="R42" s="186" t="s">
        <v>309</v>
      </c>
      <c r="S42" s="164">
        <v>-339060.54</v>
      </c>
      <c r="T42" s="187" t="s">
        <v>309</v>
      </c>
      <c r="U42" s="164">
        <v>-339060.54</v>
      </c>
      <c r="V42" s="56" t="s">
        <v>305</v>
      </c>
      <c r="W42" s="56" t="s">
        <v>313</v>
      </c>
      <c r="X42" s="56" t="s">
        <v>305</v>
      </c>
      <c r="Y42" s="56" t="s">
        <v>305</v>
      </c>
      <c r="Z42" s="56" t="s">
        <v>317</v>
      </c>
      <c r="AA42" s="56" t="s">
        <v>305</v>
      </c>
      <c r="AB42" s="56" t="s">
        <v>305</v>
      </c>
      <c r="AC42" s="56" t="s">
        <v>305</v>
      </c>
      <c r="AD42" s="56" t="s">
        <v>305</v>
      </c>
      <c r="AE42" s="57">
        <v>45938</v>
      </c>
      <c r="AF42" s="57">
        <v>45938</v>
      </c>
      <c r="AG42" s="58">
        <v>1400001468</v>
      </c>
      <c r="AH42" s="74" t="e" cm="1">
        <f t="array" ref="AH42">VLOOKUP(M42,'Customer data Vlookup'!$B$3:$H$127,{2,3},0)</f>
        <v>#N/A</v>
      </c>
      <c r="AI42" s="74"/>
      <c r="AJ42" s="74"/>
      <c r="AK42" s="43"/>
      <c r="AL42" s="43"/>
      <c r="AO42" t="e">
        <f>VLOOKUP(M42,'Customer data'!F:P,11,0)</f>
        <v>#N/A</v>
      </c>
    </row>
    <row r="43" spans="1:41" hidden="1">
      <c r="A43" s="56" t="s">
        <v>298</v>
      </c>
      <c r="B43" s="56" t="s">
        <v>299</v>
      </c>
      <c r="C43" s="56" t="s">
        <v>300</v>
      </c>
      <c r="D43" s="56" t="s">
        <v>301</v>
      </c>
      <c r="E43" s="56" t="s">
        <v>302</v>
      </c>
      <c r="F43" s="56" t="s">
        <v>312</v>
      </c>
      <c r="G43" s="57">
        <v>45935</v>
      </c>
      <c r="H43" s="58">
        <v>1800013318</v>
      </c>
      <c r="I43" s="56" t="s">
        <v>417</v>
      </c>
      <c r="J43" s="57">
        <v>45935</v>
      </c>
      <c r="K43" s="57">
        <v>45937</v>
      </c>
      <c r="L43" s="56" t="s">
        <v>332</v>
      </c>
      <c r="M43" s="60">
        <v>256779417914</v>
      </c>
      <c r="N43" s="56" t="s">
        <v>306</v>
      </c>
      <c r="O43" s="56" t="s">
        <v>307</v>
      </c>
      <c r="P43" s="56" t="s">
        <v>305</v>
      </c>
      <c r="Q43" s="56" t="s">
        <v>337</v>
      </c>
      <c r="R43" s="186" t="s">
        <v>333</v>
      </c>
      <c r="S43" s="164">
        <v>350</v>
      </c>
      <c r="T43" s="187" t="s">
        <v>309</v>
      </c>
      <c r="U43" s="164">
        <v>30866.77</v>
      </c>
      <c r="V43" s="56" t="s">
        <v>342</v>
      </c>
      <c r="W43" s="56" t="s">
        <v>335</v>
      </c>
      <c r="X43" s="56" t="s">
        <v>305</v>
      </c>
      <c r="Y43" s="56" t="s">
        <v>332</v>
      </c>
      <c r="Z43" s="56" t="s">
        <v>311</v>
      </c>
      <c r="AA43" s="56" t="s">
        <v>529</v>
      </c>
      <c r="AB43" s="56" t="s">
        <v>305</v>
      </c>
      <c r="AC43" s="56" t="s">
        <v>305</v>
      </c>
      <c r="AD43" s="56" t="s">
        <v>305</v>
      </c>
      <c r="AE43" s="57">
        <v>45935</v>
      </c>
      <c r="AF43" s="57">
        <v>46007</v>
      </c>
      <c r="AG43" s="58">
        <v>1400002197</v>
      </c>
      <c r="AH43" s="74" cm="1">
        <f t="array" ref="AH43:AI43">VLOOKUP(M43,'Customer data Vlookup'!$B$3:$H$127,{2,3},0)</f>
        <v>30866.769499999999</v>
      </c>
      <c r="AI43" s="74">
        <v>617</v>
      </c>
      <c r="AJ43" s="74">
        <f>AH43-AI43</f>
        <v>30249.769499999999</v>
      </c>
      <c r="AK43" s="41">
        <f>U43-AH43</f>
        <v>5.0000000192085281E-4</v>
      </c>
      <c r="AL43" s="62">
        <f>AI43/U43</f>
        <v>1.9989133945663897E-2</v>
      </c>
      <c r="AO43" t="str">
        <f>VLOOKUP(M43,'Customer data'!F:P,11,0)</f>
        <v>HDFCH00646925098</v>
      </c>
    </row>
    <row r="44" spans="1:41" hidden="1">
      <c r="A44" s="56" t="s">
        <v>326</v>
      </c>
      <c r="B44" s="56" t="s">
        <v>299</v>
      </c>
      <c r="C44" s="56" t="s">
        <v>300</v>
      </c>
      <c r="D44" s="56" t="s">
        <v>301</v>
      </c>
      <c r="E44" s="56" t="s">
        <v>302</v>
      </c>
      <c r="F44" s="56" t="s">
        <v>318</v>
      </c>
      <c r="G44" s="57">
        <v>45931</v>
      </c>
      <c r="H44" s="58">
        <v>1400001329</v>
      </c>
      <c r="I44" s="56" t="s">
        <v>319</v>
      </c>
      <c r="J44" s="57">
        <v>45931</v>
      </c>
      <c r="K44" s="57">
        <v>45931</v>
      </c>
      <c r="L44" s="56" t="s">
        <v>32</v>
      </c>
      <c r="M44" s="64" t="s">
        <v>305</v>
      </c>
      <c r="N44" s="56" t="s">
        <v>306</v>
      </c>
      <c r="O44" s="56" t="s">
        <v>307</v>
      </c>
      <c r="P44" s="56" t="s">
        <v>305</v>
      </c>
      <c r="Q44" s="56" t="s">
        <v>308</v>
      </c>
      <c r="R44" s="186" t="s">
        <v>309</v>
      </c>
      <c r="S44" s="164">
        <v>-226409</v>
      </c>
      <c r="T44" s="187" t="s">
        <v>309</v>
      </c>
      <c r="U44" s="164">
        <v>-226409</v>
      </c>
      <c r="V44" s="56" t="s">
        <v>305</v>
      </c>
      <c r="W44" s="56" t="s">
        <v>313</v>
      </c>
      <c r="X44" s="56" t="s">
        <v>305</v>
      </c>
      <c r="Y44" s="56" t="s">
        <v>305</v>
      </c>
      <c r="Z44" s="56" t="s">
        <v>317</v>
      </c>
      <c r="AA44" s="56" t="s">
        <v>305</v>
      </c>
      <c r="AB44" s="56" t="s">
        <v>305</v>
      </c>
      <c r="AC44" s="56" t="s">
        <v>305</v>
      </c>
      <c r="AD44" s="56" t="s">
        <v>305</v>
      </c>
      <c r="AE44" s="57">
        <v>45931</v>
      </c>
      <c r="AF44" s="57"/>
      <c r="AG44" s="56" t="s">
        <v>305</v>
      </c>
      <c r="AH44" s="74" t="e" cm="1">
        <f t="array" ref="AH44">VLOOKUP(M44,'Customer data Vlookup'!$B$3:$H$127,{2,3},0)</f>
        <v>#N/A</v>
      </c>
      <c r="AI44" s="74"/>
      <c r="AJ44" s="74"/>
      <c r="AK44" s="43"/>
      <c r="AL44" s="43"/>
      <c r="AO44" t="e">
        <f>VLOOKUP(M44,'Customer data'!F:P,11,0)</f>
        <v>#N/A</v>
      </c>
    </row>
    <row r="45" spans="1:41" hidden="1">
      <c r="A45" s="56" t="s">
        <v>298</v>
      </c>
      <c r="B45" s="56" t="s">
        <v>299</v>
      </c>
      <c r="C45" s="56" t="s">
        <v>300</v>
      </c>
      <c r="D45" s="56" t="s">
        <v>301</v>
      </c>
      <c r="E45" s="56" t="s">
        <v>302</v>
      </c>
      <c r="F45" s="56" t="s">
        <v>318</v>
      </c>
      <c r="G45" s="57">
        <v>45918</v>
      </c>
      <c r="H45" s="58">
        <v>1400001206</v>
      </c>
      <c r="I45" s="56" t="s">
        <v>304</v>
      </c>
      <c r="J45" s="57">
        <v>45918</v>
      </c>
      <c r="K45" s="57">
        <v>45918</v>
      </c>
      <c r="L45" s="56" t="s">
        <v>305</v>
      </c>
      <c r="M45" s="64" t="s">
        <v>305</v>
      </c>
      <c r="N45" s="56" t="s">
        <v>306</v>
      </c>
      <c r="O45" s="56" t="s">
        <v>307</v>
      </c>
      <c r="P45" s="56" t="s">
        <v>305</v>
      </c>
      <c r="Q45" s="56" t="s">
        <v>308</v>
      </c>
      <c r="R45" s="186" t="s">
        <v>309</v>
      </c>
      <c r="S45" s="164">
        <v>0</v>
      </c>
      <c r="T45" s="187" t="s">
        <v>309</v>
      </c>
      <c r="U45" s="164">
        <v>0</v>
      </c>
      <c r="V45" s="56" t="s">
        <v>305</v>
      </c>
      <c r="W45" s="56" t="s">
        <v>310</v>
      </c>
      <c r="X45" s="56" t="s">
        <v>305</v>
      </c>
      <c r="Y45" s="56" t="s">
        <v>305</v>
      </c>
      <c r="Z45" s="56" t="s">
        <v>311</v>
      </c>
      <c r="AA45" s="56" t="s">
        <v>305</v>
      </c>
      <c r="AB45" s="56" t="s">
        <v>305</v>
      </c>
      <c r="AC45" s="56" t="s">
        <v>305</v>
      </c>
      <c r="AD45" s="56" t="s">
        <v>305</v>
      </c>
      <c r="AE45" s="57">
        <v>45918</v>
      </c>
      <c r="AF45" s="57">
        <v>45918</v>
      </c>
      <c r="AG45" s="58">
        <v>1400001206</v>
      </c>
      <c r="AH45" s="74" t="e" cm="1">
        <f t="array" ref="AH45">VLOOKUP(M45,'Customer data Vlookup'!$B$3:$H$127,{2,3},0)</f>
        <v>#N/A</v>
      </c>
      <c r="AI45" s="74"/>
      <c r="AJ45" s="74"/>
      <c r="AK45" s="43"/>
      <c r="AL45" s="43"/>
      <c r="AO45" t="e">
        <f>VLOOKUP(M45,'Customer data'!F:P,11,0)</f>
        <v>#N/A</v>
      </c>
    </row>
    <row r="46" spans="1:41" hidden="1">
      <c r="A46" s="56" t="s">
        <v>326</v>
      </c>
      <c r="B46" s="56" t="s">
        <v>299</v>
      </c>
      <c r="C46" s="56" t="s">
        <v>300</v>
      </c>
      <c r="D46" s="56" t="s">
        <v>301</v>
      </c>
      <c r="E46" s="56" t="s">
        <v>302</v>
      </c>
      <c r="F46" s="56" t="s">
        <v>325</v>
      </c>
      <c r="G46" s="57">
        <v>45917</v>
      </c>
      <c r="H46" s="58">
        <v>1800013170</v>
      </c>
      <c r="I46" s="56" t="s">
        <v>417</v>
      </c>
      <c r="J46" s="57">
        <v>45917</v>
      </c>
      <c r="K46" s="57">
        <v>45923</v>
      </c>
      <c r="L46" s="56" t="s">
        <v>332</v>
      </c>
      <c r="M46" s="60">
        <v>256779417777</v>
      </c>
      <c r="N46" s="56" t="s">
        <v>306</v>
      </c>
      <c r="O46" s="56" t="s">
        <v>307</v>
      </c>
      <c r="P46" s="56" t="s">
        <v>305</v>
      </c>
      <c r="Q46" s="56" t="s">
        <v>337</v>
      </c>
      <c r="R46" s="186" t="s">
        <v>333</v>
      </c>
      <c r="S46" s="164">
        <v>50.34</v>
      </c>
      <c r="T46" s="187" t="s">
        <v>309</v>
      </c>
      <c r="U46" s="164">
        <v>4405.47</v>
      </c>
      <c r="V46" s="56" t="s">
        <v>342</v>
      </c>
      <c r="W46" s="56" t="s">
        <v>310</v>
      </c>
      <c r="X46" s="56" t="s">
        <v>305</v>
      </c>
      <c r="Y46" s="56" t="s">
        <v>420</v>
      </c>
      <c r="Z46" s="56" t="s">
        <v>311</v>
      </c>
      <c r="AA46" s="56" t="s">
        <v>237</v>
      </c>
      <c r="AB46" s="56" t="s">
        <v>305</v>
      </c>
      <c r="AC46" s="56" t="s">
        <v>305</v>
      </c>
      <c r="AD46" s="56" t="s">
        <v>305</v>
      </c>
      <c r="AE46" s="57">
        <v>45917</v>
      </c>
      <c r="AF46" s="57">
        <v>45946</v>
      </c>
      <c r="AG46" s="58">
        <v>1400001455</v>
      </c>
      <c r="AH46" s="74" cm="1">
        <f t="array" ref="AH46:AI46">VLOOKUP(M46,'Customer data Vlookup'!$B$3:$H$127,{2,3},0)</f>
        <v>4405.4713722000006</v>
      </c>
      <c r="AI46" s="74">
        <v>88</v>
      </c>
      <c r="AJ46" s="74">
        <f>AH46-AI46</f>
        <v>4317.4713722000006</v>
      </c>
      <c r="AK46" s="41">
        <f>U46-AH46</f>
        <v>-1.3722000003326684E-3</v>
      </c>
      <c r="AL46" s="62">
        <f>AI46/U46</f>
        <v>1.9975167235277959E-2</v>
      </c>
      <c r="AO46" t="str">
        <f>VLOOKUP(M46,'Customer data'!F:P,11,0)</f>
        <v>HDFCN52025100205721894</v>
      </c>
    </row>
    <row r="47" spans="1:41" hidden="1">
      <c r="A47" s="56" t="s">
        <v>298</v>
      </c>
      <c r="B47" s="56" t="s">
        <v>299</v>
      </c>
      <c r="C47" s="56" t="s">
        <v>300</v>
      </c>
      <c r="D47" s="56" t="s">
        <v>301</v>
      </c>
      <c r="E47" s="56" t="s">
        <v>302</v>
      </c>
      <c r="F47" s="56" t="s">
        <v>334</v>
      </c>
      <c r="G47" s="57">
        <v>45946</v>
      </c>
      <c r="H47" s="58">
        <v>1400001449</v>
      </c>
      <c r="I47" s="56" t="s">
        <v>319</v>
      </c>
      <c r="J47" s="57">
        <v>45912</v>
      </c>
      <c r="K47" s="57">
        <v>45946</v>
      </c>
      <c r="L47" s="56" t="s">
        <v>212</v>
      </c>
      <c r="M47" s="64" t="s">
        <v>305</v>
      </c>
      <c r="N47" s="56" t="s">
        <v>306</v>
      </c>
      <c r="O47" s="56" t="s">
        <v>307</v>
      </c>
      <c r="P47" s="56" t="s">
        <v>305</v>
      </c>
      <c r="Q47" s="56" t="s">
        <v>329</v>
      </c>
      <c r="R47" s="186" t="s">
        <v>309</v>
      </c>
      <c r="S47" s="164">
        <v>124189.23</v>
      </c>
      <c r="T47" s="187" t="s">
        <v>309</v>
      </c>
      <c r="U47" s="164">
        <v>124189.23</v>
      </c>
      <c r="V47" s="56" t="s">
        <v>305</v>
      </c>
      <c r="W47" s="56" t="s">
        <v>313</v>
      </c>
      <c r="X47" s="56" t="s">
        <v>305</v>
      </c>
      <c r="Y47" s="56" t="s">
        <v>305</v>
      </c>
      <c r="Z47" s="56" t="s">
        <v>317</v>
      </c>
      <c r="AA47" s="56" t="s">
        <v>305</v>
      </c>
      <c r="AB47" s="56" t="s">
        <v>305</v>
      </c>
      <c r="AC47" s="56" t="s">
        <v>305</v>
      </c>
      <c r="AD47" s="56" t="s">
        <v>305</v>
      </c>
      <c r="AE47" s="57">
        <v>45912</v>
      </c>
      <c r="AF47" s="57">
        <v>45946</v>
      </c>
      <c r="AG47" s="58">
        <v>1400001449</v>
      </c>
      <c r="AH47" s="74" t="e" cm="1">
        <f t="array" ref="AH47">VLOOKUP(M47,'Customer data Vlookup'!$B$3:$H$127,{2,3},0)</f>
        <v>#N/A</v>
      </c>
      <c r="AI47" s="74"/>
      <c r="AJ47" s="74"/>
      <c r="AK47" s="43"/>
      <c r="AL47" s="43"/>
      <c r="AO47" t="e">
        <f>VLOOKUP(M47,'Customer data'!F:P,11,0)</f>
        <v>#N/A</v>
      </c>
    </row>
    <row r="48" spans="1:41" hidden="1">
      <c r="A48" s="56" t="s">
        <v>298</v>
      </c>
      <c r="B48" s="56" t="s">
        <v>299</v>
      </c>
      <c r="C48" s="56" t="s">
        <v>300</v>
      </c>
      <c r="D48" s="56" t="s">
        <v>301</v>
      </c>
      <c r="E48" s="56" t="s">
        <v>302</v>
      </c>
      <c r="F48" s="56" t="s">
        <v>334</v>
      </c>
      <c r="G48" s="57">
        <v>45912</v>
      </c>
      <c r="H48" s="58">
        <v>1400001173</v>
      </c>
      <c r="I48" s="56" t="s">
        <v>319</v>
      </c>
      <c r="J48" s="57">
        <v>45912</v>
      </c>
      <c r="K48" s="57">
        <v>45912</v>
      </c>
      <c r="L48" s="56" t="s">
        <v>212</v>
      </c>
      <c r="M48" s="64" t="s">
        <v>305</v>
      </c>
      <c r="N48" s="56" t="s">
        <v>306</v>
      </c>
      <c r="O48" s="56" t="s">
        <v>307</v>
      </c>
      <c r="P48" s="56" t="s">
        <v>305</v>
      </c>
      <c r="Q48" s="56" t="s">
        <v>308</v>
      </c>
      <c r="R48" s="186" t="s">
        <v>309</v>
      </c>
      <c r="S48" s="164">
        <v>-124189.23</v>
      </c>
      <c r="T48" s="187" t="s">
        <v>309</v>
      </c>
      <c r="U48" s="164">
        <v>-124189.23</v>
      </c>
      <c r="V48" s="56" t="s">
        <v>305</v>
      </c>
      <c r="W48" s="56" t="s">
        <v>313</v>
      </c>
      <c r="X48" s="56" t="s">
        <v>305</v>
      </c>
      <c r="Y48" s="56" t="s">
        <v>305</v>
      </c>
      <c r="Z48" s="56" t="s">
        <v>317</v>
      </c>
      <c r="AA48" s="56" t="s">
        <v>305</v>
      </c>
      <c r="AB48" s="56" t="s">
        <v>305</v>
      </c>
      <c r="AC48" s="56" t="s">
        <v>305</v>
      </c>
      <c r="AD48" s="56" t="s">
        <v>305</v>
      </c>
      <c r="AE48" s="57">
        <v>45912</v>
      </c>
      <c r="AF48" s="57">
        <v>45946</v>
      </c>
      <c r="AG48" s="58">
        <v>1400001449</v>
      </c>
      <c r="AH48" s="74" t="e" cm="1">
        <f t="array" ref="AH48">VLOOKUP(M48,'Customer data Vlookup'!$B$3:$H$127,{2,3},0)</f>
        <v>#N/A</v>
      </c>
      <c r="AI48" s="74"/>
      <c r="AJ48" s="74"/>
      <c r="AK48" s="43"/>
      <c r="AL48" s="43"/>
      <c r="AO48" t="e">
        <f>VLOOKUP(M48,'Customer data'!F:P,11,0)</f>
        <v>#N/A</v>
      </c>
    </row>
    <row r="49" spans="1:41" hidden="1">
      <c r="A49" s="56" t="s">
        <v>298</v>
      </c>
      <c r="B49" s="56" t="s">
        <v>299</v>
      </c>
      <c r="C49" s="56" t="s">
        <v>300</v>
      </c>
      <c r="D49" s="56" t="s">
        <v>301</v>
      </c>
      <c r="E49" s="56" t="s">
        <v>302</v>
      </c>
      <c r="F49" s="56" t="s">
        <v>334</v>
      </c>
      <c r="G49" s="57">
        <v>45946</v>
      </c>
      <c r="H49" s="58">
        <v>1400001450</v>
      </c>
      <c r="I49" s="56" t="s">
        <v>319</v>
      </c>
      <c r="J49" s="57">
        <v>45908</v>
      </c>
      <c r="K49" s="57">
        <v>45946</v>
      </c>
      <c r="L49" s="56" t="s">
        <v>305</v>
      </c>
      <c r="M49" s="64" t="s">
        <v>305</v>
      </c>
      <c r="N49" s="56" t="s">
        <v>306</v>
      </c>
      <c r="O49" s="56" t="s">
        <v>307</v>
      </c>
      <c r="P49" s="56" t="s">
        <v>305</v>
      </c>
      <c r="Q49" s="56" t="s">
        <v>329</v>
      </c>
      <c r="R49" s="186" t="s">
        <v>309</v>
      </c>
      <c r="S49" s="164">
        <v>495157.4</v>
      </c>
      <c r="T49" s="187" t="s">
        <v>309</v>
      </c>
      <c r="U49" s="164">
        <v>495157.4</v>
      </c>
      <c r="V49" s="56" t="s">
        <v>305</v>
      </c>
      <c r="W49" s="56" t="s">
        <v>313</v>
      </c>
      <c r="X49" s="56" t="s">
        <v>305</v>
      </c>
      <c r="Y49" s="56" t="s">
        <v>305</v>
      </c>
      <c r="Z49" s="56" t="s">
        <v>317</v>
      </c>
      <c r="AA49" s="56" t="s">
        <v>305</v>
      </c>
      <c r="AB49" s="56" t="s">
        <v>305</v>
      </c>
      <c r="AC49" s="56" t="s">
        <v>305</v>
      </c>
      <c r="AD49" s="56" t="s">
        <v>305</v>
      </c>
      <c r="AE49" s="57">
        <v>45908</v>
      </c>
      <c r="AF49" s="57">
        <v>45946</v>
      </c>
      <c r="AG49" s="58">
        <v>1400001450</v>
      </c>
      <c r="AH49" s="74" t="e" cm="1">
        <f t="array" ref="AH49">VLOOKUP(M49,'Customer data Vlookup'!$B$3:$H$127,{2,3},0)</f>
        <v>#N/A</v>
      </c>
      <c r="AI49" s="74"/>
      <c r="AJ49" s="74"/>
      <c r="AK49" s="43"/>
      <c r="AL49" s="43"/>
      <c r="AO49" t="e">
        <f>VLOOKUP(M49,'Customer data'!F:P,11,0)</f>
        <v>#N/A</v>
      </c>
    </row>
    <row r="50" spans="1:41" hidden="1">
      <c r="A50" s="56" t="s">
        <v>298</v>
      </c>
      <c r="B50" s="56" t="s">
        <v>299</v>
      </c>
      <c r="C50" s="56" t="s">
        <v>300</v>
      </c>
      <c r="D50" s="56" t="s">
        <v>301</v>
      </c>
      <c r="E50" s="56" t="s">
        <v>302</v>
      </c>
      <c r="F50" s="56" t="s">
        <v>334</v>
      </c>
      <c r="G50" s="57">
        <v>45908</v>
      </c>
      <c r="H50" s="58">
        <v>1400001142</v>
      </c>
      <c r="I50" s="56" t="s">
        <v>319</v>
      </c>
      <c r="J50" s="57">
        <v>45908</v>
      </c>
      <c r="K50" s="57">
        <v>45908</v>
      </c>
      <c r="L50" s="56" t="s">
        <v>305</v>
      </c>
      <c r="M50" s="64" t="s">
        <v>305</v>
      </c>
      <c r="N50" s="56" t="s">
        <v>306</v>
      </c>
      <c r="O50" s="56" t="s">
        <v>307</v>
      </c>
      <c r="P50" s="56" t="s">
        <v>305</v>
      </c>
      <c r="Q50" s="56" t="s">
        <v>308</v>
      </c>
      <c r="R50" s="186" t="s">
        <v>309</v>
      </c>
      <c r="S50" s="164">
        <v>-495157.4</v>
      </c>
      <c r="T50" s="187" t="s">
        <v>309</v>
      </c>
      <c r="U50" s="164">
        <v>-495157.4</v>
      </c>
      <c r="V50" s="56" t="s">
        <v>305</v>
      </c>
      <c r="W50" s="56" t="s">
        <v>313</v>
      </c>
      <c r="X50" s="56" t="s">
        <v>305</v>
      </c>
      <c r="Y50" s="56" t="s">
        <v>305</v>
      </c>
      <c r="Z50" s="56" t="s">
        <v>317</v>
      </c>
      <c r="AA50" s="56" t="s">
        <v>305</v>
      </c>
      <c r="AB50" s="56" t="s">
        <v>305</v>
      </c>
      <c r="AC50" s="56" t="s">
        <v>305</v>
      </c>
      <c r="AD50" s="56" t="s">
        <v>305</v>
      </c>
      <c r="AE50" s="57">
        <v>45908</v>
      </c>
      <c r="AF50" s="57">
        <v>45946</v>
      </c>
      <c r="AG50" s="58">
        <v>1400001450</v>
      </c>
      <c r="AH50" s="74" t="e" cm="1">
        <f t="array" ref="AH50">VLOOKUP(M50,'Customer data Vlookup'!$B$3:$H$127,{2,3},0)</f>
        <v>#N/A</v>
      </c>
      <c r="AI50" s="74"/>
      <c r="AJ50" s="74"/>
      <c r="AK50" s="43"/>
      <c r="AL50" s="43"/>
      <c r="AO50" t="e">
        <f>VLOOKUP(M50,'Customer data'!F:P,11,0)</f>
        <v>#N/A</v>
      </c>
    </row>
    <row r="51" spans="1:41" hidden="1">
      <c r="A51" s="56" t="s">
        <v>298</v>
      </c>
      <c r="B51" s="56" t="s">
        <v>299</v>
      </c>
      <c r="C51" s="56" t="s">
        <v>300</v>
      </c>
      <c r="D51" s="56" t="s">
        <v>301</v>
      </c>
      <c r="E51" s="56" t="s">
        <v>302</v>
      </c>
      <c r="F51" s="56" t="s">
        <v>334</v>
      </c>
      <c r="G51" s="57">
        <v>45985</v>
      </c>
      <c r="H51" s="58">
        <v>1400001988</v>
      </c>
      <c r="I51" s="56" t="s">
        <v>319</v>
      </c>
      <c r="J51" s="57">
        <v>45908</v>
      </c>
      <c r="K51" s="57">
        <v>45985</v>
      </c>
      <c r="L51" s="56" t="s">
        <v>209</v>
      </c>
      <c r="M51" s="64" t="s">
        <v>305</v>
      </c>
      <c r="N51" s="56" t="s">
        <v>306</v>
      </c>
      <c r="O51" s="56" t="s">
        <v>307</v>
      </c>
      <c r="P51" s="56" t="s">
        <v>305</v>
      </c>
      <c r="Q51" s="56" t="s">
        <v>329</v>
      </c>
      <c r="R51" s="186" t="s">
        <v>309</v>
      </c>
      <c r="S51" s="164">
        <v>107117.71</v>
      </c>
      <c r="T51" s="187" t="s">
        <v>309</v>
      </c>
      <c r="U51" s="164">
        <v>107117.71</v>
      </c>
      <c r="V51" s="56" t="s">
        <v>305</v>
      </c>
      <c r="W51" s="56" t="s">
        <v>313</v>
      </c>
      <c r="X51" s="56" t="s">
        <v>305</v>
      </c>
      <c r="Y51" s="56" t="s">
        <v>305</v>
      </c>
      <c r="Z51" s="56" t="s">
        <v>317</v>
      </c>
      <c r="AA51" s="56" t="s">
        <v>305</v>
      </c>
      <c r="AB51" s="56" t="s">
        <v>305</v>
      </c>
      <c r="AC51" s="56" t="s">
        <v>305</v>
      </c>
      <c r="AD51" s="56" t="s">
        <v>305</v>
      </c>
      <c r="AE51" s="57">
        <v>45908</v>
      </c>
      <c r="AF51" s="57">
        <v>45985</v>
      </c>
      <c r="AG51" s="58">
        <v>1400001988</v>
      </c>
      <c r="AH51" s="74" t="e" cm="1">
        <f t="array" ref="AH51">VLOOKUP(M51,'Customer data Vlookup'!$B$3:$H$127,{2,3},0)</f>
        <v>#N/A</v>
      </c>
      <c r="AI51" s="74"/>
      <c r="AJ51" s="74"/>
      <c r="AK51" s="43"/>
      <c r="AL51" s="43"/>
      <c r="AO51" t="e">
        <f>VLOOKUP(M51,'Customer data'!F:P,11,0)</f>
        <v>#N/A</v>
      </c>
    </row>
    <row r="52" spans="1:41" hidden="1">
      <c r="A52" s="56" t="s">
        <v>298</v>
      </c>
      <c r="B52" s="56" t="s">
        <v>299</v>
      </c>
      <c r="C52" s="56" t="s">
        <v>300</v>
      </c>
      <c r="D52" s="56" t="s">
        <v>301</v>
      </c>
      <c r="E52" s="56" t="s">
        <v>302</v>
      </c>
      <c r="F52" s="56" t="s">
        <v>334</v>
      </c>
      <c r="G52" s="57">
        <v>45908</v>
      </c>
      <c r="H52" s="58">
        <v>1400001145</v>
      </c>
      <c r="I52" s="56" t="s">
        <v>319</v>
      </c>
      <c r="J52" s="57">
        <v>45908</v>
      </c>
      <c r="K52" s="57">
        <v>45908</v>
      </c>
      <c r="L52" s="56" t="s">
        <v>209</v>
      </c>
      <c r="M52" s="64" t="s">
        <v>305</v>
      </c>
      <c r="N52" s="56" t="s">
        <v>306</v>
      </c>
      <c r="O52" s="56" t="s">
        <v>307</v>
      </c>
      <c r="P52" s="56" t="s">
        <v>305</v>
      </c>
      <c r="Q52" s="56" t="s">
        <v>308</v>
      </c>
      <c r="R52" s="186" t="s">
        <v>309</v>
      </c>
      <c r="S52" s="164">
        <v>-107117.71</v>
      </c>
      <c r="T52" s="187" t="s">
        <v>309</v>
      </c>
      <c r="U52" s="164">
        <v>-107117.71</v>
      </c>
      <c r="V52" s="56" t="s">
        <v>305</v>
      </c>
      <c r="W52" s="56" t="s">
        <v>313</v>
      </c>
      <c r="X52" s="56" t="s">
        <v>305</v>
      </c>
      <c r="Y52" s="56" t="s">
        <v>305</v>
      </c>
      <c r="Z52" s="56" t="s">
        <v>317</v>
      </c>
      <c r="AA52" s="56" t="s">
        <v>305</v>
      </c>
      <c r="AB52" s="56" t="s">
        <v>305</v>
      </c>
      <c r="AC52" s="56" t="s">
        <v>305</v>
      </c>
      <c r="AD52" s="56" t="s">
        <v>305</v>
      </c>
      <c r="AE52" s="57">
        <v>45908</v>
      </c>
      <c r="AF52" s="57">
        <v>45985</v>
      </c>
      <c r="AG52" s="58">
        <v>1400001988</v>
      </c>
      <c r="AH52" s="74" t="e" cm="1">
        <f t="array" ref="AH52">VLOOKUP(M52,'Customer data Vlookup'!$B$3:$H$127,{2,3},0)</f>
        <v>#N/A</v>
      </c>
      <c r="AI52" s="74"/>
      <c r="AJ52" s="74"/>
      <c r="AK52" s="43"/>
      <c r="AL52" s="43"/>
      <c r="AO52" t="e">
        <f>VLOOKUP(M52,'Customer data'!F:P,11,0)</f>
        <v>#N/A</v>
      </c>
    </row>
    <row r="53" spans="1:41" hidden="1">
      <c r="A53" s="56" t="s">
        <v>298</v>
      </c>
      <c r="B53" s="56" t="s">
        <v>299</v>
      </c>
      <c r="C53" s="56" t="s">
        <v>300</v>
      </c>
      <c r="D53" s="56" t="s">
        <v>301</v>
      </c>
      <c r="E53" s="56" t="s">
        <v>302</v>
      </c>
      <c r="F53" s="56" t="s">
        <v>334</v>
      </c>
      <c r="G53" s="57">
        <v>45906</v>
      </c>
      <c r="H53" s="58">
        <v>1800012483</v>
      </c>
      <c r="I53" s="56" t="s">
        <v>417</v>
      </c>
      <c r="J53" s="57">
        <v>45906</v>
      </c>
      <c r="K53" s="57">
        <v>45909</v>
      </c>
      <c r="L53" s="56" t="s">
        <v>332</v>
      </c>
      <c r="M53" s="60">
        <v>256779417091</v>
      </c>
      <c r="N53" s="56" t="s">
        <v>306</v>
      </c>
      <c r="O53" s="56" t="s">
        <v>307</v>
      </c>
      <c r="P53" s="56" t="s">
        <v>305</v>
      </c>
      <c r="Q53" s="56" t="s">
        <v>337</v>
      </c>
      <c r="R53" s="186" t="s">
        <v>333</v>
      </c>
      <c r="S53" s="164">
        <v>1598.28</v>
      </c>
      <c r="T53" s="187" t="s">
        <v>309</v>
      </c>
      <c r="U53" s="164">
        <v>139872.4</v>
      </c>
      <c r="V53" s="56" t="s">
        <v>342</v>
      </c>
      <c r="W53" s="56" t="s">
        <v>310</v>
      </c>
      <c r="X53" s="56" t="s">
        <v>305</v>
      </c>
      <c r="Y53" s="56" t="s">
        <v>332</v>
      </c>
      <c r="Z53" s="56" t="s">
        <v>311</v>
      </c>
      <c r="AA53" s="56" t="s">
        <v>236</v>
      </c>
      <c r="AB53" s="56" t="s">
        <v>305</v>
      </c>
      <c r="AC53" s="56" t="s">
        <v>305</v>
      </c>
      <c r="AD53" s="56" t="s">
        <v>305</v>
      </c>
      <c r="AE53" s="57">
        <v>45906</v>
      </c>
      <c r="AF53" s="57">
        <v>45946</v>
      </c>
      <c r="AG53" s="58">
        <v>1400001455</v>
      </c>
      <c r="AH53" s="74" cm="1">
        <f t="array" ref="AH53:AI53">VLOOKUP(M53,'Customer data Vlookup'!$B$3:$H$127,{2,3},0)</f>
        <v>139872.4033524</v>
      </c>
      <c r="AI53" s="74">
        <v>13987</v>
      </c>
      <c r="AJ53" s="74">
        <f t="shared" ref="AJ53:AJ59" si="0">AH53-AI53</f>
        <v>125885.4033524</v>
      </c>
      <c r="AK53" s="41">
        <f t="shared" ref="AK53:AK59" si="1">U53-AH53</f>
        <v>-3.3524000027682632E-3</v>
      </c>
      <c r="AL53" s="62">
        <f t="shared" ref="AL53:AL59" si="2">AI53/U53</f>
        <v>9.9998284150411385E-2</v>
      </c>
      <c r="AO53" t="str">
        <f>VLOOKUP(M53,'Customer data'!F:P,11,0)</f>
        <v>HDFCN52025100205721894</v>
      </c>
    </row>
    <row r="54" spans="1:41" hidden="1">
      <c r="A54" s="56" t="s">
        <v>298</v>
      </c>
      <c r="B54" s="56" t="s">
        <v>299</v>
      </c>
      <c r="C54" s="56" t="s">
        <v>300</v>
      </c>
      <c r="D54" s="56" t="s">
        <v>301</v>
      </c>
      <c r="E54" s="56" t="s">
        <v>302</v>
      </c>
      <c r="F54" s="56" t="s">
        <v>334</v>
      </c>
      <c r="G54" s="57">
        <v>45904</v>
      </c>
      <c r="H54" s="58">
        <v>1800012439</v>
      </c>
      <c r="I54" s="56" t="s">
        <v>417</v>
      </c>
      <c r="J54" s="57">
        <v>45904</v>
      </c>
      <c r="K54" s="57">
        <v>45909</v>
      </c>
      <c r="L54" s="56" t="s">
        <v>332</v>
      </c>
      <c r="M54" s="60">
        <v>256779417139</v>
      </c>
      <c r="N54" s="56" t="s">
        <v>306</v>
      </c>
      <c r="O54" s="56" t="s">
        <v>307</v>
      </c>
      <c r="P54" s="56" t="s">
        <v>305</v>
      </c>
      <c r="Q54" s="56" t="s">
        <v>337</v>
      </c>
      <c r="R54" s="186" t="s">
        <v>333</v>
      </c>
      <c r="S54" s="164">
        <v>25.04</v>
      </c>
      <c r="T54" s="187" t="s">
        <v>309</v>
      </c>
      <c r="U54" s="164">
        <v>2191.36</v>
      </c>
      <c r="V54" s="56" t="s">
        <v>342</v>
      </c>
      <c r="W54" s="56" t="s">
        <v>310</v>
      </c>
      <c r="X54" s="56" t="s">
        <v>305</v>
      </c>
      <c r="Y54" s="56" t="s">
        <v>332</v>
      </c>
      <c r="Z54" s="56" t="s">
        <v>311</v>
      </c>
      <c r="AA54" s="56" t="s">
        <v>227</v>
      </c>
      <c r="AB54" s="56" t="s">
        <v>305</v>
      </c>
      <c r="AC54" s="56" t="s">
        <v>305</v>
      </c>
      <c r="AD54" s="56" t="s">
        <v>305</v>
      </c>
      <c r="AE54" s="57">
        <v>45904</v>
      </c>
      <c r="AF54" s="57">
        <v>45946</v>
      </c>
      <c r="AG54" s="58">
        <v>1400001455</v>
      </c>
      <c r="AH54" s="74" cm="1">
        <f t="array" ref="AH54:AI54">VLOOKUP(M54,'Customer data Vlookup'!$B$3:$H$127,{2,3},0)</f>
        <v>2191.3588231999997</v>
      </c>
      <c r="AI54" s="74">
        <v>44</v>
      </c>
      <c r="AJ54" s="74">
        <f t="shared" si="0"/>
        <v>2147.3588231999997</v>
      </c>
      <c r="AK54" s="41">
        <f t="shared" si="1"/>
        <v>1.176800000393996E-3</v>
      </c>
      <c r="AL54" s="62">
        <f t="shared" si="2"/>
        <v>2.0078855140186914E-2</v>
      </c>
      <c r="AO54" t="str">
        <f>VLOOKUP(M54,'Customer data'!F:P,11,0)</f>
        <v>HDFCN52025100205721894</v>
      </c>
    </row>
    <row r="55" spans="1:41" hidden="1">
      <c r="A55" s="56" t="s">
        <v>298</v>
      </c>
      <c r="B55" s="56" t="s">
        <v>299</v>
      </c>
      <c r="C55" s="56" t="s">
        <v>300</v>
      </c>
      <c r="D55" s="56" t="s">
        <v>301</v>
      </c>
      <c r="E55" s="56" t="s">
        <v>302</v>
      </c>
      <c r="F55" s="56" t="s">
        <v>334</v>
      </c>
      <c r="G55" s="57">
        <v>45904</v>
      </c>
      <c r="H55" s="58">
        <v>1800012440</v>
      </c>
      <c r="I55" s="56" t="s">
        <v>417</v>
      </c>
      <c r="J55" s="57">
        <v>45904</v>
      </c>
      <c r="K55" s="57">
        <v>45909</v>
      </c>
      <c r="L55" s="56" t="s">
        <v>332</v>
      </c>
      <c r="M55" s="60">
        <v>256779417140</v>
      </c>
      <c r="N55" s="56" t="s">
        <v>306</v>
      </c>
      <c r="O55" s="56" t="s">
        <v>307</v>
      </c>
      <c r="P55" s="56" t="s">
        <v>305</v>
      </c>
      <c r="Q55" s="56" t="s">
        <v>337</v>
      </c>
      <c r="R55" s="186" t="s">
        <v>333</v>
      </c>
      <c r="S55" s="164">
        <v>20.49</v>
      </c>
      <c r="T55" s="187" t="s">
        <v>309</v>
      </c>
      <c r="U55" s="164">
        <v>1793.17</v>
      </c>
      <c r="V55" s="56" t="s">
        <v>342</v>
      </c>
      <c r="W55" s="56" t="s">
        <v>310</v>
      </c>
      <c r="X55" s="56" t="s">
        <v>305</v>
      </c>
      <c r="Y55" s="56" t="s">
        <v>332</v>
      </c>
      <c r="Z55" s="56" t="s">
        <v>311</v>
      </c>
      <c r="AA55" s="56" t="s">
        <v>228</v>
      </c>
      <c r="AB55" s="56" t="s">
        <v>305</v>
      </c>
      <c r="AC55" s="56" t="s">
        <v>305</v>
      </c>
      <c r="AD55" s="56" t="s">
        <v>305</v>
      </c>
      <c r="AE55" s="57">
        <v>45904</v>
      </c>
      <c r="AF55" s="57">
        <v>45946</v>
      </c>
      <c r="AG55" s="58">
        <v>1400001455</v>
      </c>
      <c r="AH55" s="74" cm="1">
        <f t="array" ref="AH55:AI55">VLOOKUP(M55,'Customer data Vlookup'!$B$3:$H$127,{2,3},0)</f>
        <v>1793.1686216999999</v>
      </c>
      <c r="AI55" s="74">
        <v>36</v>
      </c>
      <c r="AJ55" s="74">
        <f t="shared" si="0"/>
        <v>1757.1686216999999</v>
      </c>
      <c r="AK55" s="41">
        <f t="shared" si="1"/>
        <v>1.3783000001694745E-3</v>
      </c>
      <c r="AL55" s="62">
        <f t="shared" si="2"/>
        <v>2.0076177941857159E-2</v>
      </c>
      <c r="AO55" t="str">
        <f>VLOOKUP(M55,'Customer data'!F:P,11,0)</f>
        <v>HDFCN52025100205721894</v>
      </c>
    </row>
    <row r="56" spans="1:41" hidden="1">
      <c r="A56" s="56" t="s">
        <v>298</v>
      </c>
      <c r="B56" s="56" t="s">
        <v>299</v>
      </c>
      <c r="C56" s="56" t="s">
        <v>300</v>
      </c>
      <c r="D56" s="56" t="s">
        <v>301</v>
      </c>
      <c r="E56" s="56" t="s">
        <v>302</v>
      </c>
      <c r="F56" s="56" t="s">
        <v>334</v>
      </c>
      <c r="G56" s="57">
        <v>45904</v>
      </c>
      <c r="H56" s="58">
        <v>1800012572</v>
      </c>
      <c r="I56" s="56" t="s">
        <v>417</v>
      </c>
      <c r="J56" s="57">
        <v>45904</v>
      </c>
      <c r="K56" s="57">
        <v>45909</v>
      </c>
      <c r="L56" s="56" t="s">
        <v>332</v>
      </c>
      <c r="M56" s="60">
        <v>256779417191</v>
      </c>
      <c r="N56" s="56" t="s">
        <v>306</v>
      </c>
      <c r="O56" s="56" t="s">
        <v>307</v>
      </c>
      <c r="P56" s="56" t="s">
        <v>305</v>
      </c>
      <c r="Q56" s="56" t="s">
        <v>337</v>
      </c>
      <c r="R56" s="186" t="s">
        <v>333</v>
      </c>
      <c r="S56" s="164">
        <v>8.8800000000000008</v>
      </c>
      <c r="T56" s="187" t="s">
        <v>309</v>
      </c>
      <c r="U56" s="164">
        <v>777.13</v>
      </c>
      <c r="V56" s="56" t="s">
        <v>342</v>
      </c>
      <c r="W56" s="56" t="s">
        <v>310</v>
      </c>
      <c r="X56" s="56" t="s">
        <v>305</v>
      </c>
      <c r="Y56" s="56" t="s">
        <v>332</v>
      </c>
      <c r="Z56" s="56" t="s">
        <v>311</v>
      </c>
      <c r="AA56" s="56" t="s">
        <v>229</v>
      </c>
      <c r="AB56" s="56" t="s">
        <v>305</v>
      </c>
      <c r="AC56" s="56" t="s">
        <v>305</v>
      </c>
      <c r="AD56" s="56" t="s">
        <v>305</v>
      </c>
      <c r="AE56" s="57">
        <v>45904</v>
      </c>
      <c r="AF56" s="57">
        <v>45946</v>
      </c>
      <c r="AG56" s="58">
        <v>1400001455</v>
      </c>
      <c r="AH56" s="74" cm="1">
        <f t="array" ref="AH56:AI56">VLOOKUP(M56,'Customer data Vlookup'!$B$3:$H$127,{2,3},0)</f>
        <v>777.12725040000009</v>
      </c>
      <c r="AI56" s="74">
        <v>16</v>
      </c>
      <c r="AJ56" s="74">
        <f t="shared" si="0"/>
        <v>761.12725040000009</v>
      </c>
      <c r="AK56" s="41">
        <f t="shared" si="1"/>
        <v>2.749599999901875E-3</v>
      </c>
      <c r="AL56" s="62">
        <f t="shared" si="2"/>
        <v>2.0588575913939752E-2</v>
      </c>
      <c r="AO56" t="str">
        <f>VLOOKUP(M56,'Customer data'!F:P,11,0)</f>
        <v>HDFCN52025100205721894</v>
      </c>
    </row>
    <row r="57" spans="1:41" hidden="1">
      <c r="A57" s="56" t="s">
        <v>298</v>
      </c>
      <c r="B57" s="56" t="s">
        <v>299</v>
      </c>
      <c r="C57" s="56" t="s">
        <v>300</v>
      </c>
      <c r="D57" s="56" t="s">
        <v>301</v>
      </c>
      <c r="E57" s="56" t="s">
        <v>302</v>
      </c>
      <c r="F57" s="56" t="s">
        <v>334</v>
      </c>
      <c r="G57" s="57">
        <v>45904</v>
      </c>
      <c r="H57" s="58">
        <v>1800012577</v>
      </c>
      <c r="I57" s="56" t="s">
        <v>417</v>
      </c>
      <c r="J57" s="57">
        <v>45904</v>
      </c>
      <c r="K57" s="57">
        <v>45909</v>
      </c>
      <c r="L57" s="56" t="s">
        <v>332</v>
      </c>
      <c r="M57" s="60">
        <v>256779417235</v>
      </c>
      <c r="N57" s="56" t="s">
        <v>306</v>
      </c>
      <c r="O57" s="56" t="s">
        <v>307</v>
      </c>
      <c r="P57" s="56" t="s">
        <v>305</v>
      </c>
      <c r="Q57" s="56" t="s">
        <v>337</v>
      </c>
      <c r="R57" s="186" t="s">
        <v>333</v>
      </c>
      <c r="S57" s="164">
        <v>412</v>
      </c>
      <c r="T57" s="187" t="s">
        <v>309</v>
      </c>
      <c r="U57" s="164">
        <v>36055.9</v>
      </c>
      <c r="V57" s="56" t="s">
        <v>342</v>
      </c>
      <c r="W57" s="56" t="s">
        <v>310</v>
      </c>
      <c r="X57" s="56" t="s">
        <v>305</v>
      </c>
      <c r="Y57" s="56" t="s">
        <v>332</v>
      </c>
      <c r="Z57" s="56" t="s">
        <v>311</v>
      </c>
      <c r="AA57" s="56" t="s">
        <v>230</v>
      </c>
      <c r="AB57" s="56" t="s">
        <v>305</v>
      </c>
      <c r="AC57" s="56" t="s">
        <v>305</v>
      </c>
      <c r="AD57" s="56" t="s">
        <v>305</v>
      </c>
      <c r="AE57" s="57">
        <v>45904</v>
      </c>
      <c r="AF57" s="57">
        <v>45946</v>
      </c>
      <c r="AG57" s="58">
        <v>1400001455</v>
      </c>
      <c r="AH57" s="74" cm="1">
        <f t="array" ref="AH57:AI57">VLOOKUP(M57,'Customer data Vlookup'!$B$3:$H$127,{2,3},0)</f>
        <v>36055.903960000003</v>
      </c>
      <c r="AI57" s="74">
        <v>721</v>
      </c>
      <c r="AJ57" s="74">
        <f t="shared" si="0"/>
        <v>35334.903960000003</v>
      </c>
      <c r="AK57" s="41">
        <f t="shared" si="1"/>
        <v>-3.9600000018253922E-3</v>
      </c>
      <c r="AL57" s="62">
        <f t="shared" si="2"/>
        <v>1.9996727303991855E-2</v>
      </c>
      <c r="AO57" t="str">
        <f>VLOOKUP(M57,'Customer data'!F:P,11,0)</f>
        <v>HDFCN52025100205721894</v>
      </c>
    </row>
    <row r="58" spans="1:41" hidden="1">
      <c r="A58" s="56" t="s">
        <v>298</v>
      </c>
      <c r="B58" s="56" t="s">
        <v>299</v>
      </c>
      <c r="C58" s="56" t="s">
        <v>300</v>
      </c>
      <c r="D58" s="56" t="s">
        <v>301</v>
      </c>
      <c r="E58" s="56" t="s">
        <v>302</v>
      </c>
      <c r="F58" s="56" t="s">
        <v>334</v>
      </c>
      <c r="G58" s="57">
        <v>45904</v>
      </c>
      <c r="H58" s="58">
        <v>1800012627</v>
      </c>
      <c r="I58" s="56" t="s">
        <v>417</v>
      </c>
      <c r="J58" s="57">
        <v>45904</v>
      </c>
      <c r="K58" s="57">
        <v>45909</v>
      </c>
      <c r="L58" s="56" t="s">
        <v>332</v>
      </c>
      <c r="M58" s="60">
        <v>256779417267</v>
      </c>
      <c r="N58" s="56" t="s">
        <v>306</v>
      </c>
      <c r="O58" s="56" t="s">
        <v>307</v>
      </c>
      <c r="P58" s="56" t="s">
        <v>305</v>
      </c>
      <c r="Q58" s="56" t="s">
        <v>337</v>
      </c>
      <c r="R58" s="186" t="s">
        <v>333</v>
      </c>
      <c r="S58" s="164">
        <v>164.68</v>
      </c>
      <c r="T58" s="187" t="s">
        <v>309</v>
      </c>
      <c r="U58" s="164">
        <v>14411.86</v>
      </c>
      <c r="V58" s="56" t="s">
        <v>342</v>
      </c>
      <c r="W58" s="56" t="s">
        <v>310</v>
      </c>
      <c r="X58" s="56" t="s">
        <v>305</v>
      </c>
      <c r="Y58" s="56" t="s">
        <v>332</v>
      </c>
      <c r="Z58" s="56" t="s">
        <v>311</v>
      </c>
      <c r="AA58" s="56" t="s">
        <v>427</v>
      </c>
      <c r="AB58" s="56" t="s">
        <v>305</v>
      </c>
      <c r="AC58" s="56" t="s">
        <v>305</v>
      </c>
      <c r="AD58" s="56" t="s">
        <v>305</v>
      </c>
      <c r="AE58" s="57">
        <v>45904</v>
      </c>
      <c r="AF58" s="57">
        <v>45946</v>
      </c>
      <c r="AG58" s="58">
        <v>1400001455</v>
      </c>
      <c r="AH58" s="74" cm="1">
        <f t="array" ref="AH58:AI58">VLOOKUP(M58,'Customer data Vlookup'!$B$3:$H$127,{2,3},0)</f>
        <v>14411.859864400001</v>
      </c>
      <c r="AI58" s="74">
        <v>288</v>
      </c>
      <c r="AJ58" s="74">
        <f t="shared" si="0"/>
        <v>14123.859864400001</v>
      </c>
      <c r="AK58" s="41">
        <f t="shared" si="1"/>
        <v>1.3559999933931977E-4</v>
      </c>
      <c r="AL58" s="62">
        <f t="shared" si="2"/>
        <v>1.998354133331853E-2</v>
      </c>
      <c r="AO58" t="str">
        <f>VLOOKUP(M58,'Customer data'!F:P,11,0)</f>
        <v>HDFCN52025100205721894</v>
      </c>
    </row>
    <row r="59" spans="1:41" hidden="1">
      <c r="A59" s="56" t="s">
        <v>298</v>
      </c>
      <c r="B59" s="56" t="s">
        <v>299</v>
      </c>
      <c r="C59" s="56" t="s">
        <v>300</v>
      </c>
      <c r="D59" s="56" t="s">
        <v>301</v>
      </c>
      <c r="E59" s="56" t="s">
        <v>302</v>
      </c>
      <c r="F59" s="56" t="s">
        <v>334</v>
      </c>
      <c r="G59" s="57">
        <v>45904</v>
      </c>
      <c r="H59" s="58">
        <v>1800012657</v>
      </c>
      <c r="I59" s="56" t="s">
        <v>417</v>
      </c>
      <c r="J59" s="57">
        <v>45904</v>
      </c>
      <c r="K59" s="57">
        <v>45909</v>
      </c>
      <c r="L59" s="56" t="s">
        <v>332</v>
      </c>
      <c r="M59" s="60">
        <v>256779417297</v>
      </c>
      <c r="N59" s="56" t="s">
        <v>306</v>
      </c>
      <c r="O59" s="56" t="s">
        <v>307</v>
      </c>
      <c r="P59" s="56" t="s">
        <v>305</v>
      </c>
      <c r="Q59" s="56" t="s">
        <v>337</v>
      </c>
      <c r="R59" s="186" t="s">
        <v>333</v>
      </c>
      <c r="S59" s="164">
        <v>137.68</v>
      </c>
      <c r="T59" s="187" t="s">
        <v>309</v>
      </c>
      <c r="U59" s="164">
        <v>12048.97</v>
      </c>
      <c r="V59" s="56" t="s">
        <v>342</v>
      </c>
      <c r="W59" s="56" t="s">
        <v>310</v>
      </c>
      <c r="X59" s="56" t="s">
        <v>305</v>
      </c>
      <c r="Y59" s="56" t="s">
        <v>428</v>
      </c>
      <c r="Z59" s="56" t="s">
        <v>311</v>
      </c>
      <c r="AA59" s="56" t="s">
        <v>429</v>
      </c>
      <c r="AB59" s="56" t="s">
        <v>305</v>
      </c>
      <c r="AC59" s="56" t="s">
        <v>305</v>
      </c>
      <c r="AD59" s="56" t="s">
        <v>305</v>
      </c>
      <c r="AE59" s="57">
        <v>45904</v>
      </c>
      <c r="AF59" s="57">
        <v>45946</v>
      </c>
      <c r="AG59" s="58">
        <v>1400001455</v>
      </c>
      <c r="AH59" s="74" cm="1">
        <f t="array" ref="AH59:AI59">VLOOKUP(M59,'Customer data Vlookup'!$B$3:$H$127,{2,3},0)</f>
        <v>12048.9729544</v>
      </c>
      <c r="AI59" s="74">
        <v>241</v>
      </c>
      <c r="AJ59" s="74">
        <f t="shared" si="0"/>
        <v>11807.9729544</v>
      </c>
      <c r="AK59" s="41">
        <f t="shared" si="1"/>
        <v>-2.9544000008172588E-3</v>
      </c>
      <c r="AL59" s="62">
        <f t="shared" si="2"/>
        <v>2.0001709689707919E-2</v>
      </c>
      <c r="AO59" t="str">
        <f>VLOOKUP(M59,'Customer data'!F:P,11,0)</f>
        <v>HDFCN52025100205721894</v>
      </c>
    </row>
    <row r="60" spans="1:41" hidden="1">
      <c r="A60" s="56" t="s">
        <v>298</v>
      </c>
      <c r="B60" s="56" t="s">
        <v>299</v>
      </c>
      <c r="C60" s="56" t="s">
        <v>300</v>
      </c>
      <c r="D60" s="56" t="s">
        <v>301</v>
      </c>
      <c r="E60" s="56" t="s">
        <v>302</v>
      </c>
      <c r="F60" s="56" t="s">
        <v>334</v>
      </c>
      <c r="G60" s="57">
        <v>45946</v>
      </c>
      <c r="H60" s="58">
        <v>1400001458</v>
      </c>
      <c r="I60" s="56" t="s">
        <v>319</v>
      </c>
      <c r="J60" s="57">
        <v>45890</v>
      </c>
      <c r="K60" s="57">
        <v>45946</v>
      </c>
      <c r="L60" s="56" t="s">
        <v>328</v>
      </c>
      <c r="M60" s="64" t="s">
        <v>305</v>
      </c>
      <c r="N60" s="56" t="s">
        <v>306</v>
      </c>
      <c r="O60" s="56" t="s">
        <v>307</v>
      </c>
      <c r="P60" s="56" t="s">
        <v>305</v>
      </c>
      <c r="Q60" s="56" t="s">
        <v>329</v>
      </c>
      <c r="R60" s="186" t="s">
        <v>309</v>
      </c>
      <c r="S60" s="164">
        <v>179293.83</v>
      </c>
      <c r="T60" s="187" t="s">
        <v>309</v>
      </c>
      <c r="U60" s="164">
        <v>179293.83</v>
      </c>
      <c r="V60" s="56" t="s">
        <v>305</v>
      </c>
      <c r="W60" s="56" t="s">
        <v>313</v>
      </c>
      <c r="X60" s="56" t="s">
        <v>305</v>
      </c>
      <c r="Y60" s="56" t="s">
        <v>305</v>
      </c>
      <c r="Z60" s="56" t="s">
        <v>317</v>
      </c>
      <c r="AA60" s="56" t="s">
        <v>305</v>
      </c>
      <c r="AB60" s="56" t="s">
        <v>305</v>
      </c>
      <c r="AC60" s="56" t="s">
        <v>305</v>
      </c>
      <c r="AD60" s="56" t="s">
        <v>305</v>
      </c>
      <c r="AE60" s="57">
        <v>45890</v>
      </c>
      <c r="AF60" s="57">
        <v>45946</v>
      </c>
      <c r="AG60" s="58">
        <v>1400001458</v>
      </c>
      <c r="AH60" s="74" t="e" cm="1">
        <f t="array" ref="AH60">VLOOKUP(M60,'Customer data Vlookup'!$B$3:$H$127,{2,3},0)</f>
        <v>#N/A</v>
      </c>
      <c r="AI60" s="74"/>
      <c r="AJ60" s="74"/>
      <c r="AK60" s="43"/>
      <c r="AL60" s="43"/>
      <c r="AO60" t="e">
        <f>VLOOKUP(M60,'Customer data'!F:P,11,0)</f>
        <v>#N/A</v>
      </c>
    </row>
    <row r="61" spans="1:41" hidden="1">
      <c r="A61" s="56" t="s">
        <v>298</v>
      </c>
      <c r="B61" s="56" t="s">
        <v>299</v>
      </c>
      <c r="C61" s="56" t="s">
        <v>300</v>
      </c>
      <c r="D61" s="56" t="s">
        <v>301</v>
      </c>
      <c r="E61" s="56" t="s">
        <v>302</v>
      </c>
      <c r="F61" s="56" t="s">
        <v>334</v>
      </c>
      <c r="G61" s="57">
        <v>45890</v>
      </c>
      <c r="H61" s="58">
        <v>1400000898</v>
      </c>
      <c r="I61" s="56" t="s">
        <v>319</v>
      </c>
      <c r="J61" s="57">
        <v>45890</v>
      </c>
      <c r="K61" s="57">
        <v>45890</v>
      </c>
      <c r="L61" s="56" t="s">
        <v>328</v>
      </c>
      <c r="M61" s="64" t="s">
        <v>305</v>
      </c>
      <c r="N61" s="56" t="s">
        <v>306</v>
      </c>
      <c r="O61" s="56" t="s">
        <v>307</v>
      </c>
      <c r="P61" s="56" t="s">
        <v>305</v>
      </c>
      <c r="Q61" s="56" t="s">
        <v>308</v>
      </c>
      <c r="R61" s="186" t="s">
        <v>309</v>
      </c>
      <c r="S61" s="164">
        <v>-179293.83</v>
      </c>
      <c r="T61" s="187" t="s">
        <v>309</v>
      </c>
      <c r="U61" s="164">
        <v>-179293.83</v>
      </c>
      <c r="V61" s="56" t="s">
        <v>305</v>
      </c>
      <c r="W61" s="56" t="s">
        <v>313</v>
      </c>
      <c r="X61" s="56" t="s">
        <v>305</v>
      </c>
      <c r="Y61" s="56" t="s">
        <v>305</v>
      </c>
      <c r="Z61" s="56" t="s">
        <v>317</v>
      </c>
      <c r="AA61" s="56" t="s">
        <v>305</v>
      </c>
      <c r="AB61" s="56" t="s">
        <v>305</v>
      </c>
      <c r="AC61" s="56" t="s">
        <v>305</v>
      </c>
      <c r="AD61" s="56" t="s">
        <v>305</v>
      </c>
      <c r="AE61" s="57">
        <v>45890</v>
      </c>
      <c r="AF61" s="57">
        <v>45946</v>
      </c>
      <c r="AG61" s="58">
        <v>1400001458</v>
      </c>
      <c r="AH61" s="74" t="e" cm="1">
        <f t="array" ref="AH61">VLOOKUP(M61,'Customer data Vlookup'!$B$3:$H$127,{2,3},0)</f>
        <v>#N/A</v>
      </c>
      <c r="AI61" s="74"/>
      <c r="AJ61" s="74"/>
      <c r="AK61" s="43"/>
      <c r="AL61" s="43"/>
      <c r="AO61" t="e">
        <f>VLOOKUP(M61,'Customer data'!F:P,11,0)</f>
        <v>#N/A</v>
      </c>
    </row>
    <row r="62" spans="1:41" hidden="1">
      <c r="A62" s="56" t="s">
        <v>298</v>
      </c>
      <c r="B62" s="56" t="s">
        <v>299</v>
      </c>
      <c r="C62" s="56" t="s">
        <v>300</v>
      </c>
      <c r="D62" s="56" t="s">
        <v>301</v>
      </c>
      <c r="E62" s="56" t="s">
        <v>302</v>
      </c>
      <c r="F62" s="56" t="s">
        <v>334</v>
      </c>
      <c r="G62" s="57">
        <v>45985</v>
      </c>
      <c r="H62" s="58">
        <v>1400001989</v>
      </c>
      <c r="I62" s="56" t="s">
        <v>319</v>
      </c>
      <c r="J62" s="57">
        <v>45890</v>
      </c>
      <c r="K62" s="57">
        <v>45985</v>
      </c>
      <c r="L62" s="56" t="s">
        <v>331</v>
      </c>
      <c r="M62" s="64" t="s">
        <v>305</v>
      </c>
      <c r="N62" s="56" t="s">
        <v>306</v>
      </c>
      <c r="O62" s="56" t="s">
        <v>307</v>
      </c>
      <c r="P62" s="56" t="s">
        <v>305</v>
      </c>
      <c r="Q62" s="56" t="s">
        <v>329</v>
      </c>
      <c r="R62" s="186" t="s">
        <v>309</v>
      </c>
      <c r="S62" s="164">
        <v>475086.94</v>
      </c>
      <c r="T62" s="187" t="s">
        <v>309</v>
      </c>
      <c r="U62" s="164">
        <v>475086.94</v>
      </c>
      <c r="V62" s="56" t="s">
        <v>305</v>
      </c>
      <c r="W62" s="56" t="s">
        <v>313</v>
      </c>
      <c r="X62" s="56" t="s">
        <v>305</v>
      </c>
      <c r="Y62" s="56" t="s">
        <v>305</v>
      </c>
      <c r="Z62" s="56" t="s">
        <v>317</v>
      </c>
      <c r="AA62" s="56" t="s">
        <v>305</v>
      </c>
      <c r="AB62" s="56" t="s">
        <v>305</v>
      </c>
      <c r="AC62" s="56" t="s">
        <v>305</v>
      </c>
      <c r="AD62" s="56" t="s">
        <v>305</v>
      </c>
      <c r="AE62" s="57">
        <v>45890</v>
      </c>
      <c r="AF62" s="57">
        <v>45985</v>
      </c>
      <c r="AG62" s="58">
        <v>1400001989</v>
      </c>
      <c r="AH62" s="74" t="e" cm="1">
        <f t="array" ref="AH62">VLOOKUP(M62,'Customer data Vlookup'!$B$3:$H$127,{2,3},0)</f>
        <v>#N/A</v>
      </c>
      <c r="AI62" s="74"/>
      <c r="AJ62" s="74"/>
      <c r="AK62" s="43"/>
      <c r="AL62" s="43"/>
      <c r="AO62" t="e">
        <f>VLOOKUP(M62,'Customer data'!F:P,11,0)</f>
        <v>#N/A</v>
      </c>
    </row>
    <row r="63" spans="1:41" hidden="1">
      <c r="A63" s="56" t="s">
        <v>298</v>
      </c>
      <c r="B63" s="56" t="s">
        <v>299</v>
      </c>
      <c r="C63" s="56" t="s">
        <v>300</v>
      </c>
      <c r="D63" s="56" t="s">
        <v>301</v>
      </c>
      <c r="E63" s="56" t="s">
        <v>302</v>
      </c>
      <c r="F63" s="56" t="s">
        <v>334</v>
      </c>
      <c r="G63" s="57">
        <v>45890</v>
      </c>
      <c r="H63" s="58">
        <v>1400000962</v>
      </c>
      <c r="I63" s="56" t="s">
        <v>319</v>
      </c>
      <c r="J63" s="57">
        <v>45890</v>
      </c>
      <c r="K63" s="57">
        <v>45890</v>
      </c>
      <c r="L63" s="56" t="s">
        <v>331</v>
      </c>
      <c r="M63" s="64" t="s">
        <v>305</v>
      </c>
      <c r="N63" s="56" t="s">
        <v>306</v>
      </c>
      <c r="O63" s="56" t="s">
        <v>307</v>
      </c>
      <c r="P63" s="56" t="s">
        <v>305</v>
      </c>
      <c r="Q63" s="56" t="s">
        <v>308</v>
      </c>
      <c r="R63" s="186" t="s">
        <v>309</v>
      </c>
      <c r="S63" s="164">
        <v>-475086.94</v>
      </c>
      <c r="T63" s="187" t="s">
        <v>309</v>
      </c>
      <c r="U63" s="164">
        <v>-475086.94</v>
      </c>
      <c r="V63" s="56" t="s">
        <v>305</v>
      </c>
      <c r="W63" s="56" t="s">
        <v>313</v>
      </c>
      <c r="X63" s="56" t="s">
        <v>305</v>
      </c>
      <c r="Y63" s="56" t="s">
        <v>305</v>
      </c>
      <c r="Z63" s="56" t="s">
        <v>317</v>
      </c>
      <c r="AA63" s="56" t="s">
        <v>305</v>
      </c>
      <c r="AB63" s="56" t="s">
        <v>305</v>
      </c>
      <c r="AC63" s="56" t="s">
        <v>305</v>
      </c>
      <c r="AD63" s="56" t="s">
        <v>305</v>
      </c>
      <c r="AE63" s="57">
        <v>45890</v>
      </c>
      <c r="AF63" s="57">
        <v>45985</v>
      </c>
      <c r="AG63" s="58">
        <v>1400001989</v>
      </c>
      <c r="AH63" s="74" t="e" cm="1">
        <f t="array" ref="AH63">VLOOKUP(M63,'Customer data Vlookup'!$B$3:$H$127,{2,3},0)</f>
        <v>#N/A</v>
      </c>
      <c r="AI63" s="74"/>
      <c r="AJ63" s="74"/>
      <c r="AK63" s="43"/>
      <c r="AL63" s="43"/>
      <c r="AO63" t="e">
        <f>VLOOKUP(M63,'Customer data'!F:P,11,0)</f>
        <v>#N/A</v>
      </c>
    </row>
    <row r="64" spans="1:41" hidden="1">
      <c r="A64" s="56" t="s">
        <v>298</v>
      </c>
      <c r="B64" s="56" t="s">
        <v>299</v>
      </c>
      <c r="C64" s="56" t="s">
        <v>300</v>
      </c>
      <c r="D64" s="56" t="s">
        <v>301</v>
      </c>
      <c r="E64" s="56" t="s">
        <v>302</v>
      </c>
      <c r="F64" s="56" t="s">
        <v>334</v>
      </c>
      <c r="G64" s="57">
        <v>45889</v>
      </c>
      <c r="H64" s="58">
        <v>1800012165</v>
      </c>
      <c r="I64" s="56" t="s">
        <v>417</v>
      </c>
      <c r="J64" s="57">
        <v>45889</v>
      </c>
      <c r="K64" s="57">
        <v>45891</v>
      </c>
      <c r="L64" s="56" t="s">
        <v>332</v>
      </c>
      <c r="M64" s="60">
        <v>256779416810</v>
      </c>
      <c r="N64" s="56" t="s">
        <v>306</v>
      </c>
      <c r="O64" s="56" t="s">
        <v>307</v>
      </c>
      <c r="P64" s="56" t="s">
        <v>305</v>
      </c>
      <c r="Q64" s="56" t="s">
        <v>337</v>
      </c>
      <c r="R64" s="186" t="s">
        <v>333</v>
      </c>
      <c r="S64" s="164">
        <v>20.57</v>
      </c>
      <c r="T64" s="187" t="s">
        <v>309</v>
      </c>
      <c r="U64" s="164">
        <v>1769.64</v>
      </c>
      <c r="V64" s="56" t="s">
        <v>342</v>
      </c>
      <c r="W64" s="56" t="s">
        <v>310</v>
      </c>
      <c r="X64" s="56" t="s">
        <v>305</v>
      </c>
      <c r="Y64" s="56" t="s">
        <v>332</v>
      </c>
      <c r="Z64" s="56" t="s">
        <v>311</v>
      </c>
      <c r="AA64" s="56" t="s">
        <v>222</v>
      </c>
      <c r="AB64" s="56" t="s">
        <v>305</v>
      </c>
      <c r="AC64" s="56" t="s">
        <v>305</v>
      </c>
      <c r="AD64" s="56" t="s">
        <v>305</v>
      </c>
      <c r="AE64" s="57">
        <v>45889</v>
      </c>
      <c r="AF64" s="57">
        <v>45946</v>
      </c>
      <c r="AG64" s="58">
        <v>1400001455</v>
      </c>
      <c r="AH64" s="74" cm="1">
        <f t="array" ref="AH64:AI64">VLOOKUP(M64,'Customer data Vlookup'!$B$3:$H$127,{2,3},0)</f>
        <v>1769.6395683999999</v>
      </c>
      <c r="AI64" s="74">
        <v>35</v>
      </c>
      <c r="AJ64" s="74">
        <f t="shared" ref="AJ64:AJ76" si="3">AH64-AI64</f>
        <v>1734.6395683999999</v>
      </c>
      <c r="AK64" s="41">
        <f t="shared" ref="AK64:AK76" si="4">U64-AH64</f>
        <v>4.3160000018360734E-4</v>
      </c>
      <c r="AL64" s="62">
        <f t="shared" ref="AL64:AL76" si="5">AI64/U64</f>
        <v>1.9778033950407992E-2</v>
      </c>
      <c r="AO64" t="str">
        <f>VLOOKUP(M64,'Customer data'!F:P,11,0)</f>
        <v>HDFCN52025100205721894</v>
      </c>
    </row>
    <row r="65" spans="1:41" hidden="1">
      <c r="A65" s="56" t="s">
        <v>298</v>
      </c>
      <c r="B65" s="56" t="s">
        <v>299</v>
      </c>
      <c r="C65" s="56" t="s">
        <v>300</v>
      </c>
      <c r="D65" s="56" t="s">
        <v>301</v>
      </c>
      <c r="E65" s="56" t="s">
        <v>302</v>
      </c>
      <c r="F65" s="56" t="s">
        <v>334</v>
      </c>
      <c r="G65" s="57">
        <v>45889</v>
      </c>
      <c r="H65" s="58">
        <v>1800012193</v>
      </c>
      <c r="I65" s="56" t="s">
        <v>417</v>
      </c>
      <c r="J65" s="57">
        <v>45889</v>
      </c>
      <c r="K65" s="57">
        <v>45891</v>
      </c>
      <c r="L65" s="56" t="s">
        <v>332</v>
      </c>
      <c r="M65" s="60">
        <v>256779416855</v>
      </c>
      <c r="N65" s="56" t="s">
        <v>306</v>
      </c>
      <c r="O65" s="56" t="s">
        <v>307</v>
      </c>
      <c r="P65" s="56" t="s">
        <v>305</v>
      </c>
      <c r="Q65" s="56" t="s">
        <v>337</v>
      </c>
      <c r="R65" s="186" t="s">
        <v>333</v>
      </c>
      <c r="S65" s="164">
        <v>137.68</v>
      </c>
      <c r="T65" s="187" t="s">
        <v>309</v>
      </c>
      <c r="U65" s="164">
        <v>11844.63</v>
      </c>
      <c r="V65" s="56" t="s">
        <v>342</v>
      </c>
      <c r="W65" s="56" t="s">
        <v>310</v>
      </c>
      <c r="X65" s="56" t="s">
        <v>305</v>
      </c>
      <c r="Y65" s="56" t="s">
        <v>332</v>
      </c>
      <c r="Z65" s="56" t="s">
        <v>311</v>
      </c>
      <c r="AA65" s="56" t="s">
        <v>513</v>
      </c>
      <c r="AB65" s="56" t="s">
        <v>305</v>
      </c>
      <c r="AC65" s="56" t="s">
        <v>305</v>
      </c>
      <c r="AD65" s="56" t="s">
        <v>305</v>
      </c>
      <c r="AE65" s="57">
        <v>45889</v>
      </c>
      <c r="AF65" s="57">
        <v>45946</v>
      </c>
      <c r="AG65" s="58">
        <v>1400001455</v>
      </c>
      <c r="AH65" s="74" cm="1">
        <f t="array" ref="AH65:AI65">VLOOKUP(M65,'Customer data Vlookup'!$B$3:$H$127,{2,3},0)</f>
        <v>8128.1257376000003</v>
      </c>
      <c r="AI65" s="74">
        <v>163</v>
      </c>
      <c r="AJ65" s="74">
        <f t="shared" si="3"/>
        <v>7965.1257376000003</v>
      </c>
      <c r="AK65" s="41">
        <f t="shared" si="4"/>
        <v>3716.5042623999989</v>
      </c>
      <c r="AL65" s="62">
        <f t="shared" si="5"/>
        <v>1.3761510490407891E-2</v>
      </c>
      <c r="AO65" t="str">
        <f>VLOOKUP(M65,'Customer data'!F:P,11,0)</f>
        <v>HDFCN52025100205721894</v>
      </c>
    </row>
    <row r="66" spans="1:41">
      <c r="A66" s="56" t="s">
        <v>298</v>
      </c>
      <c r="B66" s="56" t="s">
        <v>299</v>
      </c>
      <c r="C66" s="56" t="s">
        <v>300</v>
      </c>
      <c r="D66" s="56" t="s">
        <v>301</v>
      </c>
      <c r="E66" s="56" t="s">
        <v>302</v>
      </c>
      <c r="F66" s="56" t="s">
        <v>334</v>
      </c>
      <c r="G66" s="57">
        <v>45889</v>
      </c>
      <c r="H66" s="58">
        <v>1800012229</v>
      </c>
      <c r="I66" s="56" t="s">
        <v>417</v>
      </c>
      <c r="J66" s="57">
        <v>45889</v>
      </c>
      <c r="K66" s="57">
        <v>45891</v>
      </c>
      <c r="L66" s="56" t="s">
        <v>332</v>
      </c>
      <c r="M66" s="60">
        <v>256779416825</v>
      </c>
      <c r="N66" s="56" t="s">
        <v>306</v>
      </c>
      <c r="O66" s="56" t="s">
        <v>307</v>
      </c>
      <c r="P66" s="56" t="s">
        <v>305</v>
      </c>
      <c r="Q66" s="56" t="s">
        <v>337</v>
      </c>
      <c r="R66" s="186" t="s">
        <v>333</v>
      </c>
      <c r="S66" s="164">
        <v>3850</v>
      </c>
      <c r="T66" s="187" t="s">
        <v>309</v>
      </c>
      <c r="U66" s="164">
        <v>331215.96000000002</v>
      </c>
      <c r="V66" s="56" t="s">
        <v>342</v>
      </c>
      <c r="W66" s="56" t="s">
        <v>310</v>
      </c>
      <c r="X66" s="56" t="s">
        <v>305</v>
      </c>
      <c r="Y66" s="56" t="s">
        <v>332</v>
      </c>
      <c r="Z66" s="56" t="s">
        <v>311</v>
      </c>
      <c r="AA66" s="56" t="s">
        <v>512</v>
      </c>
      <c r="AB66" s="56" t="s">
        <v>305</v>
      </c>
      <c r="AC66" s="56" t="s">
        <v>305</v>
      </c>
      <c r="AD66" s="56" t="s">
        <v>305</v>
      </c>
      <c r="AE66" s="57">
        <v>45889</v>
      </c>
      <c r="AF66" s="57"/>
      <c r="AG66" s="56" t="s">
        <v>305</v>
      </c>
      <c r="AH66" s="74" cm="1">
        <f t="array" ref="AH66:AI66">VLOOKUP(M66,'Customer data Vlookup'!$B$3:$H$127,{2,3},0)</f>
        <v>331215.962</v>
      </c>
      <c r="AI66" s="74">
        <v>6624</v>
      </c>
      <c r="AJ66" s="74">
        <f t="shared" si="3"/>
        <v>324591.962</v>
      </c>
      <c r="AK66" s="41">
        <f t="shared" si="4"/>
        <v>-1.9999999785795808E-3</v>
      </c>
      <c r="AL66" s="62">
        <f t="shared" si="5"/>
        <v>1.9999036278324268E-2</v>
      </c>
      <c r="AO66" t="str">
        <f>VLOOKUP(M66,'Customer data'!F:P,11,0)</f>
        <v>HDFCN52025100308494407</v>
      </c>
    </row>
    <row r="67" spans="1:41" hidden="1">
      <c r="A67" s="56" t="s">
        <v>298</v>
      </c>
      <c r="B67" s="56" t="s">
        <v>299</v>
      </c>
      <c r="C67" s="56" t="s">
        <v>300</v>
      </c>
      <c r="D67" s="56" t="s">
        <v>301</v>
      </c>
      <c r="E67" s="56" t="s">
        <v>302</v>
      </c>
      <c r="F67" s="56" t="s">
        <v>334</v>
      </c>
      <c r="G67" s="57">
        <v>45888</v>
      </c>
      <c r="H67" s="58">
        <v>1800011930</v>
      </c>
      <c r="I67" s="56" t="s">
        <v>417</v>
      </c>
      <c r="J67" s="57">
        <v>45888</v>
      </c>
      <c r="K67" s="57">
        <v>45888</v>
      </c>
      <c r="L67" s="56" t="s">
        <v>332</v>
      </c>
      <c r="M67" s="60">
        <v>256779416579</v>
      </c>
      <c r="N67" s="56" t="s">
        <v>306</v>
      </c>
      <c r="O67" s="56" t="s">
        <v>307</v>
      </c>
      <c r="P67" s="56" t="s">
        <v>305</v>
      </c>
      <c r="Q67" s="56" t="s">
        <v>337</v>
      </c>
      <c r="R67" s="186" t="s">
        <v>333</v>
      </c>
      <c r="S67" s="164">
        <v>270</v>
      </c>
      <c r="T67" s="187" t="s">
        <v>309</v>
      </c>
      <c r="U67" s="164">
        <v>23228.13</v>
      </c>
      <c r="V67" s="56" t="s">
        <v>342</v>
      </c>
      <c r="W67" s="56" t="s">
        <v>310</v>
      </c>
      <c r="X67" s="56" t="s">
        <v>305</v>
      </c>
      <c r="Y67" s="56" t="s">
        <v>332</v>
      </c>
      <c r="Z67" s="56" t="s">
        <v>311</v>
      </c>
      <c r="AA67" s="56" t="s">
        <v>221</v>
      </c>
      <c r="AB67" s="56" t="s">
        <v>305</v>
      </c>
      <c r="AC67" s="56" t="s">
        <v>305</v>
      </c>
      <c r="AD67" s="56" t="s">
        <v>305</v>
      </c>
      <c r="AE67" s="57">
        <v>45888</v>
      </c>
      <c r="AF67" s="57">
        <v>45946</v>
      </c>
      <c r="AG67" s="58">
        <v>1400001452</v>
      </c>
      <c r="AH67" s="74" cm="1">
        <f t="array" ref="AH67:AI67">VLOOKUP(M67,'Customer data Vlookup'!$B$3:$H$127,{2,3},0)</f>
        <v>23228.132399999999</v>
      </c>
      <c r="AI67" s="74">
        <v>465</v>
      </c>
      <c r="AJ67" s="74">
        <f t="shared" si="3"/>
        <v>22763.132399999999</v>
      </c>
      <c r="AK67" s="41">
        <f t="shared" si="4"/>
        <v>-2.3999999975785613E-3</v>
      </c>
      <c r="AL67" s="62">
        <f t="shared" si="5"/>
        <v>2.0018830616153775E-2</v>
      </c>
      <c r="AO67" t="str">
        <f>VLOOKUP(M67,'Customer data'!F:P,11,0)</f>
        <v>HDFCN52025082227307462</v>
      </c>
    </row>
    <row r="68" spans="1:41" hidden="1">
      <c r="A68" s="56" t="s">
        <v>298</v>
      </c>
      <c r="B68" s="56" t="s">
        <v>299</v>
      </c>
      <c r="C68" s="56" t="s">
        <v>300</v>
      </c>
      <c r="D68" s="56" t="s">
        <v>301</v>
      </c>
      <c r="E68" s="56" t="s">
        <v>302</v>
      </c>
      <c r="F68" s="56" t="s">
        <v>334</v>
      </c>
      <c r="G68" s="57">
        <v>45877</v>
      </c>
      <c r="H68" s="58">
        <v>1800011587</v>
      </c>
      <c r="I68" s="56" t="s">
        <v>417</v>
      </c>
      <c r="J68" s="57">
        <v>45877</v>
      </c>
      <c r="K68" s="57">
        <v>45877</v>
      </c>
      <c r="L68" s="56" t="s">
        <v>332</v>
      </c>
      <c r="M68" s="60">
        <v>256779416437</v>
      </c>
      <c r="N68" s="56" t="s">
        <v>306</v>
      </c>
      <c r="O68" s="56" t="s">
        <v>307</v>
      </c>
      <c r="P68" s="56" t="s">
        <v>305</v>
      </c>
      <c r="Q68" s="56" t="s">
        <v>337</v>
      </c>
      <c r="R68" s="186" t="s">
        <v>333</v>
      </c>
      <c r="S68" s="164">
        <v>150.77000000000001</v>
      </c>
      <c r="T68" s="187" t="s">
        <v>309</v>
      </c>
      <c r="U68" s="164">
        <v>12970.76</v>
      </c>
      <c r="V68" s="56" t="s">
        <v>342</v>
      </c>
      <c r="W68" s="56" t="s">
        <v>310</v>
      </c>
      <c r="X68" s="56" t="s">
        <v>305</v>
      </c>
      <c r="Y68" s="56" t="s">
        <v>332</v>
      </c>
      <c r="Z68" s="56" t="s">
        <v>311</v>
      </c>
      <c r="AA68" s="56" t="s">
        <v>217</v>
      </c>
      <c r="AB68" s="56" t="s">
        <v>305</v>
      </c>
      <c r="AC68" s="56" t="s">
        <v>305</v>
      </c>
      <c r="AD68" s="56" t="s">
        <v>305</v>
      </c>
      <c r="AE68" s="57">
        <v>45877</v>
      </c>
      <c r="AF68" s="57">
        <v>45946</v>
      </c>
      <c r="AG68" s="58">
        <v>1400001452</v>
      </c>
      <c r="AH68" s="74" cm="1">
        <f t="array" ref="AH68:AI68">VLOOKUP(M68,'Customer data Vlookup'!$B$3:$H$127,{2,3},0)</f>
        <v>12970.761192400001</v>
      </c>
      <c r="AI68" s="74">
        <v>259</v>
      </c>
      <c r="AJ68" s="74">
        <f t="shared" si="3"/>
        <v>12711.761192400001</v>
      </c>
      <c r="AK68" s="41">
        <f t="shared" si="4"/>
        <v>-1.1924000009457814E-3</v>
      </c>
      <c r="AL68" s="62">
        <f t="shared" si="5"/>
        <v>1.9967989539548956E-2</v>
      </c>
      <c r="AO68" t="str">
        <f>VLOOKUP(M68,'Customer data'!F:P,11,0)</f>
        <v>HDFCN52025082227307462</v>
      </c>
    </row>
    <row r="69" spans="1:41" hidden="1">
      <c r="A69" s="56" t="s">
        <v>298</v>
      </c>
      <c r="B69" s="56" t="s">
        <v>299</v>
      </c>
      <c r="C69" s="56" t="s">
        <v>300</v>
      </c>
      <c r="D69" s="56" t="s">
        <v>301</v>
      </c>
      <c r="E69" s="56" t="s">
        <v>302</v>
      </c>
      <c r="F69" s="56" t="s">
        <v>334</v>
      </c>
      <c r="G69" s="57">
        <v>45877</v>
      </c>
      <c r="H69" s="58">
        <v>1800011600</v>
      </c>
      <c r="I69" s="56" t="s">
        <v>417</v>
      </c>
      <c r="J69" s="57">
        <v>45877</v>
      </c>
      <c r="K69" s="57">
        <v>45877</v>
      </c>
      <c r="L69" s="56" t="s">
        <v>332</v>
      </c>
      <c r="M69" s="60">
        <v>256779416450</v>
      </c>
      <c r="N69" s="56" t="s">
        <v>306</v>
      </c>
      <c r="O69" s="56" t="s">
        <v>307</v>
      </c>
      <c r="P69" s="56" t="s">
        <v>305</v>
      </c>
      <c r="Q69" s="56" t="s">
        <v>337</v>
      </c>
      <c r="R69" s="186" t="s">
        <v>333</v>
      </c>
      <c r="S69" s="164">
        <v>123.36</v>
      </c>
      <c r="T69" s="187" t="s">
        <v>309</v>
      </c>
      <c r="U69" s="164">
        <v>10612.68</v>
      </c>
      <c r="V69" s="56" t="s">
        <v>342</v>
      </c>
      <c r="W69" s="56" t="s">
        <v>310</v>
      </c>
      <c r="X69" s="56" t="s">
        <v>305</v>
      </c>
      <c r="Y69" s="56" t="s">
        <v>332</v>
      </c>
      <c r="Z69" s="56" t="s">
        <v>311</v>
      </c>
      <c r="AA69" s="56" t="s">
        <v>218</v>
      </c>
      <c r="AB69" s="56" t="s">
        <v>305</v>
      </c>
      <c r="AC69" s="56" t="s">
        <v>305</v>
      </c>
      <c r="AD69" s="56" t="s">
        <v>305</v>
      </c>
      <c r="AE69" s="57">
        <v>45877</v>
      </c>
      <c r="AF69" s="57">
        <v>45946</v>
      </c>
      <c r="AG69" s="58">
        <v>1400001452</v>
      </c>
      <c r="AH69" s="74" cm="1">
        <f t="array" ref="AH69:AI69">VLOOKUP(M69,'Customer data Vlookup'!$B$3:$H$127,{2,3},0)</f>
        <v>10612.675603199999</v>
      </c>
      <c r="AI69" s="74">
        <v>212</v>
      </c>
      <c r="AJ69" s="74">
        <f t="shared" si="3"/>
        <v>10400.675603199999</v>
      </c>
      <c r="AK69" s="41">
        <f t="shared" si="4"/>
        <v>4.3968000009044772E-3</v>
      </c>
      <c r="AL69" s="62">
        <f t="shared" si="5"/>
        <v>1.9976104056656754E-2</v>
      </c>
      <c r="AO69" t="str">
        <f>VLOOKUP(M69,'Customer data'!F:P,11,0)</f>
        <v>HDFCN52025082227307462</v>
      </c>
    </row>
    <row r="70" spans="1:41" hidden="1">
      <c r="A70" s="56" t="s">
        <v>298</v>
      </c>
      <c r="B70" s="56" t="s">
        <v>299</v>
      </c>
      <c r="C70" s="56" t="s">
        <v>300</v>
      </c>
      <c r="D70" s="56" t="s">
        <v>301</v>
      </c>
      <c r="E70" s="56" t="s">
        <v>302</v>
      </c>
      <c r="F70" s="56" t="s">
        <v>334</v>
      </c>
      <c r="G70" s="57">
        <v>45877</v>
      </c>
      <c r="H70" s="58">
        <v>1800011763</v>
      </c>
      <c r="I70" s="56" t="s">
        <v>417</v>
      </c>
      <c r="J70" s="57">
        <v>45877</v>
      </c>
      <c r="K70" s="57">
        <v>45877</v>
      </c>
      <c r="L70" s="56" t="s">
        <v>332</v>
      </c>
      <c r="M70" s="60">
        <v>256779416154</v>
      </c>
      <c r="N70" s="56" t="s">
        <v>306</v>
      </c>
      <c r="O70" s="56" t="s">
        <v>307</v>
      </c>
      <c r="P70" s="56" t="s">
        <v>305</v>
      </c>
      <c r="Q70" s="56" t="s">
        <v>337</v>
      </c>
      <c r="R70" s="186" t="s">
        <v>333</v>
      </c>
      <c r="S70" s="164">
        <v>1143.6099999999999</v>
      </c>
      <c r="T70" s="187" t="s">
        <v>309</v>
      </c>
      <c r="U70" s="164">
        <v>98384.91</v>
      </c>
      <c r="V70" s="56" t="s">
        <v>342</v>
      </c>
      <c r="W70" s="56" t="s">
        <v>310</v>
      </c>
      <c r="X70" s="56" t="s">
        <v>305</v>
      </c>
      <c r="Y70" s="56" t="s">
        <v>332</v>
      </c>
      <c r="Z70" s="56" t="s">
        <v>311</v>
      </c>
      <c r="AA70" s="56" t="s">
        <v>210</v>
      </c>
      <c r="AB70" s="56" t="s">
        <v>305</v>
      </c>
      <c r="AC70" s="56" t="s">
        <v>305</v>
      </c>
      <c r="AD70" s="56" t="s">
        <v>305</v>
      </c>
      <c r="AE70" s="57">
        <v>45877</v>
      </c>
      <c r="AF70" s="57">
        <v>45946</v>
      </c>
      <c r="AG70" s="58">
        <v>1400001452</v>
      </c>
      <c r="AH70" s="74" cm="1">
        <f t="array" ref="AH70:AI70">VLOOKUP(M70,'Customer data Vlookup'!$B$3:$H$127,{2,3},0)</f>
        <v>98384.905533199999</v>
      </c>
      <c r="AI70" s="74">
        <v>1967</v>
      </c>
      <c r="AJ70" s="74">
        <f t="shared" si="3"/>
        <v>96417.905533199999</v>
      </c>
      <c r="AK70" s="41">
        <f t="shared" si="4"/>
        <v>4.4668000045930967E-3</v>
      </c>
      <c r="AL70" s="62">
        <f t="shared" si="5"/>
        <v>1.9992903383252575E-2</v>
      </c>
      <c r="AO70" t="str">
        <f>VLOOKUP(M70,'Customer data'!F:P,11,0)</f>
        <v>HDFCN52025082227307462</v>
      </c>
    </row>
    <row r="71" spans="1:41" hidden="1">
      <c r="A71" s="56" t="s">
        <v>298</v>
      </c>
      <c r="B71" s="56" t="s">
        <v>299</v>
      </c>
      <c r="C71" s="56" t="s">
        <v>300</v>
      </c>
      <c r="D71" s="56" t="s">
        <v>301</v>
      </c>
      <c r="E71" s="56" t="s">
        <v>302</v>
      </c>
      <c r="F71" s="56" t="s">
        <v>334</v>
      </c>
      <c r="G71" s="57">
        <v>45877</v>
      </c>
      <c r="H71" s="58">
        <v>1800011764</v>
      </c>
      <c r="I71" s="56" t="s">
        <v>417</v>
      </c>
      <c r="J71" s="57">
        <v>45877</v>
      </c>
      <c r="K71" s="57">
        <v>45877</v>
      </c>
      <c r="L71" s="56" t="s">
        <v>332</v>
      </c>
      <c r="M71" s="60">
        <v>256779416155</v>
      </c>
      <c r="N71" s="56" t="s">
        <v>306</v>
      </c>
      <c r="O71" s="56" t="s">
        <v>307</v>
      </c>
      <c r="P71" s="56" t="s">
        <v>305</v>
      </c>
      <c r="Q71" s="56" t="s">
        <v>337</v>
      </c>
      <c r="R71" s="186" t="s">
        <v>333</v>
      </c>
      <c r="S71" s="164">
        <v>3500</v>
      </c>
      <c r="T71" s="187" t="s">
        <v>309</v>
      </c>
      <c r="U71" s="164">
        <v>301105.42</v>
      </c>
      <c r="V71" s="56" t="s">
        <v>342</v>
      </c>
      <c r="W71" s="56" t="s">
        <v>310</v>
      </c>
      <c r="X71" s="56" t="s">
        <v>305</v>
      </c>
      <c r="Y71" s="56" t="s">
        <v>332</v>
      </c>
      <c r="Z71" s="56" t="s">
        <v>311</v>
      </c>
      <c r="AA71" s="56" t="s">
        <v>214</v>
      </c>
      <c r="AB71" s="56" t="s">
        <v>305</v>
      </c>
      <c r="AC71" s="56" t="s">
        <v>305</v>
      </c>
      <c r="AD71" s="56" t="s">
        <v>305</v>
      </c>
      <c r="AE71" s="57">
        <v>45877</v>
      </c>
      <c r="AF71" s="57">
        <v>45946</v>
      </c>
      <c r="AG71" s="58">
        <v>1400001452</v>
      </c>
      <c r="AH71" s="74" cm="1">
        <f t="array" ref="AH71:AI71">VLOOKUP(M71,'Customer data Vlookup'!$B$3:$H$127,{2,3},0)</f>
        <v>301105.42</v>
      </c>
      <c r="AI71" s="74">
        <v>6022</v>
      </c>
      <c r="AJ71" s="74">
        <f t="shared" si="3"/>
        <v>295083.42</v>
      </c>
      <c r="AK71" s="41">
        <f t="shared" si="4"/>
        <v>0</v>
      </c>
      <c r="AL71" s="62">
        <f t="shared" si="5"/>
        <v>1.9999639993195741E-2</v>
      </c>
      <c r="AO71" t="str">
        <f>VLOOKUP(M71,'Customer data'!F:P,11,0)</f>
        <v>HDFCN52025082227307462</v>
      </c>
    </row>
    <row r="72" spans="1:41" hidden="1">
      <c r="A72" s="56" t="s">
        <v>298</v>
      </c>
      <c r="B72" s="56" t="s">
        <v>299</v>
      </c>
      <c r="C72" s="56" t="s">
        <v>300</v>
      </c>
      <c r="D72" s="56" t="s">
        <v>301</v>
      </c>
      <c r="E72" s="56" t="s">
        <v>302</v>
      </c>
      <c r="F72" s="56" t="s">
        <v>334</v>
      </c>
      <c r="G72" s="57">
        <v>45877</v>
      </c>
      <c r="H72" s="58">
        <v>1800011675</v>
      </c>
      <c r="I72" s="56" t="s">
        <v>417</v>
      </c>
      <c r="J72" s="57">
        <v>45877</v>
      </c>
      <c r="K72" s="57">
        <v>45877</v>
      </c>
      <c r="L72" s="56" t="s">
        <v>332</v>
      </c>
      <c r="M72" s="60">
        <v>256779416193</v>
      </c>
      <c r="N72" s="56" t="s">
        <v>306</v>
      </c>
      <c r="O72" s="56" t="s">
        <v>307</v>
      </c>
      <c r="P72" s="56" t="s">
        <v>305</v>
      </c>
      <c r="Q72" s="56" t="s">
        <v>337</v>
      </c>
      <c r="R72" s="186" t="s">
        <v>333</v>
      </c>
      <c r="S72" s="164">
        <v>1624.74</v>
      </c>
      <c r="T72" s="187" t="s">
        <v>309</v>
      </c>
      <c r="U72" s="164">
        <v>139776.57999999999</v>
      </c>
      <c r="V72" s="56" t="s">
        <v>342</v>
      </c>
      <c r="W72" s="56" t="s">
        <v>310</v>
      </c>
      <c r="X72" s="56" t="s">
        <v>305</v>
      </c>
      <c r="Y72" s="56" t="s">
        <v>332</v>
      </c>
      <c r="Z72" s="56" t="s">
        <v>311</v>
      </c>
      <c r="AA72" s="56" t="s">
        <v>215</v>
      </c>
      <c r="AB72" s="56" t="s">
        <v>305</v>
      </c>
      <c r="AC72" s="56" t="s">
        <v>305</v>
      </c>
      <c r="AD72" s="56" t="s">
        <v>305</v>
      </c>
      <c r="AE72" s="57">
        <v>45877</v>
      </c>
      <c r="AF72" s="57">
        <v>45946</v>
      </c>
      <c r="AG72" s="58">
        <v>1400001453</v>
      </c>
      <c r="AH72" s="74" cm="1">
        <f t="array" ref="AH72:AI72">VLOOKUP(M72,'Customer data Vlookup'!$B$3:$H$127,{2,3},0)</f>
        <v>139776.57716879999</v>
      </c>
      <c r="AI72" s="74">
        <v>2796</v>
      </c>
      <c r="AJ72" s="74">
        <f t="shared" si="3"/>
        <v>136980.57716879999</v>
      </c>
      <c r="AK72" s="41">
        <f t="shared" si="4"/>
        <v>2.8311999922152609E-3</v>
      </c>
      <c r="AL72" s="62">
        <f t="shared" si="5"/>
        <v>2.0003351062102107E-2</v>
      </c>
      <c r="AO72" t="str">
        <f>VLOOKUP(M72,'Customer data'!F:P,11,0)</f>
        <v>HDFCN52025082227307462</v>
      </c>
    </row>
    <row r="73" spans="1:41" hidden="1">
      <c r="A73" s="56" t="s">
        <v>298</v>
      </c>
      <c r="B73" s="56" t="s">
        <v>299</v>
      </c>
      <c r="C73" s="56" t="s">
        <v>300</v>
      </c>
      <c r="D73" s="56" t="s">
        <v>301</v>
      </c>
      <c r="E73" s="56" t="s">
        <v>302</v>
      </c>
      <c r="F73" s="56" t="s">
        <v>334</v>
      </c>
      <c r="G73" s="57">
        <v>45877</v>
      </c>
      <c r="H73" s="58">
        <v>1800011663</v>
      </c>
      <c r="I73" s="56" t="s">
        <v>417</v>
      </c>
      <c r="J73" s="57">
        <v>45877</v>
      </c>
      <c r="K73" s="57">
        <v>45877</v>
      </c>
      <c r="L73" s="56" t="s">
        <v>332</v>
      </c>
      <c r="M73" s="60">
        <v>256779416093</v>
      </c>
      <c r="N73" s="56" t="s">
        <v>306</v>
      </c>
      <c r="O73" s="56" t="s">
        <v>307</v>
      </c>
      <c r="P73" s="56" t="s">
        <v>305</v>
      </c>
      <c r="Q73" s="56" t="s">
        <v>337</v>
      </c>
      <c r="R73" s="186" t="s">
        <v>333</v>
      </c>
      <c r="S73" s="164">
        <v>4902.53</v>
      </c>
      <c r="T73" s="187" t="s">
        <v>309</v>
      </c>
      <c r="U73" s="164">
        <v>421765.24</v>
      </c>
      <c r="V73" s="56" t="s">
        <v>342</v>
      </c>
      <c r="W73" s="56" t="s">
        <v>310</v>
      </c>
      <c r="X73" s="56" t="s">
        <v>305</v>
      </c>
      <c r="Y73" s="56" t="s">
        <v>332</v>
      </c>
      <c r="Z73" s="56" t="s">
        <v>311</v>
      </c>
      <c r="AA73" s="56" t="s">
        <v>204</v>
      </c>
      <c r="AB73" s="56" t="s">
        <v>305</v>
      </c>
      <c r="AC73" s="56" t="s">
        <v>305</v>
      </c>
      <c r="AD73" s="56" t="s">
        <v>305</v>
      </c>
      <c r="AE73" s="57">
        <v>45877</v>
      </c>
      <c r="AF73" s="57">
        <v>45946</v>
      </c>
      <c r="AG73" s="58">
        <v>1400001455</v>
      </c>
      <c r="AH73" s="74" cm="1">
        <f t="array" ref="AH73:AI73">VLOOKUP(M73,'Customer data Vlookup'!$B$3:$H$127,{2,3},0)</f>
        <v>421765.24420359998</v>
      </c>
      <c r="AI73" s="74">
        <v>42177</v>
      </c>
      <c r="AJ73" s="74">
        <f t="shared" si="3"/>
        <v>379588.24420359998</v>
      </c>
      <c r="AK73" s="41">
        <f t="shared" si="4"/>
        <v>-4.203599994070828E-3</v>
      </c>
      <c r="AL73" s="62">
        <f t="shared" si="5"/>
        <v>0.10000112858992363</v>
      </c>
      <c r="AO73" t="str">
        <f>VLOOKUP(M73,'Customer data'!F:P,11,0)</f>
        <v>HDFCN52025100205721894</v>
      </c>
    </row>
    <row r="74" spans="1:41" hidden="1">
      <c r="A74" s="56" t="s">
        <v>298</v>
      </c>
      <c r="B74" s="56" t="s">
        <v>299</v>
      </c>
      <c r="C74" s="56" t="s">
        <v>300</v>
      </c>
      <c r="D74" s="56" t="s">
        <v>301</v>
      </c>
      <c r="E74" s="56" t="s">
        <v>302</v>
      </c>
      <c r="F74" s="56" t="s">
        <v>334</v>
      </c>
      <c r="G74" s="57">
        <v>45877</v>
      </c>
      <c r="H74" s="58">
        <v>1800011821</v>
      </c>
      <c r="I74" s="56" t="s">
        <v>417</v>
      </c>
      <c r="J74" s="57">
        <v>45877</v>
      </c>
      <c r="K74" s="57">
        <v>45877</v>
      </c>
      <c r="L74" s="56" t="s">
        <v>332</v>
      </c>
      <c r="M74" s="60">
        <v>256779416130</v>
      </c>
      <c r="N74" s="56" t="s">
        <v>306</v>
      </c>
      <c r="O74" s="56" t="s">
        <v>307</v>
      </c>
      <c r="P74" s="56" t="s">
        <v>305</v>
      </c>
      <c r="Q74" s="56" t="s">
        <v>337</v>
      </c>
      <c r="R74" s="186" t="s">
        <v>333</v>
      </c>
      <c r="S74" s="164">
        <v>323.47000000000003</v>
      </c>
      <c r="T74" s="187" t="s">
        <v>309</v>
      </c>
      <c r="U74" s="164">
        <v>27828.16</v>
      </c>
      <c r="V74" s="56" t="s">
        <v>342</v>
      </c>
      <c r="W74" s="56" t="s">
        <v>310</v>
      </c>
      <c r="X74" s="56" t="s">
        <v>305</v>
      </c>
      <c r="Y74" s="56" t="s">
        <v>332</v>
      </c>
      <c r="Z74" s="56" t="s">
        <v>311</v>
      </c>
      <c r="AA74" s="56" t="s">
        <v>208</v>
      </c>
      <c r="AB74" s="56" t="s">
        <v>305</v>
      </c>
      <c r="AC74" s="56" t="s">
        <v>305</v>
      </c>
      <c r="AD74" s="56" t="s">
        <v>305</v>
      </c>
      <c r="AE74" s="57">
        <v>45877</v>
      </c>
      <c r="AF74" s="57">
        <v>45979</v>
      </c>
      <c r="AG74" s="58">
        <v>1400001956</v>
      </c>
      <c r="AH74" s="74" cm="1">
        <f t="array" ref="AH74:AI74">VLOOKUP(M74,'Customer data Vlookup'!$B$3:$H$127,{2,3},0)</f>
        <v>27828.162916400001</v>
      </c>
      <c r="AI74" s="74">
        <v>557</v>
      </c>
      <c r="AJ74" s="74">
        <f t="shared" si="3"/>
        <v>27271.162916400001</v>
      </c>
      <c r="AK74" s="41">
        <f t="shared" si="4"/>
        <v>-2.9164000006858259E-3</v>
      </c>
      <c r="AL74" s="62">
        <f t="shared" si="5"/>
        <v>2.0015696330623368E-2</v>
      </c>
      <c r="AO74" t="str">
        <f>VLOOKUP(M74,'Customer data'!F:P,11,0)</f>
        <v>HDFCN52025082733046460</v>
      </c>
    </row>
    <row r="75" spans="1:41" hidden="1">
      <c r="A75" s="56" t="s">
        <v>298</v>
      </c>
      <c r="B75" s="56" t="s">
        <v>299</v>
      </c>
      <c r="C75" s="56" t="s">
        <v>300</v>
      </c>
      <c r="D75" s="56" t="s">
        <v>301</v>
      </c>
      <c r="E75" s="56" t="s">
        <v>302</v>
      </c>
      <c r="F75" s="56" t="s">
        <v>334</v>
      </c>
      <c r="G75" s="57">
        <v>45877</v>
      </c>
      <c r="H75" s="58">
        <v>1800011849</v>
      </c>
      <c r="I75" s="56" t="s">
        <v>417</v>
      </c>
      <c r="J75" s="57">
        <v>45877</v>
      </c>
      <c r="K75" s="57">
        <v>45877</v>
      </c>
      <c r="L75" s="56" t="s">
        <v>332</v>
      </c>
      <c r="M75" s="60">
        <v>256779416500</v>
      </c>
      <c r="N75" s="56" t="s">
        <v>306</v>
      </c>
      <c r="O75" s="56" t="s">
        <v>307</v>
      </c>
      <c r="P75" s="56" t="s">
        <v>305</v>
      </c>
      <c r="Q75" s="56" t="s">
        <v>337</v>
      </c>
      <c r="R75" s="186" t="s">
        <v>333</v>
      </c>
      <c r="S75" s="164">
        <v>947.07</v>
      </c>
      <c r="T75" s="187" t="s">
        <v>309</v>
      </c>
      <c r="U75" s="164">
        <v>81476.55</v>
      </c>
      <c r="V75" s="56" t="s">
        <v>342</v>
      </c>
      <c r="W75" s="56" t="s">
        <v>310</v>
      </c>
      <c r="X75" s="56" t="s">
        <v>305</v>
      </c>
      <c r="Y75" s="56" t="s">
        <v>332</v>
      </c>
      <c r="Z75" s="56" t="s">
        <v>311</v>
      </c>
      <c r="AA75" s="56" t="s">
        <v>219</v>
      </c>
      <c r="AB75" s="56" t="s">
        <v>305</v>
      </c>
      <c r="AC75" s="56" t="s">
        <v>305</v>
      </c>
      <c r="AD75" s="56" t="s">
        <v>305</v>
      </c>
      <c r="AE75" s="57">
        <v>45877</v>
      </c>
      <c r="AF75" s="57">
        <v>45979</v>
      </c>
      <c r="AG75" s="58">
        <v>1400001956</v>
      </c>
      <c r="AH75" s="74" cm="1">
        <f t="array" ref="AH75:AI75">VLOOKUP(M75,'Customer data Vlookup'!$B$3:$H$127,{2,3},0)</f>
        <v>81476.545748400007</v>
      </c>
      <c r="AI75" s="74">
        <v>1630</v>
      </c>
      <c r="AJ75" s="74">
        <f t="shared" si="3"/>
        <v>79846.545748400007</v>
      </c>
      <c r="AK75" s="41">
        <f t="shared" si="4"/>
        <v>4.251599995768629E-3</v>
      </c>
      <c r="AL75" s="62">
        <f t="shared" si="5"/>
        <v>2.0005756257475308E-2</v>
      </c>
      <c r="AO75" t="str">
        <f>VLOOKUP(M75,'Customer data'!F:P,11,0)</f>
        <v>HDFCN52025082733046460</v>
      </c>
    </row>
    <row r="76" spans="1:41" hidden="1">
      <c r="A76" s="56" t="s">
        <v>298</v>
      </c>
      <c r="B76" s="56" t="s">
        <v>299</v>
      </c>
      <c r="C76" s="56" t="s">
        <v>300</v>
      </c>
      <c r="D76" s="56" t="s">
        <v>301</v>
      </c>
      <c r="E76" s="56" t="s">
        <v>302</v>
      </c>
      <c r="F76" s="56" t="s">
        <v>334</v>
      </c>
      <c r="G76" s="57">
        <v>45877</v>
      </c>
      <c r="H76" s="58">
        <v>1800011813</v>
      </c>
      <c r="I76" s="56" t="s">
        <v>417</v>
      </c>
      <c r="J76" s="57">
        <v>45877</v>
      </c>
      <c r="K76" s="57">
        <v>45877</v>
      </c>
      <c r="L76" s="56" t="s">
        <v>332</v>
      </c>
      <c r="M76" s="60">
        <v>256779416122</v>
      </c>
      <c r="N76" s="56" t="s">
        <v>306</v>
      </c>
      <c r="O76" s="56" t="s">
        <v>307</v>
      </c>
      <c r="P76" s="56" t="s">
        <v>305</v>
      </c>
      <c r="Q76" s="56" t="s">
        <v>337</v>
      </c>
      <c r="R76" s="186" t="s">
        <v>333</v>
      </c>
      <c r="S76" s="164">
        <v>700</v>
      </c>
      <c r="T76" s="187" t="s">
        <v>309</v>
      </c>
      <c r="U76" s="164">
        <v>60221.08</v>
      </c>
      <c r="V76" s="56" t="s">
        <v>342</v>
      </c>
      <c r="W76" s="56" t="s">
        <v>310</v>
      </c>
      <c r="X76" s="56" t="s">
        <v>305</v>
      </c>
      <c r="Y76" s="56" t="s">
        <v>332</v>
      </c>
      <c r="Z76" s="56" t="s">
        <v>311</v>
      </c>
      <c r="AA76" s="56" t="s">
        <v>207</v>
      </c>
      <c r="AB76" s="56" t="s">
        <v>305</v>
      </c>
      <c r="AC76" s="56" t="s">
        <v>305</v>
      </c>
      <c r="AD76" s="56" t="s">
        <v>305</v>
      </c>
      <c r="AE76" s="57">
        <v>45877</v>
      </c>
      <c r="AF76" s="57"/>
      <c r="AG76" s="56" t="s">
        <v>305</v>
      </c>
      <c r="AH76" s="74" cm="1">
        <f t="array" ref="AH76:AI76">VLOOKUP(M76,'Customer data Vlookup'!$B$3:$H$127,{2,3},0)</f>
        <v>60221.083999999995</v>
      </c>
      <c r="AI76" s="74">
        <v>1204</v>
      </c>
      <c r="AJ76" s="74">
        <f t="shared" si="3"/>
        <v>59017.083999999995</v>
      </c>
      <c r="AK76" s="41">
        <f t="shared" si="4"/>
        <v>-3.9999999935389496E-3</v>
      </c>
      <c r="AL76" s="62">
        <f t="shared" si="5"/>
        <v>1.9992999129208575E-2</v>
      </c>
      <c r="AO76" t="str">
        <f>VLOOKUP(M76,'Customer data'!F:P,11,0)</f>
        <v>Not Approved</v>
      </c>
    </row>
    <row r="77" spans="1:41" hidden="1">
      <c r="A77" s="56" t="s">
        <v>298</v>
      </c>
      <c r="B77" s="56" t="s">
        <v>299</v>
      </c>
      <c r="C77" s="56" t="s">
        <v>300</v>
      </c>
      <c r="D77" s="56" t="s">
        <v>301</v>
      </c>
      <c r="E77" s="56" t="s">
        <v>302</v>
      </c>
      <c r="F77" s="56" t="s">
        <v>334</v>
      </c>
      <c r="G77" s="57">
        <v>45862</v>
      </c>
      <c r="H77" s="58">
        <v>1600001818</v>
      </c>
      <c r="I77" s="56" t="s">
        <v>438</v>
      </c>
      <c r="J77" s="57">
        <v>45862</v>
      </c>
      <c r="K77" s="57">
        <v>45862</v>
      </c>
      <c r="L77" s="56" t="s">
        <v>332</v>
      </c>
      <c r="M77" s="60">
        <v>256779421438</v>
      </c>
      <c r="N77" s="56" t="s">
        <v>306</v>
      </c>
      <c r="O77" s="56" t="s">
        <v>307</v>
      </c>
      <c r="P77" s="56" t="s">
        <v>305</v>
      </c>
      <c r="Q77" s="56" t="s">
        <v>325</v>
      </c>
      <c r="R77" s="186" t="s">
        <v>333</v>
      </c>
      <c r="S77" s="164">
        <v>-356.83</v>
      </c>
      <c r="T77" s="187" t="s">
        <v>309</v>
      </c>
      <c r="U77" s="164">
        <v>-30681.56</v>
      </c>
      <c r="V77" s="56" t="s">
        <v>342</v>
      </c>
      <c r="W77" s="56" t="s">
        <v>310</v>
      </c>
      <c r="X77" s="56" t="s">
        <v>305</v>
      </c>
      <c r="Y77" s="56" t="s">
        <v>332</v>
      </c>
      <c r="Z77" s="56" t="s">
        <v>311</v>
      </c>
      <c r="AA77" s="56" t="s">
        <v>521</v>
      </c>
      <c r="AB77" s="56" t="s">
        <v>305</v>
      </c>
      <c r="AC77" s="56" t="s">
        <v>305</v>
      </c>
      <c r="AD77" s="56" t="s">
        <v>305</v>
      </c>
      <c r="AE77" s="57">
        <v>45862</v>
      </c>
      <c r="AF77" s="57">
        <v>45918</v>
      </c>
      <c r="AG77" s="58">
        <v>1400001206</v>
      </c>
      <c r="AH77" s="74" t="e" cm="1">
        <f t="array" ref="AH77">VLOOKUP(M77,'Customer data Vlookup'!$B$3:$H$127,{2,3},0)</f>
        <v>#N/A</v>
      </c>
      <c r="AI77" s="74"/>
      <c r="AJ77" s="74"/>
      <c r="AK77" s="43"/>
      <c r="AL77" s="43"/>
      <c r="AO77" t="e">
        <f>VLOOKUP(M77,'Customer data'!F:P,11,0)</f>
        <v>#N/A</v>
      </c>
    </row>
    <row r="78" spans="1:41" hidden="1">
      <c r="A78" s="56" t="s">
        <v>298</v>
      </c>
      <c r="B78" s="56" t="s">
        <v>299</v>
      </c>
      <c r="C78" s="56" t="s">
        <v>300</v>
      </c>
      <c r="D78" s="56" t="s">
        <v>301</v>
      </c>
      <c r="E78" s="56" t="s">
        <v>302</v>
      </c>
      <c r="F78" s="56" t="s">
        <v>334</v>
      </c>
      <c r="G78" s="57">
        <v>45862</v>
      </c>
      <c r="H78" s="58">
        <v>1800011189</v>
      </c>
      <c r="I78" s="56" t="s">
        <v>417</v>
      </c>
      <c r="J78" s="57">
        <v>45862</v>
      </c>
      <c r="K78" s="57">
        <v>45862</v>
      </c>
      <c r="L78" s="56" t="s">
        <v>332</v>
      </c>
      <c r="M78" s="60">
        <v>256779415941</v>
      </c>
      <c r="N78" s="56" t="s">
        <v>306</v>
      </c>
      <c r="O78" s="56" t="s">
        <v>307</v>
      </c>
      <c r="P78" s="56" t="s">
        <v>305</v>
      </c>
      <c r="Q78" s="56" t="s">
        <v>337</v>
      </c>
      <c r="R78" s="186" t="s">
        <v>333</v>
      </c>
      <c r="S78" s="164">
        <v>356.83</v>
      </c>
      <c r="T78" s="187" t="s">
        <v>309</v>
      </c>
      <c r="U78" s="164">
        <v>30687.62</v>
      </c>
      <c r="V78" s="56" t="s">
        <v>342</v>
      </c>
      <c r="W78" s="56" t="s">
        <v>310</v>
      </c>
      <c r="X78" s="56" t="s">
        <v>305</v>
      </c>
      <c r="Y78" s="56" t="s">
        <v>332</v>
      </c>
      <c r="Z78" s="56" t="s">
        <v>311</v>
      </c>
      <c r="AA78" s="56" t="s">
        <v>200</v>
      </c>
      <c r="AB78" s="56" t="s">
        <v>305</v>
      </c>
      <c r="AC78" s="56" t="s">
        <v>305</v>
      </c>
      <c r="AD78" s="56" t="s">
        <v>305</v>
      </c>
      <c r="AE78" s="57">
        <v>45862</v>
      </c>
      <c r="AF78" s="57">
        <v>46030</v>
      </c>
      <c r="AG78" s="58">
        <v>1400002389</v>
      </c>
      <c r="AH78" s="74" cm="1">
        <f t="array" ref="AH78:AI78">VLOOKUP(M78,'Customer data Vlookup'!$B$3:$H$127,{2,3},0)</f>
        <v>30687.619076100003</v>
      </c>
      <c r="AI78" s="74">
        <v>614</v>
      </c>
      <c r="AJ78" s="74">
        <f>AH78-AI78</f>
        <v>30073.619076100003</v>
      </c>
      <c r="AK78" s="41">
        <f>U78-AH78</f>
        <v>9.2389999554143287E-4</v>
      </c>
      <c r="AL78" s="62">
        <f>AI78/U78</f>
        <v>2.0008068400221329E-2</v>
      </c>
      <c r="AO78" t="s">
        <v>615</v>
      </c>
    </row>
    <row r="79" spans="1:41" hidden="1">
      <c r="A79" s="56" t="s">
        <v>298</v>
      </c>
      <c r="B79" s="56" t="s">
        <v>299</v>
      </c>
      <c r="C79" s="56" t="s">
        <v>300</v>
      </c>
      <c r="D79" s="56" t="s">
        <v>301</v>
      </c>
      <c r="E79" s="56" t="s">
        <v>302</v>
      </c>
      <c r="F79" s="56" t="s">
        <v>334</v>
      </c>
      <c r="G79" s="57">
        <v>45856</v>
      </c>
      <c r="H79" s="58">
        <v>1400000293</v>
      </c>
      <c r="I79" s="56" t="s">
        <v>304</v>
      </c>
      <c r="J79" s="57">
        <v>45856</v>
      </c>
      <c r="K79" s="57">
        <v>45856</v>
      </c>
      <c r="L79" s="56" t="s">
        <v>332</v>
      </c>
      <c r="M79" s="64" t="s">
        <v>338</v>
      </c>
      <c r="N79" s="56" t="s">
        <v>306</v>
      </c>
      <c r="O79" s="56" t="s">
        <v>307</v>
      </c>
      <c r="P79" s="56" t="s">
        <v>305</v>
      </c>
      <c r="Q79" s="56" t="s">
        <v>308</v>
      </c>
      <c r="R79" s="186" t="s">
        <v>333</v>
      </c>
      <c r="S79" s="164">
        <v>0</v>
      </c>
      <c r="T79" s="187" t="s">
        <v>309</v>
      </c>
      <c r="U79" s="164">
        <v>0</v>
      </c>
      <c r="V79" s="56" t="s">
        <v>305</v>
      </c>
      <c r="W79" s="56" t="s">
        <v>310</v>
      </c>
      <c r="X79" s="56" t="s">
        <v>305</v>
      </c>
      <c r="Y79" s="56" t="s">
        <v>305</v>
      </c>
      <c r="Z79" s="56" t="s">
        <v>311</v>
      </c>
      <c r="AA79" s="56" t="s">
        <v>305</v>
      </c>
      <c r="AB79" s="56" t="s">
        <v>305</v>
      </c>
      <c r="AC79" s="56" t="s">
        <v>305</v>
      </c>
      <c r="AD79" s="56" t="s">
        <v>305</v>
      </c>
      <c r="AE79" s="57">
        <v>45856</v>
      </c>
      <c r="AF79" s="57">
        <v>45856</v>
      </c>
      <c r="AG79" s="58">
        <v>1400000293</v>
      </c>
      <c r="AH79" s="74" t="e" cm="1">
        <f t="array" ref="AH79">VLOOKUP(M79,'Customer data Vlookup'!$B$3:$H$127,{2,3},0)</f>
        <v>#N/A</v>
      </c>
      <c r="AI79" s="74"/>
      <c r="AJ79" s="74"/>
      <c r="AK79" s="43"/>
      <c r="AL79" s="43"/>
      <c r="AO79" t="e">
        <f>VLOOKUP(M79,'Customer data'!F:P,11,0)</f>
        <v>#N/A</v>
      </c>
    </row>
    <row r="80" spans="1:41" hidden="1">
      <c r="A80" s="56" t="s">
        <v>298</v>
      </c>
      <c r="B80" s="56" t="s">
        <v>299</v>
      </c>
      <c r="C80" s="56" t="s">
        <v>300</v>
      </c>
      <c r="D80" s="56" t="s">
        <v>301</v>
      </c>
      <c r="E80" s="56" t="s">
        <v>302</v>
      </c>
      <c r="F80" s="56" t="s">
        <v>334</v>
      </c>
      <c r="G80" s="57">
        <v>45856</v>
      </c>
      <c r="H80" s="58">
        <v>1400000294</v>
      </c>
      <c r="I80" s="56" t="s">
        <v>304</v>
      </c>
      <c r="J80" s="57">
        <v>45856</v>
      </c>
      <c r="K80" s="57">
        <v>45856</v>
      </c>
      <c r="L80" s="56" t="s">
        <v>332</v>
      </c>
      <c r="M80" s="64" t="s">
        <v>338</v>
      </c>
      <c r="N80" s="56" t="s">
        <v>306</v>
      </c>
      <c r="O80" s="56" t="s">
        <v>307</v>
      </c>
      <c r="P80" s="56" t="s">
        <v>305</v>
      </c>
      <c r="Q80" s="56" t="s">
        <v>308</v>
      </c>
      <c r="R80" s="186" t="s">
        <v>333</v>
      </c>
      <c r="S80" s="164">
        <v>0</v>
      </c>
      <c r="T80" s="187" t="s">
        <v>309</v>
      </c>
      <c r="U80" s="164">
        <v>0</v>
      </c>
      <c r="V80" s="56" t="s">
        <v>305</v>
      </c>
      <c r="W80" s="56" t="s">
        <v>310</v>
      </c>
      <c r="X80" s="56" t="s">
        <v>305</v>
      </c>
      <c r="Y80" s="56" t="s">
        <v>305</v>
      </c>
      <c r="Z80" s="56" t="s">
        <v>311</v>
      </c>
      <c r="AA80" s="56" t="s">
        <v>305</v>
      </c>
      <c r="AB80" s="56" t="s">
        <v>305</v>
      </c>
      <c r="AC80" s="56" t="s">
        <v>305</v>
      </c>
      <c r="AD80" s="56" t="s">
        <v>305</v>
      </c>
      <c r="AE80" s="57">
        <v>45856</v>
      </c>
      <c r="AF80" s="57">
        <v>45856</v>
      </c>
      <c r="AG80" s="58">
        <v>1400000294</v>
      </c>
      <c r="AH80" s="74" t="e" cm="1">
        <f t="array" ref="AH80">VLOOKUP(M80,'Customer data Vlookup'!$B$3:$H$127,{2,3},0)</f>
        <v>#N/A</v>
      </c>
      <c r="AI80" s="74"/>
      <c r="AJ80" s="74"/>
      <c r="AK80" s="43"/>
      <c r="AL80" s="43"/>
      <c r="AO80" t="e">
        <f>VLOOKUP(M80,'Customer data'!F:P,11,0)</f>
        <v>#N/A</v>
      </c>
    </row>
    <row r="81" spans="1:41" hidden="1">
      <c r="A81" s="56" t="s">
        <v>298</v>
      </c>
      <c r="B81" s="56" t="s">
        <v>299</v>
      </c>
      <c r="C81" s="56" t="s">
        <v>300</v>
      </c>
      <c r="D81" s="56" t="s">
        <v>301</v>
      </c>
      <c r="E81" s="56" t="s">
        <v>302</v>
      </c>
      <c r="F81" s="56" t="s">
        <v>334</v>
      </c>
      <c r="G81" s="57">
        <v>45856</v>
      </c>
      <c r="H81" s="58">
        <v>1400000295</v>
      </c>
      <c r="I81" s="56" t="s">
        <v>304</v>
      </c>
      <c r="J81" s="57">
        <v>45856</v>
      </c>
      <c r="K81" s="57">
        <v>45856</v>
      </c>
      <c r="L81" s="56" t="s">
        <v>332</v>
      </c>
      <c r="M81" s="64" t="s">
        <v>338</v>
      </c>
      <c r="N81" s="56" t="s">
        <v>306</v>
      </c>
      <c r="O81" s="56" t="s">
        <v>307</v>
      </c>
      <c r="P81" s="56" t="s">
        <v>305</v>
      </c>
      <c r="Q81" s="56" t="s">
        <v>308</v>
      </c>
      <c r="R81" s="186" t="s">
        <v>333</v>
      </c>
      <c r="S81" s="164">
        <v>0</v>
      </c>
      <c r="T81" s="187" t="s">
        <v>309</v>
      </c>
      <c r="U81" s="164">
        <v>0</v>
      </c>
      <c r="V81" s="56" t="s">
        <v>305</v>
      </c>
      <c r="W81" s="56" t="s">
        <v>310</v>
      </c>
      <c r="X81" s="56" t="s">
        <v>305</v>
      </c>
      <c r="Y81" s="56" t="s">
        <v>305</v>
      </c>
      <c r="Z81" s="56" t="s">
        <v>311</v>
      </c>
      <c r="AA81" s="56" t="s">
        <v>305</v>
      </c>
      <c r="AB81" s="56" t="s">
        <v>305</v>
      </c>
      <c r="AC81" s="56" t="s">
        <v>305</v>
      </c>
      <c r="AD81" s="56" t="s">
        <v>305</v>
      </c>
      <c r="AE81" s="57">
        <v>45856</v>
      </c>
      <c r="AF81" s="57">
        <v>45856</v>
      </c>
      <c r="AG81" s="58">
        <v>1400000295</v>
      </c>
      <c r="AH81" s="74" t="e" cm="1">
        <f t="array" ref="AH81">VLOOKUP(M81,'Customer data Vlookup'!$B$3:$H$127,{2,3},0)</f>
        <v>#N/A</v>
      </c>
      <c r="AI81" s="74"/>
      <c r="AJ81" s="74"/>
      <c r="AK81" s="43"/>
      <c r="AL81" s="43"/>
      <c r="AO81" t="e">
        <f>VLOOKUP(M81,'Customer data'!F:P,11,0)</f>
        <v>#N/A</v>
      </c>
    </row>
    <row r="82" spans="1:41" hidden="1">
      <c r="A82" s="56" t="s">
        <v>298</v>
      </c>
      <c r="B82" s="56" t="s">
        <v>299</v>
      </c>
      <c r="C82" s="56" t="s">
        <v>300</v>
      </c>
      <c r="D82" s="56" t="s">
        <v>301</v>
      </c>
      <c r="E82" s="56" t="s">
        <v>302</v>
      </c>
      <c r="F82" s="56" t="s">
        <v>334</v>
      </c>
      <c r="G82" s="57">
        <v>45856</v>
      </c>
      <c r="H82" s="58">
        <v>1400000296</v>
      </c>
      <c r="I82" s="56" t="s">
        <v>304</v>
      </c>
      <c r="J82" s="57">
        <v>45856</v>
      </c>
      <c r="K82" s="57">
        <v>45856</v>
      </c>
      <c r="L82" s="56" t="s">
        <v>332</v>
      </c>
      <c r="M82" s="64" t="s">
        <v>338</v>
      </c>
      <c r="N82" s="56" t="s">
        <v>306</v>
      </c>
      <c r="O82" s="56" t="s">
        <v>307</v>
      </c>
      <c r="P82" s="56" t="s">
        <v>305</v>
      </c>
      <c r="Q82" s="56" t="s">
        <v>308</v>
      </c>
      <c r="R82" s="186" t="s">
        <v>333</v>
      </c>
      <c r="S82" s="164">
        <v>0</v>
      </c>
      <c r="T82" s="187" t="s">
        <v>309</v>
      </c>
      <c r="U82" s="164">
        <v>0</v>
      </c>
      <c r="V82" s="56" t="s">
        <v>305</v>
      </c>
      <c r="W82" s="56" t="s">
        <v>310</v>
      </c>
      <c r="X82" s="56" t="s">
        <v>305</v>
      </c>
      <c r="Y82" s="56" t="s">
        <v>305</v>
      </c>
      <c r="Z82" s="56" t="s">
        <v>311</v>
      </c>
      <c r="AA82" s="56" t="s">
        <v>305</v>
      </c>
      <c r="AB82" s="56" t="s">
        <v>305</v>
      </c>
      <c r="AC82" s="56" t="s">
        <v>305</v>
      </c>
      <c r="AD82" s="56" t="s">
        <v>305</v>
      </c>
      <c r="AE82" s="57">
        <v>45856</v>
      </c>
      <c r="AF82" s="57">
        <v>45856</v>
      </c>
      <c r="AG82" s="58">
        <v>1400000296</v>
      </c>
      <c r="AH82" s="74" t="e" cm="1">
        <f t="array" ref="AH82">VLOOKUP(M82,'Customer data Vlookup'!$B$3:$H$127,{2,3},0)</f>
        <v>#N/A</v>
      </c>
      <c r="AI82" s="74"/>
      <c r="AJ82" s="74"/>
      <c r="AK82" s="43"/>
      <c r="AL82" s="43"/>
      <c r="AO82" t="e">
        <f>VLOOKUP(M82,'Customer data'!F:P,11,0)</f>
        <v>#N/A</v>
      </c>
    </row>
    <row r="83" spans="1:41" hidden="1">
      <c r="A83" s="56" t="s">
        <v>298</v>
      </c>
      <c r="B83" s="56" t="s">
        <v>299</v>
      </c>
      <c r="C83" s="56" t="s">
        <v>300</v>
      </c>
      <c r="D83" s="56" t="s">
        <v>301</v>
      </c>
      <c r="E83" s="56" t="s">
        <v>302</v>
      </c>
      <c r="F83" s="56" t="s">
        <v>334</v>
      </c>
      <c r="G83" s="57">
        <v>45856</v>
      </c>
      <c r="H83" s="58">
        <v>1400000297</v>
      </c>
      <c r="I83" s="56" t="s">
        <v>304</v>
      </c>
      <c r="J83" s="57">
        <v>45856</v>
      </c>
      <c r="K83" s="57">
        <v>45856</v>
      </c>
      <c r="L83" s="56" t="s">
        <v>332</v>
      </c>
      <c r="M83" s="64" t="s">
        <v>338</v>
      </c>
      <c r="N83" s="56" t="s">
        <v>306</v>
      </c>
      <c r="O83" s="56" t="s">
        <v>307</v>
      </c>
      <c r="P83" s="56" t="s">
        <v>305</v>
      </c>
      <c r="Q83" s="56" t="s">
        <v>308</v>
      </c>
      <c r="R83" s="186" t="s">
        <v>333</v>
      </c>
      <c r="S83" s="164">
        <v>0</v>
      </c>
      <c r="T83" s="187" t="s">
        <v>309</v>
      </c>
      <c r="U83" s="164">
        <v>0</v>
      </c>
      <c r="V83" s="56" t="s">
        <v>305</v>
      </c>
      <c r="W83" s="56" t="s">
        <v>310</v>
      </c>
      <c r="X83" s="56" t="s">
        <v>305</v>
      </c>
      <c r="Y83" s="56" t="s">
        <v>305</v>
      </c>
      <c r="Z83" s="56" t="s">
        <v>311</v>
      </c>
      <c r="AA83" s="56" t="s">
        <v>305</v>
      </c>
      <c r="AB83" s="56" t="s">
        <v>305</v>
      </c>
      <c r="AC83" s="56" t="s">
        <v>305</v>
      </c>
      <c r="AD83" s="56" t="s">
        <v>305</v>
      </c>
      <c r="AE83" s="57">
        <v>45856</v>
      </c>
      <c r="AF83" s="57">
        <v>45856</v>
      </c>
      <c r="AG83" s="58">
        <v>1400000297</v>
      </c>
      <c r="AH83" s="74" t="e" cm="1">
        <f t="array" ref="AH83">VLOOKUP(M83,'Customer data Vlookup'!$B$3:$H$127,{2,3},0)</f>
        <v>#N/A</v>
      </c>
      <c r="AI83" s="74"/>
      <c r="AJ83" s="74"/>
      <c r="AK83" s="43"/>
      <c r="AL83" s="43"/>
      <c r="AO83" t="e">
        <f>VLOOKUP(M83,'Customer data'!F:P,11,0)</f>
        <v>#N/A</v>
      </c>
    </row>
    <row r="84" spans="1:41" hidden="1">
      <c r="A84" s="56" t="s">
        <v>298</v>
      </c>
      <c r="B84" s="56" t="s">
        <v>299</v>
      </c>
      <c r="C84" s="56" t="s">
        <v>300</v>
      </c>
      <c r="D84" s="56" t="s">
        <v>301</v>
      </c>
      <c r="E84" s="56" t="s">
        <v>302</v>
      </c>
      <c r="F84" s="56" t="s">
        <v>334</v>
      </c>
      <c r="G84" s="57">
        <v>45856</v>
      </c>
      <c r="H84" s="58">
        <v>1400000298</v>
      </c>
      <c r="I84" s="56" t="s">
        <v>304</v>
      </c>
      <c r="J84" s="57">
        <v>45856</v>
      </c>
      <c r="K84" s="57">
        <v>45856</v>
      </c>
      <c r="L84" s="56" t="s">
        <v>332</v>
      </c>
      <c r="M84" s="64" t="s">
        <v>338</v>
      </c>
      <c r="N84" s="56" t="s">
        <v>306</v>
      </c>
      <c r="O84" s="56" t="s">
        <v>307</v>
      </c>
      <c r="P84" s="56" t="s">
        <v>305</v>
      </c>
      <c r="Q84" s="56" t="s">
        <v>308</v>
      </c>
      <c r="R84" s="186" t="s">
        <v>333</v>
      </c>
      <c r="S84" s="164">
        <v>0</v>
      </c>
      <c r="T84" s="187" t="s">
        <v>309</v>
      </c>
      <c r="U84" s="164">
        <v>0</v>
      </c>
      <c r="V84" s="56" t="s">
        <v>305</v>
      </c>
      <c r="W84" s="56" t="s">
        <v>310</v>
      </c>
      <c r="X84" s="56" t="s">
        <v>305</v>
      </c>
      <c r="Y84" s="56" t="s">
        <v>305</v>
      </c>
      <c r="Z84" s="56" t="s">
        <v>311</v>
      </c>
      <c r="AA84" s="56" t="s">
        <v>305</v>
      </c>
      <c r="AB84" s="56" t="s">
        <v>305</v>
      </c>
      <c r="AC84" s="56" t="s">
        <v>305</v>
      </c>
      <c r="AD84" s="56" t="s">
        <v>305</v>
      </c>
      <c r="AE84" s="57">
        <v>45856</v>
      </c>
      <c r="AF84" s="57">
        <v>45856</v>
      </c>
      <c r="AG84" s="58">
        <v>1400000298</v>
      </c>
      <c r="AH84" s="74" t="e" cm="1">
        <f t="array" ref="AH84">VLOOKUP(M84,'Customer data Vlookup'!$B$3:$H$127,{2,3},0)</f>
        <v>#N/A</v>
      </c>
      <c r="AI84" s="74"/>
      <c r="AJ84" s="74"/>
      <c r="AK84" s="43"/>
      <c r="AL84" s="43"/>
      <c r="AO84" t="e">
        <f>VLOOKUP(M84,'Customer data'!F:P,11,0)</f>
        <v>#N/A</v>
      </c>
    </row>
    <row r="85" spans="1:41" hidden="1">
      <c r="A85" s="56" t="s">
        <v>298</v>
      </c>
      <c r="B85" s="56" t="s">
        <v>299</v>
      </c>
      <c r="C85" s="56" t="s">
        <v>300</v>
      </c>
      <c r="D85" s="56" t="s">
        <v>301</v>
      </c>
      <c r="E85" s="56" t="s">
        <v>302</v>
      </c>
      <c r="F85" s="56" t="s">
        <v>334</v>
      </c>
      <c r="G85" s="57">
        <v>45856</v>
      </c>
      <c r="H85" s="58">
        <v>1400000299</v>
      </c>
      <c r="I85" s="56" t="s">
        <v>304</v>
      </c>
      <c r="J85" s="57">
        <v>45856</v>
      </c>
      <c r="K85" s="57">
        <v>45856</v>
      </c>
      <c r="L85" s="56" t="s">
        <v>332</v>
      </c>
      <c r="M85" s="64" t="s">
        <v>338</v>
      </c>
      <c r="N85" s="56" t="s">
        <v>306</v>
      </c>
      <c r="O85" s="56" t="s">
        <v>307</v>
      </c>
      <c r="P85" s="56" t="s">
        <v>305</v>
      </c>
      <c r="Q85" s="56" t="s">
        <v>308</v>
      </c>
      <c r="R85" s="186" t="s">
        <v>333</v>
      </c>
      <c r="S85" s="164">
        <v>0</v>
      </c>
      <c r="T85" s="187" t="s">
        <v>309</v>
      </c>
      <c r="U85" s="164">
        <v>0</v>
      </c>
      <c r="V85" s="56" t="s">
        <v>305</v>
      </c>
      <c r="W85" s="56" t="s">
        <v>310</v>
      </c>
      <c r="X85" s="56" t="s">
        <v>305</v>
      </c>
      <c r="Y85" s="56" t="s">
        <v>305</v>
      </c>
      <c r="Z85" s="56" t="s">
        <v>311</v>
      </c>
      <c r="AA85" s="56" t="s">
        <v>305</v>
      </c>
      <c r="AB85" s="56" t="s">
        <v>305</v>
      </c>
      <c r="AC85" s="56" t="s">
        <v>305</v>
      </c>
      <c r="AD85" s="56" t="s">
        <v>305</v>
      </c>
      <c r="AE85" s="57">
        <v>45856</v>
      </c>
      <c r="AF85" s="57">
        <v>45856</v>
      </c>
      <c r="AG85" s="58">
        <v>1400000299</v>
      </c>
      <c r="AH85" s="74" t="e" cm="1">
        <f t="array" ref="AH85">VLOOKUP(M85,'Customer data Vlookup'!$B$3:$H$127,{2,3},0)</f>
        <v>#N/A</v>
      </c>
      <c r="AI85" s="74"/>
      <c r="AJ85" s="74"/>
      <c r="AK85" s="43"/>
      <c r="AL85" s="43"/>
      <c r="AO85" t="e">
        <f>VLOOKUP(M85,'Customer data'!F:P,11,0)</f>
        <v>#N/A</v>
      </c>
    </row>
    <row r="86" spans="1:41" hidden="1">
      <c r="A86" s="56" t="s">
        <v>298</v>
      </c>
      <c r="B86" s="56" t="s">
        <v>299</v>
      </c>
      <c r="C86" s="56" t="s">
        <v>300</v>
      </c>
      <c r="D86" s="56" t="s">
        <v>301</v>
      </c>
      <c r="E86" s="56" t="s">
        <v>302</v>
      </c>
      <c r="F86" s="56" t="s">
        <v>334</v>
      </c>
      <c r="G86" s="57">
        <v>45856</v>
      </c>
      <c r="H86" s="58">
        <v>1400000300</v>
      </c>
      <c r="I86" s="56" t="s">
        <v>304</v>
      </c>
      <c r="J86" s="57">
        <v>45856</v>
      </c>
      <c r="K86" s="57">
        <v>45856</v>
      </c>
      <c r="L86" s="56" t="s">
        <v>332</v>
      </c>
      <c r="M86" s="64" t="s">
        <v>338</v>
      </c>
      <c r="N86" s="56" t="s">
        <v>306</v>
      </c>
      <c r="O86" s="56" t="s">
        <v>307</v>
      </c>
      <c r="P86" s="56" t="s">
        <v>305</v>
      </c>
      <c r="Q86" s="56" t="s">
        <v>308</v>
      </c>
      <c r="R86" s="186" t="s">
        <v>333</v>
      </c>
      <c r="S86" s="164">
        <v>0</v>
      </c>
      <c r="T86" s="187" t="s">
        <v>309</v>
      </c>
      <c r="U86" s="164">
        <v>0</v>
      </c>
      <c r="V86" s="56" t="s">
        <v>305</v>
      </c>
      <c r="W86" s="56" t="s">
        <v>310</v>
      </c>
      <c r="X86" s="56" t="s">
        <v>305</v>
      </c>
      <c r="Y86" s="56" t="s">
        <v>305</v>
      </c>
      <c r="Z86" s="56" t="s">
        <v>311</v>
      </c>
      <c r="AA86" s="56" t="s">
        <v>305</v>
      </c>
      <c r="AB86" s="56" t="s">
        <v>305</v>
      </c>
      <c r="AC86" s="56" t="s">
        <v>305</v>
      </c>
      <c r="AD86" s="56" t="s">
        <v>305</v>
      </c>
      <c r="AE86" s="57">
        <v>45856</v>
      </c>
      <c r="AF86" s="57">
        <v>45856</v>
      </c>
      <c r="AG86" s="58">
        <v>1400000300</v>
      </c>
      <c r="AH86" s="74" t="e" cm="1">
        <f t="array" ref="AH86">VLOOKUP(M86,'Customer data Vlookup'!$B$3:$H$127,{2,3},0)</f>
        <v>#N/A</v>
      </c>
      <c r="AI86" s="74"/>
      <c r="AJ86" s="74"/>
      <c r="AK86" s="43"/>
      <c r="AL86" s="43"/>
      <c r="AO86" t="e">
        <f>VLOOKUP(M86,'Customer data'!F:P,11,0)</f>
        <v>#N/A</v>
      </c>
    </row>
    <row r="87" spans="1:41" hidden="1">
      <c r="A87" s="56" t="s">
        <v>298</v>
      </c>
      <c r="B87" s="56" t="s">
        <v>299</v>
      </c>
      <c r="C87" s="56" t="s">
        <v>300</v>
      </c>
      <c r="D87" s="56" t="s">
        <v>301</v>
      </c>
      <c r="E87" s="56" t="s">
        <v>302</v>
      </c>
      <c r="F87" s="56" t="s">
        <v>334</v>
      </c>
      <c r="G87" s="57">
        <v>45856</v>
      </c>
      <c r="H87" s="58">
        <v>1400000301</v>
      </c>
      <c r="I87" s="56" t="s">
        <v>304</v>
      </c>
      <c r="J87" s="57">
        <v>45856</v>
      </c>
      <c r="K87" s="57">
        <v>45856</v>
      </c>
      <c r="L87" s="56" t="s">
        <v>332</v>
      </c>
      <c r="M87" s="64" t="s">
        <v>338</v>
      </c>
      <c r="N87" s="56" t="s">
        <v>306</v>
      </c>
      <c r="O87" s="56" t="s">
        <v>307</v>
      </c>
      <c r="P87" s="56" t="s">
        <v>305</v>
      </c>
      <c r="Q87" s="56" t="s">
        <v>308</v>
      </c>
      <c r="R87" s="186" t="s">
        <v>333</v>
      </c>
      <c r="S87" s="164">
        <v>0</v>
      </c>
      <c r="T87" s="187" t="s">
        <v>309</v>
      </c>
      <c r="U87" s="164">
        <v>0</v>
      </c>
      <c r="V87" s="56" t="s">
        <v>305</v>
      </c>
      <c r="W87" s="56" t="s">
        <v>310</v>
      </c>
      <c r="X87" s="56" t="s">
        <v>305</v>
      </c>
      <c r="Y87" s="56" t="s">
        <v>305</v>
      </c>
      <c r="Z87" s="56" t="s">
        <v>311</v>
      </c>
      <c r="AA87" s="56" t="s">
        <v>305</v>
      </c>
      <c r="AB87" s="56" t="s">
        <v>305</v>
      </c>
      <c r="AC87" s="56" t="s">
        <v>305</v>
      </c>
      <c r="AD87" s="56" t="s">
        <v>305</v>
      </c>
      <c r="AE87" s="57">
        <v>45856</v>
      </c>
      <c r="AF87" s="57">
        <v>45856</v>
      </c>
      <c r="AG87" s="58">
        <v>1400000301</v>
      </c>
      <c r="AH87" s="74" t="e" cm="1">
        <f t="array" ref="AH87">VLOOKUP(M87,'Customer data Vlookup'!$B$3:$H$127,{2,3},0)</f>
        <v>#N/A</v>
      </c>
      <c r="AI87" s="74"/>
      <c r="AJ87" s="74"/>
      <c r="AK87" s="43"/>
      <c r="AL87" s="43"/>
      <c r="AO87" t="e">
        <f>VLOOKUP(M87,'Customer data'!F:P,11,0)</f>
        <v>#N/A</v>
      </c>
    </row>
    <row r="88" spans="1:41" hidden="1">
      <c r="A88" s="56" t="s">
        <v>298</v>
      </c>
      <c r="B88" s="56" t="s">
        <v>299</v>
      </c>
      <c r="C88" s="56" t="s">
        <v>300</v>
      </c>
      <c r="D88" s="56" t="s">
        <v>301</v>
      </c>
      <c r="E88" s="56" t="s">
        <v>302</v>
      </c>
      <c r="F88" s="56" t="s">
        <v>334</v>
      </c>
      <c r="G88" s="57">
        <v>45856</v>
      </c>
      <c r="H88" s="58">
        <v>1400000302</v>
      </c>
      <c r="I88" s="56" t="s">
        <v>304</v>
      </c>
      <c r="J88" s="57">
        <v>45856</v>
      </c>
      <c r="K88" s="57">
        <v>45856</v>
      </c>
      <c r="L88" s="56" t="s">
        <v>332</v>
      </c>
      <c r="M88" s="64" t="s">
        <v>338</v>
      </c>
      <c r="N88" s="56" t="s">
        <v>306</v>
      </c>
      <c r="O88" s="56" t="s">
        <v>307</v>
      </c>
      <c r="P88" s="56" t="s">
        <v>305</v>
      </c>
      <c r="Q88" s="56" t="s">
        <v>308</v>
      </c>
      <c r="R88" s="186" t="s">
        <v>333</v>
      </c>
      <c r="S88" s="164">
        <v>0</v>
      </c>
      <c r="T88" s="187" t="s">
        <v>309</v>
      </c>
      <c r="U88" s="164">
        <v>0</v>
      </c>
      <c r="V88" s="56" t="s">
        <v>305</v>
      </c>
      <c r="W88" s="56" t="s">
        <v>310</v>
      </c>
      <c r="X88" s="56" t="s">
        <v>305</v>
      </c>
      <c r="Y88" s="56" t="s">
        <v>305</v>
      </c>
      <c r="Z88" s="56" t="s">
        <v>311</v>
      </c>
      <c r="AA88" s="56" t="s">
        <v>305</v>
      </c>
      <c r="AB88" s="56" t="s">
        <v>305</v>
      </c>
      <c r="AC88" s="56" t="s">
        <v>305</v>
      </c>
      <c r="AD88" s="56" t="s">
        <v>305</v>
      </c>
      <c r="AE88" s="57">
        <v>45856</v>
      </c>
      <c r="AF88" s="57">
        <v>45856</v>
      </c>
      <c r="AG88" s="58">
        <v>1400000302</v>
      </c>
      <c r="AH88" s="74" t="e" cm="1">
        <f t="array" ref="AH88">VLOOKUP(M88,'Customer data Vlookup'!$B$3:$H$127,{2,3},0)</f>
        <v>#N/A</v>
      </c>
      <c r="AI88" s="74"/>
      <c r="AJ88" s="74"/>
      <c r="AK88" s="43"/>
      <c r="AL88" s="43"/>
      <c r="AO88" t="e">
        <f>VLOOKUP(M88,'Customer data'!F:P,11,0)</f>
        <v>#N/A</v>
      </c>
    </row>
    <row r="89" spans="1:41" hidden="1">
      <c r="A89" s="56" t="s">
        <v>298</v>
      </c>
      <c r="B89" s="56" t="s">
        <v>299</v>
      </c>
      <c r="C89" s="56" t="s">
        <v>300</v>
      </c>
      <c r="D89" s="56" t="s">
        <v>301</v>
      </c>
      <c r="E89" s="56" t="s">
        <v>302</v>
      </c>
      <c r="F89" s="56" t="s">
        <v>334</v>
      </c>
      <c r="G89" s="57">
        <v>45856</v>
      </c>
      <c r="H89" s="58">
        <v>1400000303</v>
      </c>
      <c r="I89" s="56" t="s">
        <v>304</v>
      </c>
      <c r="J89" s="57">
        <v>45856</v>
      </c>
      <c r="K89" s="57">
        <v>45856</v>
      </c>
      <c r="L89" s="56" t="s">
        <v>332</v>
      </c>
      <c r="M89" s="64" t="s">
        <v>338</v>
      </c>
      <c r="N89" s="56" t="s">
        <v>306</v>
      </c>
      <c r="O89" s="56" t="s">
        <v>307</v>
      </c>
      <c r="P89" s="56" t="s">
        <v>305</v>
      </c>
      <c r="Q89" s="56" t="s">
        <v>308</v>
      </c>
      <c r="R89" s="186" t="s">
        <v>333</v>
      </c>
      <c r="S89" s="164">
        <v>0</v>
      </c>
      <c r="T89" s="187" t="s">
        <v>309</v>
      </c>
      <c r="U89" s="164">
        <v>0</v>
      </c>
      <c r="V89" s="56" t="s">
        <v>305</v>
      </c>
      <c r="W89" s="56" t="s">
        <v>310</v>
      </c>
      <c r="X89" s="56" t="s">
        <v>305</v>
      </c>
      <c r="Y89" s="56" t="s">
        <v>305</v>
      </c>
      <c r="Z89" s="56" t="s">
        <v>311</v>
      </c>
      <c r="AA89" s="56" t="s">
        <v>305</v>
      </c>
      <c r="AB89" s="56" t="s">
        <v>305</v>
      </c>
      <c r="AC89" s="56" t="s">
        <v>305</v>
      </c>
      <c r="AD89" s="56" t="s">
        <v>305</v>
      </c>
      <c r="AE89" s="57">
        <v>45856</v>
      </c>
      <c r="AF89" s="57">
        <v>45856</v>
      </c>
      <c r="AG89" s="58">
        <v>1400000303</v>
      </c>
      <c r="AH89" s="74" t="e" cm="1">
        <f t="array" ref="AH89">VLOOKUP(M89,'Customer data Vlookup'!$B$3:$H$127,{2,3},0)</f>
        <v>#N/A</v>
      </c>
      <c r="AI89" s="74"/>
      <c r="AJ89" s="74"/>
      <c r="AK89" s="43"/>
      <c r="AL89" s="43"/>
      <c r="AO89" t="e">
        <f>VLOOKUP(M89,'Customer data'!F:P,11,0)</f>
        <v>#N/A</v>
      </c>
    </row>
    <row r="90" spans="1:41" hidden="1">
      <c r="A90" s="56" t="s">
        <v>298</v>
      </c>
      <c r="B90" s="56" t="s">
        <v>299</v>
      </c>
      <c r="C90" s="56" t="s">
        <v>300</v>
      </c>
      <c r="D90" s="56" t="s">
        <v>301</v>
      </c>
      <c r="E90" s="56" t="s">
        <v>302</v>
      </c>
      <c r="F90" s="56" t="s">
        <v>334</v>
      </c>
      <c r="G90" s="57">
        <v>45856</v>
      </c>
      <c r="H90" s="58">
        <v>1400000304</v>
      </c>
      <c r="I90" s="56" t="s">
        <v>304</v>
      </c>
      <c r="J90" s="57">
        <v>45856</v>
      </c>
      <c r="K90" s="57">
        <v>45856</v>
      </c>
      <c r="L90" s="56" t="s">
        <v>332</v>
      </c>
      <c r="M90" s="64" t="s">
        <v>338</v>
      </c>
      <c r="N90" s="56" t="s">
        <v>306</v>
      </c>
      <c r="O90" s="56" t="s">
        <v>307</v>
      </c>
      <c r="P90" s="56" t="s">
        <v>305</v>
      </c>
      <c r="Q90" s="56" t="s">
        <v>308</v>
      </c>
      <c r="R90" s="186" t="s">
        <v>333</v>
      </c>
      <c r="S90" s="164">
        <v>0</v>
      </c>
      <c r="T90" s="187" t="s">
        <v>309</v>
      </c>
      <c r="U90" s="164">
        <v>0</v>
      </c>
      <c r="V90" s="56" t="s">
        <v>305</v>
      </c>
      <c r="W90" s="56" t="s">
        <v>310</v>
      </c>
      <c r="X90" s="56" t="s">
        <v>305</v>
      </c>
      <c r="Y90" s="56" t="s">
        <v>305</v>
      </c>
      <c r="Z90" s="56" t="s">
        <v>311</v>
      </c>
      <c r="AA90" s="56" t="s">
        <v>305</v>
      </c>
      <c r="AB90" s="56" t="s">
        <v>305</v>
      </c>
      <c r="AC90" s="56" t="s">
        <v>305</v>
      </c>
      <c r="AD90" s="56" t="s">
        <v>305</v>
      </c>
      <c r="AE90" s="57">
        <v>45856</v>
      </c>
      <c r="AF90" s="57">
        <v>45856</v>
      </c>
      <c r="AG90" s="58">
        <v>1400000304</v>
      </c>
      <c r="AH90" s="74" t="e" cm="1">
        <f t="array" ref="AH90">VLOOKUP(M90,'Customer data Vlookup'!$B$3:$H$127,{2,3},0)</f>
        <v>#N/A</v>
      </c>
      <c r="AI90" s="74"/>
      <c r="AJ90" s="74"/>
      <c r="AK90" s="43"/>
      <c r="AL90" s="43"/>
      <c r="AO90" t="e">
        <f>VLOOKUP(M90,'Customer data'!F:P,11,0)</f>
        <v>#N/A</v>
      </c>
    </row>
    <row r="91" spans="1:41" hidden="1">
      <c r="A91" s="56" t="s">
        <v>298</v>
      </c>
      <c r="B91" s="56" t="s">
        <v>299</v>
      </c>
      <c r="C91" s="56" t="s">
        <v>300</v>
      </c>
      <c r="D91" s="56" t="s">
        <v>301</v>
      </c>
      <c r="E91" s="56" t="s">
        <v>302</v>
      </c>
      <c r="F91" s="56" t="s">
        <v>334</v>
      </c>
      <c r="G91" s="57">
        <v>45856</v>
      </c>
      <c r="H91" s="58">
        <v>1400000305</v>
      </c>
      <c r="I91" s="56" t="s">
        <v>304</v>
      </c>
      <c r="J91" s="57">
        <v>45856</v>
      </c>
      <c r="K91" s="57">
        <v>45856</v>
      </c>
      <c r="L91" s="56" t="s">
        <v>332</v>
      </c>
      <c r="M91" s="64" t="s">
        <v>338</v>
      </c>
      <c r="N91" s="56" t="s">
        <v>306</v>
      </c>
      <c r="O91" s="56" t="s">
        <v>307</v>
      </c>
      <c r="P91" s="56" t="s">
        <v>305</v>
      </c>
      <c r="Q91" s="56" t="s">
        <v>308</v>
      </c>
      <c r="R91" s="186" t="s">
        <v>333</v>
      </c>
      <c r="S91" s="164">
        <v>0</v>
      </c>
      <c r="T91" s="187" t="s">
        <v>309</v>
      </c>
      <c r="U91" s="164">
        <v>0</v>
      </c>
      <c r="V91" s="56" t="s">
        <v>305</v>
      </c>
      <c r="W91" s="56" t="s">
        <v>310</v>
      </c>
      <c r="X91" s="56" t="s">
        <v>305</v>
      </c>
      <c r="Y91" s="56" t="s">
        <v>305</v>
      </c>
      <c r="Z91" s="56" t="s">
        <v>311</v>
      </c>
      <c r="AA91" s="56" t="s">
        <v>305</v>
      </c>
      <c r="AB91" s="56" t="s">
        <v>305</v>
      </c>
      <c r="AC91" s="56" t="s">
        <v>305</v>
      </c>
      <c r="AD91" s="56" t="s">
        <v>305</v>
      </c>
      <c r="AE91" s="57">
        <v>45856</v>
      </c>
      <c r="AF91" s="57">
        <v>45856</v>
      </c>
      <c r="AG91" s="58">
        <v>1400000305</v>
      </c>
      <c r="AH91" s="74" t="e" cm="1">
        <f t="array" ref="AH91">VLOOKUP(M91,'Customer data Vlookup'!$B$3:$H$127,{2,3},0)</f>
        <v>#N/A</v>
      </c>
      <c r="AI91" s="74"/>
      <c r="AJ91" s="74"/>
      <c r="AK91" s="43"/>
      <c r="AL91" s="43"/>
      <c r="AO91" t="e">
        <f>VLOOKUP(M91,'Customer data'!F:P,11,0)</f>
        <v>#N/A</v>
      </c>
    </row>
    <row r="92" spans="1:41" hidden="1">
      <c r="A92" s="56" t="s">
        <v>298</v>
      </c>
      <c r="B92" s="56" t="s">
        <v>299</v>
      </c>
      <c r="C92" s="56" t="s">
        <v>300</v>
      </c>
      <c r="D92" s="56" t="s">
        <v>301</v>
      </c>
      <c r="E92" s="56" t="s">
        <v>302</v>
      </c>
      <c r="F92" s="56" t="s">
        <v>334</v>
      </c>
      <c r="G92" s="57">
        <v>45856</v>
      </c>
      <c r="H92" s="58">
        <v>1400000306</v>
      </c>
      <c r="I92" s="56" t="s">
        <v>304</v>
      </c>
      <c r="J92" s="57">
        <v>45856</v>
      </c>
      <c r="K92" s="57">
        <v>45856</v>
      </c>
      <c r="L92" s="56" t="s">
        <v>332</v>
      </c>
      <c r="M92" s="64" t="s">
        <v>338</v>
      </c>
      <c r="N92" s="56" t="s">
        <v>306</v>
      </c>
      <c r="O92" s="56" t="s">
        <v>307</v>
      </c>
      <c r="P92" s="56" t="s">
        <v>305</v>
      </c>
      <c r="Q92" s="56" t="s">
        <v>308</v>
      </c>
      <c r="R92" s="186" t="s">
        <v>333</v>
      </c>
      <c r="S92" s="164">
        <v>0</v>
      </c>
      <c r="T92" s="187" t="s">
        <v>309</v>
      </c>
      <c r="U92" s="164">
        <v>0</v>
      </c>
      <c r="V92" s="56" t="s">
        <v>305</v>
      </c>
      <c r="W92" s="56" t="s">
        <v>310</v>
      </c>
      <c r="X92" s="56" t="s">
        <v>305</v>
      </c>
      <c r="Y92" s="56" t="s">
        <v>305</v>
      </c>
      <c r="Z92" s="56" t="s">
        <v>311</v>
      </c>
      <c r="AA92" s="56" t="s">
        <v>305</v>
      </c>
      <c r="AB92" s="56" t="s">
        <v>305</v>
      </c>
      <c r="AC92" s="56" t="s">
        <v>305</v>
      </c>
      <c r="AD92" s="56" t="s">
        <v>305</v>
      </c>
      <c r="AE92" s="57">
        <v>45856</v>
      </c>
      <c r="AF92" s="57">
        <v>45856</v>
      </c>
      <c r="AG92" s="58">
        <v>1400000306</v>
      </c>
      <c r="AH92" s="74" t="e" cm="1">
        <f t="array" ref="AH92">VLOOKUP(M92,'Customer data Vlookup'!$B$3:$H$127,{2,3},0)</f>
        <v>#N/A</v>
      </c>
      <c r="AI92" s="74"/>
      <c r="AJ92" s="74"/>
      <c r="AK92" s="43"/>
      <c r="AL92" s="43"/>
      <c r="AO92" t="e">
        <f>VLOOKUP(M92,'Customer data'!F:P,11,0)</f>
        <v>#N/A</v>
      </c>
    </row>
    <row r="93" spans="1:41" hidden="1">
      <c r="A93" s="56" t="s">
        <v>298</v>
      </c>
      <c r="B93" s="56" t="s">
        <v>299</v>
      </c>
      <c r="C93" s="56" t="s">
        <v>300</v>
      </c>
      <c r="D93" s="56" t="s">
        <v>301</v>
      </c>
      <c r="E93" s="56" t="s">
        <v>302</v>
      </c>
      <c r="F93" s="56" t="s">
        <v>334</v>
      </c>
      <c r="G93" s="57">
        <v>45856</v>
      </c>
      <c r="H93" s="58">
        <v>1400000307</v>
      </c>
      <c r="I93" s="56" t="s">
        <v>304</v>
      </c>
      <c r="J93" s="57">
        <v>45856</v>
      </c>
      <c r="K93" s="57">
        <v>45856</v>
      </c>
      <c r="L93" s="56" t="s">
        <v>332</v>
      </c>
      <c r="M93" s="64" t="s">
        <v>338</v>
      </c>
      <c r="N93" s="56" t="s">
        <v>306</v>
      </c>
      <c r="O93" s="56" t="s">
        <v>307</v>
      </c>
      <c r="P93" s="56" t="s">
        <v>305</v>
      </c>
      <c r="Q93" s="56" t="s">
        <v>308</v>
      </c>
      <c r="R93" s="186" t="s">
        <v>333</v>
      </c>
      <c r="S93" s="164">
        <v>0</v>
      </c>
      <c r="T93" s="187" t="s">
        <v>309</v>
      </c>
      <c r="U93" s="164">
        <v>0</v>
      </c>
      <c r="V93" s="56" t="s">
        <v>305</v>
      </c>
      <c r="W93" s="56" t="s">
        <v>310</v>
      </c>
      <c r="X93" s="56" t="s">
        <v>305</v>
      </c>
      <c r="Y93" s="56" t="s">
        <v>305</v>
      </c>
      <c r="Z93" s="56" t="s">
        <v>311</v>
      </c>
      <c r="AA93" s="56" t="s">
        <v>305</v>
      </c>
      <c r="AB93" s="56" t="s">
        <v>305</v>
      </c>
      <c r="AC93" s="56" t="s">
        <v>305</v>
      </c>
      <c r="AD93" s="56" t="s">
        <v>305</v>
      </c>
      <c r="AE93" s="57">
        <v>45856</v>
      </c>
      <c r="AF93" s="57">
        <v>45856</v>
      </c>
      <c r="AG93" s="58">
        <v>1400000307</v>
      </c>
      <c r="AH93" s="74" t="e" cm="1">
        <f t="array" ref="AH93">VLOOKUP(M93,'Customer data Vlookup'!$B$3:$H$127,{2,3},0)</f>
        <v>#N/A</v>
      </c>
      <c r="AI93" s="74"/>
      <c r="AJ93" s="74"/>
      <c r="AK93" s="43"/>
      <c r="AL93" s="43"/>
      <c r="AO93" t="e">
        <f>VLOOKUP(M93,'Customer data'!F:P,11,0)</f>
        <v>#N/A</v>
      </c>
    </row>
    <row r="94" spans="1:41" hidden="1">
      <c r="A94" s="56" t="s">
        <v>298</v>
      </c>
      <c r="B94" s="56" t="s">
        <v>299</v>
      </c>
      <c r="C94" s="56" t="s">
        <v>300</v>
      </c>
      <c r="D94" s="56" t="s">
        <v>301</v>
      </c>
      <c r="E94" s="56" t="s">
        <v>302</v>
      </c>
      <c r="F94" s="56" t="s">
        <v>334</v>
      </c>
      <c r="G94" s="57">
        <v>45856</v>
      </c>
      <c r="H94" s="58">
        <v>1400000308</v>
      </c>
      <c r="I94" s="56" t="s">
        <v>304</v>
      </c>
      <c r="J94" s="57">
        <v>45856</v>
      </c>
      <c r="K94" s="57">
        <v>45856</v>
      </c>
      <c r="L94" s="56" t="s">
        <v>332</v>
      </c>
      <c r="M94" s="64" t="s">
        <v>338</v>
      </c>
      <c r="N94" s="56" t="s">
        <v>306</v>
      </c>
      <c r="O94" s="56" t="s">
        <v>307</v>
      </c>
      <c r="P94" s="56" t="s">
        <v>305</v>
      </c>
      <c r="Q94" s="56" t="s">
        <v>308</v>
      </c>
      <c r="R94" s="186" t="s">
        <v>333</v>
      </c>
      <c r="S94" s="164">
        <v>0</v>
      </c>
      <c r="T94" s="187" t="s">
        <v>309</v>
      </c>
      <c r="U94" s="164">
        <v>0</v>
      </c>
      <c r="V94" s="56" t="s">
        <v>305</v>
      </c>
      <c r="W94" s="56" t="s">
        <v>310</v>
      </c>
      <c r="X94" s="56" t="s">
        <v>305</v>
      </c>
      <c r="Y94" s="56" t="s">
        <v>305</v>
      </c>
      <c r="Z94" s="56" t="s">
        <v>311</v>
      </c>
      <c r="AA94" s="56" t="s">
        <v>305</v>
      </c>
      <c r="AB94" s="56" t="s">
        <v>305</v>
      </c>
      <c r="AC94" s="56" t="s">
        <v>305</v>
      </c>
      <c r="AD94" s="56" t="s">
        <v>305</v>
      </c>
      <c r="AE94" s="57">
        <v>45856</v>
      </c>
      <c r="AF94" s="57">
        <v>45856</v>
      </c>
      <c r="AG94" s="58">
        <v>1400000308</v>
      </c>
      <c r="AH94" s="74" t="e" cm="1">
        <f t="array" ref="AH94">VLOOKUP(M94,'Customer data Vlookup'!$B$3:$H$127,{2,3},0)</f>
        <v>#N/A</v>
      </c>
      <c r="AI94" s="74"/>
      <c r="AJ94" s="74"/>
      <c r="AK94" s="43"/>
      <c r="AL94" s="43"/>
      <c r="AO94" t="e">
        <f>VLOOKUP(M94,'Customer data'!F:P,11,0)</f>
        <v>#N/A</v>
      </c>
    </row>
    <row r="95" spans="1:41" hidden="1">
      <c r="A95" s="56" t="s">
        <v>326</v>
      </c>
      <c r="B95" s="56" t="s">
        <v>299</v>
      </c>
      <c r="C95" s="56" t="s">
        <v>300</v>
      </c>
      <c r="D95" s="56" t="s">
        <v>301</v>
      </c>
      <c r="E95" s="56" t="s">
        <v>302</v>
      </c>
      <c r="F95" s="56" t="s">
        <v>327</v>
      </c>
      <c r="G95" s="57">
        <v>45856</v>
      </c>
      <c r="H95" s="58">
        <v>1400000309</v>
      </c>
      <c r="I95" s="56" t="s">
        <v>304</v>
      </c>
      <c r="J95" s="57">
        <v>45856</v>
      </c>
      <c r="K95" s="57">
        <v>45856</v>
      </c>
      <c r="L95" s="56" t="s">
        <v>332</v>
      </c>
      <c r="M95" s="64" t="s">
        <v>338</v>
      </c>
      <c r="N95" s="56" t="s">
        <v>306</v>
      </c>
      <c r="O95" s="56" t="s">
        <v>307</v>
      </c>
      <c r="P95" s="56" t="s">
        <v>305</v>
      </c>
      <c r="Q95" s="56" t="s">
        <v>308</v>
      </c>
      <c r="R95" s="186" t="s">
        <v>333</v>
      </c>
      <c r="S95" s="164">
        <v>0</v>
      </c>
      <c r="T95" s="187" t="s">
        <v>309</v>
      </c>
      <c r="U95" s="164">
        <v>0</v>
      </c>
      <c r="V95" s="56" t="s">
        <v>305</v>
      </c>
      <c r="W95" s="56" t="s">
        <v>310</v>
      </c>
      <c r="X95" s="56" t="s">
        <v>305</v>
      </c>
      <c r="Y95" s="56" t="s">
        <v>305</v>
      </c>
      <c r="Z95" s="56" t="s">
        <v>311</v>
      </c>
      <c r="AA95" s="56" t="s">
        <v>305</v>
      </c>
      <c r="AB95" s="56" t="s">
        <v>305</v>
      </c>
      <c r="AC95" s="56" t="s">
        <v>305</v>
      </c>
      <c r="AD95" s="56" t="s">
        <v>305</v>
      </c>
      <c r="AE95" s="57">
        <v>45856</v>
      </c>
      <c r="AF95" s="57">
        <v>45856</v>
      </c>
      <c r="AG95" s="58">
        <v>1400000309</v>
      </c>
      <c r="AH95" s="74" t="e" cm="1">
        <f t="array" ref="AH95">VLOOKUP(M95,'Customer data Vlookup'!$B$3:$H$127,{2,3},0)</f>
        <v>#N/A</v>
      </c>
      <c r="AI95" s="74"/>
      <c r="AJ95" s="74"/>
      <c r="AK95" s="43"/>
      <c r="AL95" s="43"/>
      <c r="AO95" t="e">
        <f>VLOOKUP(M95,'Customer data'!F:P,11,0)</f>
        <v>#N/A</v>
      </c>
    </row>
    <row r="96" spans="1:41" hidden="1">
      <c r="A96" s="56" t="s">
        <v>326</v>
      </c>
      <c r="B96" s="56" t="s">
        <v>299</v>
      </c>
      <c r="C96" s="56" t="s">
        <v>300</v>
      </c>
      <c r="D96" s="56" t="s">
        <v>301</v>
      </c>
      <c r="E96" s="56" t="s">
        <v>302</v>
      </c>
      <c r="F96" s="56" t="s">
        <v>327</v>
      </c>
      <c r="G96" s="57">
        <v>45856</v>
      </c>
      <c r="H96" s="58">
        <v>1400000310</v>
      </c>
      <c r="I96" s="56" t="s">
        <v>304</v>
      </c>
      <c r="J96" s="57">
        <v>45856</v>
      </c>
      <c r="K96" s="57">
        <v>45856</v>
      </c>
      <c r="L96" s="56" t="s">
        <v>332</v>
      </c>
      <c r="M96" s="64" t="s">
        <v>338</v>
      </c>
      <c r="N96" s="56" t="s">
        <v>306</v>
      </c>
      <c r="O96" s="56" t="s">
        <v>307</v>
      </c>
      <c r="P96" s="56" t="s">
        <v>305</v>
      </c>
      <c r="Q96" s="56" t="s">
        <v>308</v>
      </c>
      <c r="R96" s="186" t="s">
        <v>333</v>
      </c>
      <c r="S96" s="164">
        <v>0</v>
      </c>
      <c r="T96" s="187" t="s">
        <v>309</v>
      </c>
      <c r="U96" s="164">
        <v>0</v>
      </c>
      <c r="V96" s="56" t="s">
        <v>305</v>
      </c>
      <c r="W96" s="56" t="s">
        <v>310</v>
      </c>
      <c r="X96" s="56" t="s">
        <v>305</v>
      </c>
      <c r="Y96" s="56" t="s">
        <v>305</v>
      </c>
      <c r="Z96" s="56" t="s">
        <v>311</v>
      </c>
      <c r="AA96" s="56" t="s">
        <v>305</v>
      </c>
      <c r="AB96" s="56" t="s">
        <v>305</v>
      </c>
      <c r="AC96" s="56" t="s">
        <v>305</v>
      </c>
      <c r="AD96" s="56" t="s">
        <v>305</v>
      </c>
      <c r="AE96" s="57">
        <v>45856</v>
      </c>
      <c r="AF96" s="57">
        <v>45856</v>
      </c>
      <c r="AG96" s="58">
        <v>1400000310</v>
      </c>
      <c r="AH96" s="74" t="e" cm="1">
        <f t="array" ref="AH96">VLOOKUP(M96,'Customer data Vlookup'!$B$3:$H$127,{2,3},0)</f>
        <v>#N/A</v>
      </c>
      <c r="AI96" s="74"/>
      <c r="AJ96" s="74"/>
      <c r="AK96" s="43"/>
      <c r="AL96" s="43"/>
      <c r="AO96" t="e">
        <f>VLOOKUP(M96,'Customer data'!F:P,11,0)</f>
        <v>#N/A</v>
      </c>
    </row>
    <row r="97" spans="1:41" hidden="1">
      <c r="A97" s="56" t="s">
        <v>298</v>
      </c>
      <c r="B97" s="56" t="s">
        <v>299</v>
      </c>
      <c r="C97" s="56" t="s">
        <v>300</v>
      </c>
      <c r="D97" s="56" t="s">
        <v>301</v>
      </c>
      <c r="E97" s="56" t="s">
        <v>302</v>
      </c>
      <c r="F97" s="56" t="s">
        <v>327</v>
      </c>
      <c r="G97" s="57">
        <v>45856</v>
      </c>
      <c r="H97" s="58">
        <v>1400000311</v>
      </c>
      <c r="I97" s="56" t="s">
        <v>304</v>
      </c>
      <c r="J97" s="57">
        <v>45856</v>
      </c>
      <c r="K97" s="57">
        <v>45856</v>
      </c>
      <c r="L97" s="56" t="s">
        <v>332</v>
      </c>
      <c r="M97" s="64" t="s">
        <v>338</v>
      </c>
      <c r="N97" s="56" t="s">
        <v>306</v>
      </c>
      <c r="O97" s="56" t="s">
        <v>307</v>
      </c>
      <c r="P97" s="56" t="s">
        <v>305</v>
      </c>
      <c r="Q97" s="56" t="s">
        <v>308</v>
      </c>
      <c r="R97" s="186" t="s">
        <v>333</v>
      </c>
      <c r="S97" s="164">
        <v>0</v>
      </c>
      <c r="T97" s="187" t="s">
        <v>309</v>
      </c>
      <c r="U97" s="164">
        <v>0</v>
      </c>
      <c r="V97" s="56" t="s">
        <v>305</v>
      </c>
      <c r="W97" s="56" t="s">
        <v>310</v>
      </c>
      <c r="X97" s="56" t="s">
        <v>305</v>
      </c>
      <c r="Y97" s="56" t="s">
        <v>305</v>
      </c>
      <c r="Z97" s="56" t="s">
        <v>311</v>
      </c>
      <c r="AA97" s="56" t="s">
        <v>305</v>
      </c>
      <c r="AB97" s="56" t="s">
        <v>305</v>
      </c>
      <c r="AC97" s="56" t="s">
        <v>305</v>
      </c>
      <c r="AD97" s="56" t="s">
        <v>305</v>
      </c>
      <c r="AE97" s="57">
        <v>45856</v>
      </c>
      <c r="AF97" s="57">
        <v>45856</v>
      </c>
      <c r="AG97" s="58">
        <v>1400000311</v>
      </c>
      <c r="AH97" s="74" t="e" cm="1">
        <f t="array" ref="AH97">VLOOKUP(M97,'Customer data Vlookup'!$B$3:$H$127,{2,3},0)</f>
        <v>#N/A</v>
      </c>
      <c r="AI97" s="74"/>
      <c r="AJ97" s="74"/>
      <c r="AK97" s="43"/>
      <c r="AL97" s="43"/>
      <c r="AO97" t="e">
        <f>VLOOKUP(M97,'Customer data'!F:P,11,0)</f>
        <v>#N/A</v>
      </c>
    </row>
    <row r="98" spans="1:41" hidden="1">
      <c r="A98" s="56" t="s">
        <v>298</v>
      </c>
      <c r="B98" s="56" t="s">
        <v>299</v>
      </c>
      <c r="C98" s="56" t="s">
        <v>300</v>
      </c>
      <c r="D98" s="56" t="s">
        <v>301</v>
      </c>
      <c r="E98" s="56" t="s">
        <v>302</v>
      </c>
      <c r="F98" s="56" t="s">
        <v>327</v>
      </c>
      <c r="G98" s="57">
        <v>45856</v>
      </c>
      <c r="H98" s="58">
        <v>1400000312</v>
      </c>
      <c r="I98" s="56" t="s">
        <v>304</v>
      </c>
      <c r="J98" s="57">
        <v>45856</v>
      </c>
      <c r="K98" s="57">
        <v>45856</v>
      </c>
      <c r="L98" s="56" t="s">
        <v>332</v>
      </c>
      <c r="M98" s="64" t="s">
        <v>338</v>
      </c>
      <c r="N98" s="56" t="s">
        <v>306</v>
      </c>
      <c r="O98" s="56" t="s">
        <v>307</v>
      </c>
      <c r="P98" s="56" t="s">
        <v>305</v>
      </c>
      <c r="Q98" s="56" t="s">
        <v>308</v>
      </c>
      <c r="R98" s="186" t="s">
        <v>333</v>
      </c>
      <c r="S98" s="164">
        <v>0</v>
      </c>
      <c r="T98" s="187" t="s">
        <v>309</v>
      </c>
      <c r="U98" s="164">
        <v>0</v>
      </c>
      <c r="V98" s="56" t="s">
        <v>305</v>
      </c>
      <c r="W98" s="56" t="s">
        <v>310</v>
      </c>
      <c r="X98" s="56" t="s">
        <v>305</v>
      </c>
      <c r="Y98" s="56" t="s">
        <v>305</v>
      </c>
      <c r="Z98" s="56" t="s">
        <v>311</v>
      </c>
      <c r="AA98" s="56" t="s">
        <v>305</v>
      </c>
      <c r="AB98" s="56" t="s">
        <v>305</v>
      </c>
      <c r="AC98" s="56" t="s">
        <v>305</v>
      </c>
      <c r="AD98" s="56" t="s">
        <v>305</v>
      </c>
      <c r="AE98" s="57">
        <v>45856</v>
      </c>
      <c r="AF98" s="57">
        <v>45856</v>
      </c>
      <c r="AG98" s="58">
        <v>1400000312</v>
      </c>
      <c r="AH98" s="74" t="e" cm="1">
        <f t="array" ref="AH98">VLOOKUP(M98,'Customer data Vlookup'!$B$3:$H$127,{2,3},0)</f>
        <v>#N/A</v>
      </c>
      <c r="AI98" s="74"/>
      <c r="AJ98" s="74"/>
      <c r="AK98" s="43"/>
      <c r="AL98" s="43"/>
      <c r="AO98" t="e">
        <f>VLOOKUP(M98,'Customer data'!F:P,11,0)</f>
        <v>#N/A</v>
      </c>
    </row>
    <row r="99" spans="1:41" hidden="1">
      <c r="A99" s="56" t="s">
        <v>298</v>
      </c>
      <c r="B99" s="56" t="s">
        <v>299</v>
      </c>
      <c r="C99" s="56" t="s">
        <v>300</v>
      </c>
      <c r="D99" s="56" t="s">
        <v>301</v>
      </c>
      <c r="E99" s="56" t="s">
        <v>302</v>
      </c>
      <c r="F99" s="56" t="s">
        <v>327</v>
      </c>
      <c r="G99" s="57">
        <v>45856</v>
      </c>
      <c r="H99" s="58">
        <v>1400000313</v>
      </c>
      <c r="I99" s="56" t="s">
        <v>304</v>
      </c>
      <c r="J99" s="57">
        <v>45856</v>
      </c>
      <c r="K99" s="57">
        <v>45856</v>
      </c>
      <c r="L99" s="56" t="s">
        <v>332</v>
      </c>
      <c r="M99" s="64" t="s">
        <v>338</v>
      </c>
      <c r="N99" s="56" t="s">
        <v>306</v>
      </c>
      <c r="O99" s="56" t="s">
        <v>307</v>
      </c>
      <c r="P99" s="56" t="s">
        <v>305</v>
      </c>
      <c r="Q99" s="56" t="s">
        <v>308</v>
      </c>
      <c r="R99" s="186" t="s">
        <v>333</v>
      </c>
      <c r="S99" s="164">
        <v>0</v>
      </c>
      <c r="T99" s="187" t="s">
        <v>309</v>
      </c>
      <c r="U99" s="164">
        <v>0</v>
      </c>
      <c r="V99" s="56" t="s">
        <v>305</v>
      </c>
      <c r="W99" s="56" t="s">
        <v>310</v>
      </c>
      <c r="X99" s="56" t="s">
        <v>305</v>
      </c>
      <c r="Y99" s="56" t="s">
        <v>305</v>
      </c>
      <c r="Z99" s="56" t="s">
        <v>311</v>
      </c>
      <c r="AA99" s="56" t="s">
        <v>305</v>
      </c>
      <c r="AB99" s="56" t="s">
        <v>305</v>
      </c>
      <c r="AC99" s="56" t="s">
        <v>305</v>
      </c>
      <c r="AD99" s="56" t="s">
        <v>305</v>
      </c>
      <c r="AE99" s="57">
        <v>45856</v>
      </c>
      <c r="AF99" s="57">
        <v>45856</v>
      </c>
      <c r="AG99" s="58">
        <v>1400000313</v>
      </c>
      <c r="AH99" s="74" t="e" cm="1">
        <f t="array" ref="AH99">VLOOKUP(M99,'Customer data Vlookup'!$B$3:$H$127,{2,3},0)</f>
        <v>#N/A</v>
      </c>
      <c r="AI99" s="74"/>
      <c r="AJ99" s="74"/>
      <c r="AK99" s="43"/>
      <c r="AL99" s="43"/>
      <c r="AO99" t="e">
        <f>VLOOKUP(M99,'Customer data'!F:P,11,0)</f>
        <v>#N/A</v>
      </c>
    </row>
    <row r="100" spans="1:41" hidden="1">
      <c r="A100" s="56" t="s">
        <v>298</v>
      </c>
      <c r="B100" s="56" t="s">
        <v>299</v>
      </c>
      <c r="C100" s="56" t="s">
        <v>300</v>
      </c>
      <c r="D100" s="56" t="s">
        <v>301</v>
      </c>
      <c r="E100" s="56" t="s">
        <v>302</v>
      </c>
      <c r="F100" s="56" t="s">
        <v>327</v>
      </c>
      <c r="G100" s="57">
        <v>45856</v>
      </c>
      <c r="H100" s="58">
        <v>1400000314</v>
      </c>
      <c r="I100" s="56" t="s">
        <v>304</v>
      </c>
      <c r="J100" s="57">
        <v>45856</v>
      </c>
      <c r="K100" s="57">
        <v>45856</v>
      </c>
      <c r="L100" s="56" t="s">
        <v>332</v>
      </c>
      <c r="M100" s="64" t="s">
        <v>338</v>
      </c>
      <c r="N100" s="56" t="s">
        <v>306</v>
      </c>
      <c r="O100" s="56" t="s">
        <v>307</v>
      </c>
      <c r="P100" s="56" t="s">
        <v>305</v>
      </c>
      <c r="Q100" s="56" t="s">
        <v>308</v>
      </c>
      <c r="R100" s="186" t="s">
        <v>333</v>
      </c>
      <c r="S100" s="164">
        <v>0</v>
      </c>
      <c r="T100" s="187" t="s">
        <v>309</v>
      </c>
      <c r="U100" s="164">
        <v>0</v>
      </c>
      <c r="V100" s="56" t="s">
        <v>305</v>
      </c>
      <c r="W100" s="56" t="s">
        <v>310</v>
      </c>
      <c r="X100" s="56" t="s">
        <v>305</v>
      </c>
      <c r="Y100" s="56" t="s">
        <v>305</v>
      </c>
      <c r="Z100" s="56" t="s">
        <v>311</v>
      </c>
      <c r="AA100" s="56" t="s">
        <v>305</v>
      </c>
      <c r="AB100" s="56" t="s">
        <v>305</v>
      </c>
      <c r="AC100" s="56" t="s">
        <v>305</v>
      </c>
      <c r="AD100" s="56" t="s">
        <v>305</v>
      </c>
      <c r="AE100" s="57">
        <v>45856</v>
      </c>
      <c r="AF100" s="57">
        <v>45856</v>
      </c>
      <c r="AG100" s="58">
        <v>1400000314</v>
      </c>
      <c r="AH100" s="74" t="e" cm="1">
        <f t="array" ref="AH100">VLOOKUP(M100,'Customer data Vlookup'!$B$3:$H$127,{2,3},0)</f>
        <v>#N/A</v>
      </c>
      <c r="AI100" s="74"/>
      <c r="AJ100" s="74"/>
      <c r="AK100" s="43"/>
      <c r="AL100" s="43"/>
      <c r="AO100" t="e">
        <f>VLOOKUP(M100,'Customer data'!F:P,11,0)</f>
        <v>#N/A</v>
      </c>
    </row>
    <row r="101" spans="1:41" hidden="1">
      <c r="A101" s="56" t="s">
        <v>298</v>
      </c>
      <c r="B101" s="56" t="s">
        <v>299</v>
      </c>
      <c r="C101" s="56" t="s">
        <v>300</v>
      </c>
      <c r="D101" s="56" t="s">
        <v>301</v>
      </c>
      <c r="E101" s="56" t="s">
        <v>302</v>
      </c>
      <c r="F101" s="56" t="s">
        <v>327</v>
      </c>
      <c r="G101" s="57">
        <v>45856</v>
      </c>
      <c r="H101" s="58">
        <v>1400000315</v>
      </c>
      <c r="I101" s="56" t="s">
        <v>304</v>
      </c>
      <c r="J101" s="57">
        <v>45856</v>
      </c>
      <c r="K101" s="57">
        <v>45856</v>
      </c>
      <c r="L101" s="56" t="s">
        <v>332</v>
      </c>
      <c r="M101" s="64" t="s">
        <v>338</v>
      </c>
      <c r="N101" s="56" t="s">
        <v>306</v>
      </c>
      <c r="O101" s="56" t="s">
        <v>307</v>
      </c>
      <c r="P101" s="56" t="s">
        <v>305</v>
      </c>
      <c r="Q101" s="56" t="s">
        <v>308</v>
      </c>
      <c r="R101" s="186" t="s">
        <v>333</v>
      </c>
      <c r="S101" s="164">
        <v>0</v>
      </c>
      <c r="T101" s="187" t="s">
        <v>309</v>
      </c>
      <c r="U101" s="164">
        <v>0</v>
      </c>
      <c r="V101" s="56" t="s">
        <v>305</v>
      </c>
      <c r="W101" s="56" t="s">
        <v>310</v>
      </c>
      <c r="X101" s="56" t="s">
        <v>305</v>
      </c>
      <c r="Y101" s="56" t="s">
        <v>305</v>
      </c>
      <c r="Z101" s="56" t="s">
        <v>311</v>
      </c>
      <c r="AA101" s="56" t="s">
        <v>305</v>
      </c>
      <c r="AB101" s="56" t="s">
        <v>305</v>
      </c>
      <c r="AC101" s="56" t="s">
        <v>305</v>
      </c>
      <c r="AD101" s="56" t="s">
        <v>305</v>
      </c>
      <c r="AE101" s="57">
        <v>45856</v>
      </c>
      <c r="AF101" s="57">
        <v>45856</v>
      </c>
      <c r="AG101" s="58">
        <v>1400000315</v>
      </c>
      <c r="AH101" s="74" t="e" cm="1">
        <f t="array" ref="AH101">VLOOKUP(M101,'Customer data Vlookup'!$B$3:$H$127,{2,3},0)</f>
        <v>#N/A</v>
      </c>
      <c r="AI101" s="74"/>
      <c r="AJ101" s="74"/>
      <c r="AK101" s="43"/>
      <c r="AL101" s="43"/>
      <c r="AO101" t="e">
        <f>VLOOKUP(M101,'Customer data'!F:P,11,0)</f>
        <v>#N/A</v>
      </c>
    </row>
    <row r="102" spans="1:41" hidden="1">
      <c r="A102" s="56" t="s">
        <v>298</v>
      </c>
      <c r="B102" s="56" t="s">
        <v>299</v>
      </c>
      <c r="C102" s="56" t="s">
        <v>300</v>
      </c>
      <c r="D102" s="56" t="s">
        <v>301</v>
      </c>
      <c r="E102" s="56" t="s">
        <v>302</v>
      </c>
      <c r="F102" s="56" t="s">
        <v>327</v>
      </c>
      <c r="G102" s="57">
        <v>45856</v>
      </c>
      <c r="H102" s="58">
        <v>1400000316</v>
      </c>
      <c r="I102" s="56" t="s">
        <v>304</v>
      </c>
      <c r="J102" s="57">
        <v>45856</v>
      </c>
      <c r="K102" s="57">
        <v>45856</v>
      </c>
      <c r="L102" s="56" t="s">
        <v>332</v>
      </c>
      <c r="M102" s="64" t="s">
        <v>338</v>
      </c>
      <c r="N102" s="56" t="s">
        <v>306</v>
      </c>
      <c r="O102" s="56" t="s">
        <v>307</v>
      </c>
      <c r="P102" s="56" t="s">
        <v>305</v>
      </c>
      <c r="Q102" s="56" t="s">
        <v>308</v>
      </c>
      <c r="R102" s="186" t="s">
        <v>333</v>
      </c>
      <c r="S102" s="164">
        <v>0</v>
      </c>
      <c r="T102" s="187" t="s">
        <v>309</v>
      </c>
      <c r="U102" s="164">
        <v>0</v>
      </c>
      <c r="V102" s="56" t="s">
        <v>305</v>
      </c>
      <c r="W102" s="56" t="s">
        <v>310</v>
      </c>
      <c r="X102" s="56" t="s">
        <v>305</v>
      </c>
      <c r="Y102" s="56" t="s">
        <v>305</v>
      </c>
      <c r="Z102" s="56" t="s">
        <v>311</v>
      </c>
      <c r="AA102" s="56" t="s">
        <v>305</v>
      </c>
      <c r="AB102" s="56" t="s">
        <v>305</v>
      </c>
      <c r="AC102" s="56" t="s">
        <v>305</v>
      </c>
      <c r="AD102" s="56" t="s">
        <v>305</v>
      </c>
      <c r="AE102" s="57">
        <v>45856</v>
      </c>
      <c r="AF102" s="57">
        <v>45856</v>
      </c>
      <c r="AG102" s="58">
        <v>1400000316</v>
      </c>
      <c r="AH102" s="74" t="e" cm="1">
        <f t="array" ref="AH102">VLOOKUP(M102,'Customer data Vlookup'!$B$3:$H$127,{2,3},0)</f>
        <v>#N/A</v>
      </c>
      <c r="AI102" s="74"/>
      <c r="AJ102" s="74"/>
      <c r="AK102" s="43"/>
      <c r="AL102" s="43"/>
      <c r="AO102" t="e">
        <f>VLOOKUP(M102,'Customer data'!F:P,11,0)</f>
        <v>#N/A</v>
      </c>
    </row>
    <row r="103" spans="1:41" hidden="1">
      <c r="A103" s="56" t="s">
        <v>298</v>
      </c>
      <c r="B103" s="56" t="s">
        <v>299</v>
      </c>
      <c r="C103" s="56" t="s">
        <v>300</v>
      </c>
      <c r="D103" s="56" t="s">
        <v>301</v>
      </c>
      <c r="E103" s="56" t="s">
        <v>302</v>
      </c>
      <c r="F103" s="56" t="s">
        <v>327</v>
      </c>
      <c r="G103" s="57">
        <v>45856</v>
      </c>
      <c r="H103" s="58">
        <v>1400000317</v>
      </c>
      <c r="I103" s="56" t="s">
        <v>304</v>
      </c>
      <c r="J103" s="57">
        <v>45856</v>
      </c>
      <c r="K103" s="57">
        <v>45856</v>
      </c>
      <c r="L103" s="56" t="s">
        <v>332</v>
      </c>
      <c r="M103" s="64" t="s">
        <v>338</v>
      </c>
      <c r="N103" s="56" t="s">
        <v>306</v>
      </c>
      <c r="O103" s="56" t="s">
        <v>307</v>
      </c>
      <c r="P103" s="56" t="s">
        <v>305</v>
      </c>
      <c r="Q103" s="56" t="s">
        <v>308</v>
      </c>
      <c r="R103" s="186" t="s">
        <v>333</v>
      </c>
      <c r="S103" s="164">
        <v>0</v>
      </c>
      <c r="T103" s="187" t="s">
        <v>309</v>
      </c>
      <c r="U103" s="164">
        <v>0</v>
      </c>
      <c r="V103" s="56" t="s">
        <v>305</v>
      </c>
      <c r="W103" s="56" t="s">
        <v>310</v>
      </c>
      <c r="X103" s="56" t="s">
        <v>305</v>
      </c>
      <c r="Y103" s="56" t="s">
        <v>305</v>
      </c>
      <c r="Z103" s="56" t="s">
        <v>311</v>
      </c>
      <c r="AA103" s="56" t="s">
        <v>305</v>
      </c>
      <c r="AB103" s="56" t="s">
        <v>305</v>
      </c>
      <c r="AC103" s="56" t="s">
        <v>305</v>
      </c>
      <c r="AD103" s="56" t="s">
        <v>305</v>
      </c>
      <c r="AE103" s="57">
        <v>45856</v>
      </c>
      <c r="AF103" s="57">
        <v>45856</v>
      </c>
      <c r="AG103" s="58">
        <v>1400000317</v>
      </c>
      <c r="AH103" s="74" t="e" cm="1">
        <f t="array" ref="AH103">VLOOKUP(M103,'Customer data Vlookup'!$B$3:$H$127,{2,3},0)</f>
        <v>#N/A</v>
      </c>
      <c r="AI103" s="74"/>
      <c r="AJ103" s="74"/>
      <c r="AK103" s="43"/>
      <c r="AL103" s="43"/>
      <c r="AO103" t="e">
        <f>VLOOKUP(M103,'Customer data'!F:P,11,0)</f>
        <v>#N/A</v>
      </c>
    </row>
    <row r="104" spans="1:41" hidden="1">
      <c r="A104" s="56" t="s">
        <v>298</v>
      </c>
      <c r="B104" s="56" t="s">
        <v>299</v>
      </c>
      <c r="C104" s="56" t="s">
        <v>300</v>
      </c>
      <c r="D104" s="56" t="s">
        <v>301</v>
      </c>
      <c r="E104" s="56" t="s">
        <v>302</v>
      </c>
      <c r="F104" s="56" t="s">
        <v>327</v>
      </c>
      <c r="G104" s="57">
        <v>45856</v>
      </c>
      <c r="H104" s="58">
        <v>1400000318</v>
      </c>
      <c r="I104" s="56" t="s">
        <v>304</v>
      </c>
      <c r="J104" s="57">
        <v>45856</v>
      </c>
      <c r="K104" s="57">
        <v>45856</v>
      </c>
      <c r="L104" s="56" t="s">
        <v>332</v>
      </c>
      <c r="M104" s="64" t="s">
        <v>338</v>
      </c>
      <c r="N104" s="56" t="s">
        <v>306</v>
      </c>
      <c r="O104" s="56" t="s">
        <v>307</v>
      </c>
      <c r="P104" s="56" t="s">
        <v>305</v>
      </c>
      <c r="Q104" s="56" t="s">
        <v>308</v>
      </c>
      <c r="R104" s="186" t="s">
        <v>333</v>
      </c>
      <c r="S104" s="164">
        <v>0</v>
      </c>
      <c r="T104" s="187" t="s">
        <v>309</v>
      </c>
      <c r="U104" s="164">
        <v>0</v>
      </c>
      <c r="V104" s="56" t="s">
        <v>305</v>
      </c>
      <c r="W104" s="56" t="s">
        <v>310</v>
      </c>
      <c r="X104" s="56" t="s">
        <v>305</v>
      </c>
      <c r="Y104" s="56" t="s">
        <v>305</v>
      </c>
      <c r="Z104" s="56" t="s">
        <v>311</v>
      </c>
      <c r="AA104" s="56" t="s">
        <v>305</v>
      </c>
      <c r="AB104" s="56" t="s">
        <v>305</v>
      </c>
      <c r="AC104" s="56" t="s">
        <v>305</v>
      </c>
      <c r="AD104" s="56" t="s">
        <v>305</v>
      </c>
      <c r="AE104" s="57">
        <v>45856</v>
      </c>
      <c r="AF104" s="57">
        <v>45856</v>
      </c>
      <c r="AG104" s="58">
        <v>1400000318</v>
      </c>
      <c r="AH104" s="74" t="e" cm="1">
        <f t="array" ref="AH104">VLOOKUP(M104,'Customer data Vlookup'!$B$3:$H$127,{2,3},0)</f>
        <v>#N/A</v>
      </c>
      <c r="AI104" s="74"/>
      <c r="AJ104" s="74"/>
      <c r="AK104" s="43"/>
      <c r="AL104" s="43"/>
      <c r="AO104" t="e">
        <f>VLOOKUP(M104,'Customer data'!F:P,11,0)</f>
        <v>#N/A</v>
      </c>
    </row>
    <row r="105" spans="1:41" hidden="1">
      <c r="A105" s="56" t="s">
        <v>298</v>
      </c>
      <c r="B105" s="56" t="s">
        <v>299</v>
      </c>
      <c r="C105" s="56" t="s">
        <v>300</v>
      </c>
      <c r="D105" s="56" t="s">
        <v>301</v>
      </c>
      <c r="E105" s="56" t="s">
        <v>302</v>
      </c>
      <c r="F105" s="56" t="s">
        <v>327</v>
      </c>
      <c r="G105" s="57">
        <v>45856</v>
      </c>
      <c r="H105" s="58">
        <v>1400000319</v>
      </c>
      <c r="I105" s="56" t="s">
        <v>304</v>
      </c>
      <c r="J105" s="57">
        <v>45856</v>
      </c>
      <c r="K105" s="57">
        <v>45856</v>
      </c>
      <c r="L105" s="56" t="s">
        <v>332</v>
      </c>
      <c r="M105" s="64" t="s">
        <v>338</v>
      </c>
      <c r="N105" s="56" t="s">
        <v>306</v>
      </c>
      <c r="O105" s="56" t="s">
        <v>307</v>
      </c>
      <c r="P105" s="56" t="s">
        <v>305</v>
      </c>
      <c r="Q105" s="56" t="s">
        <v>308</v>
      </c>
      <c r="R105" s="186" t="s">
        <v>333</v>
      </c>
      <c r="S105" s="164">
        <v>0</v>
      </c>
      <c r="T105" s="187" t="s">
        <v>309</v>
      </c>
      <c r="U105" s="164">
        <v>0</v>
      </c>
      <c r="V105" s="56" t="s">
        <v>305</v>
      </c>
      <c r="W105" s="56" t="s">
        <v>310</v>
      </c>
      <c r="X105" s="56" t="s">
        <v>305</v>
      </c>
      <c r="Y105" s="56" t="s">
        <v>305</v>
      </c>
      <c r="Z105" s="56" t="s">
        <v>311</v>
      </c>
      <c r="AA105" s="56" t="s">
        <v>305</v>
      </c>
      <c r="AB105" s="56" t="s">
        <v>305</v>
      </c>
      <c r="AC105" s="56" t="s">
        <v>305</v>
      </c>
      <c r="AD105" s="56" t="s">
        <v>305</v>
      </c>
      <c r="AE105" s="57">
        <v>45856</v>
      </c>
      <c r="AF105" s="57">
        <v>45856</v>
      </c>
      <c r="AG105" s="58">
        <v>1400000319</v>
      </c>
      <c r="AH105" s="74" t="e" cm="1">
        <f t="array" ref="AH105">VLOOKUP(M105,'Customer data Vlookup'!$B$3:$H$127,{2,3},0)</f>
        <v>#N/A</v>
      </c>
      <c r="AI105" s="74"/>
      <c r="AJ105" s="74"/>
      <c r="AK105" s="43"/>
      <c r="AL105" s="43"/>
      <c r="AO105" t="e">
        <f>VLOOKUP(M105,'Customer data'!F:P,11,0)</f>
        <v>#N/A</v>
      </c>
    </row>
    <row r="106" spans="1:41" hidden="1">
      <c r="A106" s="56" t="s">
        <v>298</v>
      </c>
      <c r="B106" s="56" t="s">
        <v>299</v>
      </c>
      <c r="C106" s="56" t="s">
        <v>300</v>
      </c>
      <c r="D106" s="56" t="s">
        <v>301</v>
      </c>
      <c r="E106" s="56" t="s">
        <v>302</v>
      </c>
      <c r="F106" s="56" t="s">
        <v>327</v>
      </c>
      <c r="G106" s="57">
        <v>45856</v>
      </c>
      <c r="H106" s="58">
        <v>1400000320</v>
      </c>
      <c r="I106" s="56" t="s">
        <v>304</v>
      </c>
      <c r="J106" s="57">
        <v>45856</v>
      </c>
      <c r="K106" s="57">
        <v>45856</v>
      </c>
      <c r="L106" s="56" t="s">
        <v>332</v>
      </c>
      <c r="M106" s="64" t="s">
        <v>338</v>
      </c>
      <c r="N106" s="56" t="s">
        <v>306</v>
      </c>
      <c r="O106" s="56" t="s">
        <v>307</v>
      </c>
      <c r="P106" s="56" t="s">
        <v>305</v>
      </c>
      <c r="Q106" s="56" t="s">
        <v>308</v>
      </c>
      <c r="R106" s="186" t="s">
        <v>333</v>
      </c>
      <c r="S106" s="164">
        <v>0</v>
      </c>
      <c r="T106" s="187" t="s">
        <v>309</v>
      </c>
      <c r="U106" s="164">
        <v>0</v>
      </c>
      <c r="V106" s="56" t="s">
        <v>305</v>
      </c>
      <c r="W106" s="56" t="s">
        <v>310</v>
      </c>
      <c r="X106" s="56" t="s">
        <v>305</v>
      </c>
      <c r="Y106" s="56" t="s">
        <v>305</v>
      </c>
      <c r="Z106" s="56" t="s">
        <v>311</v>
      </c>
      <c r="AA106" s="56" t="s">
        <v>305</v>
      </c>
      <c r="AB106" s="56" t="s">
        <v>305</v>
      </c>
      <c r="AC106" s="56" t="s">
        <v>305</v>
      </c>
      <c r="AD106" s="56" t="s">
        <v>305</v>
      </c>
      <c r="AE106" s="57">
        <v>45856</v>
      </c>
      <c r="AF106" s="57">
        <v>45856</v>
      </c>
      <c r="AG106" s="58">
        <v>1400000320</v>
      </c>
      <c r="AH106" s="74" t="e" cm="1">
        <f t="array" ref="AH106">VLOOKUP(M106,'Customer data Vlookup'!$B$3:$H$127,{2,3},0)</f>
        <v>#N/A</v>
      </c>
      <c r="AI106" s="74"/>
      <c r="AJ106" s="74"/>
      <c r="AK106" s="43"/>
      <c r="AL106" s="43"/>
      <c r="AO106" t="e">
        <f>VLOOKUP(M106,'Customer data'!F:P,11,0)</f>
        <v>#N/A</v>
      </c>
    </row>
    <row r="107" spans="1:41" hidden="1">
      <c r="A107" s="56" t="s">
        <v>298</v>
      </c>
      <c r="B107" s="56" t="s">
        <v>299</v>
      </c>
      <c r="C107" s="56" t="s">
        <v>300</v>
      </c>
      <c r="D107" s="56" t="s">
        <v>301</v>
      </c>
      <c r="E107" s="56" t="s">
        <v>302</v>
      </c>
      <c r="F107" s="56" t="s">
        <v>327</v>
      </c>
      <c r="G107" s="57">
        <v>45856</v>
      </c>
      <c r="H107" s="58">
        <v>1400000321</v>
      </c>
      <c r="I107" s="56" t="s">
        <v>304</v>
      </c>
      <c r="J107" s="57">
        <v>45856</v>
      </c>
      <c r="K107" s="57">
        <v>45856</v>
      </c>
      <c r="L107" s="56" t="s">
        <v>332</v>
      </c>
      <c r="M107" s="64" t="s">
        <v>338</v>
      </c>
      <c r="N107" s="56" t="s">
        <v>306</v>
      </c>
      <c r="O107" s="56" t="s">
        <v>307</v>
      </c>
      <c r="P107" s="56" t="s">
        <v>305</v>
      </c>
      <c r="Q107" s="56" t="s">
        <v>308</v>
      </c>
      <c r="R107" s="186" t="s">
        <v>333</v>
      </c>
      <c r="S107" s="164">
        <v>0</v>
      </c>
      <c r="T107" s="187" t="s">
        <v>309</v>
      </c>
      <c r="U107" s="164">
        <v>0</v>
      </c>
      <c r="V107" s="56" t="s">
        <v>305</v>
      </c>
      <c r="W107" s="56" t="s">
        <v>310</v>
      </c>
      <c r="X107" s="56" t="s">
        <v>305</v>
      </c>
      <c r="Y107" s="56" t="s">
        <v>305</v>
      </c>
      <c r="Z107" s="56" t="s">
        <v>311</v>
      </c>
      <c r="AA107" s="56" t="s">
        <v>305</v>
      </c>
      <c r="AB107" s="56" t="s">
        <v>305</v>
      </c>
      <c r="AC107" s="56" t="s">
        <v>305</v>
      </c>
      <c r="AD107" s="56" t="s">
        <v>305</v>
      </c>
      <c r="AE107" s="57">
        <v>45856</v>
      </c>
      <c r="AF107" s="57">
        <v>45856</v>
      </c>
      <c r="AG107" s="58">
        <v>1400000321</v>
      </c>
      <c r="AH107" s="74" t="e" cm="1">
        <f t="array" ref="AH107">VLOOKUP(M107,'Customer data Vlookup'!$B$3:$H$127,{2,3},0)</f>
        <v>#N/A</v>
      </c>
      <c r="AI107" s="74"/>
      <c r="AJ107" s="74"/>
      <c r="AK107" s="43"/>
      <c r="AL107" s="43"/>
      <c r="AO107" t="e">
        <f>VLOOKUP(M107,'Customer data'!F:P,11,0)</f>
        <v>#N/A</v>
      </c>
    </row>
    <row r="108" spans="1:41" hidden="1">
      <c r="A108" s="56" t="s">
        <v>298</v>
      </c>
      <c r="B108" s="56" t="s">
        <v>299</v>
      </c>
      <c r="C108" s="56" t="s">
        <v>300</v>
      </c>
      <c r="D108" s="56" t="s">
        <v>301</v>
      </c>
      <c r="E108" s="56" t="s">
        <v>302</v>
      </c>
      <c r="F108" s="56" t="s">
        <v>327</v>
      </c>
      <c r="G108" s="57">
        <v>45856</v>
      </c>
      <c r="H108" s="58">
        <v>1400000322</v>
      </c>
      <c r="I108" s="56" t="s">
        <v>304</v>
      </c>
      <c r="J108" s="57">
        <v>45856</v>
      </c>
      <c r="K108" s="57">
        <v>45856</v>
      </c>
      <c r="L108" s="56" t="s">
        <v>332</v>
      </c>
      <c r="M108" s="64" t="s">
        <v>338</v>
      </c>
      <c r="N108" s="56" t="s">
        <v>306</v>
      </c>
      <c r="O108" s="56" t="s">
        <v>307</v>
      </c>
      <c r="P108" s="56" t="s">
        <v>305</v>
      </c>
      <c r="Q108" s="56" t="s">
        <v>308</v>
      </c>
      <c r="R108" s="186" t="s">
        <v>333</v>
      </c>
      <c r="S108" s="164">
        <v>0</v>
      </c>
      <c r="T108" s="187" t="s">
        <v>309</v>
      </c>
      <c r="U108" s="164">
        <v>0</v>
      </c>
      <c r="V108" s="56" t="s">
        <v>305</v>
      </c>
      <c r="W108" s="56" t="s">
        <v>310</v>
      </c>
      <c r="X108" s="56" t="s">
        <v>305</v>
      </c>
      <c r="Y108" s="56" t="s">
        <v>305</v>
      </c>
      <c r="Z108" s="56" t="s">
        <v>311</v>
      </c>
      <c r="AA108" s="56" t="s">
        <v>305</v>
      </c>
      <c r="AB108" s="56" t="s">
        <v>305</v>
      </c>
      <c r="AC108" s="56" t="s">
        <v>305</v>
      </c>
      <c r="AD108" s="56" t="s">
        <v>305</v>
      </c>
      <c r="AE108" s="57">
        <v>45856</v>
      </c>
      <c r="AF108" s="57">
        <v>45856</v>
      </c>
      <c r="AG108" s="58">
        <v>1400000322</v>
      </c>
      <c r="AH108" s="74" t="e" cm="1">
        <f t="array" ref="AH108">VLOOKUP(M108,'Customer data Vlookup'!$B$3:$H$127,{2,3},0)</f>
        <v>#N/A</v>
      </c>
      <c r="AI108" s="74"/>
      <c r="AJ108" s="74"/>
      <c r="AK108" s="43"/>
      <c r="AL108" s="43"/>
      <c r="AO108" t="e">
        <f>VLOOKUP(M108,'Customer data'!F:P,11,0)</f>
        <v>#N/A</v>
      </c>
    </row>
    <row r="109" spans="1:41" hidden="1">
      <c r="A109" s="56" t="s">
        <v>326</v>
      </c>
      <c r="B109" s="56" t="s">
        <v>299</v>
      </c>
      <c r="C109" s="56" t="s">
        <v>300</v>
      </c>
      <c r="D109" s="56" t="s">
        <v>301</v>
      </c>
      <c r="E109" s="56" t="s">
        <v>302</v>
      </c>
      <c r="F109" s="56" t="s">
        <v>327</v>
      </c>
      <c r="G109" s="57">
        <v>45856</v>
      </c>
      <c r="H109" s="58">
        <v>1400000323</v>
      </c>
      <c r="I109" s="56" t="s">
        <v>304</v>
      </c>
      <c r="J109" s="57">
        <v>45856</v>
      </c>
      <c r="K109" s="57">
        <v>45856</v>
      </c>
      <c r="L109" s="56" t="s">
        <v>332</v>
      </c>
      <c r="M109" s="64" t="s">
        <v>338</v>
      </c>
      <c r="N109" s="56" t="s">
        <v>306</v>
      </c>
      <c r="O109" s="56" t="s">
        <v>307</v>
      </c>
      <c r="P109" s="56" t="s">
        <v>305</v>
      </c>
      <c r="Q109" s="56" t="s">
        <v>308</v>
      </c>
      <c r="R109" s="186" t="s">
        <v>333</v>
      </c>
      <c r="S109" s="164">
        <v>0</v>
      </c>
      <c r="T109" s="187" t="s">
        <v>309</v>
      </c>
      <c r="U109" s="164">
        <v>0</v>
      </c>
      <c r="V109" s="56" t="s">
        <v>305</v>
      </c>
      <c r="W109" s="56" t="s">
        <v>310</v>
      </c>
      <c r="X109" s="56" t="s">
        <v>305</v>
      </c>
      <c r="Y109" s="56" t="s">
        <v>305</v>
      </c>
      <c r="Z109" s="56" t="s">
        <v>311</v>
      </c>
      <c r="AA109" s="56" t="s">
        <v>305</v>
      </c>
      <c r="AB109" s="56" t="s">
        <v>305</v>
      </c>
      <c r="AC109" s="56" t="s">
        <v>305</v>
      </c>
      <c r="AD109" s="56" t="s">
        <v>305</v>
      </c>
      <c r="AE109" s="57">
        <v>45856</v>
      </c>
      <c r="AF109" s="57">
        <v>45856</v>
      </c>
      <c r="AG109" s="58">
        <v>1400000323</v>
      </c>
      <c r="AH109" s="74" t="e" cm="1">
        <f t="array" ref="AH109">VLOOKUP(M109,'Customer data Vlookup'!$B$3:$H$127,{2,3},0)</f>
        <v>#N/A</v>
      </c>
      <c r="AI109" s="74"/>
      <c r="AJ109" s="74"/>
      <c r="AK109" s="43"/>
      <c r="AL109" s="43"/>
      <c r="AO109" t="e">
        <f>VLOOKUP(M109,'Customer data'!F:P,11,0)</f>
        <v>#N/A</v>
      </c>
    </row>
    <row r="110" spans="1:41" hidden="1">
      <c r="A110" s="56" t="s">
        <v>326</v>
      </c>
      <c r="B110" s="56" t="s">
        <v>299</v>
      </c>
      <c r="C110" s="56" t="s">
        <v>300</v>
      </c>
      <c r="D110" s="56" t="s">
        <v>301</v>
      </c>
      <c r="E110" s="56" t="s">
        <v>302</v>
      </c>
      <c r="F110" s="56" t="s">
        <v>327</v>
      </c>
      <c r="G110" s="57">
        <v>45856</v>
      </c>
      <c r="H110" s="58">
        <v>1400000324</v>
      </c>
      <c r="I110" s="56" t="s">
        <v>304</v>
      </c>
      <c r="J110" s="57">
        <v>45856</v>
      </c>
      <c r="K110" s="57">
        <v>45856</v>
      </c>
      <c r="L110" s="56" t="s">
        <v>332</v>
      </c>
      <c r="M110" s="64" t="s">
        <v>338</v>
      </c>
      <c r="N110" s="56" t="s">
        <v>306</v>
      </c>
      <c r="O110" s="56" t="s">
        <v>307</v>
      </c>
      <c r="P110" s="56" t="s">
        <v>305</v>
      </c>
      <c r="Q110" s="56" t="s">
        <v>308</v>
      </c>
      <c r="R110" s="186" t="s">
        <v>333</v>
      </c>
      <c r="S110" s="164">
        <v>0</v>
      </c>
      <c r="T110" s="187" t="s">
        <v>309</v>
      </c>
      <c r="U110" s="164">
        <v>0</v>
      </c>
      <c r="V110" s="56" t="s">
        <v>305</v>
      </c>
      <c r="W110" s="56" t="s">
        <v>310</v>
      </c>
      <c r="X110" s="56" t="s">
        <v>305</v>
      </c>
      <c r="Y110" s="56" t="s">
        <v>305</v>
      </c>
      <c r="Z110" s="56" t="s">
        <v>311</v>
      </c>
      <c r="AA110" s="56" t="s">
        <v>305</v>
      </c>
      <c r="AB110" s="56" t="s">
        <v>305</v>
      </c>
      <c r="AC110" s="56" t="s">
        <v>305</v>
      </c>
      <c r="AD110" s="56" t="s">
        <v>305</v>
      </c>
      <c r="AE110" s="57">
        <v>45856</v>
      </c>
      <c r="AF110" s="57">
        <v>45856</v>
      </c>
      <c r="AG110" s="58">
        <v>1400000324</v>
      </c>
      <c r="AH110" s="74" t="e" cm="1">
        <f t="array" ref="AH110">VLOOKUP(M110,'Customer data Vlookup'!$B$3:$H$127,{2,3},0)</f>
        <v>#N/A</v>
      </c>
      <c r="AI110" s="74"/>
      <c r="AJ110" s="74"/>
      <c r="AK110" s="43"/>
      <c r="AL110" s="43"/>
      <c r="AO110" t="e">
        <f>VLOOKUP(M110,'Customer data'!F:P,11,0)</f>
        <v>#N/A</v>
      </c>
    </row>
    <row r="111" spans="1:41" hidden="1">
      <c r="A111" s="56" t="s">
        <v>326</v>
      </c>
      <c r="B111" s="56" t="s">
        <v>299</v>
      </c>
      <c r="C111" s="56" t="s">
        <v>300</v>
      </c>
      <c r="D111" s="56" t="s">
        <v>301</v>
      </c>
      <c r="E111" s="56" t="s">
        <v>302</v>
      </c>
      <c r="F111" s="56" t="s">
        <v>327</v>
      </c>
      <c r="G111" s="57">
        <v>45856</v>
      </c>
      <c r="H111" s="58">
        <v>1400000325</v>
      </c>
      <c r="I111" s="56" t="s">
        <v>304</v>
      </c>
      <c r="J111" s="57">
        <v>45856</v>
      </c>
      <c r="K111" s="57">
        <v>45856</v>
      </c>
      <c r="L111" s="56" t="s">
        <v>332</v>
      </c>
      <c r="M111" s="64" t="s">
        <v>338</v>
      </c>
      <c r="N111" s="56" t="s">
        <v>306</v>
      </c>
      <c r="O111" s="56" t="s">
        <v>307</v>
      </c>
      <c r="P111" s="56" t="s">
        <v>305</v>
      </c>
      <c r="Q111" s="56" t="s">
        <v>308</v>
      </c>
      <c r="R111" s="186" t="s">
        <v>333</v>
      </c>
      <c r="S111" s="164">
        <v>0</v>
      </c>
      <c r="T111" s="187" t="s">
        <v>309</v>
      </c>
      <c r="U111" s="164">
        <v>0</v>
      </c>
      <c r="V111" s="56" t="s">
        <v>305</v>
      </c>
      <c r="W111" s="56" t="s">
        <v>310</v>
      </c>
      <c r="X111" s="56" t="s">
        <v>305</v>
      </c>
      <c r="Y111" s="56" t="s">
        <v>305</v>
      </c>
      <c r="Z111" s="56" t="s">
        <v>311</v>
      </c>
      <c r="AA111" s="56" t="s">
        <v>305</v>
      </c>
      <c r="AB111" s="56" t="s">
        <v>305</v>
      </c>
      <c r="AC111" s="56" t="s">
        <v>305</v>
      </c>
      <c r="AD111" s="56" t="s">
        <v>305</v>
      </c>
      <c r="AE111" s="57">
        <v>45856</v>
      </c>
      <c r="AF111" s="57">
        <v>45856</v>
      </c>
      <c r="AG111" s="58">
        <v>1400000325</v>
      </c>
      <c r="AH111" s="74" t="e" cm="1">
        <f t="array" ref="AH111">VLOOKUP(M111,'Customer data Vlookup'!$B$3:$H$127,{2,3},0)</f>
        <v>#N/A</v>
      </c>
      <c r="AI111" s="74"/>
      <c r="AJ111" s="74"/>
      <c r="AK111" s="43"/>
      <c r="AL111" s="43"/>
      <c r="AO111" t="e">
        <f>VLOOKUP(M111,'Customer data'!F:P,11,0)</f>
        <v>#N/A</v>
      </c>
    </row>
    <row r="112" spans="1:41" hidden="1">
      <c r="A112" s="56" t="s">
        <v>326</v>
      </c>
      <c r="B112" s="56" t="s">
        <v>299</v>
      </c>
      <c r="C112" s="56" t="s">
        <v>300</v>
      </c>
      <c r="D112" s="56" t="s">
        <v>301</v>
      </c>
      <c r="E112" s="56" t="s">
        <v>302</v>
      </c>
      <c r="F112" s="56" t="s">
        <v>327</v>
      </c>
      <c r="G112" s="57">
        <v>45856</v>
      </c>
      <c r="H112" s="58">
        <v>1400000327</v>
      </c>
      <c r="I112" s="56" t="s">
        <v>304</v>
      </c>
      <c r="J112" s="57">
        <v>45856</v>
      </c>
      <c r="K112" s="57">
        <v>45856</v>
      </c>
      <c r="L112" s="56" t="s">
        <v>332</v>
      </c>
      <c r="M112" s="64" t="s">
        <v>338</v>
      </c>
      <c r="N112" s="56" t="s">
        <v>306</v>
      </c>
      <c r="O112" s="56" t="s">
        <v>307</v>
      </c>
      <c r="P112" s="56" t="s">
        <v>305</v>
      </c>
      <c r="Q112" s="56" t="s">
        <v>308</v>
      </c>
      <c r="R112" s="186" t="s">
        <v>333</v>
      </c>
      <c r="S112" s="164">
        <v>0</v>
      </c>
      <c r="T112" s="187" t="s">
        <v>309</v>
      </c>
      <c r="U112" s="164">
        <v>0</v>
      </c>
      <c r="V112" s="56" t="s">
        <v>305</v>
      </c>
      <c r="W112" s="56" t="s">
        <v>310</v>
      </c>
      <c r="X112" s="56" t="s">
        <v>305</v>
      </c>
      <c r="Y112" s="56" t="s">
        <v>305</v>
      </c>
      <c r="Z112" s="56" t="s">
        <v>311</v>
      </c>
      <c r="AA112" s="56" t="s">
        <v>305</v>
      </c>
      <c r="AB112" s="56" t="s">
        <v>305</v>
      </c>
      <c r="AC112" s="56" t="s">
        <v>305</v>
      </c>
      <c r="AD112" s="56" t="s">
        <v>305</v>
      </c>
      <c r="AE112" s="57">
        <v>45856</v>
      </c>
      <c r="AF112" s="57">
        <v>45856</v>
      </c>
      <c r="AG112" s="58">
        <v>1400000327</v>
      </c>
      <c r="AH112" s="74" t="e" cm="1">
        <f t="array" ref="AH112">VLOOKUP(M112,'Customer data Vlookup'!$B$3:$H$127,{2,3},0)</f>
        <v>#N/A</v>
      </c>
      <c r="AI112" s="74"/>
      <c r="AJ112" s="74"/>
      <c r="AK112" s="43"/>
      <c r="AL112" s="43"/>
      <c r="AO112" t="e">
        <f>VLOOKUP(M112,'Customer data'!F:P,11,0)</f>
        <v>#N/A</v>
      </c>
    </row>
    <row r="113" spans="1:41" hidden="1">
      <c r="A113" s="56" t="s">
        <v>326</v>
      </c>
      <c r="B113" s="56" t="s">
        <v>299</v>
      </c>
      <c r="C113" s="56" t="s">
        <v>300</v>
      </c>
      <c r="D113" s="56" t="s">
        <v>301</v>
      </c>
      <c r="E113" s="56" t="s">
        <v>302</v>
      </c>
      <c r="F113" s="56" t="s">
        <v>327</v>
      </c>
      <c r="G113" s="57">
        <v>45856</v>
      </c>
      <c r="H113" s="58">
        <v>1400000328</v>
      </c>
      <c r="I113" s="56" t="s">
        <v>304</v>
      </c>
      <c r="J113" s="57">
        <v>45856</v>
      </c>
      <c r="K113" s="57">
        <v>45856</v>
      </c>
      <c r="L113" s="56" t="s">
        <v>332</v>
      </c>
      <c r="M113" s="64" t="s">
        <v>338</v>
      </c>
      <c r="N113" s="56" t="s">
        <v>306</v>
      </c>
      <c r="O113" s="56" t="s">
        <v>307</v>
      </c>
      <c r="P113" s="56" t="s">
        <v>305</v>
      </c>
      <c r="Q113" s="56" t="s">
        <v>308</v>
      </c>
      <c r="R113" s="186" t="s">
        <v>333</v>
      </c>
      <c r="S113" s="164">
        <v>0</v>
      </c>
      <c r="T113" s="187" t="s">
        <v>309</v>
      </c>
      <c r="U113" s="164">
        <v>0</v>
      </c>
      <c r="V113" s="56" t="s">
        <v>305</v>
      </c>
      <c r="W113" s="56" t="s">
        <v>310</v>
      </c>
      <c r="X113" s="56" t="s">
        <v>305</v>
      </c>
      <c r="Y113" s="56" t="s">
        <v>305</v>
      </c>
      <c r="Z113" s="56" t="s">
        <v>311</v>
      </c>
      <c r="AA113" s="56" t="s">
        <v>305</v>
      </c>
      <c r="AB113" s="56" t="s">
        <v>305</v>
      </c>
      <c r="AC113" s="56" t="s">
        <v>305</v>
      </c>
      <c r="AD113" s="56" t="s">
        <v>305</v>
      </c>
      <c r="AE113" s="57">
        <v>45856</v>
      </c>
      <c r="AF113" s="57">
        <v>45856</v>
      </c>
      <c r="AG113" s="58">
        <v>1400000328</v>
      </c>
      <c r="AH113" s="74" t="e" cm="1">
        <f t="array" ref="AH113">VLOOKUP(M113,'Customer data Vlookup'!$B$3:$H$127,{2,3},0)</f>
        <v>#N/A</v>
      </c>
      <c r="AI113" s="74"/>
      <c r="AJ113" s="74"/>
      <c r="AK113" s="43"/>
      <c r="AL113" s="43"/>
      <c r="AO113" t="e">
        <f>VLOOKUP(M113,'Customer data'!F:P,11,0)</f>
        <v>#N/A</v>
      </c>
    </row>
    <row r="114" spans="1:41" hidden="1">
      <c r="A114" s="56" t="s">
        <v>326</v>
      </c>
      <c r="B114" s="56" t="s">
        <v>299</v>
      </c>
      <c r="C114" s="56" t="s">
        <v>300</v>
      </c>
      <c r="D114" s="56" t="s">
        <v>301</v>
      </c>
      <c r="E114" s="56" t="s">
        <v>302</v>
      </c>
      <c r="F114" s="56" t="s">
        <v>327</v>
      </c>
      <c r="G114" s="57">
        <v>45856</v>
      </c>
      <c r="H114" s="58">
        <v>1400000329</v>
      </c>
      <c r="I114" s="56" t="s">
        <v>304</v>
      </c>
      <c r="J114" s="57">
        <v>45856</v>
      </c>
      <c r="K114" s="57">
        <v>45856</v>
      </c>
      <c r="L114" s="56" t="s">
        <v>332</v>
      </c>
      <c r="M114" s="64" t="s">
        <v>338</v>
      </c>
      <c r="N114" s="56" t="s">
        <v>306</v>
      </c>
      <c r="O114" s="56" t="s">
        <v>307</v>
      </c>
      <c r="P114" s="56" t="s">
        <v>305</v>
      </c>
      <c r="Q114" s="56" t="s">
        <v>308</v>
      </c>
      <c r="R114" s="186" t="s">
        <v>333</v>
      </c>
      <c r="S114" s="164">
        <v>0</v>
      </c>
      <c r="T114" s="187" t="s">
        <v>309</v>
      </c>
      <c r="U114" s="164">
        <v>0</v>
      </c>
      <c r="V114" s="56" t="s">
        <v>305</v>
      </c>
      <c r="W114" s="56" t="s">
        <v>310</v>
      </c>
      <c r="X114" s="56" t="s">
        <v>305</v>
      </c>
      <c r="Y114" s="56" t="s">
        <v>305</v>
      </c>
      <c r="Z114" s="56" t="s">
        <v>311</v>
      </c>
      <c r="AA114" s="56" t="s">
        <v>305</v>
      </c>
      <c r="AB114" s="56" t="s">
        <v>305</v>
      </c>
      <c r="AC114" s="56" t="s">
        <v>305</v>
      </c>
      <c r="AD114" s="56" t="s">
        <v>305</v>
      </c>
      <c r="AE114" s="57">
        <v>45856</v>
      </c>
      <c r="AF114" s="57">
        <v>45856</v>
      </c>
      <c r="AG114" s="58">
        <v>1400000329</v>
      </c>
      <c r="AH114" s="74" t="e" cm="1">
        <f t="array" ref="AH114">VLOOKUP(M114,'Customer data Vlookup'!$B$3:$H$127,{2,3},0)</f>
        <v>#N/A</v>
      </c>
      <c r="AI114" s="74"/>
      <c r="AJ114" s="74"/>
      <c r="AK114" s="43"/>
      <c r="AL114" s="43"/>
      <c r="AO114" t="e">
        <f>VLOOKUP(M114,'Customer data'!F:P,11,0)</f>
        <v>#N/A</v>
      </c>
    </row>
    <row r="115" spans="1:41" hidden="1">
      <c r="A115" s="56" t="s">
        <v>326</v>
      </c>
      <c r="B115" s="56" t="s">
        <v>299</v>
      </c>
      <c r="C115" s="56" t="s">
        <v>300</v>
      </c>
      <c r="D115" s="56" t="s">
        <v>301</v>
      </c>
      <c r="E115" s="56" t="s">
        <v>302</v>
      </c>
      <c r="F115" s="56" t="s">
        <v>327</v>
      </c>
      <c r="G115" s="57">
        <v>45856</v>
      </c>
      <c r="H115" s="58">
        <v>1400000330</v>
      </c>
      <c r="I115" s="56" t="s">
        <v>304</v>
      </c>
      <c r="J115" s="57">
        <v>45856</v>
      </c>
      <c r="K115" s="57">
        <v>45856</v>
      </c>
      <c r="L115" s="56" t="s">
        <v>332</v>
      </c>
      <c r="M115" s="64" t="s">
        <v>338</v>
      </c>
      <c r="N115" s="56" t="s">
        <v>306</v>
      </c>
      <c r="O115" s="56" t="s">
        <v>307</v>
      </c>
      <c r="P115" s="56" t="s">
        <v>305</v>
      </c>
      <c r="Q115" s="56" t="s">
        <v>308</v>
      </c>
      <c r="R115" s="186" t="s">
        <v>333</v>
      </c>
      <c r="S115" s="164">
        <v>0</v>
      </c>
      <c r="T115" s="187" t="s">
        <v>309</v>
      </c>
      <c r="U115" s="164">
        <v>0</v>
      </c>
      <c r="V115" s="56" t="s">
        <v>305</v>
      </c>
      <c r="W115" s="56" t="s">
        <v>310</v>
      </c>
      <c r="X115" s="56" t="s">
        <v>305</v>
      </c>
      <c r="Y115" s="56" t="s">
        <v>305</v>
      </c>
      <c r="Z115" s="56" t="s">
        <v>311</v>
      </c>
      <c r="AA115" s="56" t="s">
        <v>305</v>
      </c>
      <c r="AB115" s="56" t="s">
        <v>305</v>
      </c>
      <c r="AC115" s="56" t="s">
        <v>305</v>
      </c>
      <c r="AD115" s="56" t="s">
        <v>305</v>
      </c>
      <c r="AE115" s="57">
        <v>45856</v>
      </c>
      <c r="AF115" s="57">
        <v>45856</v>
      </c>
      <c r="AG115" s="58">
        <v>1400000330</v>
      </c>
      <c r="AH115" s="74" t="e" cm="1">
        <f t="array" ref="AH115">VLOOKUP(M115,'Customer data Vlookup'!$B$3:$H$127,{2,3},0)</f>
        <v>#N/A</v>
      </c>
      <c r="AI115" s="74"/>
      <c r="AJ115" s="74"/>
      <c r="AK115" s="43"/>
      <c r="AL115" s="43"/>
      <c r="AO115" t="e">
        <f>VLOOKUP(M115,'Customer data'!F:P,11,0)</f>
        <v>#N/A</v>
      </c>
    </row>
    <row r="116" spans="1:41" hidden="1">
      <c r="A116" s="56" t="s">
        <v>326</v>
      </c>
      <c r="B116" s="56" t="s">
        <v>299</v>
      </c>
      <c r="C116" s="56" t="s">
        <v>300</v>
      </c>
      <c r="D116" s="56" t="s">
        <v>301</v>
      </c>
      <c r="E116" s="56" t="s">
        <v>302</v>
      </c>
      <c r="F116" s="56" t="s">
        <v>327</v>
      </c>
      <c r="G116" s="57">
        <v>45856</v>
      </c>
      <c r="H116" s="58">
        <v>1400000331</v>
      </c>
      <c r="I116" s="56" t="s">
        <v>304</v>
      </c>
      <c r="J116" s="57">
        <v>45856</v>
      </c>
      <c r="K116" s="57">
        <v>45856</v>
      </c>
      <c r="L116" s="56" t="s">
        <v>332</v>
      </c>
      <c r="M116" s="64" t="s">
        <v>338</v>
      </c>
      <c r="N116" s="56" t="s">
        <v>306</v>
      </c>
      <c r="O116" s="56" t="s">
        <v>307</v>
      </c>
      <c r="P116" s="56" t="s">
        <v>305</v>
      </c>
      <c r="Q116" s="56" t="s">
        <v>308</v>
      </c>
      <c r="R116" s="186" t="s">
        <v>333</v>
      </c>
      <c r="S116" s="164">
        <v>0</v>
      </c>
      <c r="T116" s="187" t="s">
        <v>309</v>
      </c>
      <c r="U116" s="164">
        <v>0</v>
      </c>
      <c r="V116" s="56" t="s">
        <v>305</v>
      </c>
      <c r="W116" s="56" t="s">
        <v>310</v>
      </c>
      <c r="X116" s="56" t="s">
        <v>305</v>
      </c>
      <c r="Y116" s="56" t="s">
        <v>305</v>
      </c>
      <c r="Z116" s="56" t="s">
        <v>311</v>
      </c>
      <c r="AA116" s="56" t="s">
        <v>305</v>
      </c>
      <c r="AB116" s="56" t="s">
        <v>305</v>
      </c>
      <c r="AC116" s="56" t="s">
        <v>305</v>
      </c>
      <c r="AD116" s="56" t="s">
        <v>305</v>
      </c>
      <c r="AE116" s="57">
        <v>45856</v>
      </c>
      <c r="AF116" s="57">
        <v>45856</v>
      </c>
      <c r="AG116" s="58">
        <v>1400000331</v>
      </c>
      <c r="AH116" s="74" t="e" cm="1">
        <f t="array" ref="AH116">VLOOKUP(M116,'Customer data Vlookup'!$B$3:$H$127,{2,3},0)</f>
        <v>#N/A</v>
      </c>
      <c r="AI116" s="74"/>
      <c r="AJ116" s="74"/>
      <c r="AK116" s="43"/>
      <c r="AL116" s="43"/>
      <c r="AO116" t="e">
        <f>VLOOKUP(M116,'Customer data'!F:P,11,0)</f>
        <v>#N/A</v>
      </c>
    </row>
    <row r="117" spans="1:41" hidden="1">
      <c r="A117" s="56" t="s">
        <v>326</v>
      </c>
      <c r="B117" s="56" t="s">
        <v>299</v>
      </c>
      <c r="C117" s="56" t="s">
        <v>300</v>
      </c>
      <c r="D117" s="56" t="s">
        <v>301</v>
      </c>
      <c r="E117" s="56" t="s">
        <v>302</v>
      </c>
      <c r="F117" s="56" t="s">
        <v>327</v>
      </c>
      <c r="G117" s="57">
        <v>45856</v>
      </c>
      <c r="H117" s="58">
        <v>1400000332</v>
      </c>
      <c r="I117" s="56" t="s">
        <v>304</v>
      </c>
      <c r="J117" s="57">
        <v>45856</v>
      </c>
      <c r="K117" s="57">
        <v>45856</v>
      </c>
      <c r="L117" s="56" t="s">
        <v>332</v>
      </c>
      <c r="M117" s="64" t="s">
        <v>339</v>
      </c>
      <c r="N117" s="56" t="s">
        <v>306</v>
      </c>
      <c r="O117" s="56" t="s">
        <v>307</v>
      </c>
      <c r="P117" s="56" t="s">
        <v>305</v>
      </c>
      <c r="Q117" s="56" t="s">
        <v>308</v>
      </c>
      <c r="R117" s="186" t="s">
        <v>333</v>
      </c>
      <c r="S117" s="164">
        <v>0</v>
      </c>
      <c r="T117" s="187" t="s">
        <v>309</v>
      </c>
      <c r="U117" s="164">
        <v>0</v>
      </c>
      <c r="V117" s="56" t="s">
        <v>305</v>
      </c>
      <c r="W117" s="56" t="s">
        <v>310</v>
      </c>
      <c r="X117" s="56" t="s">
        <v>305</v>
      </c>
      <c r="Y117" s="56" t="s">
        <v>305</v>
      </c>
      <c r="Z117" s="56" t="s">
        <v>311</v>
      </c>
      <c r="AA117" s="56" t="s">
        <v>305</v>
      </c>
      <c r="AB117" s="56" t="s">
        <v>305</v>
      </c>
      <c r="AC117" s="56" t="s">
        <v>305</v>
      </c>
      <c r="AD117" s="56" t="s">
        <v>305</v>
      </c>
      <c r="AE117" s="57">
        <v>45856</v>
      </c>
      <c r="AF117" s="57">
        <v>45856</v>
      </c>
      <c r="AG117" s="58">
        <v>1400000332</v>
      </c>
      <c r="AH117" s="74" t="e" cm="1">
        <f t="array" ref="AH117">VLOOKUP(M117,'Customer data Vlookup'!$B$3:$H$127,{2,3},0)</f>
        <v>#N/A</v>
      </c>
      <c r="AI117" s="74"/>
      <c r="AJ117" s="74"/>
      <c r="AK117" s="43"/>
      <c r="AL117" s="43"/>
      <c r="AO117" t="e">
        <f>VLOOKUP(M117,'Customer data'!F:P,11,0)</f>
        <v>#N/A</v>
      </c>
    </row>
    <row r="118" spans="1:41" hidden="1">
      <c r="A118" s="56" t="s">
        <v>326</v>
      </c>
      <c r="B118" s="56" t="s">
        <v>299</v>
      </c>
      <c r="C118" s="56" t="s">
        <v>300</v>
      </c>
      <c r="D118" s="56" t="s">
        <v>301</v>
      </c>
      <c r="E118" s="56" t="s">
        <v>302</v>
      </c>
      <c r="F118" s="56" t="s">
        <v>327</v>
      </c>
      <c r="G118" s="57">
        <v>45856</v>
      </c>
      <c r="H118" s="58">
        <v>1400000333</v>
      </c>
      <c r="I118" s="56" t="s">
        <v>304</v>
      </c>
      <c r="J118" s="57">
        <v>45856</v>
      </c>
      <c r="K118" s="57">
        <v>45856</v>
      </c>
      <c r="L118" s="56" t="s">
        <v>332</v>
      </c>
      <c r="M118" s="64" t="s">
        <v>338</v>
      </c>
      <c r="N118" s="56" t="s">
        <v>306</v>
      </c>
      <c r="O118" s="56" t="s">
        <v>307</v>
      </c>
      <c r="P118" s="56" t="s">
        <v>305</v>
      </c>
      <c r="Q118" s="56" t="s">
        <v>308</v>
      </c>
      <c r="R118" s="186" t="s">
        <v>333</v>
      </c>
      <c r="S118" s="164">
        <v>0</v>
      </c>
      <c r="T118" s="187" t="s">
        <v>309</v>
      </c>
      <c r="U118" s="164">
        <v>0</v>
      </c>
      <c r="V118" s="56" t="s">
        <v>305</v>
      </c>
      <c r="W118" s="56" t="s">
        <v>310</v>
      </c>
      <c r="X118" s="56" t="s">
        <v>305</v>
      </c>
      <c r="Y118" s="56" t="s">
        <v>305</v>
      </c>
      <c r="Z118" s="56" t="s">
        <v>311</v>
      </c>
      <c r="AA118" s="56" t="s">
        <v>305</v>
      </c>
      <c r="AB118" s="56" t="s">
        <v>305</v>
      </c>
      <c r="AC118" s="56" t="s">
        <v>305</v>
      </c>
      <c r="AD118" s="56" t="s">
        <v>305</v>
      </c>
      <c r="AE118" s="57">
        <v>45856</v>
      </c>
      <c r="AF118" s="57">
        <v>45856</v>
      </c>
      <c r="AG118" s="58">
        <v>1400000333</v>
      </c>
      <c r="AH118" s="74" t="e" cm="1">
        <f t="array" ref="AH118">VLOOKUP(M118,'Customer data Vlookup'!$B$3:$H$127,{2,3},0)</f>
        <v>#N/A</v>
      </c>
      <c r="AI118" s="74"/>
      <c r="AJ118" s="74"/>
      <c r="AK118" s="43"/>
      <c r="AL118" s="43"/>
      <c r="AO118" t="e">
        <f>VLOOKUP(M118,'Customer data'!F:P,11,0)</f>
        <v>#N/A</v>
      </c>
    </row>
    <row r="119" spans="1:41" hidden="1">
      <c r="A119" s="56" t="s">
        <v>326</v>
      </c>
      <c r="B119" s="56" t="s">
        <v>299</v>
      </c>
      <c r="C119" s="56" t="s">
        <v>300</v>
      </c>
      <c r="D119" s="56" t="s">
        <v>301</v>
      </c>
      <c r="E119" s="56" t="s">
        <v>302</v>
      </c>
      <c r="F119" s="56" t="s">
        <v>327</v>
      </c>
      <c r="G119" s="57">
        <v>45856</v>
      </c>
      <c r="H119" s="58">
        <v>1400000334</v>
      </c>
      <c r="I119" s="56" t="s">
        <v>304</v>
      </c>
      <c r="J119" s="57">
        <v>45856</v>
      </c>
      <c r="K119" s="57">
        <v>45856</v>
      </c>
      <c r="L119" s="56" t="s">
        <v>332</v>
      </c>
      <c r="M119" s="64" t="s">
        <v>338</v>
      </c>
      <c r="N119" s="56" t="s">
        <v>306</v>
      </c>
      <c r="O119" s="56" t="s">
        <v>307</v>
      </c>
      <c r="P119" s="56" t="s">
        <v>305</v>
      </c>
      <c r="Q119" s="56" t="s">
        <v>308</v>
      </c>
      <c r="R119" s="186" t="s">
        <v>333</v>
      </c>
      <c r="S119" s="164">
        <v>0</v>
      </c>
      <c r="T119" s="187" t="s">
        <v>309</v>
      </c>
      <c r="U119" s="164">
        <v>0</v>
      </c>
      <c r="V119" s="56" t="s">
        <v>305</v>
      </c>
      <c r="W119" s="56" t="s">
        <v>310</v>
      </c>
      <c r="X119" s="56" t="s">
        <v>305</v>
      </c>
      <c r="Y119" s="56" t="s">
        <v>305</v>
      </c>
      <c r="Z119" s="56" t="s">
        <v>311</v>
      </c>
      <c r="AA119" s="56" t="s">
        <v>305</v>
      </c>
      <c r="AB119" s="56" t="s">
        <v>305</v>
      </c>
      <c r="AC119" s="56" t="s">
        <v>305</v>
      </c>
      <c r="AD119" s="56" t="s">
        <v>305</v>
      </c>
      <c r="AE119" s="57">
        <v>45856</v>
      </c>
      <c r="AF119" s="57">
        <v>45856</v>
      </c>
      <c r="AG119" s="58">
        <v>1400000334</v>
      </c>
      <c r="AH119" s="74" t="e" cm="1">
        <f t="array" ref="AH119">VLOOKUP(M119,'Customer data Vlookup'!$B$3:$H$127,{2,3},0)</f>
        <v>#N/A</v>
      </c>
      <c r="AI119" s="74"/>
      <c r="AJ119" s="74"/>
      <c r="AK119" s="43"/>
      <c r="AL119" s="43"/>
      <c r="AO119" t="e">
        <f>VLOOKUP(M119,'Customer data'!F:P,11,0)</f>
        <v>#N/A</v>
      </c>
    </row>
    <row r="120" spans="1:41" hidden="1">
      <c r="A120" s="56" t="s">
        <v>326</v>
      </c>
      <c r="B120" s="56" t="s">
        <v>299</v>
      </c>
      <c r="C120" s="56" t="s">
        <v>300</v>
      </c>
      <c r="D120" s="56" t="s">
        <v>301</v>
      </c>
      <c r="E120" s="56" t="s">
        <v>302</v>
      </c>
      <c r="F120" s="56" t="s">
        <v>327</v>
      </c>
      <c r="G120" s="57">
        <v>45856</v>
      </c>
      <c r="H120" s="58">
        <v>1400000335</v>
      </c>
      <c r="I120" s="56" t="s">
        <v>304</v>
      </c>
      <c r="J120" s="57">
        <v>45856</v>
      </c>
      <c r="K120" s="57">
        <v>45856</v>
      </c>
      <c r="L120" s="56" t="s">
        <v>332</v>
      </c>
      <c r="M120" s="64" t="s">
        <v>338</v>
      </c>
      <c r="N120" s="56" t="s">
        <v>306</v>
      </c>
      <c r="O120" s="56" t="s">
        <v>307</v>
      </c>
      <c r="P120" s="56" t="s">
        <v>305</v>
      </c>
      <c r="Q120" s="56" t="s">
        <v>308</v>
      </c>
      <c r="R120" s="186" t="s">
        <v>333</v>
      </c>
      <c r="S120" s="164">
        <v>0</v>
      </c>
      <c r="T120" s="187" t="s">
        <v>309</v>
      </c>
      <c r="U120" s="164">
        <v>0</v>
      </c>
      <c r="V120" s="56" t="s">
        <v>305</v>
      </c>
      <c r="W120" s="56" t="s">
        <v>310</v>
      </c>
      <c r="X120" s="56" t="s">
        <v>305</v>
      </c>
      <c r="Y120" s="56" t="s">
        <v>305</v>
      </c>
      <c r="Z120" s="56" t="s">
        <v>311</v>
      </c>
      <c r="AA120" s="56" t="s">
        <v>305</v>
      </c>
      <c r="AB120" s="56" t="s">
        <v>305</v>
      </c>
      <c r="AC120" s="56" t="s">
        <v>305</v>
      </c>
      <c r="AD120" s="56" t="s">
        <v>305</v>
      </c>
      <c r="AE120" s="57">
        <v>45856</v>
      </c>
      <c r="AF120" s="57">
        <v>45856</v>
      </c>
      <c r="AG120" s="58">
        <v>1400000335</v>
      </c>
      <c r="AH120" s="74" t="e" cm="1">
        <f t="array" ref="AH120">VLOOKUP(M120,'Customer data Vlookup'!$B$3:$H$127,{2,3},0)</f>
        <v>#N/A</v>
      </c>
      <c r="AI120" s="74"/>
      <c r="AJ120" s="74"/>
      <c r="AK120" s="43"/>
      <c r="AL120" s="43"/>
      <c r="AO120" t="e">
        <f>VLOOKUP(M120,'Customer data'!F:P,11,0)</f>
        <v>#N/A</v>
      </c>
    </row>
    <row r="121" spans="1:41" hidden="1">
      <c r="A121" s="56" t="s">
        <v>326</v>
      </c>
      <c r="B121" s="56" t="s">
        <v>299</v>
      </c>
      <c r="C121" s="56" t="s">
        <v>300</v>
      </c>
      <c r="D121" s="56" t="s">
        <v>301</v>
      </c>
      <c r="E121" s="56" t="s">
        <v>302</v>
      </c>
      <c r="F121" s="56" t="s">
        <v>327</v>
      </c>
      <c r="G121" s="57">
        <v>45856</v>
      </c>
      <c r="H121" s="58">
        <v>1400000336</v>
      </c>
      <c r="I121" s="56" t="s">
        <v>304</v>
      </c>
      <c r="J121" s="57">
        <v>45856</v>
      </c>
      <c r="K121" s="57">
        <v>45856</v>
      </c>
      <c r="L121" s="56" t="s">
        <v>332</v>
      </c>
      <c r="M121" s="64" t="s">
        <v>338</v>
      </c>
      <c r="N121" s="56" t="s">
        <v>306</v>
      </c>
      <c r="O121" s="56" t="s">
        <v>307</v>
      </c>
      <c r="P121" s="56" t="s">
        <v>305</v>
      </c>
      <c r="Q121" s="56" t="s">
        <v>308</v>
      </c>
      <c r="R121" s="186" t="s">
        <v>333</v>
      </c>
      <c r="S121" s="164">
        <v>0</v>
      </c>
      <c r="T121" s="187" t="s">
        <v>309</v>
      </c>
      <c r="U121" s="164">
        <v>0</v>
      </c>
      <c r="V121" s="56" t="s">
        <v>305</v>
      </c>
      <c r="W121" s="56" t="s">
        <v>310</v>
      </c>
      <c r="X121" s="56" t="s">
        <v>305</v>
      </c>
      <c r="Y121" s="56" t="s">
        <v>305</v>
      </c>
      <c r="Z121" s="56" t="s">
        <v>311</v>
      </c>
      <c r="AA121" s="56" t="s">
        <v>305</v>
      </c>
      <c r="AB121" s="56" t="s">
        <v>305</v>
      </c>
      <c r="AC121" s="56" t="s">
        <v>305</v>
      </c>
      <c r="AD121" s="56" t="s">
        <v>305</v>
      </c>
      <c r="AE121" s="57">
        <v>45856</v>
      </c>
      <c r="AF121" s="57">
        <v>45856</v>
      </c>
      <c r="AG121" s="58">
        <v>1400000336</v>
      </c>
      <c r="AH121" s="74" t="e" cm="1">
        <f t="array" ref="AH121">VLOOKUP(M121,'Customer data Vlookup'!$B$3:$H$127,{2,3},0)</f>
        <v>#N/A</v>
      </c>
      <c r="AI121" s="74"/>
      <c r="AJ121" s="74"/>
      <c r="AK121" s="43"/>
      <c r="AL121" s="43"/>
      <c r="AO121" t="e">
        <f>VLOOKUP(M121,'Customer data'!F:P,11,0)</f>
        <v>#N/A</v>
      </c>
    </row>
    <row r="122" spans="1:41" hidden="1">
      <c r="A122" s="56" t="s">
        <v>326</v>
      </c>
      <c r="B122" s="56" t="s">
        <v>299</v>
      </c>
      <c r="C122" s="56" t="s">
        <v>300</v>
      </c>
      <c r="D122" s="56" t="s">
        <v>301</v>
      </c>
      <c r="E122" s="56" t="s">
        <v>302</v>
      </c>
      <c r="F122" s="56" t="s">
        <v>327</v>
      </c>
      <c r="G122" s="57">
        <v>45856</v>
      </c>
      <c r="H122" s="58">
        <v>1400000337</v>
      </c>
      <c r="I122" s="56" t="s">
        <v>304</v>
      </c>
      <c r="J122" s="57">
        <v>45856</v>
      </c>
      <c r="K122" s="57">
        <v>45856</v>
      </c>
      <c r="L122" s="56" t="s">
        <v>332</v>
      </c>
      <c r="M122" s="64" t="s">
        <v>338</v>
      </c>
      <c r="N122" s="56" t="s">
        <v>306</v>
      </c>
      <c r="O122" s="56" t="s">
        <v>307</v>
      </c>
      <c r="P122" s="56" t="s">
        <v>305</v>
      </c>
      <c r="Q122" s="56" t="s">
        <v>308</v>
      </c>
      <c r="R122" s="186" t="s">
        <v>333</v>
      </c>
      <c r="S122" s="164">
        <v>0</v>
      </c>
      <c r="T122" s="187" t="s">
        <v>309</v>
      </c>
      <c r="U122" s="164">
        <v>0</v>
      </c>
      <c r="V122" s="56" t="s">
        <v>305</v>
      </c>
      <c r="W122" s="56" t="s">
        <v>310</v>
      </c>
      <c r="X122" s="56" t="s">
        <v>305</v>
      </c>
      <c r="Y122" s="56" t="s">
        <v>305</v>
      </c>
      <c r="Z122" s="56" t="s">
        <v>311</v>
      </c>
      <c r="AA122" s="56" t="s">
        <v>305</v>
      </c>
      <c r="AB122" s="56" t="s">
        <v>305</v>
      </c>
      <c r="AC122" s="56" t="s">
        <v>305</v>
      </c>
      <c r="AD122" s="56" t="s">
        <v>305</v>
      </c>
      <c r="AE122" s="57">
        <v>45856</v>
      </c>
      <c r="AF122" s="57">
        <v>45856</v>
      </c>
      <c r="AG122" s="58">
        <v>1400000337</v>
      </c>
      <c r="AH122" s="74" t="e" cm="1">
        <f t="array" ref="AH122">VLOOKUP(M122,'Customer data Vlookup'!$B$3:$H$127,{2,3},0)</f>
        <v>#N/A</v>
      </c>
      <c r="AI122" s="74"/>
      <c r="AJ122" s="74"/>
      <c r="AK122" s="43"/>
      <c r="AL122" s="43"/>
      <c r="AO122" t="e">
        <f>VLOOKUP(M122,'Customer data'!F:P,11,0)</f>
        <v>#N/A</v>
      </c>
    </row>
    <row r="123" spans="1:41" hidden="1">
      <c r="A123" s="56" t="s">
        <v>326</v>
      </c>
      <c r="B123" s="56" t="s">
        <v>299</v>
      </c>
      <c r="C123" s="56" t="s">
        <v>300</v>
      </c>
      <c r="D123" s="56" t="s">
        <v>301</v>
      </c>
      <c r="E123" s="56" t="s">
        <v>302</v>
      </c>
      <c r="F123" s="56" t="s">
        <v>327</v>
      </c>
      <c r="G123" s="57">
        <v>45856</v>
      </c>
      <c r="H123" s="58">
        <v>1400000338</v>
      </c>
      <c r="I123" s="56" t="s">
        <v>304</v>
      </c>
      <c r="J123" s="57">
        <v>45856</v>
      </c>
      <c r="K123" s="57">
        <v>45856</v>
      </c>
      <c r="L123" s="56" t="s">
        <v>332</v>
      </c>
      <c r="M123" s="64" t="s">
        <v>338</v>
      </c>
      <c r="N123" s="56" t="s">
        <v>306</v>
      </c>
      <c r="O123" s="56" t="s">
        <v>307</v>
      </c>
      <c r="P123" s="56" t="s">
        <v>305</v>
      </c>
      <c r="Q123" s="56" t="s">
        <v>308</v>
      </c>
      <c r="R123" s="186" t="s">
        <v>333</v>
      </c>
      <c r="S123" s="164">
        <v>0</v>
      </c>
      <c r="T123" s="187" t="s">
        <v>309</v>
      </c>
      <c r="U123" s="164">
        <v>0</v>
      </c>
      <c r="V123" s="56" t="s">
        <v>305</v>
      </c>
      <c r="W123" s="56" t="s">
        <v>310</v>
      </c>
      <c r="X123" s="56" t="s">
        <v>305</v>
      </c>
      <c r="Y123" s="56" t="s">
        <v>305</v>
      </c>
      <c r="Z123" s="56" t="s">
        <v>311</v>
      </c>
      <c r="AA123" s="56" t="s">
        <v>305</v>
      </c>
      <c r="AB123" s="56" t="s">
        <v>305</v>
      </c>
      <c r="AC123" s="56" t="s">
        <v>305</v>
      </c>
      <c r="AD123" s="56" t="s">
        <v>305</v>
      </c>
      <c r="AE123" s="57">
        <v>45856</v>
      </c>
      <c r="AF123" s="57">
        <v>45856</v>
      </c>
      <c r="AG123" s="58">
        <v>1400000338</v>
      </c>
      <c r="AH123" s="74" t="e" cm="1">
        <f t="array" ref="AH123">VLOOKUP(M123,'Customer data Vlookup'!$B$3:$H$127,{2,3},0)</f>
        <v>#N/A</v>
      </c>
      <c r="AI123" s="74"/>
      <c r="AJ123" s="74"/>
      <c r="AK123" s="43"/>
      <c r="AL123" s="43"/>
      <c r="AO123" t="e">
        <f>VLOOKUP(M123,'Customer data'!F:P,11,0)</f>
        <v>#N/A</v>
      </c>
    </row>
    <row r="124" spans="1:41" hidden="1">
      <c r="A124" s="56" t="s">
        <v>326</v>
      </c>
      <c r="B124" s="56" t="s">
        <v>299</v>
      </c>
      <c r="C124" s="56" t="s">
        <v>300</v>
      </c>
      <c r="D124" s="56" t="s">
        <v>301</v>
      </c>
      <c r="E124" s="56" t="s">
        <v>302</v>
      </c>
      <c r="F124" s="56" t="s">
        <v>327</v>
      </c>
      <c r="G124" s="57">
        <v>45856</v>
      </c>
      <c r="H124" s="58">
        <v>1400000339</v>
      </c>
      <c r="I124" s="56" t="s">
        <v>304</v>
      </c>
      <c r="J124" s="57">
        <v>45856</v>
      </c>
      <c r="K124" s="57">
        <v>45856</v>
      </c>
      <c r="L124" s="56" t="s">
        <v>332</v>
      </c>
      <c r="M124" s="64" t="s">
        <v>338</v>
      </c>
      <c r="N124" s="56" t="s">
        <v>306</v>
      </c>
      <c r="O124" s="56" t="s">
        <v>307</v>
      </c>
      <c r="P124" s="56" t="s">
        <v>305</v>
      </c>
      <c r="Q124" s="56" t="s">
        <v>324</v>
      </c>
      <c r="R124" s="186" t="s">
        <v>333</v>
      </c>
      <c r="S124" s="164">
        <v>1231.96</v>
      </c>
      <c r="T124" s="187" t="s">
        <v>309</v>
      </c>
      <c r="U124" s="164">
        <v>107084.21</v>
      </c>
      <c r="V124" s="56" t="s">
        <v>305</v>
      </c>
      <c r="W124" s="56" t="s">
        <v>310</v>
      </c>
      <c r="X124" s="56" t="s">
        <v>305</v>
      </c>
      <c r="Y124" s="56" t="s">
        <v>305</v>
      </c>
      <c r="Z124" s="56" t="s">
        <v>311</v>
      </c>
      <c r="AA124" s="56" t="s">
        <v>305</v>
      </c>
      <c r="AB124" s="56" t="s">
        <v>305</v>
      </c>
      <c r="AC124" s="56" t="s">
        <v>305</v>
      </c>
      <c r="AD124" s="56" t="s">
        <v>305</v>
      </c>
      <c r="AE124" s="57">
        <v>45856</v>
      </c>
      <c r="AF124" s="57">
        <v>45856</v>
      </c>
      <c r="AG124" s="58">
        <v>1400000339</v>
      </c>
      <c r="AH124" s="74" t="e" cm="1">
        <f t="array" ref="AH124">VLOOKUP(M124,'Customer data Vlookup'!$B$3:$H$127,{2,3},0)</f>
        <v>#N/A</v>
      </c>
      <c r="AI124" s="74"/>
      <c r="AJ124" s="74"/>
      <c r="AK124" s="43"/>
      <c r="AL124" s="43"/>
      <c r="AO124" t="e">
        <f>VLOOKUP(M124,'Customer data'!F:P,11,0)</f>
        <v>#N/A</v>
      </c>
    </row>
    <row r="125" spans="1:41" hidden="1">
      <c r="A125" s="56" t="s">
        <v>326</v>
      </c>
      <c r="B125" s="56" t="s">
        <v>299</v>
      </c>
      <c r="C125" s="56" t="s">
        <v>300</v>
      </c>
      <c r="D125" s="56" t="s">
        <v>301</v>
      </c>
      <c r="E125" s="56" t="s">
        <v>302</v>
      </c>
      <c r="F125" s="56" t="s">
        <v>327</v>
      </c>
      <c r="G125" s="57">
        <v>45856</v>
      </c>
      <c r="H125" s="58">
        <v>1400000339</v>
      </c>
      <c r="I125" s="56" t="s">
        <v>304</v>
      </c>
      <c r="J125" s="57">
        <v>45856</v>
      </c>
      <c r="K125" s="57">
        <v>45856</v>
      </c>
      <c r="L125" s="56" t="s">
        <v>332</v>
      </c>
      <c r="M125" s="64" t="s">
        <v>338</v>
      </c>
      <c r="N125" s="56" t="s">
        <v>306</v>
      </c>
      <c r="O125" s="56" t="s">
        <v>307</v>
      </c>
      <c r="P125" s="56" t="s">
        <v>305</v>
      </c>
      <c r="Q125" s="56" t="s">
        <v>308</v>
      </c>
      <c r="R125" s="186" t="s">
        <v>333</v>
      </c>
      <c r="S125" s="164">
        <v>-1231.96</v>
      </c>
      <c r="T125" s="187" t="s">
        <v>309</v>
      </c>
      <c r="U125" s="164">
        <v>-107084.21</v>
      </c>
      <c r="V125" s="56" t="s">
        <v>305</v>
      </c>
      <c r="W125" s="56" t="s">
        <v>310</v>
      </c>
      <c r="X125" s="56" t="s">
        <v>305</v>
      </c>
      <c r="Y125" s="56" t="s">
        <v>305</v>
      </c>
      <c r="Z125" s="56" t="s">
        <v>317</v>
      </c>
      <c r="AA125" s="56" t="s">
        <v>305</v>
      </c>
      <c r="AB125" s="56" t="s">
        <v>305</v>
      </c>
      <c r="AC125" s="56" t="s">
        <v>305</v>
      </c>
      <c r="AD125" s="56" t="s">
        <v>305</v>
      </c>
      <c r="AE125" s="57">
        <v>45856</v>
      </c>
      <c r="AF125" s="57">
        <v>45856</v>
      </c>
      <c r="AG125" s="58">
        <v>1400000339</v>
      </c>
      <c r="AH125" s="74" t="e" cm="1">
        <f t="array" ref="AH125">VLOOKUP(M125,'Customer data Vlookup'!$B$3:$H$127,{2,3},0)</f>
        <v>#N/A</v>
      </c>
      <c r="AI125" s="74"/>
      <c r="AJ125" s="74"/>
      <c r="AK125" s="43"/>
      <c r="AL125" s="43"/>
      <c r="AO125" t="e">
        <f>VLOOKUP(M125,'Customer data'!F:P,11,0)</f>
        <v>#N/A</v>
      </c>
    </row>
    <row r="126" spans="1:41" hidden="1">
      <c r="A126" s="56" t="s">
        <v>326</v>
      </c>
      <c r="B126" s="56" t="s">
        <v>299</v>
      </c>
      <c r="C126" s="56" t="s">
        <v>300</v>
      </c>
      <c r="D126" s="56" t="s">
        <v>301</v>
      </c>
      <c r="E126" s="56" t="s">
        <v>302</v>
      </c>
      <c r="F126" s="56" t="s">
        <v>327</v>
      </c>
      <c r="G126" s="57">
        <v>45856</v>
      </c>
      <c r="H126" s="58">
        <v>1400000340</v>
      </c>
      <c r="I126" s="56" t="s">
        <v>304</v>
      </c>
      <c r="J126" s="57">
        <v>45856</v>
      </c>
      <c r="K126" s="57">
        <v>45856</v>
      </c>
      <c r="L126" s="56" t="s">
        <v>332</v>
      </c>
      <c r="M126" s="64" t="s">
        <v>338</v>
      </c>
      <c r="N126" s="56" t="s">
        <v>306</v>
      </c>
      <c r="O126" s="56" t="s">
        <v>307</v>
      </c>
      <c r="P126" s="56" t="s">
        <v>305</v>
      </c>
      <c r="Q126" s="56" t="s">
        <v>308</v>
      </c>
      <c r="R126" s="186" t="s">
        <v>333</v>
      </c>
      <c r="S126" s="164">
        <v>0</v>
      </c>
      <c r="T126" s="187" t="s">
        <v>309</v>
      </c>
      <c r="U126" s="164">
        <v>0</v>
      </c>
      <c r="V126" s="56" t="s">
        <v>305</v>
      </c>
      <c r="W126" s="56" t="s">
        <v>310</v>
      </c>
      <c r="X126" s="56" t="s">
        <v>305</v>
      </c>
      <c r="Y126" s="56" t="s">
        <v>305</v>
      </c>
      <c r="Z126" s="56" t="s">
        <v>311</v>
      </c>
      <c r="AA126" s="56" t="s">
        <v>305</v>
      </c>
      <c r="AB126" s="56" t="s">
        <v>305</v>
      </c>
      <c r="AC126" s="56" t="s">
        <v>305</v>
      </c>
      <c r="AD126" s="56" t="s">
        <v>305</v>
      </c>
      <c r="AE126" s="57">
        <v>45856</v>
      </c>
      <c r="AF126" s="57">
        <v>45856</v>
      </c>
      <c r="AG126" s="58">
        <v>1400000340</v>
      </c>
      <c r="AH126" s="74" t="e" cm="1">
        <f t="array" ref="AH126">VLOOKUP(M126,'Customer data Vlookup'!$B$3:$H$127,{2,3},0)</f>
        <v>#N/A</v>
      </c>
      <c r="AI126" s="74"/>
      <c r="AJ126" s="74"/>
      <c r="AK126" s="43"/>
      <c r="AL126" s="43"/>
      <c r="AO126" t="e">
        <f>VLOOKUP(M126,'Customer data'!F:P,11,0)</f>
        <v>#N/A</v>
      </c>
    </row>
    <row r="127" spans="1:41" hidden="1">
      <c r="A127" s="56" t="s">
        <v>326</v>
      </c>
      <c r="B127" s="56" t="s">
        <v>299</v>
      </c>
      <c r="C127" s="56" t="s">
        <v>300</v>
      </c>
      <c r="D127" s="56" t="s">
        <v>301</v>
      </c>
      <c r="E127" s="56" t="s">
        <v>302</v>
      </c>
      <c r="F127" s="56" t="s">
        <v>327</v>
      </c>
      <c r="G127" s="57">
        <v>45856</v>
      </c>
      <c r="H127" s="58">
        <v>1400000341</v>
      </c>
      <c r="I127" s="56" t="s">
        <v>304</v>
      </c>
      <c r="J127" s="57">
        <v>45856</v>
      </c>
      <c r="K127" s="57">
        <v>45856</v>
      </c>
      <c r="L127" s="56" t="s">
        <v>332</v>
      </c>
      <c r="M127" s="64" t="s">
        <v>338</v>
      </c>
      <c r="N127" s="56" t="s">
        <v>306</v>
      </c>
      <c r="O127" s="56" t="s">
        <v>307</v>
      </c>
      <c r="P127" s="56" t="s">
        <v>305</v>
      </c>
      <c r="Q127" s="56" t="s">
        <v>308</v>
      </c>
      <c r="R127" s="186" t="s">
        <v>333</v>
      </c>
      <c r="S127" s="164">
        <v>0</v>
      </c>
      <c r="T127" s="187" t="s">
        <v>309</v>
      </c>
      <c r="U127" s="164">
        <v>0</v>
      </c>
      <c r="V127" s="56" t="s">
        <v>305</v>
      </c>
      <c r="W127" s="56" t="s">
        <v>310</v>
      </c>
      <c r="X127" s="56" t="s">
        <v>305</v>
      </c>
      <c r="Y127" s="56" t="s">
        <v>305</v>
      </c>
      <c r="Z127" s="56" t="s">
        <v>311</v>
      </c>
      <c r="AA127" s="56" t="s">
        <v>305</v>
      </c>
      <c r="AB127" s="56" t="s">
        <v>305</v>
      </c>
      <c r="AC127" s="56" t="s">
        <v>305</v>
      </c>
      <c r="AD127" s="56" t="s">
        <v>305</v>
      </c>
      <c r="AE127" s="57">
        <v>45856</v>
      </c>
      <c r="AF127" s="57">
        <v>45856</v>
      </c>
      <c r="AG127" s="58">
        <v>1400000341</v>
      </c>
      <c r="AH127" s="74" t="e" cm="1">
        <f t="array" ref="AH127">VLOOKUP(M127,'Customer data Vlookup'!$B$3:$H$127,{2,3},0)</f>
        <v>#N/A</v>
      </c>
      <c r="AI127" s="74"/>
      <c r="AJ127" s="74"/>
      <c r="AK127" s="43"/>
      <c r="AL127" s="43"/>
      <c r="AO127" t="e">
        <f>VLOOKUP(M127,'Customer data'!F:P,11,0)</f>
        <v>#N/A</v>
      </c>
    </row>
    <row r="128" spans="1:41" hidden="1">
      <c r="A128" s="56" t="s">
        <v>326</v>
      </c>
      <c r="B128" s="56" t="s">
        <v>299</v>
      </c>
      <c r="C128" s="56" t="s">
        <v>300</v>
      </c>
      <c r="D128" s="56" t="s">
        <v>301</v>
      </c>
      <c r="E128" s="56" t="s">
        <v>302</v>
      </c>
      <c r="F128" s="56" t="s">
        <v>327</v>
      </c>
      <c r="G128" s="57">
        <v>45856</v>
      </c>
      <c r="H128" s="58">
        <v>1400000342</v>
      </c>
      <c r="I128" s="56" t="s">
        <v>304</v>
      </c>
      <c r="J128" s="57">
        <v>45856</v>
      </c>
      <c r="K128" s="57">
        <v>45856</v>
      </c>
      <c r="L128" s="56" t="s">
        <v>332</v>
      </c>
      <c r="M128" s="64" t="s">
        <v>338</v>
      </c>
      <c r="N128" s="56" t="s">
        <v>306</v>
      </c>
      <c r="O128" s="56" t="s">
        <v>307</v>
      </c>
      <c r="P128" s="56" t="s">
        <v>305</v>
      </c>
      <c r="Q128" s="56" t="s">
        <v>308</v>
      </c>
      <c r="R128" s="186" t="s">
        <v>333</v>
      </c>
      <c r="S128" s="164">
        <v>0</v>
      </c>
      <c r="T128" s="187" t="s">
        <v>309</v>
      </c>
      <c r="U128" s="164">
        <v>0</v>
      </c>
      <c r="V128" s="56" t="s">
        <v>305</v>
      </c>
      <c r="W128" s="56" t="s">
        <v>310</v>
      </c>
      <c r="X128" s="56" t="s">
        <v>305</v>
      </c>
      <c r="Y128" s="56" t="s">
        <v>305</v>
      </c>
      <c r="Z128" s="56" t="s">
        <v>311</v>
      </c>
      <c r="AA128" s="56" t="s">
        <v>305</v>
      </c>
      <c r="AB128" s="56" t="s">
        <v>305</v>
      </c>
      <c r="AC128" s="56" t="s">
        <v>305</v>
      </c>
      <c r="AD128" s="56" t="s">
        <v>305</v>
      </c>
      <c r="AE128" s="57">
        <v>45856</v>
      </c>
      <c r="AF128" s="57">
        <v>45856</v>
      </c>
      <c r="AG128" s="58">
        <v>1400000342</v>
      </c>
      <c r="AH128" s="74" t="e" cm="1">
        <f t="array" ref="AH128">VLOOKUP(M128,'Customer data Vlookup'!$B$3:$H$127,{2,3},0)</f>
        <v>#N/A</v>
      </c>
      <c r="AI128" s="74"/>
      <c r="AJ128" s="74"/>
      <c r="AK128" s="43"/>
      <c r="AL128" s="43"/>
      <c r="AO128" t="e">
        <f>VLOOKUP(M128,'Customer data'!F:P,11,0)</f>
        <v>#N/A</v>
      </c>
    </row>
    <row r="129" spans="1:41" hidden="1">
      <c r="A129" s="56" t="s">
        <v>326</v>
      </c>
      <c r="B129" s="56" t="s">
        <v>299</v>
      </c>
      <c r="C129" s="56" t="s">
        <v>300</v>
      </c>
      <c r="D129" s="56" t="s">
        <v>301</v>
      </c>
      <c r="E129" s="56" t="s">
        <v>302</v>
      </c>
      <c r="F129" s="56" t="s">
        <v>327</v>
      </c>
      <c r="G129" s="57">
        <v>45856</v>
      </c>
      <c r="H129" s="58">
        <v>1800010755</v>
      </c>
      <c r="I129" s="56" t="s">
        <v>417</v>
      </c>
      <c r="J129" s="57">
        <v>45856</v>
      </c>
      <c r="K129" s="57">
        <v>45859</v>
      </c>
      <c r="L129" s="56" t="s">
        <v>332</v>
      </c>
      <c r="M129" s="60">
        <v>256779415417</v>
      </c>
      <c r="N129" s="56" t="s">
        <v>306</v>
      </c>
      <c r="O129" s="56" t="s">
        <v>307</v>
      </c>
      <c r="P129" s="56" t="s">
        <v>305</v>
      </c>
      <c r="Q129" s="56" t="s">
        <v>337</v>
      </c>
      <c r="R129" s="186" t="s">
        <v>333</v>
      </c>
      <c r="S129" s="164">
        <v>449.63</v>
      </c>
      <c r="T129" s="187" t="s">
        <v>309</v>
      </c>
      <c r="U129" s="164">
        <v>38668.480000000003</v>
      </c>
      <c r="V129" s="56" t="s">
        <v>342</v>
      </c>
      <c r="W129" s="56" t="s">
        <v>310</v>
      </c>
      <c r="X129" s="56" t="s">
        <v>305</v>
      </c>
      <c r="Y129" s="56" t="s">
        <v>332</v>
      </c>
      <c r="Z129" s="56" t="s">
        <v>311</v>
      </c>
      <c r="AA129" s="56" t="s">
        <v>197</v>
      </c>
      <c r="AB129" s="56" t="s">
        <v>305</v>
      </c>
      <c r="AC129" s="56" t="s">
        <v>305</v>
      </c>
      <c r="AD129" s="56" t="s">
        <v>305</v>
      </c>
      <c r="AE129" s="57">
        <v>45856</v>
      </c>
      <c r="AF129" s="57">
        <v>45946</v>
      </c>
      <c r="AG129" s="58">
        <v>1400001452</v>
      </c>
      <c r="AH129" s="74" cm="1">
        <f t="array" ref="AH129:AI129">VLOOKUP(M129,'Customer data Vlookup'!$B$3:$H$127,{2,3},0)</f>
        <v>38668.481252099999</v>
      </c>
      <c r="AI129" s="74">
        <v>773</v>
      </c>
      <c r="AJ129" s="74">
        <f t="shared" ref="AJ129:AJ138" si="6">AH129-AI129</f>
        <v>37895.481252099999</v>
      </c>
      <c r="AK129" s="41">
        <f t="shared" ref="AK129:AK138" si="7">U129-AH129</f>
        <v>-1.2520999953267165E-3</v>
      </c>
      <c r="AL129" s="62">
        <f t="shared" ref="AL129:AL138" si="8">AI129/U129</f>
        <v>1.9990441827555671E-2</v>
      </c>
      <c r="AO129" t="str">
        <f>VLOOKUP(M129,'Customer data'!F:P,11,0)</f>
        <v>HDFCN52025082227307462</v>
      </c>
    </row>
    <row r="130" spans="1:41" hidden="1">
      <c r="A130" s="56" t="s">
        <v>326</v>
      </c>
      <c r="B130" s="56" t="s">
        <v>299</v>
      </c>
      <c r="C130" s="56" t="s">
        <v>300</v>
      </c>
      <c r="D130" s="56" t="s">
        <v>301</v>
      </c>
      <c r="E130" s="56" t="s">
        <v>302</v>
      </c>
      <c r="F130" s="56" t="s">
        <v>327</v>
      </c>
      <c r="G130" s="57">
        <v>45842</v>
      </c>
      <c r="H130" s="58">
        <v>1800010507</v>
      </c>
      <c r="I130" s="56" t="s">
        <v>417</v>
      </c>
      <c r="J130" s="57">
        <v>45842</v>
      </c>
      <c r="K130" s="57">
        <v>45847</v>
      </c>
      <c r="L130" s="56" t="s">
        <v>332</v>
      </c>
      <c r="M130" s="60">
        <v>256779415267</v>
      </c>
      <c r="N130" s="56" t="s">
        <v>306</v>
      </c>
      <c r="O130" s="56" t="s">
        <v>307</v>
      </c>
      <c r="P130" s="56" t="s">
        <v>305</v>
      </c>
      <c r="Q130" s="56" t="s">
        <v>337</v>
      </c>
      <c r="R130" s="186" t="s">
        <v>333</v>
      </c>
      <c r="S130" s="164">
        <v>84.17</v>
      </c>
      <c r="T130" s="187" t="s">
        <v>309</v>
      </c>
      <c r="U130" s="164">
        <v>7238.68</v>
      </c>
      <c r="V130" s="56" t="s">
        <v>342</v>
      </c>
      <c r="W130" s="56" t="s">
        <v>310</v>
      </c>
      <c r="X130" s="56" t="s">
        <v>305</v>
      </c>
      <c r="Y130" s="56" t="s">
        <v>305</v>
      </c>
      <c r="Z130" s="56" t="s">
        <v>311</v>
      </c>
      <c r="AA130" s="56" t="s">
        <v>199</v>
      </c>
      <c r="AB130" s="56" t="s">
        <v>305</v>
      </c>
      <c r="AC130" s="56" t="s">
        <v>305</v>
      </c>
      <c r="AD130" s="56" t="s">
        <v>305</v>
      </c>
      <c r="AE130" s="57">
        <v>45842</v>
      </c>
      <c r="AF130" s="57">
        <v>45946</v>
      </c>
      <c r="AG130" s="58">
        <v>1400001452</v>
      </c>
      <c r="AH130" s="74" cm="1">
        <f t="array" ref="AH130:AI130">VLOOKUP(M130,'Customer data Vlookup'!$B$3:$H$127,{2,3},0)</f>
        <v>7238.6763939000002</v>
      </c>
      <c r="AI130" s="74">
        <v>145</v>
      </c>
      <c r="AJ130" s="74">
        <f t="shared" si="6"/>
        <v>7093.6763939000002</v>
      </c>
      <c r="AK130" s="41">
        <f t="shared" si="7"/>
        <v>3.6061000000700005E-3</v>
      </c>
      <c r="AL130" s="62">
        <f t="shared" si="8"/>
        <v>2.0031276420562863E-2</v>
      </c>
      <c r="AO130" t="str">
        <f>VLOOKUP(M130,'Customer data'!F:P,11,0)</f>
        <v>HDFCN52025082227307462</v>
      </c>
    </row>
    <row r="131" spans="1:41" hidden="1">
      <c r="A131" s="56" t="s">
        <v>326</v>
      </c>
      <c r="B131" s="56" t="s">
        <v>299</v>
      </c>
      <c r="C131" s="56" t="s">
        <v>300</v>
      </c>
      <c r="D131" s="56" t="s">
        <v>301</v>
      </c>
      <c r="E131" s="56" t="s">
        <v>302</v>
      </c>
      <c r="F131" s="56" t="s">
        <v>327</v>
      </c>
      <c r="G131" s="57">
        <v>45842</v>
      </c>
      <c r="H131" s="58">
        <v>1800010021</v>
      </c>
      <c r="I131" s="56" t="s">
        <v>417</v>
      </c>
      <c r="J131" s="57">
        <v>45842</v>
      </c>
      <c r="K131" s="57">
        <v>45845</v>
      </c>
      <c r="L131" s="56" t="s">
        <v>332</v>
      </c>
      <c r="M131" s="60">
        <v>256779414785</v>
      </c>
      <c r="N131" s="56" t="s">
        <v>306</v>
      </c>
      <c r="O131" s="56" t="s">
        <v>307</v>
      </c>
      <c r="P131" s="56" t="s">
        <v>305</v>
      </c>
      <c r="Q131" s="56" t="s">
        <v>337</v>
      </c>
      <c r="R131" s="186" t="s">
        <v>333</v>
      </c>
      <c r="S131" s="164">
        <v>3262.49</v>
      </c>
      <c r="T131" s="187" t="s">
        <v>309</v>
      </c>
      <c r="U131" s="164">
        <v>280576.33</v>
      </c>
      <c r="V131" s="56" t="s">
        <v>342</v>
      </c>
      <c r="W131" s="56" t="s">
        <v>310</v>
      </c>
      <c r="X131" s="56" t="s">
        <v>305</v>
      </c>
      <c r="Y131" s="56" t="s">
        <v>332</v>
      </c>
      <c r="Z131" s="56" t="s">
        <v>311</v>
      </c>
      <c r="AA131" s="56" t="s">
        <v>172</v>
      </c>
      <c r="AB131" s="56" t="s">
        <v>305</v>
      </c>
      <c r="AC131" s="56" t="s">
        <v>305</v>
      </c>
      <c r="AD131" s="56" t="s">
        <v>305</v>
      </c>
      <c r="AE131" s="57">
        <v>45842</v>
      </c>
      <c r="AF131" s="57"/>
      <c r="AG131" s="56" t="s">
        <v>305</v>
      </c>
      <c r="AH131" s="74" cm="1">
        <f t="array" ref="AH131:AI131">VLOOKUP(M131,'Customer data Vlookup'!$B$3:$H$127,{2,3},0)</f>
        <v>280576.32586829999</v>
      </c>
      <c r="AI131" s="74">
        <v>5613</v>
      </c>
      <c r="AJ131" s="74">
        <f t="shared" si="6"/>
        <v>274963.32586829999</v>
      </c>
      <c r="AK131" s="41">
        <f t="shared" si="7"/>
        <v>4.1317000286653638E-3</v>
      </c>
      <c r="AL131" s="62">
        <f t="shared" si="8"/>
        <v>2.0005251333923998E-2</v>
      </c>
      <c r="AO131" t="str">
        <f>VLOOKUP(M131,'Customer data'!F:P,11,0)</f>
        <v>Not Approved</v>
      </c>
    </row>
    <row r="132" spans="1:41" hidden="1">
      <c r="A132" s="56" t="s">
        <v>326</v>
      </c>
      <c r="B132" s="56" t="s">
        <v>299</v>
      </c>
      <c r="C132" s="56" t="s">
        <v>300</v>
      </c>
      <c r="D132" s="56" t="s">
        <v>301</v>
      </c>
      <c r="E132" s="56" t="s">
        <v>302</v>
      </c>
      <c r="F132" s="56" t="s">
        <v>327</v>
      </c>
      <c r="G132" s="57">
        <v>45842</v>
      </c>
      <c r="H132" s="58">
        <v>1800010045</v>
      </c>
      <c r="I132" s="56" t="s">
        <v>417</v>
      </c>
      <c r="J132" s="57">
        <v>45842</v>
      </c>
      <c r="K132" s="57">
        <v>45845</v>
      </c>
      <c r="L132" s="56" t="s">
        <v>332</v>
      </c>
      <c r="M132" s="60">
        <v>256779414809</v>
      </c>
      <c r="N132" s="56" t="s">
        <v>306</v>
      </c>
      <c r="O132" s="56" t="s">
        <v>307</v>
      </c>
      <c r="P132" s="56" t="s">
        <v>305</v>
      </c>
      <c r="Q132" s="56" t="s">
        <v>337</v>
      </c>
      <c r="R132" s="186" t="s">
        <v>333</v>
      </c>
      <c r="S132" s="164">
        <v>1980.46</v>
      </c>
      <c r="T132" s="187" t="s">
        <v>309</v>
      </c>
      <c r="U132" s="164">
        <v>170320.89</v>
      </c>
      <c r="V132" s="56" t="s">
        <v>342</v>
      </c>
      <c r="W132" s="56" t="s">
        <v>310</v>
      </c>
      <c r="X132" s="56" t="s">
        <v>305</v>
      </c>
      <c r="Y132" s="56" t="s">
        <v>332</v>
      </c>
      <c r="Z132" s="56" t="s">
        <v>311</v>
      </c>
      <c r="AA132" s="56" t="s">
        <v>178</v>
      </c>
      <c r="AB132" s="56" t="s">
        <v>305</v>
      </c>
      <c r="AC132" s="56" t="s">
        <v>305</v>
      </c>
      <c r="AD132" s="56" t="s">
        <v>305</v>
      </c>
      <c r="AE132" s="57">
        <v>45842</v>
      </c>
      <c r="AF132" s="57"/>
      <c r="AG132" s="56" t="s">
        <v>305</v>
      </c>
      <c r="AH132" s="74" cm="1">
        <f t="array" ref="AH132:AI132">VLOOKUP(M132,'Customer data Vlookup'!$B$3:$H$127,{2,3},0)</f>
        <v>170320.88690819999</v>
      </c>
      <c r="AI132" s="74">
        <v>3406</v>
      </c>
      <c r="AJ132" s="74">
        <f t="shared" si="6"/>
        <v>166914.88690819999</v>
      </c>
      <c r="AK132" s="41">
        <f t="shared" si="7"/>
        <v>3.0918000265955925E-3</v>
      </c>
      <c r="AL132" s="62">
        <f t="shared" si="8"/>
        <v>1.9997546983226776E-2</v>
      </c>
      <c r="AO132" t="str">
        <f>VLOOKUP(M132,'Customer data'!F:P,11,0)</f>
        <v>Not Approved</v>
      </c>
    </row>
    <row r="133" spans="1:41" hidden="1">
      <c r="A133" s="56" t="s">
        <v>326</v>
      </c>
      <c r="B133" s="56" t="s">
        <v>299</v>
      </c>
      <c r="C133" s="56" t="s">
        <v>300</v>
      </c>
      <c r="D133" s="56" t="s">
        <v>301</v>
      </c>
      <c r="E133" s="56" t="s">
        <v>302</v>
      </c>
      <c r="F133" s="56" t="s">
        <v>327</v>
      </c>
      <c r="G133" s="57">
        <v>45842</v>
      </c>
      <c r="H133" s="58">
        <v>1800010091</v>
      </c>
      <c r="I133" s="56" t="s">
        <v>417</v>
      </c>
      <c r="J133" s="57">
        <v>45842</v>
      </c>
      <c r="K133" s="57">
        <v>45847</v>
      </c>
      <c r="L133" s="56" t="s">
        <v>332</v>
      </c>
      <c r="M133" s="60">
        <v>256779414851</v>
      </c>
      <c r="N133" s="56" t="s">
        <v>306</v>
      </c>
      <c r="O133" s="56" t="s">
        <v>307</v>
      </c>
      <c r="P133" s="56" t="s">
        <v>305</v>
      </c>
      <c r="Q133" s="56" t="s">
        <v>337</v>
      </c>
      <c r="R133" s="186" t="s">
        <v>333</v>
      </c>
      <c r="S133" s="164">
        <v>139.58000000000001</v>
      </c>
      <c r="T133" s="187" t="s">
        <v>309</v>
      </c>
      <c r="U133" s="164">
        <v>12003.97</v>
      </c>
      <c r="V133" s="56" t="s">
        <v>342</v>
      </c>
      <c r="W133" s="56" t="s">
        <v>310</v>
      </c>
      <c r="X133" s="56" t="s">
        <v>305</v>
      </c>
      <c r="Y133" s="56" t="s">
        <v>332</v>
      </c>
      <c r="Z133" s="56" t="s">
        <v>311</v>
      </c>
      <c r="AA133" s="56" t="s">
        <v>189</v>
      </c>
      <c r="AB133" s="56" t="s">
        <v>305</v>
      </c>
      <c r="AC133" s="56" t="s">
        <v>305</v>
      </c>
      <c r="AD133" s="56" t="s">
        <v>305</v>
      </c>
      <c r="AE133" s="57">
        <v>45842</v>
      </c>
      <c r="AF133" s="57"/>
      <c r="AG133" s="56" t="s">
        <v>305</v>
      </c>
      <c r="AH133" s="74" cm="1">
        <f t="array" ref="AH133:AI133">VLOOKUP(M133,'Customer data Vlookup'!$B$3:$H$127,{2,3},0)</f>
        <v>12003.973518600002</v>
      </c>
      <c r="AI133" s="74">
        <v>240</v>
      </c>
      <c r="AJ133" s="74">
        <f t="shared" si="6"/>
        <v>11763.973518600002</v>
      </c>
      <c r="AK133" s="41">
        <f t="shared" si="7"/>
        <v>-3.5186000022804365E-3</v>
      </c>
      <c r="AL133" s="62">
        <f t="shared" si="8"/>
        <v>1.9993385521623264E-2</v>
      </c>
      <c r="AO133" t="str">
        <f>VLOOKUP(M133,'Customer data'!F:P,11,0)</f>
        <v>Not Approved</v>
      </c>
    </row>
    <row r="134" spans="1:41" hidden="1">
      <c r="A134" s="56" t="s">
        <v>298</v>
      </c>
      <c r="B134" s="56" t="s">
        <v>299</v>
      </c>
      <c r="C134" s="56" t="s">
        <v>300</v>
      </c>
      <c r="D134" s="56" t="s">
        <v>301</v>
      </c>
      <c r="E134" s="56" t="s">
        <v>302</v>
      </c>
      <c r="F134" s="56" t="s">
        <v>312</v>
      </c>
      <c r="G134" s="57">
        <v>45842</v>
      </c>
      <c r="H134" s="58">
        <v>1800010106</v>
      </c>
      <c r="I134" s="56" t="s">
        <v>417</v>
      </c>
      <c r="J134" s="57">
        <v>45842</v>
      </c>
      <c r="K134" s="57">
        <v>45847</v>
      </c>
      <c r="L134" s="56" t="s">
        <v>332</v>
      </c>
      <c r="M134" s="60">
        <v>256779414866</v>
      </c>
      <c r="N134" s="56" t="s">
        <v>306</v>
      </c>
      <c r="O134" s="56" t="s">
        <v>307</v>
      </c>
      <c r="P134" s="56" t="s">
        <v>305</v>
      </c>
      <c r="Q134" s="56" t="s">
        <v>337</v>
      </c>
      <c r="R134" s="186" t="s">
        <v>333</v>
      </c>
      <c r="S134" s="164">
        <v>3691.03</v>
      </c>
      <c r="T134" s="187" t="s">
        <v>309</v>
      </c>
      <c r="U134" s="164">
        <v>317431.05</v>
      </c>
      <c r="V134" s="56" t="s">
        <v>342</v>
      </c>
      <c r="W134" s="56" t="s">
        <v>310</v>
      </c>
      <c r="X134" s="56" t="s">
        <v>305</v>
      </c>
      <c r="Y134" s="56" t="s">
        <v>332</v>
      </c>
      <c r="Z134" s="56" t="s">
        <v>311</v>
      </c>
      <c r="AA134" s="56" t="s">
        <v>430</v>
      </c>
      <c r="AB134" s="56" t="s">
        <v>305</v>
      </c>
      <c r="AC134" s="56" t="s">
        <v>305</v>
      </c>
      <c r="AD134" s="56" t="s">
        <v>305</v>
      </c>
      <c r="AE134" s="57">
        <v>45842</v>
      </c>
      <c r="AF134" s="57"/>
      <c r="AG134" s="56" t="s">
        <v>305</v>
      </c>
      <c r="AH134" s="74" cm="1">
        <f t="array" ref="AH134:AI134">VLOOKUP(M134,'Customer data Vlookup'!$B$3:$H$127,{2,3},0)</f>
        <v>317431.0529901</v>
      </c>
      <c r="AI134" s="74">
        <v>6349</v>
      </c>
      <c r="AJ134" s="74">
        <f t="shared" si="6"/>
        <v>311082.0529901</v>
      </c>
      <c r="AK134" s="41">
        <f t="shared" si="7"/>
        <v>-2.9901000089012086E-3</v>
      </c>
      <c r="AL134" s="62">
        <f t="shared" si="8"/>
        <v>2.0001193960074166E-2</v>
      </c>
      <c r="AO134" t="str">
        <f>VLOOKUP(M134,'Customer data'!F:P,11,0)</f>
        <v>Not Approved</v>
      </c>
    </row>
    <row r="135" spans="1:41" hidden="1">
      <c r="A135" s="56" t="s">
        <v>298</v>
      </c>
      <c r="B135" s="56" t="s">
        <v>299</v>
      </c>
      <c r="C135" s="56" t="s">
        <v>300</v>
      </c>
      <c r="D135" s="56" t="s">
        <v>301</v>
      </c>
      <c r="E135" s="56" t="s">
        <v>302</v>
      </c>
      <c r="F135" s="56" t="s">
        <v>327</v>
      </c>
      <c r="G135" s="57">
        <v>45842</v>
      </c>
      <c r="H135" s="58">
        <v>1800010238</v>
      </c>
      <c r="I135" s="56" t="s">
        <v>417</v>
      </c>
      <c r="J135" s="57">
        <v>45842</v>
      </c>
      <c r="K135" s="57">
        <v>45847</v>
      </c>
      <c r="L135" s="56" t="s">
        <v>332</v>
      </c>
      <c r="M135" s="60">
        <v>256779414998</v>
      </c>
      <c r="N135" s="56" t="s">
        <v>306</v>
      </c>
      <c r="O135" s="56" t="s">
        <v>307</v>
      </c>
      <c r="P135" s="56" t="s">
        <v>305</v>
      </c>
      <c r="Q135" s="56" t="s">
        <v>337</v>
      </c>
      <c r="R135" s="186" t="s">
        <v>333</v>
      </c>
      <c r="S135" s="164">
        <v>1752.33</v>
      </c>
      <c r="T135" s="187" t="s">
        <v>309</v>
      </c>
      <c r="U135" s="164">
        <v>150701.54999999999</v>
      </c>
      <c r="V135" s="56" t="s">
        <v>342</v>
      </c>
      <c r="W135" s="56" t="s">
        <v>310</v>
      </c>
      <c r="X135" s="56" t="s">
        <v>305</v>
      </c>
      <c r="Y135" s="56" t="s">
        <v>332</v>
      </c>
      <c r="Z135" s="56" t="s">
        <v>311</v>
      </c>
      <c r="AA135" s="56" t="s">
        <v>431</v>
      </c>
      <c r="AB135" s="56" t="s">
        <v>305</v>
      </c>
      <c r="AC135" s="56" t="s">
        <v>305</v>
      </c>
      <c r="AD135" s="56" t="s">
        <v>305</v>
      </c>
      <c r="AE135" s="57">
        <v>45842</v>
      </c>
      <c r="AF135" s="57"/>
      <c r="AG135" s="56" t="s">
        <v>305</v>
      </c>
      <c r="AH135" s="74" cm="1">
        <f t="array" ref="AH135:AI135">VLOOKUP(M135,'Customer data Vlookup'!$B$3:$H$127,{2,3},0)</f>
        <v>150701.5540611</v>
      </c>
      <c r="AI135" s="74">
        <v>3013</v>
      </c>
      <c r="AJ135" s="74">
        <f t="shared" si="6"/>
        <v>147688.5540611</v>
      </c>
      <c r="AK135" s="41">
        <f t="shared" si="7"/>
        <v>-4.0611000149510801E-3</v>
      </c>
      <c r="AL135" s="62">
        <f t="shared" si="8"/>
        <v>1.9993158663597025E-2</v>
      </c>
      <c r="AO135" t="str">
        <f>VLOOKUP(M135,'Customer data'!F:P,11,0)</f>
        <v>Not Approved</v>
      </c>
    </row>
    <row r="136" spans="1:41" hidden="1">
      <c r="A136" s="56" t="s">
        <v>298</v>
      </c>
      <c r="B136" s="56" t="s">
        <v>299</v>
      </c>
      <c r="C136" s="56" t="s">
        <v>300</v>
      </c>
      <c r="D136" s="56" t="s">
        <v>301</v>
      </c>
      <c r="E136" s="56" t="s">
        <v>302</v>
      </c>
      <c r="F136" s="56" t="s">
        <v>327</v>
      </c>
      <c r="G136" s="57">
        <v>45842</v>
      </c>
      <c r="H136" s="58">
        <v>1800010271</v>
      </c>
      <c r="I136" s="56" t="s">
        <v>417</v>
      </c>
      <c r="J136" s="57">
        <v>45842</v>
      </c>
      <c r="K136" s="57">
        <v>45847</v>
      </c>
      <c r="L136" s="56" t="s">
        <v>332</v>
      </c>
      <c r="M136" s="60">
        <v>256779415031</v>
      </c>
      <c r="N136" s="56" t="s">
        <v>306</v>
      </c>
      <c r="O136" s="56" t="s">
        <v>307</v>
      </c>
      <c r="P136" s="56" t="s">
        <v>305</v>
      </c>
      <c r="Q136" s="56" t="s">
        <v>337</v>
      </c>
      <c r="R136" s="186" t="s">
        <v>333</v>
      </c>
      <c r="S136" s="164">
        <v>14.09</v>
      </c>
      <c r="T136" s="187" t="s">
        <v>309</v>
      </c>
      <c r="U136" s="164">
        <v>1211.75</v>
      </c>
      <c r="V136" s="56" t="s">
        <v>342</v>
      </c>
      <c r="W136" s="56" t="s">
        <v>310</v>
      </c>
      <c r="X136" s="56" t="s">
        <v>305</v>
      </c>
      <c r="Y136" s="56" t="s">
        <v>332</v>
      </c>
      <c r="Z136" s="56" t="s">
        <v>311</v>
      </c>
      <c r="AA136" s="56" t="s">
        <v>188</v>
      </c>
      <c r="AB136" s="56" t="s">
        <v>305</v>
      </c>
      <c r="AC136" s="56" t="s">
        <v>305</v>
      </c>
      <c r="AD136" s="56" t="s">
        <v>305</v>
      </c>
      <c r="AE136" s="57">
        <v>45842</v>
      </c>
      <c r="AF136" s="57"/>
      <c r="AG136" s="56" t="s">
        <v>305</v>
      </c>
      <c r="AH136" s="74" cm="1">
        <f t="array" ref="AH136:AI136">VLOOKUP(M136,'Customer data Vlookup'!$B$3:$H$127,{2,3},0)</f>
        <v>1211.7494403000001</v>
      </c>
      <c r="AI136" s="74">
        <v>24</v>
      </c>
      <c r="AJ136" s="74">
        <f t="shared" si="6"/>
        <v>1187.7494403000001</v>
      </c>
      <c r="AK136" s="41">
        <f t="shared" si="7"/>
        <v>5.5969999993976671E-4</v>
      </c>
      <c r="AL136" s="62">
        <f t="shared" si="8"/>
        <v>1.9806065607592325E-2</v>
      </c>
      <c r="AO136" t="str">
        <f>VLOOKUP(M136,'Customer data'!F:P,11,0)</f>
        <v>Not Approved</v>
      </c>
    </row>
    <row r="137" spans="1:41" hidden="1">
      <c r="A137" s="56" t="s">
        <v>298</v>
      </c>
      <c r="B137" s="56" t="s">
        <v>299</v>
      </c>
      <c r="C137" s="56" t="s">
        <v>300</v>
      </c>
      <c r="D137" s="56" t="s">
        <v>301</v>
      </c>
      <c r="E137" s="56" t="s">
        <v>302</v>
      </c>
      <c r="F137" s="56" t="s">
        <v>334</v>
      </c>
      <c r="G137" s="57">
        <v>45842</v>
      </c>
      <c r="H137" s="58">
        <v>1800010445</v>
      </c>
      <c r="I137" s="56" t="s">
        <v>417</v>
      </c>
      <c r="J137" s="57">
        <v>45842</v>
      </c>
      <c r="K137" s="57">
        <v>45847</v>
      </c>
      <c r="L137" s="56" t="s">
        <v>332</v>
      </c>
      <c r="M137" s="60">
        <v>256779415205</v>
      </c>
      <c r="N137" s="56" t="s">
        <v>306</v>
      </c>
      <c r="O137" s="56" t="s">
        <v>307</v>
      </c>
      <c r="P137" s="56" t="s">
        <v>305</v>
      </c>
      <c r="Q137" s="56" t="s">
        <v>337</v>
      </c>
      <c r="R137" s="186" t="s">
        <v>333</v>
      </c>
      <c r="S137" s="164">
        <v>5120.2</v>
      </c>
      <c r="T137" s="187" t="s">
        <v>309</v>
      </c>
      <c r="U137" s="164">
        <v>440340.63</v>
      </c>
      <c r="V137" s="56" t="s">
        <v>342</v>
      </c>
      <c r="W137" s="56" t="s">
        <v>310</v>
      </c>
      <c r="X137" s="56" t="s">
        <v>305</v>
      </c>
      <c r="Y137" s="56" t="s">
        <v>332</v>
      </c>
      <c r="Z137" s="56" t="s">
        <v>311</v>
      </c>
      <c r="AA137" s="56" t="s">
        <v>195</v>
      </c>
      <c r="AB137" s="56" t="s">
        <v>305</v>
      </c>
      <c r="AC137" s="56" t="s">
        <v>305</v>
      </c>
      <c r="AD137" s="56" t="s">
        <v>305</v>
      </c>
      <c r="AE137" s="57">
        <v>45842</v>
      </c>
      <c r="AF137" s="57"/>
      <c r="AG137" s="56" t="s">
        <v>617</v>
      </c>
      <c r="AH137" s="74" cm="1">
        <f t="array" ref="AH137:AI137">VLOOKUP(M137,'Customer data Vlookup'!$B$3:$H$127,{2,3},0)</f>
        <v>440340.630534</v>
      </c>
      <c r="AI137" s="74">
        <v>44034</v>
      </c>
      <c r="AJ137" s="74">
        <f t="shared" si="6"/>
        <v>396306.630534</v>
      </c>
      <c r="AK137" s="41">
        <f t="shared" si="7"/>
        <v>-5.3399999160319567E-4</v>
      </c>
      <c r="AL137" s="62">
        <f t="shared" si="8"/>
        <v>9.9999856928941575E-2</v>
      </c>
      <c r="AO137" t="str">
        <f>VLOOKUP(M137,'Customer data'!F:P,11,0)</f>
        <v>HDFCH00646925098</v>
      </c>
    </row>
    <row r="138" spans="1:41" hidden="1">
      <c r="A138" s="56" t="s">
        <v>298</v>
      </c>
      <c r="B138" s="56" t="s">
        <v>299</v>
      </c>
      <c r="C138" s="56" t="s">
        <v>300</v>
      </c>
      <c r="D138" s="56" t="s">
        <v>301</v>
      </c>
      <c r="E138" s="56" t="s">
        <v>302</v>
      </c>
      <c r="F138" s="56" t="s">
        <v>334</v>
      </c>
      <c r="G138" s="57">
        <v>45842</v>
      </c>
      <c r="H138" s="58">
        <v>1800010494</v>
      </c>
      <c r="I138" s="56" t="s">
        <v>417</v>
      </c>
      <c r="J138" s="57">
        <v>45842</v>
      </c>
      <c r="K138" s="57">
        <v>45847</v>
      </c>
      <c r="L138" s="56" t="s">
        <v>332</v>
      </c>
      <c r="M138" s="60">
        <v>256779415254</v>
      </c>
      <c r="N138" s="56" t="s">
        <v>306</v>
      </c>
      <c r="O138" s="56" t="s">
        <v>307</v>
      </c>
      <c r="P138" s="56" t="s">
        <v>305</v>
      </c>
      <c r="Q138" s="56" t="s">
        <v>337</v>
      </c>
      <c r="R138" s="186" t="s">
        <v>333</v>
      </c>
      <c r="S138" s="164">
        <v>102.88</v>
      </c>
      <c r="T138" s="187" t="s">
        <v>309</v>
      </c>
      <c r="U138" s="164">
        <v>8847.75</v>
      </c>
      <c r="V138" s="56" t="s">
        <v>342</v>
      </c>
      <c r="W138" s="56" t="s">
        <v>310</v>
      </c>
      <c r="X138" s="56" t="s">
        <v>305</v>
      </c>
      <c r="Y138" s="56" t="s">
        <v>305</v>
      </c>
      <c r="Z138" s="56" t="s">
        <v>311</v>
      </c>
      <c r="AA138" s="56" t="s">
        <v>220</v>
      </c>
      <c r="AB138" s="56" t="s">
        <v>305</v>
      </c>
      <c r="AC138" s="56" t="s">
        <v>305</v>
      </c>
      <c r="AD138" s="56" t="s">
        <v>305</v>
      </c>
      <c r="AE138" s="57">
        <v>45842</v>
      </c>
      <c r="AF138" s="57"/>
      <c r="AG138" s="56" t="s">
        <v>305</v>
      </c>
      <c r="AH138" s="74" cm="1">
        <f t="array" ref="AH138:AI138">VLOOKUP(M138,'Customer data Vlookup'!$B$3:$H$127,{2,3},0)</f>
        <v>8847.7489296000003</v>
      </c>
      <c r="AI138" s="74">
        <v>177</v>
      </c>
      <c r="AJ138" s="74">
        <f t="shared" si="6"/>
        <v>8670.7489296000003</v>
      </c>
      <c r="AK138" s="41">
        <f t="shared" si="7"/>
        <v>1.070399999662186E-3</v>
      </c>
      <c r="AL138" s="62">
        <f t="shared" si="8"/>
        <v>2.0005086038823429E-2</v>
      </c>
      <c r="AO138" t="str">
        <f>VLOOKUP(M138,'Customer data'!F:P,11,0)</f>
        <v>Not Approved</v>
      </c>
    </row>
    <row r="139" spans="1:41" hidden="1">
      <c r="A139" s="56" t="s">
        <v>298</v>
      </c>
      <c r="B139" s="56" t="s">
        <v>299</v>
      </c>
      <c r="C139" s="56" t="s">
        <v>300</v>
      </c>
      <c r="D139" s="56" t="s">
        <v>301</v>
      </c>
      <c r="E139" s="56" t="s">
        <v>302</v>
      </c>
      <c r="F139" s="56" t="s">
        <v>312</v>
      </c>
      <c r="G139" s="57">
        <v>45839</v>
      </c>
      <c r="H139" s="58">
        <v>1400000063</v>
      </c>
      <c r="I139" s="56" t="s">
        <v>319</v>
      </c>
      <c r="J139" s="57">
        <v>45832</v>
      </c>
      <c r="K139" s="57">
        <v>45832</v>
      </c>
      <c r="L139" s="56" t="s">
        <v>94</v>
      </c>
      <c r="M139" s="64" t="s">
        <v>305</v>
      </c>
      <c r="N139" s="56" t="s">
        <v>306</v>
      </c>
      <c r="O139" s="56" t="s">
        <v>307</v>
      </c>
      <c r="P139" s="56" t="s">
        <v>305</v>
      </c>
      <c r="Q139" s="56" t="s">
        <v>308</v>
      </c>
      <c r="R139" s="186" t="s">
        <v>309</v>
      </c>
      <c r="S139" s="164">
        <v>-112111.95</v>
      </c>
      <c r="T139" s="187" t="s">
        <v>309</v>
      </c>
      <c r="U139" s="164">
        <v>-112111.95</v>
      </c>
      <c r="V139" s="56" t="s">
        <v>305</v>
      </c>
      <c r="W139" s="56" t="s">
        <v>313</v>
      </c>
      <c r="X139" s="56" t="s">
        <v>305</v>
      </c>
      <c r="Y139" s="56" t="s">
        <v>305</v>
      </c>
      <c r="Z139" s="56" t="s">
        <v>317</v>
      </c>
      <c r="AA139" s="56" t="s">
        <v>305</v>
      </c>
      <c r="AB139" s="56" t="s">
        <v>305</v>
      </c>
      <c r="AC139" s="56" t="s">
        <v>305</v>
      </c>
      <c r="AD139" s="56" t="s">
        <v>305</v>
      </c>
      <c r="AE139" s="57">
        <v>45832</v>
      </c>
      <c r="AF139" s="57">
        <v>45946</v>
      </c>
      <c r="AG139" s="58">
        <v>1400001451</v>
      </c>
      <c r="AH139" s="74" t="e" cm="1">
        <f t="array" ref="AH139">VLOOKUP(M139,'Customer data Vlookup'!$B$3:$H$127,{2,3},0)</f>
        <v>#N/A</v>
      </c>
      <c r="AI139" s="74"/>
      <c r="AJ139" s="74"/>
      <c r="AK139" s="43"/>
      <c r="AL139" s="43"/>
      <c r="AO139" t="e">
        <f>VLOOKUP(M139,'Customer data'!F:P,11,0)</f>
        <v>#N/A</v>
      </c>
    </row>
    <row r="140" spans="1:41" hidden="1">
      <c r="A140" s="56" t="s">
        <v>298</v>
      </c>
      <c r="B140" s="56" t="s">
        <v>299</v>
      </c>
      <c r="C140" s="56" t="s">
        <v>300</v>
      </c>
      <c r="D140" s="56" t="s">
        <v>301</v>
      </c>
      <c r="E140" s="56" t="s">
        <v>302</v>
      </c>
      <c r="F140" s="56" t="s">
        <v>327</v>
      </c>
      <c r="G140" s="57">
        <v>45946</v>
      </c>
      <c r="H140" s="58">
        <v>1400001451</v>
      </c>
      <c r="I140" s="56" t="s">
        <v>319</v>
      </c>
      <c r="J140" s="57">
        <v>45832</v>
      </c>
      <c r="K140" s="57">
        <v>45946</v>
      </c>
      <c r="L140" s="56" t="s">
        <v>94</v>
      </c>
      <c r="M140" s="64" t="s">
        <v>305</v>
      </c>
      <c r="N140" s="56" t="s">
        <v>306</v>
      </c>
      <c r="O140" s="56" t="s">
        <v>307</v>
      </c>
      <c r="P140" s="56" t="s">
        <v>305</v>
      </c>
      <c r="Q140" s="56" t="s">
        <v>329</v>
      </c>
      <c r="R140" s="186" t="s">
        <v>309</v>
      </c>
      <c r="S140" s="164">
        <v>112111.95</v>
      </c>
      <c r="T140" s="187" t="s">
        <v>309</v>
      </c>
      <c r="U140" s="164">
        <v>112111.95</v>
      </c>
      <c r="V140" s="56" t="s">
        <v>305</v>
      </c>
      <c r="W140" s="56" t="s">
        <v>313</v>
      </c>
      <c r="X140" s="56" t="s">
        <v>305</v>
      </c>
      <c r="Y140" s="56" t="s">
        <v>305</v>
      </c>
      <c r="Z140" s="56" t="s">
        <v>317</v>
      </c>
      <c r="AA140" s="56" t="s">
        <v>305</v>
      </c>
      <c r="AB140" s="56" t="s">
        <v>305</v>
      </c>
      <c r="AC140" s="56" t="s">
        <v>305</v>
      </c>
      <c r="AD140" s="56" t="s">
        <v>305</v>
      </c>
      <c r="AE140" s="57">
        <v>45832</v>
      </c>
      <c r="AF140" s="57">
        <v>45946</v>
      </c>
      <c r="AG140" s="58">
        <v>1400001451</v>
      </c>
      <c r="AH140" s="74" t="e" cm="1">
        <f t="array" ref="AH140">VLOOKUP(M140,'Customer data Vlookup'!$B$3:$H$127,{2,3},0)</f>
        <v>#N/A</v>
      </c>
      <c r="AI140" s="74"/>
      <c r="AJ140" s="74"/>
      <c r="AK140" s="43"/>
      <c r="AL140" s="43"/>
      <c r="AO140" t="e">
        <f>VLOOKUP(M140,'Customer data'!F:P,11,0)</f>
        <v>#N/A</v>
      </c>
    </row>
    <row r="141" spans="1:41" hidden="1">
      <c r="A141" s="56" t="s">
        <v>298</v>
      </c>
      <c r="B141" s="56" t="s">
        <v>299</v>
      </c>
      <c r="C141" s="56" t="s">
        <v>300</v>
      </c>
      <c r="D141" s="56" t="s">
        <v>301</v>
      </c>
      <c r="E141" s="56" t="s">
        <v>302</v>
      </c>
      <c r="F141" s="56" t="s">
        <v>312</v>
      </c>
      <c r="G141" s="57">
        <v>45985</v>
      </c>
      <c r="H141" s="58">
        <v>1400001993</v>
      </c>
      <c r="I141" s="56" t="s">
        <v>319</v>
      </c>
      <c r="J141" s="57">
        <v>45832</v>
      </c>
      <c r="K141" s="57">
        <v>45985</v>
      </c>
      <c r="L141" s="56" t="s">
        <v>149</v>
      </c>
      <c r="M141" s="64" t="s">
        <v>305</v>
      </c>
      <c r="N141" s="56" t="s">
        <v>306</v>
      </c>
      <c r="O141" s="56" t="s">
        <v>307</v>
      </c>
      <c r="P141" s="56" t="s">
        <v>305</v>
      </c>
      <c r="Q141" s="56" t="s">
        <v>329</v>
      </c>
      <c r="R141" s="186" t="s">
        <v>309</v>
      </c>
      <c r="S141" s="164">
        <v>159186.29</v>
      </c>
      <c r="T141" s="187" t="s">
        <v>309</v>
      </c>
      <c r="U141" s="164">
        <v>159186.29</v>
      </c>
      <c r="V141" s="56" t="s">
        <v>305</v>
      </c>
      <c r="W141" s="56" t="s">
        <v>313</v>
      </c>
      <c r="X141" s="56" t="s">
        <v>305</v>
      </c>
      <c r="Y141" s="56" t="s">
        <v>305</v>
      </c>
      <c r="Z141" s="56" t="s">
        <v>317</v>
      </c>
      <c r="AA141" s="56" t="s">
        <v>305</v>
      </c>
      <c r="AB141" s="56" t="s">
        <v>305</v>
      </c>
      <c r="AC141" s="56" t="s">
        <v>305</v>
      </c>
      <c r="AD141" s="56" t="s">
        <v>305</v>
      </c>
      <c r="AE141" s="57">
        <v>45832</v>
      </c>
      <c r="AF141" s="57">
        <v>45985</v>
      </c>
      <c r="AG141" s="58">
        <v>1400001993</v>
      </c>
      <c r="AH141" s="74" t="e" cm="1">
        <f t="array" ref="AH141">VLOOKUP(M141,'Customer data Vlookup'!$B$3:$H$127,{2,3},0)</f>
        <v>#N/A</v>
      </c>
      <c r="AI141" s="74"/>
      <c r="AJ141" s="74"/>
      <c r="AK141" s="43"/>
      <c r="AL141" s="43"/>
      <c r="AO141" t="e">
        <f>VLOOKUP(M141,'Customer data'!F:P,11,0)</f>
        <v>#N/A</v>
      </c>
    </row>
    <row r="142" spans="1:41" hidden="1">
      <c r="A142" s="56" t="s">
        <v>298</v>
      </c>
      <c r="B142" s="56" t="s">
        <v>299</v>
      </c>
      <c r="C142" s="56" t="s">
        <v>300</v>
      </c>
      <c r="D142" s="56" t="s">
        <v>301</v>
      </c>
      <c r="E142" s="56" t="s">
        <v>302</v>
      </c>
      <c r="F142" s="56" t="s">
        <v>312</v>
      </c>
      <c r="G142" s="57">
        <v>45839</v>
      </c>
      <c r="H142" s="58">
        <v>1400000115</v>
      </c>
      <c r="I142" s="56" t="s">
        <v>319</v>
      </c>
      <c r="J142" s="57">
        <v>45832</v>
      </c>
      <c r="K142" s="57">
        <v>45832</v>
      </c>
      <c r="L142" s="56" t="s">
        <v>149</v>
      </c>
      <c r="M142" s="64" t="s">
        <v>305</v>
      </c>
      <c r="N142" s="56" t="s">
        <v>306</v>
      </c>
      <c r="O142" s="56" t="s">
        <v>307</v>
      </c>
      <c r="P142" s="56" t="s">
        <v>305</v>
      </c>
      <c r="Q142" s="56" t="s">
        <v>308</v>
      </c>
      <c r="R142" s="186" t="s">
        <v>309</v>
      </c>
      <c r="S142" s="164">
        <v>-159186.29</v>
      </c>
      <c r="T142" s="187" t="s">
        <v>309</v>
      </c>
      <c r="U142" s="164">
        <v>-159186.29</v>
      </c>
      <c r="V142" s="56" t="s">
        <v>305</v>
      </c>
      <c r="W142" s="56" t="s">
        <v>313</v>
      </c>
      <c r="X142" s="56" t="s">
        <v>305</v>
      </c>
      <c r="Y142" s="56" t="s">
        <v>305</v>
      </c>
      <c r="Z142" s="56" t="s">
        <v>317</v>
      </c>
      <c r="AA142" s="56" t="s">
        <v>305</v>
      </c>
      <c r="AB142" s="56" t="s">
        <v>305</v>
      </c>
      <c r="AC142" s="56" t="s">
        <v>305</v>
      </c>
      <c r="AD142" s="56" t="s">
        <v>305</v>
      </c>
      <c r="AE142" s="57">
        <v>45832</v>
      </c>
      <c r="AF142" s="57">
        <v>45985</v>
      </c>
      <c r="AG142" s="58">
        <v>1400001993</v>
      </c>
      <c r="AH142" s="74" t="e" cm="1">
        <f t="array" ref="AH142">VLOOKUP(M142,'Customer data Vlookup'!$B$3:$H$127,{2,3},0)</f>
        <v>#N/A</v>
      </c>
      <c r="AI142" s="74"/>
      <c r="AJ142" s="74"/>
      <c r="AK142" s="43"/>
      <c r="AL142" s="43"/>
      <c r="AO142" t="e">
        <f>VLOOKUP(M142,'Customer data'!F:P,11,0)</f>
        <v>#N/A</v>
      </c>
    </row>
    <row r="143" spans="1:41" hidden="1">
      <c r="A143" s="56" t="s">
        <v>298</v>
      </c>
      <c r="B143" s="56" t="s">
        <v>299</v>
      </c>
      <c r="C143" s="56" t="s">
        <v>300</v>
      </c>
      <c r="D143" s="56" t="s">
        <v>301</v>
      </c>
      <c r="E143" s="56" t="s">
        <v>302</v>
      </c>
      <c r="F143" s="56" t="s">
        <v>312</v>
      </c>
      <c r="G143" s="57">
        <v>45839</v>
      </c>
      <c r="H143" s="58">
        <v>1400000113</v>
      </c>
      <c r="I143" s="56" t="s">
        <v>319</v>
      </c>
      <c r="J143" s="57">
        <v>45832</v>
      </c>
      <c r="K143" s="57">
        <v>45832</v>
      </c>
      <c r="L143" s="56" t="s">
        <v>264</v>
      </c>
      <c r="M143" s="64" t="s">
        <v>305</v>
      </c>
      <c r="N143" s="56" t="s">
        <v>306</v>
      </c>
      <c r="O143" s="56" t="s">
        <v>307</v>
      </c>
      <c r="P143" s="56" t="s">
        <v>305</v>
      </c>
      <c r="Q143" s="56" t="s">
        <v>308</v>
      </c>
      <c r="R143" s="186" t="s">
        <v>309</v>
      </c>
      <c r="S143" s="164">
        <v>-341000</v>
      </c>
      <c r="T143" s="187" t="s">
        <v>309</v>
      </c>
      <c r="U143" s="164">
        <v>-341000</v>
      </c>
      <c r="V143" s="56" t="s">
        <v>305</v>
      </c>
      <c r="W143" s="56" t="s">
        <v>313</v>
      </c>
      <c r="X143" s="56" t="s">
        <v>305</v>
      </c>
      <c r="Y143" s="56" t="s">
        <v>305</v>
      </c>
      <c r="Z143" s="56" t="s">
        <v>317</v>
      </c>
      <c r="AA143" s="56" t="s">
        <v>305</v>
      </c>
      <c r="AB143" s="56" t="s">
        <v>305</v>
      </c>
      <c r="AC143" s="56" t="s">
        <v>305</v>
      </c>
      <c r="AD143" s="56" t="s">
        <v>305</v>
      </c>
      <c r="AE143" s="57">
        <v>45832</v>
      </c>
      <c r="AF143" s="57"/>
      <c r="AG143" s="56" t="s">
        <v>305</v>
      </c>
      <c r="AH143" s="74" t="e" cm="1">
        <f t="array" ref="AH143">VLOOKUP(M143,'Customer data Vlookup'!$B$3:$H$127,{2,3},0)</f>
        <v>#N/A</v>
      </c>
      <c r="AI143" s="74"/>
      <c r="AJ143" s="74"/>
      <c r="AK143" s="43"/>
      <c r="AL143" s="43"/>
      <c r="AO143" t="e">
        <f>VLOOKUP(M143,'Customer data'!F:P,11,0)</f>
        <v>#N/A</v>
      </c>
    </row>
    <row r="144" spans="1:41">
      <c r="A144" s="56" t="s">
        <v>298</v>
      </c>
      <c r="B144" s="56" t="s">
        <v>299</v>
      </c>
      <c r="C144" s="56" t="s">
        <v>300</v>
      </c>
      <c r="D144" s="56" t="s">
        <v>301</v>
      </c>
      <c r="E144" s="56" t="s">
        <v>302</v>
      </c>
      <c r="F144" s="56" t="s">
        <v>327</v>
      </c>
      <c r="G144" s="57">
        <v>45815</v>
      </c>
      <c r="H144" s="58">
        <v>1800009485</v>
      </c>
      <c r="I144" s="56" t="s">
        <v>417</v>
      </c>
      <c r="J144" s="57">
        <v>45815</v>
      </c>
      <c r="K144" s="57">
        <v>45817</v>
      </c>
      <c r="L144" s="56" t="s">
        <v>332</v>
      </c>
      <c r="M144" s="60">
        <v>256779414249</v>
      </c>
      <c r="N144" s="56" t="s">
        <v>306</v>
      </c>
      <c r="O144" s="56" t="s">
        <v>307</v>
      </c>
      <c r="P144" s="56" t="s">
        <v>305</v>
      </c>
      <c r="Q144" s="56" t="s">
        <v>337</v>
      </c>
      <c r="R144" s="186" t="s">
        <v>333</v>
      </c>
      <c r="S144" s="164">
        <v>2032.81</v>
      </c>
      <c r="T144" s="187" t="s">
        <v>309</v>
      </c>
      <c r="U144" s="164">
        <v>173786.51</v>
      </c>
      <c r="V144" s="56" t="s">
        <v>342</v>
      </c>
      <c r="W144" s="56" t="s">
        <v>310</v>
      </c>
      <c r="X144" s="56" t="s">
        <v>305</v>
      </c>
      <c r="Y144" s="56" t="s">
        <v>332</v>
      </c>
      <c r="Z144" s="56" t="s">
        <v>311</v>
      </c>
      <c r="AA144" s="56" t="s">
        <v>164</v>
      </c>
      <c r="AB144" s="56" t="s">
        <v>305</v>
      </c>
      <c r="AC144" s="56" t="s">
        <v>305</v>
      </c>
      <c r="AD144" s="56" t="s">
        <v>305</v>
      </c>
      <c r="AE144" s="57">
        <v>45815</v>
      </c>
      <c r="AF144" s="57"/>
      <c r="AG144" s="56" t="s">
        <v>305</v>
      </c>
      <c r="AH144" s="74" cm="1">
        <f t="array" ref="AH144:AI144">VLOOKUP(M144,'Customer data Vlookup'!$B$3:$H$127,{2,3},0)</f>
        <v>161435.48821587319</v>
      </c>
      <c r="AI144" s="74">
        <v>16144</v>
      </c>
      <c r="AJ144" s="74">
        <f>AH144-AI144</f>
        <v>145291.48821587319</v>
      </c>
      <c r="AK144" s="41">
        <f>U144-AH144</f>
        <v>12351.021784126817</v>
      </c>
      <c r="AL144" s="62">
        <f>AI144/U144</f>
        <v>9.2895587810584379E-2</v>
      </c>
      <c r="AO144" t="str">
        <f>VLOOKUP(M144,'Customer data'!F:P,11,0)</f>
        <v>HDFCN52025061495304800</v>
      </c>
    </row>
    <row r="145" spans="1:41" hidden="1">
      <c r="A145" s="56" t="s">
        <v>298</v>
      </c>
      <c r="B145" s="56" t="s">
        <v>299</v>
      </c>
      <c r="C145" s="56" t="s">
        <v>300</v>
      </c>
      <c r="D145" s="56" t="s">
        <v>301</v>
      </c>
      <c r="E145" s="56" t="s">
        <v>302</v>
      </c>
      <c r="F145" s="56" t="s">
        <v>327</v>
      </c>
      <c r="G145" s="57">
        <v>45812</v>
      </c>
      <c r="H145" s="58">
        <v>1800009518</v>
      </c>
      <c r="I145" s="56" t="s">
        <v>417</v>
      </c>
      <c r="J145" s="57">
        <v>45812</v>
      </c>
      <c r="K145" s="57">
        <v>45817</v>
      </c>
      <c r="L145" s="56" t="s">
        <v>332</v>
      </c>
      <c r="M145" s="60">
        <v>256779414282</v>
      </c>
      <c r="N145" s="56" t="s">
        <v>306</v>
      </c>
      <c r="O145" s="56" t="s">
        <v>307</v>
      </c>
      <c r="P145" s="56" t="s">
        <v>305</v>
      </c>
      <c r="Q145" s="56" t="s">
        <v>337</v>
      </c>
      <c r="R145" s="186" t="s">
        <v>333</v>
      </c>
      <c r="S145" s="164">
        <v>50</v>
      </c>
      <c r="T145" s="187" t="s">
        <v>309</v>
      </c>
      <c r="U145" s="164">
        <v>4274.54</v>
      </c>
      <c r="V145" s="56" t="s">
        <v>342</v>
      </c>
      <c r="W145" s="56" t="s">
        <v>310</v>
      </c>
      <c r="X145" s="56" t="s">
        <v>305</v>
      </c>
      <c r="Y145" s="56" t="s">
        <v>332</v>
      </c>
      <c r="Z145" s="56" t="s">
        <v>311</v>
      </c>
      <c r="AA145" s="56" t="s">
        <v>436</v>
      </c>
      <c r="AB145" s="56" t="s">
        <v>305</v>
      </c>
      <c r="AC145" s="56" t="s">
        <v>305</v>
      </c>
      <c r="AD145" s="56" t="s">
        <v>305</v>
      </c>
      <c r="AE145" s="57">
        <v>45812</v>
      </c>
      <c r="AF145" s="57">
        <v>45946</v>
      </c>
      <c r="AG145" s="58">
        <v>1400001456</v>
      </c>
      <c r="AH145" s="74" cm="1">
        <f t="array" ref="AH145:AI145">VLOOKUP(M145,'Customer data Vlookup'!$B$3:$H$127,{2,3},0)</f>
        <v>4274.5389999999998</v>
      </c>
      <c r="AI145" s="74">
        <v>85</v>
      </c>
      <c r="AJ145" s="74">
        <f>AH145-AI145</f>
        <v>4189.5389999999998</v>
      </c>
      <c r="AK145" s="41">
        <f>U145-AH145</f>
        <v>1.0000000002037268E-3</v>
      </c>
      <c r="AL145" s="62">
        <f>AI145/U145</f>
        <v>1.9885180627623088E-2</v>
      </c>
      <c r="AO145" t="str">
        <f>VLOOKUP(M145,'Customer data'!F:P,11,0)</f>
        <v>HDFCN52025062512710909</v>
      </c>
    </row>
    <row r="146" spans="1:41" hidden="1">
      <c r="A146" s="56" t="s">
        <v>298</v>
      </c>
      <c r="B146" s="56" t="s">
        <v>299</v>
      </c>
      <c r="C146" s="56" t="s">
        <v>300</v>
      </c>
      <c r="D146" s="56" t="s">
        <v>301</v>
      </c>
      <c r="E146" s="56" t="s">
        <v>302</v>
      </c>
      <c r="F146" s="56" t="s">
        <v>327</v>
      </c>
      <c r="G146" s="57">
        <v>45812</v>
      </c>
      <c r="H146" s="58">
        <v>1800009532</v>
      </c>
      <c r="I146" s="56" t="s">
        <v>417</v>
      </c>
      <c r="J146" s="57">
        <v>45812</v>
      </c>
      <c r="K146" s="57">
        <v>45817</v>
      </c>
      <c r="L146" s="56" t="s">
        <v>332</v>
      </c>
      <c r="M146" s="60">
        <v>256779414296</v>
      </c>
      <c r="N146" s="56" t="s">
        <v>306</v>
      </c>
      <c r="O146" s="56" t="s">
        <v>307</v>
      </c>
      <c r="P146" s="56" t="s">
        <v>305</v>
      </c>
      <c r="Q146" s="56" t="s">
        <v>337</v>
      </c>
      <c r="R146" s="186" t="s">
        <v>333</v>
      </c>
      <c r="S146" s="164">
        <v>2090.0300000000002</v>
      </c>
      <c r="T146" s="187" t="s">
        <v>309</v>
      </c>
      <c r="U146" s="164">
        <v>178678.29</v>
      </c>
      <c r="V146" s="56" t="s">
        <v>342</v>
      </c>
      <c r="W146" s="56" t="s">
        <v>310</v>
      </c>
      <c r="X146" s="56" t="s">
        <v>305</v>
      </c>
      <c r="Y146" s="56" t="s">
        <v>332</v>
      </c>
      <c r="Z146" s="56" t="s">
        <v>311</v>
      </c>
      <c r="AA146" s="56" t="s">
        <v>437</v>
      </c>
      <c r="AB146" s="56" t="s">
        <v>305</v>
      </c>
      <c r="AC146" s="56" t="s">
        <v>305</v>
      </c>
      <c r="AD146" s="56" t="s">
        <v>305</v>
      </c>
      <c r="AE146" s="57">
        <v>45812</v>
      </c>
      <c r="AF146" s="57">
        <v>45946</v>
      </c>
      <c r="AG146" s="58">
        <v>1400001456</v>
      </c>
      <c r="AH146" s="74" cm="1">
        <f t="array" ref="AH146:AI146">VLOOKUP(M146,'Customer data Vlookup'!$B$3:$H$127,{2,3},0)</f>
        <v>178678.29492339998</v>
      </c>
      <c r="AI146" s="74">
        <v>3574</v>
      </c>
      <c r="AJ146" s="74">
        <f>AH146-AI146</f>
        <v>175104.29492339998</v>
      </c>
      <c r="AK146" s="41">
        <f>U146-AH146</f>
        <v>-4.9233999743591994E-3</v>
      </c>
      <c r="AL146" s="62">
        <f>AI146/U146</f>
        <v>2.0002430065790309E-2</v>
      </c>
      <c r="AO146" t="str">
        <f>VLOOKUP(M146,'Customer data'!F:P,11,0)</f>
        <v>HDFCN52025062512710909</v>
      </c>
    </row>
    <row r="147" spans="1:41" hidden="1">
      <c r="A147" s="56" t="s">
        <v>298</v>
      </c>
      <c r="B147" s="56" t="s">
        <v>299</v>
      </c>
      <c r="C147" s="56" t="s">
        <v>300</v>
      </c>
      <c r="D147" s="56" t="s">
        <v>301</v>
      </c>
      <c r="E147" s="56" t="s">
        <v>302</v>
      </c>
      <c r="F147" s="56" t="s">
        <v>327</v>
      </c>
      <c r="G147" s="57">
        <v>45805</v>
      </c>
      <c r="H147" s="58">
        <v>1800009142</v>
      </c>
      <c r="I147" s="56" t="s">
        <v>417</v>
      </c>
      <c r="J147" s="57">
        <v>45805</v>
      </c>
      <c r="K147" s="57">
        <v>45805</v>
      </c>
      <c r="L147" s="56" t="s">
        <v>332</v>
      </c>
      <c r="M147" s="60">
        <v>256779413906</v>
      </c>
      <c r="N147" s="56" t="s">
        <v>306</v>
      </c>
      <c r="O147" s="56" t="s">
        <v>307</v>
      </c>
      <c r="P147" s="56" t="s">
        <v>305</v>
      </c>
      <c r="Q147" s="56" t="s">
        <v>337</v>
      </c>
      <c r="R147" s="186" t="s">
        <v>333</v>
      </c>
      <c r="S147" s="164">
        <v>746.12</v>
      </c>
      <c r="T147" s="187" t="s">
        <v>309</v>
      </c>
      <c r="U147" s="164">
        <v>64154.16</v>
      </c>
      <c r="V147" s="56" t="s">
        <v>342</v>
      </c>
      <c r="W147" s="56" t="s">
        <v>310</v>
      </c>
      <c r="X147" s="56" t="s">
        <v>305</v>
      </c>
      <c r="Y147" s="56" t="s">
        <v>332</v>
      </c>
      <c r="Z147" s="56" t="s">
        <v>311</v>
      </c>
      <c r="AA147" s="56" t="s">
        <v>156</v>
      </c>
      <c r="AB147" s="56" t="s">
        <v>305</v>
      </c>
      <c r="AC147" s="56" t="s">
        <v>305</v>
      </c>
      <c r="AD147" s="56" t="s">
        <v>305</v>
      </c>
      <c r="AE147" s="57">
        <v>45805</v>
      </c>
      <c r="AF147" s="57">
        <v>45979</v>
      </c>
      <c r="AG147" s="58">
        <v>1400001961</v>
      </c>
      <c r="AH147" s="74" cm="1">
        <f t="array" ref="AH147:AI147">VLOOKUP(M147,'Customer data Vlookup'!$B$3:$H$127,{2,3},0)</f>
        <v>64154.158243999998</v>
      </c>
      <c r="AI147" s="74">
        <v>6415</v>
      </c>
      <c r="AJ147" s="74">
        <f>AH147-AI147</f>
        <v>57739.158243999998</v>
      </c>
      <c r="AK147" s="41">
        <f>U147-AH147</f>
        <v>1.7560000051162206E-3</v>
      </c>
      <c r="AL147" s="62">
        <f>AI147/U147</f>
        <v>9.9993515619252127E-2</v>
      </c>
      <c r="AO147" t="str">
        <f>VLOOKUP(M147,'Customer data'!F:P,11,0)</f>
        <v>HDFCN52025060575568983</v>
      </c>
    </row>
    <row r="148" spans="1:41" hidden="1">
      <c r="A148" s="56" t="s">
        <v>298</v>
      </c>
      <c r="B148" s="56" t="s">
        <v>299</v>
      </c>
      <c r="C148" s="56" t="s">
        <v>300</v>
      </c>
      <c r="D148" s="56" t="s">
        <v>301</v>
      </c>
      <c r="E148" s="56" t="s">
        <v>302</v>
      </c>
      <c r="F148" s="56" t="s">
        <v>303</v>
      </c>
      <c r="G148" s="57">
        <v>45797</v>
      </c>
      <c r="H148" s="58">
        <v>1800009105</v>
      </c>
      <c r="I148" s="56" t="s">
        <v>417</v>
      </c>
      <c r="J148" s="57">
        <v>45797</v>
      </c>
      <c r="K148" s="57">
        <v>45805</v>
      </c>
      <c r="L148" s="56" t="s">
        <v>332</v>
      </c>
      <c r="M148" s="60">
        <v>256779413869</v>
      </c>
      <c r="N148" s="56" t="s">
        <v>306</v>
      </c>
      <c r="O148" s="56" t="s">
        <v>307</v>
      </c>
      <c r="P148" s="56" t="s">
        <v>305</v>
      </c>
      <c r="Q148" s="56" t="s">
        <v>337</v>
      </c>
      <c r="R148" s="186" t="s">
        <v>333</v>
      </c>
      <c r="S148" s="164">
        <v>356.83</v>
      </c>
      <c r="T148" s="187" t="s">
        <v>309</v>
      </c>
      <c r="U148" s="164">
        <v>30681.56</v>
      </c>
      <c r="V148" s="56" t="s">
        <v>342</v>
      </c>
      <c r="W148" s="56" t="s">
        <v>310</v>
      </c>
      <c r="X148" s="56" t="s">
        <v>305</v>
      </c>
      <c r="Y148" s="56" t="s">
        <v>332</v>
      </c>
      <c r="Z148" s="56" t="s">
        <v>311</v>
      </c>
      <c r="AA148" s="56" t="s">
        <v>200</v>
      </c>
      <c r="AB148" s="56" t="s">
        <v>305</v>
      </c>
      <c r="AC148" s="56" t="s">
        <v>305</v>
      </c>
      <c r="AD148" s="56" t="s">
        <v>305</v>
      </c>
      <c r="AE148" s="57">
        <v>45797</v>
      </c>
      <c r="AF148" s="57">
        <v>45918</v>
      </c>
      <c r="AG148" s="58">
        <v>1400001206</v>
      </c>
      <c r="AH148" s="74" t="e" cm="1">
        <f t="array" ref="AH148">VLOOKUP(M148,'Customer data Vlookup'!$B$3:$H$127,{2,3},0)</f>
        <v>#N/A</v>
      </c>
      <c r="AI148" s="74"/>
      <c r="AJ148" s="74"/>
      <c r="AK148" s="43"/>
      <c r="AL148" s="43"/>
      <c r="AO148" t="e">
        <f>VLOOKUP(M148,'Customer data'!F:P,11,0)</f>
        <v>#N/A</v>
      </c>
    </row>
    <row r="149" spans="1:41" hidden="1">
      <c r="A149" s="56" t="s">
        <v>326</v>
      </c>
      <c r="B149" s="56" t="s">
        <v>299</v>
      </c>
      <c r="C149" s="56" t="s">
        <v>300</v>
      </c>
      <c r="D149" s="56" t="s">
        <v>301</v>
      </c>
      <c r="E149" s="56" t="s">
        <v>302</v>
      </c>
      <c r="F149" s="56" t="s">
        <v>312</v>
      </c>
      <c r="G149" s="57">
        <v>45797</v>
      </c>
      <c r="H149" s="58">
        <v>1800008702</v>
      </c>
      <c r="I149" s="56" t="s">
        <v>417</v>
      </c>
      <c r="J149" s="57">
        <v>45797</v>
      </c>
      <c r="K149" s="57">
        <v>45805</v>
      </c>
      <c r="L149" s="56" t="s">
        <v>332</v>
      </c>
      <c r="M149" s="60">
        <v>256779413466</v>
      </c>
      <c r="N149" s="56" t="s">
        <v>306</v>
      </c>
      <c r="O149" s="56" t="s">
        <v>307</v>
      </c>
      <c r="P149" s="56" t="s">
        <v>305</v>
      </c>
      <c r="Q149" s="56" t="s">
        <v>337</v>
      </c>
      <c r="R149" s="186" t="s">
        <v>333</v>
      </c>
      <c r="S149" s="164">
        <v>188.95</v>
      </c>
      <c r="T149" s="187" t="s">
        <v>309</v>
      </c>
      <c r="U149" s="164">
        <v>16246.62</v>
      </c>
      <c r="V149" s="56" t="s">
        <v>342</v>
      </c>
      <c r="W149" s="56" t="s">
        <v>310</v>
      </c>
      <c r="X149" s="56" t="s">
        <v>305</v>
      </c>
      <c r="Y149" s="56" t="s">
        <v>332</v>
      </c>
      <c r="Z149" s="56" t="s">
        <v>311</v>
      </c>
      <c r="AA149" s="56" t="s">
        <v>515</v>
      </c>
      <c r="AB149" s="56" t="s">
        <v>305</v>
      </c>
      <c r="AC149" s="56" t="s">
        <v>305</v>
      </c>
      <c r="AD149" s="56" t="s">
        <v>305</v>
      </c>
      <c r="AE149" s="57">
        <v>45797</v>
      </c>
      <c r="AF149" s="57">
        <v>45979</v>
      </c>
      <c r="AG149" s="58">
        <v>1400001961</v>
      </c>
      <c r="AH149" s="74" cm="1">
        <f t="array" ref="AH149:AI149">VLOOKUP(M149,'Customer data Vlookup'!$B$3:$H$127,{2,3},0)</f>
        <v>16246.620115</v>
      </c>
      <c r="AI149" s="74">
        <v>325</v>
      </c>
      <c r="AJ149" s="74">
        <f t="shared" ref="AJ149:AJ154" si="9">AH149-AI149</f>
        <v>15921.620115</v>
      </c>
      <c r="AK149" s="41">
        <f t="shared" ref="AK149:AK154" si="10">U149-AH149</f>
        <v>-1.1499999891384505E-4</v>
      </c>
      <c r="AL149" s="62">
        <f t="shared" ref="AL149:AL154" si="11">AI149/U149</f>
        <v>2.0004160865460016E-2</v>
      </c>
      <c r="AO149" t="str">
        <f>VLOOKUP(M149,'Customer data'!F:P,11,0)</f>
        <v>HDFCN52025060575568983</v>
      </c>
    </row>
    <row r="150" spans="1:41" hidden="1">
      <c r="A150" s="56" t="s">
        <v>326</v>
      </c>
      <c r="B150" s="56" t="s">
        <v>299</v>
      </c>
      <c r="C150" s="56" t="s">
        <v>300</v>
      </c>
      <c r="D150" s="56" t="s">
        <v>301</v>
      </c>
      <c r="E150" s="56" t="s">
        <v>302</v>
      </c>
      <c r="F150" s="56" t="s">
        <v>312</v>
      </c>
      <c r="G150" s="57">
        <v>45797</v>
      </c>
      <c r="H150" s="58">
        <v>1800009066</v>
      </c>
      <c r="I150" s="56" t="s">
        <v>417</v>
      </c>
      <c r="J150" s="57">
        <v>45797</v>
      </c>
      <c r="K150" s="57">
        <v>45805</v>
      </c>
      <c r="L150" s="56" t="s">
        <v>332</v>
      </c>
      <c r="M150" s="60">
        <v>256779413830</v>
      </c>
      <c r="N150" s="56" t="s">
        <v>306</v>
      </c>
      <c r="O150" s="56" t="s">
        <v>307</v>
      </c>
      <c r="P150" s="56" t="s">
        <v>305</v>
      </c>
      <c r="Q150" s="56" t="s">
        <v>337</v>
      </c>
      <c r="R150" s="186" t="s">
        <v>333</v>
      </c>
      <c r="S150" s="164">
        <v>51.5</v>
      </c>
      <c r="T150" s="187" t="s">
        <v>309</v>
      </c>
      <c r="U150" s="164">
        <v>4428.16</v>
      </c>
      <c r="V150" s="56" t="s">
        <v>342</v>
      </c>
      <c r="W150" s="56" t="s">
        <v>310</v>
      </c>
      <c r="X150" s="56" t="s">
        <v>305</v>
      </c>
      <c r="Y150" s="56" t="s">
        <v>305</v>
      </c>
      <c r="Z150" s="56" t="s">
        <v>311</v>
      </c>
      <c r="AA150" s="56" t="s">
        <v>157</v>
      </c>
      <c r="AB150" s="56" t="s">
        <v>305</v>
      </c>
      <c r="AC150" s="56" t="s">
        <v>305</v>
      </c>
      <c r="AD150" s="56" t="s">
        <v>305</v>
      </c>
      <c r="AE150" s="57">
        <v>45797</v>
      </c>
      <c r="AF150" s="57">
        <v>45979</v>
      </c>
      <c r="AG150" s="58">
        <v>1400001961</v>
      </c>
      <c r="AH150" s="74" cm="1">
        <f t="array" ref="AH150:AI150">VLOOKUP(M150,'Customer data Vlookup'!$B$3:$H$127,{2,3},0)</f>
        <v>4428.1605499999996</v>
      </c>
      <c r="AI150" s="74">
        <v>89</v>
      </c>
      <c r="AJ150" s="74">
        <f t="shared" si="9"/>
        <v>4339.1605499999996</v>
      </c>
      <c r="AK150" s="41">
        <f t="shared" si="10"/>
        <v>-5.4999999974825187E-4</v>
      </c>
      <c r="AL150" s="62">
        <f t="shared" si="11"/>
        <v>2.0098641422170833E-2</v>
      </c>
      <c r="AO150" t="str">
        <f>VLOOKUP(M150,'Customer data'!F:P,11,0)</f>
        <v>HDFCN52025060575568983</v>
      </c>
    </row>
    <row r="151" spans="1:41" hidden="1">
      <c r="A151" s="56" t="s">
        <v>326</v>
      </c>
      <c r="B151" s="56" t="s">
        <v>299</v>
      </c>
      <c r="C151" s="56" t="s">
        <v>300</v>
      </c>
      <c r="D151" s="56" t="s">
        <v>301</v>
      </c>
      <c r="E151" s="56" t="s">
        <v>302</v>
      </c>
      <c r="F151" s="56" t="s">
        <v>312</v>
      </c>
      <c r="G151" s="57">
        <v>45797</v>
      </c>
      <c r="H151" s="58">
        <v>1800009074</v>
      </c>
      <c r="I151" s="56" t="s">
        <v>417</v>
      </c>
      <c r="J151" s="57">
        <v>45797</v>
      </c>
      <c r="K151" s="57">
        <v>45805</v>
      </c>
      <c r="L151" s="56" t="s">
        <v>332</v>
      </c>
      <c r="M151" s="60">
        <v>256779413838</v>
      </c>
      <c r="N151" s="56" t="s">
        <v>306</v>
      </c>
      <c r="O151" s="56" t="s">
        <v>307</v>
      </c>
      <c r="P151" s="56" t="s">
        <v>305</v>
      </c>
      <c r="Q151" s="56" t="s">
        <v>337</v>
      </c>
      <c r="R151" s="186" t="s">
        <v>333</v>
      </c>
      <c r="S151" s="164">
        <v>42.14</v>
      </c>
      <c r="T151" s="187" t="s">
        <v>309</v>
      </c>
      <c r="U151" s="164">
        <v>3623.35</v>
      </c>
      <c r="V151" s="56" t="s">
        <v>342</v>
      </c>
      <c r="W151" s="56" t="s">
        <v>310</v>
      </c>
      <c r="X151" s="56" t="s">
        <v>305</v>
      </c>
      <c r="Y151" s="56" t="s">
        <v>305</v>
      </c>
      <c r="Z151" s="56" t="s">
        <v>311</v>
      </c>
      <c r="AA151" s="56" t="s">
        <v>159</v>
      </c>
      <c r="AB151" s="56" t="s">
        <v>305</v>
      </c>
      <c r="AC151" s="56" t="s">
        <v>305</v>
      </c>
      <c r="AD151" s="56" t="s">
        <v>305</v>
      </c>
      <c r="AE151" s="57">
        <v>45797</v>
      </c>
      <c r="AF151" s="57">
        <v>45979</v>
      </c>
      <c r="AG151" s="58">
        <v>1400001961</v>
      </c>
      <c r="AH151" s="74" cm="1">
        <f t="array" ref="AH151:AI151">VLOOKUP(M151,'Customer data Vlookup'!$B$3:$H$127,{2,3},0)</f>
        <v>3623.353118</v>
      </c>
      <c r="AI151" s="74">
        <v>72</v>
      </c>
      <c r="AJ151" s="74">
        <f t="shared" si="9"/>
        <v>3551.353118</v>
      </c>
      <c r="AK151" s="41">
        <f t="shared" si="10"/>
        <v>-3.1180000000858854E-3</v>
      </c>
      <c r="AL151" s="62">
        <f t="shared" si="11"/>
        <v>1.9871113748326823E-2</v>
      </c>
      <c r="AO151" t="str">
        <f>VLOOKUP(M151,'Customer data'!F:P,11,0)</f>
        <v>HDFCN52025060575568983</v>
      </c>
    </row>
    <row r="152" spans="1:41" hidden="1">
      <c r="A152" s="56" t="s">
        <v>326</v>
      </c>
      <c r="B152" s="56" t="s">
        <v>299</v>
      </c>
      <c r="C152" s="56" t="s">
        <v>300</v>
      </c>
      <c r="D152" s="56" t="s">
        <v>301</v>
      </c>
      <c r="E152" s="56" t="s">
        <v>302</v>
      </c>
      <c r="F152" s="56" t="s">
        <v>312</v>
      </c>
      <c r="G152" s="57">
        <v>45793</v>
      </c>
      <c r="H152" s="58">
        <v>1800008567</v>
      </c>
      <c r="I152" s="56" t="s">
        <v>417</v>
      </c>
      <c r="J152" s="57">
        <v>45793</v>
      </c>
      <c r="K152" s="57">
        <v>45800</v>
      </c>
      <c r="L152" s="56" t="s">
        <v>332</v>
      </c>
      <c r="M152" s="60">
        <v>256779413331</v>
      </c>
      <c r="N152" s="56" t="s">
        <v>306</v>
      </c>
      <c r="O152" s="56" t="s">
        <v>307</v>
      </c>
      <c r="P152" s="56" t="s">
        <v>305</v>
      </c>
      <c r="Q152" s="56" t="s">
        <v>337</v>
      </c>
      <c r="R152" s="186" t="s">
        <v>333</v>
      </c>
      <c r="S152" s="164">
        <v>188.95</v>
      </c>
      <c r="T152" s="187" t="s">
        <v>309</v>
      </c>
      <c r="U152" s="164">
        <v>16246.62</v>
      </c>
      <c r="V152" s="56" t="s">
        <v>342</v>
      </c>
      <c r="W152" s="56" t="s">
        <v>310</v>
      </c>
      <c r="X152" s="56" t="s">
        <v>305</v>
      </c>
      <c r="Y152" s="56" t="s">
        <v>332</v>
      </c>
      <c r="Z152" s="56" t="s">
        <v>311</v>
      </c>
      <c r="AA152" s="56" t="s">
        <v>489</v>
      </c>
      <c r="AB152" s="56" t="s">
        <v>305</v>
      </c>
      <c r="AC152" s="56" t="s">
        <v>305</v>
      </c>
      <c r="AD152" s="56" t="s">
        <v>305</v>
      </c>
      <c r="AE152" s="57">
        <v>45793</v>
      </c>
      <c r="AF152" s="57">
        <v>45979</v>
      </c>
      <c r="AG152" s="58">
        <v>1400001961</v>
      </c>
      <c r="AH152" s="74" cm="1">
        <f t="array" ref="AH152:AI152">VLOOKUP(M152,'Customer data Vlookup'!$B$3:$H$127,{2,3},0)</f>
        <v>16246.620115</v>
      </c>
      <c r="AI152" s="74">
        <v>325</v>
      </c>
      <c r="AJ152" s="74">
        <f t="shared" si="9"/>
        <v>15921.620115</v>
      </c>
      <c r="AK152" s="41">
        <f t="shared" si="10"/>
        <v>-1.1499999891384505E-4</v>
      </c>
      <c r="AL152" s="62">
        <f t="shared" si="11"/>
        <v>2.0004160865460016E-2</v>
      </c>
      <c r="AO152" t="str">
        <f>VLOOKUP(M152,'Customer data'!F:P,11,0)</f>
        <v>HDFCN52025060575568983</v>
      </c>
    </row>
    <row r="153" spans="1:41">
      <c r="A153" s="56" t="s">
        <v>326</v>
      </c>
      <c r="B153" s="56" t="s">
        <v>299</v>
      </c>
      <c r="C153" s="56" t="s">
        <v>300</v>
      </c>
      <c r="D153" s="56" t="s">
        <v>301</v>
      </c>
      <c r="E153" s="56" t="s">
        <v>302</v>
      </c>
      <c r="F153" s="56" t="s">
        <v>312</v>
      </c>
      <c r="G153" s="57">
        <v>45793</v>
      </c>
      <c r="H153" s="58">
        <v>1800008494</v>
      </c>
      <c r="I153" s="56" t="s">
        <v>417</v>
      </c>
      <c r="J153" s="57">
        <v>45793</v>
      </c>
      <c r="K153" s="57">
        <v>45800</v>
      </c>
      <c r="L153" s="56" t="s">
        <v>332</v>
      </c>
      <c r="M153" s="60">
        <v>256779413262</v>
      </c>
      <c r="N153" s="56" t="s">
        <v>306</v>
      </c>
      <c r="O153" s="56" t="s">
        <v>307</v>
      </c>
      <c r="P153" s="56" t="s">
        <v>305</v>
      </c>
      <c r="Q153" s="56" t="s">
        <v>337</v>
      </c>
      <c r="R153" s="186" t="s">
        <v>333</v>
      </c>
      <c r="S153" s="164">
        <v>49.95</v>
      </c>
      <c r="T153" s="187" t="s">
        <v>309</v>
      </c>
      <c r="U153" s="164">
        <v>4294.8900000000003</v>
      </c>
      <c r="V153" s="56" t="s">
        <v>342</v>
      </c>
      <c r="W153" s="56" t="s">
        <v>310</v>
      </c>
      <c r="X153" s="56" t="s">
        <v>305</v>
      </c>
      <c r="Y153" s="56" t="s">
        <v>332</v>
      </c>
      <c r="Z153" s="56" t="s">
        <v>311</v>
      </c>
      <c r="AA153" s="56" t="s">
        <v>160</v>
      </c>
      <c r="AB153" s="56" t="s">
        <v>305</v>
      </c>
      <c r="AC153" s="56" t="s">
        <v>305</v>
      </c>
      <c r="AD153" s="56" t="s">
        <v>305</v>
      </c>
      <c r="AE153" s="57">
        <v>45793</v>
      </c>
      <c r="AF153" s="57"/>
      <c r="AG153" s="56" t="s">
        <v>305</v>
      </c>
      <c r="AH153" s="74" cm="1">
        <f t="array" ref="AH153:AI153">VLOOKUP(M153,'Customer data Vlookup'!$B$3:$H$127,{2,3},0)</f>
        <v>4294.8858150000005</v>
      </c>
      <c r="AI153" s="74">
        <v>86</v>
      </c>
      <c r="AJ153" s="74">
        <f t="shared" si="9"/>
        <v>4208.8858150000005</v>
      </c>
      <c r="AK153" s="41">
        <f t="shared" si="10"/>
        <v>4.184999999779393E-3</v>
      </c>
      <c r="AL153" s="62">
        <f t="shared" si="11"/>
        <v>2.0023795720030081E-2</v>
      </c>
      <c r="AO153" t="str">
        <f>VLOOKUP(M153,'Customer data'!F:P,11,0)</f>
        <v>HDFCN52025061495304800</v>
      </c>
    </row>
    <row r="154" spans="1:41">
      <c r="A154" s="56" t="s">
        <v>298</v>
      </c>
      <c r="B154" s="56" t="s">
        <v>299</v>
      </c>
      <c r="C154" s="56" t="s">
        <v>300</v>
      </c>
      <c r="D154" s="56" t="s">
        <v>301</v>
      </c>
      <c r="E154" s="56" t="s">
        <v>302</v>
      </c>
      <c r="F154" s="56" t="s">
        <v>312</v>
      </c>
      <c r="G154" s="57">
        <v>45793</v>
      </c>
      <c r="H154" s="58">
        <v>1800008530</v>
      </c>
      <c r="I154" s="56" t="s">
        <v>417</v>
      </c>
      <c r="J154" s="57">
        <v>45793</v>
      </c>
      <c r="K154" s="57">
        <v>45800</v>
      </c>
      <c r="L154" s="56" t="s">
        <v>332</v>
      </c>
      <c r="M154" s="60">
        <v>256779413294</v>
      </c>
      <c r="N154" s="56" t="s">
        <v>306</v>
      </c>
      <c r="O154" s="56" t="s">
        <v>307</v>
      </c>
      <c r="P154" s="56" t="s">
        <v>305</v>
      </c>
      <c r="Q154" s="56" t="s">
        <v>337</v>
      </c>
      <c r="R154" s="186" t="s">
        <v>333</v>
      </c>
      <c r="S154" s="164">
        <v>656.3</v>
      </c>
      <c r="T154" s="187" t="s">
        <v>309</v>
      </c>
      <c r="U154" s="164">
        <v>56431.1</v>
      </c>
      <c r="V154" s="56" t="s">
        <v>342</v>
      </c>
      <c r="W154" s="56" t="s">
        <v>310</v>
      </c>
      <c r="X154" s="56" t="s">
        <v>305</v>
      </c>
      <c r="Y154" s="56" t="s">
        <v>332</v>
      </c>
      <c r="Z154" s="56" t="s">
        <v>311</v>
      </c>
      <c r="AA154" s="56" t="s">
        <v>488</v>
      </c>
      <c r="AB154" s="56" t="s">
        <v>305</v>
      </c>
      <c r="AC154" s="56" t="s">
        <v>305</v>
      </c>
      <c r="AD154" s="56" t="s">
        <v>305</v>
      </c>
      <c r="AE154" s="57">
        <v>45793</v>
      </c>
      <c r="AF154" s="57"/>
      <c r="AG154" s="56" t="s">
        <v>305</v>
      </c>
      <c r="AH154" s="74" cm="1">
        <f t="array" ref="AH154:AI154">VLOOKUP(M154,'Customer data Vlookup'!$B$3:$H$127,{2,3},0)</f>
        <v>56431.102309999995</v>
      </c>
      <c r="AI154" s="74">
        <v>1129</v>
      </c>
      <c r="AJ154" s="74">
        <f t="shared" si="9"/>
        <v>55302.102309999995</v>
      </c>
      <c r="AK154" s="41">
        <f t="shared" si="10"/>
        <v>-2.3099999962141737E-3</v>
      </c>
      <c r="AL154" s="62">
        <f t="shared" si="11"/>
        <v>2.0006698434019539E-2</v>
      </c>
      <c r="AO154" t="str">
        <f>VLOOKUP(M154,'Customer data'!F:P,11,0)</f>
        <v>HDFCN52025061495304800</v>
      </c>
    </row>
    <row r="155" spans="1:41" hidden="1">
      <c r="A155" s="56" t="s">
        <v>298</v>
      </c>
      <c r="B155" s="56" t="s">
        <v>299</v>
      </c>
      <c r="C155" s="56" t="s">
        <v>300</v>
      </c>
      <c r="D155" s="56" t="s">
        <v>301</v>
      </c>
      <c r="E155" s="56" t="s">
        <v>302</v>
      </c>
      <c r="F155" s="56" t="s">
        <v>312</v>
      </c>
      <c r="G155" s="57">
        <v>45791</v>
      </c>
      <c r="H155" s="58">
        <v>1600000388</v>
      </c>
      <c r="I155" s="56" t="s">
        <v>438</v>
      </c>
      <c r="J155" s="57">
        <v>45791</v>
      </c>
      <c r="K155" s="57">
        <v>45793</v>
      </c>
      <c r="L155" s="56" t="s">
        <v>332</v>
      </c>
      <c r="M155" s="60">
        <v>256779420097</v>
      </c>
      <c r="N155" s="56" t="s">
        <v>306</v>
      </c>
      <c r="O155" s="56" t="s">
        <v>307</v>
      </c>
      <c r="P155" s="56" t="s">
        <v>305</v>
      </c>
      <c r="Q155" s="56" t="s">
        <v>325</v>
      </c>
      <c r="R155" s="186" t="s">
        <v>333</v>
      </c>
      <c r="S155" s="164">
        <v>-162</v>
      </c>
      <c r="T155" s="187" t="s">
        <v>309</v>
      </c>
      <c r="U155" s="164">
        <v>-14043.98</v>
      </c>
      <c r="V155" s="56" t="s">
        <v>342</v>
      </c>
      <c r="W155" s="56" t="s">
        <v>310</v>
      </c>
      <c r="X155" s="56" t="s">
        <v>305</v>
      </c>
      <c r="Y155" s="56" t="s">
        <v>332</v>
      </c>
      <c r="Z155" s="56" t="s">
        <v>311</v>
      </c>
      <c r="AA155" s="56" t="s">
        <v>461</v>
      </c>
      <c r="AB155" s="56" t="s">
        <v>305</v>
      </c>
      <c r="AC155" s="56" t="s">
        <v>305</v>
      </c>
      <c r="AD155" s="56" t="s">
        <v>305</v>
      </c>
      <c r="AE155" s="57">
        <v>45791</v>
      </c>
      <c r="AF155" s="57">
        <v>45856</v>
      </c>
      <c r="AG155" s="58">
        <v>1400000293</v>
      </c>
      <c r="AH155" s="74" t="e" cm="1">
        <f t="array" ref="AH155">VLOOKUP(M155,'Customer data Vlookup'!$B$3:$H$127,{2,3},0)</f>
        <v>#N/A</v>
      </c>
      <c r="AI155" s="74"/>
      <c r="AJ155" s="74"/>
      <c r="AK155" s="43"/>
      <c r="AL155" s="43"/>
      <c r="AO155" t="e">
        <f>VLOOKUP(M155,'Customer data'!F:P,11,0)</f>
        <v>#N/A</v>
      </c>
    </row>
    <row r="156" spans="1:41" hidden="1">
      <c r="A156" s="56" t="s">
        <v>298</v>
      </c>
      <c r="B156" s="56" t="s">
        <v>299</v>
      </c>
      <c r="C156" s="56" t="s">
        <v>300</v>
      </c>
      <c r="D156" s="56" t="s">
        <v>301</v>
      </c>
      <c r="E156" s="56" t="s">
        <v>302</v>
      </c>
      <c r="F156" s="56" t="s">
        <v>312</v>
      </c>
      <c r="G156" s="57">
        <v>45791</v>
      </c>
      <c r="H156" s="58">
        <v>1600000392</v>
      </c>
      <c r="I156" s="56" t="s">
        <v>438</v>
      </c>
      <c r="J156" s="57">
        <v>45791</v>
      </c>
      <c r="K156" s="57">
        <v>45793</v>
      </c>
      <c r="L156" s="56" t="s">
        <v>332</v>
      </c>
      <c r="M156" s="60">
        <v>256779420101</v>
      </c>
      <c r="N156" s="56" t="s">
        <v>306</v>
      </c>
      <c r="O156" s="56" t="s">
        <v>307</v>
      </c>
      <c r="P156" s="56" t="s">
        <v>305</v>
      </c>
      <c r="Q156" s="56" t="s">
        <v>325</v>
      </c>
      <c r="R156" s="186" t="s">
        <v>333</v>
      </c>
      <c r="S156" s="164">
        <v>-254.08</v>
      </c>
      <c r="T156" s="187" t="s">
        <v>309</v>
      </c>
      <c r="U156" s="164">
        <v>-22026.52</v>
      </c>
      <c r="V156" s="56" t="s">
        <v>342</v>
      </c>
      <c r="W156" s="56" t="s">
        <v>310</v>
      </c>
      <c r="X156" s="56" t="s">
        <v>305</v>
      </c>
      <c r="Y156" s="56" t="s">
        <v>332</v>
      </c>
      <c r="Z156" s="56" t="s">
        <v>311</v>
      </c>
      <c r="AA156" s="56" t="s">
        <v>439</v>
      </c>
      <c r="AB156" s="56" t="s">
        <v>305</v>
      </c>
      <c r="AC156" s="56" t="s">
        <v>305</v>
      </c>
      <c r="AD156" s="56" t="s">
        <v>305</v>
      </c>
      <c r="AE156" s="57">
        <v>45791</v>
      </c>
      <c r="AF156" s="57">
        <v>45856</v>
      </c>
      <c r="AG156" s="58">
        <v>1400000294</v>
      </c>
      <c r="AH156" s="74" t="e" cm="1">
        <f t="array" ref="AH156">VLOOKUP(M156,'Customer data Vlookup'!$B$3:$H$127,{2,3},0)</f>
        <v>#N/A</v>
      </c>
      <c r="AI156" s="74"/>
      <c r="AJ156" s="74"/>
      <c r="AK156" s="43"/>
      <c r="AL156" s="43"/>
      <c r="AO156" t="e">
        <f>VLOOKUP(M156,'Customer data'!F:P,11,0)</f>
        <v>#N/A</v>
      </c>
    </row>
    <row r="157" spans="1:41" hidden="1">
      <c r="A157" s="56" t="s">
        <v>298</v>
      </c>
      <c r="B157" s="56" t="s">
        <v>299</v>
      </c>
      <c r="C157" s="56" t="s">
        <v>300</v>
      </c>
      <c r="D157" s="56" t="s">
        <v>301</v>
      </c>
      <c r="E157" s="56" t="s">
        <v>302</v>
      </c>
      <c r="F157" s="56" t="s">
        <v>312</v>
      </c>
      <c r="G157" s="57">
        <v>45791</v>
      </c>
      <c r="H157" s="58">
        <v>1600000393</v>
      </c>
      <c r="I157" s="56" t="s">
        <v>438</v>
      </c>
      <c r="J157" s="57">
        <v>45791</v>
      </c>
      <c r="K157" s="57">
        <v>45793</v>
      </c>
      <c r="L157" s="56" t="s">
        <v>332</v>
      </c>
      <c r="M157" s="60">
        <v>256779420102</v>
      </c>
      <c r="N157" s="56" t="s">
        <v>306</v>
      </c>
      <c r="O157" s="56" t="s">
        <v>307</v>
      </c>
      <c r="P157" s="56" t="s">
        <v>305</v>
      </c>
      <c r="Q157" s="56" t="s">
        <v>325</v>
      </c>
      <c r="R157" s="186" t="s">
        <v>333</v>
      </c>
      <c r="S157" s="164">
        <v>-345.6</v>
      </c>
      <c r="T157" s="187" t="s">
        <v>309</v>
      </c>
      <c r="U157" s="164">
        <v>-29960.5</v>
      </c>
      <c r="V157" s="56" t="s">
        <v>342</v>
      </c>
      <c r="W157" s="56" t="s">
        <v>310</v>
      </c>
      <c r="X157" s="56" t="s">
        <v>305</v>
      </c>
      <c r="Y157" s="56" t="s">
        <v>332</v>
      </c>
      <c r="Z157" s="56" t="s">
        <v>311</v>
      </c>
      <c r="AA157" s="56" t="s">
        <v>462</v>
      </c>
      <c r="AB157" s="56" t="s">
        <v>305</v>
      </c>
      <c r="AC157" s="56" t="s">
        <v>305</v>
      </c>
      <c r="AD157" s="56" t="s">
        <v>305</v>
      </c>
      <c r="AE157" s="57">
        <v>45791</v>
      </c>
      <c r="AF157" s="57">
        <v>45856</v>
      </c>
      <c r="AG157" s="58">
        <v>1400000295</v>
      </c>
      <c r="AH157" s="74" t="e" cm="1">
        <f t="array" ref="AH157">VLOOKUP(M157,'Customer data Vlookup'!$B$3:$H$127,{2,3},0)</f>
        <v>#N/A</v>
      </c>
      <c r="AI157" s="74"/>
      <c r="AJ157" s="74"/>
      <c r="AK157" s="43"/>
      <c r="AL157" s="43"/>
      <c r="AO157" t="e">
        <f>VLOOKUP(M157,'Customer data'!F:P,11,0)</f>
        <v>#N/A</v>
      </c>
    </row>
    <row r="158" spans="1:41" hidden="1">
      <c r="A158" s="56" t="s">
        <v>298</v>
      </c>
      <c r="B158" s="56" t="s">
        <v>299</v>
      </c>
      <c r="C158" s="56" t="s">
        <v>300</v>
      </c>
      <c r="D158" s="56" t="s">
        <v>301</v>
      </c>
      <c r="E158" s="56" t="s">
        <v>302</v>
      </c>
      <c r="F158" s="56" t="s">
        <v>312</v>
      </c>
      <c r="G158" s="57">
        <v>45791</v>
      </c>
      <c r="H158" s="58">
        <v>1600000394</v>
      </c>
      <c r="I158" s="56" t="s">
        <v>438</v>
      </c>
      <c r="J158" s="57">
        <v>45791</v>
      </c>
      <c r="K158" s="57">
        <v>45793</v>
      </c>
      <c r="L158" s="56" t="s">
        <v>332</v>
      </c>
      <c r="M158" s="60">
        <v>256779420103</v>
      </c>
      <c r="N158" s="56" t="s">
        <v>306</v>
      </c>
      <c r="O158" s="56" t="s">
        <v>307</v>
      </c>
      <c r="P158" s="56" t="s">
        <v>305</v>
      </c>
      <c r="Q158" s="56" t="s">
        <v>325</v>
      </c>
      <c r="R158" s="186" t="s">
        <v>333</v>
      </c>
      <c r="S158" s="164">
        <v>-216</v>
      </c>
      <c r="T158" s="187" t="s">
        <v>309</v>
      </c>
      <c r="U158" s="164">
        <v>-18725.310000000001</v>
      </c>
      <c r="V158" s="56" t="s">
        <v>342</v>
      </c>
      <c r="W158" s="56" t="s">
        <v>310</v>
      </c>
      <c r="X158" s="56" t="s">
        <v>305</v>
      </c>
      <c r="Y158" s="56" t="s">
        <v>332</v>
      </c>
      <c r="Z158" s="56" t="s">
        <v>311</v>
      </c>
      <c r="AA158" s="56" t="s">
        <v>463</v>
      </c>
      <c r="AB158" s="56" t="s">
        <v>305</v>
      </c>
      <c r="AC158" s="56" t="s">
        <v>305</v>
      </c>
      <c r="AD158" s="56" t="s">
        <v>305</v>
      </c>
      <c r="AE158" s="57">
        <v>45791</v>
      </c>
      <c r="AF158" s="57">
        <v>45856</v>
      </c>
      <c r="AG158" s="58">
        <v>1400000296</v>
      </c>
      <c r="AH158" s="74" t="e" cm="1">
        <f t="array" ref="AH158">VLOOKUP(M158,'Customer data Vlookup'!$B$3:$H$127,{2,3},0)</f>
        <v>#N/A</v>
      </c>
      <c r="AI158" s="74"/>
      <c r="AJ158" s="74"/>
      <c r="AK158" s="43"/>
      <c r="AL158" s="43"/>
      <c r="AO158" t="e">
        <f>VLOOKUP(M158,'Customer data'!F:P,11,0)</f>
        <v>#N/A</v>
      </c>
    </row>
    <row r="159" spans="1:41" hidden="1">
      <c r="A159" s="56" t="s">
        <v>298</v>
      </c>
      <c r="B159" s="56" t="s">
        <v>299</v>
      </c>
      <c r="C159" s="56" t="s">
        <v>300</v>
      </c>
      <c r="D159" s="56" t="s">
        <v>301</v>
      </c>
      <c r="E159" s="56" t="s">
        <v>302</v>
      </c>
      <c r="F159" s="56" t="s">
        <v>312</v>
      </c>
      <c r="G159" s="57">
        <v>45791</v>
      </c>
      <c r="H159" s="58">
        <v>1600000395</v>
      </c>
      <c r="I159" s="56" t="s">
        <v>438</v>
      </c>
      <c r="J159" s="57">
        <v>45791</v>
      </c>
      <c r="K159" s="57">
        <v>45793</v>
      </c>
      <c r="L159" s="56" t="s">
        <v>332</v>
      </c>
      <c r="M159" s="60">
        <v>256779420104</v>
      </c>
      <c r="N159" s="56" t="s">
        <v>306</v>
      </c>
      <c r="O159" s="56" t="s">
        <v>307</v>
      </c>
      <c r="P159" s="56" t="s">
        <v>305</v>
      </c>
      <c r="Q159" s="56" t="s">
        <v>325</v>
      </c>
      <c r="R159" s="186" t="s">
        <v>333</v>
      </c>
      <c r="S159" s="164">
        <v>-755.81</v>
      </c>
      <c r="T159" s="187" t="s">
        <v>309</v>
      </c>
      <c r="U159" s="164">
        <v>-65522.12</v>
      </c>
      <c r="V159" s="56" t="s">
        <v>342</v>
      </c>
      <c r="W159" s="56" t="s">
        <v>310</v>
      </c>
      <c r="X159" s="56" t="s">
        <v>305</v>
      </c>
      <c r="Y159" s="56" t="s">
        <v>332</v>
      </c>
      <c r="Z159" s="56" t="s">
        <v>311</v>
      </c>
      <c r="AA159" s="56" t="s">
        <v>440</v>
      </c>
      <c r="AB159" s="56" t="s">
        <v>305</v>
      </c>
      <c r="AC159" s="56" t="s">
        <v>305</v>
      </c>
      <c r="AD159" s="56" t="s">
        <v>305</v>
      </c>
      <c r="AE159" s="57">
        <v>45791</v>
      </c>
      <c r="AF159" s="57">
        <v>45856</v>
      </c>
      <c r="AG159" s="58">
        <v>1400000297</v>
      </c>
      <c r="AH159" s="74" t="e" cm="1">
        <f t="array" ref="AH159">VLOOKUP(M159,'Customer data Vlookup'!$B$3:$H$127,{2,3},0)</f>
        <v>#N/A</v>
      </c>
      <c r="AI159" s="74"/>
      <c r="AJ159" s="74"/>
      <c r="AK159" s="43"/>
      <c r="AL159" s="43"/>
      <c r="AO159" t="e">
        <f>VLOOKUP(M159,'Customer data'!F:P,11,0)</f>
        <v>#N/A</v>
      </c>
    </row>
    <row r="160" spans="1:41" hidden="1">
      <c r="A160" s="56" t="s">
        <v>298</v>
      </c>
      <c r="B160" s="56" t="s">
        <v>299</v>
      </c>
      <c r="C160" s="56" t="s">
        <v>300</v>
      </c>
      <c r="D160" s="56" t="s">
        <v>301</v>
      </c>
      <c r="E160" s="56" t="s">
        <v>302</v>
      </c>
      <c r="F160" s="56" t="s">
        <v>312</v>
      </c>
      <c r="G160" s="57">
        <v>45791</v>
      </c>
      <c r="H160" s="58">
        <v>1600000398</v>
      </c>
      <c r="I160" s="56" t="s">
        <v>438</v>
      </c>
      <c r="J160" s="57">
        <v>45791</v>
      </c>
      <c r="K160" s="57">
        <v>45793</v>
      </c>
      <c r="L160" s="56" t="s">
        <v>332</v>
      </c>
      <c r="M160" s="60">
        <v>256779420107</v>
      </c>
      <c r="N160" s="56" t="s">
        <v>306</v>
      </c>
      <c r="O160" s="56" t="s">
        <v>307</v>
      </c>
      <c r="P160" s="56" t="s">
        <v>305</v>
      </c>
      <c r="Q160" s="56" t="s">
        <v>325</v>
      </c>
      <c r="R160" s="186" t="s">
        <v>333</v>
      </c>
      <c r="S160" s="164">
        <v>-259.2</v>
      </c>
      <c r="T160" s="187" t="s">
        <v>309</v>
      </c>
      <c r="U160" s="164">
        <v>-22470.37</v>
      </c>
      <c r="V160" s="56" t="s">
        <v>342</v>
      </c>
      <c r="W160" s="56" t="s">
        <v>310</v>
      </c>
      <c r="X160" s="56" t="s">
        <v>305</v>
      </c>
      <c r="Y160" s="56" t="s">
        <v>332</v>
      </c>
      <c r="Z160" s="56" t="s">
        <v>311</v>
      </c>
      <c r="AA160" s="56" t="s">
        <v>441</v>
      </c>
      <c r="AB160" s="56" t="s">
        <v>305</v>
      </c>
      <c r="AC160" s="56" t="s">
        <v>305</v>
      </c>
      <c r="AD160" s="56" t="s">
        <v>305</v>
      </c>
      <c r="AE160" s="57">
        <v>45791</v>
      </c>
      <c r="AF160" s="57">
        <v>45856</v>
      </c>
      <c r="AG160" s="58">
        <v>1400000298</v>
      </c>
      <c r="AH160" s="74" t="e" cm="1">
        <f t="array" ref="AH160">VLOOKUP(M160,'Customer data Vlookup'!$B$3:$H$127,{2,3},0)</f>
        <v>#N/A</v>
      </c>
      <c r="AI160" s="74"/>
      <c r="AJ160" s="74"/>
      <c r="AK160" s="43"/>
      <c r="AL160" s="43"/>
      <c r="AO160" t="e">
        <f>VLOOKUP(M160,'Customer data'!F:P,11,0)</f>
        <v>#N/A</v>
      </c>
    </row>
    <row r="161" spans="1:41" hidden="1">
      <c r="A161" s="56" t="s">
        <v>326</v>
      </c>
      <c r="B161" s="56" t="s">
        <v>299</v>
      </c>
      <c r="C161" s="56" t="s">
        <v>300</v>
      </c>
      <c r="D161" s="56" t="s">
        <v>301</v>
      </c>
      <c r="E161" s="56" t="s">
        <v>302</v>
      </c>
      <c r="F161" s="56" t="s">
        <v>312</v>
      </c>
      <c r="G161" s="57">
        <v>45791</v>
      </c>
      <c r="H161" s="58">
        <v>1600000399</v>
      </c>
      <c r="I161" s="56" t="s">
        <v>438</v>
      </c>
      <c r="J161" s="57">
        <v>45791</v>
      </c>
      <c r="K161" s="57">
        <v>45793</v>
      </c>
      <c r="L161" s="56" t="s">
        <v>332</v>
      </c>
      <c r="M161" s="60">
        <v>256779420108</v>
      </c>
      <c r="N161" s="56" t="s">
        <v>306</v>
      </c>
      <c r="O161" s="56" t="s">
        <v>307</v>
      </c>
      <c r="P161" s="56" t="s">
        <v>305</v>
      </c>
      <c r="Q161" s="56" t="s">
        <v>325</v>
      </c>
      <c r="R161" s="186" t="s">
        <v>333</v>
      </c>
      <c r="S161" s="164">
        <v>-566.86</v>
      </c>
      <c r="T161" s="187" t="s">
        <v>309</v>
      </c>
      <c r="U161" s="164">
        <v>-49141.81</v>
      </c>
      <c r="V161" s="56" t="s">
        <v>342</v>
      </c>
      <c r="W161" s="56" t="s">
        <v>310</v>
      </c>
      <c r="X161" s="56" t="s">
        <v>305</v>
      </c>
      <c r="Y161" s="56" t="s">
        <v>332</v>
      </c>
      <c r="Z161" s="56" t="s">
        <v>311</v>
      </c>
      <c r="AA161" s="56" t="s">
        <v>464</v>
      </c>
      <c r="AB161" s="56" t="s">
        <v>305</v>
      </c>
      <c r="AC161" s="56" t="s">
        <v>305</v>
      </c>
      <c r="AD161" s="56" t="s">
        <v>305</v>
      </c>
      <c r="AE161" s="57">
        <v>45791</v>
      </c>
      <c r="AF161" s="57">
        <v>45856</v>
      </c>
      <c r="AG161" s="58">
        <v>1400000299</v>
      </c>
      <c r="AH161" s="74" t="e" cm="1">
        <f t="array" ref="AH161">VLOOKUP(M161,'Customer data Vlookup'!$B$3:$H$127,{2,3},0)</f>
        <v>#N/A</v>
      </c>
      <c r="AI161" s="74"/>
      <c r="AJ161" s="74"/>
      <c r="AK161" s="43"/>
      <c r="AL161" s="43"/>
      <c r="AO161" t="e">
        <f>VLOOKUP(M161,'Customer data'!F:P,11,0)</f>
        <v>#N/A</v>
      </c>
    </row>
    <row r="162" spans="1:41" hidden="1">
      <c r="A162" s="56" t="s">
        <v>326</v>
      </c>
      <c r="B162" s="56" t="s">
        <v>299</v>
      </c>
      <c r="C162" s="56" t="s">
        <v>300</v>
      </c>
      <c r="D162" s="56" t="s">
        <v>301</v>
      </c>
      <c r="E162" s="56" t="s">
        <v>302</v>
      </c>
      <c r="F162" s="56" t="s">
        <v>312</v>
      </c>
      <c r="G162" s="57">
        <v>45791</v>
      </c>
      <c r="H162" s="58">
        <v>1600000403</v>
      </c>
      <c r="I162" s="56" t="s">
        <v>438</v>
      </c>
      <c r="J162" s="57">
        <v>45791</v>
      </c>
      <c r="K162" s="57">
        <v>45793</v>
      </c>
      <c r="L162" s="56" t="s">
        <v>332</v>
      </c>
      <c r="M162" s="60">
        <v>256779420112</v>
      </c>
      <c r="N162" s="56" t="s">
        <v>306</v>
      </c>
      <c r="O162" s="56" t="s">
        <v>307</v>
      </c>
      <c r="P162" s="56" t="s">
        <v>305</v>
      </c>
      <c r="Q162" s="56" t="s">
        <v>325</v>
      </c>
      <c r="R162" s="186" t="s">
        <v>333</v>
      </c>
      <c r="S162" s="164">
        <v>-63.98</v>
      </c>
      <c r="T162" s="187" t="s">
        <v>309</v>
      </c>
      <c r="U162" s="164">
        <v>-5546.51</v>
      </c>
      <c r="V162" s="56" t="s">
        <v>342</v>
      </c>
      <c r="W162" s="56" t="s">
        <v>310</v>
      </c>
      <c r="X162" s="56" t="s">
        <v>305</v>
      </c>
      <c r="Y162" s="56" t="s">
        <v>332</v>
      </c>
      <c r="Z162" s="56" t="s">
        <v>311</v>
      </c>
      <c r="AA162" s="56" t="s">
        <v>442</v>
      </c>
      <c r="AB162" s="56" t="s">
        <v>305</v>
      </c>
      <c r="AC162" s="56" t="s">
        <v>305</v>
      </c>
      <c r="AD162" s="56" t="s">
        <v>305</v>
      </c>
      <c r="AE162" s="57">
        <v>45791</v>
      </c>
      <c r="AF162" s="57">
        <v>45856</v>
      </c>
      <c r="AG162" s="58">
        <v>1400000300</v>
      </c>
      <c r="AH162" s="74" t="e" cm="1">
        <f t="array" ref="AH162">VLOOKUP(M162,'Customer data Vlookup'!$B$3:$H$127,{2,3},0)</f>
        <v>#N/A</v>
      </c>
      <c r="AI162" s="74"/>
      <c r="AJ162" s="74"/>
      <c r="AK162" s="43"/>
      <c r="AL162" s="43"/>
      <c r="AO162" t="e">
        <f>VLOOKUP(M162,'Customer data'!F:P,11,0)</f>
        <v>#N/A</v>
      </c>
    </row>
    <row r="163" spans="1:41" hidden="1">
      <c r="A163" s="56" t="s">
        <v>326</v>
      </c>
      <c r="B163" s="56" t="s">
        <v>299</v>
      </c>
      <c r="C163" s="56" t="s">
        <v>300</v>
      </c>
      <c r="D163" s="56" t="s">
        <v>301</v>
      </c>
      <c r="E163" s="56" t="s">
        <v>302</v>
      </c>
      <c r="F163" s="56" t="s">
        <v>312</v>
      </c>
      <c r="G163" s="57">
        <v>45791</v>
      </c>
      <c r="H163" s="58">
        <v>1600000404</v>
      </c>
      <c r="I163" s="56" t="s">
        <v>438</v>
      </c>
      <c r="J163" s="57">
        <v>45791</v>
      </c>
      <c r="K163" s="57">
        <v>45793</v>
      </c>
      <c r="L163" s="56" t="s">
        <v>332</v>
      </c>
      <c r="M163" s="60">
        <v>256779420113</v>
      </c>
      <c r="N163" s="56" t="s">
        <v>306</v>
      </c>
      <c r="O163" s="56" t="s">
        <v>307</v>
      </c>
      <c r="P163" s="56" t="s">
        <v>305</v>
      </c>
      <c r="Q163" s="56" t="s">
        <v>325</v>
      </c>
      <c r="R163" s="186" t="s">
        <v>333</v>
      </c>
      <c r="S163" s="164">
        <v>-31.99</v>
      </c>
      <c r="T163" s="187" t="s">
        <v>309</v>
      </c>
      <c r="U163" s="164">
        <v>-2773.25</v>
      </c>
      <c r="V163" s="56" t="s">
        <v>342</v>
      </c>
      <c r="W163" s="56" t="s">
        <v>310</v>
      </c>
      <c r="X163" s="56" t="s">
        <v>305</v>
      </c>
      <c r="Y163" s="56" t="s">
        <v>332</v>
      </c>
      <c r="Z163" s="56" t="s">
        <v>311</v>
      </c>
      <c r="AA163" s="56" t="s">
        <v>465</v>
      </c>
      <c r="AB163" s="56" t="s">
        <v>305</v>
      </c>
      <c r="AC163" s="56" t="s">
        <v>305</v>
      </c>
      <c r="AD163" s="56" t="s">
        <v>305</v>
      </c>
      <c r="AE163" s="57">
        <v>45791</v>
      </c>
      <c r="AF163" s="57">
        <v>45856</v>
      </c>
      <c r="AG163" s="58">
        <v>1400000301</v>
      </c>
      <c r="AH163" s="74" t="e" cm="1">
        <f t="array" ref="AH163">VLOOKUP(M163,'Customer data Vlookup'!$B$3:$H$127,{2,3},0)</f>
        <v>#N/A</v>
      </c>
      <c r="AI163" s="74"/>
      <c r="AJ163" s="74"/>
      <c r="AK163" s="43"/>
      <c r="AL163" s="43"/>
      <c r="AO163" t="e">
        <f>VLOOKUP(M163,'Customer data'!F:P,11,0)</f>
        <v>#N/A</v>
      </c>
    </row>
    <row r="164" spans="1:41" hidden="1">
      <c r="A164" s="56" t="s">
        <v>326</v>
      </c>
      <c r="B164" s="56" t="s">
        <v>299</v>
      </c>
      <c r="C164" s="56" t="s">
        <v>300</v>
      </c>
      <c r="D164" s="56" t="s">
        <v>301</v>
      </c>
      <c r="E164" s="56" t="s">
        <v>302</v>
      </c>
      <c r="F164" s="56" t="s">
        <v>312</v>
      </c>
      <c r="G164" s="57">
        <v>45791</v>
      </c>
      <c r="H164" s="58">
        <v>1600000414</v>
      </c>
      <c r="I164" s="56" t="s">
        <v>438</v>
      </c>
      <c r="J164" s="57">
        <v>45791</v>
      </c>
      <c r="K164" s="57">
        <v>45793</v>
      </c>
      <c r="L164" s="56" t="s">
        <v>332</v>
      </c>
      <c r="M164" s="60">
        <v>256779420123</v>
      </c>
      <c r="N164" s="56" t="s">
        <v>306</v>
      </c>
      <c r="O164" s="56" t="s">
        <v>307</v>
      </c>
      <c r="P164" s="56" t="s">
        <v>305</v>
      </c>
      <c r="Q164" s="56" t="s">
        <v>325</v>
      </c>
      <c r="R164" s="186" t="s">
        <v>333</v>
      </c>
      <c r="S164" s="164">
        <v>-39.26</v>
      </c>
      <c r="T164" s="187" t="s">
        <v>309</v>
      </c>
      <c r="U164" s="164">
        <v>-3403.5</v>
      </c>
      <c r="V164" s="56" t="s">
        <v>342</v>
      </c>
      <c r="W164" s="56" t="s">
        <v>310</v>
      </c>
      <c r="X164" s="56" t="s">
        <v>305</v>
      </c>
      <c r="Y164" s="56" t="s">
        <v>332</v>
      </c>
      <c r="Z164" s="56" t="s">
        <v>311</v>
      </c>
      <c r="AA164" s="56" t="s">
        <v>466</v>
      </c>
      <c r="AB164" s="56" t="s">
        <v>305</v>
      </c>
      <c r="AC164" s="56" t="s">
        <v>305</v>
      </c>
      <c r="AD164" s="56" t="s">
        <v>305</v>
      </c>
      <c r="AE164" s="57">
        <v>45791</v>
      </c>
      <c r="AF164" s="57">
        <v>45856</v>
      </c>
      <c r="AG164" s="58">
        <v>1400000302</v>
      </c>
      <c r="AH164" s="74" t="e" cm="1">
        <f t="array" ref="AH164">VLOOKUP(M164,'Customer data Vlookup'!$B$3:$H$127,{2,3},0)</f>
        <v>#N/A</v>
      </c>
      <c r="AI164" s="74"/>
      <c r="AJ164" s="74"/>
      <c r="AK164" s="43"/>
      <c r="AL164" s="43"/>
      <c r="AO164" t="e">
        <f>VLOOKUP(M164,'Customer data'!F:P,11,0)</f>
        <v>#N/A</v>
      </c>
    </row>
    <row r="165" spans="1:41" hidden="1">
      <c r="A165" s="56" t="s">
        <v>298</v>
      </c>
      <c r="B165" s="56" t="s">
        <v>299</v>
      </c>
      <c r="C165" s="56" t="s">
        <v>300</v>
      </c>
      <c r="D165" s="56" t="s">
        <v>301</v>
      </c>
      <c r="E165" s="56" t="s">
        <v>302</v>
      </c>
      <c r="F165" s="56" t="s">
        <v>327</v>
      </c>
      <c r="G165" s="57">
        <v>45791</v>
      </c>
      <c r="H165" s="58">
        <v>1600000415</v>
      </c>
      <c r="I165" s="56" t="s">
        <v>438</v>
      </c>
      <c r="J165" s="57">
        <v>45791</v>
      </c>
      <c r="K165" s="57">
        <v>45793</v>
      </c>
      <c r="L165" s="56" t="s">
        <v>332</v>
      </c>
      <c r="M165" s="60">
        <v>256779420124</v>
      </c>
      <c r="N165" s="56" t="s">
        <v>306</v>
      </c>
      <c r="O165" s="56" t="s">
        <v>307</v>
      </c>
      <c r="P165" s="56" t="s">
        <v>305</v>
      </c>
      <c r="Q165" s="56" t="s">
        <v>325</v>
      </c>
      <c r="R165" s="186" t="s">
        <v>333</v>
      </c>
      <c r="S165" s="164">
        <v>-755.81</v>
      </c>
      <c r="T165" s="187" t="s">
        <v>309</v>
      </c>
      <c r="U165" s="164">
        <v>-65522.12</v>
      </c>
      <c r="V165" s="56" t="s">
        <v>342</v>
      </c>
      <c r="W165" s="56" t="s">
        <v>310</v>
      </c>
      <c r="X165" s="56" t="s">
        <v>305</v>
      </c>
      <c r="Y165" s="56" t="s">
        <v>332</v>
      </c>
      <c r="Z165" s="56" t="s">
        <v>311</v>
      </c>
      <c r="AA165" s="56" t="s">
        <v>467</v>
      </c>
      <c r="AB165" s="56" t="s">
        <v>305</v>
      </c>
      <c r="AC165" s="56" t="s">
        <v>305</v>
      </c>
      <c r="AD165" s="56" t="s">
        <v>305</v>
      </c>
      <c r="AE165" s="57">
        <v>45791</v>
      </c>
      <c r="AF165" s="57">
        <v>45856</v>
      </c>
      <c r="AG165" s="58">
        <v>1400000303</v>
      </c>
      <c r="AH165" s="74" t="e" cm="1">
        <f t="array" ref="AH165">VLOOKUP(M165,'Customer data Vlookup'!$B$3:$H$127,{2,3},0)</f>
        <v>#N/A</v>
      </c>
      <c r="AI165" s="74"/>
      <c r="AJ165" s="74"/>
      <c r="AK165" s="43"/>
      <c r="AL165" s="43"/>
      <c r="AO165" t="e">
        <f>VLOOKUP(M165,'Customer data'!F:P,11,0)</f>
        <v>#N/A</v>
      </c>
    </row>
    <row r="166" spans="1:41" hidden="1">
      <c r="A166" s="56" t="s">
        <v>298</v>
      </c>
      <c r="B166" s="56" t="s">
        <v>299</v>
      </c>
      <c r="C166" s="56" t="s">
        <v>300</v>
      </c>
      <c r="D166" s="56" t="s">
        <v>301</v>
      </c>
      <c r="E166" s="56" t="s">
        <v>302</v>
      </c>
      <c r="F166" s="56" t="s">
        <v>327</v>
      </c>
      <c r="G166" s="57">
        <v>45791</v>
      </c>
      <c r="H166" s="58">
        <v>1600000416</v>
      </c>
      <c r="I166" s="56" t="s">
        <v>438</v>
      </c>
      <c r="J166" s="57">
        <v>45791</v>
      </c>
      <c r="K166" s="57">
        <v>45793</v>
      </c>
      <c r="L166" s="56" t="s">
        <v>332</v>
      </c>
      <c r="M166" s="60">
        <v>256779420125</v>
      </c>
      <c r="N166" s="56" t="s">
        <v>306</v>
      </c>
      <c r="O166" s="56" t="s">
        <v>307</v>
      </c>
      <c r="P166" s="56" t="s">
        <v>305</v>
      </c>
      <c r="Q166" s="56" t="s">
        <v>325</v>
      </c>
      <c r="R166" s="186" t="s">
        <v>333</v>
      </c>
      <c r="S166" s="164">
        <v>-211.2</v>
      </c>
      <c r="T166" s="187" t="s">
        <v>309</v>
      </c>
      <c r="U166" s="164">
        <v>-18309.189999999999</v>
      </c>
      <c r="V166" s="56" t="s">
        <v>342</v>
      </c>
      <c r="W166" s="56" t="s">
        <v>310</v>
      </c>
      <c r="X166" s="56" t="s">
        <v>305</v>
      </c>
      <c r="Y166" s="56" t="s">
        <v>332</v>
      </c>
      <c r="Z166" s="56" t="s">
        <v>311</v>
      </c>
      <c r="AA166" s="56" t="s">
        <v>468</v>
      </c>
      <c r="AB166" s="56" t="s">
        <v>305</v>
      </c>
      <c r="AC166" s="56" t="s">
        <v>305</v>
      </c>
      <c r="AD166" s="56" t="s">
        <v>305</v>
      </c>
      <c r="AE166" s="57">
        <v>45791</v>
      </c>
      <c r="AF166" s="57">
        <v>45856</v>
      </c>
      <c r="AG166" s="58">
        <v>1400000304</v>
      </c>
      <c r="AH166" s="74" t="e" cm="1">
        <f t="array" ref="AH166">VLOOKUP(M166,'Customer data Vlookup'!$B$3:$H$127,{2,3},0)</f>
        <v>#N/A</v>
      </c>
      <c r="AI166" s="74"/>
      <c r="AJ166" s="74"/>
      <c r="AK166" s="43"/>
      <c r="AL166" s="43"/>
      <c r="AO166" t="e">
        <f>VLOOKUP(M166,'Customer data'!F:P,11,0)</f>
        <v>#N/A</v>
      </c>
    </row>
    <row r="167" spans="1:41" hidden="1">
      <c r="A167" s="56" t="s">
        <v>298</v>
      </c>
      <c r="B167" s="56" t="s">
        <v>299</v>
      </c>
      <c r="C167" s="56" t="s">
        <v>300</v>
      </c>
      <c r="D167" s="56" t="s">
        <v>301</v>
      </c>
      <c r="E167" s="56" t="s">
        <v>302</v>
      </c>
      <c r="F167" s="56" t="s">
        <v>327</v>
      </c>
      <c r="G167" s="57">
        <v>45791</v>
      </c>
      <c r="H167" s="58">
        <v>1600000417</v>
      </c>
      <c r="I167" s="56" t="s">
        <v>438</v>
      </c>
      <c r="J167" s="57">
        <v>45791</v>
      </c>
      <c r="K167" s="57">
        <v>45793</v>
      </c>
      <c r="L167" s="56" t="s">
        <v>332</v>
      </c>
      <c r="M167" s="60">
        <v>256779420126</v>
      </c>
      <c r="N167" s="56" t="s">
        <v>306</v>
      </c>
      <c r="O167" s="56" t="s">
        <v>307</v>
      </c>
      <c r="P167" s="56" t="s">
        <v>305</v>
      </c>
      <c r="Q167" s="56" t="s">
        <v>325</v>
      </c>
      <c r="R167" s="186" t="s">
        <v>333</v>
      </c>
      <c r="S167" s="164">
        <v>-345.6</v>
      </c>
      <c r="T167" s="187" t="s">
        <v>309</v>
      </c>
      <c r="U167" s="164">
        <v>-29960.5</v>
      </c>
      <c r="V167" s="56" t="s">
        <v>342</v>
      </c>
      <c r="W167" s="56" t="s">
        <v>310</v>
      </c>
      <c r="X167" s="56" t="s">
        <v>305</v>
      </c>
      <c r="Y167" s="56" t="s">
        <v>332</v>
      </c>
      <c r="Z167" s="56" t="s">
        <v>311</v>
      </c>
      <c r="AA167" s="56" t="s">
        <v>469</v>
      </c>
      <c r="AB167" s="56" t="s">
        <v>305</v>
      </c>
      <c r="AC167" s="56" t="s">
        <v>305</v>
      </c>
      <c r="AD167" s="56" t="s">
        <v>305</v>
      </c>
      <c r="AE167" s="57">
        <v>45791</v>
      </c>
      <c r="AF167" s="57">
        <v>45856</v>
      </c>
      <c r="AG167" s="58">
        <v>1400000305</v>
      </c>
      <c r="AH167" s="74" t="e" cm="1">
        <f t="array" ref="AH167">VLOOKUP(M167,'Customer data Vlookup'!$B$3:$H$127,{2,3},0)</f>
        <v>#N/A</v>
      </c>
      <c r="AI167" s="74"/>
      <c r="AJ167" s="74"/>
      <c r="AK167" s="43"/>
      <c r="AL167" s="43"/>
      <c r="AO167" t="e">
        <f>VLOOKUP(M167,'Customer data'!F:P,11,0)</f>
        <v>#N/A</v>
      </c>
    </row>
    <row r="168" spans="1:41" hidden="1">
      <c r="A168" s="56" t="s">
        <v>298</v>
      </c>
      <c r="B168" s="56" t="s">
        <v>299</v>
      </c>
      <c r="C168" s="56" t="s">
        <v>300</v>
      </c>
      <c r="D168" s="56" t="s">
        <v>301</v>
      </c>
      <c r="E168" s="56" t="s">
        <v>302</v>
      </c>
      <c r="F168" s="56" t="s">
        <v>327</v>
      </c>
      <c r="G168" s="57">
        <v>45791</v>
      </c>
      <c r="H168" s="58">
        <v>1600000420</v>
      </c>
      <c r="I168" s="56" t="s">
        <v>438</v>
      </c>
      <c r="J168" s="57">
        <v>45791</v>
      </c>
      <c r="K168" s="57">
        <v>45793</v>
      </c>
      <c r="L168" s="56" t="s">
        <v>332</v>
      </c>
      <c r="M168" s="60">
        <v>256779420129</v>
      </c>
      <c r="N168" s="56" t="s">
        <v>306</v>
      </c>
      <c r="O168" s="56" t="s">
        <v>307</v>
      </c>
      <c r="P168" s="56" t="s">
        <v>305</v>
      </c>
      <c r="Q168" s="56" t="s">
        <v>325</v>
      </c>
      <c r="R168" s="186" t="s">
        <v>333</v>
      </c>
      <c r="S168" s="164">
        <v>-283.43</v>
      </c>
      <c r="T168" s="187" t="s">
        <v>309</v>
      </c>
      <c r="U168" s="164">
        <v>-24570.9</v>
      </c>
      <c r="V168" s="56" t="s">
        <v>342</v>
      </c>
      <c r="W168" s="56" t="s">
        <v>310</v>
      </c>
      <c r="X168" s="56" t="s">
        <v>305</v>
      </c>
      <c r="Y168" s="56" t="s">
        <v>332</v>
      </c>
      <c r="Z168" s="56" t="s">
        <v>311</v>
      </c>
      <c r="AA168" s="56" t="s">
        <v>470</v>
      </c>
      <c r="AB168" s="56" t="s">
        <v>305</v>
      </c>
      <c r="AC168" s="56" t="s">
        <v>305</v>
      </c>
      <c r="AD168" s="56" t="s">
        <v>305</v>
      </c>
      <c r="AE168" s="57">
        <v>45791</v>
      </c>
      <c r="AF168" s="57">
        <v>45856</v>
      </c>
      <c r="AG168" s="58">
        <v>1400000306</v>
      </c>
      <c r="AH168" s="74" t="e" cm="1">
        <f t="array" ref="AH168">VLOOKUP(M168,'Customer data Vlookup'!$B$3:$H$127,{2,3},0)</f>
        <v>#N/A</v>
      </c>
      <c r="AI168" s="74"/>
      <c r="AJ168" s="74"/>
      <c r="AK168" s="43"/>
      <c r="AL168" s="43"/>
      <c r="AO168" t="e">
        <f>VLOOKUP(M168,'Customer data'!F:P,11,0)</f>
        <v>#N/A</v>
      </c>
    </row>
    <row r="169" spans="1:41" hidden="1">
      <c r="A169" s="56" t="s">
        <v>298</v>
      </c>
      <c r="B169" s="56" t="s">
        <v>299</v>
      </c>
      <c r="C169" s="56" t="s">
        <v>300</v>
      </c>
      <c r="D169" s="56" t="s">
        <v>301</v>
      </c>
      <c r="E169" s="56" t="s">
        <v>302</v>
      </c>
      <c r="F169" s="56" t="s">
        <v>327</v>
      </c>
      <c r="G169" s="57">
        <v>45791</v>
      </c>
      <c r="H169" s="58">
        <v>1600000421</v>
      </c>
      <c r="I169" s="56" t="s">
        <v>438</v>
      </c>
      <c r="J169" s="57">
        <v>45791</v>
      </c>
      <c r="K169" s="57">
        <v>45793</v>
      </c>
      <c r="L169" s="56" t="s">
        <v>332</v>
      </c>
      <c r="M169" s="60">
        <v>256779420130</v>
      </c>
      <c r="N169" s="56" t="s">
        <v>306</v>
      </c>
      <c r="O169" s="56" t="s">
        <v>307</v>
      </c>
      <c r="P169" s="56" t="s">
        <v>305</v>
      </c>
      <c r="Q169" s="56" t="s">
        <v>325</v>
      </c>
      <c r="R169" s="186" t="s">
        <v>333</v>
      </c>
      <c r="S169" s="164">
        <v>-81</v>
      </c>
      <c r="T169" s="187" t="s">
        <v>309</v>
      </c>
      <c r="U169" s="164">
        <v>-7021.99</v>
      </c>
      <c r="V169" s="56" t="s">
        <v>342</v>
      </c>
      <c r="W169" s="56" t="s">
        <v>310</v>
      </c>
      <c r="X169" s="56" t="s">
        <v>305</v>
      </c>
      <c r="Y169" s="56" t="s">
        <v>332</v>
      </c>
      <c r="Z169" s="56" t="s">
        <v>311</v>
      </c>
      <c r="AA169" s="56" t="s">
        <v>471</v>
      </c>
      <c r="AB169" s="56" t="s">
        <v>305</v>
      </c>
      <c r="AC169" s="56" t="s">
        <v>305</v>
      </c>
      <c r="AD169" s="56" t="s">
        <v>305</v>
      </c>
      <c r="AE169" s="57">
        <v>45791</v>
      </c>
      <c r="AF169" s="57">
        <v>45856</v>
      </c>
      <c r="AG169" s="58">
        <v>1400000307</v>
      </c>
      <c r="AH169" s="74" t="e" cm="1">
        <f t="array" ref="AH169">VLOOKUP(M169,'Customer data Vlookup'!$B$3:$H$127,{2,3},0)</f>
        <v>#N/A</v>
      </c>
      <c r="AI169" s="74"/>
      <c r="AJ169" s="74"/>
      <c r="AK169" s="43"/>
      <c r="AL169" s="43"/>
      <c r="AO169" t="e">
        <f>VLOOKUP(M169,'Customer data'!F:P,11,0)</f>
        <v>#N/A</v>
      </c>
    </row>
    <row r="170" spans="1:41" hidden="1">
      <c r="A170" s="56" t="s">
        <v>298</v>
      </c>
      <c r="B170" s="56" t="s">
        <v>299</v>
      </c>
      <c r="C170" s="56" t="s">
        <v>300</v>
      </c>
      <c r="D170" s="56" t="s">
        <v>301</v>
      </c>
      <c r="E170" s="56" t="s">
        <v>302</v>
      </c>
      <c r="F170" s="56" t="s">
        <v>327</v>
      </c>
      <c r="G170" s="57">
        <v>45791</v>
      </c>
      <c r="H170" s="58">
        <v>1600000422</v>
      </c>
      <c r="I170" s="56" t="s">
        <v>438</v>
      </c>
      <c r="J170" s="57">
        <v>45791</v>
      </c>
      <c r="K170" s="57">
        <v>45793</v>
      </c>
      <c r="L170" s="56" t="s">
        <v>332</v>
      </c>
      <c r="M170" s="60">
        <v>256779420131</v>
      </c>
      <c r="N170" s="56" t="s">
        <v>306</v>
      </c>
      <c r="O170" s="56" t="s">
        <v>307</v>
      </c>
      <c r="P170" s="56" t="s">
        <v>305</v>
      </c>
      <c r="Q170" s="56" t="s">
        <v>325</v>
      </c>
      <c r="R170" s="186" t="s">
        <v>333</v>
      </c>
      <c r="S170" s="164">
        <v>-129.6</v>
      </c>
      <c r="T170" s="187" t="s">
        <v>309</v>
      </c>
      <c r="U170" s="164">
        <v>-11235.19</v>
      </c>
      <c r="V170" s="56" t="s">
        <v>342</v>
      </c>
      <c r="W170" s="56" t="s">
        <v>310</v>
      </c>
      <c r="X170" s="56" t="s">
        <v>305</v>
      </c>
      <c r="Y170" s="56" t="s">
        <v>332</v>
      </c>
      <c r="Z170" s="56" t="s">
        <v>311</v>
      </c>
      <c r="AA170" s="56" t="s">
        <v>472</v>
      </c>
      <c r="AB170" s="56" t="s">
        <v>305</v>
      </c>
      <c r="AC170" s="56" t="s">
        <v>305</v>
      </c>
      <c r="AD170" s="56" t="s">
        <v>305</v>
      </c>
      <c r="AE170" s="57">
        <v>45791</v>
      </c>
      <c r="AF170" s="57">
        <v>45856</v>
      </c>
      <c r="AG170" s="58">
        <v>1400000308</v>
      </c>
      <c r="AH170" s="74" t="e" cm="1">
        <f t="array" ref="AH170">VLOOKUP(M170,'Customer data Vlookup'!$B$3:$H$127,{2,3},0)</f>
        <v>#N/A</v>
      </c>
      <c r="AI170" s="74"/>
      <c r="AJ170" s="74"/>
      <c r="AK170" s="43"/>
      <c r="AL170" s="43"/>
      <c r="AO170" t="e">
        <f>VLOOKUP(M170,'Customer data'!F:P,11,0)</f>
        <v>#N/A</v>
      </c>
    </row>
    <row r="171" spans="1:41" hidden="1">
      <c r="A171" s="56" t="s">
        <v>298</v>
      </c>
      <c r="B171" s="56" t="s">
        <v>299</v>
      </c>
      <c r="C171" s="56" t="s">
        <v>300</v>
      </c>
      <c r="D171" s="56" t="s">
        <v>301</v>
      </c>
      <c r="E171" s="56" t="s">
        <v>302</v>
      </c>
      <c r="F171" s="56" t="s">
        <v>327</v>
      </c>
      <c r="G171" s="57">
        <v>45791</v>
      </c>
      <c r="H171" s="58">
        <v>1600000430</v>
      </c>
      <c r="I171" s="56" t="s">
        <v>438</v>
      </c>
      <c r="J171" s="57">
        <v>45791</v>
      </c>
      <c r="K171" s="57">
        <v>45793</v>
      </c>
      <c r="L171" s="56" t="s">
        <v>332</v>
      </c>
      <c r="M171" s="60">
        <v>256779420139</v>
      </c>
      <c r="N171" s="56" t="s">
        <v>306</v>
      </c>
      <c r="O171" s="56" t="s">
        <v>307</v>
      </c>
      <c r="P171" s="56" t="s">
        <v>305</v>
      </c>
      <c r="Q171" s="56" t="s">
        <v>325</v>
      </c>
      <c r="R171" s="186" t="s">
        <v>333</v>
      </c>
      <c r="S171" s="164">
        <v>-158.46</v>
      </c>
      <c r="T171" s="187" t="s">
        <v>309</v>
      </c>
      <c r="U171" s="164">
        <v>-13737.1</v>
      </c>
      <c r="V171" s="56" t="s">
        <v>342</v>
      </c>
      <c r="W171" s="56" t="s">
        <v>310</v>
      </c>
      <c r="X171" s="56" t="s">
        <v>305</v>
      </c>
      <c r="Y171" s="56" t="s">
        <v>332</v>
      </c>
      <c r="Z171" s="56" t="s">
        <v>311</v>
      </c>
      <c r="AA171" s="56" t="s">
        <v>443</v>
      </c>
      <c r="AB171" s="56" t="s">
        <v>305</v>
      </c>
      <c r="AC171" s="56" t="s">
        <v>305</v>
      </c>
      <c r="AD171" s="56" t="s">
        <v>305</v>
      </c>
      <c r="AE171" s="57">
        <v>45791</v>
      </c>
      <c r="AF171" s="57">
        <v>45856</v>
      </c>
      <c r="AG171" s="58">
        <v>1400000309</v>
      </c>
      <c r="AH171" s="74" t="e" cm="1">
        <f t="array" ref="AH171">VLOOKUP(M171,'Customer data Vlookup'!$B$3:$H$127,{2,3},0)</f>
        <v>#N/A</v>
      </c>
      <c r="AI171" s="74"/>
      <c r="AJ171" s="74"/>
      <c r="AK171" s="43"/>
      <c r="AL171" s="43"/>
      <c r="AO171" t="e">
        <f>VLOOKUP(M171,'Customer data'!F:P,11,0)</f>
        <v>#N/A</v>
      </c>
    </row>
    <row r="172" spans="1:41" hidden="1">
      <c r="A172" s="56" t="s">
        <v>298</v>
      </c>
      <c r="B172" s="56" t="s">
        <v>299</v>
      </c>
      <c r="C172" s="56" t="s">
        <v>300</v>
      </c>
      <c r="D172" s="56" t="s">
        <v>301</v>
      </c>
      <c r="E172" s="56" t="s">
        <v>302</v>
      </c>
      <c r="F172" s="56" t="s">
        <v>327</v>
      </c>
      <c r="G172" s="57">
        <v>45791</v>
      </c>
      <c r="H172" s="58">
        <v>1600000431</v>
      </c>
      <c r="I172" s="56" t="s">
        <v>438</v>
      </c>
      <c r="J172" s="57">
        <v>45791</v>
      </c>
      <c r="K172" s="57">
        <v>45793</v>
      </c>
      <c r="L172" s="56" t="s">
        <v>332</v>
      </c>
      <c r="M172" s="60">
        <v>256779420140</v>
      </c>
      <c r="N172" s="56" t="s">
        <v>306</v>
      </c>
      <c r="O172" s="56" t="s">
        <v>307</v>
      </c>
      <c r="P172" s="56" t="s">
        <v>305</v>
      </c>
      <c r="Q172" s="56" t="s">
        <v>325</v>
      </c>
      <c r="R172" s="186" t="s">
        <v>333</v>
      </c>
      <c r="S172" s="164">
        <v>-31.99</v>
      </c>
      <c r="T172" s="187" t="s">
        <v>309</v>
      </c>
      <c r="U172" s="164">
        <v>-2773.25</v>
      </c>
      <c r="V172" s="56" t="s">
        <v>342</v>
      </c>
      <c r="W172" s="56" t="s">
        <v>310</v>
      </c>
      <c r="X172" s="56" t="s">
        <v>305</v>
      </c>
      <c r="Y172" s="56" t="s">
        <v>332</v>
      </c>
      <c r="Z172" s="56" t="s">
        <v>311</v>
      </c>
      <c r="AA172" s="56" t="s">
        <v>444</v>
      </c>
      <c r="AB172" s="56" t="s">
        <v>305</v>
      </c>
      <c r="AC172" s="56" t="s">
        <v>305</v>
      </c>
      <c r="AD172" s="56" t="s">
        <v>305</v>
      </c>
      <c r="AE172" s="57">
        <v>45791</v>
      </c>
      <c r="AF172" s="57">
        <v>45856</v>
      </c>
      <c r="AG172" s="58">
        <v>1400000310</v>
      </c>
      <c r="AH172" s="74" t="e" cm="1">
        <f t="array" ref="AH172">VLOOKUP(M172,'Customer data Vlookup'!$B$3:$H$127,{2,3},0)</f>
        <v>#N/A</v>
      </c>
      <c r="AI172" s="74"/>
      <c r="AJ172" s="74"/>
      <c r="AK172" s="43"/>
      <c r="AL172" s="43"/>
      <c r="AO172" t="e">
        <f>VLOOKUP(M172,'Customer data'!F:P,11,0)</f>
        <v>#N/A</v>
      </c>
    </row>
    <row r="173" spans="1:41" hidden="1">
      <c r="A173" s="56" t="s">
        <v>298</v>
      </c>
      <c r="B173" s="56" t="s">
        <v>299</v>
      </c>
      <c r="C173" s="56" t="s">
        <v>300</v>
      </c>
      <c r="D173" s="56" t="s">
        <v>301</v>
      </c>
      <c r="E173" s="56" t="s">
        <v>302</v>
      </c>
      <c r="F173" s="56" t="s">
        <v>327</v>
      </c>
      <c r="G173" s="57">
        <v>45791</v>
      </c>
      <c r="H173" s="58">
        <v>1600000432</v>
      </c>
      <c r="I173" s="56" t="s">
        <v>438</v>
      </c>
      <c r="J173" s="57">
        <v>45791</v>
      </c>
      <c r="K173" s="57">
        <v>45793</v>
      </c>
      <c r="L173" s="56" t="s">
        <v>332</v>
      </c>
      <c r="M173" s="60">
        <v>256779420141</v>
      </c>
      <c r="N173" s="56" t="s">
        <v>306</v>
      </c>
      <c r="O173" s="56" t="s">
        <v>307</v>
      </c>
      <c r="P173" s="56" t="s">
        <v>305</v>
      </c>
      <c r="Q173" s="56" t="s">
        <v>325</v>
      </c>
      <c r="R173" s="186" t="s">
        <v>333</v>
      </c>
      <c r="S173" s="164">
        <v>-26.4</v>
      </c>
      <c r="T173" s="187" t="s">
        <v>309</v>
      </c>
      <c r="U173" s="164">
        <v>-2288.65</v>
      </c>
      <c r="V173" s="56" t="s">
        <v>342</v>
      </c>
      <c r="W173" s="56" t="s">
        <v>310</v>
      </c>
      <c r="X173" s="56" t="s">
        <v>305</v>
      </c>
      <c r="Y173" s="56" t="s">
        <v>332</v>
      </c>
      <c r="Z173" s="56" t="s">
        <v>311</v>
      </c>
      <c r="AA173" s="56" t="s">
        <v>445</v>
      </c>
      <c r="AB173" s="56" t="s">
        <v>305</v>
      </c>
      <c r="AC173" s="56" t="s">
        <v>305</v>
      </c>
      <c r="AD173" s="56" t="s">
        <v>305</v>
      </c>
      <c r="AE173" s="57">
        <v>45791</v>
      </c>
      <c r="AF173" s="57">
        <v>45856</v>
      </c>
      <c r="AG173" s="58">
        <v>1400000311</v>
      </c>
      <c r="AH173" s="74" t="e" cm="1">
        <f t="array" ref="AH173">VLOOKUP(M173,'Customer data Vlookup'!$B$3:$H$127,{2,3},0)</f>
        <v>#N/A</v>
      </c>
      <c r="AI173" s="74"/>
      <c r="AJ173" s="74"/>
      <c r="AK173" s="43"/>
      <c r="AL173" s="43"/>
      <c r="AO173" t="e">
        <f>VLOOKUP(M173,'Customer data'!F:P,11,0)</f>
        <v>#N/A</v>
      </c>
    </row>
    <row r="174" spans="1:41" hidden="1">
      <c r="A174" s="56" t="s">
        <v>298</v>
      </c>
      <c r="B174" s="56" t="s">
        <v>299</v>
      </c>
      <c r="C174" s="56" t="s">
        <v>300</v>
      </c>
      <c r="D174" s="56" t="s">
        <v>301</v>
      </c>
      <c r="E174" s="56" t="s">
        <v>302</v>
      </c>
      <c r="F174" s="56" t="s">
        <v>327</v>
      </c>
      <c r="G174" s="57">
        <v>45791</v>
      </c>
      <c r="H174" s="58">
        <v>1600000433</v>
      </c>
      <c r="I174" s="56" t="s">
        <v>438</v>
      </c>
      <c r="J174" s="57">
        <v>45791</v>
      </c>
      <c r="K174" s="57">
        <v>45793</v>
      </c>
      <c r="L174" s="56" t="s">
        <v>332</v>
      </c>
      <c r="M174" s="60">
        <v>256779420142</v>
      </c>
      <c r="N174" s="56" t="s">
        <v>306</v>
      </c>
      <c r="O174" s="56" t="s">
        <v>307</v>
      </c>
      <c r="P174" s="56" t="s">
        <v>305</v>
      </c>
      <c r="Q174" s="56" t="s">
        <v>325</v>
      </c>
      <c r="R174" s="186" t="s">
        <v>333</v>
      </c>
      <c r="S174" s="164">
        <v>-180</v>
      </c>
      <c r="T174" s="187" t="s">
        <v>309</v>
      </c>
      <c r="U174" s="164">
        <v>-15604.43</v>
      </c>
      <c r="V174" s="56" t="s">
        <v>342</v>
      </c>
      <c r="W174" s="56" t="s">
        <v>310</v>
      </c>
      <c r="X174" s="56" t="s">
        <v>305</v>
      </c>
      <c r="Y174" s="56" t="s">
        <v>332</v>
      </c>
      <c r="Z174" s="56" t="s">
        <v>311</v>
      </c>
      <c r="AA174" s="56" t="s">
        <v>446</v>
      </c>
      <c r="AB174" s="56" t="s">
        <v>305</v>
      </c>
      <c r="AC174" s="56" t="s">
        <v>305</v>
      </c>
      <c r="AD174" s="56" t="s">
        <v>305</v>
      </c>
      <c r="AE174" s="57">
        <v>45791</v>
      </c>
      <c r="AF174" s="57">
        <v>45856</v>
      </c>
      <c r="AG174" s="58">
        <v>1400000312</v>
      </c>
      <c r="AH174" s="74" t="e" cm="1">
        <f t="array" ref="AH174">VLOOKUP(M174,'Customer data Vlookup'!$B$3:$H$127,{2,3},0)</f>
        <v>#N/A</v>
      </c>
      <c r="AI174" s="74"/>
      <c r="AJ174" s="74"/>
      <c r="AK174" s="43"/>
      <c r="AL174" s="43"/>
      <c r="AO174" t="e">
        <f>VLOOKUP(M174,'Customer data'!F:P,11,0)</f>
        <v>#N/A</v>
      </c>
    </row>
    <row r="175" spans="1:41" hidden="1">
      <c r="A175" s="56" t="s">
        <v>298</v>
      </c>
      <c r="B175" s="56" t="s">
        <v>299</v>
      </c>
      <c r="C175" s="56" t="s">
        <v>300</v>
      </c>
      <c r="D175" s="56" t="s">
        <v>301</v>
      </c>
      <c r="E175" s="56" t="s">
        <v>302</v>
      </c>
      <c r="F175" s="56" t="s">
        <v>327</v>
      </c>
      <c r="G175" s="57">
        <v>45791</v>
      </c>
      <c r="H175" s="58">
        <v>1600000434</v>
      </c>
      <c r="I175" s="56" t="s">
        <v>438</v>
      </c>
      <c r="J175" s="57">
        <v>45791</v>
      </c>
      <c r="K175" s="57">
        <v>45793</v>
      </c>
      <c r="L175" s="56" t="s">
        <v>332</v>
      </c>
      <c r="M175" s="60">
        <v>256779420143</v>
      </c>
      <c r="N175" s="56" t="s">
        <v>306</v>
      </c>
      <c r="O175" s="56" t="s">
        <v>307</v>
      </c>
      <c r="P175" s="56" t="s">
        <v>305</v>
      </c>
      <c r="Q175" s="56" t="s">
        <v>325</v>
      </c>
      <c r="R175" s="186" t="s">
        <v>333</v>
      </c>
      <c r="S175" s="164">
        <v>-90</v>
      </c>
      <c r="T175" s="187" t="s">
        <v>309</v>
      </c>
      <c r="U175" s="164">
        <v>-7802.21</v>
      </c>
      <c r="V175" s="56" t="s">
        <v>342</v>
      </c>
      <c r="W175" s="56" t="s">
        <v>310</v>
      </c>
      <c r="X175" s="56" t="s">
        <v>305</v>
      </c>
      <c r="Y175" s="56" t="s">
        <v>332</v>
      </c>
      <c r="Z175" s="56" t="s">
        <v>311</v>
      </c>
      <c r="AA175" s="56" t="s">
        <v>447</v>
      </c>
      <c r="AB175" s="56" t="s">
        <v>305</v>
      </c>
      <c r="AC175" s="56" t="s">
        <v>305</v>
      </c>
      <c r="AD175" s="56" t="s">
        <v>305</v>
      </c>
      <c r="AE175" s="57">
        <v>45791</v>
      </c>
      <c r="AF175" s="57">
        <v>45856</v>
      </c>
      <c r="AG175" s="58">
        <v>1400000313</v>
      </c>
      <c r="AH175" s="74" t="e" cm="1">
        <f t="array" ref="AH175">VLOOKUP(M175,'Customer data Vlookup'!$B$3:$H$127,{2,3},0)</f>
        <v>#N/A</v>
      </c>
      <c r="AI175" s="74"/>
      <c r="AJ175" s="74"/>
      <c r="AK175" s="43"/>
      <c r="AL175" s="43"/>
      <c r="AO175" t="e">
        <f>VLOOKUP(M175,'Customer data'!F:P,11,0)</f>
        <v>#N/A</v>
      </c>
    </row>
    <row r="176" spans="1:41" hidden="1">
      <c r="A176" s="56" t="s">
        <v>298</v>
      </c>
      <c r="B176" s="56" t="s">
        <v>299</v>
      </c>
      <c r="C176" s="56" t="s">
        <v>300</v>
      </c>
      <c r="D176" s="56" t="s">
        <v>301</v>
      </c>
      <c r="E176" s="56" t="s">
        <v>302</v>
      </c>
      <c r="F176" s="56" t="s">
        <v>327</v>
      </c>
      <c r="G176" s="57">
        <v>45791</v>
      </c>
      <c r="H176" s="58">
        <v>1600000435</v>
      </c>
      <c r="I176" s="56" t="s">
        <v>438</v>
      </c>
      <c r="J176" s="57">
        <v>45791</v>
      </c>
      <c r="K176" s="57">
        <v>45793</v>
      </c>
      <c r="L176" s="56" t="s">
        <v>332</v>
      </c>
      <c r="M176" s="60">
        <v>256779420144</v>
      </c>
      <c r="N176" s="56" t="s">
        <v>306</v>
      </c>
      <c r="O176" s="56" t="s">
        <v>307</v>
      </c>
      <c r="P176" s="56" t="s">
        <v>305</v>
      </c>
      <c r="Q176" s="56" t="s">
        <v>325</v>
      </c>
      <c r="R176" s="186" t="s">
        <v>333</v>
      </c>
      <c r="S176" s="164">
        <v>-27</v>
      </c>
      <c r="T176" s="187" t="s">
        <v>309</v>
      </c>
      <c r="U176" s="164">
        <v>-2340.66</v>
      </c>
      <c r="V176" s="56" t="s">
        <v>342</v>
      </c>
      <c r="W176" s="56" t="s">
        <v>310</v>
      </c>
      <c r="X176" s="56" t="s">
        <v>305</v>
      </c>
      <c r="Y176" s="56" t="s">
        <v>332</v>
      </c>
      <c r="Z176" s="56" t="s">
        <v>311</v>
      </c>
      <c r="AA176" s="56" t="s">
        <v>473</v>
      </c>
      <c r="AB176" s="56" t="s">
        <v>305</v>
      </c>
      <c r="AC176" s="56" t="s">
        <v>305</v>
      </c>
      <c r="AD176" s="56" t="s">
        <v>305</v>
      </c>
      <c r="AE176" s="57">
        <v>45791</v>
      </c>
      <c r="AF176" s="57">
        <v>45856</v>
      </c>
      <c r="AG176" s="58">
        <v>1400000314</v>
      </c>
      <c r="AH176" s="74" t="e" cm="1">
        <f t="array" ref="AH176">VLOOKUP(M176,'Customer data Vlookup'!$B$3:$H$127,{2,3},0)</f>
        <v>#N/A</v>
      </c>
      <c r="AI176" s="74"/>
      <c r="AJ176" s="74"/>
      <c r="AK176" s="43"/>
      <c r="AL176" s="43"/>
      <c r="AO176" t="e">
        <f>VLOOKUP(M176,'Customer data'!F:P,11,0)</f>
        <v>#N/A</v>
      </c>
    </row>
    <row r="177" spans="1:41" hidden="1">
      <c r="A177" s="56" t="s">
        <v>298</v>
      </c>
      <c r="B177" s="56" t="s">
        <v>299</v>
      </c>
      <c r="C177" s="56" t="s">
        <v>300</v>
      </c>
      <c r="D177" s="56" t="s">
        <v>301</v>
      </c>
      <c r="E177" s="56" t="s">
        <v>302</v>
      </c>
      <c r="F177" s="56" t="s">
        <v>303</v>
      </c>
      <c r="G177" s="57">
        <v>45791</v>
      </c>
      <c r="H177" s="58">
        <v>1600000436</v>
      </c>
      <c r="I177" s="56" t="s">
        <v>438</v>
      </c>
      <c r="J177" s="57">
        <v>45791</v>
      </c>
      <c r="K177" s="57">
        <v>45793</v>
      </c>
      <c r="L177" s="56" t="s">
        <v>332</v>
      </c>
      <c r="M177" s="60">
        <v>256779420145</v>
      </c>
      <c r="N177" s="56" t="s">
        <v>306</v>
      </c>
      <c r="O177" s="56" t="s">
        <v>307</v>
      </c>
      <c r="P177" s="56" t="s">
        <v>305</v>
      </c>
      <c r="Q177" s="56" t="s">
        <v>325</v>
      </c>
      <c r="R177" s="186" t="s">
        <v>333</v>
      </c>
      <c r="S177" s="164">
        <v>-86.4</v>
      </c>
      <c r="T177" s="187" t="s">
        <v>309</v>
      </c>
      <c r="U177" s="164">
        <v>-7490.12</v>
      </c>
      <c r="V177" s="56" t="s">
        <v>342</v>
      </c>
      <c r="W177" s="56" t="s">
        <v>310</v>
      </c>
      <c r="X177" s="56" t="s">
        <v>305</v>
      </c>
      <c r="Y177" s="56" t="s">
        <v>332</v>
      </c>
      <c r="Z177" s="56" t="s">
        <v>311</v>
      </c>
      <c r="AA177" s="56" t="s">
        <v>448</v>
      </c>
      <c r="AB177" s="56" t="s">
        <v>305</v>
      </c>
      <c r="AC177" s="56" t="s">
        <v>305</v>
      </c>
      <c r="AD177" s="56" t="s">
        <v>305</v>
      </c>
      <c r="AE177" s="57">
        <v>45791</v>
      </c>
      <c r="AF177" s="57">
        <v>45856</v>
      </c>
      <c r="AG177" s="58">
        <v>1400000315</v>
      </c>
      <c r="AH177" s="74" t="e" cm="1">
        <f t="array" ref="AH177">VLOOKUP(M177,'Customer data Vlookup'!$B$3:$H$127,{2,3},0)</f>
        <v>#N/A</v>
      </c>
      <c r="AI177" s="74"/>
      <c r="AJ177" s="74"/>
      <c r="AK177" s="43"/>
      <c r="AL177" s="43"/>
      <c r="AO177" t="e">
        <f>VLOOKUP(M177,'Customer data'!F:P,11,0)</f>
        <v>#N/A</v>
      </c>
    </row>
    <row r="178" spans="1:41" hidden="1">
      <c r="A178" s="56" t="s">
        <v>298</v>
      </c>
      <c r="B178" s="56" t="s">
        <v>299</v>
      </c>
      <c r="C178" s="56" t="s">
        <v>300</v>
      </c>
      <c r="D178" s="56" t="s">
        <v>301</v>
      </c>
      <c r="E178" s="56" t="s">
        <v>302</v>
      </c>
      <c r="F178" s="56" t="s">
        <v>303</v>
      </c>
      <c r="G178" s="57">
        <v>45791</v>
      </c>
      <c r="H178" s="58">
        <v>1600000461</v>
      </c>
      <c r="I178" s="56" t="s">
        <v>438</v>
      </c>
      <c r="J178" s="57">
        <v>45791</v>
      </c>
      <c r="K178" s="57">
        <v>45793</v>
      </c>
      <c r="L178" s="56" t="s">
        <v>332</v>
      </c>
      <c r="M178" s="60">
        <v>256779420170</v>
      </c>
      <c r="N178" s="56" t="s">
        <v>306</v>
      </c>
      <c r="O178" s="56" t="s">
        <v>307</v>
      </c>
      <c r="P178" s="56" t="s">
        <v>305</v>
      </c>
      <c r="Q178" s="56" t="s">
        <v>325</v>
      </c>
      <c r="R178" s="186" t="s">
        <v>333</v>
      </c>
      <c r="S178" s="164">
        <v>-78.77</v>
      </c>
      <c r="T178" s="187" t="s">
        <v>309</v>
      </c>
      <c r="U178" s="164">
        <v>-6828.67</v>
      </c>
      <c r="V178" s="56" t="s">
        <v>342</v>
      </c>
      <c r="W178" s="56" t="s">
        <v>310</v>
      </c>
      <c r="X178" s="56" t="s">
        <v>305</v>
      </c>
      <c r="Y178" s="56" t="s">
        <v>332</v>
      </c>
      <c r="Z178" s="56" t="s">
        <v>311</v>
      </c>
      <c r="AA178" s="56" t="s">
        <v>449</v>
      </c>
      <c r="AB178" s="56" t="s">
        <v>305</v>
      </c>
      <c r="AC178" s="56" t="s">
        <v>305</v>
      </c>
      <c r="AD178" s="56" t="s">
        <v>305</v>
      </c>
      <c r="AE178" s="57">
        <v>45791</v>
      </c>
      <c r="AF178" s="57">
        <v>45856</v>
      </c>
      <c r="AG178" s="58">
        <v>1400000316</v>
      </c>
      <c r="AH178" s="74" t="e" cm="1">
        <f t="array" ref="AH178">VLOOKUP(M178,'Customer data Vlookup'!$B$3:$H$127,{2,3},0)</f>
        <v>#N/A</v>
      </c>
      <c r="AI178" s="74"/>
      <c r="AJ178" s="74"/>
      <c r="AK178" s="43"/>
      <c r="AL178" s="43"/>
      <c r="AO178" t="e">
        <f>VLOOKUP(M178,'Customer data'!F:P,11,0)</f>
        <v>#N/A</v>
      </c>
    </row>
    <row r="179" spans="1:41" hidden="1">
      <c r="A179" s="56" t="s">
        <v>298</v>
      </c>
      <c r="B179" s="56" t="s">
        <v>299</v>
      </c>
      <c r="C179" s="56" t="s">
        <v>300</v>
      </c>
      <c r="D179" s="56" t="s">
        <v>301</v>
      </c>
      <c r="E179" s="56" t="s">
        <v>302</v>
      </c>
      <c r="F179" s="56" t="s">
        <v>303</v>
      </c>
      <c r="G179" s="57">
        <v>45791</v>
      </c>
      <c r="H179" s="58">
        <v>1600000462</v>
      </c>
      <c r="I179" s="56" t="s">
        <v>438</v>
      </c>
      <c r="J179" s="57">
        <v>45791</v>
      </c>
      <c r="K179" s="57">
        <v>45793</v>
      </c>
      <c r="L179" s="56" t="s">
        <v>332</v>
      </c>
      <c r="M179" s="60">
        <v>256779420171</v>
      </c>
      <c r="N179" s="56" t="s">
        <v>306</v>
      </c>
      <c r="O179" s="56" t="s">
        <v>307</v>
      </c>
      <c r="P179" s="56" t="s">
        <v>305</v>
      </c>
      <c r="Q179" s="56" t="s">
        <v>325</v>
      </c>
      <c r="R179" s="186" t="s">
        <v>333</v>
      </c>
      <c r="S179" s="164">
        <v>-26.26</v>
      </c>
      <c r="T179" s="187" t="s">
        <v>309</v>
      </c>
      <c r="U179" s="164">
        <v>-2276.5100000000002</v>
      </c>
      <c r="V179" s="56" t="s">
        <v>342</v>
      </c>
      <c r="W179" s="56" t="s">
        <v>310</v>
      </c>
      <c r="X179" s="56" t="s">
        <v>305</v>
      </c>
      <c r="Y179" s="56" t="s">
        <v>332</v>
      </c>
      <c r="Z179" s="56" t="s">
        <v>311</v>
      </c>
      <c r="AA179" s="56" t="s">
        <v>450</v>
      </c>
      <c r="AB179" s="56" t="s">
        <v>305</v>
      </c>
      <c r="AC179" s="56" t="s">
        <v>305</v>
      </c>
      <c r="AD179" s="56" t="s">
        <v>305</v>
      </c>
      <c r="AE179" s="57">
        <v>45791</v>
      </c>
      <c r="AF179" s="57">
        <v>45856</v>
      </c>
      <c r="AG179" s="58">
        <v>1400000317</v>
      </c>
      <c r="AH179" s="74" t="e" cm="1">
        <f t="array" ref="AH179">VLOOKUP(M179,'Customer data Vlookup'!$B$3:$H$127,{2,3},0)</f>
        <v>#N/A</v>
      </c>
      <c r="AI179" s="74"/>
      <c r="AJ179" s="74"/>
      <c r="AK179" s="43"/>
      <c r="AL179" s="43"/>
      <c r="AO179" t="e">
        <f>VLOOKUP(M179,'Customer data'!F:P,11,0)</f>
        <v>#N/A</v>
      </c>
    </row>
    <row r="180" spans="1:41" hidden="1">
      <c r="A180" s="56" t="s">
        <v>298</v>
      </c>
      <c r="B180" s="56" t="s">
        <v>299</v>
      </c>
      <c r="C180" s="56" t="s">
        <v>300</v>
      </c>
      <c r="D180" s="56" t="s">
        <v>301</v>
      </c>
      <c r="E180" s="56" t="s">
        <v>302</v>
      </c>
      <c r="F180" s="56" t="s">
        <v>303</v>
      </c>
      <c r="G180" s="57">
        <v>45791</v>
      </c>
      <c r="H180" s="58">
        <v>1600000463</v>
      </c>
      <c r="I180" s="56" t="s">
        <v>438</v>
      </c>
      <c r="J180" s="57">
        <v>45791</v>
      </c>
      <c r="K180" s="57">
        <v>45793</v>
      </c>
      <c r="L180" s="56" t="s">
        <v>332</v>
      </c>
      <c r="M180" s="60">
        <v>256779420172</v>
      </c>
      <c r="N180" s="56" t="s">
        <v>306</v>
      </c>
      <c r="O180" s="56" t="s">
        <v>307</v>
      </c>
      <c r="P180" s="56" t="s">
        <v>305</v>
      </c>
      <c r="Q180" s="56" t="s">
        <v>325</v>
      </c>
      <c r="R180" s="186" t="s">
        <v>333</v>
      </c>
      <c r="S180" s="164">
        <v>-26.26</v>
      </c>
      <c r="T180" s="187" t="s">
        <v>309</v>
      </c>
      <c r="U180" s="164">
        <v>-2276.5100000000002</v>
      </c>
      <c r="V180" s="56" t="s">
        <v>342</v>
      </c>
      <c r="W180" s="56" t="s">
        <v>310</v>
      </c>
      <c r="X180" s="56" t="s">
        <v>305</v>
      </c>
      <c r="Y180" s="56" t="s">
        <v>332</v>
      </c>
      <c r="Z180" s="56" t="s">
        <v>311</v>
      </c>
      <c r="AA180" s="56" t="s">
        <v>451</v>
      </c>
      <c r="AB180" s="56" t="s">
        <v>305</v>
      </c>
      <c r="AC180" s="56" t="s">
        <v>305</v>
      </c>
      <c r="AD180" s="56" t="s">
        <v>305</v>
      </c>
      <c r="AE180" s="57">
        <v>45791</v>
      </c>
      <c r="AF180" s="57">
        <v>45856</v>
      </c>
      <c r="AG180" s="58">
        <v>1400000318</v>
      </c>
      <c r="AH180" s="74" t="e" cm="1">
        <f t="array" ref="AH180">VLOOKUP(M180,'Customer data Vlookup'!$B$3:$H$127,{2,3},0)</f>
        <v>#N/A</v>
      </c>
      <c r="AI180" s="74"/>
      <c r="AJ180" s="74"/>
      <c r="AK180" s="43"/>
      <c r="AL180" s="43"/>
      <c r="AO180" t="e">
        <f>VLOOKUP(M180,'Customer data'!F:P,11,0)</f>
        <v>#N/A</v>
      </c>
    </row>
    <row r="181" spans="1:41" hidden="1">
      <c r="A181" s="56" t="s">
        <v>298</v>
      </c>
      <c r="B181" s="56" t="s">
        <v>299</v>
      </c>
      <c r="C181" s="56" t="s">
        <v>300</v>
      </c>
      <c r="D181" s="56" t="s">
        <v>301</v>
      </c>
      <c r="E181" s="56" t="s">
        <v>302</v>
      </c>
      <c r="F181" s="56" t="s">
        <v>303</v>
      </c>
      <c r="G181" s="57">
        <v>45791</v>
      </c>
      <c r="H181" s="58">
        <v>1600000464</v>
      </c>
      <c r="I181" s="56" t="s">
        <v>438</v>
      </c>
      <c r="J181" s="57">
        <v>45791</v>
      </c>
      <c r="K181" s="57">
        <v>45793</v>
      </c>
      <c r="L181" s="56" t="s">
        <v>332</v>
      </c>
      <c r="M181" s="60">
        <v>256779420173</v>
      </c>
      <c r="N181" s="56" t="s">
        <v>306</v>
      </c>
      <c r="O181" s="56" t="s">
        <v>307</v>
      </c>
      <c r="P181" s="56" t="s">
        <v>305</v>
      </c>
      <c r="Q181" s="56" t="s">
        <v>325</v>
      </c>
      <c r="R181" s="186" t="s">
        <v>333</v>
      </c>
      <c r="S181" s="164">
        <v>-26.26</v>
      </c>
      <c r="T181" s="187" t="s">
        <v>309</v>
      </c>
      <c r="U181" s="164">
        <v>-2276.5100000000002</v>
      </c>
      <c r="V181" s="56" t="s">
        <v>342</v>
      </c>
      <c r="W181" s="56" t="s">
        <v>310</v>
      </c>
      <c r="X181" s="56" t="s">
        <v>305</v>
      </c>
      <c r="Y181" s="56" t="s">
        <v>332</v>
      </c>
      <c r="Z181" s="56" t="s">
        <v>311</v>
      </c>
      <c r="AA181" s="56" t="s">
        <v>452</v>
      </c>
      <c r="AB181" s="56" t="s">
        <v>305</v>
      </c>
      <c r="AC181" s="56" t="s">
        <v>305</v>
      </c>
      <c r="AD181" s="56" t="s">
        <v>305</v>
      </c>
      <c r="AE181" s="57">
        <v>45791</v>
      </c>
      <c r="AF181" s="57">
        <v>45856</v>
      </c>
      <c r="AG181" s="58">
        <v>1400000319</v>
      </c>
      <c r="AH181" s="74" t="e" cm="1">
        <f t="array" ref="AH181">VLOOKUP(M181,'Customer data Vlookup'!$B$3:$H$127,{2,3},0)</f>
        <v>#N/A</v>
      </c>
      <c r="AI181" s="74"/>
      <c r="AJ181" s="74"/>
      <c r="AK181" s="43"/>
      <c r="AL181" s="43"/>
      <c r="AO181" t="e">
        <f>VLOOKUP(M181,'Customer data'!F:P,11,0)</f>
        <v>#N/A</v>
      </c>
    </row>
    <row r="182" spans="1:41" hidden="1">
      <c r="A182" s="56" t="s">
        <v>298</v>
      </c>
      <c r="B182" s="56" t="s">
        <v>299</v>
      </c>
      <c r="C182" s="56" t="s">
        <v>300</v>
      </c>
      <c r="D182" s="56" t="s">
        <v>301</v>
      </c>
      <c r="E182" s="56" t="s">
        <v>302</v>
      </c>
      <c r="F182" s="56" t="s">
        <v>303</v>
      </c>
      <c r="G182" s="57">
        <v>45791</v>
      </c>
      <c r="H182" s="58">
        <v>1600000477</v>
      </c>
      <c r="I182" s="56" t="s">
        <v>438</v>
      </c>
      <c r="J182" s="57">
        <v>45791</v>
      </c>
      <c r="K182" s="57">
        <v>45793</v>
      </c>
      <c r="L182" s="56" t="s">
        <v>332</v>
      </c>
      <c r="M182" s="60">
        <v>256779420186</v>
      </c>
      <c r="N182" s="56" t="s">
        <v>306</v>
      </c>
      <c r="O182" s="56" t="s">
        <v>307</v>
      </c>
      <c r="P182" s="56" t="s">
        <v>305</v>
      </c>
      <c r="Q182" s="56" t="s">
        <v>325</v>
      </c>
      <c r="R182" s="186" t="s">
        <v>333</v>
      </c>
      <c r="S182" s="164">
        <v>-26.23</v>
      </c>
      <c r="T182" s="187" t="s">
        <v>309</v>
      </c>
      <c r="U182" s="164">
        <v>-2273.91</v>
      </c>
      <c r="V182" s="56" t="s">
        <v>342</v>
      </c>
      <c r="W182" s="56" t="s">
        <v>310</v>
      </c>
      <c r="X182" s="56" t="s">
        <v>305</v>
      </c>
      <c r="Y182" s="56" t="s">
        <v>332</v>
      </c>
      <c r="Z182" s="56" t="s">
        <v>311</v>
      </c>
      <c r="AA182" s="56" t="s">
        <v>453</v>
      </c>
      <c r="AB182" s="56" t="s">
        <v>305</v>
      </c>
      <c r="AC182" s="56" t="s">
        <v>305</v>
      </c>
      <c r="AD182" s="56" t="s">
        <v>305</v>
      </c>
      <c r="AE182" s="57">
        <v>45791</v>
      </c>
      <c r="AF182" s="57">
        <v>45856</v>
      </c>
      <c r="AG182" s="58">
        <v>1400000320</v>
      </c>
      <c r="AH182" s="74" t="e" cm="1">
        <f t="array" ref="AH182">VLOOKUP(M182,'Customer data Vlookup'!$B$3:$H$127,{2,3},0)</f>
        <v>#N/A</v>
      </c>
      <c r="AI182" s="74"/>
      <c r="AJ182" s="74"/>
      <c r="AK182" s="43"/>
      <c r="AL182" s="43"/>
      <c r="AO182" t="e">
        <f>VLOOKUP(M182,'Customer data'!F:P,11,0)</f>
        <v>#N/A</v>
      </c>
    </row>
    <row r="183" spans="1:41" hidden="1">
      <c r="A183" s="56" t="s">
        <v>326</v>
      </c>
      <c r="B183" s="56" t="s">
        <v>299</v>
      </c>
      <c r="C183" s="56" t="s">
        <v>300</v>
      </c>
      <c r="D183" s="56" t="s">
        <v>301</v>
      </c>
      <c r="E183" s="56" t="s">
        <v>302</v>
      </c>
      <c r="F183" s="56" t="s">
        <v>334</v>
      </c>
      <c r="G183" s="57">
        <v>45791</v>
      </c>
      <c r="H183" s="58">
        <v>1600000478</v>
      </c>
      <c r="I183" s="56" t="s">
        <v>438</v>
      </c>
      <c r="J183" s="57">
        <v>45791</v>
      </c>
      <c r="K183" s="57">
        <v>45793</v>
      </c>
      <c r="L183" s="56" t="s">
        <v>332</v>
      </c>
      <c r="M183" s="60">
        <v>256779420187</v>
      </c>
      <c r="N183" s="56" t="s">
        <v>306</v>
      </c>
      <c r="O183" s="56" t="s">
        <v>307</v>
      </c>
      <c r="P183" s="56" t="s">
        <v>305</v>
      </c>
      <c r="Q183" s="56" t="s">
        <v>325</v>
      </c>
      <c r="R183" s="186" t="s">
        <v>333</v>
      </c>
      <c r="S183" s="164">
        <v>-52.46</v>
      </c>
      <c r="T183" s="187" t="s">
        <v>309</v>
      </c>
      <c r="U183" s="164">
        <v>-4547.82</v>
      </c>
      <c r="V183" s="56" t="s">
        <v>342</v>
      </c>
      <c r="W183" s="56" t="s">
        <v>310</v>
      </c>
      <c r="X183" s="56" t="s">
        <v>305</v>
      </c>
      <c r="Y183" s="56" t="s">
        <v>332</v>
      </c>
      <c r="Z183" s="56" t="s">
        <v>311</v>
      </c>
      <c r="AA183" s="56" t="s">
        <v>454</v>
      </c>
      <c r="AB183" s="56" t="s">
        <v>305</v>
      </c>
      <c r="AC183" s="56" t="s">
        <v>305</v>
      </c>
      <c r="AD183" s="56" t="s">
        <v>305</v>
      </c>
      <c r="AE183" s="57">
        <v>45791</v>
      </c>
      <c r="AF183" s="57">
        <v>45856</v>
      </c>
      <c r="AG183" s="58">
        <v>1400000321</v>
      </c>
      <c r="AH183" s="74" t="e" cm="1">
        <f t="array" ref="AH183">VLOOKUP(M183,'Customer data Vlookup'!$B$3:$H$127,{2,3},0)</f>
        <v>#N/A</v>
      </c>
      <c r="AI183" s="74"/>
      <c r="AJ183" s="74"/>
      <c r="AK183" s="43"/>
      <c r="AL183" s="43"/>
      <c r="AO183" t="e">
        <f>VLOOKUP(M183,'Customer data'!F:P,11,0)</f>
        <v>#N/A</v>
      </c>
    </row>
    <row r="184" spans="1:41" hidden="1">
      <c r="A184" s="56" t="s">
        <v>326</v>
      </c>
      <c r="B184" s="56" t="s">
        <v>299</v>
      </c>
      <c r="C184" s="56" t="s">
        <v>300</v>
      </c>
      <c r="D184" s="56" t="s">
        <v>301</v>
      </c>
      <c r="E184" s="56" t="s">
        <v>302</v>
      </c>
      <c r="F184" s="56" t="s">
        <v>334</v>
      </c>
      <c r="G184" s="57">
        <v>45791</v>
      </c>
      <c r="H184" s="58">
        <v>1600000479</v>
      </c>
      <c r="I184" s="56" t="s">
        <v>438</v>
      </c>
      <c r="J184" s="57">
        <v>45791</v>
      </c>
      <c r="K184" s="57">
        <v>45793</v>
      </c>
      <c r="L184" s="56" t="s">
        <v>332</v>
      </c>
      <c r="M184" s="60">
        <v>256779420188</v>
      </c>
      <c r="N184" s="56" t="s">
        <v>306</v>
      </c>
      <c r="O184" s="56" t="s">
        <v>307</v>
      </c>
      <c r="P184" s="56" t="s">
        <v>305</v>
      </c>
      <c r="Q184" s="56" t="s">
        <v>325</v>
      </c>
      <c r="R184" s="186" t="s">
        <v>333</v>
      </c>
      <c r="S184" s="164">
        <v>-26.23</v>
      </c>
      <c r="T184" s="187" t="s">
        <v>309</v>
      </c>
      <c r="U184" s="164">
        <v>-2273.91</v>
      </c>
      <c r="V184" s="56" t="s">
        <v>342</v>
      </c>
      <c r="W184" s="56" t="s">
        <v>310</v>
      </c>
      <c r="X184" s="56" t="s">
        <v>305</v>
      </c>
      <c r="Y184" s="56" t="s">
        <v>332</v>
      </c>
      <c r="Z184" s="56" t="s">
        <v>311</v>
      </c>
      <c r="AA184" s="56" t="s">
        <v>455</v>
      </c>
      <c r="AB184" s="56" t="s">
        <v>305</v>
      </c>
      <c r="AC184" s="56" t="s">
        <v>305</v>
      </c>
      <c r="AD184" s="56" t="s">
        <v>305</v>
      </c>
      <c r="AE184" s="57">
        <v>45791</v>
      </c>
      <c r="AF184" s="57">
        <v>45856</v>
      </c>
      <c r="AG184" s="58">
        <v>1400000322</v>
      </c>
      <c r="AH184" s="74" t="e" cm="1">
        <f t="array" ref="AH184">VLOOKUP(M184,'Customer data Vlookup'!$B$3:$H$127,{2,3},0)</f>
        <v>#N/A</v>
      </c>
      <c r="AI184" s="74"/>
      <c r="AJ184" s="74"/>
      <c r="AK184" s="43"/>
      <c r="AL184" s="43"/>
      <c r="AO184" t="e">
        <f>VLOOKUP(M184,'Customer data'!F:P,11,0)</f>
        <v>#N/A</v>
      </c>
    </row>
    <row r="185" spans="1:41" hidden="1">
      <c r="A185" s="56" t="s">
        <v>326</v>
      </c>
      <c r="B185" s="56" t="s">
        <v>299</v>
      </c>
      <c r="C185" s="56" t="s">
        <v>300</v>
      </c>
      <c r="D185" s="56" t="s">
        <v>301</v>
      </c>
      <c r="E185" s="56" t="s">
        <v>302</v>
      </c>
      <c r="F185" s="56" t="s">
        <v>334</v>
      </c>
      <c r="G185" s="57">
        <v>45791</v>
      </c>
      <c r="H185" s="58">
        <v>1600000480</v>
      </c>
      <c r="I185" s="56" t="s">
        <v>438</v>
      </c>
      <c r="J185" s="57">
        <v>45791</v>
      </c>
      <c r="K185" s="57">
        <v>45793</v>
      </c>
      <c r="L185" s="56" t="s">
        <v>332</v>
      </c>
      <c r="M185" s="60">
        <v>256779420189</v>
      </c>
      <c r="N185" s="56" t="s">
        <v>306</v>
      </c>
      <c r="O185" s="56" t="s">
        <v>307</v>
      </c>
      <c r="P185" s="56" t="s">
        <v>305</v>
      </c>
      <c r="Q185" s="56" t="s">
        <v>325</v>
      </c>
      <c r="R185" s="186" t="s">
        <v>333</v>
      </c>
      <c r="S185" s="164">
        <v>-26.23</v>
      </c>
      <c r="T185" s="187" t="s">
        <v>309</v>
      </c>
      <c r="U185" s="164">
        <v>-2273.91</v>
      </c>
      <c r="V185" s="56" t="s">
        <v>342</v>
      </c>
      <c r="W185" s="56" t="s">
        <v>310</v>
      </c>
      <c r="X185" s="56" t="s">
        <v>305</v>
      </c>
      <c r="Y185" s="56" t="s">
        <v>332</v>
      </c>
      <c r="Z185" s="56" t="s">
        <v>311</v>
      </c>
      <c r="AA185" s="56" t="s">
        <v>456</v>
      </c>
      <c r="AB185" s="56" t="s">
        <v>305</v>
      </c>
      <c r="AC185" s="56" t="s">
        <v>305</v>
      </c>
      <c r="AD185" s="56" t="s">
        <v>305</v>
      </c>
      <c r="AE185" s="57">
        <v>45791</v>
      </c>
      <c r="AF185" s="57">
        <v>45856</v>
      </c>
      <c r="AG185" s="58">
        <v>1400000323</v>
      </c>
      <c r="AH185" s="74" t="e" cm="1">
        <f t="array" ref="AH185">VLOOKUP(M185,'Customer data Vlookup'!$B$3:$H$127,{2,3},0)</f>
        <v>#N/A</v>
      </c>
      <c r="AI185" s="74"/>
      <c r="AJ185" s="74"/>
      <c r="AK185" s="43"/>
      <c r="AL185" s="43"/>
      <c r="AO185" t="e">
        <f>VLOOKUP(M185,'Customer data'!F:P,11,0)</f>
        <v>#N/A</v>
      </c>
    </row>
    <row r="186" spans="1:41" hidden="1">
      <c r="A186" s="56" t="s">
        <v>326</v>
      </c>
      <c r="B186" s="56" t="s">
        <v>299</v>
      </c>
      <c r="C186" s="56" t="s">
        <v>300</v>
      </c>
      <c r="D186" s="56" t="s">
        <v>301</v>
      </c>
      <c r="E186" s="56" t="s">
        <v>302</v>
      </c>
      <c r="F186" s="56" t="s">
        <v>334</v>
      </c>
      <c r="G186" s="57">
        <v>45791</v>
      </c>
      <c r="H186" s="58">
        <v>1600000513</v>
      </c>
      <c r="I186" s="56" t="s">
        <v>438</v>
      </c>
      <c r="J186" s="57">
        <v>45791</v>
      </c>
      <c r="K186" s="57">
        <v>45793</v>
      </c>
      <c r="L186" s="56" t="s">
        <v>332</v>
      </c>
      <c r="M186" s="60">
        <v>256779420222</v>
      </c>
      <c r="N186" s="56" t="s">
        <v>306</v>
      </c>
      <c r="O186" s="56" t="s">
        <v>307</v>
      </c>
      <c r="P186" s="56" t="s">
        <v>305</v>
      </c>
      <c r="Q186" s="56" t="s">
        <v>325</v>
      </c>
      <c r="R186" s="186" t="s">
        <v>333</v>
      </c>
      <c r="S186" s="164">
        <v>-26.23</v>
      </c>
      <c r="T186" s="187" t="s">
        <v>309</v>
      </c>
      <c r="U186" s="164">
        <v>-2273.91</v>
      </c>
      <c r="V186" s="56" t="s">
        <v>342</v>
      </c>
      <c r="W186" s="56" t="s">
        <v>310</v>
      </c>
      <c r="X186" s="56" t="s">
        <v>305</v>
      </c>
      <c r="Y186" s="56" t="s">
        <v>332</v>
      </c>
      <c r="Z186" s="56" t="s">
        <v>311</v>
      </c>
      <c r="AA186" s="56" t="s">
        <v>474</v>
      </c>
      <c r="AB186" s="56" t="s">
        <v>305</v>
      </c>
      <c r="AC186" s="56" t="s">
        <v>305</v>
      </c>
      <c r="AD186" s="56" t="s">
        <v>305</v>
      </c>
      <c r="AE186" s="57">
        <v>45791</v>
      </c>
      <c r="AF186" s="57">
        <v>45856</v>
      </c>
      <c r="AG186" s="58">
        <v>1400000324</v>
      </c>
      <c r="AH186" s="74" t="e" cm="1">
        <f t="array" ref="AH186">VLOOKUP(M186,'Customer data Vlookup'!$B$3:$H$127,{2,3},0)</f>
        <v>#N/A</v>
      </c>
      <c r="AI186" s="74"/>
      <c r="AJ186" s="74"/>
      <c r="AK186" s="43"/>
      <c r="AL186" s="43"/>
      <c r="AO186" t="e">
        <f>VLOOKUP(M186,'Customer data'!F:P,11,0)</f>
        <v>#N/A</v>
      </c>
    </row>
    <row r="187" spans="1:41" hidden="1">
      <c r="A187" s="56" t="s">
        <v>326</v>
      </c>
      <c r="B187" s="56" t="s">
        <v>299</v>
      </c>
      <c r="C187" s="56" t="s">
        <v>300</v>
      </c>
      <c r="D187" s="56" t="s">
        <v>301</v>
      </c>
      <c r="E187" s="56" t="s">
        <v>302</v>
      </c>
      <c r="F187" s="56" t="s">
        <v>334</v>
      </c>
      <c r="G187" s="57">
        <v>45791</v>
      </c>
      <c r="H187" s="58">
        <v>1600000514</v>
      </c>
      <c r="I187" s="56" t="s">
        <v>438</v>
      </c>
      <c r="J187" s="57">
        <v>45791</v>
      </c>
      <c r="K187" s="57">
        <v>45793</v>
      </c>
      <c r="L187" s="56" t="s">
        <v>332</v>
      </c>
      <c r="M187" s="60">
        <v>256779420223</v>
      </c>
      <c r="N187" s="56" t="s">
        <v>306</v>
      </c>
      <c r="O187" s="56" t="s">
        <v>307</v>
      </c>
      <c r="P187" s="56" t="s">
        <v>305</v>
      </c>
      <c r="Q187" s="56" t="s">
        <v>325</v>
      </c>
      <c r="R187" s="186" t="s">
        <v>333</v>
      </c>
      <c r="S187" s="164">
        <v>-52.46</v>
      </c>
      <c r="T187" s="187" t="s">
        <v>309</v>
      </c>
      <c r="U187" s="164">
        <v>-4547.82</v>
      </c>
      <c r="V187" s="56" t="s">
        <v>342</v>
      </c>
      <c r="W187" s="56" t="s">
        <v>310</v>
      </c>
      <c r="X187" s="56" t="s">
        <v>305</v>
      </c>
      <c r="Y187" s="56" t="s">
        <v>332</v>
      </c>
      <c r="Z187" s="56" t="s">
        <v>311</v>
      </c>
      <c r="AA187" s="56" t="s">
        <v>475</v>
      </c>
      <c r="AB187" s="56" t="s">
        <v>305</v>
      </c>
      <c r="AC187" s="56" t="s">
        <v>305</v>
      </c>
      <c r="AD187" s="56" t="s">
        <v>305</v>
      </c>
      <c r="AE187" s="57">
        <v>45791</v>
      </c>
      <c r="AF187" s="57">
        <v>45856</v>
      </c>
      <c r="AG187" s="58">
        <v>1400000325</v>
      </c>
      <c r="AH187" s="74" t="e" cm="1">
        <f t="array" ref="AH187">VLOOKUP(M187,'Customer data Vlookup'!$B$3:$H$127,{2,3},0)</f>
        <v>#N/A</v>
      </c>
      <c r="AI187" s="74"/>
      <c r="AJ187" s="74"/>
      <c r="AK187" s="43"/>
      <c r="AL187" s="43"/>
      <c r="AO187" t="e">
        <f>VLOOKUP(M187,'Customer data'!F:P,11,0)</f>
        <v>#N/A</v>
      </c>
    </row>
    <row r="188" spans="1:41" hidden="1">
      <c r="A188" s="56" t="s">
        <v>326</v>
      </c>
      <c r="B188" s="56" t="s">
        <v>299</v>
      </c>
      <c r="C188" s="56" t="s">
        <v>300</v>
      </c>
      <c r="D188" s="56" t="s">
        <v>301</v>
      </c>
      <c r="E188" s="56" t="s">
        <v>302</v>
      </c>
      <c r="F188" s="56" t="s">
        <v>334</v>
      </c>
      <c r="G188" s="57">
        <v>45791</v>
      </c>
      <c r="H188" s="58">
        <v>1600000515</v>
      </c>
      <c r="I188" s="56" t="s">
        <v>438</v>
      </c>
      <c r="J188" s="57">
        <v>45791</v>
      </c>
      <c r="K188" s="57">
        <v>45793</v>
      </c>
      <c r="L188" s="56" t="s">
        <v>332</v>
      </c>
      <c r="M188" s="60">
        <v>256779420224</v>
      </c>
      <c r="N188" s="56" t="s">
        <v>306</v>
      </c>
      <c r="O188" s="56" t="s">
        <v>307</v>
      </c>
      <c r="P188" s="56" t="s">
        <v>305</v>
      </c>
      <c r="Q188" s="56" t="s">
        <v>325</v>
      </c>
      <c r="R188" s="186" t="s">
        <v>333</v>
      </c>
      <c r="S188" s="164">
        <v>-26.23</v>
      </c>
      <c r="T188" s="187" t="s">
        <v>309</v>
      </c>
      <c r="U188" s="164">
        <v>-2273.91</v>
      </c>
      <c r="V188" s="56" t="s">
        <v>342</v>
      </c>
      <c r="W188" s="56" t="s">
        <v>310</v>
      </c>
      <c r="X188" s="56" t="s">
        <v>305</v>
      </c>
      <c r="Y188" s="56" t="s">
        <v>332</v>
      </c>
      <c r="Z188" s="56" t="s">
        <v>311</v>
      </c>
      <c r="AA188" s="56" t="s">
        <v>457</v>
      </c>
      <c r="AB188" s="56" t="s">
        <v>305</v>
      </c>
      <c r="AC188" s="56" t="s">
        <v>305</v>
      </c>
      <c r="AD188" s="56" t="s">
        <v>305</v>
      </c>
      <c r="AE188" s="57">
        <v>45791</v>
      </c>
      <c r="AF188" s="57">
        <v>45856</v>
      </c>
      <c r="AG188" s="58">
        <v>1400000327</v>
      </c>
      <c r="AH188" s="74" t="e" cm="1">
        <f t="array" ref="AH188">VLOOKUP(M188,'Customer data Vlookup'!$B$3:$H$127,{2,3},0)</f>
        <v>#N/A</v>
      </c>
      <c r="AI188" s="74"/>
      <c r="AJ188" s="74"/>
      <c r="AK188" s="43"/>
      <c r="AL188" s="43"/>
      <c r="AO188" t="e">
        <f>VLOOKUP(M188,'Customer data'!F:P,11,0)</f>
        <v>#N/A</v>
      </c>
    </row>
    <row r="189" spans="1:41" hidden="1">
      <c r="A189" s="56" t="s">
        <v>326</v>
      </c>
      <c r="B189" s="56" t="s">
        <v>299</v>
      </c>
      <c r="C189" s="56" t="s">
        <v>300</v>
      </c>
      <c r="D189" s="56" t="s">
        <v>301</v>
      </c>
      <c r="E189" s="56" t="s">
        <v>302</v>
      </c>
      <c r="F189" s="56" t="s">
        <v>334</v>
      </c>
      <c r="G189" s="57">
        <v>45791</v>
      </c>
      <c r="H189" s="58">
        <v>1600000516</v>
      </c>
      <c r="I189" s="56" t="s">
        <v>438</v>
      </c>
      <c r="J189" s="57">
        <v>45791</v>
      </c>
      <c r="K189" s="57">
        <v>45793</v>
      </c>
      <c r="L189" s="56" t="s">
        <v>332</v>
      </c>
      <c r="M189" s="60">
        <v>256779420225</v>
      </c>
      <c r="N189" s="56" t="s">
        <v>306</v>
      </c>
      <c r="O189" s="56" t="s">
        <v>307</v>
      </c>
      <c r="P189" s="56" t="s">
        <v>305</v>
      </c>
      <c r="Q189" s="56" t="s">
        <v>325</v>
      </c>
      <c r="R189" s="186" t="s">
        <v>333</v>
      </c>
      <c r="S189" s="164">
        <v>-26.23</v>
      </c>
      <c r="T189" s="187" t="s">
        <v>309</v>
      </c>
      <c r="U189" s="164">
        <v>-2273.91</v>
      </c>
      <c r="V189" s="56" t="s">
        <v>342</v>
      </c>
      <c r="W189" s="56" t="s">
        <v>310</v>
      </c>
      <c r="X189" s="56" t="s">
        <v>305</v>
      </c>
      <c r="Y189" s="56" t="s">
        <v>332</v>
      </c>
      <c r="Z189" s="56" t="s">
        <v>311</v>
      </c>
      <c r="AA189" s="56" t="s">
        <v>476</v>
      </c>
      <c r="AB189" s="56" t="s">
        <v>305</v>
      </c>
      <c r="AC189" s="56" t="s">
        <v>305</v>
      </c>
      <c r="AD189" s="56" t="s">
        <v>305</v>
      </c>
      <c r="AE189" s="57">
        <v>45791</v>
      </c>
      <c r="AF189" s="57">
        <v>45856</v>
      </c>
      <c r="AG189" s="58">
        <v>1400000328</v>
      </c>
      <c r="AH189" s="74" t="e" cm="1">
        <f t="array" ref="AH189">VLOOKUP(M189,'Customer data Vlookup'!$B$3:$H$127,{2,3},0)</f>
        <v>#N/A</v>
      </c>
      <c r="AI189" s="74"/>
      <c r="AJ189" s="74"/>
      <c r="AK189" s="43"/>
      <c r="AL189" s="43"/>
      <c r="AO189" t="e">
        <f>VLOOKUP(M189,'Customer data'!F:P,11,0)</f>
        <v>#N/A</v>
      </c>
    </row>
    <row r="190" spans="1:41" hidden="1">
      <c r="A190" s="56" t="s">
        <v>326</v>
      </c>
      <c r="B190" s="56" t="s">
        <v>299</v>
      </c>
      <c r="C190" s="56" t="s">
        <v>300</v>
      </c>
      <c r="D190" s="56" t="s">
        <v>301</v>
      </c>
      <c r="E190" s="56" t="s">
        <v>302</v>
      </c>
      <c r="F190" s="56" t="s">
        <v>334</v>
      </c>
      <c r="G190" s="57">
        <v>45791</v>
      </c>
      <c r="H190" s="58">
        <v>1600000649</v>
      </c>
      <c r="I190" s="56" t="s">
        <v>438</v>
      </c>
      <c r="J190" s="57">
        <v>45791</v>
      </c>
      <c r="K190" s="57">
        <v>45793</v>
      </c>
      <c r="L190" s="56" t="s">
        <v>332</v>
      </c>
      <c r="M190" s="60">
        <v>256779420358</v>
      </c>
      <c r="N190" s="56" t="s">
        <v>306</v>
      </c>
      <c r="O190" s="56" t="s">
        <v>307</v>
      </c>
      <c r="P190" s="56" t="s">
        <v>305</v>
      </c>
      <c r="Q190" s="56" t="s">
        <v>325</v>
      </c>
      <c r="R190" s="186" t="s">
        <v>333</v>
      </c>
      <c r="S190" s="164">
        <v>-26.23</v>
      </c>
      <c r="T190" s="187" t="s">
        <v>309</v>
      </c>
      <c r="U190" s="164">
        <v>-2273.91</v>
      </c>
      <c r="V190" s="56" t="s">
        <v>342</v>
      </c>
      <c r="W190" s="56" t="s">
        <v>310</v>
      </c>
      <c r="X190" s="56" t="s">
        <v>305</v>
      </c>
      <c r="Y190" s="56" t="s">
        <v>332</v>
      </c>
      <c r="Z190" s="56" t="s">
        <v>311</v>
      </c>
      <c r="AA190" s="56" t="s">
        <v>458</v>
      </c>
      <c r="AB190" s="56" t="s">
        <v>305</v>
      </c>
      <c r="AC190" s="56" t="s">
        <v>305</v>
      </c>
      <c r="AD190" s="56" t="s">
        <v>305</v>
      </c>
      <c r="AE190" s="57">
        <v>45791</v>
      </c>
      <c r="AF190" s="57">
        <v>45856</v>
      </c>
      <c r="AG190" s="58">
        <v>1400000329</v>
      </c>
      <c r="AH190" s="74" t="e" cm="1">
        <f t="array" ref="AH190">VLOOKUP(M190,'Customer data Vlookup'!$B$3:$H$127,{2,3},0)</f>
        <v>#N/A</v>
      </c>
      <c r="AI190" s="74"/>
      <c r="AJ190" s="74"/>
      <c r="AK190" s="43"/>
      <c r="AL190" s="43"/>
      <c r="AO190" t="e">
        <f>VLOOKUP(M190,'Customer data'!F:P,11,0)</f>
        <v>#N/A</v>
      </c>
    </row>
    <row r="191" spans="1:41" hidden="1">
      <c r="A191" s="56" t="s">
        <v>298</v>
      </c>
      <c r="B191" s="56" t="s">
        <v>299</v>
      </c>
      <c r="C191" s="56" t="s">
        <v>300</v>
      </c>
      <c r="D191" s="56" t="s">
        <v>301</v>
      </c>
      <c r="E191" s="56" t="s">
        <v>302</v>
      </c>
      <c r="F191" s="56" t="s">
        <v>334</v>
      </c>
      <c r="G191" s="57">
        <v>45791</v>
      </c>
      <c r="H191" s="58">
        <v>1600000650</v>
      </c>
      <c r="I191" s="56" t="s">
        <v>438</v>
      </c>
      <c r="J191" s="57">
        <v>45791</v>
      </c>
      <c r="K191" s="57">
        <v>45793</v>
      </c>
      <c r="L191" s="56" t="s">
        <v>332</v>
      </c>
      <c r="M191" s="60">
        <v>256779420359</v>
      </c>
      <c r="N191" s="56" t="s">
        <v>306</v>
      </c>
      <c r="O191" s="56" t="s">
        <v>307</v>
      </c>
      <c r="P191" s="56" t="s">
        <v>305</v>
      </c>
      <c r="Q191" s="56" t="s">
        <v>325</v>
      </c>
      <c r="R191" s="186" t="s">
        <v>333</v>
      </c>
      <c r="S191" s="164">
        <v>-52.46</v>
      </c>
      <c r="T191" s="187" t="s">
        <v>309</v>
      </c>
      <c r="U191" s="164">
        <v>-4547.82</v>
      </c>
      <c r="V191" s="56" t="s">
        <v>342</v>
      </c>
      <c r="W191" s="56" t="s">
        <v>310</v>
      </c>
      <c r="X191" s="56" t="s">
        <v>305</v>
      </c>
      <c r="Y191" s="56" t="s">
        <v>332</v>
      </c>
      <c r="Z191" s="56" t="s">
        <v>311</v>
      </c>
      <c r="AA191" s="56" t="s">
        <v>477</v>
      </c>
      <c r="AB191" s="56" t="s">
        <v>305</v>
      </c>
      <c r="AC191" s="56" t="s">
        <v>305</v>
      </c>
      <c r="AD191" s="56" t="s">
        <v>305</v>
      </c>
      <c r="AE191" s="57">
        <v>45791</v>
      </c>
      <c r="AF191" s="57">
        <v>45856</v>
      </c>
      <c r="AG191" s="58">
        <v>1400000330</v>
      </c>
      <c r="AH191" s="74" t="e" cm="1">
        <f t="array" ref="AH191">VLOOKUP(M191,'Customer data Vlookup'!$B$3:$H$127,{2,3},0)</f>
        <v>#N/A</v>
      </c>
      <c r="AI191" s="74"/>
      <c r="AJ191" s="74"/>
      <c r="AK191" s="43"/>
      <c r="AL191" s="43"/>
      <c r="AO191" t="e">
        <f>VLOOKUP(M191,'Customer data'!F:P,11,0)</f>
        <v>#N/A</v>
      </c>
    </row>
    <row r="192" spans="1:41" hidden="1">
      <c r="A192" s="56" t="s">
        <v>298</v>
      </c>
      <c r="B192" s="56" t="s">
        <v>299</v>
      </c>
      <c r="C192" s="56" t="s">
        <v>300</v>
      </c>
      <c r="D192" s="56" t="s">
        <v>301</v>
      </c>
      <c r="E192" s="56" t="s">
        <v>302</v>
      </c>
      <c r="F192" s="56" t="s">
        <v>325</v>
      </c>
      <c r="G192" s="57">
        <v>45791</v>
      </c>
      <c r="H192" s="58">
        <v>1600000651</v>
      </c>
      <c r="I192" s="56" t="s">
        <v>438</v>
      </c>
      <c r="J192" s="57">
        <v>45791</v>
      </c>
      <c r="K192" s="57">
        <v>45793</v>
      </c>
      <c r="L192" s="56" t="s">
        <v>332</v>
      </c>
      <c r="M192" s="60">
        <v>256779420360</v>
      </c>
      <c r="N192" s="56" t="s">
        <v>306</v>
      </c>
      <c r="O192" s="56" t="s">
        <v>307</v>
      </c>
      <c r="P192" s="56" t="s">
        <v>305</v>
      </c>
      <c r="Q192" s="56" t="s">
        <v>325</v>
      </c>
      <c r="R192" s="186" t="s">
        <v>333</v>
      </c>
      <c r="S192" s="164">
        <v>-26.23</v>
      </c>
      <c r="T192" s="187" t="s">
        <v>309</v>
      </c>
      <c r="U192" s="164">
        <v>-2273.91</v>
      </c>
      <c r="V192" s="56" t="s">
        <v>342</v>
      </c>
      <c r="W192" s="56" t="s">
        <v>310</v>
      </c>
      <c r="X192" s="56" t="s">
        <v>305</v>
      </c>
      <c r="Y192" s="56" t="s">
        <v>332</v>
      </c>
      <c r="Z192" s="56" t="s">
        <v>311</v>
      </c>
      <c r="AA192" s="56" t="s">
        <v>459</v>
      </c>
      <c r="AB192" s="56" t="s">
        <v>305</v>
      </c>
      <c r="AC192" s="56" t="s">
        <v>305</v>
      </c>
      <c r="AD192" s="56" t="s">
        <v>305</v>
      </c>
      <c r="AE192" s="57">
        <v>45791</v>
      </c>
      <c r="AF192" s="57">
        <v>45856</v>
      </c>
      <c r="AG192" s="58">
        <v>1400000331</v>
      </c>
      <c r="AH192" s="74" t="e" cm="1">
        <f t="array" ref="AH192">VLOOKUP(M192,'Customer data Vlookup'!$B$3:$H$127,{2,3},0)</f>
        <v>#N/A</v>
      </c>
      <c r="AI192" s="74"/>
      <c r="AJ192" s="74"/>
      <c r="AK192" s="43"/>
      <c r="AL192" s="43"/>
      <c r="AO192" t="e">
        <f>VLOOKUP(M192,'Customer data'!F:P,11,0)</f>
        <v>#N/A</v>
      </c>
    </row>
    <row r="193" spans="1:41" hidden="1">
      <c r="A193" s="56" t="s">
        <v>298</v>
      </c>
      <c r="B193" s="56" t="s">
        <v>299</v>
      </c>
      <c r="C193" s="56" t="s">
        <v>300</v>
      </c>
      <c r="D193" s="56" t="s">
        <v>301</v>
      </c>
      <c r="E193" s="56" t="s">
        <v>302</v>
      </c>
      <c r="F193" s="56" t="s">
        <v>325</v>
      </c>
      <c r="G193" s="57">
        <v>45791</v>
      </c>
      <c r="H193" s="58">
        <v>1600000652</v>
      </c>
      <c r="I193" s="56" t="s">
        <v>438</v>
      </c>
      <c r="J193" s="57">
        <v>45791</v>
      </c>
      <c r="K193" s="57">
        <v>45793</v>
      </c>
      <c r="L193" s="56" t="s">
        <v>332</v>
      </c>
      <c r="M193" s="60">
        <v>256779420361</v>
      </c>
      <c r="N193" s="56" t="s">
        <v>306</v>
      </c>
      <c r="O193" s="56" t="s">
        <v>307</v>
      </c>
      <c r="P193" s="56" t="s">
        <v>305</v>
      </c>
      <c r="Q193" s="56" t="s">
        <v>325</v>
      </c>
      <c r="R193" s="186" t="s">
        <v>333</v>
      </c>
      <c r="S193" s="164">
        <v>-26.23</v>
      </c>
      <c r="T193" s="187" t="s">
        <v>309</v>
      </c>
      <c r="U193" s="164">
        <v>-2273.91</v>
      </c>
      <c r="V193" s="56" t="s">
        <v>342</v>
      </c>
      <c r="W193" s="56" t="s">
        <v>310</v>
      </c>
      <c r="X193" s="56" t="s">
        <v>305</v>
      </c>
      <c r="Y193" s="56" t="s">
        <v>332</v>
      </c>
      <c r="Z193" s="56" t="s">
        <v>311</v>
      </c>
      <c r="AA193" s="56" t="s">
        <v>478</v>
      </c>
      <c r="AB193" s="56" t="s">
        <v>305</v>
      </c>
      <c r="AC193" s="56" t="s">
        <v>305</v>
      </c>
      <c r="AD193" s="56" t="s">
        <v>305</v>
      </c>
      <c r="AE193" s="57">
        <v>45791</v>
      </c>
      <c r="AF193" s="57">
        <v>45856</v>
      </c>
      <c r="AG193" s="58">
        <v>1400000332</v>
      </c>
      <c r="AH193" s="74" t="e" cm="1">
        <f t="array" ref="AH193">VLOOKUP(M193,'Customer data Vlookup'!$B$3:$H$127,{2,3},0)</f>
        <v>#N/A</v>
      </c>
      <c r="AI193" s="74"/>
      <c r="AJ193" s="74"/>
      <c r="AK193" s="43"/>
      <c r="AL193" s="43"/>
      <c r="AO193" t="e">
        <f>VLOOKUP(M193,'Customer data'!F:P,11,0)</f>
        <v>#N/A</v>
      </c>
    </row>
    <row r="194" spans="1:41" hidden="1">
      <c r="A194" s="56" t="s">
        <v>298</v>
      </c>
      <c r="B194" s="56" t="s">
        <v>299</v>
      </c>
      <c r="C194" s="56" t="s">
        <v>300</v>
      </c>
      <c r="D194" s="56" t="s">
        <v>301</v>
      </c>
      <c r="E194" s="56" t="s">
        <v>302</v>
      </c>
      <c r="F194" s="56" t="s">
        <v>325</v>
      </c>
      <c r="G194" s="57">
        <v>45791</v>
      </c>
      <c r="H194" s="58">
        <v>1600000695</v>
      </c>
      <c r="I194" s="56" t="s">
        <v>438</v>
      </c>
      <c r="J194" s="57">
        <v>45791</v>
      </c>
      <c r="K194" s="57">
        <v>45793</v>
      </c>
      <c r="L194" s="56" t="s">
        <v>332</v>
      </c>
      <c r="M194" s="60">
        <v>256779420404</v>
      </c>
      <c r="N194" s="56" t="s">
        <v>306</v>
      </c>
      <c r="O194" s="56" t="s">
        <v>307</v>
      </c>
      <c r="P194" s="56" t="s">
        <v>305</v>
      </c>
      <c r="Q194" s="56" t="s">
        <v>325</v>
      </c>
      <c r="R194" s="186" t="s">
        <v>333</v>
      </c>
      <c r="S194" s="164">
        <v>-345.6</v>
      </c>
      <c r="T194" s="187" t="s">
        <v>309</v>
      </c>
      <c r="U194" s="164">
        <v>-29960.5</v>
      </c>
      <c r="V194" s="56" t="s">
        <v>342</v>
      </c>
      <c r="W194" s="56" t="s">
        <v>310</v>
      </c>
      <c r="X194" s="56" t="s">
        <v>305</v>
      </c>
      <c r="Y194" s="56" t="s">
        <v>332</v>
      </c>
      <c r="Z194" s="56" t="s">
        <v>311</v>
      </c>
      <c r="AA194" s="56" t="s">
        <v>479</v>
      </c>
      <c r="AB194" s="56" t="s">
        <v>305</v>
      </c>
      <c r="AC194" s="56" t="s">
        <v>305</v>
      </c>
      <c r="AD194" s="56" t="s">
        <v>305</v>
      </c>
      <c r="AE194" s="57">
        <v>45791</v>
      </c>
      <c r="AF194" s="57">
        <v>45856</v>
      </c>
      <c r="AG194" s="58">
        <v>1400000333</v>
      </c>
      <c r="AH194" s="74" t="e" cm="1">
        <f t="array" ref="AH194">VLOOKUP(M194,'Customer data Vlookup'!$B$3:$H$127,{2,3},0)</f>
        <v>#N/A</v>
      </c>
      <c r="AI194" s="74"/>
      <c r="AJ194" s="74"/>
      <c r="AK194" s="43"/>
      <c r="AL194" s="43"/>
      <c r="AO194" t="e">
        <f>VLOOKUP(M194,'Customer data'!F:P,11,0)</f>
        <v>#N/A</v>
      </c>
    </row>
    <row r="195" spans="1:41" hidden="1">
      <c r="A195" s="56" t="s">
        <v>326</v>
      </c>
      <c r="B195" s="56" t="s">
        <v>299</v>
      </c>
      <c r="C195" s="56" t="s">
        <v>300</v>
      </c>
      <c r="D195" s="56" t="s">
        <v>301</v>
      </c>
      <c r="E195" s="56" t="s">
        <v>302</v>
      </c>
      <c r="F195" s="56" t="s">
        <v>330</v>
      </c>
      <c r="G195" s="57">
        <v>45791</v>
      </c>
      <c r="H195" s="58">
        <v>1600000696</v>
      </c>
      <c r="I195" s="56" t="s">
        <v>438</v>
      </c>
      <c r="J195" s="57">
        <v>45791</v>
      </c>
      <c r="K195" s="57">
        <v>45793</v>
      </c>
      <c r="L195" s="56" t="s">
        <v>332</v>
      </c>
      <c r="M195" s="60">
        <v>256779420405</v>
      </c>
      <c r="N195" s="56" t="s">
        <v>306</v>
      </c>
      <c r="O195" s="56" t="s">
        <v>307</v>
      </c>
      <c r="P195" s="56" t="s">
        <v>305</v>
      </c>
      <c r="Q195" s="56" t="s">
        <v>325</v>
      </c>
      <c r="R195" s="186" t="s">
        <v>333</v>
      </c>
      <c r="S195" s="164">
        <v>-755.81</v>
      </c>
      <c r="T195" s="187" t="s">
        <v>309</v>
      </c>
      <c r="U195" s="164">
        <v>-65522.12</v>
      </c>
      <c r="V195" s="56" t="s">
        <v>342</v>
      </c>
      <c r="W195" s="56" t="s">
        <v>310</v>
      </c>
      <c r="X195" s="56" t="s">
        <v>305</v>
      </c>
      <c r="Y195" s="56" t="s">
        <v>332</v>
      </c>
      <c r="Z195" s="56" t="s">
        <v>311</v>
      </c>
      <c r="AA195" s="56" t="s">
        <v>480</v>
      </c>
      <c r="AB195" s="56" t="s">
        <v>305</v>
      </c>
      <c r="AC195" s="56" t="s">
        <v>305</v>
      </c>
      <c r="AD195" s="56" t="s">
        <v>305</v>
      </c>
      <c r="AE195" s="57">
        <v>45791</v>
      </c>
      <c r="AF195" s="57">
        <v>45856</v>
      </c>
      <c r="AG195" s="58">
        <v>1400000334</v>
      </c>
      <c r="AH195" s="74" t="e" cm="1">
        <f t="array" ref="AH195">VLOOKUP(M195,'Customer data Vlookup'!$B$3:$H$127,{2,3},0)</f>
        <v>#N/A</v>
      </c>
      <c r="AI195" s="74"/>
      <c r="AJ195" s="74"/>
      <c r="AK195" s="43"/>
      <c r="AL195" s="43"/>
      <c r="AO195" t="e">
        <f>VLOOKUP(M195,'Customer data'!F:P,11,0)</f>
        <v>#N/A</v>
      </c>
    </row>
    <row r="196" spans="1:41" hidden="1">
      <c r="A196" s="56" t="s">
        <v>298</v>
      </c>
      <c r="B196" s="56" t="s">
        <v>299</v>
      </c>
      <c r="C196" s="56" t="s">
        <v>300</v>
      </c>
      <c r="D196" s="56" t="s">
        <v>301</v>
      </c>
      <c r="E196" s="56" t="s">
        <v>302</v>
      </c>
      <c r="F196" s="56" t="s">
        <v>330</v>
      </c>
      <c r="G196" s="57">
        <v>45791</v>
      </c>
      <c r="H196" s="58">
        <v>1600000697</v>
      </c>
      <c r="I196" s="56" t="s">
        <v>438</v>
      </c>
      <c r="J196" s="57">
        <v>45791</v>
      </c>
      <c r="K196" s="57">
        <v>45793</v>
      </c>
      <c r="L196" s="56" t="s">
        <v>332</v>
      </c>
      <c r="M196" s="60">
        <v>256779420406</v>
      </c>
      <c r="N196" s="56" t="s">
        <v>306</v>
      </c>
      <c r="O196" s="56" t="s">
        <v>307</v>
      </c>
      <c r="P196" s="56" t="s">
        <v>305</v>
      </c>
      <c r="Q196" s="56" t="s">
        <v>325</v>
      </c>
      <c r="R196" s="186" t="s">
        <v>333</v>
      </c>
      <c r="S196" s="164">
        <v>-211.2</v>
      </c>
      <c r="T196" s="187" t="s">
        <v>309</v>
      </c>
      <c r="U196" s="164">
        <v>-18309.189999999999</v>
      </c>
      <c r="V196" s="56" t="s">
        <v>342</v>
      </c>
      <c r="W196" s="56" t="s">
        <v>310</v>
      </c>
      <c r="X196" s="56" t="s">
        <v>305</v>
      </c>
      <c r="Y196" s="56" t="s">
        <v>332</v>
      </c>
      <c r="Z196" s="56" t="s">
        <v>311</v>
      </c>
      <c r="AA196" s="56" t="s">
        <v>481</v>
      </c>
      <c r="AB196" s="56" t="s">
        <v>305</v>
      </c>
      <c r="AC196" s="56" t="s">
        <v>305</v>
      </c>
      <c r="AD196" s="56" t="s">
        <v>305</v>
      </c>
      <c r="AE196" s="57">
        <v>45791</v>
      </c>
      <c r="AF196" s="57">
        <v>45856</v>
      </c>
      <c r="AG196" s="58">
        <v>1400000335</v>
      </c>
      <c r="AH196" s="74" t="e" cm="1">
        <f t="array" ref="AH196">VLOOKUP(M196,'Customer data Vlookup'!$B$3:$H$127,{2,3},0)</f>
        <v>#N/A</v>
      </c>
      <c r="AI196" s="74"/>
      <c r="AJ196" s="74"/>
      <c r="AK196" s="43"/>
      <c r="AL196" s="43"/>
      <c r="AO196" t="e">
        <f>VLOOKUP(M196,'Customer data'!F:P,11,0)</f>
        <v>#N/A</v>
      </c>
    </row>
    <row r="197" spans="1:41" hidden="1">
      <c r="A197" s="56" t="s">
        <v>298</v>
      </c>
      <c r="B197" s="56" t="s">
        <v>299</v>
      </c>
      <c r="C197" s="56" t="s">
        <v>300</v>
      </c>
      <c r="D197" s="56" t="s">
        <v>301</v>
      </c>
      <c r="E197" s="56" t="s">
        <v>302</v>
      </c>
      <c r="F197" s="56" t="s">
        <v>330</v>
      </c>
      <c r="G197" s="57">
        <v>45791</v>
      </c>
      <c r="H197" s="58">
        <v>1600000727</v>
      </c>
      <c r="I197" s="56" t="s">
        <v>438</v>
      </c>
      <c r="J197" s="57">
        <v>45791</v>
      </c>
      <c r="K197" s="57">
        <v>45793</v>
      </c>
      <c r="L197" s="56" t="s">
        <v>332</v>
      </c>
      <c r="M197" s="60">
        <v>256779420436</v>
      </c>
      <c r="N197" s="56" t="s">
        <v>306</v>
      </c>
      <c r="O197" s="56" t="s">
        <v>307</v>
      </c>
      <c r="P197" s="56" t="s">
        <v>305</v>
      </c>
      <c r="Q197" s="56" t="s">
        <v>325</v>
      </c>
      <c r="R197" s="186" t="s">
        <v>333</v>
      </c>
      <c r="S197" s="164">
        <v>-188.95</v>
      </c>
      <c r="T197" s="187" t="s">
        <v>309</v>
      </c>
      <c r="U197" s="164">
        <v>-16423.88</v>
      </c>
      <c r="V197" s="56" t="s">
        <v>342</v>
      </c>
      <c r="W197" s="56" t="s">
        <v>310</v>
      </c>
      <c r="X197" s="56" t="s">
        <v>305</v>
      </c>
      <c r="Y197" s="56" t="s">
        <v>332</v>
      </c>
      <c r="Z197" s="56" t="s">
        <v>311</v>
      </c>
      <c r="AA197" s="56" t="s">
        <v>482</v>
      </c>
      <c r="AB197" s="56" t="s">
        <v>305</v>
      </c>
      <c r="AC197" s="56" t="s">
        <v>305</v>
      </c>
      <c r="AD197" s="56" t="s">
        <v>305</v>
      </c>
      <c r="AE197" s="57">
        <v>45791</v>
      </c>
      <c r="AF197" s="57">
        <v>45856</v>
      </c>
      <c r="AG197" s="58">
        <v>1400000336</v>
      </c>
      <c r="AH197" s="74" t="e" cm="1">
        <f t="array" ref="AH197">VLOOKUP(M197,'Customer data Vlookup'!$B$3:$H$127,{2,3},0)</f>
        <v>#N/A</v>
      </c>
      <c r="AI197" s="74"/>
      <c r="AJ197" s="74"/>
      <c r="AK197" s="43"/>
      <c r="AL197" s="43"/>
      <c r="AO197" t="e">
        <f>VLOOKUP(M197,'Customer data'!F:P,11,0)</f>
        <v>#N/A</v>
      </c>
    </row>
    <row r="198" spans="1:41" hidden="1">
      <c r="A198" s="56" t="s">
        <v>298</v>
      </c>
      <c r="B198" s="56" t="s">
        <v>299</v>
      </c>
      <c r="C198" s="56" t="s">
        <v>300</v>
      </c>
      <c r="D198" s="56" t="s">
        <v>301</v>
      </c>
      <c r="E198" s="56" t="s">
        <v>302</v>
      </c>
      <c r="F198" s="56" t="s">
        <v>330</v>
      </c>
      <c r="G198" s="57">
        <v>45791</v>
      </c>
      <c r="H198" s="58">
        <v>1600000728</v>
      </c>
      <c r="I198" s="56" t="s">
        <v>438</v>
      </c>
      <c r="J198" s="57">
        <v>45791</v>
      </c>
      <c r="K198" s="57">
        <v>45793</v>
      </c>
      <c r="L198" s="56" t="s">
        <v>332</v>
      </c>
      <c r="M198" s="60">
        <v>256779420437</v>
      </c>
      <c r="N198" s="56" t="s">
        <v>306</v>
      </c>
      <c r="O198" s="56" t="s">
        <v>307</v>
      </c>
      <c r="P198" s="56" t="s">
        <v>305</v>
      </c>
      <c r="Q198" s="56" t="s">
        <v>325</v>
      </c>
      <c r="R198" s="186" t="s">
        <v>333</v>
      </c>
      <c r="S198" s="164">
        <v>-52.8</v>
      </c>
      <c r="T198" s="187" t="s">
        <v>309</v>
      </c>
      <c r="U198" s="164">
        <v>-4589.47</v>
      </c>
      <c r="V198" s="56" t="s">
        <v>342</v>
      </c>
      <c r="W198" s="56" t="s">
        <v>310</v>
      </c>
      <c r="X198" s="56" t="s">
        <v>305</v>
      </c>
      <c r="Y198" s="56" t="s">
        <v>332</v>
      </c>
      <c r="Z198" s="56" t="s">
        <v>311</v>
      </c>
      <c r="AA198" s="56" t="s">
        <v>483</v>
      </c>
      <c r="AB198" s="56" t="s">
        <v>305</v>
      </c>
      <c r="AC198" s="56" t="s">
        <v>305</v>
      </c>
      <c r="AD198" s="56" t="s">
        <v>305</v>
      </c>
      <c r="AE198" s="57">
        <v>45791</v>
      </c>
      <c r="AF198" s="57">
        <v>45856</v>
      </c>
      <c r="AG198" s="58">
        <v>1400000337</v>
      </c>
      <c r="AH198" s="74" t="e" cm="1">
        <f t="array" ref="AH198">VLOOKUP(M198,'Customer data Vlookup'!$B$3:$H$127,{2,3},0)</f>
        <v>#N/A</v>
      </c>
      <c r="AI198" s="74"/>
      <c r="AJ198" s="74"/>
      <c r="AK198" s="43"/>
      <c r="AL198" s="43"/>
      <c r="AO198" t="e">
        <f>VLOOKUP(M198,'Customer data'!F:P,11,0)</f>
        <v>#N/A</v>
      </c>
    </row>
    <row r="199" spans="1:41" hidden="1">
      <c r="A199" s="56" t="s">
        <v>298</v>
      </c>
      <c r="B199" s="56" t="s">
        <v>299</v>
      </c>
      <c r="C199" s="56" t="s">
        <v>300</v>
      </c>
      <c r="D199" s="56" t="s">
        <v>301</v>
      </c>
      <c r="E199" s="56" t="s">
        <v>302</v>
      </c>
      <c r="F199" s="56" t="s">
        <v>330</v>
      </c>
      <c r="G199" s="57">
        <v>45791</v>
      </c>
      <c r="H199" s="58">
        <v>1600000729</v>
      </c>
      <c r="I199" s="56" t="s">
        <v>438</v>
      </c>
      <c r="J199" s="57">
        <v>45791</v>
      </c>
      <c r="K199" s="57">
        <v>45793</v>
      </c>
      <c r="L199" s="56" t="s">
        <v>332</v>
      </c>
      <c r="M199" s="60">
        <v>256779420438</v>
      </c>
      <c r="N199" s="56" t="s">
        <v>306</v>
      </c>
      <c r="O199" s="56" t="s">
        <v>307</v>
      </c>
      <c r="P199" s="56" t="s">
        <v>305</v>
      </c>
      <c r="Q199" s="56" t="s">
        <v>325</v>
      </c>
      <c r="R199" s="186" t="s">
        <v>333</v>
      </c>
      <c r="S199" s="164">
        <v>-86.4</v>
      </c>
      <c r="T199" s="187" t="s">
        <v>309</v>
      </c>
      <c r="U199" s="164">
        <v>-7510.05</v>
      </c>
      <c r="V199" s="56" t="s">
        <v>342</v>
      </c>
      <c r="W199" s="56" t="s">
        <v>310</v>
      </c>
      <c r="X199" s="56" t="s">
        <v>305</v>
      </c>
      <c r="Y199" s="56" t="s">
        <v>332</v>
      </c>
      <c r="Z199" s="56" t="s">
        <v>311</v>
      </c>
      <c r="AA199" s="56" t="s">
        <v>484</v>
      </c>
      <c r="AB199" s="56" t="s">
        <v>305</v>
      </c>
      <c r="AC199" s="56" t="s">
        <v>305</v>
      </c>
      <c r="AD199" s="56" t="s">
        <v>305</v>
      </c>
      <c r="AE199" s="57">
        <v>45791</v>
      </c>
      <c r="AF199" s="57">
        <v>45856</v>
      </c>
      <c r="AG199" s="58">
        <v>1400000338</v>
      </c>
      <c r="AH199" s="74" t="e" cm="1">
        <f t="array" ref="AH199">VLOOKUP(M199,'Customer data Vlookup'!$B$3:$H$127,{2,3},0)</f>
        <v>#N/A</v>
      </c>
      <c r="AI199" s="74"/>
      <c r="AJ199" s="74"/>
      <c r="AK199" s="43"/>
      <c r="AL199" s="43"/>
      <c r="AO199" t="e">
        <f>VLOOKUP(M199,'Customer data'!F:P,11,0)</f>
        <v>#N/A</v>
      </c>
    </row>
    <row r="200" spans="1:41" hidden="1">
      <c r="A200" s="56" t="s">
        <v>298</v>
      </c>
      <c r="B200" s="56" t="s">
        <v>299</v>
      </c>
      <c r="C200" s="56" t="s">
        <v>300</v>
      </c>
      <c r="D200" s="56" t="s">
        <v>301</v>
      </c>
      <c r="E200" s="56" t="s">
        <v>302</v>
      </c>
      <c r="F200" s="56" t="s">
        <v>330</v>
      </c>
      <c r="G200" s="57">
        <v>45791</v>
      </c>
      <c r="H200" s="58">
        <v>1600000745</v>
      </c>
      <c r="I200" s="56" t="s">
        <v>438</v>
      </c>
      <c r="J200" s="57">
        <v>45791</v>
      </c>
      <c r="K200" s="57">
        <v>45793</v>
      </c>
      <c r="L200" s="56" t="s">
        <v>332</v>
      </c>
      <c r="M200" s="60">
        <v>256779420454</v>
      </c>
      <c r="N200" s="56" t="s">
        <v>306</v>
      </c>
      <c r="O200" s="56" t="s">
        <v>307</v>
      </c>
      <c r="P200" s="56" t="s">
        <v>305</v>
      </c>
      <c r="Q200" s="56" t="s">
        <v>325</v>
      </c>
      <c r="R200" s="186" t="s">
        <v>333</v>
      </c>
      <c r="S200" s="164">
        <v>-1231.96</v>
      </c>
      <c r="T200" s="187" t="s">
        <v>309</v>
      </c>
      <c r="U200" s="164">
        <v>-107084.21</v>
      </c>
      <c r="V200" s="56" t="s">
        <v>342</v>
      </c>
      <c r="W200" s="56" t="s">
        <v>310</v>
      </c>
      <c r="X200" s="56" t="s">
        <v>305</v>
      </c>
      <c r="Y200" s="56" t="s">
        <v>332</v>
      </c>
      <c r="Z200" s="56" t="s">
        <v>311</v>
      </c>
      <c r="AA200" s="56" t="s">
        <v>485</v>
      </c>
      <c r="AB200" s="56" t="s">
        <v>305</v>
      </c>
      <c r="AC200" s="56" t="s">
        <v>305</v>
      </c>
      <c r="AD200" s="56" t="s">
        <v>305</v>
      </c>
      <c r="AE200" s="57">
        <v>45791</v>
      </c>
      <c r="AF200" s="57">
        <v>45856</v>
      </c>
      <c r="AG200" s="58">
        <v>1400000339</v>
      </c>
      <c r="AH200" s="74" t="e" cm="1">
        <f t="array" ref="AH200">VLOOKUP(M200,'Customer data Vlookup'!$B$3:$H$127,{2,3},0)</f>
        <v>#N/A</v>
      </c>
      <c r="AI200" s="74"/>
      <c r="AJ200" s="74"/>
      <c r="AK200" s="43"/>
      <c r="AL200" s="43"/>
      <c r="AO200" t="e">
        <f>VLOOKUP(M200,'Customer data'!F:P,11,0)</f>
        <v>#N/A</v>
      </c>
    </row>
    <row r="201" spans="1:41" hidden="1">
      <c r="A201" s="56" t="s">
        <v>298</v>
      </c>
      <c r="B201" s="56" t="s">
        <v>299</v>
      </c>
      <c r="C201" s="56" t="s">
        <v>300</v>
      </c>
      <c r="D201" s="56" t="s">
        <v>301</v>
      </c>
      <c r="E201" s="56" t="s">
        <v>302</v>
      </c>
      <c r="F201" s="56" t="s">
        <v>330</v>
      </c>
      <c r="G201" s="57">
        <v>45791</v>
      </c>
      <c r="H201" s="58">
        <v>1600000821</v>
      </c>
      <c r="I201" s="56" t="s">
        <v>438</v>
      </c>
      <c r="J201" s="57">
        <v>45791</v>
      </c>
      <c r="K201" s="57">
        <v>45793</v>
      </c>
      <c r="L201" s="56" t="s">
        <v>332</v>
      </c>
      <c r="M201" s="60">
        <v>256779420530</v>
      </c>
      <c r="N201" s="56" t="s">
        <v>306</v>
      </c>
      <c r="O201" s="56" t="s">
        <v>307</v>
      </c>
      <c r="P201" s="56" t="s">
        <v>305</v>
      </c>
      <c r="Q201" s="56" t="s">
        <v>325</v>
      </c>
      <c r="R201" s="186" t="s">
        <v>333</v>
      </c>
      <c r="S201" s="164">
        <v>-188.95</v>
      </c>
      <c r="T201" s="187" t="s">
        <v>309</v>
      </c>
      <c r="U201" s="164">
        <v>-16423.88</v>
      </c>
      <c r="V201" s="56" t="s">
        <v>342</v>
      </c>
      <c r="W201" s="56" t="s">
        <v>310</v>
      </c>
      <c r="X201" s="56" t="s">
        <v>305</v>
      </c>
      <c r="Y201" s="56" t="s">
        <v>332</v>
      </c>
      <c r="Z201" s="56" t="s">
        <v>311</v>
      </c>
      <c r="AA201" s="56" t="s">
        <v>486</v>
      </c>
      <c r="AB201" s="56" t="s">
        <v>305</v>
      </c>
      <c r="AC201" s="56" t="s">
        <v>305</v>
      </c>
      <c r="AD201" s="56" t="s">
        <v>305</v>
      </c>
      <c r="AE201" s="57">
        <v>45791</v>
      </c>
      <c r="AF201" s="57">
        <v>45856</v>
      </c>
      <c r="AG201" s="58">
        <v>1400000340</v>
      </c>
      <c r="AH201" s="74" t="e" cm="1">
        <f t="array" ref="AH201">VLOOKUP(M201,'Customer data Vlookup'!$B$3:$H$127,{2,3},0)</f>
        <v>#N/A</v>
      </c>
      <c r="AI201" s="74"/>
      <c r="AJ201" s="74"/>
      <c r="AK201" s="43"/>
      <c r="AL201" s="43"/>
      <c r="AO201" t="e">
        <f>VLOOKUP(M201,'Customer data'!F:P,11,0)</f>
        <v>#N/A</v>
      </c>
    </row>
    <row r="202" spans="1:41" hidden="1">
      <c r="A202" s="56" t="s">
        <v>298</v>
      </c>
      <c r="B202" s="56" t="s">
        <v>299</v>
      </c>
      <c r="C202" s="56" t="s">
        <v>300</v>
      </c>
      <c r="D202" s="56" t="s">
        <v>301</v>
      </c>
      <c r="E202" s="56" t="s">
        <v>302</v>
      </c>
      <c r="F202" s="56" t="s">
        <v>330</v>
      </c>
      <c r="G202" s="57">
        <v>45791</v>
      </c>
      <c r="H202" s="58">
        <v>1600000822</v>
      </c>
      <c r="I202" s="56" t="s">
        <v>438</v>
      </c>
      <c r="J202" s="57">
        <v>45791</v>
      </c>
      <c r="K202" s="57">
        <v>45793</v>
      </c>
      <c r="L202" s="56" t="s">
        <v>332</v>
      </c>
      <c r="M202" s="60">
        <v>256779420531</v>
      </c>
      <c r="N202" s="56" t="s">
        <v>306</v>
      </c>
      <c r="O202" s="56" t="s">
        <v>307</v>
      </c>
      <c r="P202" s="56" t="s">
        <v>305</v>
      </c>
      <c r="Q202" s="56" t="s">
        <v>325</v>
      </c>
      <c r="R202" s="186" t="s">
        <v>333</v>
      </c>
      <c r="S202" s="164">
        <v>-54</v>
      </c>
      <c r="T202" s="187" t="s">
        <v>309</v>
      </c>
      <c r="U202" s="164">
        <v>-4693.78</v>
      </c>
      <c r="V202" s="56" t="s">
        <v>342</v>
      </c>
      <c r="W202" s="56" t="s">
        <v>310</v>
      </c>
      <c r="X202" s="56" t="s">
        <v>305</v>
      </c>
      <c r="Y202" s="56" t="s">
        <v>332</v>
      </c>
      <c r="Z202" s="56" t="s">
        <v>311</v>
      </c>
      <c r="AA202" s="56" t="s">
        <v>487</v>
      </c>
      <c r="AB202" s="56" t="s">
        <v>305</v>
      </c>
      <c r="AC202" s="56" t="s">
        <v>305</v>
      </c>
      <c r="AD202" s="56" t="s">
        <v>305</v>
      </c>
      <c r="AE202" s="57">
        <v>45791</v>
      </c>
      <c r="AF202" s="57">
        <v>45856</v>
      </c>
      <c r="AG202" s="58">
        <v>1400000341</v>
      </c>
      <c r="AH202" s="74" t="e" cm="1">
        <f t="array" ref="AH202">VLOOKUP(M202,'Customer data Vlookup'!$B$3:$H$127,{2,3},0)</f>
        <v>#N/A</v>
      </c>
      <c r="AI202" s="74"/>
      <c r="AJ202" s="74"/>
      <c r="AK202" s="43"/>
      <c r="AL202" s="43"/>
      <c r="AO202" t="e">
        <f>VLOOKUP(M202,'Customer data'!F:P,11,0)</f>
        <v>#N/A</v>
      </c>
    </row>
    <row r="203" spans="1:41" hidden="1">
      <c r="A203" s="56" t="s">
        <v>298</v>
      </c>
      <c r="B203" s="56" t="s">
        <v>299</v>
      </c>
      <c r="C203" s="56" t="s">
        <v>300</v>
      </c>
      <c r="D203" s="56" t="s">
        <v>301</v>
      </c>
      <c r="E203" s="56" t="s">
        <v>302</v>
      </c>
      <c r="F203" s="56" t="s">
        <v>330</v>
      </c>
      <c r="G203" s="57">
        <v>45791</v>
      </c>
      <c r="H203" s="58">
        <v>1600000820</v>
      </c>
      <c r="I203" s="56" t="s">
        <v>438</v>
      </c>
      <c r="J203" s="57">
        <v>45791</v>
      </c>
      <c r="K203" s="57">
        <v>45793</v>
      </c>
      <c r="L203" s="56" t="s">
        <v>332</v>
      </c>
      <c r="M203" s="60">
        <v>256779420529</v>
      </c>
      <c r="N203" s="56" t="s">
        <v>306</v>
      </c>
      <c r="O203" s="56" t="s">
        <v>307</v>
      </c>
      <c r="P203" s="56" t="s">
        <v>305</v>
      </c>
      <c r="Q203" s="56" t="s">
        <v>325</v>
      </c>
      <c r="R203" s="186" t="s">
        <v>333</v>
      </c>
      <c r="S203" s="164">
        <v>-86.4</v>
      </c>
      <c r="T203" s="187" t="s">
        <v>309</v>
      </c>
      <c r="U203" s="164">
        <v>-7510.05</v>
      </c>
      <c r="V203" s="56" t="s">
        <v>342</v>
      </c>
      <c r="W203" s="56" t="s">
        <v>310</v>
      </c>
      <c r="X203" s="56" t="s">
        <v>305</v>
      </c>
      <c r="Y203" s="56" t="s">
        <v>332</v>
      </c>
      <c r="Z203" s="56" t="s">
        <v>311</v>
      </c>
      <c r="AA203" s="56" t="s">
        <v>484</v>
      </c>
      <c r="AB203" s="56" t="s">
        <v>305</v>
      </c>
      <c r="AC203" s="56" t="s">
        <v>305</v>
      </c>
      <c r="AD203" s="56" t="s">
        <v>305</v>
      </c>
      <c r="AE203" s="57">
        <v>45791</v>
      </c>
      <c r="AF203" s="57">
        <v>45856</v>
      </c>
      <c r="AG203" s="58">
        <v>1400000342</v>
      </c>
      <c r="AH203" s="74" t="e" cm="1">
        <f t="array" ref="AH203">VLOOKUP(M203,'Customer data Vlookup'!$B$3:$H$127,{2,3},0)</f>
        <v>#N/A</v>
      </c>
      <c r="AI203" s="74"/>
      <c r="AJ203" s="74"/>
      <c r="AK203" s="43"/>
      <c r="AL203" s="43"/>
      <c r="AO203" t="e">
        <f>VLOOKUP(M203,'Customer data'!F:P,11,0)</f>
        <v>#N/A</v>
      </c>
    </row>
    <row r="204" spans="1:41" hidden="1">
      <c r="A204" s="56" t="s">
        <v>298</v>
      </c>
      <c r="B204" s="56" t="s">
        <v>299</v>
      </c>
      <c r="C204" s="56" t="s">
        <v>300</v>
      </c>
      <c r="D204" s="56" t="s">
        <v>301</v>
      </c>
      <c r="E204" s="56" t="s">
        <v>302</v>
      </c>
      <c r="F204" s="56" t="s">
        <v>435</v>
      </c>
      <c r="G204" s="57">
        <v>45791</v>
      </c>
      <c r="H204" s="58">
        <v>1600000823</v>
      </c>
      <c r="I204" s="56" t="s">
        <v>438</v>
      </c>
      <c r="J204" s="57">
        <v>45791</v>
      </c>
      <c r="K204" s="57">
        <v>45793</v>
      </c>
      <c r="L204" s="56" t="s">
        <v>332</v>
      </c>
      <c r="M204" s="60">
        <v>256779420532</v>
      </c>
      <c r="N204" s="56" t="s">
        <v>306</v>
      </c>
      <c r="O204" s="56" t="s">
        <v>307</v>
      </c>
      <c r="P204" s="56" t="s">
        <v>305</v>
      </c>
      <c r="Q204" s="56" t="s">
        <v>325</v>
      </c>
      <c r="R204" s="186" t="s">
        <v>333</v>
      </c>
      <c r="S204" s="164">
        <v>-86.4</v>
      </c>
      <c r="T204" s="187" t="s">
        <v>309</v>
      </c>
      <c r="U204" s="164">
        <v>-7510.05</v>
      </c>
      <c r="V204" s="56" t="s">
        <v>342</v>
      </c>
      <c r="W204" s="56" t="s">
        <v>310</v>
      </c>
      <c r="X204" s="56" t="s">
        <v>305</v>
      </c>
      <c r="Y204" s="56" t="s">
        <v>332</v>
      </c>
      <c r="Z204" s="56" t="s">
        <v>311</v>
      </c>
      <c r="AA204" s="56" t="s">
        <v>460</v>
      </c>
      <c r="AB204" s="56" t="s">
        <v>305</v>
      </c>
      <c r="AC204" s="56" t="s">
        <v>305</v>
      </c>
      <c r="AD204" s="56" t="s">
        <v>305</v>
      </c>
      <c r="AE204" s="57">
        <v>45791</v>
      </c>
      <c r="AF204" s="57"/>
      <c r="AG204" s="56" t="s">
        <v>305</v>
      </c>
      <c r="AH204" s="74" t="e" cm="1">
        <f t="array" ref="AH204">VLOOKUP(M204,'Customer data Vlookup'!$B$3:$H$127,{2,3},0)</f>
        <v>#N/A</v>
      </c>
      <c r="AI204" s="74"/>
      <c r="AJ204" s="74"/>
      <c r="AK204" s="43"/>
      <c r="AL204" s="43"/>
      <c r="AO204" t="e">
        <f>VLOOKUP(M204,'Customer data'!F:P,11,0)</f>
        <v>#N/A</v>
      </c>
    </row>
    <row r="205" spans="1:41" hidden="1">
      <c r="A205" s="56" t="s">
        <v>298</v>
      </c>
      <c r="B205" s="56" t="s">
        <v>299</v>
      </c>
      <c r="C205" s="56" t="s">
        <v>300</v>
      </c>
      <c r="D205" s="56" t="s">
        <v>301</v>
      </c>
      <c r="E205" s="56" t="s">
        <v>302</v>
      </c>
      <c r="F205" s="56" t="s">
        <v>435</v>
      </c>
      <c r="G205" s="57">
        <v>45787</v>
      </c>
      <c r="H205" s="58">
        <v>1800008365</v>
      </c>
      <c r="I205" s="56" t="s">
        <v>417</v>
      </c>
      <c r="J205" s="57">
        <v>45787</v>
      </c>
      <c r="K205" s="57">
        <v>45792</v>
      </c>
      <c r="L205" s="56" t="s">
        <v>332</v>
      </c>
      <c r="M205" s="60">
        <v>256779413248</v>
      </c>
      <c r="N205" s="56" t="s">
        <v>306</v>
      </c>
      <c r="O205" s="56" t="s">
        <v>307</v>
      </c>
      <c r="P205" s="56" t="s">
        <v>305</v>
      </c>
      <c r="Q205" s="56" t="s">
        <v>337</v>
      </c>
      <c r="R205" s="186" t="s">
        <v>333</v>
      </c>
      <c r="S205" s="164">
        <v>42.33</v>
      </c>
      <c r="T205" s="187" t="s">
        <v>309</v>
      </c>
      <c r="U205" s="164">
        <v>3639.69</v>
      </c>
      <c r="V205" s="56" t="s">
        <v>342</v>
      </c>
      <c r="W205" s="56" t="s">
        <v>310</v>
      </c>
      <c r="X205" s="56" t="s">
        <v>305</v>
      </c>
      <c r="Y205" s="56" t="s">
        <v>332</v>
      </c>
      <c r="Z205" s="56" t="s">
        <v>311</v>
      </c>
      <c r="AA205" s="56" t="s">
        <v>150</v>
      </c>
      <c r="AB205" s="56" t="s">
        <v>305</v>
      </c>
      <c r="AC205" s="56" t="s">
        <v>305</v>
      </c>
      <c r="AD205" s="56" t="s">
        <v>305</v>
      </c>
      <c r="AE205" s="57">
        <v>45787</v>
      </c>
      <c r="AF205" s="57">
        <v>45979</v>
      </c>
      <c r="AG205" s="58">
        <v>1400001961</v>
      </c>
      <c r="AH205" s="74" cm="1">
        <f t="array" ref="AH205:AI205">VLOOKUP(M205,'Customer data Vlookup'!$B$3:$H$127,{2,3},0)</f>
        <v>3639.6900209999999</v>
      </c>
      <c r="AI205" s="74">
        <v>73</v>
      </c>
      <c r="AJ205" s="74">
        <f>AH205-AI205</f>
        <v>3566.6900209999999</v>
      </c>
      <c r="AK205" s="41">
        <f>U205-AH205</f>
        <v>-2.0999999833293259E-5</v>
      </c>
      <c r="AL205" s="62">
        <f>AI205/U205</f>
        <v>2.0056653176506789E-2</v>
      </c>
      <c r="AO205" t="str">
        <f>VLOOKUP(M205,'Customer data'!F:P,11,0)</f>
        <v>HDFCN52025060575568983</v>
      </c>
    </row>
    <row r="206" spans="1:41">
      <c r="A206" s="56" t="s">
        <v>298</v>
      </c>
      <c r="B206" s="56" t="s">
        <v>299</v>
      </c>
      <c r="C206" s="56" t="s">
        <v>300</v>
      </c>
      <c r="D206" s="56" t="s">
        <v>301</v>
      </c>
      <c r="E206" s="56" t="s">
        <v>302</v>
      </c>
      <c r="F206" s="56" t="s">
        <v>321</v>
      </c>
      <c r="G206" s="57">
        <v>45787</v>
      </c>
      <c r="H206" s="58">
        <v>1800008351</v>
      </c>
      <c r="I206" s="56" t="s">
        <v>417</v>
      </c>
      <c r="J206" s="57">
        <v>45787</v>
      </c>
      <c r="K206" s="57">
        <v>45792</v>
      </c>
      <c r="L206" s="56" t="s">
        <v>332</v>
      </c>
      <c r="M206" s="60">
        <v>256779413234</v>
      </c>
      <c r="N206" s="56" t="s">
        <v>306</v>
      </c>
      <c r="O206" s="56" t="s">
        <v>307</v>
      </c>
      <c r="P206" s="56" t="s">
        <v>305</v>
      </c>
      <c r="Q206" s="56" t="s">
        <v>337</v>
      </c>
      <c r="R206" s="186" t="s">
        <v>333</v>
      </c>
      <c r="S206" s="164">
        <v>51.73</v>
      </c>
      <c r="T206" s="187" t="s">
        <v>309</v>
      </c>
      <c r="U206" s="164">
        <v>4447.9399999999996</v>
      </c>
      <c r="V206" s="56" t="s">
        <v>342</v>
      </c>
      <c r="W206" s="56" t="s">
        <v>310</v>
      </c>
      <c r="X206" s="56" t="s">
        <v>305</v>
      </c>
      <c r="Y206" s="56" t="s">
        <v>332</v>
      </c>
      <c r="Z206" s="56" t="s">
        <v>311</v>
      </c>
      <c r="AA206" s="56" t="s">
        <v>147</v>
      </c>
      <c r="AB206" s="56" t="s">
        <v>305</v>
      </c>
      <c r="AC206" s="56" t="s">
        <v>305</v>
      </c>
      <c r="AD206" s="56" t="s">
        <v>305</v>
      </c>
      <c r="AE206" s="57">
        <v>45787</v>
      </c>
      <c r="AF206" s="57"/>
      <c r="AG206" s="56" t="s">
        <v>305</v>
      </c>
      <c r="AH206" s="74" cm="1">
        <f t="array" ref="AH206:AI206">VLOOKUP(M206,'Customer data Vlookup'!$B$3:$H$127,{2,3},0)</f>
        <v>4447.9368009999998</v>
      </c>
      <c r="AI206" s="74">
        <v>89</v>
      </c>
      <c r="AJ206" s="74">
        <f>AH206-AI206</f>
        <v>4358.9368009999998</v>
      </c>
      <c r="AK206" s="41">
        <f>U206-AH206</f>
        <v>3.1989999997676932E-3</v>
      </c>
      <c r="AL206" s="62">
        <f>AI206/U206</f>
        <v>2.0009262714874753E-2</v>
      </c>
      <c r="AO206" t="str">
        <f>VLOOKUP(M206,'Customer data'!F:P,11,0)</f>
        <v>HDFCN52025061495304800</v>
      </c>
    </row>
    <row r="207" spans="1:41" hidden="1">
      <c r="A207" s="56" t="s">
        <v>298</v>
      </c>
      <c r="B207" s="56" t="s">
        <v>299</v>
      </c>
      <c r="C207" s="56" t="s">
        <v>300</v>
      </c>
      <c r="D207" s="56" t="s">
        <v>301</v>
      </c>
      <c r="E207" s="56" t="s">
        <v>302</v>
      </c>
      <c r="F207" s="56" t="s">
        <v>321</v>
      </c>
      <c r="G207" s="57">
        <v>45772</v>
      </c>
      <c r="H207" s="58">
        <v>1400000007</v>
      </c>
      <c r="I207" s="56" t="s">
        <v>319</v>
      </c>
      <c r="J207" s="57">
        <v>45772</v>
      </c>
      <c r="K207" s="57">
        <v>45772</v>
      </c>
      <c r="L207" s="56" t="s">
        <v>57</v>
      </c>
      <c r="M207" s="64" t="s">
        <v>305</v>
      </c>
      <c r="N207" s="56" t="s">
        <v>306</v>
      </c>
      <c r="O207" s="56" t="s">
        <v>307</v>
      </c>
      <c r="P207" s="56" t="s">
        <v>305</v>
      </c>
      <c r="Q207" s="56" t="s">
        <v>308</v>
      </c>
      <c r="R207" s="186" t="s">
        <v>309</v>
      </c>
      <c r="S207" s="164">
        <v>-77748.160000000003</v>
      </c>
      <c r="T207" s="187" t="s">
        <v>309</v>
      </c>
      <c r="U207" s="164">
        <v>-77748.160000000003</v>
      </c>
      <c r="V207" s="56" t="s">
        <v>305</v>
      </c>
      <c r="W207" s="56" t="s">
        <v>310</v>
      </c>
      <c r="X207" s="56" t="s">
        <v>305</v>
      </c>
      <c r="Y207" s="56" t="s">
        <v>305</v>
      </c>
      <c r="Z207" s="56" t="s">
        <v>327</v>
      </c>
      <c r="AA207" s="56" t="s">
        <v>57</v>
      </c>
      <c r="AB207" s="56" t="s">
        <v>305</v>
      </c>
      <c r="AC207" s="56" t="s">
        <v>305</v>
      </c>
      <c r="AD207" s="56" t="s">
        <v>305</v>
      </c>
      <c r="AE207" s="57">
        <v>45772</v>
      </c>
      <c r="AF207" s="57">
        <v>45772</v>
      </c>
      <c r="AG207" s="58">
        <v>1400000007</v>
      </c>
      <c r="AH207" s="74" t="e" cm="1">
        <f t="array" ref="AH207">VLOOKUP(M207,'Customer data Vlookup'!$B$3:$H$127,{2,3},0)</f>
        <v>#N/A</v>
      </c>
      <c r="AI207" s="74"/>
      <c r="AJ207" s="74"/>
      <c r="AK207" s="43"/>
      <c r="AL207" s="43"/>
      <c r="AO207" t="e">
        <f>VLOOKUP(M207,'Customer data'!F:P,11,0)</f>
        <v>#N/A</v>
      </c>
    </row>
    <row r="208" spans="1:41" hidden="1">
      <c r="A208" s="56" t="s">
        <v>298</v>
      </c>
      <c r="B208" s="56" t="s">
        <v>299</v>
      </c>
      <c r="C208" s="56" t="s">
        <v>300</v>
      </c>
      <c r="D208" s="56" t="s">
        <v>301</v>
      </c>
      <c r="E208" s="56" t="s">
        <v>302</v>
      </c>
      <c r="F208" s="56" t="s">
        <v>321</v>
      </c>
      <c r="G208" s="57">
        <v>45772</v>
      </c>
      <c r="H208" s="58">
        <v>1400000008</v>
      </c>
      <c r="I208" s="56" t="s">
        <v>319</v>
      </c>
      <c r="J208" s="57">
        <v>45772</v>
      </c>
      <c r="K208" s="57">
        <v>45772</v>
      </c>
      <c r="L208" s="56" t="s">
        <v>64</v>
      </c>
      <c r="M208" s="64" t="s">
        <v>305</v>
      </c>
      <c r="N208" s="56" t="s">
        <v>306</v>
      </c>
      <c r="O208" s="56" t="s">
        <v>307</v>
      </c>
      <c r="P208" s="56" t="s">
        <v>305</v>
      </c>
      <c r="Q208" s="56" t="s">
        <v>308</v>
      </c>
      <c r="R208" s="186" t="s">
        <v>309</v>
      </c>
      <c r="S208" s="164">
        <v>-31951.3</v>
      </c>
      <c r="T208" s="187" t="s">
        <v>309</v>
      </c>
      <c r="U208" s="164">
        <v>-31951.3</v>
      </c>
      <c r="V208" s="56" t="s">
        <v>305</v>
      </c>
      <c r="W208" s="56" t="s">
        <v>310</v>
      </c>
      <c r="X208" s="56" t="s">
        <v>305</v>
      </c>
      <c r="Y208" s="56" t="s">
        <v>305</v>
      </c>
      <c r="Z208" s="56" t="s">
        <v>327</v>
      </c>
      <c r="AA208" s="56" t="s">
        <v>64</v>
      </c>
      <c r="AB208" s="56" t="s">
        <v>305</v>
      </c>
      <c r="AC208" s="56" t="s">
        <v>305</v>
      </c>
      <c r="AD208" s="56" t="s">
        <v>305</v>
      </c>
      <c r="AE208" s="57">
        <v>45772</v>
      </c>
      <c r="AF208" s="57">
        <v>45772</v>
      </c>
      <c r="AG208" s="58">
        <v>1400000008</v>
      </c>
      <c r="AH208" s="74" t="e" cm="1">
        <f t="array" ref="AH208">VLOOKUP(M208,'Customer data Vlookup'!$B$3:$H$127,{2,3},0)</f>
        <v>#N/A</v>
      </c>
      <c r="AI208" s="74"/>
      <c r="AJ208" s="74"/>
      <c r="AK208" s="43"/>
      <c r="AL208" s="43"/>
      <c r="AO208" t="e">
        <f>VLOOKUP(M208,'Customer data'!F:P,11,0)</f>
        <v>#N/A</v>
      </c>
    </row>
    <row r="209" spans="1:41" hidden="1">
      <c r="A209" s="56" t="s">
        <v>298</v>
      </c>
      <c r="B209" s="56" t="s">
        <v>299</v>
      </c>
      <c r="C209" s="56" t="s">
        <v>300</v>
      </c>
      <c r="D209" s="56" t="s">
        <v>301</v>
      </c>
      <c r="E209" s="56" t="s">
        <v>302</v>
      </c>
      <c r="F209" s="56" t="s">
        <v>321</v>
      </c>
      <c r="G209" s="57">
        <v>45772</v>
      </c>
      <c r="H209" s="58">
        <v>1400000009</v>
      </c>
      <c r="I209" s="56" t="s">
        <v>319</v>
      </c>
      <c r="J209" s="57">
        <v>45772</v>
      </c>
      <c r="K209" s="57">
        <v>45772</v>
      </c>
      <c r="L209" s="56" t="s">
        <v>74</v>
      </c>
      <c r="M209" s="64" t="s">
        <v>305</v>
      </c>
      <c r="N209" s="56" t="s">
        <v>306</v>
      </c>
      <c r="O209" s="56" t="s">
        <v>307</v>
      </c>
      <c r="P209" s="56" t="s">
        <v>305</v>
      </c>
      <c r="Q209" s="56" t="s">
        <v>308</v>
      </c>
      <c r="R209" s="186" t="s">
        <v>309</v>
      </c>
      <c r="S209" s="164">
        <v>-107902.2</v>
      </c>
      <c r="T209" s="187" t="s">
        <v>309</v>
      </c>
      <c r="U209" s="164">
        <v>-107902.2</v>
      </c>
      <c r="V209" s="56" t="s">
        <v>305</v>
      </c>
      <c r="W209" s="56" t="s">
        <v>310</v>
      </c>
      <c r="X209" s="56" t="s">
        <v>305</v>
      </c>
      <c r="Y209" s="56" t="s">
        <v>305</v>
      </c>
      <c r="Z209" s="56" t="s">
        <v>327</v>
      </c>
      <c r="AA209" s="56" t="s">
        <v>74</v>
      </c>
      <c r="AB209" s="56" t="s">
        <v>305</v>
      </c>
      <c r="AC209" s="56" t="s">
        <v>305</v>
      </c>
      <c r="AD209" s="56" t="s">
        <v>305</v>
      </c>
      <c r="AE209" s="57">
        <v>45772</v>
      </c>
      <c r="AF209" s="57">
        <v>45772</v>
      </c>
      <c r="AG209" s="58">
        <v>1400000009</v>
      </c>
      <c r="AH209" s="74" t="e" cm="1">
        <f t="array" ref="AH209">VLOOKUP(M209,'Customer data Vlookup'!$B$3:$H$127,{2,3},0)</f>
        <v>#N/A</v>
      </c>
      <c r="AI209" s="74"/>
      <c r="AJ209" s="74"/>
      <c r="AK209" s="43"/>
      <c r="AL209" s="43"/>
      <c r="AO209" t="e">
        <f>VLOOKUP(M209,'Customer data'!F:P,11,0)</f>
        <v>#N/A</v>
      </c>
    </row>
    <row r="210" spans="1:41" hidden="1">
      <c r="A210" s="56" t="s">
        <v>298</v>
      </c>
      <c r="B210" s="56" t="s">
        <v>299</v>
      </c>
      <c r="C210" s="56" t="s">
        <v>300</v>
      </c>
      <c r="D210" s="56" t="s">
        <v>301</v>
      </c>
      <c r="E210" s="56" t="s">
        <v>302</v>
      </c>
      <c r="F210" s="56" t="s">
        <v>321</v>
      </c>
      <c r="G210" s="57">
        <v>45772</v>
      </c>
      <c r="H210" s="58">
        <v>1400000010</v>
      </c>
      <c r="I210" s="56" t="s">
        <v>319</v>
      </c>
      <c r="J210" s="57">
        <v>45772</v>
      </c>
      <c r="K210" s="57">
        <v>45772</v>
      </c>
      <c r="L210" s="56" t="s">
        <v>22</v>
      </c>
      <c r="M210" s="64" t="s">
        <v>305</v>
      </c>
      <c r="N210" s="56" t="s">
        <v>306</v>
      </c>
      <c r="O210" s="56" t="s">
        <v>307</v>
      </c>
      <c r="P210" s="56" t="s">
        <v>305</v>
      </c>
      <c r="Q210" s="56" t="s">
        <v>308</v>
      </c>
      <c r="R210" s="186" t="s">
        <v>309</v>
      </c>
      <c r="S210" s="164">
        <v>-11561.33</v>
      </c>
      <c r="T210" s="187" t="s">
        <v>309</v>
      </c>
      <c r="U210" s="164">
        <v>-11561.33</v>
      </c>
      <c r="V210" s="56" t="s">
        <v>305</v>
      </c>
      <c r="W210" s="56" t="s">
        <v>310</v>
      </c>
      <c r="X210" s="56" t="s">
        <v>305</v>
      </c>
      <c r="Y210" s="56" t="s">
        <v>305</v>
      </c>
      <c r="Z210" s="56" t="s">
        <v>327</v>
      </c>
      <c r="AA210" s="56" t="s">
        <v>22</v>
      </c>
      <c r="AB210" s="56" t="s">
        <v>305</v>
      </c>
      <c r="AC210" s="56" t="s">
        <v>305</v>
      </c>
      <c r="AD210" s="56" t="s">
        <v>305</v>
      </c>
      <c r="AE210" s="57">
        <v>45772</v>
      </c>
      <c r="AF210" s="57">
        <v>45772</v>
      </c>
      <c r="AG210" s="58">
        <v>1400000010</v>
      </c>
      <c r="AH210" s="74" t="e" cm="1">
        <f t="array" ref="AH210">VLOOKUP(M210,'Customer data Vlookup'!$B$3:$H$127,{2,3},0)</f>
        <v>#N/A</v>
      </c>
      <c r="AI210" s="74"/>
      <c r="AJ210" s="74"/>
      <c r="AK210" s="43"/>
      <c r="AL210" s="43"/>
      <c r="AO210" t="e">
        <f>VLOOKUP(M210,'Customer data'!F:P,11,0)</f>
        <v>#N/A</v>
      </c>
    </row>
    <row r="211" spans="1:41" hidden="1">
      <c r="A211" s="56" t="s">
        <v>298</v>
      </c>
      <c r="B211" s="56" t="s">
        <v>299</v>
      </c>
      <c r="C211" s="56" t="s">
        <v>300</v>
      </c>
      <c r="D211" s="56" t="s">
        <v>301</v>
      </c>
      <c r="E211" s="56" t="s">
        <v>302</v>
      </c>
      <c r="F211" s="56" t="s">
        <v>321</v>
      </c>
      <c r="G211" s="57">
        <v>45772</v>
      </c>
      <c r="H211" s="58">
        <v>1400000011</v>
      </c>
      <c r="I211" s="56" t="s">
        <v>319</v>
      </c>
      <c r="J211" s="57">
        <v>45772</v>
      </c>
      <c r="K211" s="57">
        <v>45772</v>
      </c>
      <c r="L211" s="56" t="s">
        <v>37</v>
      </c>
      <c r="M211" s="64" t="s">
        <v>305</v>
      </c>
      <c r="N211" s="56" t="s">
        <v>306</v>
      </c>
      <c r="O211" s="56" t="s">
        <v>307</v>
      </c>
      <c r="P211" s="56" t="s">
        <v>305</v>
      </c>
      <c r="Q211" s="56" t="s">
        <v>308</v>
      </c>
      <c r="R211" s="186" t="s">
        <v>309</v>
      </c>
      <c r="S211" s="164">
        <v>-18498.12</v>
      </c>
      <c r="T211" s="187" t="s">
        <v>309</v>
      </c>
      <c r="U211" s="164">
        <v>-18498.12</v>
      </c>
      <c r="V211" s="56" t="s">
        <v>305</v>
      </c>
      <c r="W211" s="56" t="s">
        <v>310</v>
      </c>
      <c r="X211" s="56" t="s">
        <v>305</v>
      </c>
      <c r="Y211" s="56" t="s">
        <v>305</v>
      </c>
      <c r="Z211" s="56" t="s">
        <v>327</v>
      </c>
      <c r="AA211" s="56" t="s">
        <v>37</v>
      </c>
      <c r="AB211" s="56" t="s">
        <v>305</v>
      </c>
      <c r="AC211" s="56" t="s">
        <v>305</v>
      </c>
      <c r="AD211" s="56" t="s">
        <v>305</v>
      </c>
      <c r="AE211" s="57">
        <v>45772</v>
      </c>
      <c r="AF211" s="57">
        <v>45772</v>
      </c>
      <c r="AG211" s="58">
        <v>1400000011</v>
      </c>
      <c r="AH211" s="74" t="e" cm="1">
        <f t="array" ref="AH211">VLOOKUP(M211,'Customer data Vlookup'!$B$3:$H$127,{2,3},0)</f>
        <v>#N/A</v>
      </c>
      <c r="AI211" s="74"/>
      <c r="AJ211" s="74"/>
      <c r="AK211" s="43"/>
      <c r="AL211" s="43"/>
      <c r="AO211" t="e">
        <f>VLOOKUP(M211,'Customer data'!F:P,11,0)</f>
        <v>#N/A</v>
      </c>
    </row>
    <row r="212" spans="1:41" hidden="1">
      <c r="A212" s="56" t="s">
        <v>298</v>
      </c>
      <c r="B212" s="56" t="s">
        <v>299</v>
      </c>
      <c r="C212" s="56" t="s">
        <v>300</v>
      </c>
      <c r="D212" s="56" t="s">
        <v>301</v>
      </c>
      <c r="E212" s="56" t="s">
        <v>302</v>
      </c>
      <c r="F212" s="56" t="s">
        <v>321</v>
      </c>
      <c r="G212" s="57">
        <v>45772</v>
      </c>
      <c r="H212" s="58">
        <v>1400000012</v>
      </c>
      <c r="I212" s="56" t="s">
        <v>319</v>
      </c>
      <c r="J212" s="57">
        <v>45772</v>
      </c>
      <c r="K212" s="57">
        <v>45772</v>
      </c>
      <c r="L212" s="56" t="s">
        <v>49</v>
      </c>
      <c r="M212" s="64" t="s">
        <v>305</v>
      </c>
      <c r="N212" s="56" t="s">
        <v>306</v>
      </c>
      <c r="O212" s="56" t="s">
        <v>307</v>
      </c>
      <c r="P212" s="56" t="s">
        <v>305</v>
      </c>
      <c r="Q212" s="56" t="s">
        <v>308</v>
      </c>
      <c r="R212" s="186" t="s">
        <v>309</v>
      </c>
      <c r="S212" s="164">
        <v>-18498.12</v>
      </c>
      <c r="T212" s="187" t="s">
        <v>309</v>
      </c>
      <c r="U212" s="164">
        <v>-18498.12</v>
      </c>
      <c r="V212" s="56" t="s">
        <v>305</v>
      </c>
      <c r="W212" s="56" t="s">
        <v>310</v>
      </c>
      <c r="X212" s="56" t="s">
        <v>305</v>
      </c>
      <c r="Y212" s="56" t="s">
        <v>305</v>
      </c>
      <c r="Z212" s="56" t="s">
        <v>327</v>
      </c>
      <c r="AA212" s="56" t="s">
        <v>49</v>
      </c>
      <c r="AB212" s="56" t="s">
        <v>305</v>
      </c>
      <c r="AC212" s="56" t="s">
        <v>305</v>
      </c>
      <c r="AD212" s="56" t="s">
        <v>305</v>
      </c>
      <c r="AE212" s="57">
        <v>45772</v>
      </c>
      <c r="AF212" s="57">
        <v>45772</v>
      </c>
      <c r="AG212" s="58">
        <v>1400000012</v>
      </c>
      <c r="AH212" s="74" t="e" cm="1">
        <f t="array" ref="AH212">VLOOKUP(M212,'Customer data Vlookup'!$B$3:$H$127,{2,3},0)</f>
        <v>#N/A</v>
      </c>
      <c r="AI212" s="74"/>
      <c r="AJ212" s="74"/>
      <c r="AK212" s="43"/>
      <c r="AL212" s="43"/>
      <c r="AO212" t="e">
        <f>VLOOKUP(M212,'Customer data'!F:P,11,0)</f>
        <v>#N/A</v>
      </c>
    </row>
    <row r="213" spans="1:41" hidden="1">
      <c r="A213" s="56" t="s">
        <v>298</v>
      </c>
      <c r="B213" s="56" t="s">
        <v>299</v>
      </c>
      <c r="C213" s="56" t="s">
        <v>300</v>
      </c>
      <c r="D213" s="56" t="s">
        <v>301</v>
      </c>
      <c r="E213" s="56" t="s">
        <v>302</v>
      </c>
      <c r="F213" s="56" t="s">
        <v>321</v>
      </c>
      <c r="G213" s="57">
        <v>45772</v>
      </c>
      <c r="H213" s="58">
        <v>1400000013</v>
      </c>
      <c r="I213" s="56" t="s">
        <v>319</v>
      </c>
      <c r="J213" s="57">
        <v>45772</v>
      </c>
      <c r="K213" s="57">
        <v>45772</v>
      </c>
      <c r="L213" s="56" t="s">
        <v>66</v>
      </c>
      <c r="M213" s="64" t="s">
        <v>305</v>
      </c>
      <c r="N213" s="56" t="s">
        <v>306</v>
      </c>
      <c r="O213" s="56" t="s">
        <v>307</v>
      </c>
      <c r="P213" s="56" t="s">
        <v>305</v>
      </c>
      <c r="Q213" s="56" t="s">
        <v>308</v>
      </c>
      <c r="R213" s="186" t="s">
        <v>309</v>
      </c>
      <c r="S213" s="164">
        <v>-4624.53</v>
      </c>
      <c r="T213" s="187" t="s">
        <v>309</v>
      </c>
      <c r="U213" s="164">
        <v>-4624.53</v>
      </c>
      <c r="V213" s="56" t="s">
        <v>305</v>
      </c>
      <c r="W213" s="56" t="s">
        <v>310</v>
      </c>
      <c r="X213" s="56" t="s">
        <v>305</v>
      </c>
      <c r="Y213" s="56" t="s">
        <v>305</v>
      </c>
      <c r="Z213" s="56" t="s">
        <v>327</v>
      </c>
      <c r="AA213" s="56" t="s">
        <v>66</v>
      </c>
      <c r="AB213" s="56" t="s">
        <v>305</v>
      </c>
      <c r="AC213" s="56" t="s">
        <v>305</v>
      </c>
      <c r="AD213" s="56" t="s">
        <v>305</v>
      </c>
      <c r="AE213" s="57">
        <v>45772</v>
      </c>
      <c r="AF213" s="57">
        <v>45772</v>
      </c>
      <c r="AG213" s="58">
        <v>1400000013</v>
      </c>
      <c r="AH213" s="74" t="e" cm="1">
        <f t="array" ref="AH213">VLOOKUP(M213,'Customer data Vlookup'!$B$3:$H$127,{2,3},0)</f>
        <v>#N/A</v>
      </c>
      <c r="AI213" s="74"/>
      <c r="AJ213" s="74"/>
      <c r="AK213" s="43"/>
      <c r="AL213" s="43"/>
      <c r="AO213" t="e">
        <f>VLOOKUP(M213,'Customer data'!F:P,11,0)</f>
        <v>#N/A</v>
      </c>
    </row>
    <row r="214" spans="1:41" hidden="1">
      <c r="A214" s="56" t="s">
        <v>298</v>
      </c>
      <c r="B214" s="56" t="s">
        <v>299</v>
      </c>
      <c r="C214" s="56" t="s">
        <v>300</v>
      </c>
      <c r="D214" s="56" t="s">
        <v>301</v>
      </c>
      <c r="E214" s="56" t="s">
        <v>302</v>
      </c>
      <c r="F214" s="56" t="s">
        <v>321</v>
      </c>
      <c r="G214" s="57">
        <v>45772</v>
      </c>
      <c r="H214" s="58">
        <v>1400000014</v>
      </c>
      <c r="I214" s="56" t="s">
        <v>319</v>
      </c>
      <c r="J214" s="57">
        <v>45772</v>
      </c>
      <c r="K214" s="57">
        <v>45772</v>
      </c>
      <c r="L214" s="56" t="s">
        <v>77</v>
      </c>
      <c r="M214" s="64" t="s">
        <v>305</v>
      </c>
      <c r="N214" s="56" t="s">
        <v>306</v>
      </c>
      <c r="O214" s="56" t="s">
        <v>307</v>
      </c>
      <c r="P214" s="56" t="s">
        <v>305</v>
      </c>
      <c r="Q214" s="56" t="s">
        <v>308</v>
      </c>
      <c r="R214" s="186" t="s">
        <v>309</v>
      </c>
      <c r="S214" s="164">
        <v>-15765.44</v>
      </c>
      <c r="T214" s="187" t="s">
        <v>309</v>
      </c>
      <c r="U214" s="164">
        <v>-15765.44</v>
      </c>
      <c r="V214" s="56" t="s">
        <v>305</v>
      </c>
      <c r="W214" s="56" t="s">
        <v>310</v>
      </c>
      <c r="X214" s="56" t="s">
        <v>305</v>
      </c>
      <c r="Y214" s="56" t="s">
        <v>305</v>
      </c>
      <c r="Z214" s="56" t="s">
        <v>327</v>
      </c>
      <c r="AA214" s="56" t="s">
        <v>77</v>
      </c>
      <c r="AB214" s="56" t="s">
        <v>305</v>
      </c>
      <c r="AC214" s="56" t="s">
        <v>305</v>
      </c>
      <c r="AD214" s="56" t="s">
        <v>305</v>
      </c>
      <c r="AE214" s="57">
        <v>45772</v>
      </c>
      <c r="AF214" s="57">
        <v>45772</v>
      </c>
      <c r="AG214" s="58">
        <v>1400000014</v>
      </c>
      <c r="AH214" s="74" t="e" cm="1">
        <f t="array" ref="AH214">VLOOKUP(M214,'Customer data Vlookup'!$B$3:$H$127,{2,3},0)</f>
        <v>#N/A</v>
      </c>
      <c r="AI214" s="74"/>
      <c r="AJ214" s="74"/>
      <c r="AK214" s="43"/>
      <c r="AL214" s="43"/>
      <c r="AO214" t="e">
        <f>VLOOKUP(M214,'Customer data'!F:P,11,0)</f>
        <v>#N/A</v>
      </c>
    </row>
    <row r="215" spans="1:41" hidden="1">
      <c r="A215" s="56" t="s">
        <v>298</v>
      </c>
      <c r="B215" s="56" t="s">
        <v>299</v>
      </c>
      <c r="C215" s="56" t="s">
        <v>300</v>
      </c>
      <c r="D215" s="56" t="s">
        <v>301</v>
      </c>
      <c r="E215" s="56" t="s">
        <v>302</v>
      </c>
      <c r="F215" s="56" t="s">
        <v>321</v>
      </c>
      <c r="G215" s="57">
        <v>45772</v>
      </c>
      <c r="H215" s="58">
        <v>1400000015</v>
      </c>
      <c r="I215" s="56" t="s">
        <v>319</v>
      </c>
      <c r="J215" s="57">
        <v>45772</v>
      </c>
      <c r="K215" s="57">
        <v>45772</v>
      </c>
      <c r="L215" s="56" t="s">
        <v>83</v>
      </c>
      <c r="M215" s="64" t="s">
        <v>305</v>
      </c>
      <c r="N215" s="56" t="s">
        <v>306</v>
      </c>
      <c r="O215" s="56" t="s">
        <v>307</v>
      </c>
      <c r="P215" s="56" t="s">
        <v>305</v>
      </c>
      <c r="Q215" s="56" t="s">
        <v>308</v>
      </c>
      <c r="R215" s="186" t="s">
        <v>309</v>
      </c>
      <c r="S215" s="164">
        <v>-4624.53</v>
      </c>
      <c r="T215" s="187" t="s">
        <v>309</v>
      </c>
      <c r="U215" s="164">
        <v>-4624.53</v>
      </c>
      <c r="V215" s="56" t="s">
        <v>305</v>
      </c>
      <c r="W215" s="56" t="s">
        <v>310</v>
      </c>
      <c r="X215" s="56" t="s">
        <v>305</v>
      </c>
      <c r="Y215" s="56" t="s">
        <v>305</v>
      </c>
      <c r="Z215" s="56" t="s">
        <v>327</v>
      </c>
      <c r="AA215" s="56" t="s">
        <v>83</v>
      </c>
      <c r="AB215" s="56" t="s">
        <v>305</v>
      </c>
      <c r="AC215" s="56" t="s">
        <v>305</v>
      </c>
      <c r="AD215" s="56" t="s">
        <v>305</v>
      </c>
      <c r="AE215" s="57">
        <v>45772</v>
      </c>
      <c r="AF215" s="57">
        <v>45772</v>
      </c>
      <c r="AG215" s="58">
        <v>1400000015</v>
      </c>
      <c r="AH215" s="74" t="e" cm="1">
        <f t="array" ref="AH215">VLOOKUP(M215,'Customer data Vlookup'!$B$3:$H$127,{2,3},0)</f>
        <v>#N/A</v>
      </c>
      <c r="AI215" s="74"/>
      <c r="AJ215" s="74"/>
      <c r="AK215" s="43"/>
      <c r="AL215" s="43"/>
      <c r="AO215" t="e">
        <f>VLOOKUP(M215,'Customer data'!F:P,11,0)</f>
        <v>#N/A</v>
      </c>
    </row>
    <row r="216" spans="1:41" hidden="1">
      <c r="A216" s="56" t="s">
        <v>298</v>
      </c>
      <c r="B216" s="56" t="s">
        <v>299</v>
      </c>
      <c r="C216" s="56" t="s">
        <v>300</v>
      </c>
      <c r="D216" s="56" t="s">
        <v>301</v>
      </c>
      <c r="E216" s="56" t="s">
        <v>302</v>
      </c>
      <c r="F216" s="56" t="s">
        <v>321</v>
      </c>
      <c r="G216" s="57">
        <v>45771</v>
      </c>
      <c r="H216" s="58">
        <v>1800007875</v>
      </c>
      <c r="I216" s="56" t="s">
        <v>417</v>
      </c>
      <c r="J216" s="57">
        <v>45771</v>
      </c>
      <c r="K216" s="57">
        <v>45773</v>
      </c>
      <c r="L216" s="56" t="s">
        <v>332</v>
      </c>
      <c r="M216" s="60">
        <v>256779412766</v>
      </c>
      <c r="N216" s="56" t="s">
        <v>306</v>
      </c>
      <c r="O216" s="56" t="s">
        <v>307</v>
      </c>
      <c r="P216" s="56" t="s">
        <v>305</v>
      </c>
      <c r="Q216" s="56" t="s">
        <v>337</v>
      </c>
      <c r="R216" s="186" t="s">
        <v>333</v>
      </c>
      <c r="S216" s="164">
        <v>25.67</v>
      </c>
      <c r="T216" s="187" t="s">
        <v>309</v>
      </c>
      <c r="U216" s="164">
        <v>2231.2800000000002</v>
      </c>
      <c r="V216" s="56" t="s">
        <v>342</v>
      </c>
      <c r="W216" s="56" t="s">
        <v>310</v>
      </c>
      <c r="X216" s="56" t="s">
        <v>305</v>
      </c>
      <c r="Y216" s="56" t="s">
        <v>332</v>
      </c>
      <c r="Z216" s="56" t="s">
        <v>311</v>
      </c>
      <c r="AA216" s="56" t="s">
        <v>148</v>
      </c>
      <c r="AB216" s="56" t="s">
        <v>305</v>
      </c>
      <c r="AC216" s="56" t="s">
        <v>305</v>
      </c>
      <c r="AD216" s="56" t="s">
        <v>305</v>
      </c>
      <c r="AE216" s="57">
        <v>45771</v>
      </c>
      <c r="AF216" s="57">
        <v>45979</v>
      </c>
      <c r="AG216" s="58">
        <v>1400001961</v>
      </c>
      <c r="AH216" s="74" cm="1">
        <f t="array" ref="AH216:AI216">VLOOKUP(M216,'Customer data Vlookup'!$B$3:$H$127,{2,3},0)</f>
        <v>2231.2831194</v>
      </c>
      <c r="AI216" s="74">
        <v>45</v>
      </c>
      <c r="AJ216" s="74">
        <f>AH216-AI216</f>
        <v>2186.2831194</v>
      </c>
      <c r="AK216" s="41">
        <f>U216-AH216</f>
        <v>-3.1193999998322397E-3</v>
      </c>
      <c r="AL216" s="62">
        <f>AI216/U216</f>
        <v>2.0167796063246205E-2</v>
      </c>
      <c r="AO216" t="str">
        <f>VLOOKUP(M216,'Customer data'!F:P,11,0)</f>
        <v>HDFCN52025060575568983</v>
      </c>
    </row>
    <row r="217" spans="1:41" hidden="1">
      <c r="A217" s="56" t="s">
        <v>298</v>
      </c>
      <c r="B217" s="56" t="s">
        <v>299</v>
      </c>
      <c r="C217" s="56" t="s">
        <v>300</v>
      </c>
      <c r="D217" s="56" t="s">
        <v>301</v>
      </c>
      <c r="E217" s="56" t="s">
        <v>302</v>
      </c>
      <c r="F217" s="56" t="s">
        <v>321</v>
      </c>
      <c r="G217" s="57">
        <v>45770</v>
      </c>
      <c r="H217" s="58">
        <v>1800007984</v>
      </c>
      <c r="I217" s="56" t="s">
        <v>417</v>
      </c>
      <c r="J217" s="57">
        <v>45770</v>
      </c>
      <c r="K217" s="57">
        <v>45776</v>
      </c>
      <c r="L217" s="56" t="s">
        <v>332</v>
      </c>
      <c r="M217" s="60">
        <v>256779412875</v>
      </c>
      <c r="N217" s="56" t="s">
        <v>306</v>
      </c>
      <c r="O217" s="56" t="s">
        <v>307</v>
      </c>
      <c r="P217" s="56" t="s">
        <v>305</v>
      </c>
      <c r="Q217" s="56" t="s">
        <v>337</v>
      </c>
      <c r="R217" s="186" t="s">
        <v>333</v>
      </c>
      <c r="S217" s="164">
        <v>581.28</v>
      </c>
      <c r="T217" s="187" t="s">
        <v>309</v>
      </c>
      <c r="U217" s="164">
        <v>50525.919999999998</v>
      </c>
      <c r="V217" s="56" t="s">
        <v>342</v>
      </c>
      <c r="W217" s="56" t="s">
        <v>310</v>
      </c>
      <c r="X217" s="56" t="s">
        <v>305</v>
      </c>
      <c r="Y217" s="56" t="s">
        <v>332</v>
      </c>
      <c r="Z217" s="56" t="s">
        <v>311</v>
      </c>
      <c r="AA217" s="56" t="s">
        <v>526</v>
      </c>
      <c r="AB217" s="56" t="s">
        <v>305</v>
      </c>
      <c r="AC217" s="56" t="s">
        <v>305</v>
      </c>
      <c r="AD217" s="56" t="s">
        <v>305</v>
      </c>
      <c r="AE217" s="57">
        <v>45770</v>
      </c>
      <c r="AF217" s="57"/>
      <c r="AG217" s="56" t="s">
        <v>305</v>
      </c>
      <c r="AH217" s="74" cm="1">
        <f t="array" ref="AH217:AI217">VLOOKUP(M217,'Customer data Vlookup'!$B$3:$H$127,{2,3},0)</f>
        <v>50525.919999999998</v>
      </c>
      <c r="AI217" s="74">
        <v>1010</v>
      </c>
      <c r="AJ217" s="74">
        <f>AH217-AI217</f>
        <v>49515.92</v>
      </c>
      <c r="AK217" s="41">
        <f>U217-AH217</f>
        <v>0</v>
      </c>
      <c r="AL217" s="62">
        <f>AI217/U217</f>
        <v>1.9989739919629372E-2</v>
      </c>
      <c r="AO217" t="str">
        <f>VLOOKUP(M217,'Customer data'!F:P,11,0)</f>
        <v>Not Approved</v>
      </c>
    </row>
    <row r="218" spans="1:41" hidden="1">
      <c r="A218" s="56" t="s">
        <v>298</v>
      </c>
      <c r="B218" s="56" t="s">
        <v>299</v>
      </c>
      <c r="C218" s="56" t="s">
        <v>300</v>
      </c>
      <c r="D218" s="56" t="s">
        <v>301</v>
      </c>
      <c r="E218" s="56" t="s">
        <v>302</v>
      </c>
      <c r="F218" s="56" t="s">
        <v>321</v>
      </c>
      <c r="G218" s="57">
        <v>45770</v>
      </c>
      <c r="H218" s="58">
        <v>1800008012</v>
      </c>
      <c r="I218" s="56" t="s">
        <v>417</v>
      </c>
      <c r="J218" s="57">
        <v>45770</v>
      </c>
      <c r="K218" s="57">
        <v>45776</v>
      </c>
      <c r="L218" s="56" t="s">
        <v>332</v>
      </c>
      <c r="M218" s="60">
        <v>256779412903</v>
      </c>
      <c r="N218" s="56" t="s">
        <v>306</v>
      </c>
      <c r="O218" s="56" t="s">
        <v>307</v>
      </c>
      <c r="P218" s="56" t="s">
        <v>305</v>
      </c>
      <c r="Q218" s="56" t="s">
        <v>337</v>
      </c>
      <c r="R218" s="186" t="s">
        <v>333</v>
      </c>
      <c r="S218" s="164">
        <v>153.88999999999999</v>
      </c>
      <c r="T218" s="187" t="s">
        <v>309</v>
      </c>
      <c r="U218" s="164">
        <v>13376.4</v>
      </c>
      <c r="V218" s="56" t="s">
        <v>342</v>
      </c>
      <c r="W218" s="56" t="s">
        <v>310</v>
      </c>
      <c r="X218" s="56" t="s">
        <v>305</v>
      </c>
      <c r="Y218" s="56" t="s">
        <v>332</v>
      </c>
      <c r="Z218" s="56" t="s">
        <v>311</v>
      </c>
      <c r="AA218" s="56" t="s">
        <v>145</v>
      </c>
      <c r="AB218" s="56" t="s">
        <v>305</v>
      </c>
      <c r="AC218" s="56" t="s">
        <v>305</v>
      </c>
      <c r="AD218" s="56" t="s">
        <v>305</v>
      </c>
      <c r="AE218" s="57">
        <v>45770</v>
      </c>
      <c r="AF218" s="57"/>
      <c r="AG218" s="56" t="s">
        <v>305</v>
      </c>
      <c r="AH218" s="74" cm="1">
        <f t="array" ref="AH218:AI218">VLOOKUP(M218,'Customer data Vlookup'!$B$3:$H$127,{2,3},0)</f>
        <v>13376.399999999998</v>
      </c>
      <c r="AI218" s="74">
        <v>267</v>
      </c>
      <c r="AJ218" s="74">
        <f>AH218-AI218</f>
        <v>13109.399999999998</v>
      </c>
      <c r="AK218" s="41">
        <f>U218-AH218</f>
        <v>0</v>
      </c>
      <c r="AL218" s="62">
        <f>AI218/U218</f>
        <v>1.9960527496187316E-2</v>
      </c>
      <c r="AO218" t="str">
        <f>VLOOKUP(M218,'Customer data'!F:P,11,0)</f>
        <v>Not Approved</v>
      </c>
    </row>
    <row r="219" spans="1:41" hidden="1">
      <c r="A219" s="56" t="s">
        <v>298</v>
      </c>
      <c r="B219" s="56" t="s">
        <v>299</v>
      </c>
      <c r="C219" s="56" t="s">
        <v>300</v>
      </c>
      <c r="D219" s="56" t="s">
        <v>301</v>
      </c>
      <c r="E219" s="56" t="s">
        <v>302</v>
      </c>
      <c r="F219" s="56" t="s">
        <v>321</v>
      </c>
      <c r="G219" s="57">
        <v>45769</v>
      </c>
      <c r="H219" s="58">
        <v>1800007707</v>
      </c>
      <c r="I219" s="56" t="s">
        <v>417</v>
      </c>
      <c r="J219" s="57">
        <v>45769</v>
      </c>
      <c r="K219" s="57">
        <v>45770</v>
      </c>
      <c r="L219" s="56" t="s">
        <v>332</v>
      </c>
      <c r="M219" s="60">
        <v>256779412598</v>
      </c>
      <c r="N219" s="56" t="s">
        <v>306</v>
      </c>
      <c r="O219" s="56" t="s">
        <v>307</v>
      </c>
      <c r="P219" s="56" t="s">
        <v>305</v>
      </c>
      <c r="Q219" s="56" t="s">
        <v>337</v>
      </c>
      <c r="R219" s="186" t="s">
        <v>333</v>
      </c>
      <c r="S219" s="164">
        <v>1360.46</v>
      </c>
      <c r="T219" s="187" t="s">
        <v>309</v>
      </c>
      <c r="U219" s="164">
        <v>118253.66</v>
      </c>
      <c r="V219" s="56" t="s">
        <v>342</v>
      </c>
      <c r="W219" s="56" t="s">
        <v>310</v>
      </c>
      <c r="X219" s="56" t="s">
        <v>305</v>
      </c>
      <c r="Y219" s="56" t="s">
        <v>332</v>
      </c>
      <c r="Z219" s="56" t="s">
        <v>311</v>
      </c>
      <c r="AA219" s="56" t="s">
        <v>522</v>
      </c>
      <c r="AB219" s="56" t="s">
        <v>305</v>
      </c>
      <c r="AC219" s="56" t="s">
        <v>305</v>
      </c>
      <c r="AD219" s="56" t="s">
        <v>305</v>
      </c>
      <c r="AE219" s="57">
        <v>45769</v>
      </c>
      <c r="AF219" s="57"/>
      <c r="AG219" s="56" t="s">
        <v>305</v>
      </c>
      <c r="AH219" s="74" cm="1">
        <f t="array" ref="AH219:AI219">VLOOKUP(M219,'Customer data Vlookup'!$B$3:$H$127,{2,3},0)</f>
        <v>118253.6592372</v>
      </c>
      <c r="AI219" s="74">
        <v>2365</v>
      </c>
      <c r="AJ219" s="74">
        <f>AH219-AI219</f>
        <v>115888.6592372</v>
      </c>
      <c r="AK219" s="41">
        <f>U219-AH219</f>
        <v>7.6280000212136656E-4</v>
      </c>
      <c r="AL219" s="62">
        <f>AI219/U219</f>
        <v>1.9999380991675014E-2</v>
      </c>
      <c r="AO219" t="str">
        <f>VLOOKUP(M219,'Customer data'!F:P,11,0)</f>
        <v>Not Approved</v>
      </c>
    </row>
    <row r="220" spans="1:41" hidden="1">
      <c r="A220" s="56" t="s">
        <v>298</v>
      </c>
      <c r="B220" s="56" t="s">
        <v>299</v>
      </c>
      <c r="C220" s="56" t="s">
        <v>300</v>
      </c>
      <c r="D220" s="56" t="s">
        <v>301</v>
      </c>
      <c r="E220" s="56" t="s">
        <v>302</v>
      </c>
      <c r="F220" s="56" t="s">
        <v>321</v>
      </c>
      <c r="G220" s="57">
        <v>45769</v>
      </c>
      <c r="H220" s="58">
        <v>1800007739</v>
      </c>
      <c r="I220" s="56" t="s">
        <v>417</v>
      </c>
      <c r="J220" s="57">
        <v>45769</v>
      </c>
      <c r="K220" s="57">
        <v>45770</v>
      </c>
      <c r="L220" s="56" t="s">
        <v>332</v>
      </c>
      <c r="M220" s="60">
        <v>256779412630</v>
      </c>
      <c r="N220" s="56" t="s">
        <v>306</v>
      </c>
      <c r="O220" s="56" t="s">
        <v>307</v>
      </c>
      <c r="P220" s="56" t="s">
        <v>305</v>
      </c>
      <c r="Q220" s="56" t="s">
        <v>337</v>
      </c>
      <c r="R220" s="186" t="s">
        <v>333</v>
      </c>
      <c r="S220" s="164">
        <v>532.46</v>
      </c>
      <c r="T220" s="187" t="s">
        <v>309</v>
      </c>
      <c r="U220" s="164">
        <v>46282.39</v>
      </c>
      <c r="V220" s="56" t="s">
        <v>342</v>
      </c>
      <c r="W220" s="56" t="s">
        <v>310</v>
      </c>
      <c r="X220" s="56" t="s">
        <v>305</v>
      </c>
      <c r="Y220" s="56" t="s">
        <v>332</v>
      </c>
      <c r="Z220" s="56" t="s">
        <v>311</v>
      </c>
      <c r="AA220" s="56" t="s">
        <v>523</v>
      </c>
      <c r="AB220" s="56" t="s">
        <v>305</v>
      </c>
      <c r="AC220" s="56" t="s">
        <v>305</v>
      </c>
      <c r="AD220" s="56" t="s">
        <v>305</v>
      </c>
      <c r="AE220" s="57">
        <v>45769</v>
      </c>
      <c r="AF220" s="57"/>
      <c r="AG220" s="56" t="s">
        <v>305</v>
      </c>
      <c r="AH220" s="74" cm="1">
        <f t="array" ref="AH220:AI220">VLOOKUP(M220,'Customer data Vlookup'!$B$3:$H$127,{2,3},0)</f>
        <v>46282.392277200001</v>
      </c>
      <c r="AI220" s="74">
        <v>925</v>
      </c>
      <c r="AJ220" s="74">
        <f>AH220-AI220</f>
        <v>45357.392277200001</v>
      </c>
      <c r="AK220" s="41">
        <f>U220-AH220</f>
        <v>-2.2772000011173077E-3</v>
      </c>
      <c r="AL220" s="62">
        <f>AI220/U220</f>
        <v>1.9986003315731967E-2</v>
      </c>
      <c r="AO220" t="str">
        <f>VLOOKUP(M220,'Customer data'!F:P,11,0)</f>
        <v>Not Approved</v>
      </c>
    </row>
    <row r="221" spans="1:41" hidden="1">
      <c r="A221" s="56" t="s">
        <v>298</v>
      </c>
      <c r="B221" s="56" t="s">
        <v>299</v>
      </c>
      <c r="C221" s="56" t="s">
        <v>300</v>
      </c>
      <c r="D221" s="56" t="s">
        <v>301</v>
      </c>
      <c r="E221" s="56" t="s">
        <v>302</v>
      </c>
      <c r="F221" s="56" t="s">
        <v>321</v>
      </c>
      <c r="G221" s="57">
        <v>45763</v>
      </c>
      <c r="H221" s="58">
        <v>1800006867</v>
      </c>
      <c r="I221" s="56" t="s">
        <v>417</v>
      </c>
      <c r="J221" s="57">
        <v>45763</v>
      </c>
      <c r="K221" s="57">
        <v>45764</v>
      </c>
      <c r="L221" s="56" t="s">
        <v>332</v>
      </c>
      <c r="M221" s="60">
        <v>256779411758</v>
      </c>
      <c r="N221" s="56" t="s">
        <v>306</v>
      </c>
      <c r="O221" s="56" t="s">
        <v>307</v>
      </c>
      <c r="P221" s="56" t="s">
        <v>305</v>
      </c>
      <c r="Q221" s="56" t="s">
        <v>337</v>
      </c>
      <c r="R221" s="186" t="s">
        <v>333</v>
      </c>
      <c r="S221" s="164">
        <v>188.95</v>
      </c>
      <c r="T221" s="187" t="s">
        <v>309</v>
      </c>
      <c r="U221" s="164">
        <v>16423.88</v>
      </c>
      <c r="V221" s="56" t="s">
        <v>342</v>
      </c>
      <c r="W221" s="56" t="s">
        <v>310</v>
      </c>
      <c r="X221" s="56" t="s">
        <v>305</v>
      </c>
      <c r="Y221" s="56" t="s">
        <v>332</v>
      </c>
      <c r="Z221" s="56" t="s">
        <v>311</v>
      </c>
      <c r="AA221" s="56" t="s">
        <v>421</v>
      </c>
      <c r="AB221" s="56" t="s">
        <v>305</v>
      </c>
      <c r="AC221" s="56" t="s">
        <v>305</v>
      </c>
      <c r="AD221" s="56" t="s">
        <v>305</v>
      </c>
      <c r="AE221" s="57">
        <v>45763</v>
      </c>
      <c r="AF221" s="57">
        <v>45856</v>
      </c>
      <c r="AG221" s="58">
        <v>1400000336</v>
      </c>
      <c r="AH221" s="74" t="e" cm="1">
        <f t="array" ref="AH221">VLOOKUP(M221,'Customer data Vlookup'!$B$3:$H$127,{2,3},0)</f>
        <v>#N/A</v>
      </c>
      <c r="AI221" s="74"/>
      <c r="AJ221" s="74"/>
      <c r="AK221" s="43"/>
      <c r="AL221" s="43"/>
      <c r="AO221" t="e">
        <f>VLOOKUP(M221,'Customer data'!F:P,11,0)</f>
        <v>#N/A</v>
      </c>
    </row>
    <row r="222" spans="1:41" hidden="1">
      <c r="A222" s="56" t="s">
        <v>298</v>
      </c>
      <c r="B222" s="56" t="s">
        <v>299</v>
      </c>
      <c r="C222" s="56" t="s">
        <v>300</v>
      </c>
      <c r="D222" s="56" t="s">
        <v>301</v>
      </c>
      <c r="E222" s="56" t="s">
        <v>302</v>
      </c>
      <c r="F222" s="56" t="s">
        <v>321</v>
      </c>
      <c r="G222" s="57">
        <v>45763</v>
      </c>
      <c r="H222" s="58">
        <v>1800006868</v>
      </c>
      <c r="I222" s="56" t="s">
        <v>417</v>
      </c>
      <c r="J222" s="57">
        <v>45763</v>
      </c>
      <c r="K222" s="57">
        <v>45764</v>
      </c>
      <c r="L222" s="56" t="s">
        <v>332</v>
      </c>
      <c r="M222" s="60">
        <v>256779411759</v>
      </c>
      <c r="N222" s="56" t="s">
        <v>306</v>
      </c>
      <c r="O222" s="56" t="s">
        <v>307</v>
      </c>
      <c r="P222" s="56" t="s">
        <v>305</v>
      </c>
      <c r="Q222" s="56" t="s">
        <v>337</v>
      </c>
      <c r="R222" s="186" t="s">
        <v>333</v>
      </c>
      <c r="S222" s="164">
        <v>52.8</v>
      </c>
      <c r="T222" s="187" t="s">
        <v>309</v>
      </c>
      <c r="U222" s="164">
        <v>4589.47</v>
      </c>
      <c r="V222" s="56" t="s">
        <v>342</v>
      </c>
      <c r="W222" s="56" t="s">
        <v>310</v>
      </c>
      <c r="X222" s="56" t="s">
        <v>305</v>
      </c>
      <c r="Y222" s="56" t="s">
        <v>332</v>
      </c>
      <c r="Z222" s="56" t="s">
        <v>311</v>
      </c>
      <c r="AA222" s="56" t="s">
        <v>422</v>
      </c>
      <c r="AB222" s="56" t="s">
        <v>305</v>
      </c>
      <c r="AC222" s="56" t="s">
        <v>305</v>
      </c>
      <c r="AD222" s="56" t="s">
        <v>305</v>
      </c>
      <c r="AE222" s="57">
        <v>45763</v>
      </c>
      <c r="AF222" s="57">
        <v>45856</v>
      </c>
      <c r="AG222" s="58">
        <v>1400000337</v>
      </c>
      <c r="AH222" s="74" t="e" cm="1">
        <f t="array" ref="AH222">VLOOKUP(M222,'Customer data Vlookup'!$B$3:$H$127,{2,3},0)</f>
        <v>#N/A</v>
      </c>
      <c r="AI222" s="74"/>
      <c r="AJ222" s="74"/>
      <c r="AK222" s="43"/>
      <c r="AL222" s="43"/>
      <c r="AO222" t="e">
        <f>VLOOKUP(M222,'Customer data'!F:P,11,0)</f>
        <v>#N/A</v>
      </c>
    </row>
    <row r="223" spans="1:41" hidden="1">
      <c r="A223" s="56" t="s">
        <v>298</v>
      </c>
      <c r="B223" s="56" t="s">
        <v>299</v>
      </c>
      <c r="C223" s="56" t="s">
        <v>300</v>
      </c>
      <c r="D223" s="56" t="s">
        <v>301</v>
      </c>
      <c r="E223" s="56" t="s">
        <v>302</v>
      </c>
      <c r="F223" s="56" t="s">
        <v>321</v>
      </c>
      <c r="G223" s="57">
        <v>45763</v>
      </c>
      <c r="H223" s="58">
        <v>1800006869</v>
      </c>
      <c r="I223" s="56" t="s">
        <v>417</v>
      </c>
      <c r="J223" s="57">
        <v>45763</v>
      </c>
      <c r="K223" s="57">
        <v>45764</v>
      </c>
      <c r="L223" s="56" t="s">
        <v>332</v>
      </c>
      <c r="M223" s="60">
        <v>256779411760</v>
      </c>
      <c r="N223" s="56" t="s">
        <v>306</v>
      </c>
      <c r="O223" s="56" t="s">
        <v>307</v>
      </c>
      <c r="P223" s="56" t="s">
        <v>305</v>
      </c>
      <c r="Q223" s="56" t="s">
        <v>337</v>
      </c>
      <c r="R223" s="186" t="s">
        <v>333</v>
      </c>
      <c r="S223" s="164">
        <v>86.4</v>
      </c>
      <c r="T223" s="187" t="s">
        <v>309</v>
      </c>
      <c r="U223" s="164">
        <v>7510.05</v>
      </c>
      <c r="V223" s="56" t="s">
        <v>342</v>
      </c>
      <c r="W223" s="56" t="s">
        <v>310</v>
      </c>
      <c r="X223" s="56" t="s">
        <v>305</v>
      </c>
      <c r="Y223" s="56" t="s">
        <v>332</v>
      </c>
      <c r="Z223" s="56" t="s">
        <v>311</v>
      </c>
      <c r="AA223" s="56" t="s">
        <v>423</v>
      </c>
      <c r="AB223" s="56" t="s">
        <v>305</v>
      </c>
      <c r="AC223" s="56" t="s">
        <v>305</v>
      </c>
      <c r="AD223" s="56" t="s">
        <v>305</v>
      </c>
      <c r="AE223" s="57">
        <v>45763</v>
      </c>
      <c r="AF223" s="57">
        <v>45856</v>
      </c>
      <c r="AG223" s="58">
        <v>1400000338</v>
      </c>
      <c r="AH223" s="74" t="e" cm="1">
        <f t="array" ref="AH223">VLOOKUP(M223,'Customer data Vlookup'!$B$3:$H$127,{2,3},0)</f>
        <v>#N/A</v>
      </c>
      <c r="AI223" s="74"/>
      <c r="AJ223" s="74"/>
      <c r="AK223" s="43"/>
      <c r="AL223" s="43"/>
      <c r="AO223" t="e">
        <f>VLOOKUP(M223,'Customer data'!F:P,11,0)</f>
        <v>#N/A</v>
      </c>
    </row>
    <row r="224" spans="1:41" hidden="1">
      <c r="A224" s="56" t="s">
        <v>298</v>
      </c>
      <c r="B224" s="56" t="s">
        <v>299</v>
      </c>
      <c r="C224" s="56" t="s">
        <v>300</v>
      </c>
      <c r="D224" s="56" t="s">
        <v>301</v>
      </c>
      <c r="E224" s="56" t="s">
        <v>302</v>
      </c>
      <c r="F224" s="56" t="s">
        <v>321</v>
      </c>
      <c r="G224" s="57">
        <v>45763</v>
      </c>
      <c r="H224" s="58">
        <v>1800006945</v>
      </c>
      <c r="I224" s="56" t="s">
        <v>417</v>
      </c>
      <c r="J224" s="57">
        <v>45763</v>
      </c>
      <c r="K224" s="57">
        <v>45764</v>
      </c>
      <c r="L224" s="56" t="s">
        <v>332</v>
      </c>
      <c r="M224" s="60">
        <v>256779411836</v>
      </c>
      <c r="N224" s="56" t="s">
        <v>306</v>
      </c>
      <c r="O224" s="56" t="s">
        <v>307</v>
      </c>
      <c r="P224" s="56" t="s">
        <v>305</v>
      </c>
      <c r="Q224" s="56" t="s">
        <v>337</v>
      </c>
      <c r="R224" s="186" t="s">
        <v>333</v>
      </c>
      <c r="S224" s="164">
        <v>188.95</v>
      </c>
      <c r="T224" s="187" t="s">
        <v>309</v>
      </c>
      <c r="U224" s="164">
        <v>16423.88</v>
      </c>
      <c r="V224" s="56" t="s">
        <v>342</v>
      </c>
      <c r="W224" s="56" t="s">
        <v>310</v>
      </c>
      <c r="X224" s="56" t="s">
        <v>305</v>
      </c>
      <c r="Y224" s="56" t="s">
        <v>332</v>
      </c>
      <c r="Z224" s="56" t="s">
        <v>311</v>
      </c>
      <c r="AA224" s="56" t="s">
        <v>424</v>
      </c>
      <c r="AB224" s="56" t="s">
        <v>305</v>
      </c>
      <c r="AC224" s="56" t="s">
        <v>305</v>
      </c>
      <c r="AD224" s="56" t="s">
        <v>305</v>
      </c>
      <c r="AE224" s="57">
        <v>45763</v>
      </c>
      <c r="AF224" s="57">
        <v>45856</v>
      </c>
      <c r="AG224" s="58">
        <v>1400000340</v>
      </c>
      <c r="AH224" s="74" t="e" cm="1">
        <f t="array" ref="AH224">VLOOKUP(M224,'Customer data Vlookup'!$B$3:$H$127,{2,3},0)</f>
        <v>#N/A</v>
      </c>
      <c r="AI224" s="74"/>
      <c r="AJ224" s="74"/>
      <c r="AK224" s="43"/>
      <c r="AL224" s="43"/>
      <c r="AO224" t="e">
        <f>VLOOKUP(M224,'Customer data'!F:P,11,0)</f>
        <v>#N/A</v>
      </c>
    </row>
    <row r="225" spans="1:41" hidden="1">
      <c r="A225" s="56" t="s">
        <v>298</v>
      </c>
      <c r="B225" s="56" t="s">
        <v>299</v>
      </c>
      <c r="C225" s="56" t="s">
        <v>300</v>
      </c>
      <c r="D225" s="56" t="s">
        <v>301</v>
      </c>
      <c r="E225" s="56" t="s">
        <v>302</v>
      </c>
      <c r="F225" s="56" t="s">
        <v>321</v>
      </c>
      <c r="G225" s="57">
        <v>45763</v>
      </c>
      <c r="H225" s="58">
        <v>1800006946</v>
      </c>
      <c r="I225" s="56" t="s">
        <v>417</v>
      </c>
      <c r="J225" s="57">
        <v>45763</v>
      </c>
      <c r="K225" s="57">
        <v>45764</v>
      </c>
      <c r="L225" s="56" t="s">
        <v>332</v>
      </c>
      <c r="M225" s="60">
        <v>256779411837</v>
      </c>
      <c r="N225" s="56" t="s">
        <v>306</v>
      </c>
      <c r="O225" s="56" t="s">
        <v>307</v>
      </c>
      <c r="P225" s="56" t="s">
        <v>305</v>
      </c>
      <c r="Q225" s="56" t="s">
        <v>337</v>
      </c>
      <c r="R225" s="186" t="s">
        <v>333</v>
      </c>
      <c r="S225" s="164">
        <v>54</v>
      </c>
      <c r="T225" s="187" t="s">
        <v>309</v>
      </c>
      <c r="U225" s="164">
        <v>4693.78</v>
      </c>
      <c r="V225" s="56" t="s">
        <v>342</v>
      </c>
      <c r="W225" s="56" t="s">
        <v>310</v>
      </c>
      <c r="X225" s="56" t="s">
        <v>305</v>
      </c>
      <c r="Y225" s="56" t="s">
        <v>332</v>
      </c>
      <c r="Z225" s="56" t="s">
        <v>311</v>
      </c>
      <c r="AA225" s="56" t="s">
        <v>425</v>
      </c>
      <c r="AB225" s="56" t="s">
        <v>305</v>
      </c>
      <c r="AC225" s="56" t="s">
        <v>305</v>
      </c>
      <c r="AD225" s="56" t="s">
        <v>305</v>
      </c>
      <c r="AE225" s="57">
        <v>45763</v>
      </c>
      <c r="AF225" s="57">
        <v>45856</v>
      </c>
      <c r="AG225" s="58">
        <v>1400000341</v>
      </c>
      <c r="AH225" s="74" t="e" cm="1">
        <f t="array" ref="AH225">VLOOKUP(M225,'Customer data Vlookup'!$B$3:$H$127,{2,3},0)</f>
        <v>#N/A</v>
      </c>
      <c r="AI225" s="74"/>
      <c r="AJ225" s="74"/>
      <c r="AK225" s="43"/>
      <c r="AL225" s="43"/>
      <c r="AO225" t="e">
        <f>VLOOKUP(M225,'Customer data'!F:P,11,0)</f>
        <v>#N/A</v>
      </c>
    </row>
    <row r="226" spans="1:41" hidden="1">
      <c r="A226" s="56" t="s">
        <v>298</v>
      </c>
      <c r="B226" s="56" t="s">
        <v>299</v>
      </c>
      <c r="C226" s="56" t="s">
        <v>300</v>
      </c>
      <c r="D226" s="56" t="s">
        <v>301</v>
      </c>
      <c r="E226" s="56" t="s">
        <v>302</v>
      </c>
      <c r="F226" s="56" t="s">
        <v>321</v>
      </c>
      <c r="G226" s="57">
        <v>45763</v>
      </c>
      <c r="H226" s="58">
        <v>1800006947</v>
      </c>
      <c r="I226" s="56" t="s">
        <v>417</v>
      </c>
      <c r="J226" s="57">
        <v>45763</v>
      </c>
      <c r="K226" s="57">
        <v>45764</v>
      </c>
      <c r="L226" s="56" t="s">
        <v>332</v>
      </c>
      <c r="M226" s="60">
        <v>256779411838</v>
      </c>
      <c r="N226" s="56" t="s">
        <v>306</v>
      </c>
      <c r="O226" s="56" t="s">
        <v>307</v>
      </c>
      <c r="P226" s="56" t="s">
        <v>305</v>
      </c>
      <c r="Q226" s="56" t="s">
        <v>337</v>
      </c>
      <c r="R226" s="186" t="s">
        <v>333</v>
      </c>
      <c r="S226" s="164">
        <v>86.4</v>
      </c>
      <c r="T226" s="187" t="s">
        <v>309</v>
      </c>
      <c r="U226" s="164">
        <v>7510.05</v>
      </c>
      <c r="V226" s="56" t="s">
        <v>342</v>
      </c>
      <c r="W226" s="56" t="s">
        <v>310</v>
      </c>
      <c r="X226" s="56" t="s">
        <v>305</v>
      </c>
      <c r="Y226" s="56" t="s">
        <v>332</v>
      </c>
      <c r="Z226" s="56" t="s">
        <v>311</v>
      </c>
      <c r="AA226" s="56" t="s">
        <v>423</v>
      </c>
      <c r="AB226" s="56" t="s">
        <v>305</v>
      </c>
      <c r="AC226" s="56" t="s">
        <v>305</v>
      </c>
      <c r="AD226" s="56" t="s">
        <v>305</v>
      </c>
      <c r="AE226" s="57">
        <v>45763</v>
      </c>
      <c r="AF226" s="57">
        <v>45856</v>
      </c>
      <c r="AG226" s="58">
        <v>1400000342</v>
      </c>
      <c r="AH226" s="74" t="e" cm="1">
        <f t="array" ref="AH226">VLOOKUP(M226,'Customer data Vlookup'!$B$3:$H$127,{2,3},0)</f>
        <v>#N/A</v>
      </c>
      <c r="AI226" s="74"/>
      <c r="AJ226" s="74"/>
      <c r="AK226" s="43"/>
      <c r="AL226" s="43"/>
      <c r="AO226" t="e">
        <f>VLOOKUP(M226,'Customer data'!F:P,11,0)</f>
        <v>#N/A</v>
      </c>
    </row>
    <row r="227" spans="1:41" hidden="1">
      <c r="A227" s="56" t="s">
        <v>326</v>
      </c>
      <c r="B227" s="56" t="s">
        <v>299</v>
      </c>
      <c r="C227" s="56" t="s">
        <v>300</v>
      </c>
      <c r="D227" s="56" t="s">
        <v>301</v>
      </c>
      <c r="E227" s="56" t="s">
        <v>302</v>
      </c>
      <c r="F227" s="56" t="s">
        <v>321</v>
      </c>
      <c r="G227" s="57">
        <v>45763</v>
      </c>
      <c r="H227" s="58">
        <v>1800007231</v>
      </c>
      <c r="I227" s="56" t="s">
        <v>417</v>
      </c>
      <c r="J227" s="57">
        <v>45763</v>
      </c>
      <c r="K227" s="57">
        <v>45764</v>
      </c>
      <c r="L227" s="56" t="s">
        <v>332</v>
      </c>
      <c r="M227" s="60">
        <v>256779412122</v>
      </c>
      <c r="N227" s="56" t="s">
        <v>306</v>
      </c>
      <c r="O227" s="56" t="s">
        <v>307</v>
      </c>
      <c r="P227" s="56" t="s">
        <v>305</v>
      </c>
      <c r="Q227" s="56" t="s">
        <v>337</v>
      </c>
      <c r="R227" s="186" t="s">
        <v>333</v>
      </c>
      <c r="S227" s="164">
        <v>583.67999999999995</v>
      </c>
      <c r="T227" s="187" t="s">
        <v>309</v>
      </c>
      <c r="U227" s="164">
        <v>50734.53</v>
      </c>
      <c r="V227" s="56" t="s">
        <v>342</v>
      </c>
      <c r="W227" s="56" t="s">
        <v>310</v>
      </c>
      <c r="X227" s="56" t="s">
        <v>305</v>
      </c>
      <c r="Y227" s="56" t="s">
        <v>332</v>
      </c>
      <c r="Z227" s="56" t="s">
        <v>311</v>
      </c>
      <c r="AA227" s="56" t="s">
        <v>114</v>
      </c>
      <c r="AB227" s="56" t="s">
        <v>305</v>
      </c>
      <c r="AC227" s="56" t="s">
        <v>305</v>
      </c>
      <c r="AD227" s="56" t="s">
        <v>305</v>
      </c>
      <c r="AE227" s="57">
        <v>45763</v>
      </c>
      <c r="AF227" s="57">
        <v>45979</v>
      </c>
      <c r="AG227" s="58">
        <v>1400001971</v>
      </c>
      <c r="AH227" s="74" cm="1">
        <f t="array" ref="AH227:AI227">VLOOKUP(M227,'Customer data Vlookup'!$B$3:$H$127,{2,3},0)</f>
        <v>50734.527897599997</v>
      </c>
      <c r="AI227" s="74">
        <v>5073</v>
      </c>
      <c r="AJ227" s="74">
        <f t="shared" ref="AJ227:AJ236" si="12">AH227-AI227</f>
        <v>45661.527897599997</v>
      </c>
      <c r="AK227" s="41">
        <f t="shared" ref="AK227:AK236" si="13">U227-AH227</f>
        <v>2.10240000160411E-3</v>
      </c>
      <c r="AL227" s="62">
        <f t="shared" ref="AL227:AL236" si="14">AI227/U227</f>
        <v>9.9991071169871881E-2</v>
      </c>
      <c r="AO227" t="str">
        <f>VLOOKUP(M227,'Customer data'!F:P,11,0)</f>
        <v>HDFCN52025072369906032</v>
      </c>
    </row>
    <row r="228" spans="1:41" hidden="1">
      <c r="A228" s="56" t="s">
        <v>298</v>
      </c>
      <c r="B228" s="56" t="s">
        <v>299</v>
      </c>
      <c r="C228" s="56" t="s">
        <v>300</v>
      </c>
      <c r="D228" s="56" t="s">
        <v>301</v>
      </c>
      <c r="E228" s="56" t="s">
        <v>302</v>
      </c>
      <c r="F228" s="56" t="s">
        <v>321</v>
      </c>
      <c r="G228" s="57">
        <v>45763</v>
      </c>
      <c r="H228" s="58">
        <v>1800007146</v>
      </c>
      <c r="I228" s="56" t="s">
        <v>417</v>
      </c>
      <c r="J228" s="57">
        <v>45763</v>
      </c>
      <c r="K228" s="57">
        <v>45764</v>
      </c>
      <c r="L228" s="56" t="s">
        <v>332</v>
      </c>
      <c r="M228" s="60">
        <v>256779412037</v>
      </c>
      <c r="N228" s="56" t="s">
        <v>306</v>
      </c>
      <c r="O228" s="56" t="s">
        <v>307</v>
      </c>
      <c r="P228" s="56" t="s">
        <v>305</v>
      </c>
      <c r="Q228" s="56" t="s">
        <v>337</v>
      </c>
      <c r="R228" s="186" t="s">
        <v>333</v>
      </c>
      <c r="S228" s="164">
        <v>25.17</v>
      </c>
      <c r="T228" s="187" t="s">
        <v>309</v>
      </c>
      <c r="U228" s="164">
        <v>2187.8200000000002</v>
      </c>
      <c r="V228" s="56" t="s">
        <v>342</v>
      </c>
      <c r="W228" s="56" t="s">
        <v>310</v>
      </c>
      <c r="X228" s="56" t="s">
        <v>305</v>
      </c>
      <c r="Y228" s="56" t="s">
        <v>332</v>
      </c>
      <c r="Z228" s="56" t="s">
        <v>311</v>
      </c>
      <c r="AA228" s="56" t="s">
        <v>237</v>
      </c>
      <c r="AB228" s="56" t="s">
        <v>305</v>
      </c>
      <c r="AC228" s="56" t="s">
        <v>305</v>
      </c>
      <c r="AD228" s="56" t="s">
        <v>305</v>
      </c>
      <c r="AE228" s="57">
        <v>45763</v>
      </c>
      <c r="AF228" s="57"/>
      <c r="AG228" s="56" t="s">
        <v>305</v>
      </c>
      <c r="AH228" s="74" cm="1">
        <f t="array" ref="AH228:AI228">VLOOKUP(M228,'Customer data Vlookup'!$B$3:$H$127,{2,3},0)</f>
        <v>2187.8222094000002</v>
      </c>
      <c r="AI228" s="74">
        <v>44</v>
      </c>
      <c r="AJ228" s="74">
        <f t="shared" si="12"/>
        <v>2143.8222094000002</v>
      </c>
      <c r="AK228" s="41">
        <f t="shared" si="13"/>
        <v>-2.2094000000834058E-3</v>
      </c>
      <c r="AL228" s="62">
        <f t="shared" si="14"/>
        <v>2.0111343712005555E-2</v>
      </c>
      <c r="AO228" t="str">
        <f>VLOOKUP(M228,'Customer data'!F:P,11,0)</f>
        <v>Not Approved</v>
      </c>
    </row>
    <row r="229" spans="1:41" hidden="1">
      <c r="A229" s="56" t="s">
        <v>298</v>
      </c>
      <c r="B229" s="56" t="s">
        <v>299</v>
      </c>
      <c r="C229" s="56" t="s">
        <v>300</v>
      </c>
      <c r="D229" s="56" t="s">
        <v>301</v>
      </c>
      <c r="E229" s="56" t="s">
        <v>302</v>
      </c>
      <c r="F229" s="56" t="s">
        <v>321</v>
      </c>
      <c r="G229" s="57">
        <v>45763</v>
      </c>
      <c r="H229" s="58">
        <v>1800006367</v>
      </c>
      <c r="I229" s="56" t="s">
        <v>417</v>
      </c>
      <c r="J229" s="57">
        <v>45763</v>
      </c>
      <c r="K229" s="57">
        <v>45763</v>
      </c>
      <c r="L229" s="56" t="s">
        <v>332</v>
      </c>
      <c r="M229" s="60">
        <v>256779411258</v>
      </c>
      <c r="N229" s="56" t="s">
        <v>306</v>
      </c>
      <c r="O229" s="56" t="s">
        <v>307</v>
      </c>
      <c r="P229" s="56" t="s">
        <v>305</v>
      </c>
      <c r="Q229" s="56" t="s">
        <v>337</v>
      </c>
      <c r="R229" s="186" t="s">
        <v>333</v>
      </c>
      <c r="S229" s="164">
        <v>137.68</v>
      </c>
      <c r="T229" s="187" t="s">
        <v>309</v>
      </c>
      <c r="U229" s="164">
        <v>11967.4</v>
      </c>
      <c r="V229" s="56" t="s">
        <v>342</v>
      </c>
      <c r="W229" s="56" t="s">
        <v>305</v>
      </c>
      <c r="X229" s="56" t="s">
        <v>305</v>
      </c>
      <c r="Y229" s="56" t="s">
        <v>332</v>
      </c>
      <c r="Z229" s="56" t="s">
        <v>311</v>
      </c>
      <c r="AA229" s="56" t="s">
        <v>116</v>
      </c>
      <c r="AB229" s="56" t="s">
        <v>305</v>
      </c>
      <c r="AC229" s="56" t="s">
        <v>305</v>
      </c>
      <c r="AD229" s="56" t="s">
        <v>305</v>
      </c>
      <c r="AE229" s="57">
        <v>45763</v>
      </c>
      <c r="AF229" s="57"/>
      <c r="AG229" s="56" t="s">
        <v>305</v>
      </c>
      <c r="AH229" s="74" cm="1">
        <f t="array" ref="AH229:AI229">VLOOKUP(M229,'Customer data Vlookup'!$B$3:$H$127,{2,3},0)</f>
        <v>11967.3961776</v>
      </c>
      <c r="AI229" s="74">
        <v>239</v>
      </c>
      <c r="AJ229" s="74">
        <f t="shared" si="12"/>
        <v>11728.3961776</v>
      </c>
      <c r="AK229" s="41">
        <f t="shared" si="13"/>
        <v>3.8223999999900116E-3</v>
      </c>
      <c r="AL229" s="62">
        <f t="shared" si="14"/>
        <v>1.9970921002055584E-2</v>
      </c>
      <c r="AO229" t="str">
        <f>VLOOKUP(M229,'Customer data'!F:P,11,0)</f>
        <v>Not Approved</v>
      </c>
    </row>
    <row r="230" spans="1:41" hidden="1">
      <c r="A230" s="56" t="s">
        <v>298</v>
      </c>
      <c r="B230" s="56" t="s">
        <v>299</v>
      </c>
      <c r="C230" s="56" t="s">
        <v>300</v>
      </c>
      <c r="D230" s="56" t="s">
        <v>301</v>
      </c>
      <c r="E230" s="56" t="s">
        <v>302</v>
      </c>
      <c r="F230" s="56" t="s">
        <v>321</v>
      </c>
      <c r="G230" s="57">
        <v>45763</v>
      </c>
      <c r="H230" s="58">
        <v>1800006368</v>
      </c>
      <c r="I230" s="56" t="s">
        <v>417</v>
      </c>
      <c r="J230" s="57">
        <v>45763</v>
      </c>
      <c r="K230" s="57">
        <v>45763</v>
      </c>
      <c r="L230" s="56" t="s">
        <v>332</v>
      </c>
      <c r="M230" s="60">
        <v>256779411259</v>
      </c>
      <c r="N230" s="56" t="s">
        <v>306</v>
      </c>
      <c r="O230" s="56" t="s">
        <v>307</v>
      </c>
      <c r="P230" s="56" t="s">
        <v>305</v>
      </c>
      <c r="Q230" s="56" t="s">
        <v>337</v>
      </c>
      <c r="R230" s="186" t="s">
        <v>333</v>
      </c>
      <c r="S230" s="164">
        <v>137.68</v>
      </c>
      <c r="T230" s="187" t="s">
        <v>309</v>
      </c>
      <c r="U230" s="164">
        <v>11967.4</v>
      </c>
      <c r="V230" s="56" t="s">
        <v>342</v>
      </c>
      <c r="W230" s="56" t="s">
        <v>305</v>
      </c>
      <c r="X230" s="56" t="s">
        <v>305</v>
      </c>
      <c r="Y230" s="56" t="s">
        <v>332</v>
      </c>
      <c r="Z230" s="56" t="s">
        <v>311</v>
      </c>
      <c r="AA230" s="56" t="s">
        <v>116</v>
      </c>
      <c r="AB230" s="56" t="s">
        <v>305</v>
      </c>
      <c r="AC230" s="56" t="s">
        <v>305</v>
      </c>
      <c r="AD230" s="56" t="s">
        <v>305</v>
      </c>
      <c r="AE230" s="57">
        <v>45763</v>
      </c>
      <c r="AF230" s="57"/>
      <c r="AG230" s="56" t="s">
        <v>305</v>
      </c>
      <c r="AH230" s="74" cm="1">
        <f t="array" ref="AH230:AI230">VLOOKUP(M230,'Customer data Vlookup'!$B$3:$H$127,{2,3},0)</f>
        <v>11967.3961776</v>
      </c>
      <c r="AI230" s="74">
        <v>239</v>
      </c>
      <c r="AJ230" s="74">
        <f t="shared" si="12"/>
        <v>11728.3961776</v>
      </c>
      <c r="AK230" s="41">
        <f t="shared" si="13"/>
        <v>3.8223999999900116E-3</v>
      </c>
      <c r="AL230" s="62">
        <f t="shared" si="14"/>
        <v>1.9970921002055584E-2</v>
      </c>
      <c r="AO230" t="str">
        <f>VLOOKUP(M230,'Customer data'!F:P,11,0)</f>
        <v>Not Approved</v>
      </c>
    </row>
    <row r="231" spans="1:41" hidden="1">
      <c r="A231" s="56" t="s">
        <v>298</v>
      </c>
      <c r="B231" s="56" t="s">
        <v>299</v>
      </c>
      <c r="C231" s="56" t="s">
        <v>300</v>
      </c>
      <c r="D231" s="56" t="s">
        <v>301</v>
      </c>
      <c r="E231" s="56" t="s">
        <v>302</v>
      </c>
      <c r="F231" s="56" t="s">
        <v>321</v>
      </c>
      <c r="G231" s="57">
        <v>45763</v>
      </c>
      <c r="H231" s="58">
        <v>1800006369</v>
      </c>
      <c r="I231" s="56" t="s">
        <v>417</v>
      </c>
      <c r="J231" s="57">
        <v>45763</v>
      </c>
      <c r="K231" s="57">
        <v>45763</v>
      </c>
      <c r="L231" s="56" t="s">
        <v>332</v>
      </c>
      <c r="M231" s="60">
        <v>256779411260</v>
      </c>
      <c r="N231" s="56" t="s">
        <v>306</v>
      </c>
      <c r="O231" s="56" t="s">
        <v>307</v>
      </c>
      <c r="P231" s="56" t="s">
        <v>305</v>
      </c>
      <c r="Q231" s="56" t="s">
        <v>337</v>
      </c>
      <c r="R231" s="186" t="s">
        <v>333</v>
      </c>
      <c r="S231" s="164">
        <v>137.68</v>
      </c>
      <c r="T231" s="187" t="s">
        <v>309</v>
      </c>
      <c r="U231" s="164">
        <v>11967.4</v>
      </c>
      <c r="V231" s="56" t="s">
        <v>342</v>
      </c>
      <c r="W231" s="56" t="s">
        <v>305</v>
      </c>
      <c r="X231" s="56" t="s">
        <v>305</v>
      </c>
      <c r="Y231" s="56" t="s">
        <v>332</v>
      </c>
      <c r="Z231" s="56" t="s">
        <v>311</v>
      </c>
      <c r="AA231" s="56" t="s">
        <v>116</v>
      </c>
      <c r="AB231" s="56" t="s">
        <v>305</v>
      </c>
      <c r="AC231" s="56" t="s">
        <v>305</v>
      </c>
      <c r="AD231" s="56" t="s">
        <v>305</v>
      </c>
      <c r="AE231" s="57">
        <v>45763</v>
      </c>
      <c r="AF231" s="57"/>
      <c r="AG231" s="56" t="s">
        <v>305</v>
      </c>
      <c r="AH231" s="74" cm="1">
        <f t="array" ref="AH231:AI231">VLOOKUP(M231,'Customer data Vlookup'!$B$3:$H$127,{2,3},0)</f>
        <v>11967.3961776</v>
      </c>
      <c r="AI231" s="74">
        <v>239</v>
      </c>
      <c r="AJ231" s="74">
        <f t="shared" si="12"/>
        <v>11728.3961776</v>
      </c>
      <c r="AK231" s="41">
        <f t="shared" si="13"/>
        <v>3.8223999999900116E-3</v>
      </c>
      <c r="AL231" s="62">
        <f t="shared" si="14"/>
        <v>1.9970921002055584E-2</v>
      </c>
      <c r="AO231" t="str">
        <f>VLOOKUP(M231,'Customer data'!F:P,11,0)</f>
        <v>Not Approved</v>
      </c>
    </row>
    <row r="232" spans="1:41" hidden="1">
      <c r="A232" s="56" t="s">
        <v>298</v>
      </c>
      <c r="B232" s="56" t="s">
        <v>299</v>
      </c>
      <c r="C232" s="56" t="s">
        <v>300</v>
      </c>
      <c r="D232" s="56" t="s">
        <v>301</v>
      </c>
      <c r="E232" s="56" t="s">
        <v>302</v>
      </c>
      <c r="F232" s="56" t="s">
        <v>321</v>
      </c>
      <c r="G232" s="57">
        <v>45763</v>
      </c>
      <c r="H232" s="58">
        <v>1800006370</v>
      </c>
      <c r="I232" s="56" t="s">
        <v>417</v>
      </c>
      <c r="J232" s="57">
        <v>45763</v>
      </c>
      <c r="K232" s="57">
        <v>45763</v>
      </c>
      <c r="L232" s="56" t="s">
        <v>332</v>
      </c>
      <c r="M232" s="60">
        <v>256779411261</v>
      </c>
      <c r="N232" s="56" t="s">
        <v>306</v>
      </c>
      <c r="O232" s="56" t="s">
        <v>307</v>
      </c>
      <c r="P232" s="56" t="s">
        <v>305</v>
      </c>
      <c r="Q232" s="56" t="s">
        <v>337</v>
      </c>
      <c r="R232" s="186" t="s">
        <v>333</v>
      </c>
      <c r="S232" s="164">
        <v>275.35000000000002</v>
      </c>
      <c r="T232" s="187" t="s">
        <v>309</v>
      </c>
      <c r="U232" s="164">
        <v>23933.919999999998</v>
      </c>
      <c r="V232" s="56" t="s">
        <v>342</v>
      </c>
      <c r="W232" s="56" t="s">
        <v>305</v>
      </c>
      <c r="X232" s="56" t="s">
        <v>305</v>
      </c>
      <c r="Y232" s="56" t="s">
        <v>332</v>
      </c>
      <c r="Z232" s="56" t="s">
        <v>311</v>
      </c>
      <c r="AA232" s="56" t="s">
        <v>116</v>
      </c>
      <c r="AB232" s="56" t="s">
        <v>305</v>
      </c>
      <c r="AC232" s="56" t="s">
        <v>305</v>
      </c>
      <c r="AD232" s="56" t="s">
        <v>305</v>
      </c>
      <c r="AE232" s="57">
        <v>45763</v>
      </c>
      <c r="AF232" s="57"/>
      <c r="AG232" s="56" t="s">
        <v>305</v>
      </c>
      <c r="AH232" s="74" cm="1">
        <f t="array" ref="AH232:AI232">VLOOKUP(M232,'Customer data Vlookup'!$B$3:$H$127,{2,3},0)</f>
        <v>23933.923136999998</v>
      </c>
      <c r="AI232" s="74">
        <v>478</v>
      </c>
      <c r="AJ232" s="74">
        <f t="shared" si="12"/>
        <v>23455.923136999998</v>
      </c>
      <c r="AK232" s="41">
        <f t="shared" si="13"/>
        <v>-3.1369999996968545E-3</v>
      </c>
      <c r="AL232" s="62">
        <f t="shared" si="14"/>
        <v>1.9971655290900947E-2</v>
      </c>
      <c r="AO232" t="str">
        <f>VLOOKUP(M232,'Customer data'!F:P,11,0)</f>
        <v>Not Approved</v>
      </c>
    </row>
    <row r="233" spans="1:41" hidden="1">
      <c r="A233" s="56" t="s">
        <v>298</v>
      </c>
      <c r="B233" s="56" t="s">
        <v>299</v>
      </c>
      <c r="C233" s="56" t="s">
        <v>300</v>
      </c>
      <c r="D233" s="56" t="s">
        <v>301</v>
      </c>
      <c r="E233" s="56" t="s">
        <v>302</v>
      </c>
      <c r="F233" s="56" t="s">
        <v>321</v>
      </c>
      <c r="G233" s="57">
        <v>45762</v>
      </c>
      <c r="H233" s="58">
        <v>1800006116</v>
      </c>
      <c r="I233" s="56" t="s">
        <v>417</v>
      </c>
      <c r="J233" s="57">
        <v>45762</v>
      </c>
      <c r="K233" s="57">
        <v>45763</v>
      </c>
      <c r="L233" s="56" t="s">
        <v>332</v>
      </c>
      <c r="M233" s="60">
        <v>256779411007</v>
      </c>
      <c r="N233" s="56" t="s">
        <v>306</v>
      </c>
      <c r="O233" s="56" t="s">
        <v>307</v>
      </c>
      <c r="P233" s="56" t="s">
        <v>305</v>
      </c>
      <c r="Q233" s="56" t="s">
        <v>337</v>
      </c>
      <c r="R233" s="186" t="s">
        <v>333</v>
      </c>
      <c r="S233" s="164">
        <v>164.08</v>
      </c>
      <c r="T233" s="187" t="s">
        <v>309</v>
      </c>
      <c r="U233" s="164">
        <v>14262.13</v>
      </c>
      <c r="V233" s="56" t="s">
        <v>342</v>
      </c>
      <c r="W233" s="56" t="s">
        <v>305</v>
      </c>
      <c r="X233" s="56" t="s">
        <v>305</v>
      </c>
      <c r="Y233" s="56" t="s">
        <v>332</v>
      </c>
      <c r="Z233" s="56" t="s">
        <v>311</v>
      </c>
      <c r="AA233" s="56" t="s">
        <v>122</v>
      </c>
      <c r="AB233" s="56" t="s">
        <v>305</v>
      </c>
      <c r="AC233" s="56" t="s">
        <v>305</v>
      </c>
      <c r="AD233" s="56" t="s">
        <v>305</v>
      </c>
      <c r="AE233" s="57">
        <v>45762</v>
      </c>
      <c r="AF233" s="57"/>
      <c r="AG233" s="56" t="s">
        <v>305</v>
      </c>
      <c r="AH233" s="74" cm="1">
        <f t="array" ref="AH233:AI233">VLOOKUP(M233,'Customer data Vlookup'!$B$3:$H$127,{2,3},0)</f>
        <v>14262.132225600002</v>
      </c>
      <c r="AI233" s="74">
        <v>285</v>
      </c>
      <c r="AJ233" s="74">
        <f t="shared" si="12"/>
        <v>13977.132225600002</v>
      </c>
      <c r="AK233" s="41">
        <f t="shared" si="13"/>
        <v>-2.2256000029301504E-3</v>
      </c>
      <c r="AL233" s="62">
        <f t="shared" si="14"/>
        <v>1.9982989918055718E-2</v>
      </c>
      <c r="AO233" t="str">
        <f>VLOOKUP(M233,'Customer data'!F:P,11,0)</f>
        <v>Not Approved</v>
      </c>
    </row>
    <row r="234" spans="1:41" hidden="1">
      <c r="A234" s="56" t="s">
        <v>298</v>
      </c>
      <c r="B234" s="56" t="s">
        <v>299</v>
      </c>
      <c r="C234" s="56" t="s">
        <v>300</v>
      </c>
      <c r="D234" s="56" t="s">
        <v>301</v>
      </c>
      <c r="E234" s="56" t="s">
        <v>302</v>
      </c>
      <c r="F234" s="56" t="s">
        <v>321</v>
      </c>
      <c r="G234" s="57">
        <v>45762</v>
      </c>
      <c r="H234" s="58">
        <v>1800006117</v>
      </c>
      <c r="I234" s="56" t="s">
        <v>417</v>
      </c>
      <c r="J234" s="57">
        <v>45762</v>
      </c>
      <c r="K234" s="57">
        <v>45763</v>
      </c>
      <c r="L234" s="56" t="s">
        <v>332</v>
      </c>
      <c r="M234" s="60">
        <v>256779411008</v>
      </c>
      <c r="N234" s="56" t="s">
        <v>306</v>
      </c>
      <c r="O234" s="56" t="s">
        <v>307</v>
      </c>
      <c r="P234" s="56" t="s">
        <v>305</v>
      </c>
      <c r="Q234" s="56" t="s">
        <v>337</v>
      </c>
      <c r="R234" s="186" t="s">
        <v>333</v>
      </c>
      <c r="S234" s="164">
        <v>328.15</v>
      </c>
      <c r="T234" s="187" t="s">
        <v>309</v>
      </c>
      <c r="U234" s="164">
        <v>28523.4</v>
      </c>
      <c r="V234" s="56" t="s">
        <v>342</v>
      </c>
      <c r="W234" s="56" t="s">
        <v>305</v>
      </c>
      <c r="X234" s="56" t="s">
        <v>305</v>
      </c>
      <c r="Y234" s="56" t="s">
        <v>332</v>
      </c>
      <c r="Z234" s="56" t="s">
        <v>311</v>
      </c>
      <c r="AA234" s="56" t="s">
        <v>122</v>
      </c>
      <c r="AB234" s="56" t="s">
        <v>305</v>
      </c>
      <c r="AC234" s="56" t="s">
        <v>305</v>
      </c>
      <c r="AD234" s="56" t="s">
        <v>305</v>
      </c>
      <c r="AE234" s="57">
        <v>45762</v>
      </c>
      <c r="AF234" s="57"/>
      <c r="AG234" s="56" t="s">
        <v>305</v>
      </c>
      <c r="AH234" s="74" cm="1">
        <f t="array" ref="AH234:AI234">VLOOKUP(M234,'Customer data Vlookup'!$B$3:$H$127,{2,3},0)</f>
        <v>28523.395233000003</v>
      </c>
      <c r="AI234" s="74">
        <v>570</v>
      </c>
      <c r="AJ234" s="74">
        <f t="shared" si="12"/>
        <v>27953.395233000003</v>
      </c>
      <c r="AK234" s="41">
        <f t="shared" si="13"/>
        <v>4.7669999985373579E-3</v>
      </c>
      <c r="AL234" s="62">
        <f t="shared" si="14"/>
        <v>1.9983592418856097E-2</v>
      </c>
      <c r="AO234" t="str">
        <f>VLOOKUP(M234,'Customer data'!F:P,11,0)</f>
        <v>Not Approved</v>
      </c>
    </row>
    <row r="235" spans="1:41" hidden="1">
      <c r="A235" s="56" t="s">
        <v>298</v>
      </c>
      <c r="B235" s="56" t="s">
        <v>299</v>
      </c>
      <c r="C235" s="56" t="s">
        <v>300</v>
      </c>
      <c r="D235" s="56" t="s">
        <v>301</v>
      </c>
      <c r="E235" s="56" t="s">
        <v>302</v>
      </c>
      <c r="F235" s="56" t="s">
        <v>321</v>
      </c>
      <c r="G235" s="57">
        <v>45762</v>
      </c>
      <c r="H235" s="58">
        <v>1800006118</v>
      </c>
      <c r="I235" s="56" t="s">
        <v>417</v>
      </c>
      <c r="J235" s="57">
        <v>45762</v>
      </c>
      <c r="K235" s="57">
        <v>45763</v>
      </c>
      <c r="L235" s="56" t="s">
        <v>332</v>
      </c>
      <c r="M235" s="60">
        <v>256779411009</v>
      </c>
      <c r="N235" s="56" t="s">
        <v>306</v>
      </c>
      <c r="O235" s="56" t="s">
        <v>307</v>
      </c>
      <c r="P235" s="56" t="s">
        <v>305</v>
      </c>
      <c r="Q235" s="56" t="s">
        <v>337</v>
      </c>
      <c r="R235" s="186" t="s">
        <v>333</v>
      </c>
      <c r="S235" s="164">
        <v>164.08</v>
      </c>
      <c r="T235" s="187" t="s">
        <v>309</v>
      </c>
      <c r="U235" s="164">
        <v>14262.13</v>
      </c>
      <c r="V235" s="56" t="s">
        <v>342</v>
      </c>
      <c r="W235" s="56" t="s">
        <v>305</v>
      </c>
      <c r="X235" s="56" t="s">
        <v>305</v>
      </c>
      <c r="Y235" s="56" t="s">
        <v>332</v>
      </c>
      <c r="Z235" s="56" t="s">
        <v>311</v>
      </c>
      <c r="AA235" s="56" t="s">
        <v>122</v>
      </c>
      <c r="AB235" s="56" t="s">
        <v>305</v>
      </c>
      <c r="AC235" s="56" t="s">
        <v>305</v>
      </c>
      <c r="AD235" s="56" t="s">
        <v>305</v>
      </c>
      <c r="AE235" s="57">
        <v>45762</v>
      </c>
      <c r="AF235" s="57"/>
      <c r="AG235" s="56" t="s">
        <v>305</v>
      </c>
      <c r="AH235" s="74" cm="1">
        <f t="array" ref="AH235:AI235">VLOOKUP(M235,'Customer data Vlookup'!$B$3:$H$127,{2,3},0)</f>
        <v>14262.132225600002</v>
      </c>
      <c r="AI235" s="74">
        <v>285</v>
      </c>
      <c r="AJ235" s="74">
        <f t="shared" si="12"/>
        <v>13977.132225600002</v>
      </c>
      <c r="AK235" s="41">
        <f t="shared" si="13"/>
        <v>-2.2256000029301504E-3</v>
      </c>
      <c r="AL235" s="62">
        <f t="shared" si="14"/>
        <v>1.9982989918055718E-2</v>
      </c>
      <c r="AO235" t="str">
        <f>VLOOKUP(M235,'Customer data'!F:P,11,0)</f>
        <v>Not Approved</v>
      </c>
    </row>
    <row r="236" spans="1:41" hidden="1">
      <c r="A236" s="56" t="s">
        <v>298</v>
      </c>
      <c r="B236" s="56" t="s">
        <v>299</v>
      </c>
      <c r="C236" s="56" t="s">
        <v>300</v>
      </c>
      <c r="D236" s="56" t="s">
        <v>301</v>
      </c>
      <c r="E236" s="56" t="s">
        <v>302</v>
      </c>
      <c r="F236" s="56" t="s">
        <v>321</v>
      </c>
      <c r="G236" s="57">
        <v>45762</v>
      </c>
      <c r="H236" s="58">
        <v>1800006119</v>
      </c>
      <c r="I236" s="56" t="s">
        <v>417</v>
      </c>
      <c r="J236" s="57">
        <v>45762</v>
      </c>
      <c r="K236" s="57">
        <v>45763</v>
      </c>
      <c r="L236" s="56" t="s">
        <v>332</v>
      </c>
      <c r="M236" s="60">
        <v>256779411010</v>
      </c>
      <c r="N236" s="56" t="s">
        <v>306</v>
      </c>
      <c r="O236" s="56" t="s">
        <v>307</v>
      </c>
      <c r="P236" s="56" t="s">
        <v>305</v>
      </c>
      <c r="Q236" s="56" t="s">
        <v>337</v>
      </c>
      <c r="R236" s="186" t="s">
        <v>333</v>
      </c>
      <c r="S236" s="164">
        <v>164.08</v>
      </c>
      <c r="T236" s="187" t="s">
        <v>309</v>
      </c>
      <c r="U236" s="164">
        <v>14262.13</v>
      </c>
      <c r="V236" s="56" t="s">
        <v>342</v>
      </c>
      <c r="W236" s="56" t="s">
        <v>305</v>
      </c>
      <c r="X236" s="56" t="s">
        <v>305</v>
      </c>
      <c r="Y236" s="56" t="s">
        <v>332</v>
      </c>
      <c r="Z236" s="56" t="s">
        <v>311</v>
      </c>
      <c r="AA236" s="56" t="s">
        <v>122</v>
      </c>
      <c r="AB236" s="56" t="s">
        <v>305</v>
      </c>
      <c r="AC236" s="56" t="s">
        <v>305</v>
      </c>
      <c r="AD236" s="56" t="s">
        <v>305</v>
      </c>
      <c r="AE236" s="57">
        <v>45762</v>
      </c>
      <c r="AF236" s="57"/>
      <c r="AG236" s="56" t="s">
        <v>305</v>
      </c>
      <c r="AH236" s="74" cm="1">
        <f t="array" ref="AH236:AI236">VLOOKUP(M236,'Customer data Vlookup'!$B$3:$H$127,{2,3},0)</f>
        <v>14262.132225600002</v>
      </c>
      <c r="AI236" s="74">
        <v>285</v>
      </c>
      <c r="AJ236" s="74">
        <f t="shared" si="12"/>
        <v>13977.132225600002</v>
      </c>
      <c r="AK236" s="41">
        <f t="shared" si="13"/>
        <v>-2.2256000029301504E-3</v>
      </c>
      <c r="AL236" s="62">
        <f t="shared" si="14"/>
        <v>1.9982989918055718E-2</v>
      </c>
      <c r="AO236" t="str">
        <f>VLOOKUP(M236,'Customer data'!F:P,11,0)</f>
        <v>Not Approved</v>
      </c>
    </row>
    <row r="237" spans="1:41" hidden="1">
      <c r="A237" s="56" t="s">
        <v>298</v>
      </c>
      <c r="B237" s="56" t="s">
        <v>299</v>
      </c>
      <c r="C237" s="56" t="s">
        <v>300</v>
      </c>
      <c r="D237" s="56" t="s">
        <v>301</v>
      </c>
      <c r="E237" s="56" t="s">
        <v>302</v>
      </c>
      <c r="F237" s="56" t="s">
        <v>321</v>
      </c>
      <c r="G237" s="57">
        <v>45751</v>
      </c>
      <c r="H237" s="58">
        <v>1800005927</v>
      </c>
      <c r="I237" s="56" t="s">
        <v>417</v>
      </c>
      <c r="J237" s="57">
        <v>45751</v>
      </c>
      <c r="K237" s="57">
        <v>45752</v>
      </c>
      <c r="L237" s="56" t="s">
        <v>332</v>
      </c>
      <c r="M237" s="60">
        <v>256779410818</v>
      </c>
      <c r="N237" s="56" t="s">
        <v>306</v>
      </c>
      <c r="O237" s="56" t="s">
        <v>307</v>
      </c>
      <c r="P237" s="56" t="s">
        <v>305</v>
      </c>
      <c r="Q237" s="56" t="s">
        <v>337</v>
      </c>
      <c r="R237" s="186" t="s">
        <v>333</v>
      </c>
      <c r="S237" s="164">
        <v>1231.96</v>
      </c>
      <c r="T237" s="187" t="s">
        <v>309</v>
      </c>
      <c r="U237" s="164">
        <v>107084.21</v>
      </c>
      <c r="V237" s="56" t="s">
        <v>342</v>
      </c>
      <c r="W237" s="56" t="s">
        <v>305</v>
      </c>
      <c r="X237" s="56" t="s">
        <v>305</v>
      </c>
      <c r="Y237" s="56" t="s">
        <v>332</v>
      </c>
      <c r="Z237" s="56" t="s">
        <v>311</v>
      </c>
      <c r="AA237" s="56" t="s">
        <v>418</v>
      </c>
      <c r="AB237" s="56" t="s">
        <v>305</v>
      </c>
      <c r="AC237" s="56" t="s">
        <v>305</v>
      </c>
      <c r="AD237" s="56" t="s">
        <v>305</v>
      </c>
      <c r="AE237" s="57">
        <v>45751</v>
      </c>
      <c r="AF237" s="57">
        <v>45856</v>
      </c>
      <c r="AG237" s="58">
        <v>1400000339</v>
      </c>
      <c r="AH237" s="74" t="e" cm="1">
        <f t="array" ref="AH237">VLOOKUP(M237,'Customer data Vlookup'!$B$3:$H$127,{2,3},0)</f>
        <v>#N/A</v>
      </c>
      <c r="AI237" s="74"/>
      <c r="AJ237" s="74"/>
      <c r="AK237" s="43"/>
      <c r="AL237" s="43"/>
      <c r="AO237" t="e">
        <f>VLOOKUP(M237,'Customer data'!F:P,11,0)</f>
        <v>#N/A</v>
      </c>
    </row>
    <row r="238" spans="1:41" hidden="1">
      <c r="A238" s="56" t="s">
        <v>298</v>
      </c>
      <c r="B238" s="56" t="s">
        <v>299</v>
      </c>
      <c r="C238" s="56" t="s">
        <v>300</v>
      </c>
      <c r="D238" s="56" t="s">
        <v>301</v>
      </c>
      <c r="E238" s="56" t="s">
        <v>302</v>
      </c>
      <c r="F238" s="56" t="s">
        <v>321</v>
      </c>
      <c r="G238" s="57">
        <v>45751</v>
      </c>
      <c r="H238" s="58">
        <v>1800005909</v>
      </c>
      <c r="I238" s="56" t="s">
        <v>417</v>
      </c>
      <c r="J238" s="57">
        <v>45751</v>
      </c>
      <c r="K238" s="57">
        <v>45752</v>
      </c>
      <c r="L238" s="56" t="s">
        <v>332</v>
      </c>
      <c r="M238" s="60">
        <v>256779410800</v>
      </c>
      <c r="N238" s="56" t="s">
        <v>306</v>
      </c>
      <c r="O238" s="56" t="s">
        <v>307</v>
      </c>
      <c r="P238" s="56" t="s">
        <v>305</v>
      </c>
      <c r="Q238" s="56" t="s">
        <v>337</v>
      </c>
      <c r="R238" s="186" t="s">
        <v>333</v>
      </c>
      <c r="S238" s="164">
        <v>364.8</v>
      </c>
      <c r="T238" s="187" t="s">
        <v>309</v>
      </c>
      <c r="U238" s="164">
        <v>31709.08</v>
      </c>
      <c r="V238" s="56" t="s">
        <v>342</v>
      </c>
      <c r="W238" s="56" t="s">
        <v>305</v>
      </c>
      <c r="X238" s="56" t="s">
        <v>305</v>
      </c>
      <c r="Y238" s="56" t="s">
        <v>332</v>
      </c>
      <c r="Z238" s="56" t="s">
        <v>311</v>
      </c>
      <c r="AA238" s="56" t="s">
        <v>91</v>
      </c>
      <c r="AB238" s="56" t="s">
        <v>305</v>
      </c>
      <c r="AC238" s="56" t="s">
        <v>305</v>
      </c>
      <c r="AD238" s="56" t="s">
        <v>305</v>
      </c>
      <c r="AE238" s="57">
        <v>45751</v>
      </c>
      <c r="AF238" s="57">
        <v>45946</v>
      </c>
      <c r="AG238" s="58">
        <v>1400001454</v>
      </c>
      <c r="AH238" s="74" cm="1">
        <f t="array" ref="AH238:AI238">VLOOKUP(M238,'Customer data Vlookup'!$B$3:$H$127,{2,3},0)</f>
        <v>31709.079935999998</v>
      </c>
      <c r="AI238" s="74">
        <v>3171</v>
      </c>
      <c r="AJ238" s="74">
        <f t="shared" ref="AJ238:AJ246" si="15">AH238-AI238</f>
        <v>28538.079935999998</v>
      </c>
      <c r="AK238" s="41">
        <f t="shared" ref="AK238:AK246" si="16">U238-AH238</f>
        <v>6.400000347639434E-5</v>
      </c>
      <c r="AL238" s="62">
        <f t="shared" ref="AL238:AL246" si="17">AI238/U238</f>
        <v>0.10000290137714496</v>
      </c>
      <c r="AO238" t="str">
        <f>VLOOKUP(M238,'Customer data'!F:P,11,0)</f>
        <v>HDFCN52025051435275414</v>
      </c>
    </row>
    <row r="239" spans="1:41" hidden="1">
      <c r="A239" s="56" t="s">
        <v>298</v>
      </c>
      <c r="B239" s="56" t="s">
        <v>299</v>
      </c>
      <c r="C239" s="56" t="s">
        <v>300</v>
      </c>
      <c r="D239" s="56" t="s">
        <v>301</v>
      </c>
      <c r="E239" s="56" t="s">
        <v>302</v>
      </c>
      <c r="F239" s="56" t="s">
        <v>321</v>
      </c>
      <c r="G239" s="57">
        <v>45750</v>
      </c>
      <c r="H239" s="58">
        <v>1800005093</v>
      </c>
      <c r="I239" s="56" t="s">
        <v>417</v>
      </c>
      <c r="J239" s="57">
        <v>45750</v>
      </c>
      <c r="K239" s="57">
        <v>45752</v>
      </c>
      <c r="L239" s="56" t="s">
        <v>332</v>
      </c>
      <c r="M239" s="60">
        <v>256779410039</v>
      </c>
      <c r="N239" s="56" t="s">
        <v>306</v>
      </c>
      <c r="O239" s="56" t="s">
        <v>307</v>
      </c>
      <c r="P239" s="56" t="s">
        <v>305</v>
      </c>
      <c r="Q239" s="56" t="s">
        <v>337</v>
      </c>
      <c r="R239" s="186" t="s">
        <v>333</v>
      </c>
      <c r="S239" s="164">
        <v>283.43</v>
      </c>
      <c r="T239" s="187" t="s">
        <v>309</v>
      </c>
      <c r="U239" s="164">
        <v>24636.25</v>
      </c>
      <c r="V239" s="56" t="s">
        <v>342</v>
      </c>
      <c r="W239" s="56" t="s">
        <v>305</v>
      </c>
      <c r="X239" s="56" t="s">
        <v>305</v>
      </c>
      <c r="Y239" s="56" t="s">
        <v>332</v>
      </c>
      <c r="Z239" s="56" t="s">
        <v>311</v>
      </c>
      <c r="AA239" s="56" t="s">
        <v>97</v>
      </c>
      <c r="AB239" s="56" t="s">
        <v>305</v>
      </c>
      <c r="AC239" s="56" t="s">
        <v>305</v>
      </c>
      <c r="AD239" s="56" t="s">
        <v>305</v>
      </c>
      <c r="AE239" s="57">
        <v>45750</v>
      </c>
      <c r="AF239" s="57">
        <v>45946</v>
      </c>
      <c r="AG239" s="58">
        <v>1400001454</v>
      </c>
      <c r="AH239" s="74" cm="1">
        <f t="array" ref="AH239:AI239">VLOOKUP(M239,'Customer data Vlookup'!$B$3:$H$127,{2,3},0)</f>
        <v>24636.251442599998</v>
      </c>
      <c r="AI239" s="74">
        <v>493</v>
      </c>
      <c r="AJ239" s="74">
        <f t="shared" si="15"/>
        <v>24143.251442599998</v>
      </c>
      <c r="AK239" s="41">
        <f t="shared" si="16"/>
        <v>-1.4425999979721382E-3</v>
      </c>
      <c r="AL239" s="62">
        <f t="shared" si="17"/>
        <v>2.001116241311076E-2</v>
      </c>
      <c r="AO239" t="str">
        <f>VLOOKUP(M239,'Customer data'!F:P,11,0)</f>
        <v>HDFCN52025051435275414</v>
      </c>
    </row>
    <row r="240" spans="1:41" hidden="1">
      <c r="A240" s="56" t="s">
        <v>298</v>
      </c>
      <c r="B240" s="56" t="s">
        <v>299</v>
      </c>
      <c r="C240" s="56" t="s">
        <v>300</v>
      </c>
      <c r="D240" s="56" t="s">
        <v>301</v>
      </c>
      <c r="E240" s="56" t="s">
        <v>302</v>
      </c>
      <c r="F240" s="56" t="s">
        <v>321</v>
      </c>
      <c r="G240" s="57">
        <v>45750</v>
      </c>
      <c r="H240" s="58">
        <v>1800005094</v>
      </c>
      <c r="I240" s="56" t="s">
        <v>417</v>
      </c>
      <c r="J240" s="57">
        <v>45750</v>
      </c>
      <c r="K240" s="57">
        <v>45752</v>
      </c>
      <c r="L240" s="56" t="s">
        <v>332</v>
      </c>
      <c r="M240" s="60">
        <v>256779410040</v>
      </c>
      <c r="N240" s="56" t="s">
        <v>306</v>
      </c>
      <c r="O240" s="56" t="s">
        <v>307</v>
      </c>
      <c r="P240" s="56" t="s">
        <v>305</v>
      </c>
      <c r="Q240" s="56" t="s">
        <v>337</v>
      </c>
      <c r="R240" s="186" t="s">
        <v>333</v>
      </c>
      <c r="S240" s="164">
        <v>79.2</v>
      </c>
      <c r="T240" s="187" t="s">
        <v>309</v>
      </c>
      <c r="U240" s="164">
        <v>6884.21</v>
      </c>
      <c r="V240" s="56" t="s">
        <v>342</v>
      </c>
      <c r="W240" s="56" t="s">
        <v>305</v>
      </c>
      <c r="X240" s="56" t="s">
        <v>305</v>
      </c>
      <c r="Y240" s="56" t="s">
        <v>332</v>
      </c>
      <c r="Z240" s="56" t="s">
        <v>311</v>
      </c>
      <c r="AA240" s="56" t="s">
        <v>100</v>
      </c>
      <c r="AB240" s="56" t="s">
        <v>305</v>
      </c>
      <c r="AC240" s="56" t="s">
        <v>305</v>
      </c>
      <c r="AD240" s="56" t="s">
        <v>305</v>
      </c>
      <c r="AE240" s="57">
        <v>45750</v>
      </c>
      <c r="AF240" s="57">
        <v>45946</v>
      </c>
      <c r="AG240" s="58">
        <v>1400001454</v>
      </c>
      <c r="AH240" s="74" cm="1">
        <f t="array" ref="AH240:AI240">VLOOKUP(M240,'Customer data Vlookup'!$B$3:$H$127,{2,3},0)</f>
        <v>6884.2081440000002</v>
      </c>
      <c r="AI240" s="74">
        <v>138</v>
      </c>
      <c r="AJ240" s="74">
        <f t="shared" si="15"/>
        <v>6746.2081440000002</v>
      </c>
      <c r="AK240" s="41">
        <f t="shared" si="16"/>
        <v>1.855999999861524E-3</v>
      </c>
      <c r="AL240" s="62">
        <f t="shared" si="17"/>
        <v>2.0045873092192131E-2</v>
      </c>
      <c r="AO240" t="str">
        <f>VLOOKUP(M240,'Customer data'!F:P,11,0)</f>
        <v>HDFCN52025051435275414</v>
      </c>
    </row>
    <row r="241" spans="1:41" hidden="1">
      <c r="A241" s="56" t="s">
        <v>298</v>
      </c>
      <c r="B241" s="56" t="s">
        <v>299</v>
      </c>
      <c r="C241" s="56" t="s">
        <v>300</v>
      </c>
      <c r="D241" s="56" t="s">
        <v>301</v>
      </c>
      <c r="E241" s="56" t="s">
        <v>302</v>
      </c>
      <c r="F241" s="56" t="s">
        <v>321</v>
      </c>
      <c r="G241" s="57">
        <v>45750</v>
      </c>
      <c r="H241" s="58">
        <v>1800005095</v>
      </c>
      <c r="I241" s="56" t="s">
        <v>417</v>
      </c>
      <c r="J241" s="57">
        <v>45750</v>
      </c>
      <c r="K241" s="57">
        <v>45752</v>
      </c>
      <c r="L241" s="56" t="s">
        <v>332</v>
      </c>
      <c r="M241" s="60">
        <v>256779410041</v>
      </c>
      <c r="N241" s="56" t="s">
        <v>306</v>
      </c>
      <c r="O241" s="56" t="s">
        <v>307</v>
      </c>
      <c r="P241" s="56" t="s">
        <v>305</v>
      </c>
      <c r="Q241" s="56" t="s">
        <v>337</v>
      </c>
      <c r="R241" s="186" t="s">
        <v>333</v>
      </c>
      <c r="S241" s="164">
        <v>129.6</v>
      </c>
      <c r="T241" s="187" t="s">
        <v>309</v>
      </c>
      <c r="U241" s="164">
        <v>11265.07</v>
      </c>
      <c r="V241" s="56" t="s">
        <v>342</v>
      </c>
      <c r="W241" s="56" t="s">
        <v>305</v>
      </c>
      <c r="X241" s="56" t="s">
        <v>305</v>
      </c>
      <c r="Y241" s="56" t="s">
        <v>332</v>
      </c>
      <c r="Z241" s="56" t="s">
        <v>311</v>
      </c>
      <c r="AA241" s="56" t="s">
        <v>102</v>
      </c>
      <c r="AB241" s="56" t="s">
        <v>305</v>
      </c>
      <c r="AC241" s="56" t="s">
        <v>305</v>
      </c>
      <c r="AD241" s="56" t="s">
        <v>305</v>
      </c>
      <c r="AE241" s="57">
        <v>45750</v>
      </c>
      <c r="AF241" s="57">
        <v>45946</v>
      </c>
      <c r="AG241" s="58">
        <v>1400001454</v>
      </c>
      <c r="AH241" s="74" cm="1">
        <f t="array" ref="AH241:AI241">VLOOKUP(M241,'Customer data Vlookup'!$B$3:$H$127,{2,3},0)</f>
        <v>11265.067872</v>
      </c>
      <c r="AI241" s="74">
        <v>225</v>
      </c>
      <c r="AJ241" s="74">
        <f t="shared" si="15"/>
        <v>11040.067872</v>
      </c>
      <c r="AK241" s="41">
        <f t="shared" si="16"/>
        <v>2.1280000000842847E-3</v>
      </c>
      <c r="AL241" s="62">
        <f t="shared" si="17"/>
        <v>1.9973244729060716E-2</v>
      </c>
      <c r="AO241" t="str">
        <f>VLOOKUP(M241,'Customer data'!F:P,11,0)</f>
        <v>HDFCN52025051435275414</v>
      </c>
    </row>
    <row r="242" spans="1:41" hidden="1">
      <c r="A242" s="56" t="s">
        <v>298</v>
      </c>
      <c r="B242" s="56" t="s">
        <v>299</v>
      </c>
      <c r="C242" s="56" t="s">
        <v>300</v>
      </c>
      <c r="D242" s="56" t="s">
        <v>301</v>
      </c>
      <c r="E242" s="56" t="s">
        <v>302</v>
      </c>
      <c r="F242" s="56" t="s">
        <v>321</v>
      </c>
      <c r="G242" s="57">
        <v>45750</v>
      </c>
      <c r="H242" s="58">
        <v>1800005156</v>
      </c>
      <c r="I242" s="56" t="s">
        <v>417</v>
      </c>
      <c r="J242" s="57">
        <v>45750</v>
      </c>
      <c r="K242" s="57">
        <v>45752</v>
      </c>
      <c r="L242" s="56" t="s">
        <v>332</v>
      </c>
      <c r="M242" s="60">
        <v>256779410102</v>
      </c>
      <c r="N242" s="56" t="s">
        <v>306</v>
      </c>
      <c r="O242" s="56" t="s">
        <v>307</v>
      </c>
      <c r="P242" s="56" t="s">
        <v>305</v>
      </c>
      <c r="Q242" s="56" t="s">
        <v>337</v>
      </c>
      <c r="R242" s="186" t="s">
        <v>333</v>
      </c>
      <c r="S242" s="164">
        <v>283.43</v>
      </c>
      <c r="T242" s="187" t="s">
        <v>309</v>
      </c>
      <c r="U242" s="164">
        <v>24636.25</v>
      </c>
      <c r="V242" s="56" t="s">
        <v>342</v>
      </c>
      <c r="W242" s="56" t="s">
        <v>305</v>
      </c>
      <c r="X242" s="56" t="s">
        <v>305</v>
      </c>
      <c r="Y242" s="56" t="s">
        <v>332</v>
      </c>
      <c r="Z242" s="56" t="s">
        <v>311</v>
      </c>
      <c r="AA242" s="56" t="s">
        <v>517</v>
      </c>
      <c r="AB242" s="56" t="s">
        <v>305</v>
      </c>
      <c r="AC242" s="56" t="s">
        <v>305</v>
      </c>
      <c r="AD242" s="56" t="s">
        <v>305</v>
      </c>
      <c r="AE242" s="57">
        <v>45750</v>
      </c>
      <c r="AF242" s="57">
        <v>45946</v>
      </c>
      <c r="AG242" s="58">
        <v>1400001454</v>
      </c>
      <c r="AH242" s="74" cm="1">
        <f t="array" ref="AH242:AI242">VLOOKUP(M242,'Customer data Vlookup'!$B$3:$H$127,{2,3},0)</f>
        <v>24636.251442599998</v>
      </c>
      <c r="AI242" s="74">
        <v>493</v>
      </c>
      <c r="AJ242" s="74">
        <f t="shared" si="15"/>
        <v>24143.251442599998</v>
      </c>
      <c r="AK242" s="41">
        <f t="shared" si="16"/>
        <v>-1.4425999979721382E-3</v>
      </c>
      <c r="AL242" s="62">
        <f t="shared" si="17"/>
        <v>2.001116241311076E-2</v>
      </c>
      <c r="AO242" t="str">
        <f>VLOOKUP(M242,'Customer data'!F:P,11,0)</f>
        <v>HDFCN52025051435275414</v>
      </c>
    </row>
    <row r="243" spans="1:41" hidden="1">
      <c r="A243" s="56" t="s">
        <v>298</v>
      </c>
      <c r="B243" s="56" t="s">
        <v>299</v>
      </c>
      <c r="C243" s="56" t="s">
        <v>300</v>
      </c>
      <c r="D243" s="56" t="s">
        <v>301</v>
      </c>
      <c r="E243" s="56" t="s">
        <v>302</v>
      </c>
      <c r="F243" s="56" t="s">
        <v>321</v>
      </c>
      <c r="G243" s="57">
        <v>45750</v>
      </c>
      <c r="H243" s="58">
        <v>1800005158</v>
      </c>
      <c r="I243" s="56" t="s">
        <v>417</v>
      </c>
      <c r="J243" s="57">
        <v>45750</v>
      </c>
      <c r="K243" s="57">
        <v>45752</v>
      </c>
      <c r="L243" s="56" t="s">
        <v>332</v>
      </c>
      <c r="M243" s="60">
        <v>256779410104</v>
      </c>
      <c r="N243" s="56" t="s">
        <v>306</v>
      </c>
      <c r="O243" s="56" t="s">
        <v>307</v>
      </c>
      <c r="P243" s="56" t="s">
        <v>305</v>
      </c>
      <c r="Q243" s="56" t="s">
        <v>337</v>
      </c>
      <c r="R243" s="186" t="s">
        <v>333</v>
      </c>
      <c r="S243" s="164">
        <v>129.6</v>
      </c>
      <c r="T243" s="187" t="s">
        <v>309</v>
      </c>
      <c r="U243" s="164">
        <v>11265.07</v>
      </c>
      <c r="V243" s="56" t="s">
        <v>342</v>
      </c>
      <c r="W243" s="56" t="s">
        <v>305</v>
      </c>
      <c r="X243" s="56" t="s">
        <v>305</v>
      </c>
      <c r="Y243" s="56" t="s">
        <v>332</v>
      </c>
      <c r="Z243" s="56" t="s">
        <v>311</v>
      </c>
      <c r="AA243" s="56" t="s">
        <v>518</v>
      </c>
      <c r="AB243" s="56" t="s">
        <v>305</v>
      </c>
      <c r="AC243" s="56" t="s">
        <v>305</v>
      </c>
      <c r="AD243" s="56" t="s">
        <v>305</v>
      </c>
      <c r="AE243" s="57">
        <v>45750</v>
      </c>
      <c r="AF243" s="57">
        <v>45946</v>
      </c>
      <c r="AG243" s="58">
        <v>1400001454</v>
      </c>
      <c r="AH243" s="74" cm="1">
        <f t="array" ref="AH243:AI243">VLOOKUP(M243,'Customer data Vlookup'!$B$3:$H$127,{2,3},0)</f>
        <v>11265.067872</v>
      </c>
      <c r="AI243" s="74">
        <v>225</v>
      </c>
      <c r="AJ243" s="74">
        <f t="shared" si="15"/>
        <v>11040.067872</v>
      </c>
      <c r="AK243" s="41">
        <f t="shared" si="16"/>
        <v>2.1280000000842847E-3</v>
      </c>
      <c r="AL243" s="62">
        <f t="shared" si="17"/>
        <v>1.9973244729060716E-2</v>
      </c>
      <c r="AO243" t="str">
        <f>VLOOKUP(M243,'Customer data'!F:P,11,0)</f>
        <v>HDFCN52025051435275414</v>
      </c>
    </row>
    <row r="244" spans="1:41" hidden="1">
      <c r="A244" s="56" t="s">
        <v>298</v>
      </c>
      <c r="B244" s="56" t="s">
        <v>299</v>
      </c>
      <c r="C244" s="56" t="s">
        <v>300</v>
      </c>
      <c r="D244" s="56" t="s">
        <v>301</v>
      </c>
      <c r="E244" s="56" t="s">
        <v>302</v>
      </c>
      <c r="F244" s="56" t="s">
        <v>321</v>
      </c>
      <c r="G244" s="57">
        <v>45750</v>
      </c>
      <c r="H244" s="58">
        <v>1800005291</v>
      </c>
      <c r="I244" s="56" t="s">
        <v>417</v>
      </c>
      <c r="J244" s="57">
        <v>45750</v>
      </c>
      <c r="K244" s="57">
        <v>45752</v>
      </c>
      <c r="L244" s="56" t="s">
        <v>332</v>
      </c>
      <c r="M244" s="60">
        <v>256779410183</v>
      </c>
      <c r="N244" s="56" t="s">
        <v>306</v>
      </c>
      <c r="O244" s="56" t="s">
        <v>307</v>
      </c>
      <c r="P244" s="56" t="s">
        <v>305</v>
      </c>
      <c r="Q244" s="56" t="s">
        <v>337</v>
      </c>
      <c r="R244" s="186" t="s">
        <v>333</v>
      </c>
      <c r="S244" s="164">
        <v>75.849999999999994</v>
      </c>
      <c r="T244" s="187" t="s">
        <v>309</v>
      </c>
      <c r="U244" s="164">
        <v>6593.02</v>
      </c>
      <c r="V244" s="56" t="s">
        <v>342</v>
      </c>
      <c r="W244" s="56" t="s">
        <v>305</v>
      </c>
      <c r="X244" s="56" t="s">
        <v>305</v>
      </c>
      <c r="Y244" s="56" t="s">
        <v>332</v>
      </c>
      <c r="Z244" s="56" t="s">
        <v>311</v>
      </c>
      <c r="AA244" s="56" t="s">
        <v>112</v>
      </c>
      <c r="AB244" s="56" t="s">
        <v>305</v>
      </c>
      <c r="AC244" s="56" t="s">
        <v>305</v>
      </c>
      <c r="AD244" s="56" t="s">
        <v>305</v>
      </c>
      <c r="AE244" s="57">
        <v>45750</v>
      </c>
      <c r="AF244" s="57">
        <v>45946</v>
      </c>
      <c r="AG244" s="58">
        <v>1400001454</v>
      </c>
      <c r="AH244" s="74" cm="1">
        <f t="array" ref="AH244:AI244">VLOOKUP(M244,'Customer data Vlookup'!$B$3:$H$127,{2,3},0)</f>
        <v>6593.0200469999991</v>
      </c>
      <c r="AI244" s="74">
        <v>132</v>
      </c>
      <c r="AJ244" s="74">
        <f t="shared" si="15"/>
        <v>6461.0200469999991</v>
      </c>
      <c r="AK244" s="41">
        <f t="shared" si="16"/>
        <v>-4.6999998630781192E-5</v>
      </c>
      <c r="AL244" s="62">
        <f t="shared" si="17"/>
        <v>2.0021173908163482E-2</v>
      </c>
      <c r="AO244" t="str">
        <f>VLOOKUP(M244,'Customer data'!F:P,11,0)</f>
        <v>HDFCN52025051435275414</v>
      </c>
    </row>
    <row r="245" spans="1:41" hidden="1">
      <c r="A245" s="56" t="s">
        <v>298</v>
      </c>
      <c r="B245" s="56" t="s">
        <v>299</v>
      </c>
      <c r="C245" s="56" t="s">
        <v>300</v>
      </c>
      <c r="D245" s="56" t="s">
        <v>301</v>
      </c>
      <c r="E245" s="56" t="s">
        <v>302</v>
      </c>
      <c r="F245" s="56" t="s">
        <v>321</v>
      </c>
      <c r="G245" s="57">
        <v>45750</v>
      </c>
      <c r="H245" s="58">
        <v>1800005096</v>
      </c>
      <c r="I245" s="56" t="s">
        <v>417</v>
      </c>
      <c r="J245" s="57">
        <v>45750</v>
      </c>
      <c r="K245" s="57">
        <v>45752</v>
      </c>
      <c r="L245" s="56" t="s">
        <v>332</v>
      </c>
      <c r="M245" s="60">
        <v>256779410042</v>
      </c>
      <c r="N245" s="56" t="s">
        <v>306</v>
      </c>
      <c r="O245" s="56" t="s">
        <v>307</v>
      </c>
      <c r="P245" s="56" t="s">
        <v>305</v>
      </c>
      <c r="Q245" s="56" t="s">
        <v>337</v>
      </c>
      <c r="R245" s="186" t="s">
        <v>333</v>
      </c>
      <c r="S245" s="164">
        <v>270</v>
      </c>
      <c r="T245" s="187" t="s">
        <v>309</v>
      </c>
      <c r="U245" s="164">
        <v>23468.89</v>
      </c>
      <c r="V245" s="56" t="s">
        <v>342</v>
      </c>
      <c r="W245" s="56" t="s">
        <v>305</v>
      </c>
      <c r="X245" s="56" t="s">
        <v>305</v>
      </c>
      <c r="Y245" s="56" t="s">
        <v>332</v>
      </c>
      <c r="Z245" s="56" t="s">
        <v>311</v>
      </c>
      <c r="AA245" s="56" t="s">
        <v>104</v>
      </c>
      <c r="AB245" s="56" t="s">
        <v>305</v>
      </c>
      <c r="AC245" s="56" t="s">
        <v>305</v>
      </c>
      <c r="AD245" s="56" t="s">
        <v>305</v>
      </c>
      <c r="AE245" s="57">
        <v>45750</v>
      </c>
      <c r="AF245" s="57"/>
      <c r="AG245" s="56" t="s">
        <v>305</v>
      </c>
      <c r="AH245" s="74" cm="1">
        <f t="array" ref="AH245:AI245">VLOOKUP(M245,'Customer data Vlookup'!$B$3:$H$127,{2,3},0)</f>
        <v>23468.8914</v>
      </c>
      <c r="AI245" s="74">
        <v>469</v>
      </c>
      <c r="AJ245" s="74">
        <f t="shared" si="15"/>
        <v>22999.8914</v>
      </c>
      <c r="AK245" s="41">
        <f t="shared" si="16"/>
        <v>-1.4000000010128133E-3</v>
      </c>
      <c r="AL245" s="62">
        <f t="shared" si="17"/>
        <v>1.9983902093367006E-2</v>
      </c>
      <c r="AO245" t="str">
        <f>VLOOKUP(M245,'Customer data'!F:P,11,0)</f>
        <v>Not Approved</v>
      </c>
    </row>
    <row r="246" spans="1:41" hidden="1">
      <c r="A246" s="56" t="s">
        <v>298</v>
      </c>
      <c r="B246" s="56" t="s">
        <v>299</v>
      </c>
      <c r="C246" s="56" t="s">
        <v>300</v>
      </c>
      <c r="D246" s="56" t="s">
        <v>301</v>
      </c>
      <c r="E246" s="56" t="s">
        <v>302</v>
      </c>
      <c r="F246" s="56" t="s">
        <v>321</v>
      </c>
      <c r="G246" s="57">
        <v>45750</v>
      </c>
      <c r="H246" s="58">
        <v>1800005157</v>
      </c>
      <c r="I246" s="56" t="s">
        <v>417</v>
      </c>
      <c r="J246" s="57">
        <v>45750</v>
      </c>
      <c r="K246" s="57">
        <v>45752</v>
      </c>
      <c r="L246" s="56" t="s">
        <v>332</v>
      </c>
      <c r="M246" s="60">
        <v>256779410103</v>
      </c>
      <c r="N246" s="56" t="s">
        <v>306</v>
      </c>
      <c r="O246" s="56" t="s">
        <v>307</v>
      </c>
      <c r="P246" s="56" t="s">
        <v>305</v>
      </c>
      <c r="Q246" s="56" t="s">
        <v>337</v>
      </c>
      <c r="R246" s="186" t="s">
        <v>333</v>
      </c>
      <c r="S246" s="164">
        <v>81</v>
      </c>
      <c r="T246" s="187" t="s">
        <v>309</v>
      </c>
      <c r="U246" s="164">
        <v>7040.67</v>
      </c>
      <c r="V246" s="56" t="s">
        <v>342</v>
      </c>
      <c r="W246" s="56" t="s">
        <v>305</v>
      </c>
      <c r="X246" s="56" t="s">
        <v>305</v>
      </c>
      <c r="Y246" s="56" t="s">
        <v>332</v>
      </c>
      <c r="Z246" s="56" t="s">
        <v>311</v>
      </c>
      <c r="AA246" s="56" t="s">
        <v>516</v>
      </c>
      <c r="AB246" s="56" t="s">
        <v>305</v>
      </c>
      <c r="AC246" s="56" t="s">
        <v>305</v>
      </c>
      <c r="AD246" s="56" t="s">
        <v>305</v>
      </c>
      <c r="AE246" s="57">
        <v>45750</v>
      </c>
      <c r="AF246" s="57"/>
      <c r="AG246" s="56" t="s">
        <v>305</v>
      </c>
      <c r="AH246" s="74" cm="1">
        <f t="array" ref="AH246:AI246">VLOOKUP(M246,'Customer data Vlookup'!$B$3:$H$127,{2,3},0)</f>
        <v>7040.6674199999998</v>
      </c>
      <c r="AI246" s="74">
        <v>141</v>
      </c>
      <c r="AJ246" s="74">
        <f t="shared" si="15"/>
        <v>6899.6674199999998</v>
      </c>
      <c r="AK246" s="41">
        <f t="shared" si="16"/>
        <v>2.5800000003073364E-3</v>
      </c>
      <c r="AL246" s="62">
        <f t="shared" si="17"/>
        <v>2.0026503159500445E-2</v>
      </c>
      <c r="AO246" t="str">
        <f>VLOOKUP(M246,'Customer data'!F:P,11,0)</f>
        <v>Not Approved</v>
      </c>
    </row>
    <row r="247" spans="1:41" hidden="1">
      <c r="A247" s="56" t="s">
        <v>298</v>
      </c>
      <c r="B247" s="56" t="s">
        <v>299</v>
      </c>
      <c r="C247" s="56" t="s">
        <v>300</v>
      </c>
      <c r="D247" s="56" t="s">
        <v>301</v>
      </c>
      <c r="E247" s="56" t="s">
        <v>302</v>
      </c>
      <c r="F247" s="56" t="s">
        <v>321</v>
      </c>
      <c r="G247" s="57">
        <v>45737</v>
      </c>
      <c r="H247" s="58">
        <v>1800004394</v>
      </c>
      <c r="I247" s="56" t="s">
        <v>417</v>
      </c>
      <c r="J247" s="57">
        <v>45737</v>
      </c>
      <c r="K247" s="57">
        <v>45737</v>
      </c>
      <c r="L247" s="56" t="s">
        <v>332</v>
      </c>
      <c r="M247" s="60">
        <v>246779414262</v>
      </c>
      <c r="N247" s="56" t="s">
        <v>306</v>
      </c>
      <c r="O247" s="56" t="s">
        <v>307</v>
      </c>
      <c r="P247" s="56" t="s">
        <v>305</v>
      </c>
      <c r="Q247" s="56" t="s">
        <v>337</v>
      </c>
      <c r="R247" s="186" t="s">
        <v>333</v>
      </c>
      <c r="S247" s="164">
        <v>345.6</v>
      </c>
      <c r="T247" s="187" t="s">
        <v>309</v>
      </c>
      <c r="U247" s="164">
        <v>29960.5</v>
      </c>
      <c r="V247" s="56" t="s">
        <v>342</v>
      </c>
      <c r="W247" s="56" t="s">
        <v>310</v>
      </c>
      <c r="X247" s="56" t="s">
        <v>305</v>
      </c>
      <c r="Y247" s="56" t="s">
        <v>332</v>
      </c>
      <c r="Z247" s="56" t="s">
        <v>311</v>
      </c>
      <c r="AA247" s="56" t="s">
        <v>505</v>
      </c>
      <c r="AB247" s="56" t="s">
        <v>305</v>
      </c>
      <c r="AC247" s="56" t="s">
        <v>305</v>
      </c>
      <c r="AD247" s="56" t="s">
        <v>305</v>
      </c>
      <c r="AE247" s="57">
        <v>45737</v>
      </c>
      <c r="AF247" s="57">
        <v>45856</v>
      </c>
      <c r="AG247" s="58">
        <v>1400000333</v>
      </c>
      <c r="AH247" s="74" t="e" cm="1">
        <f t="array" ref="AH247">VLOOKUP(M247,'Customer data Vlookup'!$B$3:$H$127,{2,3},0)</f>
        <v>#N/A</v>
      </c>
      <c r="AI247" s="74"/>
      <c r="AJ247" s="74"/>
      <c r="AK247" s="43"/>
      <c r="AL247" s="43"/>
      <c r="AO247" t="e">
        <f>VLOOKUP(M247,'Customer data'!F:P,11,0)</f>
        <v>#N/A</v>
      </c>
    </row>
    <row r="248" spans="1:41" hidden="1">
      <c r="A248" s="56" t="s">
        <v>298</v>
      </c>
      <c r="B248" s="56" t="s">
        <v>299</v>
      </c>
      <c r="C248" s="56" t="s">
        <v>300</v>
      </c>
      <c r="D248" s="56" t="s">
        <v>301</v>
      </c>
      <c r="E248" s="56" t="s">
        <v>302</v>
      </c>
      <c r="F248" s="56" t="s">
        <v>321</v>
      </c>
      <c r="G248" s="57">
        <v>45737</v>
      </c>
      <c r="H248" s="58">
        <v>1800004395</v>
      </c>
      <c r="I248" s="56" t="s">
        <v>417</v>
      </c>
      <c r="J248" s="57">
        <v>45737</v>
      </c>
      <c r="K248" s="57">
        <v>45737</v>
      </c>
      <c r="L248" s="56" t="s">
        <v>332</v>
      </c>
      <c r="M248" s="60">
        <v>246779414263</v>
      </c>
      <c r="N248" s="56" t="s">
        <v>306</v>
      </c>
      <c r="O248" s="56" t="s">
        <v>307</v>
      </c>
      <c r="P248" s="56" t="s">
        <v>305</v>
      </c>
      <c r="Q248" s="56" t="s">
        <v>337</v>
      </c>
      <c r="R248" s="186" t="s">
        <v>333</v>
      </c>
      <c r="S248" s="164">
        <v>755.81</v>
      </c>
      <c r="T248" s="187" t="s">
        <v>309</v>
      </c>
      <c r="U248" s="164">
        <v>65522.12</v>
      </c>
      <c r="V248" s="56" t="s">
        <v>342</v>
      </c>
      <c r="W248" s="56" t="s">
        <v>310</v>
      </c>
      <c r="X248" s="56" t="s">
        <v>305</v>
      </c>
      <c r="Y248" s="56" t="s">
        <v>332</v>
      </c>
      <c r="Z248" s="56" t="s">
        <v>311</v>
      </c>
      <c r="AA248" s="56" t="s">
        <v>527</v>
      </c>
      <c r="AB248" s="56" t="s">
        <v>305</v>
      </c>
      <c r="AC248" s="56" t="s">
        <v>305</v>
      </c>
      <c r="AD248" s="56" t="s">
        <v>305</v>
      </c>
      <c r="AE248" s="57">
        <v>45737</v>
      </c>
      <c r="AF248" s="57">
        <v>45856</v>
      </c>
      <c r="AG248" s="58">
        <v>1400000334</v>
      </c>
      <c r="AH248" s="74" t="e" cm="1">
        <f t="array" ref="AH248">VLOOKUP(M248,'Customer data Vlookup'!$B$3:$H$127,{2,3},0)</f>
        <v>#N/A</v>
      </c>
      <c r="AI248" s="74"/>
      <c r="AJ248" s="74"/>
      <c r="AK248" s="43"/>
      <c r="AL248" s="43"/>
      <c r="AO248" t="e">
        <f>VLOOKUP(M248,'Customer data'!F:P,11,0)</f>
        <v>#N/A</v>
      </c>
    </row>
    <row r="249" spans="1:41" hidden="1">
      <c r="A249" s="56" t="s">
        <v>298</v>
      </c>
      <c r="B249" s="56" t="s">
        <v>299</v>
      </c>
      <c r="C249" s="56" t="s">
        <v>300</v>
      </c>
      <c r="D249" s="56" t="s">
        <v>301</v>
      </c>
      <c r="E249" s="56" t="s">
        <v>302</v>
      </c>
      <c r="F249" s="56" t="s">
        <v>321</v>
      </c>
      <c r="G249" s="57">
        <v>45737</v>
      </c>
      <c r="H249" s="58">
        <v>1800004396</v>
      </c>
      <c r="I249" s="56" t="s">
        <v>417</v>
      </c>
      <c r="J249" s="57">
        <v>45737</v>
      </c>
      <c r="K249" s="57">
        <v>45737</v>
      </c>
      <c r="L249" s="56" t="s">
        <v>332</v>
      </c>
      <c r="M249" s="60">
        <v>246779414264</v>
      </c>
      <c r="N249" s="56" t="s">
        <v>306</v>
      </c>
      <c r="O249" s="56" t="s">
        <v>307</v>
      </c>
      <c r="P249" s="56" t="s">
        <v>305</v>
      </c>
      <c r="Q249" s="56" t="s">
        <v>337</v>
      </c>
      <c r="R249" s="186" t="s">
        <v>333</v>
      </c>
      <c r="S249" s="164">
        <v>211.2</v>
      </c>
      <c r="T249" s="187" t="s">
        <v>309</v>
      </c>
      <c r="U249" s="164">
        <v>18309.189999999999</v>
      </c>
      <c r="V249" s="56" t="s">
        <v>342</v>
      </c>
      <c r="W249" s="56" t="s">
        <v>310</v>
      </c>
      <c r="X249" s="56" t="s">
        <v>305</v>
      </c>
      <c r="Y249" s="56" t="s">
        <v>332</v>
      </c>
      <c r="Z249" s="56" t="s">
        <v>311</v>
      </c>
      <c r="AA249" s="56" t="s">
        <v>528</v>
      </c>
      <c r="AB249" s="56" t="s">
        <v>305</v>
      </c>
      <c r="AC249" s="56" t="s">
        <v>305</v>
      </c>
      <c r="AD249" s="56" t="s">
        <v>305</v>
      </c>
      <c r="AE249" s="57">
        <v>45737</v>
      </c>
      <c r="AF249" s="57">
        <v>45856</v>
      </c>
      <c r="AG249" s="58">
        <v>1400000335</v>
      </c>
      <c r="AH249" s="74" t="e" cm="1">
        <f t="array" ref="AH249">VLOOKUP(M249,'Customer data Vlookup'!$B$3:$H$127,{2,3},0)</f>
        <v>#N/A</v>
      </c>
      <c r="AI249" s="74"/>
      <c r="AJ249" s="74"/>
      <c r="AK249" s="43"/>
      <c r="AL249" s="43"/>
      <c r="AO249" t="e">
        <f>VLOOKUP(M249,'Customer data'!F:P,11,0)</f>
        <v>#N/A</v>
      </c>
    </row>
    <row r="250" spans="1:41" hidden="1">
      <c r="A250" s="56" t="s">
        <v>298</v>
      </c>
      <c r="B250" s="56" t="s">
        <v>299</v>
      </c>
      <c r="C250" s="56" t="s">
        <v>300</v>
      </c>
      <c r="D250" s="56" t="s">
        <v>301</v>
      </c>
      <c r="E250" s="56" t="s">
        <v>302</v>
      </c>
      <c r="F250" s="56" t="s">
        <v>321</v>
      </c>
      <c r="G250" s="57">
        <v>45736</v>
      </c>
      <c r="H250" s="58">
        <v>1800004768</v>
      </c>
      <c r="I250" s="56" t="s">
        <v>417</v>
      </c>
      <c r="J250" s="57">
        <v>45736</v>
      </c>
      <c r="K250" s="57">
        <v>45737</v>
      </c>
      <c r="L250" s="56" t="s">
        <v>332</v>
      </c>
      <c r="M250" s="60">
        <v>246779414636</v>
      </c>
      <c r="N250" s="56" t="s">
        <v>306</v>
      </c>
      <c r="O250" s="56" t="s">
        <v>307</v>
      </c>
      <c r="P250" s="56" t="s">
        <v>305</v>
      </c>
      <c r="Q250" s="56" t="s">
        <v>337</v>
      </c>
      <c r="R250" s="186" t="s">
        <v>333</v>
      </c>
      <c r="S250" s="164">
        <v>162</v>
      </c>
      <c r="T250" s="187" t="s">
        <v>309</v>
      </c>
      <c r="U250" s="164">
        <v>14043.98</v>
      </c>
      <c r="V250" s="56" t="s">
        <v>342</v>
      </c>
      <c r="W250" s="56" t="s">
        <v>310</v>
      </c>
      <c r="X250" s="56" t="s">
        <v>305</v>
      </c>
      <c r="Y250" s="56" t="s">
        <v>332</v>
      </c>
      <c r="Z250" s="56" t="s">
        <v>311</v>
      </c>
      <c r="AA250" s="56" t="s">
        <v>504</v>
      </c>
      <c r="AB250" s="56" t="s">
        <v>305</v>
      </c>
      <c r="AC250" s="56" t="s">
        <v>305</v>
      </c>
      <c r="AD250" s="56" t="s">
        <v>305</v>
      </c>
      <c r="AE250" s="57">
        <v>45736</v>
      </c>
      <c r="AF250" s="57">
        <v>45856</v>
      </c>
      <c r="AG250" s="58">
        <v>1400000293</v>
      </c>
      <c r="AH250" s="74" t="e" cm="1">
        <f t="array" ref="AH250">VLOOKUP(M250,'Customer data Vlookup'!$B$3:$H$127,{2,3},0)</f>
        <v>#N/A</v>
      </c>
      <c r="AI250" s="74"/>
      <c r="AJ250" s="74"/>
      <c r="AK250" s="43"/>
      <c r="AL250" s="43"/>
      <c r="AO250" t="e">
        <f>VLOOKUP(M250,'Customer data'!F:P,11,0)</f>
        <v>#N/A</v>
      </c>
    </row>
    <row r="251" spans="1:41" hidden="1">
      <c r="A251" s="56" t="s">
        <v>298</v>
      </c>
      <c r="B251" s="56" t="s">
        <v>299</v>
      </c>
      <c r="C251" s="56" t="s">
        <v>300</v>
      </c>
      <c r="D251" s="56" t="s">
        <v>301</v>
      </c>
      <c r="E251" s="56" t="s">
        <v>302</v>
      </c>
      <c r="F251" s="56" t="s">
        <v>321</v>
      </c>
      <c r="G251" s="57">
        <v>45736</v>
      </c>
      <c r="H251" s="58">
        <v>1800004150</v>
      </c>
      <c r="I251" s="56" t="s">
        <v>417</v>
      </c>
      <c r="J251" s="57">
        <v>45736</v>
      </c>
      <c r="K251" s="57">
        <v>45737</v>
      </c>
      <c r="L251" s="56" t="s">
        <v>332</v>
      </c>
      <c r="M251" s="60">
        <v>246779414018</v>
      </c>
      <c r="N251" s="56" t="s">
        <v>306</v>
      </c>
      <c r="O251" s="56" t="s">
        <v>307</v>
      </c>
      <c r="P251" s="56" t="s">
        <v>305</v>
      </c>
      <c r="Q251" s="56" t="s">
        <v>337</v>
      </c>
      <c r="R251" s="186" t="s">
        <v>333</v>
      </c>
      <c r="S251" s="164">
        <v>254.08</v>
      </c>
      <c r="T251" s="187" t="s">
        <v>309</v>
      </c>
      <c r="U251" s="164">
        <v>22026.52</v>
      </c>
      <c r="V251" s="56" t="s">
        <v>342</v>
      </c>
      <c r="W251" s="56" t="s">
        <v>310</v>
      </c>
      <c r="X251" s="56" t="s">
        <v>305</v>
      </c>
      <c r="Y251" s="56" t="s">
        <v>332</v>
      </c>
      <c r="Z251" s="56" t="s">
        <v>311</v>
      </c>
      <c r="AA251" s="56" t="s">
        <v>490</v>
      </c>
      <c r="AB251" s="56" t="s">
        <v>305</v>
      </c>
      <c r="AC251" s="56" t="s">
        <v>305</v>
      </c>
      <c r="AD251" s="56" t="s">
        <v>305</v>
      </c>
      <c r="AE251" s="57">
        <v>45736</v>
      </c>
      <c r="AF251" s="57">
        <v>45856</v>
      </c>
      <c r="AG251" s="58">
        <v>1400000294</v>
      </c>
      <c r="AH251" s="74" t="e" cm="1">
        <f t="array" ref="AH251">VLOOKUP(M251,'Customer data Vlookup'!$B$3:$H$127,{2,3},0)</f>
        <v>#N/A</v>
      </c>
      <c r="AI251" s="74"/>
      <c r="AJ251" s="74"/>
      <c r="AK251" s="43"/>
      <c r="AL251" s="43"/>
      <c r="AO251" t="e">
        <f>VLOOKUP(M251,'Customer data'!F:P,11,0)</f>
        <v>#N/A</v>
      </c>
    </row>
    <row r="252" spans="1:41" hidden="1">
      <c r="A252" s="56" t="s">
        <v>298</v>
      </c>
      <c r="B252" s="56" t="s">
        <v>299</v>
      </c>
      <c r="C252" s="56" t="s">
        <v>300</v>
      </c>
      <c r="D252" s="56" t="s">
        <v>301</v>
      </c>
      <c r="E252" s="56" t="s">
        <v>302</v>
      </c>
      <c r="F252" s="56" t="s">
        <v>321</v>
      </c>
      <c r="G252" s="57">
        <v>45736</v>
      </c>
      <c r="H252" s="58">
        <v>1800004695</v>
      </c>
      <c r="I252" s="56" t="s">
        <v>417</v>
      </c>
      <c r="J252" s="57">
        <v>45736</v>
      </c>
      <c r="K252" s="57">
        <v>45737</v>
      </c>
      <c r="L252" s="56" t="s">
        <v>332</v>
      </c>
      <c r="M252" s="60">
        <v>246779414563</v>
      </c>
      <c r="N252" s="56" t="s">
        <v>306</v>
      </c>
      <c r="O252" s="56" t="s">
        <v>307</v>
      </c>
      <c r="P252" s="56" t="s">
        <v>305</v>
      </c>
      <c r="Q252" s="56" t="s">
        <v>337</v>
      </c>
      <c r="R252" s="186" t="s">
        <v>333</v>
      </c>
      <c r="S252" s="164">
        <v>345.6</v>
      </c>
      <c r="T252" s="187" t="s">
        <v>309</v>
      </c>
      <c r="U252" s="164">
        <v>29960.5</v>
      </c>
      <c r="V252" s="56" t="s">
        <v>342</v>
      </c>
      <c r="W252" s="56" t="s">
        <v>310</v>
      </c>
      <c r="X252" s="56" t="s">
        <v>305</v>
      </c>
      <c r="Y252" s="56" t="s">
        <v>332</v>
      </c>
      <c r="Z252" s="56" t="s">
        <v>311</v>
      </c>
      <c r="AA252" s="56" t="s">
        <v>505</v>
      </c>
      <c r="AB252" s="56" t="s">
        <v>305</v>
      </c>
      <c r="AC252" s="56" t="s">
        <v>305</v>
      </c>
      <c r="AD252" s="56" t="s">
        <v>305</v>
      </c>
      <c r="AE252" s="57">
        <v>45736</v>
      </c>
      <c r="AF252" s="57">
        <v>45856</v>
      </c>
      <c r="AG252" s="58">
        <v>1400000295</v>
      </c>
      <c r="AH252" s="74" t="e" cm="1">
        <f t="array" ref="AH252">VLOOKUP(M252,'Customer data Vlookup'!$B$3:$H$127,{2,3},0)</f>
        <v>#N/A</v>
      </c>
      <c r="AI252" s="74"/>
      <c r="AJ252" s="74"/>
      <c r="AK252" s="43"/>
      <c r="AL252" s="43"/>
      <c r="AO252" t="e">
        <f>VLOOKUP(M252,'Customer data'!F:P,11,0)</f>
        <v>#N/A</v>
      </c>
    </row>
    <row r="253" spans="1:41" hidden="1">
      <c r="A253" s="56" t="s">
        <v>298</v>
      </c>
      <c r="B253" s="56" t="s">
        <v>299</v>
      </c>
      <c r="C253" s="56" t="s">
        <v>300</v>
      </c>
      <c r="D253" s="56" t="s">
        <v>301</v>
      </c>
      <c r="E253" s="56" t="s">
        <v>302</v>
      </c>
      <c r="F253" s="56" t="s">
        <v>321</v>
      </c>
      <c r="G253" s="57">
        <v>45736</v>
      </c>
      <c r="H253" s="58">
        <v>1800004696</v>
      </c>
      <c r="I253" s="56" t="s">
        <v>417</v>
      </c>
      <c r="J253" s="57">
        <v>45736</v>
      </c>
      <c r="K253" s="57">
        <v>45737</v>
      </c>
      <c r="L253" s="56" t="s">
        <v>332</v>
      </c>
      <c r="M253" s="60">
        <v>246779414564</v>
      </c>
      <c r="N253" s="56" t="s">
        <v>306</v>
      </c>
      <c r="O253" s="56" t="s">
        <v>307</v>
      </c>
      <c r="P253" s="56" t="s">
        <v>305</v>
      </c>
      <c r="Q253" s="56" t="s">
        <v>337</v>
      </c>
      <c r="R253" s="186" t="s">
        <v>333</v>
      </c>
      <c r="S253" s="164">
        <v>216</v>
      </c>
      <c r="T253" s="187" t="s">
        <v>309</v>
      </c>
      <c r="U253" s="164">
        <v>18725.310000000001</v>
      </c>
      <c r="V253" s="56" t="s">
        <v>342</v>
      </c>
      <c r="W253" s="56" t="s">
        <v>310</v>
      </c>
      <c r="X253" s="56" t="s">
        <v>305</v>
      </c>
      <c r="Y253" s="56" t="s">
        <v>332</v>
      </c>
      <c r="Z253" s="56" t="s">
        <v>311</v>
      </c>
      <c r="AA253" s="56" t="s">
        <v>506</v>
      </c>
      <c r="AB253" s="56" t="s">
        <v>305</v>
      </c>
      <c r="AC253" s="56" t="s">
        <v>305</v>
      </c>
      <c r="AD253" s="56" t="s">
        <v>305</v>
      </c>
      <c r="AE253" s="57">
        <v>45736</v>
      </c>
      <c r="AF253" s="57">
        <v>45856</v>
      </c>
      <c r="AG253" s="58">
        <v>1400000296</v>
      </c>
      <c r="AH253" s="74" t="e" cm="1">
        <f t="array" ref="AH253">VLOOKUP(M253,'Customer data Vlookup'!$B$3:$H$127,{2,3},0)</f>
        <v>#N/A</v>
      </c>
      <c r="AI253" s="74"/>
      <c r="AJ253" s="74"/>
      <c r="AK253" s="43"/>
      <c r="AL253" s="43"/>
      <c r="AO253" t="e">
        <f>VLOOKUP(M253,'Customer data'!F:P,11,0)</f>
        <v>#N/A</v>
      </c>
    </row>
    <row r="254" spans="1:41" hidden="1">
      <c r="A254" s="56" t="s">
        <v>298</v>
      </c>
      <c r="B254" s="56" t="s">
        <v>299</v>
      </c>
      <c r="C254" s="56" t="s">
        <v>300</v>
      </c>
      <c r="D254" s="56" t="s">
        <v>301</v>
      </c>
      <c r="E254" s="56" t="s">
        <v>302</v>
      </c>
      <c r="F254" s="56" t="s">
        <v>321</v>
      </c>
      <c r="G254" s="57">
        <v>45736</v>
      </c>
      <c r="H254" s="58">
        <v>1800004697</v>
      </c>
      <c r="I254" s="56" t="s">
        <v>417</v>
      </c>
      <c r="J254" s="57">
        <v>45736</v>
      </c>
      <c r="K254" s="57">
        <v>45737</v>
      </c>
      <c r="L254" s="56" t="s">
        <v>332</v>
      </c>
      <c r="M254" s="60">
        <v>246779414565</v>
      </c>
      <c r="N254" s="56" t="s">
        <v>306</v>
      </c>
      <c r="O254" s="56" t="s">
        <v>307</v>
      </c>
      <c r="P254" s="56" t="s">
        <v>305</v>
      </c>
      <c r="Q254" s="56" t="s">
        <v>337</v>
      </c>
      <c r="R254" s="186" t="s">
        <v>333</v>
      </c>
      <c r="S254" s="164">
        <v>755.81</v>
      </c>
      <c r="T254" s="187" t="s">
        <v>309</v>
      </c>
      <c r="U254" s="164">
        <v>65522.12</v>
      </c>
      <c r="V254" s="56" t="s">
        <v>342</v>
      </c>
      <c r="W254" s="56" t="s">
        <v>310</v>
      </c>
      <c r="X254" s="56" t="s">
        <v>305</v>
      </c>
      <c r="Y254" s="56" t="s">
        <v>332</v>
      </c>
      <c r="Z254" s="56" t="s">
        <v>311</v>
      </c>
      <c r="AA254" s="56" t="s">
        <v>507</v>
      </c>
      <c r="AB254" s="56" t="s">
        <v>305</v>
      </c>
      <c r="AC254" s="56" t="s">
        <v>305</v>
      </c>
      <c r="AD254" s="56" t="s">
        <v>305</v>
      </c>
      <c r="AE254" s="57">
        <v>45736</v>
      </c>
      <c r="AF254" s="57">
        <v>45856</v>
      </c>
      <c r="AG254" s="58">
        <v>1400000297</v>
      </c>
      <c r="AH254" s="74" t="e" cm="1">
        <f t="array" ref="AH254">VLOOKUP(M254,'Customer data Vlookup'!$B$3:$H$127,{2,3},0)</f>
        <v>#N/A</v>
      </c>
      <c r="AI254" s="74"/>
      <c r="AJ254" s="74"/>
      <c r="AK254" s="43"/>
      <c r="AL254" s="43"/>
      <c r="AO254" t="e">
        <f>VLOOKUP(M254,'Customer data'!F:P,11,0)</f>
        <v>#N/A</v>
      </c>
    </row>
    <row r="255" spans="1:41" hidden="1">
      <c r="A255" s="56" t="s">
        <v>298</v>
      </c>
      <c r="B255" s="56" t="s">
        <v>299</v>
      </c>
      <c r="C255" s="56" t="s">
        <v>300</v>
      </c>
      <c r="D255" s="56" t="s">
        <v>301</v>
      </c>
      <c r="E255" s="56" t="s">
        <v>302</v>
      </c>
      <c r="F255" s="56" t="s">
        <v>321</v>
      </c>
      <c r="G255" s="57">
        <v>45736</v>
      </c>
      <c r="H255" s="58">
        <v>1800004766</v>
      </c>
      <c r="I255" s="56" t="s">
        <v>417</v>
      </c>
      <c r="J255" s="57">
        <v>45736</v>
      </c>
      <c r="K255" s="57">
        <v>45737</v>
      </c>
      <c r="L255" s="56" t="s">
        <v>332</v>
      </c>
      <c r="M255" s="60">
        <v>246779414634</v>
      </c>
      <c r="N255" s="56" t="s">
        <v>306</v>
      </c>
      <c r="O255" s="56" t="s">
        <v>307</v>
      </c>
      <c r="P255" s="56" t="s">
        <v>305</v>
      </c>
      <c r="Q255" s="56" t="s">
        <v>337</v>
      </c>
      <c r="R255" s="186" t="s">
        <v>333</v>
      </c>
      <c r="S255" s="164">
        <v>259.2</v>
      </c>
      <c r="T255" s="187" t="s">
        <v>309</v>
      </c>
      <c r="U255" s="164">
        <v>22470.37</v>
      </c>
      <c r="V255" s="56" t="s">
        <v>342</v>
      </c>
      <c r="W255" s="56" t="s">
        <v>310</v>
      </c>
      <c r="X255" s="56" t="s">
        <v>305</v>
      </c>
      <c r="Y255" s="56" t="s">
        <v>332</v>
      </c>
      <c r="Z255" s="56" t="s">
        <v>311</v>
      </c>
      <c r="AA255" s="56" t="s">
        <v>508</v>
      </c>
      <c r="AB255" s="56" t="s">
        <v>305</v>
      </c>
      <c r="AC255" s="56" t="s">
        <v>305</v>
      </c>
      <c r="AD255" s="56" t="s">
        <v>305</v>
      </c>
      <c r="AE255" s="57">
        <v>45736</v>
      </c>
      <c r="AF255" s="57">
        <v>45856</v>
      </c>
      <c r="AG255" s="58">
        <v>1400000298</v>
      </c>
      <c r="AH255" s="74" t="e" cm="1">
        <f t="array" ref="AH255">VLOOKUP(M255,'Customer data Vlookup'!$B$3:$H$127,{2,3},0)</f>
        <v>#N/A</v>
      </c>
      <c r="AI255" s="74"/>
      <c r="AJ255" s="74"/>
      <c r="AK255" s="43"/>
      <c r="AL255" s="43"/>
      <c r="AO255" t="e">
        <f>VLOOKUP(M255,'Customer data'!F:P,11,0)</f>
        <v>#N/A</v>
      </c>
    </row>
    <row r="256" spans="1:41" hidden="1">
      <c r="A256" s="56" t="s">
        <v>326</v>
      </c>
      <c r="B256" s="56" t="s">
        <v>299</v>
      </c>
      <c r="C256" s="56" t="s">
        <v>300</v>
      </c>
      <c r="D256" s="56" t="s">
        <v>301</v>
      </c>
      <c r="E256" s="56" t="s">
        <v>302</v>
      </c>
      <c r="F256" s="56" t="s">
        <v>321</v>
      </c>
      <c r="G256" s="57">
        <v>45736</v>
      </c>
      <c r="H256" s="58">
        <v>1800004767</v>
      </c>
      <c r="I256" s="56" t="s">
        <v>417</v>
      </c>
      <c r="J256" s="57">
        <v>45736</v>
      </c>
      <c r="K256" s="57">
        <v>45737</v>
      </c>
      <c r="L256" s="56" t="s">
        <v>332</v>
      </c>
      <c r="M256" s="60">
        <v>246779414635</v>
      </c>
      <c r="N256" s="56" t="s">
        <v>306</v>
      </c>
      <c r="O256" s="56" t="s">
        <v>307</v>
      </c>
      <c r="P256" s="56" t="s">
        <v>305</v>
      </c>
      <c r="Q256" s="56" t="s">
        <v>337</v>
      </c>
      <c r="R256" s="186" t="s">
        <v>333</v>
      </c>
      <c r="S256" s="164">
        <v>566.86</v>
      </c>
      <c r="T256" s="187" t="s">
        <v>309</v>
      </c>
      <c r="U256" s="164">
        <v>49141.81</v>
      </c>
      <c r="V256" s="56" t="s">
        <v>342</v>
      </c>
      <c r="W256" s="56" t="s">
        <v>310</v>
      </c>
      <c r="X256" s="56" t="s">
        <v>305</v>
      </c>
      <c r="Y256" s="56" t="s">
        <v>332</v>
      </c>
      <c r="Z256" s="56" t="s">
        <v>311</v>
      </c>
      <c r="AA256" s="56" t="s">
        <v>509</v>
      </c>
      <c r="AB256" s="56" t="s">
        <v>305</v>
      </c>
      <c r="AC256" s="56" t="s">
        <v>305</v>
      </c>
      <c r="AD256" s="56" t="s">
        <v>305</v>
      </c>
      <c r="AE256" s="57">
        <v>45736</v>
      </c>
      <c r="AF256" s="57">
        <v>45856</v>
      </c>
      <c r="AG256" s="58">
        <v>1400000299</v>
      </c>
      <c r="AH256" s="74" t="e" cm="1">
        <f t="array" ref="AH256">VLOOKUP(M256,'Customer data Vlookup'!$B$3:$H$127,{2,3},0)</f>
        <v>#N/A</v>
      </c>
      <c r="AI256" s="74"/>
      <c r="AJ256" s="74"/>
      <c r="AK256" s="43"/>
      <c r="AL256" s="43"/>
      <c r="AO256" t="e">
        <f>VLOOKUP(M256,'Customer data'!F:P,11,0)</f>
        <v>#N/A</v>
      </c>
    </row>
    <row r="257" spans="1:41" hidden="1">
      <c r="A257" s="56" t="s">
        <v>326</v>
      </c>
      <c r="B257" s="56" t="s">
        <v>299</v>
      </c>
      <c r="C257" s="56" t="s">
        <v>300</v>
      </c>
      <c r="D257" s="56" t="s">
        <v>301</v>
      </c>
      <c r="E257" s="56" t="s">
        <v>302</v>
      </c>
      <c r="F257" s="56" t="s">
        <v>321</v>
      </c>
      <c r="G257" s="57">
        <v>45736</v>
      </c>
      <c r="H257" s="58">
        <v>1800004841</v>
      </c>
      <c r="I257" s="56" t="s">
        <v>417</v>
      </c>
      <c r="J257" s="57">
        <v>45736</v>
      </c>
      <c r="K257" s="57">
        <v>45737</v>
      </c>
      <c r="L257" s="56" t="s">
        <v>332</v>
      </c>
      <c r="M257" s="60">
        <v>246779414709</v>
      </c>
      <c r="N257" s="56" t="s">
        <v>306</v>
      </c>
      <c r="O257" s="56" t="s">
        <v>307</v>
      </c>
      <c r="P257" s="56" t="s">
        <v>305</v>
      </c>
      <c r="Q257" s="56" t="s">
        <v>337</v>
      </c>
      <c r="R257" s="186" t="s">
        <v>333</v>
      </c>
      <c r="S257" s="164">
        <v>63.98</v>
      </c>
      <c r="T257" s="187" t="s">
        <v>309</v>
      </c>
      <c r="U257" s="164">
        <v>5546.51</v>
      </c>
      <c r="V257" s="56" t="s">
        <v>342</v>
      </c>
      <c r="W257" s="56" t="s">
        <v>310</v>
      </c>
      <c r="X257" s="56" t="s">
        <v>305</v>
      </c>
      <c r="Y257" s="56" t="s">
        <v>332</v>
      </c>
      <c r="Z257" s="56" t="s">
        <v>311</v>
      </c>
      <c r="AA257" s="56" t="s">
        <v>510</v>
      </c>
      <c r="AB257" s="56" t="s">
        <v>305</v>
      </c>
      <c r="AC257" s="56" t="s">
        <v>305</v>
      </c>
      <c r="AD257" s="56" t="s">
        <v>305</v>
      </c>
      <c r="AE257" s="57">
        <v>45736</v>
      </c>
      <c r="AF257" s="57">
        <v>45856</v>
      </c>
      <c r="AG257" s="58">
        <v>1400000300</v>
      </c>
      <c r="AH257" s="74" t="e" cm="1">
        <f t="array" ref="AH257">VLOOKUP(M257,'Customer data Vlookup'!$B$3:$H$127,{2,3},0)</f>
        <v>#N/A</v>
      </c>
      <c r="AI257" s="74"/>
      <c r="AJ257" s="74"/>
      <c r="AK257" s="43"/>
      <c r="AL257" s="43"/>
      <c r="AO257" t="e">
        <f>VLOOKUP(M257,'Customer data'!F:P,11,0)</f>
        <v>#N/A</v>
      </c>
    </row>
    <row r="258" spans="1:41" hidden="1">
      <c r="A258" s="56" t="s">
        <v>298</v>
      </c>
      <c r="B258" s="56" t="s">
        <v>299</v>
      </c>
      <c r="C258" s="56" t="s">
        <v>300</v>
      </c>
      <c r="D258" s="56" t="s">
        <v>301</v>
      </c>
      <c r="E258" s="56" t="s">
        <v>302</v>
      </c>
      <c r="F258" s="56" t="s">
        <v>321</v>
      </c>
      <c r="G258" s="57">
        <v>45736</v>
      </c>
      <c r="H258" s="58">
        <v>1800004842</v>
      </c>
      <c r="I258" s="56" t="s">
        <v>417</v>
      </c>
      <c r="J258" s="57">
        <v>45736</v>
      </c>
      <c r="K258" s="57">
        <v>45737</v>
      </c>
      <c r="L258" s="56" t="s">
        <v>332</v>
      </c>
      <c r="M258" s="60">
        <v>246779414710</v>
      </c>
      <c r="N258" s="56" t="s">
        <v>306</v>
      </c>
      <c r="O258" s="56" t="s">
        <v>307</v>
      </c>
      <c r="P258" s="56" t="s">
        <v>305</v>
      </c>
      <c r="Q258" s="56" t="s">
        <v>337</v>
      </c>
      <c r="R258" s="186" t="s">
        <v>333</v>
      </c>
      <c r="S258" s="164">
        <v>31.99</v>
      </c>
      <c r="T258" s="187" t="s">
        <v>309</v>
      </c>
      <c r="U258" s="164">
        <v>2773.25</v>
      </c>
      <c r="V258" s="56" t="s">
        <v>342</v>
      </c>
      <c r="W258" s="56" t="s">
        <v>310</v>
      </c>
      <c r="X258" s="56" t="s">
        <v>305</v>
      </c>
      <c r="Y258" s="56" t="s">
        <v>332</v>
      </c>
      <c r="Z258" s="56" t="s">
        <v>311</v>
      </c>
      <c r="AA258" s="56" t="s">
        <v>511</v>
      </c>
      <c r="AB258" s="56" t="s">
        <v>305</v>
      </c>
      <c r="AC258" s="56" t="s">
        <v>305</v>
      </c>
      <c r="AD258" s="56" t="s">
        <v>305</v>
      </c>
      <c r="AE258" s="57">
        <v>45736</v>
      </c>
      <c r="AF258" s="57">
        <v>45856</v>
      </c>
      <c r="AG258" s="58">
        <v>1400000301</v>
      </c>
      <c r="AH258" s="74" t="e" cm="1">
        <f t="array" ref="AH258">VLOOKUP(M258,'Customer data Vlookup'!$B$3:$H$127,{2,3},0)</f>
        <v>#N/A</v>
      </c>
      <c r="AI258" s="74"/>
      <c r="AJ258" s="74"/>
      <c r="AK258" s="43"/>
      <c r="AL258" s="43"/>
      <c r="AO258" t="e">
        <f>VLOOKUP(M258,'Customer data'!F:P,11,0)</f>
        <v>#N/A</v>
      </c>
    </row>
    <row r="259" spans="1:41" hidden="1">
      <c r="A259" s="56" t="s">
        <v>298</v>
      </c>
      <c r="B259" s="56" t="s">
        <v>299</v>
      </c>
      <c r="C259" s="56" t="s">
        <v>300</v>
      </c>
      <c r="D259" s="56" t="s">
        <v>301</v>
      </c>
      <c r="E259" s="56" t="s">
        <v>302</v>
      </c>
      <c r="F259" s="56" t="s">
        <v>321</v>
      </c>
      <c r="G259" s="57">
        <v>45736</v>
      </c>
      <c r="H259" s="58">
        <v>1800003945</v>
      </c>
      <c r="I259" s="56" t="s">
        <v>417</v>
      </c>
      <c r="J259" s="57">
        <v>45736</v>
      </c>
      <c r="K259" s="57">
        <v>45737</v>
      </c>
      <c r="L259" s="56" t="s">
        <v>332</v>
      </c>
      <c r="M259" s="60">
        <v>246779413974</v>
      </c>
      <c r="N259" s="56" t="s">
        <v>306</v>
      </c>
      <c r="O259" s="56" t="s">
        <v>307</v>
      </c>
      <c r="P259" s="56" t="s">
        <v>305</v>
      </c>
      <c r="Q259" s="56" t="s">
        <v>337</v>
      </c>
      <c r="R259" s="186" t="s">
        <v>333</v>
      </c>
      <c r="S259" s="164">
        <v>39.26</v>
      </c>
      <c r="T259" s="187" t="s">
        <v>309</v>
      </c>
      <c r="U259" s="164">
        <v>3403.5</v>
      </c>
      <c r="V259" s="56" t="s">
        <v>342</v>
      </c>
      <c r="W259" s="56" t="s">
        <v>310</v>
      </c>
      <c r="X259" s="56" t="s">
        <v>305</v>
      </c>
      <c r="Y259" s="56" t="s">
        <v>332</v>
      </c>
      <c r="Z259" s="56" t="s">
        <v>311</v>
      </c>
      <c r="AA259" s="56" t="s">
        <v>491</v>
      </c>
      <c r="AB259" s="56" t="s">
        <v>305</v>
      </c>
      <c r="AC259" s="56" t="s">
        <v>305</v>
      </c>
      <c r="AD259" s="56" t="s">
        <v>305</v>
      </c>
      <c r="AE259" s="57">
        <v>45736</v>
      </c>
      <c r="AF259" s="57">
        <v>45856</v>
      </c>
      <c r="AG259" s="58">
        <v>1400000302</v>
      </c>
      <c r="AH259" s="74" t="e" cm="1">
        <f t="array" ref="AH259">VLOOKUP(M259,'Customer data Vlookup'!$B$3:$H$127,{2,3},0)</f>
        <v>#N/A</v>
      </c>
      <c r="AI259" s="74"/>
      <c r="AJ259" s="74"/>
      <c r="AK259" s="43"/>
      <c r="AL259" s="43"/>
      <c r="AO259" t="e">
        <f>VLOOKUP(M259,'Customer data'!F:P,11,0)</f>
        <v>#N/A</v>
      </c>
    </row>
    <row r="260" spans="1:41" hidden="1">
      <c r="A260" s="56" t="s">
        <v>298</v>
      </c>
      <c r="B260" s="56" t="s">
        <v>299</v>
      </c>
      <c r="C260" s="56" t="s">
        <v>300</v>
      </c>
      <c r="D260" s="56" t="s">
        <v>301</v>
      </c>
      <c r="E260" s="56" t="s">
        <v>302</v>
      </c>
      <c r="F260" s="56" t="s">
        <v>334</v>
      </c>
      <c r="G260" s="57">
        <v>45736</v>
      </c>
      <c r="H260" s="58">
        <v>1800004216</v>
      </c>
      <c r="I260" s="56" t="s">
        <v>417</v>
      </c>
      <c r="J260" s="57">
        <v>45736</v>
      </c>
      <c r="K260" s="57">
        <v>45737</v>
      </c>
      <c r="L260" s="56" t="s">
        <v>332</v>
      </c>
      <c r="M260" s="60">
        <v>246779414084</v>
      </c>
      <c r="N260" s="56" t="s">
        <v>306</v>
      </c>
      <c r="O260" s="56" t="s">
        <v>307</v>
      </c>
      <c r="P260" s="56" t="s">
        <v>305</v>
      </c>
      <c r="Q260" s="56" t="s">
        <v>337</v>
      </c>
      <c r="R260" s="186" t="s">
        <v>333</v>
      </c>
      <c r="S260" s="164">
        <v>755.81</v>
      </c>
      <c r="T260" s="187" t="s">
        <v>309</v>
      </c>
      <c r="U260" s="164">
        <v>65522.12</v>
      </c>
      <c r="V260" s="56" t="s">
        <v>342</v>
      </c>
      <c r="W260" s="56" t="s">
        <v>310</v>
      </c>
      <c r="X260" s="56" t="s">
        <v>305</v>
      </c>
      <c r="Y260" s="56" t="s">
        <v>332</v>
      </c>
      <c r="Z260" s="56" t="s">
        <v>311</v>
      </c>
      <c r="AA260" s="56" t="s">
        <v>492</v>
      </c>
      <c r="AB260" s="56" t="s">
        <v>305</v>
      </c>
      <c r="AC260" s="56" t="s">
        <v>305</v>
      </c>
      <c r="AD260" s="56" t="s">
        <v>305</v>
      </c>
      <c r="AE260" s="57">
        <v>45736</v>
      </c>
      <c r="AF260" s="57">
        <v>45856</v>
      </c>
      <c r="AG260" s="58">
        <v>1400000303</v>
      </c>
      <c r="AH260" s="74" t="e" cm="1">
        <f t="array" ref="AH260">VLOOKUP(M260,'Customer data Vlookup'!$B$3:$H$127,{2,3},0)</f>
        <v>#N/A</v>
      </c>
      <c r="AI260" s="74"/>
      <c r="AJ260" s="74"/>
      <c r="AK260" s="43"/>
      <c r="AL260" s="43"/>
      <c r="AO260" t="e">
        <f>VLOOKUP(M260,'Customer data'!F:P,11,0)</f>
        <v>#N/A</v>
      </c>
    </row>
    <row r="261" spans="1:41" hidden="1">
      <c r="A261" s="56" t="s">
        <v>298</v>
      </c>
      <c r="B261" s="56" t="s">
        <v>299</v>
      </c>
      <c r="C261" s="56" t="s">
        <v>300</v>
      </c>
      <c r="D261" s="56" t="s">
        <v>301</v>
      </c>
      <c r="E261" s="56" t="s">
        <v>302</v>
      </c>
      <c r="F261" s="56" t="s">
        <v>327</v>
      </c>
      <c r="G261" s="57">
        <v>45736</v>
      </c>
      <c r="H261" s="58">
        <v>1800004217</v>
      </c>
      <c r="I261" s="56" t="s">
        <v>417</v>
      </c>
      <c r="J261" s="57">
        <v>45736</v>
      </c>
      <c r="K261" s="57">
        <v>45737</v>
      </c>
      <c r="L261" s="56" t="s">
        <v>332</v>
      </c>
      <c r="M261" s="60">
        <v>246779414085</v>
      </c>
      <c r="N261" s="56" t="s">
        <v>306</v>
      </c>
      <c r="O261" s="56" t="s">
        <v>307</v>
      </c>
      <c r="P261" s="56" t="s">
        <v>305</v>
      </c>
      <c r="Q261" s="56" t="s">
        <v>337</v>
      </c>
      <c r="R261" s="186" t="s">
        <v>333</v>
      </c>
      <c r="S261" s="164">
        <v>211.2</v>
      </c>
      <c r="T261" s="187" t="s">
        <v>309</v>
      </c>
      <c r="U261" s="164">
        <v>18309.189999999999</v>
      </c>
      <c r="V261" s="56" t="s">
        <v>342</v>
      </c>
      <c r="W261" s="56" t="s">
        <v>310</v>
      </c>
      <c r="X261" s="56" t="s">
        <v>305</v>
      </c>
      <c r="Y261" s="56" t="s">
        <v>332</v>
      </c>
      <c r="Z261" s="56" t="s">
        <v>311</v>
      </c>
      <c r="AA261" s="56" t="s">
        <v>493</v>
      </c>
      <c r="AB261" s="56" t="s">
        <v>305</v>
      </c>
      <c r="AC261" s="56" t="s">
        <v>305</v>
      </c>
      <c r="AD261" s="56" t="s">
        <v>305</v>
      </c>
      <c r="AE261" s="57">
        <v>45736</v>
      </c>
      <c r="AF261" s="57">
        <v>45856</v>
      </c>
      <c r="AG261" s="58">
        <v>1400000304</v>
      </c>
      <c r="AH261" s="74" t="e" cm="1">
        <f t="array" ref="AH261">VLOOKUP(M261,'Customer data Vlookup'!$B$3:$H$127,{2,3},0)</f>
        <v>#N/A</v>
      </c>
      <c r="AI261" s="74"/>
      <c r="AJ261" s="74"/>
      <c r="AK261" s="43"/>
      <c r="AL261" s="43"/>
      <c r="AO261" t="e">
        <f>VLOOKUP(M261,'Customer data'!F:P,11,0)</f>
        <v>#N/A</v>
      </c>
    </row>
    <row r="262" spans="1:41" hidden="1">
      <c r="A262" s="56" t="s">
        <v>298</v>
      </c>
      <c r="B262" s="56" t="s">
        <v>299</v>
      </c>
      <c r="C262" s="56" t="s">
        <v>300</v>
      </c>
      <c r="D262" s="56" t="s">
        <v>301</v>
      </c>
      <c r="E262" s="56" t="s">
        <v>302</v>
      </c>
      <c r="F262" s="56" t="s">
        <v>327</v>
      </c>
      <c r="G262" s="57">
        <v>45736</v>
      </c>
      <c r="H262" s="58">
        <v>1800004218</v>
      </c>
      <c r="I262" s="56" t="s">
        <v>417</v>
      </c>
      <c r="J262" s="57">
        <v>45736</v>
      </c>
      <c r="K262" s="57">
        <v>45737</v>
      </c>
      <c r="L262" s="56" t="s">
        <v>332</v>
      </c>
      <c r="M262" s="60">
        <v>246779414086</v>
      </c>
      <c r="N262" s="56" t="s">
        <v>306</v>
      </c>
      <c r="O262" s="56" t="s">
        <v>307</v>
      </c>
      <c r="P262" s="56" t="s">
        <v>305</v>
      </c>
      <c r="Q262" s="56" t="s">
        <v>337</v>
      </c>
      <c r="R262" s="186" t="s">
        <v>333</v>
      </c>
      <c r="S262" s="164">
        <v>345.6</v>
      </c>
      <c r="T262" s="187" t="s">
        <v>309</v>
      </c>
      <c r="U262" s="164">
        <v>29960.5</v>
      </c>
      <c r="V262" s="56" t="s">
        <v>342</v>
      </c>
      <c r="W262" s="56" t="s">
        <v>310</v>
      </c>
      <c r="X262" s="56" t="s">
        <v>305</v>
      </c>
      <c r="Y262" s="56" t="s">
        <v>332</v>
      </c>
      <c r="Z262" s="56" t="s">
        <v>311</v>
      </c>
      <c r="AA262" s="56" t="s">
        <v>494</v>
      </c>
      <c r="AB262" s="56" t="s">
        <v>305</v>
      </c>
      <c r="AC262" s="56" t="s">
        <v>305</v>
      </c>
      <c r="AD262" s="56" t="s">
        <v>305</v>
      </c>
      <c r="AE262" s="57">
        <v>45736</v>
      </c>
      <c r="AF262" s="57">
        <v>45856</v>
      </c>
      <c r="AG262" s="58">
        <v>1400000305</v>
      </c>
      <c r="AH262" s="74" t="e" cm="1">
        <f t="array" ref="AH262">VLOOKUP(M262,'Customer data Vlookup'!$B$3:$H$127,{2,3},0)</f>
        <v>#N/A</v>
      </c>
      <c r="AI262" s="74"/>
      <c r="AJ262" s="74"/>
      <c r="AK262" s="43"/>
      <c r="AL262" s="43"/>
      <c r="AO262" t="e">
        <f>VLOOKUP(M262,'Customer data'!F:P,11,0)</f>
        <v>#N/A</v>
      </c>
    </row>
    <row r="263" spans="1:41" hidden="1">
      <c r="A263" s="56" t="s">
        <v>298</v>
      </c>
      <c r="B263" s="56" t="s">
        <v>299</v>
      </c>
      <c r="C263" s="56" t="s">
        <v>300</v>
      </c>
      <c r="D263" s="56" t="s">
        <v>301</v>
      </c>
      <c r="E263" s="56" t="s">
        <v>302</v>
      </c>
      <c r="F263" s="56" t="s">
        <v>327</v>
      </c>
      <c r="G263" s="57">
        <v>45736</v>
      </c>
      <c r="H263" s="58">
        <v>1800004311</v>
      </c>
      <c r="I263" s="56" t="s">
        <v>417</v>
      </c>
      <c r="J263" s="57">
        <v>45736</v>
      </c>
      <c r="K263" s="57">
        <v>45737</v>
      </c>
      <c r="L263" s="56" t="s">
        <v>332</v>
      </c>
      <c r="M263" s="60">
        <v>246779414179</v>
      </c>
      <c r="N263" s="56" t="s">
        <v>306</v>
      </c>
      <c r="O263" s="56" t="s">
        <v>307</v>
      </c>
      <c r="P263" s="56" t="s">
        <v>305</v>
      </c>
      <c r="Q263" s="56" t="s">
        <v>337</v>
      </c>
      <c r="R263" s="186" t="s">
        <v>333</v>
      </c>
      <c r="S263" s="164">
        <v>283.43</v>
      </c>
      <c r="T263" s="187" t="s">
        <v>309</v>
      </c>
      <c r="U263" s="164">
        <v>24570.9</v>
      </c>
      <c r="V263" s="56" t="s">
        <v>342</v>
      </c>
      <c r="W263" s="56" t="s">
        <v>310</v>
      </c>
      <c r="X263" s="56" t="s">
        <v>305</v>
      </c>
      <c r="Y263" s="56" t="s">
        <v>332</v>
      </c>
      <c r="Z263" s="56" t="s">
        <v>311</v>
      </c>
      <c r="AA263" s="56" t="s">
        <v>495</v>
      </c>
      <c r="AB263" s="56" t="s">
        <v>305</v>
      </c>
      <c r="AC263" s="56" t="s">
        <v>305</v>
      </c>
      <c r="AD263" s="56" t="s">
        <v>305</v>
      </c>
      <c r="AE263" s="57">
        <v>45736</v>
      </c>
      <c r="AF263" s="57">
        <v>45856</v>
      </c>
      <c r="AG263" s="58">
        <v>1400000306</v>
      </c>
      <c r="AH263" s="74" t="e" cm="1">
        <f t="array" ref="AH263">VLOOKUP(M263,'Customer data Vlookup'!$B$3:$H$127,{2,3},0)</f>
        <v>#N/A</v>
      </c>
      <c r="AI263" s="74"/>
      <c r="AJ263" s="74"/>
      <c r="AK263" s="43"/>
      <c r="AL263" s="43"/>
      <c r="AO263" t="e">
        <f>VLOOKUP(M263,'Customer data'!F:P,11,0)</f>
        <v>#N/A</v>
      </c>
    </row>
    <row r="264" spans="1:41" hidden="1">
      <c r="A264" s="56" t="s">
        <v>298</v>
      </c>
      <c r="B264" s="56" t="s">
        <v>299</v>
      </c>
      <c r="C264" s="56" t="s">
        <v>300</v>
      </c>
      <c r="D264" s="56" t="s">
        <v>301</v>
      </c>
      <c r="E264" s="56" t="s">
        <v>302</v>
      </c>
      <c r="F264" s="56" t="s">
        <v>327</v>
      </c>
      <c r="G264" s="57">
        <v>45736</v>
      </c>
      <c r="H264" s="58">
        <v>1800004312</v>
      </c>
      <c r="I264" s="56" t="s">
        <v>417</v>
      </c>
      <c r="J264" s="57">
        <v>45736</v>
      </c>
      <c r="K264" s="57">
        <v>45737</v>
      </c>
      <c r="L264" s="56" t="s">
        <v>332</v>
      </c>
      <c r="M264" s="60">
        <v>246779414180</v>
      </c>
      <c r="N264" s="56" t="s">
        <v>306</v>
      </c>
      <c r="O264" s="56" t="s">
        <v>307</v>
      </c>
      <c r="P264" s="56" t="s">
        <v>305</v>
      </c>
      <c r="Q264" s="56" t="s">
        <v>337</v>
      </c>
      <c r="R264" s="186" t="s">
        <v>333</v>
      </c>
      <c r="S264" s="164">
        <v>81</v>
      </c>
      <c r="T264" s="187" t="s">
        <v>309</v>
      </c>
      <c r="U264" s="164">
        <v>7021.99</v>
      </c>
      <c r="V264" s="56" t="s">
        <v>342</v>
      </c>
      <c r="W264" s="56" t="s">
        <v>310</v>
      </c>
      <c r="X264" s="56" t="s">
        <v>305</v>
      </c>
      <c r="Y264" s="56" t="s">
        <v>332</v>
      </c>
      <c r="Z264" s="56" t="s">
        <v>311</v>
      </c>
      <c r="AA264" s="56" t="s">
        <v>496</v>
      </c>
      <c r="AB264" s="56" t="s">
        <v>305</v>
      </c>
      <c r="AC264" s="56" t="s">
        <v>305</v>
      </c>
      <c r="AD264" s="56" t="s">
        <v>305</v>
      </c>
      <c r="AE264" s="57">
        <v>45736</v>
      </c>
      <c r="AF264" s="57">
        <v>45856</v>
      </c>
      <c r="AG264" s="58">
        <v>1400000307</v>
      </c>
      <c r="AH264" s="74" t="e" cm="1">
        <f t="array" ref="AH264">VLOOKUP(M264,'Customer data Vlookup'!$B$3:$H$127,{2,3},0)</f>
        <v>#N/A</v>
      </c>
      <c r="AI264" s="74"/>
      <c r="AJ264" s="74"/>
      <c r="AK264" s="43"/>
      <c r="AL264" s="43"/>
      <c r="AO264" t="e">
        <f>VLOOKUP(M264,'Customer data'!F:P,11,0)</f>
        <v>#N/A</v>
      </c>
    </row>
    <row r="265" spans="1:41" hidden="1">
      <c r="A265" s="56" t="s">
        <v>298</v>
      </c>
      <c r="B265" s="56" t="s">
        <v>299</v>
      </c>
      <c r="C265" s="56" t="s">
        <v>300</v>
      </c>
      <c r="D265" s="56" t="s">
        <v>301</v>
      </c>
      <c r="E265" s="56" t="s">
        <v>302</v>
      </c>
      <c r="F265" s="56" t="s">
        <v>327</v>
      </c>
      <c r="G265" s="57">
        <v>45736</v>
      </c>
      <c r="H265" s="58">
        <v>1800004313</v>
      </c>
      <c r="I265" s="56" t="s">
        <v>417</v>
      </c>
      <c r="J265" s="57">
        <v>45736</v>
      </c>
      <c r="K265" s="57">
        <v>45737</v>
      </c>
      <c r="L265" s="56" t="s">
        <v>332</v>
      </c>
      <c r="M265" s="60">
        <v>246779414181</v>
      </c>
      <c r="N265" s="56" t="s">
        <v>306</v>
      </c>
      <c r="O265" s="56" t="s">
        <v>307</v>
      </c>
      <c r="P265" s="56" t="s">
        <v>305</v>
      </c>
      <c r="Q265" s="56" t="s">
        <v>337</v>
      </c>
      <c r="R265" s="186" t="s">
        <v>333</v>
      </c>
      <c r="S265" s="164">
        <v>129.6</v>
      </c>
      <c r="T265" s="187" t="s">
        <v>309</v>
      </c>
      <c r="U265" s="164">
        <v>11235.19</v>
      </c>
      <c r="V265" s="56" t="s">
        <v>342</v>
      </c>
      <c r="W265" s="56" t="s">
        <v>310</v>
      </c>
      <c r="X265" s="56" t="s">
        <v>305</v>
      </c>
      <c r="Y265" s="56" t="s">
        <v>332</v>
      </c>
      <c r="Z265" s="56" t="s">
        <v>311</v>
      </c>
      <c r="AA265" s="56" t="s">
        <v>497</v>
      </c>
      <c r="AB265" s="56" t="s">
        <v>305</v>
      </c>
      <c r="AC265" s="56" t="s">
        <v>305</v>
      </c>
      <c r="AD265" s="56" t="s">
        <v>305</v>
      </c>
      <c r="AE265" s="57">
        <v>45736</v>
      </c>
      <c r="AF265" s="57">
        <v>45856</v>
      </c>
      <c r="AG265" s="58">
        <v>1400000308</v>
      </c>
      <c r="AH265" s="74" t="e" cm="1">
        <f t="array" ref="AH265">VLOOKUP(M265,'Customer data Vlookup'!$B$3:$H$127,{2,3},0)</f>
        <v>#N/A</v>
      </c>
      <c r="AI265" s="74"/>
      <c r="AJ265" s="74"/>
      <c r="AK265" s="43"/>
      <c r="AL265" s="43"/>
      <c r="AO265" t="e">
        <f>VLOOKUP(M265,'Customer data'!F:P,11,0)</f>
        <v>#N/A</v>
      </c>
    </row>
    <row r="266" spans="1:41" hidden="1">
      <c r="A266" s="56" t="s">
        <v>298</v>
      </c>
      <c r="B266" s="56" t="s">
        <v>299</v>
      </c>
      <c r="C266" s="56" t="s">
        <v>300</v>
      </c>
      <c r="D266" s="56" t="s">
        <v>301</v>
      </c>
      <c r="E266" s="56" t="s">
        <v>302</v>
      </c>
      <c r="F266" s="56" t="s">
        <v>327</v>
      </c>
      <c r="G266" s="57">
        <v>45736</v>
      </c>
      <c r="H266" s="58">
        <v>1800004565</v>
      </c>
      <c r="I266" s="56" t="s">
        <v>417</v>
      </c>
      <c r="J266" s="57">
        <v>45736</v>
      </c>
      <c r="K266" s="57">
        <v>45737</v>
      </c>
      <c r="L266" s="56" t="s">
        <v>332</v>
      </c>
      <c r="M266" s="60">
        <v>246779414433</v>
      </c>
      <c r="N266" s="56" t="s">
        <v>306</v>
      </c>
      <c r="O266" s="56" t="s">
        <v>307</v>
      </c>
      <c r="P266" s="56" t="s">
        <v>305</v>
      </c>
      <c r="Q266" s="56" t="s">
        <v>337</v>
      </c>
      <c r="R266" s="186" t="s">
        <v>333</v>
      </c>
      <c r="S266" s="164">
        <v>158.46</v>
      </c>
      <c r="T266" s="187" t="s">
        <v>309</v>
      </c>
      <c r="U266" s="164">
        <v>13737.1</v>
      </c>
      <c r="V266" s="56" t="s">
        <v>342</v>
      </c>
      <c r="W266" s="56" t="s">
        <v>310</v>
      </c>
      <c r="X266" s="56" t="s">
        <v>305</v>
      </c>
      <c r="Y266" s="56" t="s">
        <v>332</v>
      </c>
      <c r="Z266" s="56" t="s">
        <v>311</v>
      </c>
      <c r="AA266" s="56" t="s">
        <v>490</v>
      </c>
      <c r="AB266" s="56" t="s">
        <v>305</v>
      </c>
      <c r="AC266" s="56" t="s">
        <v>305</v>
      </c>
      <c r="AD266" s="56" t="s">
        <v>305</v>
      </c>
      <c r="AE266" s="57">
        <v>45736</v>
      </c>
      <c r="AF266" s="57">
        <v>45856</v>
      </c>
      <c r="AG266" s="58">
        <v>1400000309</v>
      </c>
      <c r="AH266" s="74" t="e" cm="1">
        <f t="array" ref="AH266">VLOOKUP(M266,'Customer data Vlookup'!$B$3:$H$127,{2,3},0)</f>
        <v>#N/A</v>
      </c>
      <c r="AI266" s="74"/>
      <c r="AJ266" s="74"/>
      <c r="AK266" s="43"/>
      <c r="AL266" s="43"/>
      <c r="AO266" t="e">
        <f>VLOOKUP(M266,'Customer data'!F:P,11,0)</f>
        <v>#N/A</v>
      </c>
    </row>
    <row r="267" spans="1:41" hidden="1">
      <c r="A267" s="56" t="s">
        <v>298</v>
      </c>
      <c r="B267" s="56" t="s">
        <v>299</v>
      </c>
      <c r="C267" s="56" t="s">
        <v>300</v>
      </c>
      <c r="D267" s="56" t="s">
        <v>301</v>
      </c>
      <c r="E267" s="56" t="s">
        <v>302</v>
      </c>
      <c r="F267" s="56" t="s">
        <v>327</v>
      </c>
      <c r="G267" s="57">
        <v>45736</v>
      </c>
      <c r="H267" s="58">
        <v>1800004566</v>
      </c>
      <c r="I267" s="56" t="s">
        <v>417</v>
      </c>
      <c r="J267" s="57">
        <v>45736</v>
      </c>
      <c r="K267" s="57">
        <v>45737</v>
      </c>
      <c r="L267" s="56" t="s">
        <v>332</v>
      </c>
      <c r="M267" s="60">
        <v>246779414434</v>
      </c>
      <c r="N267" s="56" t="s">
        <v>306</v>
      </c>
      <c r="O267" s="56" t="s">
        <v>307</v>
      </c>
      <c r="P267" s="56" t="s">
        <v>305</v>
      </c>
      <c r="Q267" s="56" t="s">
        <v>337</v>
      </c>
      <c r="R267" s="186" t="s">
        <v>333</v>
      </c>
      <c r="S267" s="164">
        <v>31.99</v>
      </c>
      <c r="T267" s="187" t="s">
        <v>309</v>
      </c>
      <c r="U267" s="164">
        <v>2773.25</v>
      </c>
      <c r="V267" s="56" t="s">
        <v>342</v>
      </c>
      <c r="W267" s="56" t="s">
        <v>310</v>
      </c>
      <c r="X267" s="56" t="s">
        <v>305</v>
      </c>
      <c r="Y267" s="56" t="s">
        <v>332</v>
      </c>
      <c r="Z267" s="56" t="s">
        <v>311</v>
      </c>
      <c r="AA267" s="56" t="s">
        <v>498</v>
      </c>
      <c r="AB267" s="56" t="s">
        <v>305</v>
      </c>
      <c r="AC267" s="56" t="s">
        <v>305</v>
      </c>
      <c r="AD267" s="56" t="s">
        <v>305</v>
      </c>
      <c r="AE267" s="57">
        <v>45736</v>
      </c>
      <c r="AF267" s="57">
        <v>45856</v>
      </c>
      <c r="AG267" s="58">
        <v>1400000310</v>
      </c>
      <c r="AH267" s="74" t="e" cm="1">
        <f t="array" ref="AH267">VLOOKUP(M267,'Customer data Vlookup'!$B$3:$H$127,{2,3},0)</f>
        <v>#N/A</v>
      </c>
      <c r="AI267" s="74"/>
      <c r="AJ267" s="74"/>
      <c r="AK267" s="43"/>
      <c r="AL267" s="43"/>
      <c r="AO267" t="e">
        <f>VLOOKUP(M267,'Customer data'!F:P,11,0)</f>
        <v>#N/A</v>
      </c>
    </row>
    <row r="268" spans="1:41" hidden="1">
      <c r="A268" s="56" t="s">
        <v>298</v>
      </c>
      <c r="B268" s="56" t="s">
        <v>299</v>
      </c>
      <c r="C268" s="56" t="s">
        <v>300</v>
      </c>
      <c r="D268" s="56" t="s">
        <v>301</v>
      </c>
      <c r="E268" s="56" t="s">
        <v>302</v>
      </c>
      <c r="F268" s="56" t="s">
        <v>327</v>
      </c>
      <c r="G268" s="57">
        <v>45736</v>
      </c>
      <c r="H268" s="58">
        <v>1800004567</v>
      </c>
      <c r="I268" s="56" t="s">
        <v>417</v>
      </c>
      <c r="J268" s="57">
        <v>45736</v>
      </c>
      <c r="K268" s="57">
        <v>45737</v>
      </c>
      <c r="L268" s="56" t="s">
        <v>332</v>
      </c>
      <c r="M268" s="60">
        <v>246779414435</v>
      </c>
      <c r="N268" s="56" t="s">
        <v>306</v>
      </c>
      <c r="O268" s="56" t="s">
        <v>307</v>
      </c>
      <c r="P268" s="56" t="s">
        <v>305</v>
      </c>
      <c r="Q268" s="56" t="s">
        <v>337</v>
      </c>
      <c r="R268" s="186" t="s">
        <v>333</v>
      </c>
      <c r="S268" s="164">
        <v>26.4</v>
      </c>
      <c r="T268" s="187" t="s">
        <v>309</v>
      </c>
      <c r="U268" s="164">
        <v>2288.65</v>
      </c>
      <c r="V268" s="56" t="s">
        <v>342</v>
      </c>
      <c r="W268" s="56" t="s">
        <v>310</v>
      </c>
      <c r="X268" s="56" t="s">
        <v>305</v>
      </c>
      <c r="Y268" s="56" t="s">
        <v>332</v>
      </c>
      <c r="Z268" s="56" t="s">
        <v>311</v>
      </c>
      <c r="AA268" s="56" t="s">
        <v>499</v>
      </c>
      <c r="AB268" s="56" t="s">
        <v>305</v>
      </c>
      <c r="AC268" s="56" t="s">
        <v>305</v>
      </c>
      <c r="AD268" s="56" t="s">
        <v>305</v>
      </c>
      <c r="AE268" s="57">
        <v>45736</v>
      </c>
      <c r="AF268" s="57">
        <v>45856</v>
      </c>
      <c r="AG268" s="58">
        <v>1400000311</v>
      </c>
      <c r="AH268" s="74" t="e" cm="1">
        <f t="array" ref="AH268">VLOOKUP(M268,'Customer data Vlookup'!$B$3:$H$127,{2,3},0)</f>
        <v>#N/A</v>
      </c>
      <c r="AI268" s="74"/>
      <c r="AJ268" s="74"/>
      <c r="AK268" s="43"/>
      <c r="AL268" s="43"/>
      <c r="AO268" t="e">
        <f>VLOOKUP(M268,'Customer data'!F:P,11,0)</f>
        <v>#N/A</v>
      </c>
    </row>
    <row r="269" spans="1:41" hidden="1">
      <c r="A269" s="56" t="s">
        <v>298</v>
      </c>
      <c r="B269" s="56" t="s">
        <v>299</v>
      </c>
      <c r="C269" s="56" t="s">
        <v>300</v>
      </c>
      <c r="D269" s="56" t="s">
        <v>301</v>
      </c>
      <c r="E269" s="56" t="s">
        <v>302</v>
      </c>
      <c r="F269" s="56" t="s">
        <v>327</v>
      </c>
      <c r="G269" s="57">
        <v>45736</v>
      </c>
      <c r="H269" s="58">
        <v>1800004568</v>
      </c>
      <c r="I269" s="56" t="s">
        <v>417</v>
      </c>
      <c r="J269" s="57">
        <v>45736</v>
      </c>
      <c r="K269" s="57">
        <v>45737</v>
      </c>
      <c r="L269" s="56" t="s">
        <v>332</v>
      </c>
      <c r="M269" s="60">
        <v>246779414436</v>
      </c>
      <c r="N269" s="56" t="s">
        <v>306</v>
      </c>
      <c r="O269" s="56" t="s">
        <v>307</v>
      </c>
      <c r="P269" s="56" t="s">
        <v>305</v>
      </c>
      <c r="Q269" s="56" t="s">
        <v>337</v>
      </c>
      <c r="R269" s="186" t="s">
        <v>333</v>
      </c>
      <c r="S269" s="164">
        <v>180</v>
      </c>
      <c r="T269" s="187" t="s">
        <v>309</v>
      </c>
      <c r="U269" s="164">
        <v>15604.43</v>
      </c>
      <c r="V269" s="56" t="s">
        <v>342</v>
      </c>
      <c r="W269" s="56" t="s">
        <v>310</v>
      </c>
      <c r="X269" s="56" t="s">
        <v>305</v>
      </c>
      <c r="Y269" s="56" t="s">
        <v>332</v>
      </c>
      <c r="Z269" s="56" t="s">
        <v>311</v>
      </c>
      <c r="AA269" s="56" t="s">
        <v>500</v>
      </c>
      <c r="AB269" s="56" t="s">
        <v>305</v>
      </c>
      <c r="AC269" s="56" t="s">
        <v>305</v>
      </c>
      <c r="AD269" s="56" t="s">
        <v>305</v>
      </c>
      <c r="AE269" s="57">
        <v>45736</v>
      </c>
      <c r="AF269" s="57">
        <v>45856</v>
      </c>
      <c r="AG269" s="58">
        <v>1400000312</v>
      </c>
      <c r="AH269" s="74" t="e" cm="1">
        <f t="array" ref="AH269">VLOOKUP(M269,'Customer data Vlookup'!$B$3:$H$127,{2,3},0)</f>
        <v>#N/A</v>
      </c>
      <c r="AI269" s="74"/>
      <c r="AJ269" s="74"/>
      <c r="AK269" s="43"/>
      <c r="AL269" s="43"/>
      <c r="AO269" t="e">
        <f>VLOOKUP(M269,'Customer data'!F:P,11,0)</f>
        <v>#N/A</v>
      </c>
    </row>
    <row r="270" spans="1:41" hidden="1">
      <c r="A270" s="56" t="s">
        <v>298</v>
      </c>
      <c r="B270" s="56" t="s">
        <v>299</v>
      </c>
      <c r="C270" s="56" t="s">
        <v>300</v>
      </c>
      <c r="D270" s="56" t="s">
        <v>301</v>
      </c>
      <c r="E270" s="56" t="s">
        <v>302</v>
      </c>
      <c r="F270" s="56" t="s">
        <v>327</v>
      </c>
      <c r="G270" s="57">
        <v>45736</v>
      </c>
      <c r="H270" s="58">
        <v>1800004569</v>
      </c>
      <c r="I270" s="56" t="s">
        <v>417</v>
      </c>
      <c r="J270" s="57">
        <v>45736</v>
      </c>
      <c r="K270" s="57">
        <v>45737</v>
      </c>
      <c r="L270" s="56" t="s">
        <v>332</v>
      </c>
      <c r="M270" s="60">
        <v>246779414437</v>
      </c>
      <c r="N270" s="56" t="s">
        <v>306</v>
      </c>
      <c r="O270" s="56" t="s">
        <v>307</v>
      </c>
      <c r="P270" s="56" t="s">
        <v>305</v>
      </c>
      <c r="Q270" s="56" t="s">
        <v>337</v>
      </c>
      <c r="R270" s="186" t="s">
        <v>333</v>
      </c>
      <c r="S270" s="164">
        <v>90</v>
      </c>
      <c r="T270" s="187" t="s">
        <v>309</v>
      </c>
      <c r="U270" s="164">
        <v>7802.21</v>
      </c>
      <c r="V270" s="56" t="s">
        <v>342</v>
      </c>
      <c r="W270" s="56" t="s">
        <v>310</v>
      </c>
      <c r="X270" s="56" t="s">
        <v>305</v>
      </c>
      <c r="Y270" s="56" t="s">
        <v>332</v>
      </c>
      <c r="Z270" s="56" t="s">
        <v>311</v>
      </c>
      <c r="AA270" s="56" t="s">
        <v>501</v>
      </c>
      <c r="AB270" s="56" t="s">
        <v>305</v>
      </c>
      <c r="AC270" s="56" t="s">
        <v>305</v>
      </c>
      <c r="AD270" s="56" t="s">
        <v>305</v>
      </c>
      <c r="AE270" s="57">
        <v>45736</v>
      </c>
      <c r="AF270" s="57">
        <v>45856</v>
      </c>
      <c r="AG270" s="58">
        <v>1400000313</v>
      </c>
      <c r="AH270" s="74" t="e" cm="1">
        <f t="array" ref="AH270">VLOOKUP(M270,'Customer data Vlookup'!$B$3:$H$127,{2,3},0)</f>
        <v>#N/A</v>
      </c>
      <c r="AI270" s="74"/>
      <c r="AJ270" s="74"/>
      <c r="AK270" s="43"/>
      <c r="AL270" s="43"/>
      <c r="AO270" t="e">
        <f>VLOOKUP(M270,'Customer data'!F:P,11,0)</f>
        <v>#N/A</v>
      </c>
    </row>
    <row r="271" spans="1:41" hidden="1">
      <c r="A271" s="56" t="s">
        <v>298</v>
      </c>
      <c r="B271" s="56" t="s">
        <v>299</v>
      </c>
      <c r="C271" s="56" t="s">
        <v>300</v>
      </c>
      <c r="D271" s="56" t="s">
        <v>301</v>
      </c>
      <c r="E271" s="56" t="s">
        <v>302</v>
      </c>
      <c r="F271" s="56" t="s">
        <v>327</v>
      </c>
      <c r="G271" s="57">
        <v>45736</v>
      </c>
      <c r="H271" s="58">
        <v>1800004570</v>
      </c>
      <c r="I271" s="56" t="s">
        <v>417</v>
      </c>
      <c r="J271" s="57">
        <v>45736</v>
      </c>
      <c r="K271" s="57">
        <v>45737</v>
      </c>
      <c r="L271" s="56" t="s">
        <v>332</v>
      </c>
      <c r="M271" s="60">
        <v>246779414438</v>
      </c>
      <c r="N271" s="56" t="s">
        <v>306</v>
      </c>
      <c r="O271" s="56" t="s">
        <v>307</v>
      </c>
      <c r="P271" s="56" t="s">
        <v>305</v>
      </c>
      <c r="Q271" s="56" t="s">
        <v>337</v>
      </c>
      <c r="R271" s="186" t="s">
        <v>333</v>
      </c>
      <c r="S271" s="164">
        <v>27</v>
      </c>
      <c r="T271" s="187" t="s">
        <v>309</v>
      </c>
      <c r="U271" s="164">
        <v>2340.66</v>
      </c>
      <c r="V271" s="56" t="s">
        <v>342</v>
      </c>
      <c r="W271" s="56" t="s">
        <v>310</v>
      </c>
      <c r="X271" s="56" t="s">
        <v>305</v>
      </c>
      <c r="Y271" s="56" t="s">
        <v>332</v>
      </c>
      <c r="Z271" s="56" t="s">
        <v>311</v>
      </c>
      <c r="AA271" s="56" t="s">
        <v>502</v>
      </c>
      <c r="AB271" s="56" t="s">
        <v>305</v>
      </c>
      <c r="AC271" s="56" t="s">
        <v>305</v>
      </c>
      <c r="AD271" s="56" t="s">
        <v>305</v>
      </c>
      <c r="AE271" s="57">
        <v>45736</v>
      </c>
      <c r="AF271" s="57">
        <v>45856</v>
      </c>
      <c r="AG271" s="58">
        <v>1400000314</v>
      </c>
      <c r="AH271" s="74" t="e" cm="1">
        <f t="array" ref="AH271">VLOOKUP(M271,'Customer data Vlookup'!$B$3:$H$127,{2,3},0)</f>
        <v>#N/A</v>
      </c>
      <c r="AI271" s="74"/>
      <c r="AJ271" s="74"/>
      <c r="AK271" s="43"/>
      <c r="AL271" s="43"/>
      <c r="AO271" t="e">
        <f>VLOOKUP(M271,'Customer data'!F:P,11,0)</f>
        <v>#N/A</v>
      </c>
    </row>
    <row r="272" spans="1:41" hidden="1">
      <c r="A272" s="56" t="s">
        <v>298</v>
      </c>
      <c r="B272" s="56" t="s">
        <v>299</v>
      </c>
      <c r="C272" s="56" t="s">
        <v>300</v>
      </c>
      <c r="D272" s="56" t="s">
        <v>301</v>
      </c>
      <c r="E272" s="56" t="s">
        <v>302</v>
      </c>
      <c r="F272" s="56" t="s">
        <v>327</v>
      </c>
      <c r="G272" s="57">
        <v>45736</v>
      </c>
      <c r="H272" s="58">
        <v>1800004571</v>
      </c>
      <c r="I272" s="56" t="s">
        <v>417</v>
      </c>
      <c r="J272" s="57">
        <v>45736</v>
      </c>
      <c r="K272" s="57">
        <v>45737</v>
      </c>
      <c r="L272" s="56" t="s">
        <v>332</v>
      </c>
      <c r="M272" s="60">
        <v>246779414439</v>
      </c>
      <c r="N272" s="56" t="s">
        <v>306</v>
      </c>
      <c r="O272" s="56" t="s">
        <v>307</v>
      </c>
      <c r="P272" s="56" t="s">
        <v>305</v>
      </c>
      <c r="Q272" s="56" t="s">
        <v>337</v>
      </c>
      <c r="R272" s="186" t="s">
        <v>333</v>
      </c>
      <c r="S272" s="164">
        <v>86.4</v>
      </c>
      <c r="T272" s="187" t="s">
        <v>309</v>
      </c>
      <c r="U272" s="164">
        <v>7490.12</v>
      </c>
      <c r="V272" s="56" t="s">
        <v>342</v>
      </c>
      <c r="W272" s="56" t="s">
        <v>310</v>
      </c>
      <c r="X272" s="56" t="s">
        <v>305</v>
      </c>
      <c r="Y272" s="56" t="s">
        <v>332</v>
      </c>
      <c r="Z272" s="56" t="s">
        <v>311</v>
      </c>
      <c r="AA272" s="56" t="s">
        <v>503</v>
      </c>
      <c r="AB272" s="56" t="s">
        <v>305</v>
      </c>
      <c r="AC272" s="56" t="s">
        <v>305</v>
      </c>
      <c r="AD272" s="56" t="s">
        <v>305</v>
      </c>
      <c r="AE272" s="57">
        <v>45736</v>
      </c>
      <c r="AF272" s="57">
        <v>45856</v>
      </c>
      <c r="AG272" s="58">
        <v>1400000315</v>
      </c>
      <c r="AH272" s="74" t="e" cm="1">
        <f t="array" ref="AH272">VLOOKUP(M272,'Customer data Vlookup'!$B$3:$H$127,{2,3},0)</f>
        <v>#N/A</v>
      </c>
      <c r="AI272" s="74"/>
      <c r="AJ272" s="74"/>
      <c r="AK272" s="43"/>
      <c r="AL272" s="43"/>
      <c r="AO272" t="e">
        <f>VLOOKUP(M272,'Customer data'!F:P,11,0)</f>
        <v>#N/A</v>
      </c>
    </row>
    <row r="273" spans="1:41" hidden="1">
      <c r="A273" s="56" t="s">
        <v>298</v>
      </c>
      <c r="B273" s="56" t="s">
        <v>299</v>
      </c>
      <c r="C273" s="56" t="s">
        <v>300</v>
      </c>
      <c r="D273" s="56" t="s">
        <v>301</v>
      </c>
      <c r="E273" s="56" t="s">
        <v>302</v>
      </c>
      <c r="F273" s="56" t="s">
        <v>327</v>
      </c>
      <c r="G273" s="57">
        <v>45736</v>
      </c>
      <c r="H273" s="58">
        <v>1800004103</v>
      </c>
      <c r="I273" s="56" t="s">
        <v>417</v>
      </c>
      <c r="J273" s="57">
        <v>45736</v>
      </c>
      <c r="K273" s="57">
        <v>45737</v>
      </c>
      <c r="L273" s="56" t="s">
        <v>332</v>
      </c>
      <c r="M273" s="60">
        <v>246779413959</v>
      </c>
      <c r="N273" s="56" t="s">
        <v>306</v>
      </c>
      <c r="O273" s="56" t="s">
        <v>307</v>
      </c>
      <c r="P273" s="56" t="s">
        <v>305</v>
      </c>
      <c r="Q273" s="56" t="s">
        <v>337</v>
      </c>
      <c r="R273" s="186" t="s">
        <v>333</v>
      </c>
      <c r="S273" s="164">
        <v>164.68</v>
      </c>
      <c r="T273" s="187" t="s">
        <v>309</v>
      </c>
      <c r="U273" s="164">
        <v>14276.32</v>
      </c>
      <c r="V273" s="56" t="s">
        <v>342</v>
      </c>
      <c r="W273" s="56" t="s">
        <v>310</v>
      </c>
      <c r="X273" s="56" t="s">
        <v>305</v>
      </c>
      <c r="Y273" s="56" t="s">
        <v>332</v>
      </c>
      <c r="Z273" s="56" t="s">
        <v>311</v>
      </c>
      <c r="AA273" s="56" t="s">
        <v>151</v>
      </c>
      <c r="AB273" s="56" t="s">
        <v>305</v>
      </c>
      <c r="AC273" s="56" t="s">
        <v>305</v>
      </c>
      <c r="AD273" s="56" t="s">
        <v>305</v>
      </c>
      <c r="AE273" s="57">
        <v>45736</v>
      </c>
      <c r="AF273" s="57">
        <v>45979</v>
      </c>
      <c r="AG273" s="58">
        <v>1400001961</v>
      </c>
      <c r="AH273" s="74" cm="1">
        <f t="array" ref="AH273:AI273">VLOOKUP(M273,'Customer data Vlookup'!$B$3:$H$127,{2,3},0)</f>
        <v>14276.316696800002</v>
      </c>
      <c r="AI273" s="74">
        <v>286</v>
      </c>
      <c r="AJ273" s="74">
        <f t="shared" ref="AJ273:AJ284" si="18">AH273-AI273</f>
        <v>13990.316696800002</v>
      </c>
      <c r="AK273" s="41">
        <f>U273-AH273</f>
        <v>3.3031999973900383E-3</v>
      </c>
      <c r="AL273" s="62">
        <f t="shared" ref="AL273:AL284" si="19">AI273/U273</f>
        <v>2.0033173815100811E-2</v>
      </c>
      <c r="AO273" t="str">
        <f>VLOOKUP(M273,'Customer data'!F:P,11,0)</f>
        <v>HDFCN52025060575568983</v>
      </c>
    </row>
    <row r="274" spans="1:41" hidden="1">
      <c r="A274" s="56" t="s">
        <v>298</v>
      </c>
      <c r="B274" s="56" t="s">
        <v>299</v>
      </c>
      <c r="C274" s="56" t="s">
        <v>300</v>
      </c>
      <c r="D274" s="56" t="s">
        <v>301</v>
      </c>
      <c r="E274" s="56" t="s">
        <v>302</v>
      </c>
      <c r="F274" s="56" t="s">
        <v>327</v>
      </c>
      <c r="G274" s="57">
        <v>45736</v>
      </c>
      <c r="H274" s="58">
        <v>1800004104</v>
      </c>
      <c r="I274" s="56" t="s">
        <v>417</v>
      </c>
      <c r="J274" s="57">
        <v>45736</v>
      </c>
      <c r="K274" s="57">
        <v>45737</v>
      </c>
      <c r="L274" s="56" t="s">
        <v>332</v>
      </c>
      <c r="M274" s="60">
        <v>246779413960</v>
      </c>
      <c r="N274" s="56" t="s">
        <v>306</v>
      </c>
      <c r="O274" s="56" t="s">
        <v>307</v>
      </c>
      <c r="P274" s="56" t="s">
        <v>305</v>
      </c>
      <c r="Q274" s="56" t="s">
        <v>337</v>
      </c>
      <c r="R274" s="186" t="s">
        <v>333</v>
      </c>
      <c r="S274" s="164">
        <v>164.68</v>
      </c>
      <c r="T274" s="187" t="s">
        <v>309</v>
      </c>
      <c r="U274" s="164">
        <v>14276.32</v>
      </c>
      <c r="V274" s="56" t="s">
        <v>342</v>
      </c>
      <c r="W274" s="56" t="s">
        <v>310</v>
      </c>
      <c r="X274" s="56" t="s">
        <v>305</v>
      </c>
      <c r="Y274" s="56" t="s">
        <v>332</v>
      </c>
      <c r="Z274" s="56" t="s">
        <v>311</v>
      </c>
      <c r="AA274" s="56" t="s">
        <v>151</v>
      </c>
      <c r="AB274" s="56" t="s">
        <v>305</v>
      </c>
      <c r="AC274" s="56" t="s">
        <v>305</v>
      </c>
      <c r="AD274" s="56" t="s">
        <v>305</v>
      </c>
      <c r="AE274" s="57">
        <v>45736</v>
      </c>
      <c r="AF274" s="57">
        <v>45979</v>
      </c>
      <c r="AG274" s="58">
        <v>1400001961</v>
      </c>
      <c r="AH274" s="74" cm="1">
        <f t="array" ref="AH274:AI274">VLOOKUP(M274,'Customer data Vlookup'!$B$3:$H$127,{2,3},0)</f>
        <v>14276.316696800002</v>
      </c>
      <c r="AI274" s="74">
        <v>286</v>
      </c>
      <c r="AJ274" s="74">
        <f t="shared" si="18"/>
        <v>13990.316696800002</v>
      </c>
      <c r="AK274" s="41">
        <f>U274-AH274</f>
        <v>3.3031999973900383E-3</v>
      </c>
      <c r="AL274" s="62">
        <f t="shared" si="19"/>
        <v>2.0033173815100811E-2</v>
      </c>
      <c r="AO274" t="str">
        <f>VLOOKUP(M274,'Customer data'!F:P,11,0)</f>
        <v>HDFCN52025060575568983</v>
      </c>
    </row>
    <row r="275" spans="1:41" hidden="1">
      <c r="A275" s="56" t="s">
        <v>298</v>
      </c>
      <c r="B275" s="56" t="s">
        <v>299</v>
      </c>
      <c r="C275" s="56" t="s">
        <v>300</v>
      </c>
      <c r="D275" s="56" t="s">
        <v>301</v>
      </c>
      <c r="E275" s="56" t="s">
        <v>302</v>
      </c>
      <c r="F275" s="56" t="s">
        <v>327</v>
      </c>
      <c r="G275" s="57">
        <v>45736</v>
      </c>
      <c r="H275" s="58">
        <v>1800004107</v>
      </c>
      <c r="I275" s="56" t="s">
        <v>417</v>
      </c>
      <c r="J275" s="57">
        <v>45736</v>
      </c>
      <c r="K275" s="57">
        <v>45737</v>
      </c>
      <c r="L275" s="56" t="s">
        <v>332</v>
      </c>
      <c r="M275" s="60">
        <v>246779413963</v>
      </c>
      <c r="N275" s="56" t="s">
        <v>306</v>
      </c>
      <c r="O275" s="56" t="s">
        <v>307</v>
      </c>
      <c r="P275" s="56" t="s">
        <v>305</v>
      </c>
      <c r="Q275" s="56" t="s">
        <v>337</v>
      </c>
      <c r="R275" s="186" t="s">
        <v>333</v>
      </c>
      <c r="S275" s="164">
        <v>329.35</v>
      </c>
      <c r="T275" s="187" t="s">
        <v>309</v>
      </c>
      <c r="U275" s="164">
        <v>28551.77</v>
      </c>
      <c r="V275" s="56" t="s">
        <v>342</v>
      </c>
      <c r="W275" s="56" t="s">
        <v>310</v>
      </c>
      <c r="X275" s="56" t="s">
        <v>305</v>
      </c>
      <c r="Y275" s="56" t="s">
        <v>332</v>
      </c>
      <c r="Z275" s="56" t="s">
        <v>311</v>
      </c>
      <c r="AA275" s="56" t="s">
        <v>151</v>
      </c>
      <c r="AB275" s="56" t="s">
        <v>305</v>
      </c>
      <c r="AC275" s="56" t="s">
        <v>305</v>
      </c>
      <c r="AD275" s="56" t="s">
        <v>305</v>
      </c>
      <c r="AE275" s="57">
        <v>45736</v>
      </c>
      <c r="AF275" s="57">
        <v>45979</v>
      </c>
      <c r="AG275" s="58">
        <v>1400001961</v>
      </c>
      <c r="AH275" s="74" cm="1">
        <f t="array" ref="AH275:AI275">VLOOKUP(M275,'Customer data Vlookup'!$B$3:$H$127,{2,3},0)</f>
        <v>28551.766481000002</v>
      </c>
      <c r="AI275" s="74">
        <v>572</v>
      </c>
      <c r="AJ275" s="74">
        <f t="shared" si="18"/>
        <v>27979.766481000002</v>
      </c>
      <c r="AK275" s="41">
        <f>U275-AH275</f>
        <v>3.5189999980502762E-3</v>
      </c>
      <c r="AL275" s="62">
        <f t="shared" si="19"/>
        <v>2.0033784245249944E-2</v>
      </c>
      <c r="AO275" t="str">
        <f>VLOOKUP(M275,'Customer data'!F:P,11,0)</f>
        <v>HDFCN52025060575568983</v>
      </c>
    </row>
    <row r="276" spans="1:41" hidden="1">
      <c r="A276" s="56" t="s">
        <v>298</v>
      </c>
      <c r="B276" s="56" t="s">
        <v>299</v>
      </c>
      <c r="C276" s="56" t="s">
        <v>300</v>
      </c>
      <c r="D276" s="56" t="s">
        <v>301</v>
      </c>
      <c r="E276" s="56" t="s">
        <v>302</v>
      </c>
      <c r="F276" s="56" t="s">
        <v>327</v>
      </c>
      <c r="G276" s="57">
        <v>45733</v>
      </c>
      <c r="H276" s="58">
        <v>7000000181</v>
      </c>
      <c r="I276" s="56" t="s">
        <v>340</v>
      </c>
      <c r="J276" s="57">
        <v>45733</v>
      </c>
      <c r="K276" s="57">
        <v>45733</v>
      </c>
      <c r="L276" s="56" t="s">
        <v>341</v>
      </c>
      <c r="M276" s="64" t="s">
        <v>56</v>
      </c>
      <c r="N276" s="56" t="s">
        <v>306</v>
      </c>
      <c r="O276" s="56" t="s">
        <v>307</v>
      </c>
      <c r="P276" s="56" t="s">
        <v>305</v>
      </c>
      <c r="Q276" s="56" t="s">
        <v>337</v>
      </c>
      <c r="R276" s="186" t="s">
        <v>309</v>
      </c>
      <c r="S276" s="164">
        <v>77748.160000000003</v>
      </c>
      <c r="T276" s="187" t="s">
        <v>309</v>
      </c>
      <c r="U276" s="164">
        <v>77748.160000000003</v>
      </c>
      <c r="V276" s="56" t="s">
        <v>342</v>
      </c>
      <c r="W276" s="56" t="s">
        <v>310</v>
      </c>
      <c r="X276" s="56" t="s">
        <v>305</v>
      </c>
      <c r="Y276" s="56" t="s">
        <v>341</v>
      </c>
      <c r="Z276" s="56" t="s">
        <v>346</v>
      </c>
      <c r="AA276" s="56" t="s">
        <v>347</v>
      </c>
      <c r="AB276" s="56" t="s">
        <v>300</v>
      </c>
      <c r="AC276" s="56" t="s">
        <v>305</v>
      </c>
      <c r="AD276" s="56" t="s">
        <v>300</v>
      </c>
      <c r="AE276" s="57">
        <v>45740</v>
      </c>
      <c r="AF276" s="57">
        <v>45772</v>
      </c>
      <c r="AG276" s="58">
        <v>1400000007</v>
      </c>
      <c r="AH276" s="74" cm="1">
        <f t="array" ref="AH276:AI276">VLOOKUP(M276,'Customer data Vlookup'!$B$3:$H$127,{2,3},0)</f>
        <v>77748.162943999996</v>
      </c>
      <c r="AI276" s="74">
        <v>7775</v>
      </c>
      <c r="AJ276" s="74">
        <f t="shared" si="18"/>
        <v>69973.162943999996</v>
      </c>
      <c r="AK276" s="63">
        <f t="shared" ref="AK276:AK284" si="20">U276-AJ276-AI276</f>
        <v>-2.9439999925671145E-3</v>
      </c>
      <c r="AL276" s="62">
        <f t="shared" si="19"/>
        <v>0.10000236661549289</v>
      </c>
      <c r="AO276" t="str">
        <f>VLOOKUP(M276,'Customer data'!F:P,11,0)</f>
        <v>HDFCN52025031215974606</v>
      </c>
    </row>
    <row r="277" spans="1:41" hidden="1">
      <c r="A277" s="56" t="s">
        <v>298</v>
      </c>
      <c r="B277" s="56" t="s">
        <v>299</v>
      </c>
      <c r="C277" s="56" t="s">
        <v>300</v>
      </c>
      <c r="D277" s="56" t="s">
        <v>301</v>
      </c>
      <c r="E277" s="56" t="s">
        <v>302</v>
      </c>
      <c r="F277" s="56" t="s">
        <v>327</v>
      </c>
      <c r="G277" s="57">
        <v>45733</v>
      </c>
      <c r="H277" s="58">
        <v>7000000181</v>
      </c>
      <c r="I277" s="56" t="s">
        <v>340</v>
      </c>
      <c r="J277" s="57">
        <v>45733</v>
      </c>
      <c r="K277" s="57">
        <v>45733</v>
      </c>
      <c r="L277" s="56" t="s">
        <v>341</v>
      </c>
      <c r="M277" s="64" t="s">
        <v>63</v>
      </c>
      <c r="N277" s="56" t="s">
        <v>306</v>
      </c>
      <c r="O277" s="56" t="s">
        <v>307</v>
      </c>
      <c r="P277" s="56" t="s">
        <v>305</v>
      </c>
      <c r="Q277" s="56" t="s">
        <v>337</v>
      </c>
      <c r="R277" s="186" t="s">
        <v>309</v>
      </c>
      <c r="S277" s="164">
        <v>31951.3</v>
      </c>
      <c r="T277" s="187" t="s">
        <v>309</v>
      </c>
      <c r="U277" s="164">
        <v>31951.3</v>
      </c>
      <c r="V277" s="56" t="s">
        <v>342</v>
      </c>
      <c r="W277" s="56" t="s">
        <v>310</v>
      </c>
      <c r="X277" s="56" t="s">
        <v>305</v>
      </c>
      <c r="Y277" s="56" t="s">
        <v>341</v>
      </c>
      <c r="Z277" s="56" t="s">
        <v>348</v>
      </c>
      <c r="AA277" s="56" t="s">
        <v>349</v>
      </c>
      <c r="AB277" s="56" t="s">
        <v>300</v>
      </c>
      <c r="AC277" s="56" t="s">
        <v>305</v>
      </c>
      <c r="AD277" s="56" t="s">
        <v>300</v>
      </c>
      <c r="AE277" s="57">
        <v>45740</v>
      </c>
      <c r="AF277" s="57">
        <v>45772</v>
      </c>
      <c r="AG277" s="58">
        <v>1400000008</v>
      </c>
      <c r="AH277" s="74" cm="1">
        <f t="array" ref="AH277:AI277">VLOOKUP(M277,'Customer data Vlookup'!$B$3:$H$127,{2,3},0)</f>
        <v>31951.29984</v>
      </c>
      <c r="AI277" s="74">
        <v>3195</v>
      </c>
      <c r="AJ277" s="74">
        <f t="shared" si="18"/>
        <v>28756.29984</v>
      </c>
      <c r="AK277" s="63">
        <f t="shared" si="20"/>
        <v>1.5999999959603883E-4</v>
      </c>
      <c r="AL277" s="62">
        <f t="shared" si="19"/>
        <v>9.9995931307959307E-2</v>
      </c>
      <c r="AO277" t="str">
        <f>VLOOKUP(M277,'Customer data'!F:P,11,0)</f>
        <v>HDFCN52025031215976413</v>
      </c>
    </row>
    <row r="278" spans="1:41" hidden="1">
      <c r="A278" s="56" t="s">
        <v>298</v>
      </c>
      <c r="B278" s="56" t="s">
        <v>299</v>
      </c>
      <c r="C278" s="56" t="s">
        <v>300</v>
      </c>
      <c r="D278" s="56" t="s">
        <v>301</v>
      </c>
      <c r="E278" s="56" t="s">
        <v>302</v>
      </c>
      <c r="F278" s="56" t="s">
        <v>327</v>
      </c>
      <c r="G278" s="57">
        <v>45733</v>
      </c>
      <c r="H278" s="58">
        <v>7000000181</v>
      </c>
      <c r="I278" s="56" t="s">
        <v>340</v>
      </c>
      <c r="J278" s="57">
        <v>45733</v>
      </c>
      <c r="K278" s="57">
        <v>45733</v>
      </c>
      <c r="L278" s="56" t="s">
        <v>341</v>
      </c>
      <c r="M278" s="64" t="s">
        <v>73</v>
      </c>
      <c r="N278" s="56" t="s">
        <v>306</v>
      </c>
      <c r="O278" s="56" t="s">
        <v>307</v>
      </c>
      <c r="P278" s="56" t="s">
        <v>305</v>
      </c>
      <c r="Q278" s="56" t="s">
        <v>337</v>
      </c>
      <c r="R278" s="186" t="s">
        <v>309</v>
      </c>
      <c r="S278" s="164">
        <v>107902.2</v>
      </c>
      <c r="T278" s="187" t="s">
        <v>309</v>
      </c>
      <c r="U278" s="164">
        <v>107902.2</v>
      </c>
      <c r="V278" s="56" t="s">
        <v>342</v>
      </c>
      <c r="W278" s="56" t="s">
        <v>310</v>
      </c>
      <c r="X278" s="56" t="s">
        <v>305</v>
      </c>
      <c r="Y278" s="56" t="s">
        <v>341</v>
      </c>
      <c r="Z278" s="56" t="s">
        <v>350</v>
      </c>
      <c r="AA278" s="56" t="s">
        <v>351</v>
      </c>
      <c r="AB278" s="56" t="s">
        <v>300</v>
      </c>
      <c r="AC278" s="56" t="s">
        <v>305</v>
      </c>
      <c r="AD278" s="56" t="s">
        <v>300</v>
      </c>
      <c r="AE278" s="57">
        <v>45740</v>
      </c>
      <c r="AF278" s="57">
        <v>45772</v>
      </c>
      <c r="AG278" s="58">
        <v>1400000009</v>
      </c>
      <c r="AH278" s="74" cm="1">
        <f t="array" ref="AH278:AI278">VLOOKUP(M278,'Customer data Vlookup'!$B$3:$H$127,{2,3},0)</f>
        <v>107902.20216799999</v>
      </c>
      <c r="AI278" s="74">
        <v>10790</v>
      </c>
      <c r="AJ278" s="74">
        <f t="shared" si="18"/>
        <v>97112.202167999989</v>
      </c>
      <c r="AK278" s="63">
        <f t="shared" si="20"/>
        <v>-2.1679999917978421E-3</v>
      </c>
      <c r="AL278" s="62">
        <f t="shared" si="19"/>
        <v>9.9997961116640818E-2</v>
      </c>
      <c r="AO278" t="str">
        <f>VLOOKUP(M278,'Customer data'!F:P,11,0)</f>
        <v>HDFCN52025031215974609</v>
      </c>
    </row>
    <row r="279" spans="1:41" hidden="1">
      <c r="A279" s="56" t="s">
        <v>298</v>
      </c>
      <c r="B279" s="56" t="s">
        <v>299</v>
      </c>
      <c r="C279" s="56" t="s">
        <v>300</v>
      </c>
      <c r="D279" s="56" t="s">
        <v>301</v>
      </c>
      <c r="E279" s="56" t="s">
        <v>302</v>
      </c>
      <c r="F279" s="56" t="s">
        <v>327</v>
      </c>
      <c r="G279" s="57">
        <v>45733</v>
      </c>
      <c r="H279" s="58">
        <v>7000000181</v>
      </c>
      <c r="I279" s="56" t="s">
        <v>340</v>
      </c>
      <c r="J279" s="57">
        <v>45733</v>
      </c>
      <c r="K279" s="57">
        <v>45733</v>
      </c>
      <c r="L279" s="56" t="s">
        <v>341</v>
      </c>
      <c r="M279" s="64" t="s">
        <v>21</v>
      </c>
      <c r="N279" s="56" t="s">
        <v>306</v>
      </c>
      <c r="O279" s="56" t="s">
        <v>307</v>
      </c>
      <c r="P279" s="56" t="s">
        <v>305</v>
      </c>
      <c r="Q279" s="56" t="s">
        <v>337</v>
      </c>
      <c r="R279" s="186" t="s">
        <v>309</v>
      </c>
      <c r="S279" s="164">
        <v>11561.33</v>
      </c>
      <c r="T279" s="187" t="s">
        <v>309</v>
      </c>
      <c r="U279" s="164">
        <v>11561.33</v>
      </c>
      <c r="V279" s="56" t="s">
        <v>342</v>
      </c>
      <c r="W279" s="56" t="s">
        <v>310</v>
      </c>
      <c r="X279" s="56" t="s">
        <v>305</v>
      </c>
      <c r="Y279" s="56" t="s">
        <v>341</v>
      </c>
      <c r="Z279" s="56" t="s">
        <v>352</v>
      </c>
      <c r="AA279" s="56" t="s">
        <v>353</v>
      </c>
      <c r="AB279" s="56" t="s">
        <v>300</v>
      </c>
      <c r="AC279" s="56" t="s">
        <v>305</v>
      </c>
      <c r="AD279" s="56" t="s">
        <v>300</v>
      </c>
      <c r="AE279" s="57">
        <v>45740</v>
      </c>
      <c r="AF279" s="57">
        <v>45772</v>
      </c>
      <c r="AG279" s="58">
        <v>1400000010</v>
      </c>
      <c r="AH279" s="74" cm="1">
        <f t="array" ref="AH279:AI279">VLOOKUP(M279,'Customer data Vlookup'!$B$3:$H$127,{2,3},0)</f>
        <v>11561.3256</v>
      </c>
      <c r="AI279" s="74">
        <v>231</v>
      </c>
      <c r="AJ279" s="74">
        <f t="shared" si="18"/>
        <v>11330.3256</v>
      </c>
      <c r="AK279" s="63">
        <f t="shared" si="20"/>
        <v>4.3999999998050043E-3</v>
      </c>
      <c r="AL279" s="62">
        <f t="shared" si="19"/>
        <v>1.9980400178872156E-2</v>
      </c>
      <c r="AO279" t="str">
        <f>VLOOKUP(M279,'Customer data'!F:P,11,0)</f>
        <v>HDFCN52025032433793860</v>
      </c>
    </row>
    <row r="280" spans="1:41" hidden="1">
      <c r="A280" s="56" t="s">
        <v>298</v>
      </c>
      <c r="B280" s="56" t="s">
        <v>299</v>
      </c>
      <c r="C280" s="56" t="s">
        <v>300</v>
      </c>
      <c r="D280" s="56" t="s">
        <v>301</v>
      </c>
      <c r="E280" s="56" t="s">
        <v>302</v>
      </c>
      <c r="F280" s="56" t="s">
        <v>327</v>
      </c>
      <c r="G280" s="57">
        <v>45733</v>
      </c>
      <c r="H280" s="58">
        <v>7000000181</v>
      </c>
      <c r="I280" s="56" t="s">
        <v>340</v>
      </c>
      <c r="J280" s="57">
        <v>45733</v>
      </c>
      <c r="K280" s="57">
        <v>45733</v>
      </c>
      <c r="L280" s="56" t="s">
        <v>341</v>
      </c>
      <c r="M280" s="64" t="s">
        <v>36</v>
      </c>
      <c r="N280" s="56" t="s">
        <v>306</v>
      </c>
      <c r="O280" s="56" t="s">
        <v>307</v>
      </c>
      <c r="P280" s="56" t="s">
        <v>305</v>
      </c>
      <c r="Q280" s="56" t="s">
        <v>337</v>
      </c>
      <c r="R280" s="186" t="s">
        <v>309</v>
      </c>
      <c r="S280" s="164">
        <v>18498.12</v>
      </c>
      <c r="T280" s="187" t="s">
        <v>309</v>
      </c>
      <c r="U280" s="164">
        <v>18498.12</v>
      </c>
      <c r="V280" s="56" t="s">
        <v>342</v>
      </c>
      <c r="W280" s="56" t="s">
        <v>310</v>
      </c>
      <c r="X280" s="56" t="s">
        <v>305</v>
      </c>
      <c r="Y280" s="56" t="s">
        <v>341</v>
      </c>
      <c r="Z280" s="56" t="s">
        <v>308</v>
      </c>
      <c r="AA280" s="56" t="s">
        <v>568</v>
      </c>
      <c r="AB280" s="56" t="s">
        <v>300</v>
      </c>
      <c r="AC280" s="56" t="s">
        <v>305</v>
      </c>
      <c r="AD280" s="56" t="s">
        <v>300</v>
      </c>
      <c r="AE280" s="57">
        <v>45740</v>
      </c>
      <c r="AF280" s="57">
        <v>45772</v>
      </c>
      <c r="AG280" s="58">
        <v>1400000011</v>
      </c>
      <c r="AH280" s="74" cm="1">
        <f t="array" ref="AH280:AI280">VLOOKUP(M280,'Customer data Vlookup'!$B$3:$H$127,{2,3},0)</f>
        <v>18498.120960000004</v>
      </c>
      <c r="AI280" s="74">
        <v>370</v>
      </c>
      <c r="AJ280" s="74">
        <f t="shared" si="18"/>
        <v>18128.120960000004</v>
      </c>
      <c r="AK280" s="63">
        <f t="shared" si="20"/>
        <v>-9.6000000485219061E-4</v>
      </c>
      <c r="AL280" s="62">
        <f t="shared" si="19"/>
        <v>2.0002032638992504E-2</v>
      </c>
      <c r="AO280" t="str">
        <f>VLOOKUP(M280,'Customer data'!F:P,11,0)</f>
        <v>HDFCN52025032433793867</v>
      </c>
    </row>
    <row r="281" spans="1:41" hidden="1">
      <c r="A281" s="56" t="s">
        <v>298</v>
      </c>
      <c r="B281" s="56" t="s">
        <v>299</v>
      </c>
      <c r="C281" s="56" t="s">
        <v>300</v>
      </c>
      <c r="D281" s="56" t="s">
        <v>301</v>
      </c>
      <c r="E281" s="56" t="s">
        <v>302</v>
      </c>
      <c r="F281" s="56" t="s">
        <v>327</v>
      </c>
      <c r="G281" s="57">
        <v>45733</v>
      </c>
      <c r="H281" s="58">
        <v>7000000181</v>
      </c>
      <c r="I281" s="56" t="s">
        <v>340</v>
      </c>
      <c r="J281" s="57">
        <v>45733</v>
      </c>
      <c r="K281" s="57">
        <v>45733</v>
      </c>
      <c r="L281" s="56" t="s">
        <v>341</v>
      </c>
      <c r="M281" s="114" t="s">
        <v>48</v>
      </c>
      <c r="N281" s="56" t="s">
        <v>306</v>
      </c>
      <c r="O281" s="56" t="s">
        <v>307</v>
      </c>
      <c r="P281" s="56" t="s">
        <v>305</v>
      </c>
      <c r="Q281" s="56" t="s">
        <v>337</v>
      </c>
      <c r="R281" s="186" t="s">
        <v>309</v>
      </c>
      <c r="S281" s="164">
        <v>18498.12</v>
      </c>
      <c r="T281" s="187" t="s">
        <v>309</v>
      </c>
      <c r="U281" s="164">
        <v>18498.12</v>
      </c>
      <c r="V281" s="56" t="s">
        <v>342</v>
      </c>
      <c r="W281" s="56" t="s">
        <v>310</v>
      </c>
      <c r="X281" s="56" t="s">
        <v>305</v>
      </c>
      <c r="Y281" s="56" t="s">
        <v>341</v>
      </c>
      <c r="Z281" s="56" t="s">
        <v>355</v>
      </c>
      <c r="AA281" s="56" t="s">
        <v>354</v>
      </c>
      <c r="AB281" s="56" t="s">
        <v>300</v>
      </c>
      <c r="AC281" s="56" t="s">
        <v>305</v>
      </c>
      <c r="AD281" s="56" t="s">
        <v>300</v>
      </c>
      <c r="AE281" s="57">
        <v>45740</v>
      </c>
      <c r="AF281" s="57">
        <v>45772</v>
      </c>
      <c r="AG281" s="58">
        <v>1400000012</v>
      </c>
      <c r="AH281" s="74" cm="1">
        <f t="array" ref="AH281:AI281">VLOOKUP(M281,'Customer data Vlookup'!$B$3:$H$127,{2,3},0)</f>
        <v>18498.120960000004</v>
      </c>
      <c r="AI281" s="74">
        <v>370</v>
      </c>
      <c r="AJ281" s="74">
        <f t="shared" si="18"/>
        <v>18128.120960000004</v>
      </c>
      <c r="AK281" s="63">
        <f t="shared" si="20"/>
        <v>-9.6000000485219061E-4</v>
      </c>
      <c r="AL281" s="62">
        <f t="shared" si="19"/>
        <v>2.0002032638992504E-2</v>
      </c>
      <c r="AO281" t="str">
        <f>VLOOKUP(M281,'Customer data'!F:P,11,0)</f>
        <v>HDFCN52025032433793886</v>
      </c>
    </row>
    <row r="282" spans="1:41" hidden="1">
      <c r="A282" s="56" t="s">
        <v>298</v>
      </c>
      <c r="B282" s="56" t="s">
        <v>299</v>
      </c>
      <c r="C282" s="56" t="s">
        <v>300</v>
      </c>
      <c r="D282" s="56" t="s">
        <v>301</v>
      </c>
      <c r="E282" s="56" t="s">
        <v>302</v>
      </c>
      <c r="F282" s="56" t="s">
        <v>327</v>
      </c>
      <c r="G282" s="57">
        <v>45733</v>
      </c>
      <c r="H282" s="58">
        <v>7000000181</v>
      </c>
      <c r="I282" s="56" t="s">
        <v>340</v>
      </c>
      <c r="J282" s="57">
        <v>45733</v>
      </c>
      <c r="K282" s="57">
        <v>45733</v>
      </c>
      <c r="L282" s="56" t="s">
        <v>341</v>
      </c>
      <c r="M282" s="64" t="s">
        <v>65</v>
      </c>
      <c r="N282" s="56" t="s">
        <v>306</v>
      </c>
      <c r="O282" s="56" t="s">
        <v>307</v>
      </c>
      <c r="P282" s="56" t="s">
        <v>305</v>
      </c>
      <c r="Q282" s="56" t="s">
        <v>337</v>
      </c>
      <c r="R282" s="186" t="s">
        <v>309</v>
      </c>
      <c r="S282" s="164">
        <v>4624.53</v>
      </c>
      <c r="T282" s="187" t="s">
        <v>309</v>
      </c>
      <c r="U282" s="164">
        <v>4624.53</v>
      </c>
      <c r="V282" s="56" t="s">
        <v>342</v>
      </c>
      <c r="W282" s="56" t="s">
        <v>310</v>
      </c>
      <c r="X282" s="56" t="s">
        <v>305</v>
      </c>
      <c r="Y282" s="56" t="s">
        <v>341</v>
      </c>
      <c r="Z282" s="56" t="s">
        <v>356</v>
      </c>
      <c r="AA282" s="56" t="s">
        <v>357</v>
      </c>
      <c r="AB282" s="56" t="s">
        <v>300</v>
      </c>
      <c r="AC282" s="56" t="s">
        <v>305</v>
      </c>
      <c r="AD282" s="56" t="s">
        <v>300</v>
      </c>
      <c r="AE282" s="57">
        <v>45740</v>
      </c>
      <c r="AF282" s="57">
        <v>45772</v>
      </c>
      <c r="AG282" s="58">
        <v>1400000013</v>
      </c>
      <c r="AH282" s="74" cm="1">
        <f t="array" ref="AH282:AI282">VLOOKUP(M282,'Customer data Vlookup'!$B$3:$H$127,{2,3},0)</f>
        <v>4624.53024</v>
      </c>
      <c r="AI282" s="74">
        <v>92</v>
      </c>
      <c r="AJ282" s="74">
        <f t="shared" si="18"/>
        <v>4532.53024</v>
      </c>
      <c r="AK282" s="63">
        <f t="shared" si="20"/>
        <v>-2.4000000030355295E-4</v>
      </c>
      <c r="AL282" s="62">
        <f t="shared" si="19"/>
        <v>1.9893913543646599E-2</v>
      </c>
      <c r="AO282" t="str">
        <f>VLOOKUP(M282,'Customer data'!F:P,11,0)</f>
        <v>HDFCN52025032433793875</v>
      </c>
    </row>
    <row r="283" spans="1:41" hidden="1">
      <c r="A283" s="56" t="s">
        <v>298</v>
      </c>
      <c r="B283" s="56" t="s">
        <v>299</v>
      </c>
      <c r="C283" s="56" t="s">
        <v>300</v>
      </c>
      <c r="D283" s="56" t="s">
        <v>301</v>
      </c>
      <c r="E283" s="56" t="s">
        <v>302</v>
      </c>
      <c r="F283" s="56" t="s">
        <v>327</v>
      </c>
      <c r="G283" s="57">
        <v>45733</v>
      </c>
      <c r="H283" s="58">
        <v>7000000181</v>
      </c>
      <c r="I283" s="56" t="s">
        <v>340</v>
      </c>
      <c r="J283" s="57">
        <v>45733</v>
      </c>
      <c r="K283" s="57">
        <v>45733</v>
      </c>
      <c r="L283" s="56" t="s">
        <v>341</v>
      </c>
      <c r="M283" s="64" t="s">
        <v>76</v>
      </c>
      <c r="N283" s="56" t="s">
        <v>306</v>
      </c>
      <c r="O283" s="56" t="s">
        <v>307</v>
      </c>
      <c r="P283" s="56" t="s">
        <v>305</v>
      </c>
      <c r="Q283" s="56" t="s">
        <v>337</v>
      </c>
      <c r="R283" s="186" t="s">
        <v>309</v>
      </c>
      <c r="S283" s="164">
        <v>15765.44</v>
      </c>
      <c r="T283" s="187" t="s">
        <v>309</v>
      </c>
      <c r="U283" s="164">
        <v>15765.44</v>
      </c>
      <c r="V283" s="56" t="s">
        <v>342</v>
      </c>
      <c r="W283" s="56" t="s">
        <v>310</v>
      </c>
      <c r="X283" s="56" t="s">
        <v>305</v>
      </c>
      <c r="Y283" s="56" t="s">
        <v>341</v>
      </c>
      <c r="Z283" s="56" t="s">
        <v>358</v>
      </c>
      <c r="AA283" s="56" t="s">
        <v>359</v>
      </c>
      <c r="AB283" s="56" t="s">
        <v>300</v>
      </c>
      <c r="AC283" s="56" t="s">
        <v>305</v>
      </c>
      <c r="AD283" s="56" t="s">
        <v>300</v>
      </c>
      <c r="AE283" s="57">
        <v>45740</v>
      </c>
      <c r="AF283" s="57">
        <v>45772</v>
      </c>
      <c r="AG283" s="58">
        <v>1400000014</v>
      </c>
      <c r="AH283" s="74" cm="1">
        <f t="array" ref="AH283:AI283">VLOOKUP(M283,'Customer data Vlookup'!$B$3:$H$127,{2,3},0)</f>
        <v>15765.444000000001</v>
      </c>
      <c r="AI283" s="74">
        <v>315</v>
      </c>
      <c r="AJ283" s="74">
        <f t="shared" si="18"/>
        <v>15450.444000000001</v>
      </c>
      <c r="AK283" s="63">
        <f t="shared" si="20"/>
        <v>-4.0000000008149073E-3</v>
      </c>
      <c r="AL283" s="62">
        <f t="shared" si="19"/>
        <v>1.9980412852416425E-2</v>
      </c>
      <c r="AO283" t="str">
        <f>VLOOKUP(M283,'Customer data'!F:P,11,0)</f>
        <v>HDFCN52025032433791996</v>
      </c>
    </row>
    <row r="284" spans="1:41" hidden="1">
      <c r="A284" s="56" t="s">
        <v>298</v>
      </c>
      <c r="B284" s="56" t="s">
        <v>299</v>
      </c>
      <c r="C284" s="56" t="s">
        <v>300</v>
      </c>
      <c r="D284" s="56" t="s">
        <v>301</v>
      </c>
      <c r="E284" s="56" t="s">
        <v>302</v>
      </c>
      <c r="F284" s="56" t="s">
        <v>327</v>
      </c>
      <c r="G284" s="57">
        <v>45733</v>
      </c>
      <c r="H284" s="58">
        <v>7000000181</v>
      </c>
      <c r="I284" s="56" t="s">
        <v>340</v>
      </c>
      <c r="J284" s="57">
        <v>45733</v>
      </c>
      <c r="K284" s="57">
        <v>45733</v>
      </c>
      <c r="L284" s="56" t="s">
        <v>341</v>
      </c>
      <c r="M284" s="6" t="s">
        <v>82</v>
      </c>
      <c r="N284" s="56" t="s">
        <v>306</v>
      </c>
      <c r="O284" s="56" t="s">
        <v>307</v>
      </c>
      <c r="P284" s="56" t="s">
        <v>305</v>
      </c>
      <c r="Q284" s="56" t="s">
        <v>337</v>
      </c>
      <c r="R284" s="186" t="s">
        <v>309</v>
      </c>
      <c r="S284" s="164">
        <v>4624.53</v>
      </c>
      <c r="T284" s="187" t="s">
        <v>309</v>
      </c>
      <c r="U284" s="164">
        <v>4624.53</v>
      </c>
      <c r="V284" s="56" t="s">
        <v>342</v>
      </c>
      <c r="W284" s="56" t="s">
        <v>310</v>
      </c>
      <c r="X284" s="56" t="s">
        <v>305</v>
      </c>
      <c r="Y284" s="56" t="s">
        <v>341</v>
      </c>
      <c r="Z284" s="56" t="s">
        <v>360</v>
      </c>
      <c r="AA284" s="56" t="s">
        <v>357</v>
      </c>
      <c r="AB284" s="56" t="s">
        <v>300</v>
      </c>
      <c r="AC284" s="56" t="s">
        <v>305</v>
      </c>
      <c r="AD284" s="56" t="s">
        <v>300</v>
      </c>
      <c r="AE284" s="57">
        <v>45740</v>
      </c>
      <c r="AF284" s="57">
        <v>45772</v>
      </c>
      <c r="AG284" s="58">
        <v>1400000015</v>
      </c>
      <c r="AH284" s="74" cm="1">
        <f t="array" ref="AH284:AI284">VLOOKUP(M284,'Customer data Vlookup'!$B$3:$H$127,{2,3},0)</f>
        <v>4624.53024</v>
      </c>
      <c r="AI284" s="74">
        <v>92</v>
      </c>
      <c r="AJ284" s="74">
        <f t="shared" si="18"/>
        <v>4532.53024</v>
      </c>
      <c r="AK284" s="63">
        <f t="shared" si="20"/>
        <v>-2.4000000030355295E-4</v>
      </c>
      <c r="AL284" s="62">
        <f t="shared" si="19"/>
        <v>1.9893913543646599E-2</v>
      </c>
      <c r="AO284" t="str">
        <f>VLOOKUP(M284,'Customer data'!F:P,11,0)</f>
        <v>HDFCN52025032433791993</v>
      </c>
    </row>
    <row r="285" spans="1:41" hidden="1">
      <c r="A285" s="56" t="s">
        <v>298</v>
      </c>
      <c r="B285" s="56" t="s">
        <v>299</v>
      </c>
      <c r="C285" s="56" t="s">
        <v>300</v>
      </c>
      <c r="D285" s="56" t="s">
        <v>301</v>
      </c>
      <c r="E285" s="56" t="s">
        <v>302</v>
      </c>
      <c r="F285" s="56" t="s">
        <v>327</v>
      </c>
      <c r="G285" s="57">
        <v>45733</v>
      </c>
      <c r="H285" s="58">
        <v>1800001884</v>
      </c>
      <c r="I285" s="56" t="s">
        <v>417</v>
      </c>
      <c r="J285" s="57">
        <v>45733</v>
      </c>
      <c r="K285" s="57">
        <v>45733</v>
      </c>
      <c r="L285" s="56" t="s">
        <v>332</v>
      </c>
      <c r="M285" s="60">
        <v>246779411549</v>
      </c>
      <c r="N285" s="56" t="s">
        <v>306</v>
      </c>
      <c r="O285" s="56" t="s">
        <v>307</v>
      </c>
      <c r="P285" s="56" t="s">
        <v>305</v>
      </c>
      <c r="Q285" s="56" t="s">
        <v>337</v>
      </c>
      <c r="R285" s="186" t="s">
        <v>333</v>
      </c>
      <c r="S285" s="164">
        <v>78.77</v>
      </c>
      <c r="T285" s="187" t="s">
        <v>309</v>
      </c>
      <c r="U285" s="164">
        <v>6828.67</v>
      </c>
      <c r="V285" s="56" t="s">
        <v>342</v>
      </c>
      <c r="W285" s="56" t="s">
        <v>310</v>
      </c>
      <c r="X285" s="56" t="s">
        <v>305</v>
      </c>
      <c r="Y285" s="56" t="s">
        <v>332</v>
      </c>
      <c r="Z285" s="56" t="s">
        <v>311</v>
      </c>
      <c r="AA285" s="56" t="s">
        <v>419</v>
      </c>
      <c r="AB285" s="56" t="s">
        <v>305</v>
      </c>
      <c r="AC285" s="56" t="s">
        <v>305</v>
      </c>
      <c r="AD285" s="56" t="s">
        <v>305</v>
      </c>
      <c r="AE285" s="57">
        <v>45733</v>
      </c>
      <c r="AF285" s="57">
        <v>45856</v>
      </c>
      <c r="AG285" s="58">
        <v>1400000316</v>
      </c>
      <c r="AH285" s="74" t="e" cm="1">
        <f t="array" ref="AH285">VLOOKUP(M285,'Customer data Vlookup'!$B$3:$H$127,{2,3},0)</f>
        <v>#N/A</v>
      </c>
      <c r="AI285" s="74"/>
      <c r="AJ285" s="74"/>
      <c r="AK285" s="43"/>
      <c r="AL285" s="43"/>
      <c r="AO285" t="e">
        <f>VLOOKUP(M285,'Customer data'!F:P,11,0)</f>
        <v>#N/A</v>
      </c>
    </row>
    <row r="286" spans="1:41" hidden="1">
      <c r="A286" s="56" t="s">
        <v>298</v>
      </c>
      <c r="B286" s="56" t="s">
        <v>299</v>
      </c>
      <c r="C286" s="56" t="s">
        <v>300</v>
      </c>
      <c r="D286" s="56" t="s">
        <v>301</v>
      </c>
      <c r="E286" s="56" t="s">
        <v>302</v>
      </c>
      <c r="F286" s="56" t="s">
        <v>327</v>
      </c>
      <c r="G286" s="57">
        <v>45733</v>
      </c>
      <c r="H286" s="58">
        <v>1800001885</v>
      </c>
      <c r="I286" s="56" t="s">
        <v>417</v>
      </c>
      <c r="J286" s="57">
        <v>45733</v>
      </c>
      <c r="K286" s="57">
        <v>45733</v>
      </c>
      <c r="L286" s="56" t="s">
        <v>332</v>
      </c>
      <c r="M286" s="60">
        <v>246779411550</v>
      </c>
      <c r="N286" s="56" t="s">
        <v>306</v>
      </c>
      <c r="O286" s="56" t="s">
        <v>307</v>
      </c>
      <c r="P286" s="56" t="s">
        <v>305</v>
      </c>
      <c r="Q286" s="56" t="s">
        <v>337</v>
      </c>
      <c r="R286" s="186" t="s">
        <v>333</v>
      </c>
      <c r="S286" s="164">
        <v>26.26</v>
      </c>
      <c r="T286" s="187" t="s">
        <v>309</v>
      </c>
      <c r="U286" s="164">
        <v>2276.5100000000002</v>
      </c>
      <c r="V286" s="56" t="s">
        <v>342</v>
      </c>
      <c r="W286" s="56" t="s">
        <v>310</v>
      </c>
      <c r="X286" s="56" t="s">
        <v>305</v>
      </c>
      <c r="Y286" s="56" t="s">
        <v>332</v>
      </c>
      <c r="Z286" s="56" t="s">
        <v>311</v>
      </c>
      <c r="AA286" s="56" t="s">
        <v>419</v>
      </c>
      <c r="AB286" s="56" t="s">
        <v>305</v>
      </c>
      <c r="AC286" s="56" t="s">
        <v>305</v>
      </c>
      <c r="AD286" s="56" t="s">
        <v>305</v>
      </c>
      <c r="AE286" s="57">
        <v>45733</v>
      </c>
      <c r="AF286" s="57">
        <v>45856</v>
      </c>
      <c r="AG286" s="58">
        <v>1400000317</v>
      </c>
      <c r="AH286" s="74" t="e" cm="1">
        <f t="array" ref="AH286">VLOOKUP(M286,'Customer data Vlookup'!$B$3:$H$127,{2,3},0)</f>
        <v>#N/A</v>
      </c>
      <c r="AI286" s="74"/>
      <c r="AJ286" s="74"/>
      <c r="AK286" s="43"/>
      <c r="AL286" s="43"/>
      <c r="AO286" t="e">
        <f>VLOOKUP(M286,'Customer data'!F:P,11,0)</f>
        <v>#N/A</v>
      </c>
    </row>
    <row r="287" spans="1:41" hidden="1">
      <c r="A287" s="56" t="s">
        <v>326</v>
      </c>
      <c r="B287" s="56" t="s">
        <v>299</v>
      </c>
      <c r="C287" s="56" t="s">
        <v>300</v>
      </c>
      <c r="D287" s="56" t="s">
        <v>301</v>
      </c>
      <c r="E287" s="56" t="s">
        <v>302</v>
      </c>
      <c r="F287" s="56" t="s">
        <v>330</v>
      </c>
      <c r="G287" s="57">
        <v>45733</v>
      </c>
      <c r="H287" s="58">
        <v>1800001886</v>
      </c>
      <c r="I287" s="56" t="s">
        <v>417</v>
      </c>
      <c r="J287" s="57">
        <v>45733</v>
      </c>
      <c r="K287" s="57">
        <v>45733</v>
      </c>
      <c r="L287" s="56" t="s">
        <v>332</v>
      </c>
      <c r="M287" s="60">
        <v>246779411551</v>
      </c>
      <c r="N287" s="56" t="s">
        <v>306</v>
      </c>
      <c r="O287" s="56" t="s">
        <v>307</v>
      </c>
      <c r="P287" s="56" t="s">
        <v>305</v>
      </c>
      <c r="Q287" s="56" t="s">
        <v>337</v>
      </c>
      <c r="R287" s="186" t="s">
        <v>333</v>
      </c>
      <c r="S287" s="164">
        <v>26.26</v>
      </c>
      <c r="T287" s="187" t="s">
        <v>309</v>
      </c>
      <c r="U287" s="164">
        <v>2276.5100000000002</v>
      </c>
      <c r="V287" s="56" t="s">
        <v>342</v>
      </c>
      <c r="W287" s="56" t="s">
        <v>310</v>
      </c>
      <c r="X287" s="56" t="s">
        <v>305</v>
      </c>
      <c r="Y287" s="56" t="s">
        <v>332</v>
      </c>
      <c r="Z287" s="56" t="s">
        <v>311</v>
      </c>
      <c r="AA287" s="56" t="s">
        <v>419</v>
      </c>
      <c r="AB287" s="56" t="s">
        <v>305</v>
      </c>
      <c r="AC287" s="56" t="s">
        <v>305</v>
      </c>
      <c r="AD287" s="56" t="s">
        <v>305</v>
      </c>
      <c r="AE287" s="57">
        <v>45733</v>
      </c>
      <c r="AF287" s="57">
        <v>45856</v>
      </c>
      <c r="AG287" s="58">
        <v>1400000318</v>
      </c>
      <c r="AH287" s="74" t="e" cm="1">
        <f t="array" ref="AH287">VLOOKUP(M287,'Customer data Vlookup'!$B$3:$H$127,{2,3},0)</f>
        <v>#N/A</v>
      </c>
      <c r="AI287" s="74"/>
      <c r="AJ287" s="74"/>
      <c r="AK287" s="43"/>
      <c r="AL287" s="43"/>
      <c r="AO287" t="e">
        <f>VLOOKUP(M287,'Customer data'!F:P,11,0)</f>
        <v>#N/A</v>
      </c>
    </row>
    <row r="288" spans="1:41" hidden="1">
      <c r="A288" s="56" t="s">
        <v>298</v>
      </c>
      <c r="B288" s="56" t="s">
        <v>299</v>
      </c>
      <c r="C288" s="56" t="s">
        <v>300</v>
      </c>
      <c r="D288" s="56" t="s">
        <v>301</v>
      </c>
      <c r="E288" s="56" t="s">
        <v>302</v>
      </c>
      <c r="F288" s="56" t="s">
        <v>330</v>
      </c>
      <c r="G288" s="57">
        <v>45733</v>
      </c>
      <c r="H288" s="58">
        <v>1800001887</v>
      </c>
      <c r="I288" s="56" t="s">
        <v>417</v>
      </c>
      <c r="J288" s="57">
        <v>45733</v>
      </c>
      <c r="K288" s="57">
        <v>45733</v>
      </c>
      <c r="L288" s="56" t="s">
        <v>332</v>
      </c>
      <c r="M288" s="60">
        <v>246779411552</v>
      </c>
      <c r="N288" s="56" t="s">
        <v>306</v>
      </c>
      <c r="O288" s="56" t="s">
        <v>307</v>
      </c>
      <c r="P288" s="56" t="s">
        <v>305</v>
      </c>
      <c r="Q288" s="56" t="s">
        <v>337</v>
      </c>
      <c r="R288" s="186" t="s">
        <v>333</v>
      </c>
      <c r="S288" s="164">
        <v>26.26</v>
      </c>
      <c r="T288" s="187" t="s">
        <v>309</v>
      </c>
      <c r="U288" s="164">
        <v>2276.5100000000002</v>
      </c>
      <c r="V288" s="56" t="s">
        <v>342</v>
      </c>
      <c r="W288" s="56" t="s">
        <v>310</v>
      </c>
      <c r="X288" s="56" t="s">
        <v>305</v>
      </c>
      <c r="Y288" s="56" t="s">
        <v>332</v>
      </c>
      <c r="Z288" s="56" t="s">
        <v>311</v>
      </c>
      <c r="AA288" s="56" t="s">
        <v>419</v>
      </c>
      <c r="AB288" s="56" t="s">
        <v>305</v>
      </c>
      <c r="AC288" s="56" t="s">
        <v>305</v>
      </c>
      <c r="AD288" s="56" t="s">
        <v>305</v>
      </c>
      <c r="AE288" s="57">
        <v>45733</v>
      </c>
      <c r="AF288" s="57">
        <v>45856</v>
      </c>
      <c r="AG288" s="58">
        <v>1400000319</v>
      </c>
      <c r="AH288" s="74" t="e" cm="1">
        <f t="array" ref="AH288">VLOOKUP(M288,'Customer data Vlookup'!$B$3:$H$127,{2,3},0)</f>
        <v>#N/A</v>
      </c>
      <c r="AI288" s="74"/>
      <c r="AJ288" s="74"/>
      <c r="AK288" s="43"/>
      <c r="AL288" s="43"/>
      <c r="AO288" t="e">
        <f>VLOOKUP(M288,'Customer data'!F:P,11,0)</f>
        <v>#N/A</v>
      </c>
    </row>
    <row r="289" spans="1:41" hidden="1">
      <c r="A289" s="56" t="s">
        <v>298</v>
      </c>
      <c r="B289" s="56" t="s">
        <v>299</v>
      </c>
      <c r="C289" s="56" t="s">
        <v>300</v>
      </c>
      <c r="D289" s="56" t="s">
        <v>301</v>
      </c>
      <c r="E289" s="56" t="s">
        <v>302</v>
      </c>
      <c r="F289" s="56" t="s">
        <v>330</v>
      </c>
      <c r="G289" s="57">
        <v>45733</v>
      </c>
      <c r="H289" s="58">
        <v>7000000181</v>
      </c>
      <c r="I289" s="56" t="s">
        <v>340</v>
      </c>
      <c r="J289" s="57">
        <v>45733</v>
      </c>
      <c r="K289" s="57">
        <v>45733</v>
      </c>
      <c r="L289" s="56" t="s">
        <v>341</v>
      </c>
      <c r="M289" s="64" t="s">
        <v>35</v>
      </c>
      <c r="N289" s="56" t="s">
        <v>306</v>
      </c>
      <c r="O289" s="56" t="s">
        <v>307</v>
      </c>
      <c r="P289" s="56" t="s">
        <v>305</v>
      </c>
      <c r="Q289" s="56" t="s">
        <v>337</v>
      </c>
      <c r="R289" s="186" t="s">
        <v>309</v>
      </c>
      <c r="S289" s="164">
        <v>131000.33</v>
      </c>
      <c r="T289" s="187" t="s">
        <v>309</v>
      </c>
      <c r="U289" s="164">
        <v>131000.33</v>
      </c>
      <c r="V289" s="56" t="s">
        <v>342</v>
      </c>
      <c r="W289" s="56" t="s">
        <v>310</v>
      </c>
      <c r="X289" s="56" t="s">
        <v>305</v>
      </c>
      <c r="Y289" s="56" t="s">
        <v>341</v>
      </c>
      <c r="Z289" s="56" t="s">
        <v>361</v>
      </c>
      <c r="AA289" s="56" t="s">
        <v>362</v>
      </c>
      <c r="AB289" s="56" t="s">
        <v>300</v>
      </c>
      <c r="AC289" s="56" t="s">
        <v>305</v>
      </c>
      <c r="AD289" s="56" t="s">
        <v>300</v>
      </c>
      <c r="AE289" s="57">
        <v>45740</v>
      </c>
      <c r="AF289" s="57">
        <v>45979</v>
      </c>
      <c r="AG289" s="58">
        <v>1400001972</v>
      </c>
      <c r="AH289" s="74" cm="1">
        <f t="array" ref="AH289:AI289">VLOOKUP(M289,'Customer data Vlookup'!$B$3:$H$127,{2,3},0)</f>
        <v>131000.32934400001</v>
      </c>
      <c r="AI289" s="74">
        <v>13100</v>
      </c>
      <c r="AJ289" s="74">
        <f t="shared" ref="AJ289:AJ318" si="21">AH289-AI289</f>
        <v>117900.32934400001</v>
      </c>
      <c r="AK289" s="63">
        <f t="shared" ref="AK289:AK318" si="22">U289-AJ289-AI289</f>
        <v>6.559999892488122E-4</v>
      </c>
      <c r="AL289" s="62">
        <f t="shared" ref="AL289:AL318" si="23">AI289/U289</f>
        <v>9.9999748092237634E-2</v>
      </c>
      <c r="AO289" t="str">
        <f>VLOOKUP(M289,'Customer data'!F:P,11,0)</f>
        <v>HDFCN52025072369906032</v>
      </c>
    </row>
    <row r="290" spans="1:41" hidden="1">
      <c r="A290" s="56" t="s">
        <v>326</v>
      </c>
      <c r="B290" s="56" t="s">
        <v>299</v>
      </c>
      <c r="C290" s="56" t="s">
        <v>300</v>
      </c>
      <c r="D290" s="56" t="s">
        <v>301</v>
      </c>
      <c r="E290" s="56" t="s">
        <v>302</v>
      </c>
      <c r="F290" s="56" t="s">
        <v>318</v>
      </c>
      <c r="G290" s="57">
        <v>45733</v>
      </c>
      <c r="H290" s="58">
        <v>7000000181</v>
      </c>
      <c r="I290" s="56" t="s">
        <v>340</v>
      </c>
      <c r="J290" s="57">
        <v>45733</v>
      </c>
      <c r="K290" s="57">
        <v>45733</v>
      </c>
      <c r="L290" s="56" t="s">
        <v>341</v>
      </c>
      <c r="M290" s="64" t="s">
        <v>47</v>
      </c>
      <c r="N290" s="56" t="s">
        <v>306</v>
      </c>
      <c r="O290" s="56" t="s">
        <v>307</v>
      </c>
      <c r="P290" s="56" t="s">
        <v>305</v>
      </c>
      <c r="Q290" s="56" t="s">
        <v>337</v>
      </c>
      <c r="R290" s="186" t="s">
        <v>309</v>
      </c>
      <c r="S290" s="164">
        <v>262000.66</v>
      </c>
      <c r="T290" s="187" t="s">
        <v>309</v>
      </c>
      <c r="U290" s="164">
        <v>262000.66</v>
      </c>
      <c r="V290" s="56" t="s">
        <v>342</v>
      </c>
      <c r="W290" s="56" t="s">
        <v>310</v>
      </c>
      <c r="X290" s="56" t="s">
        <v>305</v>
      </c>
      <c r="Y290" s="56" t="s">
        <v>341</v>
      </c>
      <c r="Z290" s="56" t="s">
        <v>363</v>
      </c>
      <c r="AA290" s="56" t="s">
        <v>364</v>
      </c>
      <c r="AB290" s="56" t="s">
        <v>300</v>
      </c>
      <c r="AC290" s="56" t="s">
        <v>305</v>
      </c>
      <c r="AD290" s="56" t="s">
        <v>300</v>
      </c>
      <c r="AE290" s="57">
        <v>45740</v>
      </c>
      <c r="AF290" s="57">
        <v>45979</v>
      </c>
      <c r="AG290" s="58">
        <v>1400001972</v>
      </c>
      <c r="AH290" s="74" cm="1">
        <f t="array" ref="AH290:AI290">VLOOKUP(M290,'Customer data Vlookup'!$B$3:$H$127,{2,3},0)</f>
        <v>262000.65868799994</v>
      </c>
      <c r="AI290" s="74">
        <v>26200</v>
      </c>
      <c r="AJ290" s="74">
        <f t="shared" si="21"/>
        <v>235800.65868799994</v>
      </c>
      <c r="AK290" s="63">
        <f t="shared" si="22"/>
        <v>1.3120000658091158E-3</v>
      </c>
      <c r="AL290" s="62">
        <f t="shared" si="23"/>
        <v>9.9999748092237634E-2</v>
      </c>
      <c r="AO290" t="str">
        <f>VLOOKUP(M290,'Customer data'!F:P,11,0)</f>
        <v>HDFCN52025072369906032</v>
      </c>
    </row>
    <row r="291" spans="1:41" hidden="1">
      <c r="A291" s="56" t="s">
        <v>298</v>
      </c>
      <c r="B291" s="56" t="s">
        <v>299</v>
      </c>
      <c r="C291" s="56" t="s">
        <v>300</v>
      </c>
      <c r="D291" s="56" t="s">
        <v>301</v>
      </c>
      <c r="E291" s="56" t="s">
        <v>302</v>
      </c>
      <c r="F291" s="56" t="s">
        <v>321</v>
      </c>
      <c r="G291" s="57">
        <v>45733</v>
      </c>
      <c r="H291" s="58">
        <v>7000000181</v>
      </c>
      <c r="I291" s="56" t="s">
        <v>340</v>
      </c>
      <c r="J291" s="57">
        <v>45733</v>
      </c>
      <c r="K291" s="57">
        <v>45733</v>
      </c>
      <c r="L291" s="56" t="s">
        <v>341</v>
      </c>
      <c r="M291" s="64" t="s">
        <v>18</v>
      </c>
      <c r="N291" s="56" t="s">
        <v>306</v>
      </c>
      <c r="O291" s="56" t="s">
        <v>307</v>
      </c>
      <c r="P291" s="56" t="s">
        <v>305</v>
      </c>
      <c r="Q291" s="56" t="s">
        <v>337</v>
      </c>
      <c r="R291" s="186" t="s">
        <v>309</v>
      </c>
      <c r="S291" s="164">
        <v>84138.42</v>
      </c>
      <c r="T291" s="187" t="s">
        <v>309</v>
      </c>
      <c r="U291" s="164">
        <v>84138.42</v>
      </c>
      <c r="V291" s="56" t="s">
        <v>342</v>
      </c>
      <c r="W291" s="56" t="s">
        <v>310</v>
      </c>
      <c r="X291" s="56" t="s">
        <v>305</v>
      </c>
      <c r="Y291" s="56" t="s">
        <v>341</v>
      </c>
      <c r="Z291" s="56" t="s">
        <v>365</v>
      </c>
      <c r="AA291" s="56" t="s">
        <v>366</v>
      </c>
      <c r="AB291" s="56" t="s">
        <v>300</v>
      </c>
      <c r="AC291" s="56" t="s">
        <v>305</v>
      </c>
      <c r="AD291" s="56" t="s">
        <v>300</v>
      </c>
      <c r="AE291" s="57">
        <v>45740</v>
      </c>
      <c r="AF291" s="57">
        <v>45979</v>
      </c>
      <c r="AG291" s="58">
        <v>1400001972</v>
      </c>
      <c r="AH291" s="74" cm="1">
        <f t="array" ref="AH291:AI291">VLOOKUP(M291,'Customer data Vlookup'!$B$3:$H$127,{2,3},0)</f>
        <v>84138.422912000009</v>
      </c>
      <c r="AI291" s="74">
        <v>8414</v>
      </c>
      <c r="AJ291" s="74">
        <f t="shared" si="21"/>
        <v>75724.422912000009</v>
      </c>
      <c r="AK291" s="63">
        <f t="shared" si="22"/>
        <v>-2.9120000108378008E-3</v>
      </c>
      <c r="AL291" s="62">
        <f t="shared" si="23"/>
        <v>0.10000187785793933</v>
      </c>
      <c r="AO291" t="str">
        <f>VLOOKUP(M291,'Customer data'!F:P,11,0)</f>
        <v>HDFCN52025072369906032</v>
      </c>
    </row>
    <row r="292" spans="1:41">
      <c r="A292" s="56" t="s">
        <v>298</v>
      </c>
      <c r="B292" s="56" t="s">
        <v>299</v>
      </c>
      <c r="C292" s="56" t="s">
        <v>300</v>
      </c>
      <c r="D292" s="56" t="s">
        <v>301</v>
      </c>
      <c r="E292" s="56" t="s">
        <v>302</v>
      </c>
      <c r="F292" s="56" t="s">
        <v>321</v>
      </c>
      <c r="G292" s="57">
        <v>45733</v>
      </c>
      <c r="H292" s="58">
        <v>7000000181</v>
      </c>
      <c r="I292" s="56" t="s">
        <v>340</v>
      </c>
      <c r="J292" s="57">
        <v>45733</v>
      </c>
      <c r="K292" s="57">
        <v>45733</v>
      </c>
      <c r="L292" s="56" t="s">
        <v>341</v>
      </c>
      <c r="M292" s="64" t="s">
        <v>31</v>
      </c>
      <c r="N292" s="56" t="s">
        <v>306</v>
      </c>
      <c r="O292" s="56" t="s">
        <v>307</v>
      </c>
      <c r="P292" s="56" t="s">
        <v>305</v>
      </c>
      <c r="Q292" s="56" t="s">
        <v>337</v>
      </c>
      <c r="R292" s="186" t="s">
        <v>309</v>
      </c>
      <c r="S292" s="164">
        <v>11000</v>
      </c>
      <c r="T292" s="187" t="s">
        <v>309</v>
      </c>
      <c r="U292" s="164">
        <v>11000</v>
      </c>
      <c r="V292" s="56" t="s">
        <v>342</v>
      </c>
      <c r="W292" s="56" t="s">
        <v>310</v>
      </c>
      <c r="X292" s="56" t="s">
        <v>305</v>
      </c>
      <c r="Y292" s="56" t="s">
        <v>341</v>
      </c>
      <c r="Z292" s="56" t="s">
        <v>325</v>
      </c>
      <c r="AA292" s="56" t="s">
        <v>343</v>
      </c>
      <c r="AB292" s="56" t="s">
        <v>300</v>
      </c>
      <c r="AC292" s="56" t="s">
        <v>305</v>
      </c>
      <c r="AD292" s="56" t="s">
        <v>300</v>
      </c>
      <c r="AE292" s="57">
        <v>45740</v>
      </c>
      <c r="AF292" s="57"/>
      <c r="AG292" s="56" t="s">
        <v>305</v>
      </c>
      <c r="AH292" s="74" cm="1">
        <f t="array" ref="AH292:AI292">VLOOKUP(M292,'Customer data Vlookup'!$B$3:$H$127,{2,3},0)</f>
        <v>11000</v>
      </c>
      <c r="AI292" s="74">
        <v>220</v>
      </c>
      <c r="AJ292" s="74">
        <f t="shared" si="21"/>
        <v>10780</v>
      </c>
      <c r="AK292" s="63">
        <f t="shared" si="22"/>
        <v>0</v>
      </c>
      <c r="AL292" s="62">
        <f t="shared" si="23"/>
        <v>0.02</v>
      </c>
      <c r="AO292" t="str">
        <f>VLOOKUP(M292,'Customer data'!F:P,11,0)</f>
        <v>HDFCN52025061495304800</v>
      </c>
    </row>
    <row r="293" spans="1:41">
      <c r="A293" s="56" t="s">
        <v>298</v>
      </c>
      <c r="B293" s="56" t="s">
        <v>299</v>
      </c>
      <c r="C293" s="56" t="s">
        <v>300</v>
      </c>
      <c r="D293" s="56" t="s">
        <v>301</v>
      </c>
      <c r="E293" s="56" t="s">
        <v>302</v>
      </c>
      <c r="F293" s="56" t="s">
        <v>321</v>
      </c>
      <c r="G293" s="57">
        <v>45733</v>
      </c>
      <c r="H293" s="58">
        <v>7000000181</v>
      </c>
      <c r="I293" s="56" t="s">
        <v>340</v>
      </c>
      <c r="J293" s="57">
        <v>45733</v>
      </c>
      <c r="K293" s="57">
        <v>45733</v>
      </c>
      <c r="L293" s="56" t="s">
        <v>341</v>
      </c>
      <c r="M293" s="64" t="s">
        <v>43</v>
      </c>
      <c r="N293" s="56" t="s">
        <v>306</v>
      </c>
      <c r="O293" s="56" t="s">
        <v>307</v>
      </c>
      <c r="P293" s="56" t="s">
        <v>305</v>
      </c>
      <c r="Q293" s="56" t="s">
        <v>337</v>
      </c>
      <c r="R293" s="186" t="s">
        <v>309</v>
      </c>
      <c r="S293" s="164">
        <v>13200</v>
      </c>
      <c r="T293" s="187" t="s">
        <v>309</v>
      </c>
      <c r="U293" s="164">
        <v>13200</v>
      </c>
      <c r="V293" s="56" t="s">
        <v>342</v>
      </c>
      <c r="W293" s="56" t="s">
        <v>310</v>
      </c>
      <c r="X293" s="56" t="s">
        <v>305</v>
      </c>
      <c r="Y293" s="56" t="s">
        <v>341</v>
      </c>
      <c r="Z293" s="56" t="s">
        <v>344</v>
      </c>
      <c r="AA293" s="56" t="s">
        <v>345</v>
      </c>
      <c r="AB293" s="56" t="s">
        <v>300</v>
      </c>
      <c r="AC293" s="56" t="s">
        <v>305</v>
      </c>
      <c r="AD293" s="56" t="s">
        <v>300</v>
      </c>
      <c r="AE293" s="57">
        <v>45740</v>
      </c>
      <c r="AF293" s="57"/>
      <c r="AG293" s="56" t="s">
        <v>305</v>
      </c>
      <c r="AH293" s="74" cm="1">
        <f t="array" ref="AH293:AI293">VLOOKUP(M293,'Customer data Vlookup'!$B$3:$H$127,{2,3},0)</f>
        <v>13200</v>
      </c>
      <c r="AI293" s="74">
        <v>264</v>
      </c>
      <c r="AJ293" s="74">
        <f t="shared" si="21"/>
        <v>12936</v>
      </c>
      <c r="AK293" s="63">
        <f t="shared" si="22"/>
        <v>0</v>
      </c>
      <c r="AL293" s="62">
        <f t="shared" si="23"/>
        <v>0.02</v>
      </c>
      <c r="AO293" t="str">
        <f>VLOOKUP(M293,'Customer data'!F:P,11,0)</f>
        <v>HDFCN52025061495304800</v>
      </c>
    </row>
    <row r="294" spans="1:41" hidden="1">
      <c r="A294" s="56" t="s">
        <v>298</v>
      </c>
      <c r="B294" s="56" t="s">
        <v>299</v>
      </c>
      <c r="C294" s="56" t="s">
        <v>300</v>
      </c>
      <c r="D294" s="56" t="s">
        <v>301</v>
      </c>
      <c r="E294" s="56" t="s">
        <v>302</v>
      </c>
      <c r="F294" s="56" t="s">
        <v>321</v>
      </c>
      <c r="G294" s="57">
        <v>45733</v>
      </c>
      <c r="H294" s="58">
        <v>7000000181</v>
      </c>
      <c r="I294" s="56" t="s">
        <v>340</v>
      </c>
      <c r="J294" s="57">
        <v>45733</v>
      </c>
      <c r="K294" s="57">
        <v>45733</v>
      </c>
      <c r="L294" s="56" t="s">
        <v>341</v>
      </c>
      <c r="M294" s="64" t="s">
        <v>51</v>
      </c>
      <c r="N294" s="56" t="s">
        <v>306</v>
      </c>
      <c r="O294" s="56" t="s">
        <v>307</v>
      </c>
      <c r="P294" s="56" t="s">
        <v>305</v>
      </c>
      <c r="Q294" s="56" t="s">
        <v>337</v>
      </c>
      <c r="R294" s="186" t="s">
        <v>309</v>
      </c>
      <c r="S294" s="164">
        <v>60539.3</v>
      </c>
      <c r="T294" s="187" t="s">
        <v>309</v>
      </c>
      <c r="U294" s="164">
        <v>60539.3</v>
      </c>
      <c r="V294" s="56" t="s">
        <v>342</v>
      </c>
      <c r="W294" s="56" t="s">
        <v>310</v>
      </c>
      <c r="X294" s="56" t="s">
        <v>305</v>
      </c>
      <c r="Y294" s="56" t="s">
        <v>341</v>
      </c>
      <c r="Z294" s="56" t="s">
        <v>311</v>
      </c>
      <c r="AA294" s="56" t="s">
        <v>367</v>
      </c>
      <c r="AB294" s="56" t="s">
        <v>300</v>
      </c>
      <c r="AC294" s="56" t="s">
        <v>305</v>
      </c>
      <c r="AD294" s="56" t="s">
        <v>300</v>
      </c>
      <c r="AE294" s="57">
        <v>45740</v>
      </c>
      <c r="AF294" s="57"/>
      <c r="AG294" s="56" t="s">
        <v>305</v>
      </c>
      <c r="AH294" s="74" cm="1">
        <f t="array" ref="AH294:AI294">VLOOKUP(M294,'Customer data Vlookup'!$B$3:$H$127,{2,3},0)</f>
        <v>60539.304960000001</v>
      </c>
      <c r="AI294" s="74">
        <v>1211</v>
      </c>
      <c r="AJ294" s="74">
        <f t="shared" si="21"/>
        <v>59328.304960000001</v>
      </c>
      <c r="AK294" s="63">
        <f t="shared" si="22"/>
        <v>-4.9599999983911403E-3</v>
      </c>
      <c r="AL294" s="62">
        <f t="shared" si="23"/>
        <v>2.0003534893862335E-2</v>
      </c>
      <c r="AO294" t="str">
        <f>VLOOKUP(M294,'Customer data'!F:P,11,0)</f>
        <v>Not Approved</v>
      </c>
    </row>
    <row r="295" spans="1:41" hidden="1">
      <c r="A295" s="56" t="s">
        <v>326</v>
      </c>
      <c r="B295" s="56" t="s">
        <v>299</v>
      </c>
      <c r="C295" s="56" t="s">
        <v>300</v>
      </c>
      <c r="D295" s="56" t="s">
        <v>301</v>
      </c>
      <c r="E295" s="56" t="s">
        <v>302</v>
      </c>
      <c r="F295" s="56" t="s">
        <v>312</v>
      </c>
      <c r="G295" s="57">
        <v>45733</v>
      </c>
      <c r="H295" s="58">
        <v>7000000181</v>
      </c>
      <c r="I295" s="56" t="s">
        <v>340</v>
      </c>
      <c r="J295" s="57">
        <v>45733</v>
      </c>
      <c r="K295" s="57">
        <v>45733</v>
      </c>
      <c r="L295" s="56" t="s">
        <v>341</v>
      </c>
      <c r="M295" s="64" t="s">
        <v>67</v>
      </c>
      <c r="N295" s="56" t="s">
        <v>306</v>
      </c>
      <c r="O295" s="56" t="s">
        <v>307</v>
      </c>
      <c r="P295" s="56" t="s">
        <v>305</v>
      </c>
      <c r="Q295" s="56" t="s">
        <v>337</v>
      </c>
      <c r="R295" s="186" t="s">
        <v>309</v>
      </c>
      <c r="S295" s="164">
        <v>16549.509999999998</v>
      </c>
      <c r="T295" s="187" t="s">
        <v>309</v>
      </c>
      <c r="U295" s="164">
        <v>16549.509999999998</v>
      </c>
      <c r="V295" s="56" t="s">
        <v>342</v>
      </c>
      <c r="W295" s="56" t="s">
        <v>310</v>
      </c>
      <c r="X295" s="56" t="s">
        <v>305</v>
      </c>
      <c r="Y295" s="56" t="s">
        <v>341</v>
      </c>
      <c r="Z295" s="56" t="s">
        <v>327</v>
      </c>
      <c r="AA295" s="56" t="s">
        <v>368</v>
      </c>
      <c r="AB295" s="56" t="s">
        <v>300</v>
      </c>
      <c r="AC295" s="56" t="s">
        <v>305</v>
      </c>
      <c r="AD295" s="56" t="s">
        <v>300</v>
      </c>
      <c r="AE295" s="57">
        <v>45740</v>
      </c>
      <c r="AF295" s="57"/>
      <c r="AG295" s="56" t="s">
        <v>305</v>
      </c>
      <c r="AH295" s="74" cm="1">
        <f t="array" ref="AH295:AI295">VLOOKUP(M295,'Customer data Vlookup'!$B$3:$H$127,{2,3},0)</f>
        <v>16549.512081600002</v>
      </c>
      <c r="AI295" s="74">
        <v>331</v>
      </c>
      <c r="AJ295" s="74">
        <f t="shared" si="21"/>
        <v>16218.512081600002</v>
      </c>
      <c r="AK295" s="63">
        <f t="shared" si="22"/>
        <v>-2.0816000032937154E-3</v>
      </c>
      <c r="AL295" s="62">
        <f t="shared" si="23"/>
        <v>2.0000592162547414E-2</v>
      </c>
      <c r="AO295" t="str">
        <f>VLOOKUP(M295,'Customer data'!F:P,11,0)</f>
        <v>Not Approved</v>
      </c>
    </row>
    <row r="296" spans="1:41" hidden="1">
      <c r="A296" s="56" t="s">
        <v>326</v>
      </c>
      <c r="B296" s="56" t="s">
        <v>299</v>
      </c>
      <c r="C296" s="56" t="s">
        <v>300</v>
      </c>
      <c r="D296" s="56" t="s">
        <v>301</v>
      </c>
      <c r="E296" s="56" t="s">
        <v>302</v>
      </c>
      <c r="F296" s="56" t="s">
        <v>312</v>
      </c>
      <c r="G296" s="57">
        <v>45733</v>
      </c>
      <c r="H296" s="58">
        <v>7000000181</v>
      </c>
      <c r="I296" s="56" t="s">
        <v>340</v>
      </c>
      <c r="J296" s="57">
        <v>45733</v>
      </c>
      <c r="K296" s="57">
        <v>45733</v>
      </c>
      <c r="L296" s="56" t="s">
        <v>341</v>
      </c>
      <c r="M296" s="64" t="s">
        <v>68</v>
      </c>
      <c r="N296" s="56" t="s">
        <v>306</v>
      </c>
      <c r="O296" s="56" t="s">
        <v>307</v>
      </c>
      <c r="P296" s="56" t="s">
        <v>305</v>
      </c>
      <c r="Q296" s="56" t="s">
        <v>337</v>
      </c>
      <c r="R296" s="186" t="s">
        <v>309</v>
      </c>
      <c r="S296" s="164">
        <v>15134.83</v>
      </c>
      <c r="T296" s="187" t="s">
        <v>309</v>
      </c>
      <c r="U296" s="164">
        <v>15134.83</v>
      </c>
      <c r="V296" s="56" t="s">
        <v>342</v>
      </c>
      <c r="W296" s="56" t="s">
        <v>310</v>
      </c>
      <c r="X296" s="56" t="s">
        <v>305</v>
      </c>
      <c r="Y296" s="56" t="s">
        <v>341</v>
      </c>
      <c r="Z296" s="56" t="s">
        <v>321</v>
      </c>
      <c r="AA296" s="56" t="s">
        <v>369</v>
      </c>
      <c r="AB296" s="56" t="s">
        <v>300</v>
      </c>
      <c r="AC296" s="56" t="s">
        <v>305</v>
      </c>
      <c r="AD296" s="56" t="s">
        <v>300</v>
      </c>
      <c r="AE296" s="57">
        <v>45740</v>
      </c>
      <c r="AF296" s="57"/>
      <c r="AG296" s="56" t="s">
        <v>305</v>
      </c>
      <c r="AH296" s="74" cm="1">
        <f t="array" ref="AH296:AI296">VLOOKUP(M296,'Customer data Vlookup'!$B$3:$H$127,{2,3},0)</f>
        <v>15134.826240000002</v>
      </c>
      <c r="AI296" s="74">
        <v>303</v>
      </c>
      <c r="AJ296" s="74">
        <f t="shared" si="21"/>
        <v>14831.826240000002</v>
      </c>
      <c r="AK296" s="63">
        <f t="shared" si="22"/>
        <v>3.7599999977828702E-3</v>
      </c>
      <c r="AL296" s="62">
        <f t="shared" si="23"/>
        <v>2.0020046475579839E-2</v>
      </c>
      <c r="AO296" t="str">
        <f>VLOOKUP(M296,'Customer data'!F:P,11,0)</f>
        <v>Not Approved</v>
      </c>
    </row>
    <row r="297" spans="1:41" hidden="1">
      <c r="A297" s="56" t="s">
        <v>298</v>
      </c>
      <c r="B297" s="56" t="s">
        <v>299</v>
      </c>
      <c r="C297" s="56" t="s">
        <v>300</v>
      </c>
      <c r="D297" s="56" t="s">
        <v>301</v>
      </c>
      <c r="E297" s="56" t="s">
        <v>302</v>
      </c>
      <c r="F297" s="56" t="s">
        <v>312</v>
      </c>
      <c r="G297" s="57">
        <v>45733</v>
      </c>
      <c r="H297" s="58">
        <v>7000000181</v>
      </c>
      <c r="I297" s="56" t="s">
        <v>340</v>
      </c>
      <c r="J297" s="57">
        <v>45733</v>
      </c>
      <c r="K297" s="57">
        <v>45733</v>
      </c>
      <c r="L297" s="56" t="s">
        <v>341</v>
      </c>
      <c r="M297" s="64" t="s">
        <v>69</v>
      </c>
      <c r="N297" s="56" t="s">
        <v>306</v>
      </c>
      <c r="O297" s="56" t="s">
        <v>307</v>
      </c>
      <c r="P297" s="56" t="s">
        <v>305</v>
      </c>
      <c r="Q297" s="56" t="s">
        <v>337</v>
      </c>
      <c r="R297" s="186" t="s">
        <v>309</v>
      </c>
      <c r="S297" s="164">
        <v>4729.63</v>
      </c>
      <c r="T297" s="187" t="s">
        <v>309</v>
      </c>
      <c r="U297" s="164">
        <v>4729.63</v>
      </c>
      <c r="V297" s="56" t="s">
        <v>342</v>
      </c>
      <c r="W297" s="56" t="s">
        <v>310</v>
      </c>
      <c r="X297" s="56" t="s">
        <v>305</v>
      </c>
      <c r="Y297" s="56" t="s">
        <v>341</v>
      </c>
      <c r="Z297" s="56" t="s">
        <v>334</v>
      </c>
      <c r="AA297" s="56" t="s">
        <v>370</v>
      </c>
      <c r="AB297" s="56" t="s">
        <v>300</v>
      </c>
      <c r="AC297" s="56" t="s">
        <v>305</v>
      </c>
      <c r="AD297" s="56" t="s">
        <v>300</v>
      </c>
      <c r="AE297" s="57">
        <v>45740</v>
      </c>
      <c r="AF297" s="57"/>
      <c r="AG297" s="56" t="s">
        <v>305</v>
      </c>
      <c r="AH297" s="74" cm="1">
        <f t="array" ref="AH297:AI297">VLOOKUP(M297,'Customer data Vlookup'!$B$3:$H$127,{2,3},0)</f>
        <v>4729.6332000000002</v>
      </c>
      <c r="AI297" s="74">
        <v>95</v>
      </c>
      <c r="AJ297" s="74">
        <f t="shared" si="21"/>
        <v>4634.6332000000002</v>
      </c>
      <c r="AK297" s="63">
        <f t="shared" si="22"/>
        <v>-3.200000000106229E-3</v>
      </c>
      <c r="AL297" s="62">
        <f t="shared" si="23"/>
        <v>2.0086137816277383E-2</v>
      </c>
      <c r="AO297" t="str">
        <f>VLOOKUP(M297,'Customer data'!F:P,11,0)</f>
        <v>Not Approved</v>
      </c>
    </row>
    <row r="298" spans="1:41" hidden="1">
      <c r="A298" s="56" t="s">
        <v>298</v>
      </c>
      <c r="B298" s="56" t="s">
        <v>299</v>
      </c>
      <c r="C298" s="56" t="s">
        <v>300</v>
      </c>
      <c r="D298" s="56" t="s">
        <v>301</v>
      </c>
      <c r="E298" s="56" t="s">
        <v>302</v>
      </c>
      <c r="F298" s="56" t="s">
        <v>312</v>
      </c>
      <c r="G298" s="57">
        <v>45733</v>
      </c>
      <c r="H298" s="58">
        <v>7000000181</v>
      </c>
      <c r="I298" s="56" t="s">
        <v>340</v>
      </c>
      <c r="J298" s="57">
        <v>45733</v>
      </c>
      <c r="K298" s="57">
        <v>45733</v>
      </c>
      <c r="L298" s="56" t="s">
        <v>341</v>
      </c>
      <c r="M298" s="64" t="s">
        <v>24</v>
      </c>
      <c r="N298" s="56" t="s">
        <v>306</v>
      </c>
      <c r="O298" s="56" t="s">
        <v>307</v>
      </c>
      <c r="P298" s="56" t="s">
        <v>305</v>
      </c>
      <c r="Q298" s="56" t="s">
        <v>337</v>
      </c>
      <c r="R298" s="186" t="s">
        <v>309</v>
      </c>
      <c r="S298" s="164">
        <v>41373.78</v>
      </c>
      <c r="T298" s="187" t="s">
        <v>309</v>
      </c>
      <c r="U298" s="164">
        <v>41373.78</v>
      </c>
      <c r="V298" s="56" t="s">
        <v>342</v>
      </c>
      <c r="W298" s="56" t="s">
        <v>310</v>
      </c>
      <c r="X298" s="56" t="s">
        <v>305</v>
      </c>
      <c r="Y298" s="56" t="s">
        <v>341</v>
      </c>
      <c r="Z298" s="56" t="s">
        <v>303</v>
      </c>
      <c r="AA298" s="56" t="s">
        <v>371</v>
      </c>
      <c r="AB298" s="56" t="s">
        <v>300</v>
      </c>
      <c r="AC298" s="56" t="s">
        <v>305</v>
      </c>
      <c r="AD298" s="56" t="s">
        <v>300</v>
      </c>
      <c r="AE298" s="57">
        <v>45740</v>
      </c>
      <c r="AF298" s="57"/>
      <c r="AG298" s="56" t="s">
        <v>305</v>
      </c>
      <c r="AH298" s="74" cm="1">
        <f t="array" ref="AH298:AI298">VLOOKUP(M298,'Customer data Vlookup'!$B$3:$H$127,{2,3},0)</f>
        <v>41373.780204000002</v>
      </c>
      <c r="AI298" s="74">
        <v>827</v>
      </c>
      <c r="AJ298" s="74">
        <f t="shared" si="21"/>
        <v>40546.780204000002</v>
      </c>
      <c r="AK298" s="63">
        <f t="shared" si="22"/>
        <v>-2.0400000357767567E-4</v>
      </c>
      <c r="AL298" s="62">
        <f t="shared" si="23"/>
        <v>1.9988504796999453E-2</v>
      </c>
      <c r="AO298" t="str">
        <f>VLOOKUP(M298,'Customer data'!F:P,11,0)</f>
        <v>Not Approved</v>
      </c>
    </row>
    <row r="299" spans="1:41" hidden="1">
      <c r="A299" s="56" t="s">
        <v>298</v>
      </c>
      <c r="B299" s="56" t="s">
        <v>299</v>
      </c>
      <c r="C299" s="56" t="s">
        <v>300</v>
      </c>
      <c r="D299" s="56" t="s">
        <v>301</v>
      </c>
      <c r="E299" s="56" t="s">
        <v>302</v>
      </c>
      <c r="F299" s="56" t="s">
        <v>312</v>
      </c>
      <c r="G299" s="57">
        <v>45733</v>
      </c>
      <c r="H299" s="58">
        <v>7000000181</v>
      </c>
      <c r="I299" s="56" t="s">
        <v>340</v>
      </c>
      <c r="J299" s="57">
        <v>45733</v>
      </c>
      <c r="K299" s="57">
        <v>45733</v>
      </c>
      <c r="L299" s="56" t="s">
        <v>341</v>
      </c>
      <c r="M299" s="64" t="s">
        <v>38</v>
      </c>
      <c r="N299" s="56" t="s">
        <v>306</v>
      </c>
      <c r="O299" s="56" t="s">
        <v>307</v>
      </c>
      <c r="P299" s="56" t="s">
        <v>305</v>
      </c>
      <c r="Q299" s="56" t="s">
        <v>337</v>
      </c>
      <c r="R299" s="186" t="s">
        <v>309</v>
      </c>
      <c r="S299" s="164">
        <v>66198.05</v>
      </c>
      <c r="T299" s="187" t="s">
        <v>309</v>
      </c>
      <c r="U299" s="164">
        <v>66198.05</v>
      </c>
      <c r="V299" s="56" t="s">
        <v>342</v>
      </c>
      <c r="W299" s="56" t="s">
        <v>310</v>
      </c>
      <c r="X299" s="56" t="s">
        <v>305</v>
      </c>
      <c r="Y299" s="56" t="s">
        <v>341</v>
      </c>
      <c r="Z299" s="56" t="s">
        <v>316</v>
      </c>
      <c r="AA299" s="56" t="s">
        <v>372</v>
      </c>
      <c r="AB299" s="56" t="s">
        <v>300</v>
      </c>
      <c r="AC299" s="56" t="s">
        <v>305</v>
      </c>
      <c r="AD299" s="56" t="s">
        <v>300</v>
      </c>
      <c r="AE299" s="57">
        <v>45740</v>
      </c>
      <c r="AF299" s="57"/>
      <c r="AG299" s="56" t="s">
        <v>305</v>
      </c>
      <c r="AH299" s="74" cm="1">
        <f t="array" ref="AH299:AI299">VLOOKUP(M299,'Customer data Vlookup'!$B$3:$H$127,{2,3},0)</f>
        <v>66198.048326400007</v>
      </c>
      <c r="AI299" s="74">
        <v>1324</v>
      </c>
      <c r="AJ299" s="74">
        <f t="shared" si="21"/>
        <v>64874.048326400007</v>
      </c>
      <c r="AK299" s="63">
        <f t="shared" si="22"/>
        <v>1.6735999961383641E-3</v>
      </c>
      <c r="AL299" s="62">
        <f t="shared" si="23"/>
        <v>2.0000589141220926E-2</v>
      </c>
      <c r="AO299" t="str">
        <f>VLOOKUP(M299,'Customer data'!F:P,11,0)</f>
        <v>Not Approved</v>
      </c>
    </row>
    <row r="300" spans="1:41" hidden="1">
      <c r="A300" s="56" t="s">
        <v>298</v>
      </c>
      <c r="B300" s="56" t="s">
        <v>299</v>
      </c>
      <c r="C300" s="56" t="s">
        <v>300</v>
      </c>
      <c r="D300" s="56" t="s">
        <v>301</v>
      </c>
      <c r="E300" s="56" t="s">
        <v>302</v>
      </c>
      <c r="F300" s="56" t="s">
        <v>312</v>
      </c>
      <c r="G300" s="57">
        <v>45733</v>
      </c>
      <c r="H300" s="58">
        <v>7000000181</v>
      </c>
      <c r="I300" s="56" t="s">
        <v>340</v>
      </c>
      <c r="J300" s="57">
        <v>45733</v>
      </c>
      <c r="K300" s="57">
        <v>45733</v>
      </c>
      <c r="L300" s="56" t="s">
        <v>341</v>
      </c>
      <c r="M300" s="64" t="s">
        <v>39</v>
      </c>
      <c r="N300" s="56" t="s">
        <v>306</v>
      </c>
      <c r="O300" s="56" t="s">
        <v>307</v>
      </c>
      <c r="P300" s="56" t="s">
        <v>305</v>
      </c>
      <c r="Q300" s="56" t="s">
        <v>337</v>
      </c>
      <c r="R300" s="186" t="s">
        <v>309</v>
      </c>
      <c r="S300" s="164">
        <v>41620.769999999997</v>
      </c>
      <c r="T300" s="187" t="s">
        <v>309</v>
      </c>
      <c r="U300" s="164">
        <v>41620.769999999997</v>
      </c>
      <c r="V300" s="56" t="s">
        <v>342</v>
      </c>
      <c r="W300" s="56" t="s">
        <v>310</v>
      </c>
      <c r="X300" s="56" t="s">
        <v>305</v>
      </c>
      <c r="Y300" s="56" t="s">
        <v>341</v>
      </c>
      <c r="Z300" s="56" t="s">
        <v>373</v>
      </c>
      <c r="AA300" s="56" t="s">
        <v>374</v>
      </c>
      <c r="AB300" s="56" t="s">
        <v>300</v>
      </c>
      <c r="AC300" s="56" t="s">
        <v>305</v>
      </c>
      <c r="AD300" s="56" t="s">
        <v>300</v>
      </c>
      <c r="AE300" s="57">
        <v>45740</v>
      </c>
      <c r="AF300" s="57"/>
      <c r="AG300" s="56" t="s">
        <v>305</v>
      </c>
      <c r="AH300" s="74" cm="1">
        <f t="array" ref="AH300:AI300">VLOOKUP(M300,'Customer data Vlookup'!$B$3:$H$127,{2,3},0)</f>
        <v>41620.77216</v>
      </c>
      <c r="AI300" s="74">
        <v>832</v>
      </c>
      <c r="AJ300" s="74">
        <f t="shared" si="21"/>
        <v>40788.77216</v>
      </c>
      <c r="AK300" s="63">
        <f t="shared" si="22"/>
        <v>-2.1600000036414713E-3</v>
      </c>
      <c r="AL300" s="62">
        <f t="shared" si="23"/>
        <v>1.9990019406176292E-2</v>
      </c>
      <c r="AO300" t="str">
        <f>VLOOKUP(M300,'Customer data'!F:P,11,0)</f>
        <v>Not Approved</v>
      </c>
    </row>
    <row r="301" spans="1:41" hidden="1">
      <c r="A301" s="56" t="s">
        <v>298</v>
      </c>
      <c r="B301" s="56" t="s">
        <v>299</v>
      </c>
      <c r="C301" s="56" t="s">
        <v>300</v>
      </c>
      <c r="D301" s="56" t="s">
        <v>301</v>
      </c>
      <c r="E301" s="56" t="s">
        <v>302</v>
      </c>
      <c r="F301" s="56" t="s">
        <v>312</v>
      </c>
      <c r="G301" s="57">
        <v>45733</v>
      </c>
      <c r="H301" s="58">
        <v>7000000181</v>
      </c>
      <c r="I301" s="56" t="s">
        <v>340</v>
      </c>
      <c r="J301" s="57">
        <v>45733</v>
      </c>
      <c r="K301" s="57">
        <v>45733</v>
      </c>
      <c r="L301" s="56" t="s">
        <v>341</v>
      </c>
      <c r="M301" s="64" t="s">
        <v>40</v>
      </c>
      <c r="N301" s="56" t="s">
        <v>306</v>
      </c>
      <c r="O301" s="56" t="s">
        <v>307</v>
      </c>
      <c r="P301" s="56" t="s">
        <v>305</v>
      </c>
      <c r="Q301" s="56" t="s">
        <v>337</v>
      </c>
      <c r="R301" s="186" t="s">
        <v>309</v>
      </c>
      <c r="S301" s="164">
        <v>24824.27</v>
      </c>
      <c r="T301" s="187" t="s">
        <v>309</v>
      </c>
      <c r="U301" s="164">
        <v>24824.27</v>
      </c>
      <c r="V301" s="56" t="s">
        <v>342</v>
      </c>
      <c r="W301" s="56" t="s">
        <v>310</v>
      </c>
      <c r="X301" s="56" t="s">
        <v>305</v>
      </c>
      <c r="Y301" s="56" t="s">
        <v>341</v>
      </c>
      <c r="Z301" s="56" t="s">
        <v>375</v>
      </c>
      <c r="AA301" s="56" t="s">
        <v>376</v>
      </c>
      <c r="AB301" s="56" t="s">
        <v>300</v>
      </c>
      <c r="AC301" s="56" t="s">
        <v>305</v>
      </c>
      <c r="AD301" s="56" t="s">
        <v>300</v>
      </c>
      <c r="AE301" s="57">
        <v>45740</v>
      </c>
      <c r="AF301" s="57"/>
      <c r="AG301" s="56" t="s">
        <v>305</v>
      </c>
      <c r="AH301" s="74" cm="1">
        <f t="array" ref="AH301:AI301">VLOOKUP(M301,'Customer data Vlookup'!$B$3:$H$127,{2,3},0)</f>
        <v>24824.268122400001</v>
      </c>
      <c r="AI301" s="74">
        <v>496</v>
      </c>
      <c r="AJ301" s="74">
        <f t="shared" si="21"/>
        <v>24328.268122400001</v>
      </c>
      <c r="AK301" s="63">
        <f t="shared" si="22"/>
        <v>1.8775999997160397E-3</v>
      </c>
      <c r="AL301" s="62">
        <f t="shared" si="23"/>
        <v>1.998044655492387E-2</v>
      </c>
      <c r="AO301" t="str">
        <f>VLOOKUP(M301,'Customer data'!F:P,11,0)</f>
        <v>Not Approved</v>
      </c>
    </row>
    <row r="302" spans="1:41" hidden="1">
      <c r="A302" s="56" t="s">
        <v>298</v>
      </c>
      <c r="B302" s="56" t="s">
        <v>299</v>
      </c>
      <c r="C302" s="56" t="s">
        <v>300</v>
      </c>
      <c r="D302" s="56" t="s">
        <v>301</v>
      </c>
      <c r="E302" s="56" t="s">
        <v>302</v>
      </c>
      <c r="F302" s="56" t="s">
        <v>312</v>
      </c>
      <c r="G302" s="57">
        <v>45733</v>
      </c>
      <c r="H302" s="58">
        <v>7000000181</v>
      </c>
      <c r="I302" s="56" t="s">
        <v>340</v>
      </c>
      <c r="J302" s="57">
        <v>45733</v>
      </c>
      <c r="K302" s="57">
        <v>45733</v>
      </c>
      <c r="L302" s="56" t="s">
        <v>341</v>
      </c>
      <c r="M302" s="64" t="s">
        <v>52</v>
      </c>
      <c r="N302" s="56" t="s">
        <v>306</v>
      </c>
      <c r="O302" s="56" t="s">
        <v>307</v>
      </c>
      <c r="P302" s="56" t="s">
        <v>305</v>
      </c>
      <c r="Q302" s="56" t="s">
        <v>337</v>
      </c>
      <c r="R302" s="186" t="s">
        <v>309</v>
      </c>
      <c r="S302" s="164">
        <v>18918.53</v>
      </c>
      <c r="T302" s="187" t="s">
        <v>309</v>
      </c>
      <c r="U302" s="164">
        <v>18918.53</v>
      </c>
      <c r="V302" s="56" t="s">
        <v>342</v>
      </c>
      <c r="W302" s="56" t="s">
        <v>310</v>
      </c>
      <c r="X302" s="56" t="s">
        <v>305</v>
      </c>
      <c r="Y302" s="56" t="s">
        <v>341</v>
      </c>
      <c r="Z302" s="56" t="s">
        <v>377</v>
      </c>
      <c r="AA302" s="56" t="s">
        <v>378</v>
      </c>
      <c r="AB302" s="56" t="s">
        <v>300</v>
      </c>
      <c r="AC302" s="56" t="s">
        <v>305</v>
      </c>
      <c r="AD302" s="56" t="s">
        <v>300</v>
      </c>
      <c r="AE302" s="57">
        <v>45740</v>
      </c>
      <c r="AF302" s="57"/>
      <c r="AG302" s="56" t="s">
        <v>305</v>
      </c>
      <c r="AH302" s="74" cm="1">
        <f t="array" ref="AH302:AI302">VLOOKUP(M302,'Customer data Vlookup'!$B$3:$H$127,{2,3},0)</f>
        <v>18918.532800000001</v>
      </c>
      <c r="AI302" s="74">
        <v>378</v>
      </c>
      <c r="AJ302" s="74">
        <f t="shared" si="21"/>
        <v>18540.532800000001</v>
      </c>
      <c r="AK302" s="63">
        <f t="shared" si="22"/>
        <v>-2.8000000020256266E-3</v>
      </c>
      <c r="AL302" s="62">
        <f t="shared" si="23"/>
        <v>1.9980410740157932E-2</v>
      </c>
      <c r="AO302" t="str">
        <f>VLOOKUP(M302,'Customer data'!F:P,11,0)</f>
        <v>Not Approved</v>
      </c>
    </row>
    <row r="303" spans="1:41" hidden="1">
      <c r="A303" s="56" t="s">
        <v>298</v>
      </c>
      <c r="B303" s="56" t="s">
        <v>299</v>
      </c>
      <c r="C303" s="56" t="s">
        <v>300</v>
      </c>
      <c r="D303" s="56" t="s">
        <v>301</v>
      </c>
      <c r="E303" s="56" t="s">
        <v>302</v>
      </c>
      <c r="F303" s="56" t="s">
        <v>322</v>
      </c>
      <c r="G303" s="57">
        <v>45733</v>
      </c>
      <c r="H303" s="58">
        <v>7000000181</v>
      </c>
      <c r="I303" s="56" t="s">
        <v>340</v>
      </c>
      <c r="J303" s="57">
        <v>45733</v>
      </c>
      <c r="K303" s="57">
        <v>45733</v>
      </c>
      <c r="L303" s="56" t="s">
        <v>341</v>
      </c>
      <c r="M303" s="64" t="s">
        <v>42</v>
      </c>
      <c r="N303" s="56" t="s">
        <v>306</v>
      </c>
      <c r="O303" s="56" t="s">
        <v>307</v>
      </c>
      <c r="P303" s="56" t="s">
        <v>305</v>
      </c>
      <c r="Q303" s="56" t="s">
        <v>337</v>
      </c>
      <c r="R303" s="186" t="s">
        <v>309</v>
      </c>
      <c r="S303" s="164">
        <v>7094.45</v>
      </c>
      <c r="T303" s="187" t="s">
        <v>309</v>
      </c>
      <c r="U303" s="164">
        <v>7094.45</v>
      </c>
      <c r="V303" s="56" t="s">
        <v>342</v>
      </c>
      <c r="W303" s="56" t="s">
        <v>310</v>
      </c>
      <c r="X303" s="56" t="s">
        <v>305</v>
      </c>
      <c r="Y303" s="56" t="s">
        <v>341</v>
      </c>
      <c r="Z303" s="56" t="s">
        <v>379</v>
      </c>
      <c r="AA303" s="56" t="s">
        <v>380</v>
      </c>
      <c r="AB303" s="56" t="s">
        <v>300</v>
      </c>
      <c r="AC303" s="56" t="s">
        <v>305</v>
      </c>
      <c r="AD303" s="56" t="s">
        <v>300</v>
      </c>
      <c r="AE303" s="57">
        <v>45740</v>
      </c>
      <c r="AF303" s="57"/>
      <c r="AG303" s="56" t="s">
        <v>305</v>
      </c>
      <c r="AH303" s="74" cm="1">
        <f t="array" ref="AH303:AI303">VLOOKUP(M303,'Customer data Vlookup'!$B$3:$H$127,{2,3},0)</f>
        <v>7094.4498000000003</v>
      </c>
      <c r="AI303" s="74">
        <v>142</v>
      </c>
      <c r="AJ303" s="74">
        <f t="shared" si="21"/>
        <v>6952.4498000000003</v>
      </c>
      <c r="AK303" s="63">
        <f t="shared" si="22"/>
        <v>1.9999999949504854E-4</v>
      </c>
      <c r="AL303" s="62">
        <f t="shared" si="23"/>
        <v>2.0015646033166773E-2</v>
      </c>
      <c r="AO303" t="str">
        <f>VLOOKUP(M303,'Customer data'!F:P,11,0)</f>
        <v>Not Approved</v>
      </c>
    </row>
    <row r="304" spans="1:41" hidden="1">
      <c r="A304" s="56" t="s">
        <v>298</v>
      </c>
      <c r="B304" s="56" t="s">
        <v>299</v>
      </c>
      <c r="C304" s="56" t="s">
        <v>300</v>
      </c>
      <c r="D304" s="56" t="s">
        <v>301</v>
      </c>
      <c r="E304" s="56" t="s">
        <v>302</v>
      </c>
      <c r="F304" s="56" t="s">
        <v>334</v>
      </c>
      <c r="G304" s="57">
        <v>45733</v>
      </c>
      <c r="H304" s="58">
        <v>7000000181</v>
      </c>
      <c r="I304" s="56" t="s">
        <v>340</v>
      </c>
      <c r="J304" s="57">
        <v>45733</v>
      </c>
      <c r="K304" s="57">
        <v>45733</v>
      </c>
      <c r="L304" s="56" t="s">
        <v>341</v>
      </c>
      <c r="M304" s="64" t="s">
        <v>50</v>
      </c>
      <c r="N304" s="56" t="s">
        <v>306</v>
      </c>
      <c r="O304" s="56" t="s">
        <v>307</v>
      </c>
      <c r="P304" s="56" t="s">
        <v>305</v>
      </c>
      <c r="Q304" s="56" t="s">
        <v>337</v>
      </c>
      <c r="R304" s="186" t="s">
        <v>309</v>
      </c>
      <c r="S304" s="164">
        <v>66198.05</v>
      </c>
      <c r="T304" s="187" t="s">
        <v>309</v>
      </c>
      <c r="U304" s="164">
        <v>66198.05</v>
      </c>
      <c r="V304" s="56" t="s">
        <v>342</v>
      </c>
      <c r="W304" s="56" t="s">
        <v>310</v>
      </c>
      <c r="X304" s="56" t="s">
        <v>305</v>
      </c>
      <c r="Y304" s="56" t="s">
        <v>341</v>
      </c>
      <c r="Z304" s="56" t="s">
        <v>381</v>
      </c>
      <c r="AA304" s="56" t="s">
        <v>382</v>
      </c>
      <c r="AB304" s="56" t="s">
        <v>300</v>
      </c>
      <c r="AC304" s="56" t="s">
        <v>305</v>
      </c>
      <c r="AD304" s="56" t="s">
        <v>300</v>
      </c>
      <c r="AE304" s="57">
        <v>45740</v>
      </c>
      <c r="AF304" s="57"/>
      <c r="AG304" s="56" t="s">
        <v>305</v>
      </c>
      <c r="AH304" s="74" cm="1">
        <f t="array" ref="AH304:AI304">VLOOKUP(M304,'Customer data Vlookup'!$B$3:$H$127,{2,3},0)</f>
        <v>66198.048326400007</v>
      </c>
      <c r="AI304" s="74">
        <v>1324</v>
      </c>
      <c r="AJ304" s="74">
        <f t="shared" si="21"/>
        <v>64874.048326400007</v>
      </c>
      <c r="AK304" s="63">
        <f t="shared" si="22"/>
        <v>1.6735999961383641E-3</v>
      </c>
      <c r="AL304" s="62">
        <f t="shared" si="23"/>
        <v>2.0000589141220926E-2</v>
      </c>
      <c r="AO304" t="str">
        <f>VLOOKUP(M304,'Customer data'!F:P,11,0)</f>
        <v>Not Approved</v>
      </c>
    </row>
    <row r="305" spans="1:41" hidden="1">
      <c r="A305" s="56" t="s">
        <v>298</v>
      </c>
      <c r="B305" s="56" t="s">
        <v>299</v>
      </c>
      <c r="C305" s="56" t="s">
        <v>300</v>
      </c>
      <c r="D305" s="56" t="s">
        <v>301</v>
      </c>
      <c r="E305" s="56" t="s">
        <v>302</v>
      </c>
      <c r="F305" s="56" t="s">
        <v>330</v>
      </c>
      <c r="G305" s="57">
        <v>45733</v>
      </c>
      <c r="H305" s="58">
        <v>7000000181</v>
      </c>
      <c r="I305" s="56" t="s">
        <v>340</v>
      </c>
      <c r="J305" s="57">
        <v>45733</v>
      </c>
      <c r="K305" s="57">
        <v>45733</v>
      </c>
      <c r="L305" s="56" t="s">
        <v>341</v>
      </c>
      <c r="M305" s="64" t="s">
        <v>70</v>
      </c>
      <c r="N305" s="56" t="s">
        <v>306</v>
      </c>
      <c r="O305" s="56" t="s">
        <v>307</v>
      </c>
      <c r="P305" s="56" t="s">
        <v>305</v>
      </c>
      <c r="Q305" s="56" t="s">
        <v>337</v>
      </c>
      <c r="R305" s="186" t="s">
        <v>309</v>
      </c>
      <c r="S305" s="164">
        <v>16549.509999999998</v>
      </c>
      <c r="T305" s="187" t="s">
        <v>309</v>
      </c>
      <c r="U305" s="164">
        <v>16549.509999999998</v>
      </c>
      <c r="V305" s="56" t="s">
        <v>342</v>
      </c>
      <c r="W305" s="56" t="s">
        <v>310</v>
      </c>
      <c r="X305" s="56" t="s">
        <v>305</v>
      </c>
      <c r="Y305" s="56" t="s">
        <v>341</v>
      </c>
      <c r="Z305" s="56" t="s">
        <v>383</v>
      </c>
      <c r="AA305" s="56" t="s">
        <v>384</v>
      </c>
      <c r="AB305" s="56" t="s">
        <v>300</v>
      </c>
      <c r="AC305" s="56" t="s">
        <v>305</v>
      </c>
      <c r="AD305" s="56" t="s">
        <v>300</v>
      </c>
      <c r="AE305" s="57">
        <v>45740</v>
      </c>
      <c r="AF305" s="57"/>
      <c r="AG305" s="56" t="s">
        <v>305</v>
      </c>
      <c r="AH305" s="74" cm="1">
        <f t="array" ref="AH305:AI305">VLOOKUP(M305,'Customer data Vlookup'!$B$3:$H$127,{2,3},0)</f>
        <v>16549.512081600002</v>
      </c>
      <c r="AI305" s="74">
        <v>331</v>
      </c>
      <c r="AJ305" s="74">
        <f t="shared" si="21"/>
        <v>16218.512081600002</v>
      </c>
      <c r="AK305" s="63">
        <f t="shared" si="22"/>
        <v>-2.0816000032937154E-3</v>
      </c>
      <c r="AL305" s="62">
        <f t="shared" si="23"/>
        <v>2.0000592162547414E-2</v>
      </c>
      <c r="AO305" t="str">
        <f>VLOOKUP(M305,'Customer data'!F:P,11,0)</f>
        <v>Not Approved</v>
      </c>
    </row>
    <row r="306" spans="1:41" hidden="1">
      <c r="A306" s="56" t="s">
        <v>298</v>
      </c>
      <c r="B306" s="56" t="s">
        <v>299</v>
      </c>
      <c r="C306" s="56" t="s">
        <v>300</v>
      </c>
      <c r="D306" s="56" t="s">
        <v>301</v>
      </c>
      <c r="E306" s="56" t="s">
        <v>302</v>
      </c>
      <c r="F306" s="56" t="s">
        <v>312</v>
      </c>
      <c r="G306" s="57">
        <v>45733</v>
      </c>
      <c r="H306" s="58">
        <v>7000000181</v>
      </c>
      <c r="I306" s="56" t="s">
        <v>340</v>
      </c>
      <c r="J306" s="57">
        <v>45733</v>
      </c>
      <c r="K306" s="57">
        <v>45733</v>
      </c>
      <c r="L306" s="56" t="s">
        <v>341</v>
      </c>
      <c r="M306" s="64" t="s">
        <v>79</v>
      </c>
      <c r="N306" s="56" t="s">
        <v>306</v>
      </c>
      <c r="O306" s="56" t="s">
        <v>307</v>
      </c>
      <c r="P306" s="56" t="s">
        <v>305</v>
      </c>
      <c r="Q306" s="56" t="s">
        <v>337</v>
      </c>
      <c r="R306" s="186" t="s">
        <v>309</v>
      </c>
      <c r="S306" s="164">
        <v>2364.8200000000002</v>
      </c>
      <c r="T306" s="187" t="s">
        <v>309</v>
      </c>
      <c r="U306" s="164">
        <v>2364.8200000000002</v>
      </c>
      <c r="V306" s="56" t="s">
        <v>342</v>
      </c>
      <c r="W306" s="56" t="s">
        <v>310</v>
      </c>
      <c r="X306" s="56" t="s">
        <v>305</v>
      </c>
      <c r="Y306" s="56" t="s">
        <v>341</v>
      </c>
      <c r="Z306" s="56" t="s">
        <v>385</v>
      </c>
      <c r="AA306" s="56" t="s">
        <v>386</v>
      </c>
      <c r="AB306" s="56" t="s">
        <v>300</v>
      </c>
      <c r="AC306" s="56" t="s">
        <v>305</v>
      </c>
      <c r="AD306" s="56" t="s">
        <v>300</v>
      </c>
      <c r="AE306" s="57">
        <v>45740</v>
      </c>
      <c r="AF306" s="57"/>
      <c r="AG306" s="56" t="s">
        <v>305</v>
      </c>
      <c r="AH306" s="74" cm="1">
        <f t="array" ref="AH306:AI306">VLOOKUP(M306,'Customer data Vlookup'!$B$3:$H$127,{2,3},0)</f>
        <v>2364.8166000000001</v>
      </c>
      <c r="AI306" s="74">
        <v>47</v>
      </c>
      <c r="AJ306" s="74">
        <f t="shared" si="21"/>
        <v>2317.8166000000001</v>
      </c>
      <c r="AK306" s="63">
        <f t="shared" si="22"/>
        <v>3.4000000000560249E-3</v>
      </c>
      <c r="AL306" s="62">
        <f t="shared" si="23"/>
        <v>1.9874662765030741E-2</v>
      </c>
      <c r="AO306" t="str">
        <f>VLOOKUP(M306,'Customer data'!F:P,11,0)</f>
        <v>Not Approved</v>
      </c>
    </row>
    <row r="307" spans="1:41" hidden="1">
      <c r="A307" s="56" t="s">
        <v>326</v>
      </c>
      <c r="B307" s="56" t="s">
        <v>299</v>
      </c>
      <c r="C307" s="56" t="s">
        <v>300</v>
      </c>
      <c r="D307" s="56" t="s">
        <v>301</v>
      </c>
      <c r="E307" s="56" t="s">
        <v>302</v>
      </c>
      <c r="F307" s="56" t="s">
        <v>312</v>
      </c>
      <c r="G307" s="57">
        <v>45733</v>
      </c>
      <c r="H307" s="58">
        <v>7000000181</v>
      </c>
      <c r="I307" s="56" t="s">
        <v>340</v>
      </c>
      <c r="J307" s="57">
        <v>45733</v>
      </c>
      <c r="K307" s="57">
        <v>45733</v>
      </c>
      <c r="L307" s="56" t="s">
        <v>341</v>
      </c>
      <c r="M307" s="64" t="s">
        <v>81</v>
      </c>
      <c r="N307" s="56" t="s">
        <v>306</v>
      </c>
      <c r="O307" s="56" t="s">
        <v>307</v>
      </c>
      <c r="P307" s="56" t="s">
        <v>305</v>
      </c>
      <c r="Q307" s="56" t="s">
        <v>337</v>
      </c>
      <c r="R307" s="186" t="s">
        <v>309</v>
      </c>
      <c r="S307" s="164">
        <v>15765.44</v>
      </c>
      <c r="T307" s="187" t="s">
        <v>309</v>
      </c>
      <c r="U307" s="164">
        <v>15765.44</v>
      </c>
      <c r="V307" s="56" t="s">
        <v>342</v>
      </c>
      <c r="W307" s="56" t="s">
        <v>310</v>
      </c>
      <c r="X307" s="56" t="s">
        <v>305</v>
      </c>
      <c r="Y307" s="56" t="s">
        <v>341</v>
      </c>
      <c r="Z307" s="56" t="s">
        <v>387</v>
      </c>
      <c r="AA307" s="56" t="s">
        <v>388</v>
      </c>
      <c r="AB307" s="56" t="s">
        <v>300</v>
      </c>
      <c r="AC307" s="56" t="s">
        <v>305</v>
      </c>
      <c r="AD307" s="56" t="s">
        <v>300</v>
      </c>
      <c r="AE307" s="57">
        <v>45740</v>
      </c>
      <c r="AF307" s="57"/>
      <c r="AG307" s="56" t="s">
        <v>305</v>
      </c>
      <c r="AH307" s="74" cm="1">
        <f t="array" ref="AH307:AI307">VLOOKUP(M307,'Customer data Vlookup'!$B$3:$H$127,{2,3},0)</f>
        <v>15765.444000000001</v>
      </c>
      <c r="AI307" s="74">
        <v>315</v>
      </c>
      <c r="AJ307" s="74">
        <f t="shared" si="21"/>
        <v>15450.444000000001</v>
      </c>
      <c r="AK307" s="63">
        <f t="shared" si="22"/>
        <v>-4.0000000008149073E-3</v>
      </c>
      <c r="AL307" s="62">
        <f t="shared" si="23"/>
        <v>1.9980412852416425E-2</v>
      </c>
      <c r="AO307" t="str">
        <f>VLOOKUP(M307,'Customer data'!F:P,11,0)</f>
        <v>Not Approved</v>
      </c>
    </row>
    <row r="308" spans="1:41" hidden="1">
      <c r="A308" s="56" t="s">
        <v>326</v>
      </c>
      <c r="B308" s="56" t="s">
        <v>299</v>
      </c>
      <c r="C308" s="56" t="s">
        <v>300</v>
      </c>
      <c r="D308" s="56" t="s">
        <v>301</v>
      </c>
      <c r="E308" s="56" t="s">
        <v>302</v>
      </c>
      <c r="F308" s="56" t="s">
        <v>312</v>
      </c>
      <c r="G308" s="57">
        <v>45733</v>
      </c>
      <c r="H308" s="58">
        <v>7000000181</v>
      </c>
      <c r="I308" s="56" t="s">
        <v>340</v>
      </c>
      <c r="J308" s="57">
        <v>45733</v>
      </c>
      <c r="K308" s="57">
        <v>45733</v>
      </c>
      <c r="L308" s="56" t="s">
        <v>341</v>
      </c>
      <c r="M308" s="64" t="s">
        <v>53</v>
      </c>
      <c r="N308" s="56" t="s">
        <v>306</v>
      </c>
      <c r="O308" s="56" t="s">
        <v>307</v>
      </c>
      <c r="P308" s="56" t="s">
        <v>305</v>
      </c>
      <c r="Q308" s="56" t="s">
        <v>337</v>
      </c>
      <c r="R308" s="186" t="s">
        <v>309</v>
      </c>
      <c r="S308" s="164">
        <v>66198.05</v>
      </c>
      <c r="T308" s="187" t="s">
        <v>309</v>
      </c>
      <c r="U308" s="164">
        <v>66198.05</v>
      </c>
      <c r="V308" s="56" t="s">
        <v>342</v>
      </c>
      <c r="W308" s="56" t="s">
        <v>310</v>
      </c>
      <c r="X308" s="56" t="s">
        <v>305</v>
      </c>
      <c r="Y308" s="56" t="s">
        <v>341</v>
      </c>
      <c r="Z308" s="56" t="s">
        <v>389</v>
      </c>
      <c r="AA308" s="56" t="s">
        <v>390</v>
      </c>
      <c r="AB308" s="56" t="s">
        <v>300</v>
      </c>
      <c r="AC308" s="56" t="s">
        <v>305</v>
      </c>
      <c r="AD308" s="56" t="s">
        <v>300</v>
      </c>
      <c r="AE308" s="57">
        <v>45740</v>
      </c>
      <c r="AF308" s="57"/>
      <c r="AG308" s="56" t="s">
        <v>305</v>
      </c>
      <c r="AH308" s="74" cm="1">
        <f t="array" ref="AH308:AI308">VLOOKUP(M308,'Customer data Vlookup'!$B$3:$H$127,{2,3},0)</f>
        <v>66198.048326400007</v>
      </c>
      <c r="AI308" s="74">
        <v>1324</v>
      </c>
      <c r="AJ308" s="74">
        <f t="shared" si="21"/>
        <v>64874.048326400007</v>
      </c>
      <c r="AK308" s="63">
        <f t="shared" si="22"/>
        <v>1.6735999961383641E-3</v>
      </c>
      <c r="AL308" s="62">
        <f t="shared" si="23"/>
        <v>2.0000589141220926E-2</v>
      </c>
      <c r="AO308" t="str">
        <f>VLOOKUP(M308,'Customer data'!F:P,11,0)</f>
        <v>Not Approved</v>
      </c>
    </row>
    <row r="309" spans="1:41" hidden="1">
      <c r="A309" s="56" t="s">
        <v>326</v>
      </c>
      <c r="B309" s="56" t="s">
        <v>299</v>
      </c>
      <c r="C309" s="56" t="s">
        <v>300</v>
      </c>
      <c r="D309" s="56" t="s">
        <v>301</v>
      </c>
      <c r="E309" s="56" t="s">
        <v>302</v>
      </c>
      <c r="F309" s="56" t="s">
        <v>318</v>
      </c>
      <c r="G309" s="57">
        <v>45733</v>
      </c>
      <c r="H309" s="58">
        <v>7000000181</v>
      </c>
      <c r="I309" s="56" t="s">
        <v>340</v>
      </c>
      <c r="J309" s="57">
        <v>45733</v>
      </c>
      <c r="K309" s="57">
        <v>45733</v>
      </c>
      <c r="L309" s="56" t="s">
        <v>341</v>
      </c>
      <c r="M309" s="64" t="s">
        <v>84</v>
      </c>
      <c r="N309" s="56" t="s">
        <v>306</v>
      </c>
      <c r="O309" s="56" t="s">
        <v>307</v>
      </c>
      <c r="P309" s="56" t="s">
        <v>305</v>
      </c>
      <c r="Q309" s="56" t="s">
        <v>337</v>
      </c>
      <c r="R309" s="186" t="s">
        <v>309</v>
      </c>
      <c r="S309" s="164">
        <v>22153.25</v>
      </c>
      <c r="T309" s="187" t="s">
        <v>309</v>
      </c>
      <c r="U309" s="164">
        <v>22153.25</v>
      </c>
      <c r="V309" s="56" t="s">
        <v>342</v>
      </c>
      <c r="W309" s="56" t="s">
        <v>310</v>
      </c>
      <c r="X309" s="56" t="s">
        <v>305</v>
      </c>
      <c r="Y309" s="56" t="s">
        <v>341</v>
      </c>
      <c r="Z309" s="56" t="s">
        <v>391</v>
      </c>
      <c r="AA309" s="56" t="s">
        <v>392</v>
      </c>
      <c r="AB309" s="56" t="s">
        <v>300</v>
      </c>
      <c r="AC309" s="56" t="s">
        <v>305</v>
      </c>
      <c r="AD309" s="56" t="s">
        <v>300</v>
      </c>
      <c r="AE309" s="57">
        <v>45740</v>
      </c>
      <c r="AF309" s="57"/>
      <c r="AG309" s="56" t="s">
        <v>305</v>
      </c>
      <c r="AH309" s="74" cm="1">
        <f t="array" ref="AH309:AI309">VLOOKUP(M309,'Customer data Vlookup'!$B$3:$H$127,{2,3},0)</f>
        <v>22153.2515656</v>
      </c>
      <c r="AI309" s="74">
        <v>443</v>
      </c>
      <c r="AJ309" s="74">
        <f t="shared" si="21"/>
        <v>21710.2515656</v>
      </c>
      <c r="AK309" s="63">
        <f t="shared" si="22"/>
        <v>-1.5655999995942693E-3</v>
      </c>
      <c r="AL309" s="62">
        <f t="shared" si="23"/>
        <v>1.9997065893266226E-2</v>
      </c>
      <c r="AO309" t="str">
        <f>VLOOKUP(M309,'Customer data'!F:P,11,0)</f>
        <v>Not Approved</v>
      </c>
    </row>
    <row r="310" spans="1:41" hidden="1">
      <c r="A310" s="56" t="s">
        <v>326</v>
      </c>
      <c r="B310" s="56" t="s">
        <v>299</v>
      </c>
      <c r="C310" s="56" t="s">
        <v>300</v>
      </c>
      <c r="D310" s="56" t="s">
        <v>301</v>
      </c>
      <c r="E310" s="56" t="s">
        <v>302</v>
      </c>
      <c r="F310" s="56" t="s">
        <v>312</v>
      </c>
      <c r="G310" s="57">
        <v>45733</v>
      </c>
      <c r="H310" s="58">
        <v>7000000181</v>
      </c>
      <c r="I310" s="56" t="s">
        <v>340</v>
      </c>
      <c r="J310" s="57">
        <v>45733</v>
      </c>
      <c r="K310" s="57">
        <v>45733</v>
      </c>
      <c r="L310" s="56" t="s">
        <v>341</v>
      </c>
      <c r="M310" s="64" t="s">
        <v>86</v>
      </c>
      <c r="N310" s="56" t="s">
        <v>306</v>
      </c>
      <c r="O310" s="56" t="s">
        <v>307</v>
      </c>
      <c r="P310" s="56" t="s">
        <v>305</v>
      </c>
      <c r="Q310" s="56" t="s">
        <v>337</v>
      </c>
      <c r="R310" s="186" t="s">
        <v>309</v>
      </c>
      <c r="S310" s="164">
        <v>2801.87</v>
      </c>
      <c r="T310" s="187" t="s">
        <v>309</v>
      </c>
      <c r="U310" s="164">
        <v>2801.87</v>
      </c>
      <c r="V310" s="56" t="s">
        <v>342</v>
      </c>
      <c r="W310" s="56" t="s">
        <v>310</v>
      </c>
      <c r="X310" s="56" t="s">
        <v>305</v>
      </c>
      <c r="Y310" s="56" t="s">
        <v>341</v>
      </c>
      <c r="Z310" s="56" t="s">
        <v>393</v>
      </c>
      <c r="AA310" s="56" t="s">
        <v>394</v>
      </c>
      <c r="AB310" s="56" t="s">
        <v>300</v>
      </c>
      <c r="AC310" s="56" t="s">
        <v>305</v>
      </c>
      <c r="AD310" s="56" t="s">
        <v>300</v>
      </c>
      <c r="AE310" s="57">
        <v>45740</v>
      </c>
      <c r="AF310" s="57"/>
      <c r="AG310" s="56" t="s">
        <v>305</v>
      </c>
      <c r="AH310" s="74" cm="1">
        <f t="array" ref="AH310:AI310">VLOOKUP(M310,'Customer data Vlookup'!$B$3:$H$127,{2,3},0)</f>
        <v>2801.8697419999999</v>
      </c>
      <c r="AI310" s="74">
        <v>56</v>
      </c>
      <c r="AJ310" s="74">
        <f t="shared" si="21"/>
        <v>2745.8697419999999</v>
      </c>
      <c r="AK310" s="63">
        <f t="shared" si="22"/>
        <v>2.5800000003073364E-4</v>
      </c>
      <c r="AL310" s="62">
        <f t="shared" si="23"/>
        <v>1.9986651771852371E-2</v>
      </c>
      <c r="AO310" t="str">
        <f>VLOOKUP(M310,'Customer data'!F:P,11,0)</f>
        <v>Not Approved</v>
      </c>
    </row>
    <row r="311" spans="1:41" hidden="1">
      <c r="A311" s="56" t="s">
        <v>326</v>
      </c>
      <c r="B311" s="56" t="s">
        <v>299</v>
      </c>
      <c r="C311" s="56" t="s">
        <v>300</v>
      </c>
      <c r="D311" s="56" t="s">
        <v>301</v>
      </c>
      <c r="E311" s="56" t="s">
        <v>302</v>
      </c>
      <c r="F311" s="56" t="s">
        <v>312</v>
      </c>
      <c r="G311" s="57">
        <v>45733</v>
      </c>
      <c r="H311" s="58">
        <v>7000000181</v>
      </c>
      <c r="I311" s="56" t="s">
        <v>340</v>
      </c>
      <c r="J311" s="57">
        <v>45733</v>
      </c>
      <c r="K311" s="57">
        <v>45733</v>
      </c>
      <c r="L311" s="56" t="s">
        <v>341</v>
      </c>
      <c r="M311" s="64" t="s">
        <v>87</v>
      </c>
      <c r="N311" s="56" t="s">
        <v>306</v>
      </c>
      <c r="O311" s="56" t="s">
        <v>307</v>
      </c>
      <c r="P311" s="56" t="s">
        <v>305</v>
      </c>
      <c r="Q311" s="56" t="s">
        <v>337</v>
      </c>
      <c r="R311" s="186" t="s">
        <v>309</v>
      </c>
      <c r="S311" s="164">
        <v>11351.12</v>
      </c>
      <c r="T311" s="187" t="s">
        <v>309</v>
      </c>
      <c r="U311" s="164">
        <v>11351.12</v>
      </c>
      <c r="V311" s="56" t="s">
        <v>342</v>
      </c>
      <c r="W311" s="56" t="s">
        <v>310</v>
      </c>
      <c r="X311" s="56" t="s">
        <v>305</v>
      </c>
      <c r="Y311" s="56" t="s">
        <v>341</v>
      </c>
      <c r="Z311" s="56" t="s">
        <v>395</v>
      </c>
      <c r="AA311" s="56" t="s">
        <v>396</v>
      </c>
      <c r="AB311" s="56" t="s">
        <v>300</v>
      </c>
      <c r="AC311" s="56" t="s">
        <v>305</v>
      </c>
      <c r="AD311" s="56" t="s">
        <v>300</v>
      </c>
      <c r="AE311" s="57">
        <v>45740</v>
      </c>
      <c r="AF311" s="57"/>
      <c r="AG311" s="56" t="s">
        <v>305</v>
      </c>
      <c r="AH311" s="74" cm="1">
        <f t="array" ref="AH311:AI311">VLOOKUP(M311,'Customer data Vlookup'!$B$3:$H$127,{2,3},0)</f>
        <v>11351.119680000003</v>
      </c>
      <c r="AI311" s="74">
        <v>227</v>
      </c>
      <c r="AJ311" s="74">
        <f t="shared" si="21"/>
        <v>11124.119680000003</v>
      </c>
      <c r="AK311" s="63">
        <f t="shared" si="22"/>
        <v>3.1999999737308826E-4</v>
      </c>
      <c r="AL311" s="62">
        <f t="shared" si="23"/>
        <v>1.9998026626447434E-2</v>
      </c>
      <c r="AO311" t="str">
        <f>VLOOKUP(M311,'Customer data'!F:P,11,0)</f>
        <v>Not Approved</v>
      </c>
    </row>
    <row r="312" spans="1:41" hidden="1">
      <c r="A312" s="56" t="s">
        <v>298</v>
      </c>
      <c r="B312" s="56" t="s">
        <v>299</v>
      </c>
      <c r="C312" s="56" t="s">
        <v>300</v>
      </c>
      <c r="D312" s="56" t="s">
        <v>301</v>
      </c>
      <c r="E312" s="56" t="s">
        <v>302</v>
      </c>
      <c r="F312" s="56" t="s">
        <v>327</v>
      </c>
      <c r="G312" s="57">
        <v>45733</v>
      </c>
      <c r="H312" s="58">
        <v>7000000181</v>
      </c>
      <c r="I312" s="56" t="s">
        <v>340</v>
      </c>
      <c r="J312" s="57">
        <v>45733</v>
      </c>
      <c r="K312" s="57">
        <v>45733</v>
      </c>
      <c r="L312" s="56" t="s">
        <v>341</v>
      </c>
      <c r="M312" s="64" t="s">
        <v>88</v>
      </c>
      <c r="N312" s="56" t="s">
        <v>306</v>
      </c>
      <c r="O312" s="56" t="s">
        <v>307</v>
      </c>
      <c r="P312" s="56" t="s">
        <v>305</v>
      </c>
      <c r="Q312" s="56" t="s">
        <v>337</v>
      </c>
      <c r="R312" s="186" t="s">
        <v>309</v>
      </c>
      <c r="S312" s="164">
        <v>5603.74</v>
      </c>
      <c r="T312" s="187" t="s">
        <v>309</v>
      </c>
      <c r="U312" s="164">
        <v>5603.74</v>
      </c>
      <c r="V312" s="56" t="s">
        <v>342</v>
      </c>
      <c r="W312" s="56" t="s">
        <v>310</v>
      </c>
      <c r="X312" s="56" t="s">
        <v>305</v>
      </c>
      <c r="Y312" s="56" t="s">
        <v>341</v>
      </c>
      <c r="Z312" s="56" t="s">
        <v>397</v>
      </c>
      <c r="AA312" s="56" t="s">
        <v>398</v>
      </c>
      <c r="AB312" s="56" t="s">
        <v>300</v>
      </c>
      <c r="AC312" s="56" t="s">
        <v>305</v>
      </c>
      <c r="AD312" s="56" t="s">
        <v>300</v>
      </c>
      <c r="AE312" s="57">
        <v>45740</v>
      </c>
      <c r="AF312" s="57"/>
      <c r="AG312" s="56" t="s">
        <v>305</v>
      </c>
      <c r="AH312" s="74" cm="1">
        <f t="array" ref="AH312:AI312">VLOOKUP(M312,'Customer data Vlookup'!$B$3:$H$127,{2,3},0)</f>
        <v>5603.7394839999997</v>
      </c>
      <c r="AI312" s="74">
        <v>112</v>
      </c>
      <c r="AJ312" s="74">
        <f t="shared" si="21"/>
        <v>5491.7394839999997</v>
      </c>
      <c r="AK312" s="63">
        <f t="shared" si="22"/>
        <v>5.1600000006146729E-4</v>
      </c>
      <c r="AL312" s="62">
        <f t="shared" si="23"/>
        <v>1.9986651771852371E-2</v>
      </c>
      <c r="AO312" t="str">
        <f>VLOOKUP(M312,'Customer data'!F:P,11,0)</f>
        <v>Not Approved</v>
      </c>
    </row>
    <row r="313" spans="1:41" hidden="1">
      <c r="A313" s="56" t="s">
        <v>298</v>
      </c>
      <c r="B313" s="56" t="s">
        <v>299</v>
      </c>
      <c r="C313" s="56" t="s">
        <v>300</v>
      </c>
      <c r="D313" s="56" t="s">
        <v>301</v>
      </c>
      <c r="E313" s="56" t="s">
        <v>302</v>
      </c>
      <c r="F313" s="56" t="s">
        <v>327</v>
      </c>
      <c r="G313" s="57">
        <v>45733</v>
      </c>
      <c r="H313" s="58">
        <v>7000000181</v>
      </c>
      <c r="I313" s="56" t="s">
        <v>340</v>
      </c>
      <c r="J313" s="57">
        <v>45733</v>
      </c>
      <c r="K313" s="57">
        <v>45733</v>
      </c>
      <c r="L313" s="56" t="s">
        <v>341</v>
      </c>
      <c r="M313" s="64" t="s">
        <v>90</v>
      </c>
      <c r="N313" s="56" t="s">
        <v>306</v>
      </c>
      <c r="O313" s="56" t="s">
        <v>307</v>
      </c>
      <c r="P313" s="56" t="s">
        <v>305</v>
      </c>
      <c r="Q313" s="56" t="s">
        <v>337</v>
      </c>
      <c r="R313" s="186" t="s">
        <v>309</v>
      </c>
      <c r="S313" s="164">
        <v>2801.87</v>
      </c>
      <c r="T313" s="187" t="s">
        <v>309</v>
      </c>
      <c r="U313" s="164">
        <v>2801.87</v>
      </c>
      <c r="V313" s="56" t="s">
        <v>342</v>
      </c>
      <c r="W313" s="56" t="s">
        <v>310</v>
      </c>
      <c r="X313" s="56" t="s">
        <v>305</v>
      </c>
      <c r="Y313" s="56" t="s">
        <v>341</v>
      </c>
      <c r="Z313" s="56" t="s">
        <v>399</v>
      </c>
      <c r="AA313" s="56" t="s">
        <v>400</v>
      </c>
      <c r="AB313" s="56" t="s">
        <v>300</v>
      </c>
      <c r="AC313" s="56" t="s">
        <v>305</v>
      </c>
      <c r="AD313" s="56" t="s">
        <v>300</v>
      </c>
      <c r="AE313" s="57">
        <v>45740</v>
      </c>
      <c r="AF313" s="57"/>
      <c r="AG313" s="56" t="s">
        <v>305</v>
      </c>
      <c r="AH313" s="74" cm="1">
        <f t="array" ref="AH313:AI313">VLOOKUP(M313,'Customer data Vlookup'!$B$3:$H$127,{2,3},0)</f>
        <v>2801.8697419999999</v>
      </c>
      <c r="AI313" s="74">
        <v>56</v>
      </c>
      <c r="AJ313" s="74">
        <f t="shared" si="21"/>
        <v>2745.8697419999999</v>
      </c>
      <c r="AK313" s="63">
        <f t="shared" si="22"/>
        <v>2.5800000003073364E-4</v>
      </c>
      <c r="AL313" s="62">
        <f t="shared" si="23"/>
        <v>1.9986651771852371E-2</v>
      </c>
      <c r="AO313" t="str">
        <f>VLOOKUP(M313,'Customer data'!F:P,11,0)</f>
        <v>Not Approved</v>
      </c>
    </row>
    <row r="314" spans="1:41" hidden="1">
      <c r="A314" s="56" t="s">
        <v>298</v>
      </c>
      <c r="B314" s="56" t="s">
        <v>299</v>
      </c>
      <c r="C314" s="56" t="s">
        <v>300</v>
      </c>
      <c r="D314" s="56" t="s">
        <v>301</v>
      </c>
      <c r="E314" s="56" t="s">
        <v>302</v>
      </c>
      <c r="F314" s="56" t="s">
        <v>327</v>
      </c>
      <c r="G314" s="57">
        <v>45733</v>
      </c>
      <c r="H314" s="58">
        <v>7000000181</v>
      </c>
      <c r="I314" s="56" t="s">
        <v>340</v>
      </c>
      <c r="J314" s="57">
        <v>45733</v>
      </c>
      <c r="K314" s="57">
        <v>45733</v>
      </c>
      <c r="L314" s="56" t="s">
        <v>341</v>
      </c>
      <c r="M314" s="64" t="s">
        <v>29</v>
      </c>
      <c r="N314" s="56" t="s">
        <v>306</v>
      </c>
      <c r="O314" s="56" t="s">
        <v>307</v>
      </c>
      <c r="P314" s="56" t="s">
        <v>305</v>
      </c>
      <c r="Q314" s="56" t="s">
        <v>337</v>
      </c>
      <c r="R314" s="186" t="s">
        <v>309</v>
      </c>
      <c r="S314" s="164">
        <v>41373.78</v>
      </c>
      <c r="T314" s="187" t="s">
        <v>309</v>
      </c>
      <c r="U314" s="164">
        <v>41373.78</v>
      </c>
      <c r="V314" s="56" t="s">
        <v>342</v>
      </c>
      <c r="W314" s="56" t="s">
        <v>310</v>
      </c>
      <c r="X314" s="56" t="s">
        <v>305</v>
      </c>
      <c r="Y314" s="56" t="s">
        <v>341</v>
      </c>
      <c r="Z314" s="56" t="s">
        <v>401</v>
      </c>
      <c r="AA314" s="56" t="s">
        <v>402</v>
      </c>
      <c r="AB314" s="56" t="s">
        <v>300</v>
      </c>
      <c r="AC314" s="56" t="s">
        <v>305</v>
      </c>
      <c r="AD314" s="56" t="s">
        <v>300</v>
      </c>
      <c r="AE314" s="57">
        <v>45740</v>
      </c>
      <c r="AF314" s="57"/>
      <c r="AG314" s="56" t="s">
        <v>305</v>
      </c>
      <c r="AH314" s="74" cm="1">
        <f t="array" ref="AH314:AI314">VLOOKUP(M314,'Customer data Vlookup'!$B$3:$H$127,{2,3},0)</f>
        <v>41373.780204000002</v>
      </c>
      <c r="AI314" s="74">
        <v>827</v>
      </c>
      <c r="AJ314" s="74">
        <f t="shared" si="21"/>
        <v>40546.780204000002</v>
      </c>
      <c r="AK314" s="63">
        <f t="shared" si="22"/>
        <v>-2.0400000357767567E-4</v>
      </c>
      <c r="AL314" s="62">
        <f t="shared" si="23"/>
        <v>1.9988504796999453E-2</v>
      </c>
      <c r="AO314" t="str">
        <f>VLOOKUP(M314,'Customer data'!F:P,11,0)</f>
        <v>Not Approved</v>
      </c>
    </row>
    <row r="315" spans="1:41" hidden="1">
      <c r="A315" s="56" t="s">
        <v>326</v>
      </c>
      <c r="B315" s="56" t="s">
        <v>299</v>
      </c>
      <c r="C315" s="56" t="s">
        <v>300</v>
      </c>
      <c r="D315" s="56" t="s">
        <v>301</v>
      </c>
      <c r="E315" s="56" t="s">
        <v>302</v>
      </c>
      <c r="F315" s="56" t="s">
        <v>321</v>
      </c>
      <c r="G315" s="57">
        <v>45733</v>
      </c>
      <c r="H315" s="58">
        <v>7000000181</v>
      </c>
      <c r="I315" s="56" t="s">
        <v>340</v>
      </c>
      <c r="J315" s="57">
        <v>45733</v>
      </c>
      <c r="K315" s="57">
        <v>45733</v>
      </c>
      <c r="L315" s="56" t="s">
        <v>341</v>
      </c>
      <c r="M315" s="64" t="s">
        <v>27</v>
      </c>
      <c r="N315" s="56" t="s">
        <v>306</v>
      </c>
      <c r="O315" s="56" t="s">
        <v>307</v>
      </c>
      <c r="P315" s="56" t="s">
        <v>305</v>
      </c>
      <c r="Q315" s="56" t="s">
        <v>337</v>
      </c>
      <c r="R315" s="186" t="s">
        <v>309</v>
      </c>
      <c r="S315" s="164">
        <v>37837.07</v>
      </c>
      <c r="T315" s="187" t="s">
        <v>309</v>
      </c>
      <c r="U315" s="164">
        <v>37837.07</v>
      </c>
      <c r="V315" s="56" t="s">
        <v>342</v>
      </c>
      <c r="W315" s="56" t="s">
        <v>310</v>
      </c>
      <c r="X315" s="56" t="s">
        <v>305</v>
      </c>
      <c r="Y315" s="56" t="s">
        <v>341</v>
      </c>
      <c r="Z315" s="56" t="s">
        <v>403</v>
      </c>
      <c r="AA315" s="56" t="s">
        <v>404</v>
      </c>
      <c r="AB315" s="56" t="s">
        <v>300</v>
      </c>
      <c r="AC315" s="56" t="s">
        <v>305</v>
      </c>
      <c r="AD315" s="56" t="s">
        <v>300</v>
      </c>
      <c r="AE315" s="57">
        <v>45740</v>
      </c>
      <c r="AF315" s="57"/>
      <c r="AG315" s="56" t="s">
        <v>305</v>
      </c>
      <c r="AH315" s="74" cm="1">
        <f t="array" ref="AH315:AI315">VLOOKUP(M315,'Customer data Vlookup'!$B$3:$H$127,{2,3},0)</f>
        <v>37837.065600000002</v>
      </c>
      <c r="AI315" s="74">
        <v>757</v>
      </c>
      <c r="AJ315" s="74">
        <f t="shared" si="21"/>
        <v>37080.065600000002</v>
      </c>
      <c r="AK315" s="63">
        <f t="shared" si="22"/>
        <v>4.3999999979860149E-3</v>
      </c>
      <c r="AL315" s="62">
        <f t="shared" si="23"/>
        <v>2.0006834567264327E-2</v>
      </c>
      <c r="AO315" t="str">
        <f>VLOOKUP(M315,'Customer data'!F:P,11,0)</f>
        <v>Not Approved</v>
      </c>
    </row>
    <row r="316" spans="1:41" hidden="1">
      <c r="A316" s="56" t="s">
        <v>298</v>
      </c>
      <c r="B316" s="56" t="s">
        <v>299</v>
      </c>
      <c r="C316" s="56" t="s">
        <v>300</v>
      </c>
      <c r="D316" s="56" t="s">
        <v>301</v>
      </c>
      <c r="E316" s="56" t="s">
        <v>302</v>
      </c>
      <c r="F316" s="56" t="s">
        <v>321</v>
      </c>
      <c r="G316" s="57">
        <v>45733</v>
      </c>
      <c r="H316" s="58">
        <v>7000000181</v>
      </c>
      <c r="I316" s="56" t="s">
        <v>340</v>
      </c>
      <c r="J316" s="57">
        <v>45733</v>
      </c>
      <c r="K316" s="57">
        <v>45733</v>
      </c>
      <c r="L316" s="56" t="s">
        <v>341</v>
      </c>
      <c r="M316" s="64" t="s">
        <v>58</v>
      </c>
      <c r="N316" s="56" t="s">
        <v>306</v>
      </c>
      <c r="O316" s="56" t="s">
        <v>307</v>
      </c>
      <c r="P316" s="56" t="s">
        <v>305</v>
      </c>
      <c r="Q316" s="56" t="s">
        <v>337</v>
      </c>
      <c r="R316" s="186" t="s">
        <v>309</v>
      </c>
      <c r="S316" s="164">
        <v>14188.9</v>
      </c>
      <c r="T316" s="187" t="s">
        <v>309</v>
      </c>
      <c r="U316" s="164">
        <v>14188.9</v>
      </c>
      <c r="V316" s="56" t="s">
        <v>342</v>
      </c>
      <c r="W316" s="56" t="s">
        <v>310</v>
      </c>
      <c r="X316" s="56" t="s">
        <v>305</v>
      </c>
      <c r="Y316" s="56" t="s">
        <v>341</v>
      </c>
      <c r="Z316" s="56" t="s">
        <v>405</v>
      </c>
      <c r="AA316" s="56" t="s">
        <v>406</v>
      </c>
      <c r="AB316" s="56" t="s">
        <v>300</v>
      </c>
      <c r="AC316" s="56" t="s">
        <v>305</v>
      </c>
      <c r="AD316" s="56" t="s">
        <v>300</v>
      </c>
      <c r="AE316" s="57">
        <v>45740</v>
      </c>
      <c r="AF316" s="57"/>
      <c r="AG316" s="56" t="s">
        <v>305</v>
      </c>
      <c r="AH316" s="74" cm="1">
        <f t="array" ref="AH316:AI316">VLOOKUP(M316,'Customer data Vlookup'!$B$3:$H$127,{2,3},0)</f>
        <v>14188.899600000001</v>
      </c>
      <c r="AI316" s="74">
        <v>284</v>
      </c>
      <c r="AJ316" s="74">
        <f t="shared" si="21"/>
        <v>13904.899600000001</v>
      </c>
      <c r="AK316" s="63">
        <f t="shared" si="22"/>
        <v>3.9999999899009708E-4</v>
      </c>
      <c r="AL316" s="62">
        <f t="shared" si="23"/>
        <v>2.0015646033166773E-2</v>
      </c>
      <c r="AO316" t="str">
        <f>VLOOKUP(M316,'Customer data'!F:P,11,0)</f>
        <v>Not Approved</v>
      </c>
    </row>
    <row r="317" spans="1:41" hidden="1">
      <c r="A317" s="56" t="s">
        <v>326</v>
      </c>
      <c r="B317" s="56" t="s">
        <v>299</v>
      </c>
      <c r="C317" s="56" t="s">
        <v>300</v>
      </c>
      <c r="D317" s="56" t="s">
        <v>301</v>
      </c>
      <c r="E317" s="56" t="s">
        <v>302</v>
      </c>
      <c r="F317" s="56" t="s">
        <v>435</v>
      </c>
      <c r="G317" s="57">
        <v>45733</v>
      </c>
      <c r="H317" s="58">
        <v>7000000181</v>
      </c>
      <c r="I317" s="56" t="s">
        <v>340</v>
      </c>
      <c r="J317" s="57">
        <v>45733</v>
      </c>
      <c r="K317" s="57">
        <v>45733</v>
      </c>
      <c r="L317" s="56" t="s">
        <v>341</v>
      </c>
      <c r="M317" s="64" t="s">
        <v>59</v>
      </c>
      <c r="N317" s="56" t="s">
        <v>306</v>
      </c>
      <c r="O317" s="56" t="s">
        <v>307</v>
      </c>
      <c r="P317" s="56" t="s">
        <v>305</v>
      </c>
      <c r="Q317" s="56" t="s">
        <v>337</v>
      </c>
      <c r="R317" s="186" t="s">
        <v>309</v>
      </c>
      <c r="S317" s="164">
        <v>49648.54</v>
      </c>
      <c r="T317" s="187" t="s">
        <v>309</v>
      </c>
      <c r="U317" s="164">
        <v>49648.54</v>
      </c>
      <c r="V317" s="56" t="s">
        <v>342</v>
      </c>
      <c r="W317" s="56" t="s">
        <v>310</v>
      </c>
      <c r="X317" s="56" t="s">
        <v>305</v>
      </c>
      <c r="Y317" s="56" t="s">
        <v>341</v>
      </c>
      <c r="Z317" s="56" t="s">
        <v>407</v>
      </c>
      <c r="AA317" s="56" t="s">
        <v>408</v>
      </c>
      <c r="AB317" s="56" t="s">
        <v>300</v>
      </c>
      <c r="AC317" s="56" t="s">
        <v>305</v>
      </c>
      <c r="AD317" s="56" t="s">
        <v>300</v>
      </c>
      <c r="AE317" s="57">
        <v>45740</v>
      </c>
      <c r="AF317" s="57"/>
      <c r="AG317" s="56" t="s">
        <v>305</v>
      </c>
      <c r="AH317" s="74" cm="1">
        <f t="array" ref="AH317:AI317">VLOOKUP(M317,'Customer data Vlookup'!$B$3:$H$127,{2,3},0)</f>
        <v>49648.536244800001</v>
      </c>
      <c r="AI317" s="74">
        <v>993</v>
      </c>
      <c r="AJ317" s="74">
        <f t="shared" si="21"/>
        <v>48655.536244800001</v>
      </c>
      <c r="AK317" s="63">
        <f t="shared" si="22"/>
        <v>3.7551999994320795E-3</v>
      </c>
      <c r="AL317" s="62">
        <f t="shared" si="23"/>
        <v>2.0000588134112301E-2</v>
      </c>
      <c r="AO317" t="str">
        <f>VLOOKUP(M317,'Customer data'!F:P,11,0)</f>
        <v>Not Approved</v>
      </c>
    </row>
    <row r="318" spans="1:41" hidden="1">
      <c r="A318" s="56" t="s">
        <v>298</v>
      </c>
      <c r="B318" s="56" t="s">
        <v>299</v>
      </c>
      <c r="C318" s="56" t="s">
        <v>300</v>
      </c>
      <c r="D318" s="56" t="s">
        <v>301</v>
      </c>
      <c r="E318" s="56" t="s">
        <v>302</v>
      </c>
      <c r="F318" s="56" t="s">
        <v>322</v>
      </c>
      <c r="G318" s="57">
        <v>45733</v>
      </c>
      <c r="H318" s="58">
        <v>7000000181</v>
      </c>
      <c r="I318" s="56" t="s">
        <v>340</v>
      </c>
      <c r="J318" s="57">
        <v>45733</v>
      </c>
      <c r="K318" s="57">
        <v>45733</v>
      </c>
      <c r="L318" s="56" t="s">
        <v>341</v>
      </c>
      <c r="M318" s="64" t="s">
        <v>60</v>
      </c>
      <c r="N318" s="56" t="s">
        <v>306</v>
      </c>
      <c r="O318" s="56" t="s">
        <v>307</v>
      </c>
      <c r="P318" s="56" t="s">
        <v>305</v>
      </c>
      <c r="Q318" s="56" t="s">
        <v>337</v>
      </c>
      <c r="R318" s="186" t="s">
        <v>309</v>
      </c>
      <c r="S318" s="164">
        <v>22702.240000000002</v>
      </c>
      <c r="T318" s="187" t="s">
        <v>309</v>
      </c>
      <c r="U318" s="164">
        <v>22702.240000000002</v>
      </c>
      <c r="V318" s="56" t="s">
        <v>342</v>
      </c>
      <c r="W318" s="56" t="s">
        <v>310</v>
      </c>
      <c r="X318" s="56" t="s">
        <v>305</v>
      </c>
      <c r="Y318" s="56" t="s">
        <v>341</v>
      </c>
      <c r="Z318" s="56" t="s">
        <v>409</v>
      </c>
      <c r="AA318" s="56" t="s">
        <v>410</v>
      </c>
      <c r="AB318" s="56" t="s">
        <v>300</v>
      </c>
      <c r="AC318" s="56" t="s">
        <v>305</v>
      </c>
      <c r="AD318" s="56" t="s">
        <v>300</v>
      </c>
      <c r="AE318" s="57">
        <v>45740</v>
      </c>
      <c r="AF318" s="57"/>
      <c r="AG318" s="56" t="s">
        <v>305</v>
      </c>
      <c r="AH318" s="74" cm="1">
        <f t="array" ref="AH318:AI318">VLOOKUP(M318,'Customer data Vlookup'!$B$3:$H$127,{2,3},0)</f>
        <v>22702.23936</v>
      </c>
      <c r="AI318" s="74">
        <v>454</v>
      </c>
      <c r="AJ318" s="74">
        <f t="shared" si="21"/>
        <v>22248.23936</v>
      </c>
      <c r="AK318" s="63">
        <f t="shared" si="22"/>
        <v>6.4000000202213414E-4</v>
      </c>
      <c r="AL318" s="62">
        <f t="shared" si="23"/>
        <v>1.9998026626447434E-2</v>
      </c>
      <c r="AO318" t="str">
        <f>VLOOKUP(M318,'Customer data'!F:P,11,0)</f>
        <v>Not Approved</v>
      </c>
    </row>
    <row r="319" spans="1:41" hidden="1">
      <c r="A319" s="56" t="s">
        <v>298</v>
      </c>
      <c r="B319" s="56" t="s">
        <v>299</v>
      </c>
      <c r="C319" s="56" t="s">
        <v>300</v>
      </c>
      <c r="D319" s="56" t="s">
        <v>301</v>
      </c>
      <c r="E319" s="56" t="s">
        <v>302</v>
      </c>
      <c r="F319" s="56" t="s">
        <v>303</v>
      </c>
      <c r="G319" s="57">
        <v>45730</v>
      </c>
      <c r="H319" s="58">
        <v>1800001705</v>
      </c>
      <c r="I319" s="56" t="s">
        <v>417</v>
      </c>
      <c r="J319" s="57">
        <v>45730</v>
      </c>
      <c r="K319" s="57">
        <v>45733</v>
      </c>
      <c r="L319" s="56" t="s">
        <v>332</v>
      </c>
      <c r="M319" s="60">
        <v>246779411370</v>
      </c>
      <c r="N319" s="56" t="s">
        <v>306</v>
      </c>
      <c r="O319" s="56" t="s">
        <v>307</v>
      </c>
      <c r="P319" s="56" t="s">
        <v>305</v>
      </c>
      <c r="Q319" s="56" t="s">
        <v>337</v>
      </c>
      <c r="R319" s="186" t="s">
        <v>333</v>
      </c>
      <c r="S319" s="164">
        <v>26.23</v>
      </c>
      <c r="T319" s="187" t="s">
        <v>309</v>
      </c>
      <c r="U319" s="164">
        <v>2273.91</v>
      </c>
      <c r="V319" s="56" t="s">
        <v>342</v>
      </c>
      <c r="W319" s="56" t="s">
        <v>310</v>
      </c>
      <c r="X319" s="56" t="s">
        <v>305</v>
      </c>
      <c r="Y319" s="56" t="s">
        <v>332</v>
      </c>
      <c r="Z319" s="56" t="s">
        <v>311</v>
      </c>
      <c r="AA319" s="56" t="s">
        <v>426</v>
      </c>
      <c r="AB319" s="56" t="s">
        <v>305</v>
      </c>
      <c r="AC319" s="56" t="s">
        <v>305</v>
      </c>
      <c r="AD319" s="56" t="s">
        <v>305</v>
      </c>
      <c r="AE319" s="57">
        <v>45730</v>
      </c>
      <c r="AF319" s="57">
        <v>45856</v>
      </c>
      <c r="AG319" s="58">
        <v>1400000320</v>
      </c>
      <c r="AH319" s="74" t="e" cm="1">
        <f t="array" ref="AH319">VLOOKUP(M319,'Customer data Vlookup'!$B$3:$H$127,{2,3},0)</f>
        <v>#N/A</v>
      </c>
      <c r="AI319" s="74"/>
      <c r="AJ319" s="74"/>
      <c r="AK319" s="43"/>
      <c r="AL319" s="43"/>
      <c r="AO319" t="e">
        <f>VLOOKUP(M319,'Customer data'!F:P,11,0)</f>
        <v>#N/A</v>
      </c>
    </row>
    <row r="320" spans="1:41" hidden="1">
      <c r="A320" s="56" t="s">
        <v>326</v>
      </c>
      <c r="B320" s="56" t="s">
        <v>299</v>
      </c>
      <c r="C320" s="56" t="s">
        <v>300</v>
      </c>
      <c r="D320" s="56" t="s">
        <v>301</v>
      </c>
      <c r="E320" s="56" t="s">
        <v>530</v>
      </c>
      <c r="F320" s="56" t="s">
        <v>311</v>
      </c>
      <c r="G320" s="57">
        <v>45730</v>
      </c>
      <c r="H320" s="58">
        <v>1800001706</v>
      </c>
      <c r="I320" s="56" t="s">
        <v>417</v>
      </c>
      <c r="J320" s="57">
        <v>45730</v>
      </c>
      <c r="K320" s="57">
        <v>45733</v>
      </c>
      <c r="L320" s="56" t="s">
        <v>332</v>
      </c>
      <c r="M320" s="60">
        <v>246779411371</v>
      </c>
      <c r="N320" s="56" t="s">
        <v>306</v>
      </c>
      <c r="O320" s="56" t="s">
        <v>307</v>
      </c>
      <c r="P320" s="56" t="s">
        <v>305</v>
      </c>
      <c r="Q320" s="56" t="s">
        <v>337</v>
      </c>
      <c r="R320" s="186" t="s">
        <v>333</v>
      </c>
      <c r="S320" s="164">
        <v>52.46</v>
      </c>
      <c r="T320" s="187" t="s">
        <v>309</v>
      </c>
      <c r="U320" s="164">
        <v>4547.82</v>
      </c>
      <c r="V320" s="56" t="s">
        <v>342</v>
      </c>
      <c r="W320" s="56" t="s">
        <v>310</v>
      </c>
      <c r="X320" s="56" t="s">
        <v>305</v>
      </c>
      <c r="Y320" s="56" t="s">
        <v>332</v>
      </c>
      <c r="Z320" s="56" t="s">
        <v>311</v>
      </c>
      <c r="AA320" s="56" t="s">
        <v>426</v>
      </c>
      <c r="AB320" s="56" t="s">
        <v>305</v>
      </c>
      <c r="AC320" s="56" t="s">
        <v>305</v>
      </c>
      <c r="AD320" s="56" t="s">
        <v>305</v>
      </c>
      <c r="AE320" s="57">
        <v>45730</v>
      </c>
      <c r="AF320" s="57">
        <v>45856</v>
      </c>
      <c r="AG320" s="58">
        <v>1400000321</v>
      </c>
      <c r="AH320" s="74" t="e" cm="1">
        <f t="array" ref="AH320">VLOOKUP(M320,'Customer data Vlookup'!$B$3:$H$127,{2,3},0)</f>
        <v>#N/A</v>
      </c>
      <c r="AI320" s="74"/>
      <c r="AJ320" s="74"/>
      <c r="AK320" s="43"/>
      <c r="AL320" s="43"/>
      <c r="AO320" t="e">
        <f>VLOOKUP(M320,'Customer data'!F:P,11,0)</f>
        <v>#N/A</v>
      </c>
    </row>
    <row r="321" spans="1:41" hidden="1">
      <c r="A321" s="56" t="s">
        <v>326</v>
      </c>
      <c r="B321" s="56" t="s">
        <v>299</v>
      </c>
      <c r="C321" s="56" t="s">
        <v>300</v>
      </c>
      <c r="D321" s="56" t="s">
        <v>301</v>
      </c>
      <c r="E321" s="56" t="s">
        <v>530</v>
      </c>
      <c r="F321" s="56" t="s">
        <v>311</v>
      </c>
      <c r="G321" s="57">
        <v>45730</v>
      </c>
      <c r="H321" s="58">
        <v>1800001707</v>
      </c>
      <c r="I321" s="56" t="s">
        <v>417</v>
      </c>
      <c r="J321" s="57">
        <v>45730</v>
      </c>
      <c r="K321" s="57">
        <v>45733</v>
      </c>
      <c r="L321" s="56" t="s">
        <v>332</v>
      </c>
      <c r="M321" s="60">
        <v>246779411372</v>
      </c>
      <c r="N321" s="56" t="s">
        <v>306</v>
      </c>
      <c r="O321" s="56" t="s">
        <v>307</v>
      </c>
      <c r="P321" s="56" t="s">
        <v>305</v>
      </c>
      <c r="Q321" s="56" t="s">
        <v>337</v>
      </c>
      <c r="R321" s="186" t="s">
        <v>333</v>
      </c>
      <c r="S321" s="164">
        <v>26.23</v>
      </c>
      <c r="T321" s="187" t="s">
        <v>309</v>
      </c>
      <c r="U321" s="164">
        <v>2273.91</v>
      </c>
      <c r="V321" s="56" t="s">
        <v>342</v>
      </c>
      <c r="W321" s="56" t="s">
        <v>310</v>
      </c>
      <c r="X321" s="56" t="s">
        <v>305</v>
      </c>
      <c r="Y321" s="56" t="s">
        <v>332</v>
      </c>
      <c r="Z321" s="56" t="s">
        <v>311</v>
      </c>
      <c r="AA321" s="56" t="s">
        <v>426</v>
      </c>
      <c r="AB321" s="56" t="s">
        <v>305</v>
      </c>
      <c r="AC321" s="56" t="s">
        <v>305</v>
      </c>
      <c r="AD321" s="56" t="s">
        <v>305</v>
      </c>
      <c r="AE321" s="57">
        <v>45730</v>
      </c>
      <c r="AF321" s="57">
        <v>45856</v>
      </c>
      <c r="AG321" s="58">
        <v>1400000322</v>
      </c>
      <c r="AH321" s="74" t="e" cm="1">
        <f t="array" ref="AH321">VLOOKUP(M321,'Customer data Vlookup'!$B$3:$H$127,{2,3},0)</f>
        <v>#N/A</v>
      </c>
      <c r="AI321" s="74"/>
      <c r="AJ321" s="74"/>
      <c r="AK321" s="43"/>
      <c r="AL321" s="43"/>
      <c r="AO321" t="e">
        <f>VLOOKUP(M321,'Customer data'!F:P,11,0)</f>
        <v>#N/A</v>
      </c>
    </row>
    <row r="322" spans="1:41" hidden="1">
      <c r="A322" s="56" t="s">
        <v>326</v>
      </c>
      <c r="B322" s="56" t="s">
        <v>299</v>
      </c>
      <c r="C322" s="56" t="s">
        <v>300</v>
      </c>
      <c r="D322" s="56" t="s">
        <v>301</v>
      </c>
      <c r="E322" s="56" t="s">
        <v>530</v>
      </c>
      <c r="F322" s="56" t="s">
        <v>311</v>
      </c>
      <c r="G322" s="57">
        <v>45730</v>
      </c>
      <c r="H322" s="58">
        <v>1800001708</v>
      </c>
      <c r="I322" s="56" t="s">
        <v>417</v>
      </c>
      <c r="J322" s="57">
        <v>45730</v>
      </c>
      <c r="K322" s="57">
        <v>45733</v>
      </c>
      <c r="L322" s="56" t="s">
        <v>332</v>
      </c>
      <c r="M322" s="60">
        <v>246779411373</v>
      </c>
      <c r="N322" s="56" t="s">
        <v>306</v>
      </c>
      <c r="O322" s="56" t="s">
        <v>307</v>
      </c>
      <c r="P322" s="56" t="s">
        <v>305</v>
      </c>
      <c r="Q322" s="56" t="s">
        <v>337</v>
      </c>
      <c r="R322" s="186" t="s">
        <v>333</v>
      </c>
      <c r="S322" s="164">
        <v>26.23</v>
      </c>
      <c r="T322" s="187" t="s">
        <v>309</v>
      </c>
      <c r="U322" s="164">
        <v>2273.91</v>
      </c>
      <c r="V322" s="56" t="s">
        <v>342</v>
      </c>
      <c r="W322" s="56" t="s">
        <v>310</v>
      </c>
      <c r="X322" s="56" t="s">
        <v>305</v>
      </c>
      <c r="Y322" s="56" t="s">
        <v>332</v>
      </c>
      <c r="Z322" s="56" t="s">
        <v>311</v>
      </c>
      <c r="AA322" s="56" t="s">
        <v>426</v>
      </c>
      <c r="AB322" s="56" t="s">
        <v>305</v>
      </c>
      <c r="AC322" s="56" t="s">
        <v>305</v>
      </c>
      <c r="AD322" s="56" t="s">
        <v>305</v>
      </c>
      <c r="AE322" s="57">
        <v>45730</v>
      </c>
      <c r="AF322" s="57">
        <v>45856</v>
      </c>
      <c r="AG322" s="58">
        <v>1400000323</v>
      </c>
      <c r="AH322" s="74" t="e" cm="1">
        <f t="array" ref="AH322">VLOOKUP(M322,'Customer data Vlookup'!$B$3:$H$127,{2,3},0)</f>
        <v>#N/A</v>
      </c>
      <c r="AI322" s="74"/>
      <c r="AJ322" s="74"/>
      <c r="AK322" s="43"/>
      <c r="AL322" s="43"/>
      <c r="AO322" t="e">
        <f>VLOOKUP(M322,'Customer data'!F:P,11,0)</f>
        <v>#N/A</v>
      </c>
    </row>
    <row r="323" spans="1:41" hidden="1">
      <c r="A323" s="56" t="s">
        <v>298</v>
      </c>
      <c r="B323" s="56" t="s">
        <v>299</v>
      </c>
      <c r="C323" s="56" t="s">
        <v>300</v>
      </c>
      <c r="D323" s="56" t="s">
        <v>301</v>
      </c>
      <c r="E323" s="56" t="s">
        <v>530</v>
      </c>
      <c r="F323" s="56" t="s">
        <v>311</v>
      </c>
      <c r="G323" s="57">
        <v>45730</v>
      </c>
      <c r="H323" s="58">
        <v>1800001502</v>
      </c>
      <c r="I323" s="56" t="s">
        <v>417</v>
      </c>
      <c r="J323" s="57">
        <v>45730</v>
      </c>
      <c r="K323" s="57">
        <v>45735</v>
      </c>
      <c r="L323" s="56" t="s">
        <v>332</v>
      </c>
      <c r="M323" s="60">
        <v>246779412159</v>
      </c>
      <c r="N323" s="56" t="s">
        <v>306</v>
      </c>
      <c r="O323" s="56" t="s">
        <v>307</v>
      </c>
      <c r="P323" s="56" t="s">
        <v>305</v>
      </c>
      <c r="Q323" s="56" t="s">
        <v>337</v>
      </c>
      <c r="R323" s="186" t="s">
        <v>333</v>
      </c>
      <c r="S323" s="164">
        <v>26.23</v>
      </c>
      <c r="T323" s="187" t="s">
        <v>309</v>
      </c>
      <c r="U323" s="164">
        <v>2273.91</v>
      </c>
      <c r="V323" s="56" t="s">
        <v>342</v>
      </c>
      <c r="W323" s="56" t="s">
        <v>310</v>
      </c>
      <c r="X323" s="56" t="s">
        <v>305</v>
      </c>
      <c r="Y323" s="56" t="s">
        <v>332</v>
      </c>
      <c r="Z323" s="56" t="s">
        <v>311</v>
      </c>
      <c r="AA323" s="56" t="s">
        <v>426</v>
      </c>
      <c r="AB323" s="56" t="s">
        <v>305</v>
      </c>
      <c r="AC323" s="56" t="s">
        <v>305</v>
      </c>
      <c r="AD323" s="56" t="s">
        <v>305</v>
      </c>
      <c r="AE323" s="57">
        <v>45730</v>
      </c>
      <c r="AF323" s="57">
        <v>45856</v>
      </c>
      <c r="AG323" s="58">
        <v>1400000324</v>
      </c>
      <c r="AH323" s="74" t="e" cm="1">
        <f t="array" ref="AH323">VLOOKUP(M323,'Customer data Vlookup'!$B$3:$H$127,{2,3},0)</f>
        <v>#N/A</v>
      </c>
      <c r="AI323" s="74"/>
      <c r="AJ323" s="74"/>
      <c r="AK323" s="43"/>
      <c r="AL323" s="43"/>
      <c r="AO323" t="e">
        <f>VLOOKUP(M323,'Customer data'!F:P,11,0)</f>
        <v>#N/A</v>
      </c>
    </row>
    <row r="324" spans="1:41" hidden="1">
      <c r="A324" s="56" t="s">
        <v>298</v>
      </c>
      <c r="B324" s="56" t="s">
        <v>299</v>
      </c>
      <c r="C324" s="56" t="s">
        <v>300</v>
      </c>
      <c r="D324" s="56" t="s">
        <v>301</v>
      </c>
      <c r="E324" s="56" t="s">
        <v>302</v>
      </c>
      <c r="F324" s="56" t="s">
        <v>318</v>
      </c>
      <c r="G324" s="57">
        <v>45730</v>
      </c>
      <c r="H324" s="58">
        <v>1800001503</v>
      </c>
      <c r="I324" s="56" t="s">
        <v>417</v>
      </c>
      <c r="J324" s="57">
        <v>45730</v>
      </c>
      <c r="K324" s="57">
        <v>45735</v>
      </c>
      <c r="L324" s="56" t="s">
        <v>332</v>
      </c>
      <c r="M324" s="60">
        <v>246779412160</v>
      </c>
      <c r="N324" s="56" t="s">
        <v>306</v>
      </c>
      <c r="O324" s="56" t="s">
        <v>307</v>
      </c>
      <c r="P324" s="56" t="s">
        <v>305</v>
      </c>
      <c r="Q324" s="56" t="s">
        <v>337</v>
      </c>
      <c r="R324" s="186" t="s">
        <v>333</v>
      </c>
      <c r="S324" s="164">
        <v>52.46</v>
      </c>
      <c r="T324" s="187" t="s">
        <v>309</v>
      </c>
      <c r="U324" s="164">
        <v>4547.82</v>
      </c>
      <c r="V324" s="56" t="s">
        <v>342</v>
      </c>
      <c r="W324" s="56" t="s">
        <v>310</v>
      </c>
      <c r="X324" s="56" t="s">
        <v>305</v>
      </c>
      <c r="Y324" s="56" t="s">
        <v>332</v>
      </c>
      <c r="Z324" s="56" t="s">
        <v>311</v>
      </c>
      <c r="AA324" s="56" t="s">
        <v>426</v>
      </c>
      <c r="AB324" s="56" t="s">
        <v>305</v>
      </c>
      <c r="AC324" s="56" t="s">
        <v>305</v>
      </c>
      <c r="AD324" s="56" t="s">
        <v>305</v>
      </c>
      <c r="AE324" s="57">
        <v>45730</v>
      </c>
      <c r="AF324" s="57">
        <v>45856</v>
      </c>
      <c r="AG324" s="58">
        <v>1400000325</v>
      </c>
      <c r="AH324" s="74" t="e" cm="1">
        <f t="array" ref="AH324">VLOOKUP(M324,'Customer data Vlookup'!$B$3:$H$127,{2,3},0)</f>
        <v>#N/A</v>
      </c>
      <c r="AI324" s="74"/>
      <c r="AJ324" s="74"/>
      <c r="AK324" s="43"/>
      <c r="AL324" s="43"/>
      <c r="AO324" t="e">
        <f>VLOOKUP(M324,'Customer data'!F:P,11,0)</f>
        <v>#N/A</v>
      </c>
    </row>
    <row r="325" spans="1:41" hidden="1">
      <c r="A325" s="56" t="s">
        <v>298</v>
      </c>
      <c r="B325" s="56" t="s">
        <v>299</v>
      </c>
      <c r="C325" s="56" t="s">
        <v>300</v>
      </c>
      <c r="D325" s="56" t="s">
        <v>301</v>
      </c>
      <c r="E325" s="56" t="s">
        <v>530</v>
      </c>
      <c r="F325" s="56" t="s">
        <v>311</v>
      </c>
      <c r="G325" s="57">
        <v>45730</v>
      </c>
      <c r="H325" s="58">
        <v>1800001504</v>
      </c>
      <c r="I325" s="56" t="s">
        <v>417</v>
      </c>
      <c r="J325" s="57">
        <v>45730</v>
      </c>
      <c r="K325" s="57">
        <v>45735</v>
      </c>
      <c r="L325" s="56" t="s">
        <v>332</v>
      </c>
      <c r="M325" s="60">
        <v>246779412161</v>
      </c>
      <c r="N325" s="56" t="s">
        <v>306</v>
      </c>
      <c r="O325" s="56" t="s">
        <v>307</v>
      </c>
      <c r="P325" s="56" t="s">
        <v>305</v>
      </c>
      <c r="Q325" s="56" t="s">
        <v>337</v>
      </c>
      <c r="R325" s="186" t="s">
        <v>333</v>
      </c>
      <c r="S325" s="164">
        <v>26.23</v>
      </c>
      <c r="T325" s="187" t="s">
        <v>309</v>
      </c>
      <c r="U325" s="164">
        <v>2273.91</v>
      </c>
      <c r="V325" s="56" t="s">
        <v>342</v>
      </c>
      <c r="W325" s="56" t="s">
        <v>310</v>
      </c>
      <c r="X325" s="56" t="s">
        <v>305</v>
      </c>
      <c r="Y325" s="56" t="s">
        <v>332</v>
      </c>
      <c r="Z325" s="56" t="s">
        <v>311</v>
      </c>
      <c r="AA325" s="56" t="s">
        <v>426</v>
      </c>
      <c r="AB325" s="56" t="s">
        <v>305</v>
      </c>
      <c r="AC325" s="56" t="s">
        <v>305</v>
      </c>
      <c r="AD325" s="56" t="s">
        <v>305</v>
      </c>
      <c r="AE325" s="57">
        <v>45730</v>
      </c>
      <c r="AF325" s="57">
        <v>45856</v>
      </c>
      <c r="AG325" s="58">
        <v>1400000327</v>
      </c>
      <c r="AH325" s="74" t="e" cm="1">
        <f t="array" ref="AH325">VLOOKUP(M325,'Customer data Vlookup'!$B$3:$H$127,{2,3},0)</f>
        <v>#N/A</v>
      </c>
      <c r="AI325" s="74"/>
      <c r="AJ325" s="74"/>
      <c r="AK325" s="43"/>
      <c r="AL325" s="43"/>
      <c r="AO325" t="e">
        <f>VLOOKUP(M325,'Customer data'!F:P,11,0)</f>
        <v>#N/A</v>
      </c>
    </row>
    <row r="326" spans="1:41" hidden="1">
      <c r="A326" s="56" t="s">
        <v>298</v>
      </c>
      <c r="B326" s="56" t="s">
        <v>299</v>
      </c>
      <c r="C326" s="56" t="s">
        <v>300</v>
      </c>
      <c r="D326" s="56" t="s">
        <v>301</v>
      </c>
      <c r="E326" s="56" t="s">
        <v>530</v>
      </c>
      <c r="F326" s="56" t="s">
        <v>311</v>
      </c>
      <c r="G326" s="57">
        <v>45730</v>
      </c>
      <c r="H326" s="58">
        <v>1800001505</v>
      </c>
      <c r="I326" s="56" t="s">
        <v>417</v>
      </c>
      <c r="J326" s="57">
        <v>45730</v>
      </c>
      <c r="K326" s="57">
        <v>45735</v>
      </c>
      <c r="L326" s="56" t="s">
        <v>332</v>
      </c>
      <c r="M326" s="60">
        <v>246779412162</v>
      </c>
      <c r="N326" s="56" t="s">
        <v>306</v>
      </c>
      <c r="O326" s="56" t="s">
        <v>307</v>
      </c>
      <c r="P326" s="56" t="s">
        <v>305</v>
      </c>
      <c r="Q326" s="56" t="s">
        <v>337</v>
      </c>
      <c r="R326" s="186" t="s">
        <v>333</v>
      </c>
      <c r="S326" s="164">
        <v>26.23</v>
      </c>
      <c r="T326" s="187" t="s">
        <v>309</v>
      </c>
      <c r="U326" s="164">
        <v>2273.91</v>
      </c>
      <c r="V326" s="56" t="s">
        <v>342</v>
      </c>
      <c r="W326" s="56" t="s">
        <v>310</v>
      </c>
      <c r="X326" s="56" t="s">
        <v>305</v>
      </c>
      <c r="Y326" s="56" t="s">
        <v>332</v>
      </c>
      <c r="Z326" s="56" t="s">
        <v>311</v>
      </c>
      <c r="AA326" s="56" t="s">
        <v>426</v>
      </c>
      <c r="AB326" s="56" t="s">
        <v>305</v>
      </c>
      <c r="AC326" s="56" t="s">
        <v>305</v>
      </c>
      <c r="AD326" s="56" t="s">
        <v>305</v>
      </c>
      <c r="AE326" s="57">
        <v>45730</v>
      </c>
      <c r="AF326" s="57">
        <v>45856</v>
      </c>
      <c r="AG326" s="58">
        <v>1400000328</v>
      </c>
      <c r="AH326" s="74" t="e" cm="1">
        <f t="array" ref="AH326">VLOOKUP(M326,'Customer data Vlookup'!$B$3:$H$127,{2,3},0)</f>
        <v>#N/A</v>
      </c>
      <c r="AI326" s="74"/>
      <c r="AJ326" s="74"/>
      <c r="AK326" s="43"/>
      <c r="AL326" s="43"/>
      <c r="AO326" t="e">
        <f>VLOOKUP(M326,'Customer data'!F:P,11,0)</f>
        <v>#N/A</v>
      </c>
    </row>
    <row r="327" spans="1:41" hidden="1">
      <c r="A327" s="56" t="s">
        <v>298</v>
      </c>
      <c r="B327" s="56" t="s">
        <v>299</v>
      </c>
      <c r="C327" s="56" t="s">
        <v>300</v>
      </c>
      <c r="D327" s="56" t="s">
        <v>301</v>
      </c>
      <c r="E327" s="56" t="s">
        <v>530</v>
      </c>
      <c r="F327" s="56" t="s">
        <v>311</v>
      </c>
      <c r="G327" s="57">
        <v>45730</v>
      </c>
      <c r="H327" s="58">
        <v>1800001650</v>
      </c>
      <c r="I327" s="56" t="s">
        <v>417</v>
      </c>
      <c r="J327" s="57">
        <v>45730</v>
      </c>
      <c r="K327" s="57">
        <v>45735</v>
      </c>
      <c r="L327" s="56" t="s">
        <v>332</v>
      </c>
      <c r="M327" s="60">
        <v>246779412307</v>
      </c>
      <c r="N327" s="56" t="s">
        <v>306</v>
      </c>
      <c r="O327" s="56" t="s">
        <v>307</v>
      </c>
      <c r="P327" s="56" t="s">
        <v>305</v>
      </c>
      <c r="Q327" s="56" t="s">
        <v>337</v>
      </c>
      <c r="R327" s="186" t="s">
        <v>333</v>
      </c>
      <c r="S327" s="164">
        <v>26.23</v>
      </c>
      <c r="T327" s="187" t="s">
        <v>309</v>
      </c>
      <c r="U327" s="164">
        <v>2273.91</v>
      </c>
      <c r="V327" s="56" t="s">
        <v>342</v>
      </c>
      <c r="W327" s="56" t="s">
        <v>310</v>
      </c>
      <c r="X327" s="56" t="s">
        <v>305</v>
      </c>
      <c r="Y327" s="56" t="s">
        <v>332</v>
      </c>
      <c r="Z327" s="56" t="s">
        <v>311</v>
      </c>
      <c r="AA327" s="56" t="s">
        <v>426</v>
      </c>
      <c r="AB327" s="56" t="s">
        <v>305</v>
      </c>
      <c r="AC327" s="56" t="s">
        <v>305</v>
      </c>
      <c r="AD327" s="56" t="s">
        <v>305</v>
      </c>
      <c r="AE327" s="57">
        <v>45730</v>
      </c>
      <c r="AF327" s="57">
        <v>45856</v>
      </c>
      <c r="AG327" s="58">
        <v>1400000329</v>
      </c>
      <c r="AH327" s="74" t="e" cm="1">
        <f t="array" ref="AH327">VLOOKUP(M327,'Customer data Vlookup'!$B$3:$H$127,{2,3},0)</f>
        <v>#N/A</v>
      </c>
      <c r="AI327" s="74"/>
      <c r="AJ327" s="74"/>
      <c r="AK327" s="43"/>
      <c r="AL327" s="43"/>
      <c r="AO327" t="e">
        <f>VLOOKUP(M327,'Customer data'!F:P,11,0)</f>
        <v>#N/A</v>
      </c>
    </row>
    <row r="328" spans="1:41" hidden="1">
      <c r="A328" s="56" t="s">
        <v>298</v>
      </c>
      <c r="B328" s="56" t="s">
        <v>299</v>
      </c>
      <c r="C328" s="56" t="s">
        <v>300</v>
      </c>
      <c r="D328" s="56" t="s">
        <v>301</v>
      </c>
      <c r="E328" s="56" t="s">
        <v>302</v>
      </c>
      <c r="F328" s="56" t="s">
        <v>318</v>
      </c>
      <c r="G328" s="57">
        <v>45730</v>
      </c>
      <c r="H328" s="58">
        <v>1800001651</v>
      </c>
      <c r="I328" s="56" t="s">
        <v>417</v>
      </c>
      <c r="J328" s="57">
        <v>45730</v>
      </c>
      <c r="K328" s="57">
        <v>45735</v>
      </c>
      <c r="L328" s="56" t="s">
        <v>332</v>
      </c>
      <c r="M328" s="60">
        <v>246779412308</v>
      </c>
      <c r="N328" s="56" t="s">
        <v>306</v>
      </c>
      <c r="O328" s="56" t="s">
        <v>307</v>
      </c>
      <c r="P328" s="56" t="s">
        <v>305</v>
      </c>
      <c r="Q328" s="56" t="s">
        <v>337</v>
      </c>
      <c r="R328" s="186" t="s">
        <v>333</v>
      </c>
      <c r="S328" s="164">
        <v>52.46</v>
      </c>
      <c r="T328" s="187" t="s">
        <v>309</v>
      </c>
      <c r="U328" s="164">
        <v>4547.82</v>
      </c>
      <c r="V328" s="56" t="s">
        <v>342</v>
      </c>
      <c r="W328" s="56" t="s">
        <v>310</v>
      </c>
      <c r="X328" s="56" t="s">
        <v>305</v>
      </c>
      <c r="Y328" s="56" t="s">
        <v>332</v>
      </c>
      <c r="Z328" s="56" t="s">
        <v>311</v>
      </c>
      <c r="AA328" s="56" t="s">
        <v>426</v>
      </c>
      <c r="AB328" s="56" t="s">
        <v>305</v>
      </c>
      <c r="AC328" s="56" t="s">
        <v>305</v>
      </c>
      <c r="AD328" s="56" t="s">
        <v>305</v>
      </c>
      <c r="AE328" s="57">
        <v>45730</v>
      </c>
      <c r="AF328" s="57">
        <v>45856</v>
      </c>
      <c r="AG328" s="58">
        <v>1400000330</v>
      </c>
      <c r="AH328" s="74" t="e" cm="1">
        <f t="array" ref="AH328">VLOOKUP(M328,'Customer data Vlookup'!$B$3:$H$127,{2,3},0)</f>
        <v>#N/A</v>
      </c>
      <c r="AI328" s="74"/>
      <c r="AJ328" s="74"/>
      <c r="AK328" s="43"/>
      <c r="AL328" s="43"/>
      <c r="AO328" t="e">
        <f>VLOOKUP(M328,'Customer data'!F:P,11,0)</f>
        <v>#N/A</v>
      </c>
    </row>
    <row r="329" spans="1:41" hidden="1">
      <c r="A329" s="56" t="s">
        <v>298</v>
      </c>
      <c r="B329" s="56" t="s">
        <v>299</v>
      </c>
      <c r="C329" s="56" t="s">
        <v>300</v>
      </c>
      <c r="D329" s="56" t="s">
        <v>301</v>
      </c>
      <c r="E329" s="56" t="s">
        <v>530</v>
      </c>
      <c r="F329" s="56" t="s">
        <v>311</v>
      </c>
      <c r="G329" s="57">
        <v>45730</v>
      </c>
      <c r="H329" s="58">
        <v>1800001652</v>
      </c>
      <c r="I329" s="56" t="s">
        <v>417</v>
      </c>
      <c r="J329" s="57">
        <v>45730</v>
      </c>
      <c r="K329" s="57">
        <v>45735</v>
      </c>
      <c r="L329" s="56" t="s">
        <v>332</v>
      </c>
      <c r="M329" s="60">
        <v>246779412309</v>
      </c>
      <c r="N329" s="56" t="s">
        <v>306</v>
      </c>
      <c r="O329" s="56" t="s">
        <v>307</v>
      </c>
      <c r="P329" s="56" t="s">
        <v>305</v>
      </c>
      <c r="Q329" s="56" t="s">
        <v>337</v>
      </c>
      <c r="R329" s="186" t="s">
        <v>333</v>
      </c>
      <c r="S329" s="164">
        <v>26.23</v>
      </c>
      <c r="T329" s="187" t="s">
        <v>309</v>
      </c>
      <c r="U329" s="164">
        <v>2273.91</v>
      </c>
      <c r="V329" s="56" t="s">
        <v>342</v>
      </c>
      <c r="W329" s="56" t="s">
        <v>310</v>
      </c>
      <c r="X329" s="56" t="s">
        <v>305</v>
      </c>
      <c r="Y329" s="56" t="s">
        <v>332</v>
      </c>
      <c r="Z329" s="56" t="s">
        <v>311</v>
      </c>
      <c r="AA329" s="56" t="s">
        <v>426</v>
      </c>
      <c r="AB329" s="56" t="s">
        <v>305</v>
      </c>
      <c r="AC329" s="56" t="s">
        <v>305</v>
      </c>
      <c r="AD329" s="56" t="s">
        <v>305</v>
      </c>
      <c r="AE329" s="57">
        <v>45730</v>
      </c>
      <c r="AF329" s="57">
        <v>45856</v>
      </c>
      <c r="AG329" s="58">
        <v>1400000331</v>
      </c>
      <c r="AH329" s="74" t="e" cm="1">
        <f t="array" ref="AH329">VLOOKUP(M329,'Customer data Vlookup'!$B$3:$H$127,{2,3},0)</f>
        <v>#N/A</v>
      </c>
      <c r="AI329" s="74"/>
      <c r="AJ329" s="74"/>
      <c r="AK329" s="43"/>
      <c r="AL329" s="43"/>
      <c r="AO329" t="e">
        <f>VLOOKUP(M329,'Customer data'!F:P,11,0)</f>
        <v>#N/A</v>
      </c>
    </row>
    <row r="330" spans="1:41" hidden="1">
      <c r="A330" s="56" t="s">
        <v>298</v>
      </c>
      <c r="B330" s="56" t="s">
        <v>299</v>
      </c>
      <c r="C330" s="56" t="s">
        <v>300</v>
      </c>
      <c r="D330" s="56" t="s">
        <v>301</v>
      </c>
      <c r="E330" s="56" t="s">
        <v>302</v>
      </c>
      <c r="F330" s="56" t="s">
        <v>334</v>
      </c>
      <c r="G330" s="57">
        <v>45730</v>
      </c>
      <c r="H330" s="58">
        <v>1800001653</v>
      </c>
      <c r="I330" s="56" t="s">
        <v>417</v>
      </c>
      <c r="J330" s="57">
        <v>45730</v>
      </c>
      <c r="K330" s="57">
        <v>45735</v>
      </c>
      <c r="L330" s="56" t="s">
        <v>332</v>
      </c>
      <c r="M330" s="60">
        <v>246779412310</v>
      </c>
      <c r="N330" s="56" t="s">
        <v>306</v>
      </c>
      <c r="O330" s="56" t="s">
        <v>307</v>
      </c>
      <c r="P330" s="56" t="s">
        <v>305</v>
      </c>
      <c r="Q330" s="56" t="s">
        <v>337</v>
      </c>
      <c r="R330" s="186" t="s">
        <v>333</v>
      </c>
      <c r="S330" s="164">
        <v>26.23</v>
      </c>
      <c r="T330" s="187" t="s">
        <v>309</v>
      </c>
      <c r="U330" s="164">
        <v>2273.91</v>
      </c>
      <c r="V330" s="56" t="s">
        <v>342</v>
      </c>
      <c r="W330" s="56" t="s">
        <v>310</v>
      </c>
      <c r="X330" s="56" t="s">
        <v>305</v>
      </c>
      <c r="Y330" s="56" t="s">
        <v>332</v>
      </c>
      <c r="Z330" s="56" t="s">
        <v>311</v>
      </c>
      <c r="AA330" s="56" t="s">
        <v>426</v>
      </c>
      <c r="AB330" s="56" t="s">
        <v>305</v>
      </c>
      <c r="AC330" s="56" t="s">
        <v>305</v>
      </c>
      <c r="AD330" s="56" t="s">
        <v>305</v>
      </c>
      <c r="AE330" s="57">
        <v>45730</v>
      </c>
      <c r="AF330" s="57">
        <v>45856</v>
      </c>
      <c r="AG330" s="58">
        <v>1400000332</v>
      </c>
      <c r="AH330" s="74" t="e" cm="1">
        <f t="array" ref="AH330">VLOOKUP(M330,'Customer data Vlookup'!$B$3:$H$127,{2,3},0)</f>
        <v>#N/A</v>
      </c>
      <c r="AI330" s="74"/>
      <c r="AJ330" s="74"/>
      <c r="AK330" s="43"/>
      <c r="AL330" s="43"/>
      <c r="AO330" t="e">
        <f>VLOOKUP(M330,'Customer data'!F:P,11,0)</f>
        <v>#N/A</v>
      </c>
    </row>
    <row r="331" spans="1:41" hidden="1">
      <c r="A331" s="56" t="s">
        <v>326</v>
      </c>
      <c r="B331" s="56" t="s">
        <v>299</v>
      </c>
      <c r="C331" s="56" t="s">
        <v>300</v>
      </c>
      <c r="D331" s="56" t="s">
        <v>301</v>
      </c>
      <c r="E331" s="56" t="s">
        <v>530</v>
      </c>
      <c r="F331" s="56" t="s">
        <v>311</v>
      </c>
      <c r="G331" s="57">
        <v>45728</v>
      </c>
      <c r="H331" s="58">
        <v>7000000191</v>
      </c>
      <c r="I331" s="56" t="s">
        <v>336</v>
      </c>
      <c r="J331" s="57">
        <v>45728</v>
      </c>
      <c r="K331" s="57">
        <v>45738</v>
      </c>
      <c r="L331" s="56" t="s">
        <v>413</v>
      </c>
      <c r="M331" s="64" t="s">
        <v>413</v>
      </c>
      <c r="N331" s="56" t="s">
        <v>306</v>
      </c>
      <c r="O331" s="56" t="s">
        <v>307</v>
      </c>
      <c r="P331" s="56" t="s">
        <v>305</v>
      </c>
      <c r="Q331" s="56" t="s">
        <v>325</v>
      </c>
      <c r="R331" s="186" t="s">
        <v>309</v>
      </c>
      <c r="S331" s="164">
        <v>-28756.3</v>
      </c>
      <c r="T331" s="187" t="s">
        <v>309</v>
      </c>
      <c r="U331" s="164">
        <v>-28756.3</v>
      </c>
      <c r="V331" s="56" t="s">
        <v>305</v>
      </c>
      <c r="W331" s="56" t="s">
        <v>313</v>
      </c>
      <c r="X331" s="56" t="s">
        <v>305</v>
      </c>
      <c r="Y331" s="56" t="s">
        <v>413</v>
      </c>
      <c r="Z331" s="56" t="s">
        <v>311</v>
      </c>
      <c r="AA331" s="56" t="s">
        <v>314</v>
      </c>
      <c r="AB331" s="56" t="s">
        <v>300</v>
      </c>
      <c r="AC331" s="56" t="s">
        <v>305</v>
      </c>
      <c r="AD331" s="56" t="s">
        <v>300</v>
      </c>
      <c r="AE331" s="57">
        <v>45728</v>
      </c>
      <c r="AF331" s="57">
        <v>45773</v>
      </c>
      <c r="AG331" s="58">
        <v>1600000159</v>
      </c>
      <c r="AH331" s="74" t="e" cm="1">
        <f t="array" ref="AH331">VLOOKUP(M331,'Customer data Vlookup'!$B$3:$H$127,{2,3},0)</f>
        <v>#N/A</v>
      </c>
      <c r="AI331" s="74"/>
      <c r="AJ331" s="74"/>
      <c r="AK331" s="43"/>
      <c r="AL331" s="43"/>
      <c r="AO331" t="e">
        <f>VLOOKUP(M331,'Customer data'!F:P,11,0)</f>
        <v>#N/A</v>
      </c>
    </row>
    <row r="332" spans="1:41" hidden="1">
      <c r="A332" s="56" t="s">
        <v>326</v>
      </c>
      <c r="B332" s="56" t="s">
        <v>299</v>
      </c>
      <c r="C332" s="56" t="s">
        <v>300</v>
      </c>
      <c r="D332" s="56" t="s">
        <v>301</v>
      </c>
      <c r="E332" s="56" t="s">
        <v>530</v>
      </c>
      <c r="F332" s="56" t="s">
        <v>311</v>
      </c>
      <c r="G332" s="57">
        <v>45772</v>
      </c>
      <c r="H332" s="58">
        <v>7000000219</v>
      </c>
      <c r="I332" s="56" t="s">
        <v>336</v>
      </c>
      <c r="J332" s="57">
        <v>45728</v>
      </c>
      <c r="K332" s="57">
        <v>45772</v>
      </c>
      <c r="L332" s="56" t="s">
        <v>414</v>
      </c>
      <c r="M332" s="64" t="s">
        <v>414</v>
      </c>
      <c r="N332" s="56" t="s">
        <v>306</v>
      </c>
      <c r="O332" s="56" t="s">
        <v>307</v>
      </c>
      <c r="P332" s="56" t="s">
        <v>305</v>
      </c>
      <c r="Q332" s="56" t="s">
        <v>337</v>
      </c>
      <c r="R332" s="186" t="s">
        <v>309</v>
      </c>
      <c r="S332" s="164">
        <v>28756.3</v>
      </c>
      <c r="T332" s="187" t="s">
        <v>309</v>
      </c>
      <c r="U332" s="164">
        <v>28756.3</v>
      </c>
      <c r="V332" s="56" t="s">
        <v>305</v>
      </c>
      <c r="W332" s="56" t="s">
        <v>313</v>
      </c>
      <c r="X332" s="56" t="s">
        <v>305</v>
      </c>
      <c r="Y332" s="56" t="s">
        <v>413</v>
      </c>
      <c r="Z332" s="56" t="s">
        <v>311</v>
      </c>
      <c r="AA332" s="56" t="s">
        <v>314</v>
      </c>
      <c r="AB332" s="56" t="s">
        <v>300</v>
      </c>
      <c r="AC332" s="56" t="s">
        <v>305</v>
      </c>
      <c r="AD332" s="56" t="s">
        <v>300</v>
      </c>
      <c r="AE332" s="57">
        <v>45728</v>
      </c>
      <c r="AF332" s="57">
        <v>45773</v>
      </c>
      <c r="AG332" s="58">
        <v>1600000159</v>
      </c>
      <c r="AH332" s="74" t="e" cm="1">
        <f t="array" ref="AH332">VLOOKUP(M332,'Customer data Vlookup'!$B$3:$H$127,{2,3},0)</f>
        <v>#N/A</v>
      </c>
      <c r="AI332" s="74"/>
      <c r="AJ332" s="74"/>
      <c r="AK332" s="43"/>
      <c r="AL332" s="43"/>
      <c r="AO332" t="e">
        <f>VLOOKUP(M332,'Customer data'!F:P,11,0)</f>
        <v>#N/A</v>
      </c>
    </row>
    <row r="333" spans="1:41" hidden="1">
      <c r="A333" s="56" t="s">
        <v>326</v>
      </c>
      <c r="B333" s="56" t="s">
        <v>299</v>
      </c>
      <c r="C333" s="56" t="s">
        <v>300</v>
      </c>
      <c r="D333" s="56" t="s">
        <v>301</v>
      </c>
      <c r="E333" s="56" t="s">
        <v>530</v>
      </c>
      <c r="F333" s="56" t="s">
        <v>317</v>
      </c>
      <c r="G333" s="57">
        <v>45772</v>
      </c>
      <c r="H333" s="58">
        <v>7000000218</v>
      </c>
      <c r="I333" s="56" t="s">
        <v>336</v>
      </c>
      <c r="J333" s="57">
        <v>45728</v>
      </c>
      <c r="K333" s="57">
        <v>45772</v>
      </c>
      <c r="L333" s="56" t="s">
        <v>411</v>
      </c>
      <c r="M333" s="64" t="s">
        <v>411</v>
      </c>
      <c r="N333" s="56" t="s">
        <v>306</v>
      </c>
      <c r="O333" s="56" t="s">
        <v>307</v>
      </c>
      <c r="P333" s="56" t="s">
        <v>305</v>
      </c>
      <c r="Q333" s="56" t="s">
        <v>337</v>
      </c>
      <c r="R333" s="186" t="s">
        <v>309</v>
      </c>
      <c r="S333" s="164">
        <v>69973.16</v>
      </c>
      <c r="T333" s="187" t="s">
        <v>309</v>
      </c>
      <c r="U333" s="164">
        <v>69973.16</v>
      </c>
      <c r="V333" s="56" t="s">
        <v>305</v>
      </c>
      <c r="W333" s="56" t="s">
        <v>313</v>
      </c>
      <c r="X333" s="56" t="s">
        <v>305</v>
      </c>
      <c r="Y333" s="56" t="s">
        <v>412</v>
      </c>
      <c r="Z333" s="56" t="s">
        <v>311</v>
      </c>
      <c r="AA333" s="56" t="s">
        <v>315</v>
      </c>
      <c r="AB333" s="56" t="s">
        <v>300</v>
      </c>
      <c r="AC333" s="56" t="s">
        <v>305</v>
      </c>
      <c r="AD333" s="56" t="s">
        <v>300</v>
      </c>
      <c r="AE333" s="57">
        <v>45728</v>
      </c>
      <c r="AF333" s="57">
        <v>45773</v>
      </c>
      <c r="AG333" s="58">
        <v>1600000160</v>
      </c>
      <c r="AH333" s="74" t="e" cm="1">
        <f t="array" ref="AH333">VLOOKUP(M333,'Customer data Vlookup'!$B$3:$H$127,{2,3},0)</f>
        <v>#N/A</v>
      </c>
      <c r="AI333" s="74"/>
      <c r="AJ333" s="74"/>
      <c r="AK333" s="43"/>
      <c r="AL333" s="43"/>
      <c r="AO333" t="e">
        <f>VLOOKUP(M333,'Customer data'!F:P,11,0)</f>
        <v>#N/A</v>
      </c>
    </row>
    <row r="334" spans="1:41" hidden="1">
      <c r="A334" s="56" t="s">
        <v>326</v>
      </c>
      <c r="B334" s="56" t="s">
        <v>299</v>
      </c>
      <c r="C334" s="56" t="s">
        <v>300</v>
      </c>
      <c r="D334" s="56" t="s">
        <v>301</v>
      </c>
      <c r="E334" s="56" t="s">
        <v>530</v>
      </c>
      <c r="F334" s="56" t="s">
        <v>317</v>
      </c>
      <c r="G334" s="57">
        <v>45728</v>
      </c>
      <c r="H334" s="58">
        <v>7000000192</v>
      </c>
      <c r="I334" s="56" t="s">
        <v>336</v>
      </c>
      <c r="J334" s="57">
        <v>45728</v>
      </c>
      <c r="K334" s="57">
        <v>45738</v>
      </c>
      <c r="L334" s="56" t="s">
        <v>412</v>
      </c>
      <c r="M334" s="64" t="s">
        <v>412</v>
      </c>
      <c r="N334" s="56" t="s">
        <v>306</v>
      </c>
      <c r="O334" s="56" t="s">
        <v>307</v>
      </c>
      <c r="P334" s="56" t="s">
        <v>305</v>
      </c>
      <c r="Q334" s="56" t="s">
        <v>325</v>
      </c>
      <c r="R334" s="186" t="s">
        <v>309</v>
      </c>
      <c r="S334" s="164">
        <v>-69973.16</v>
      </c>
      <c r="T334" s="187" t="s">
        <v>309</v>
      </c>
      <c r="U334" s="164">
        <v>-69973.16</v>
      </c>
      <c r="V334" s="56" t="s">
        <v>305</v>
      </c>
      <c r="W334" s="56" t="s">
        <v>313</v>
      </c>
      <c r="X334" s="56" t="s">
        <v>305</v>
      </c>
      <c r="Y334" s="56" t="s">
        <v>412</v>
      </c>
      <c r="Z334" s="56" t="s">
        <v>311</v>
      </c>
      <c r="AA334" s="56" t="s">
        <v>315</v>
      </c>
      <c r="AB334" s="56" t="s">
        <v>300</v>
      </c>
      <c r="AC334" s="56" t="s">
        <v>305</v>
      </c>
      <c r="AD334" s="56" t="s">
        <v>300</v>
      </c>
      <c r="AE334" s="57">
        <v>45728</v>
      </c>
      <c r="AF334" s="57">
        <v>45773</v>
      </c>
      <c r="AG334" s="58">
        <v>1600000160</v>
      </c>
      <c r="AH334" s="74" t="e" cm="1">
        <f t="array" ref="AH334">VLOOKUP(M334,'Customer data Vlookup'!$B$3:$H$127,{2,3},0)</f>
        <v>#N/A</v>
      </c>
      <c r="AI334" s="74"/>
      <c r="AJ334" s="74"/>
      <c r="AK334" s="43"/>
      <c r="AL334" s="43"/>
      <c r="AO334" t="e">
        <f>VLOOKUP(M334,'Customer data'!F:P,11,0)</f>
        <v>#N/A</v>
      </c>
    </row>
    <row r="335" spans="1:41" hidden="1">
      <c r="A335" s="56" t="s">
        <v>326</v>
      </c>
      <c r="B335" s="56" t="s">
        <v>299</v>
      </c>
      <c r="C335" s="56" t="s">
        <v>300</v>
      </c>
      <c r="D335" s="56" t="s">
        <v>301</v>
      </c>
      <c r="E335" s="56" t="s">
        <v>530</v>
      </c>
      <c r="F335" s="56" t="s">
        <v>317</v>
      </c>
      <c r="G335" s="57">
        <v>45728</v>
      </c>
      <c r="H335" s="58">
        <v>7000000193</v>
      </c>
      <c r="I335" s="56" t="s">
        <v>336</v>
      </c>
      <c r="J335" s="57">
        <v>45728</v>
      </c>
      <c r="K335" s="57">
        <v>45738</v>
      </c>
      <c r="L335" s="56" t="s">
        <v>415</v>
      </c>
      <c r="M335" s="64" t="s">
        <v>415</v>
      </c>
      <c r="N335" s="56" t="s">
        <v>306</v>
      </c>
      <c r="O335" s="56" t="s">
        <v>307</v>
      </c>
      <c r="P335" s="56" t="s">
        <v>305</v>
      </c>
      <c r="Q335" s="56" t="s">
        <v>325</v>
      </c>
      <c r="R335" s="186" t="s">
        <v>309</v>
      </c>
      <c r="S335" s="164">
        <v>-97112.2</v>
      </c>
      <c r="T335" s="187" t="s">
        <v>309</v>
      </c>
      <c r="U335" s="164">
        <v>-97112.2</v>
      </c>
      <c r="V335" s="56" t="s">
        <v>305</v>
      </c>
      <c r="W335" s="56" t="s">
        <v>313</v>
      </c>
      <c r="X335" s="56" t="s">
        <v>305</v>
      </c>
      <c r="Y335" s="56" t="s">
        <v>415</v>
      </c>
      <c r="Z335" s="56" t="s">
        <v>311</v>
      </c>
      <c r="AA335" s="56" t="s">
        <v>315</v>
      </c>
      <c r="AB335" s="56" t="s">
        <v>300</v>
      </c>
      <c r="AC335" s="56" t="s">
        <v>305</v>
      </c>
      <c r="AD335" s="56" t="s">
        <v>300</v>
      </c>
      <c r="AE335" s="57">
        <v>45728</v>
      </c>
      <c r="AF335" s="57">
        <v>45773</v>
      </c>
      <c r="AG335" s="58">
        <v>1600000161</v>
      </c>
      <c r="AH335" s="74" t="e" cm="1">
        <f t="array" ref="AH335">VLOOKUP(M335,'Customer data Vlookup'!$B$3:$H$127,{2,3},0)</f>
        <v>#N/A</v>
      </c>
      <c r="AI335" s="74"/>
      <c r="AJ335" s="74"/>
      <c r="AK335" s="43"/>
      <c r="AL335" s="43"/>
      <c r="AO335" t="e">
        <f>VLOOKUP(M335,'Customer data'!F:P,11,0)</f>
        <v>#N/A</v>
      </c>
    </row>
    <row r="336" spans="1:41" hidden="1">
      <c r="A336" s="56" t="s">
        <v>326</v>
      </c>
      <c r="B336" s="56" t="s">
        <v>299</v>
      </c>
      <c r="C336" s="56" t="s">
        <v>300</v>
      </c>
      <c r="D336" s="56" t="s">
        <v>301</v>
      </c>
      <c r="E336" s="56" t="s">
        <v>530</v>
      </c>
      <c r="F336" s="56" t="s">
        <v>317</v>
      </c>
      <c r="G336" s="57">
        <v>45772</v>
      </c>
      <c r="H336" s="58">
        <v>7000000220</v>
      </c>
      <c r="I336" s="56" t="s">
        <v>336</v>
      </c>
      <c r="J336" s="57">
        <v>45728</v>
      </c>
      <c r="K336" s="57">
        <v>45772</v>
      </c>
      <c r="L336" s="56" t="s">
        <v>416</v>
      </c>
      <c r="M336" s="64" t="s">
        <v>416</v>
      </c>
      <c r="N336" s="56" t="s">
        <v>306</v>
      </c>
      <c r="O336" s="56" t="s">
        <v>307</v>
      </c>
      <c r="P336" s="56" t="s">
        <v>305</v>
      </c>
      <c r="Q336" s="56" t="s">
        <v>337</v>
      </c>
      <c r="R336" s="186" t="s">
        <v>309</v>
      </c>
      <c r="S336" s="164">
        <v>97112.2</v>
      </c>
      <c r="T336" s="187" t="s">
        <v>309</v>
      </c>
      <c r="U336" s="164">
        <v>97112.2</v>
      </c>
      <c r="V336" s="56" t="s">
        <v>305</v>
      </c>
      <c r="W336" s="56" t="s">
        <v>313</v>
      </c>
      <c r="X336" s="56" t="s">
        <v>305</v>
      </c>
      <c r="Y336" s="56" t="s">
        <v>415</v>
      </c>
      <c r="Z336" s="56" t="s">
        <v>311</v>
      </c>
      <c r="AA336" s="56" t="s">
        <v>315</v>
      </c>
      <c r="AB336" s="56" t="s">
        <v>300</v>
      </c>
      <c r="AC336" s="56" t="s">
        <v>305</v>
      </c>
      <c r="AD336" s="56" t="s">
        <v>300</v>
      </c>
      <c r="AE336" s="57">
        <v>45728</v>
      </c>
      <c r="AF336" s="57">
        <v>45773</v>
      </c>
      <c r="AG336" s="58">
        <v>1600000161</v>
      </c>
      <c r="AH336" s="74" t="e" cm="1">
        <f t="array" ref="AH336">VLOOKUP(M336,'Customer data Vlookup'!$B$3:$H$127,{2,3},0)</f>
        <v>#N/A</v>
      </c>
      <c r="AI336" s="74"/>
      <c r="AJ336" s="74"/>
      <c r="AK336" s="43"/>
      <c r="AL336" s="43"/>
      <c r="AO336" t="e">
        <f>VLOOKUP(M336,'Customer data'!F:P,11,0)</f>
        <v>#N/A</v>
      </c>
    </row>
    <row r="337" spans="21:38" hidden="1">
      <c r="U337" s="76">
        <f>SUM(U3:U336)</f>
        <v>2135174.5600000019</v>
      </c>
      <c r="AL337"/>
    </row>
  </sheetData>
  <autoFilter ref="A2:AO337" xr:uid="{CA9A7FD1-F396-42B7-81D1-58E95535B33E}">
    <filterColumn colId="32">
      <filters blank="1"/>
    </filterColumn>
    <filterColumn colId="40">
      <filters>
        <filter val="HDFCH00646925098"/>
        <filter val="HDFCH00646925098 &amp;HDFCH00676798572"/>
        <filter val="HDFCH00806112854"/>
        <filter val="HDFCH00806112855"/>
        <filter val="HDFCN52025031215974606"/>
        <filter val="HDFCN52025031215974609"/>
        <filter val="HDFCN52025031215976413"/>
        <filter val="HDFCN52025032433791993"/>
        <filter val="HDFCN52025032433791996"/>
        <filter val="HDFCN52025032433793860"/>
        <filter val="HDFCN52025032433793867"/>
        <filter val="HDFCN52025032433793875"/>
        <filter val="HDFCN52025032433793886"/>
        <filter val="HDFCN52025051435275414"/>
        <filter val="HDFCN52025060575568983"/>
        <filter val="HDFCN52025061495304800"/>
        <filter val="HDFCN52025062512710909"/>
        <filter val="HDFCN52025072369906032"/>
        <filter val="HDFCN52025082227307462"/>
        <filter val="HDFCN52025082733046460"/>
        <filter val="HDFCN52025100205721894"/>
        <filter val="HDFCN52025100308494407"/>
      </filters>
    </filterColumn>
  </autoFilter>
  <conditionalFormatting sqref="M105">
    <cfRule type="duplicateValues" dxfId="77" priority="2"/>
  </conditionalFormatting>
  <conditionalFormatting sqref="M105">
    <cfRule type="duplicateValues" dxfId="76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2CBE-C3ED-445C-A1C7-8D589FC6819A}">
  <sheetPr filterMode="1"/>
  <dimension ref="A1:R188"/>
  <sheetViews>
    <sheetView zoomScale="85" zoomScaleNormal="85" workbookViewId="0">
      <selection activeCell="H155" sqref="H155"/>
    </sheetView>
  </sheetViews>
  <sheetFormatPr defaultRowHeight="14.4"/>
  <cols>
    <col min="1" max="1" width="5.88671875" bestFit="1" customWidth="1"/>
    <col min="2" max="2" width="34.77734375" customWidth="1"/>
    <col min="3" max="3" width="13.21875" bestFit="1" customWidth="1"/>
    <col min="4" max="4" width="16.6640625" customWidth="1"/>
    <col min="5" max="5" width="10.77734375" bestFit="1" customWidth="1"/>
    <col min="6" max="6" width="22.33203125" customWidth="1"/>
    <col min="7" max="7" width="9.5546875" bestFit="1" customWidth="1"/>
    <col min="8" max="8" width="12.21875" bestFit="1" customWidth="1"/>
    <col min="9" max="9" width="9.5546875" bestFit="1" customWidth="1"/>
    <col min="10" max="10" width="12.21875" bestFit="1" customWidth="1"/>
    <col min="11" max="11" width="12.5546875" bestFit="1" customWidth="1"/>
    <col min="12" max="12" width="18.44140625" bestFit="1" customWidth="1"/>
    <col min="13" max="13" width="13.21875" bestFit="1" customWidth="1"/>
    <col min="14" max="14" width="13.21875" customWidth="1"/>
    <col min="15" max="15" width="10.77734375" bestFit="1" customWidth="1"/>
    <col min="16" max="16" width="25.33203125" bestFit="1" customWidth="1"/>
    <col min="17" max="17" width="28.33203125" bestFit="1" customWidth="1"/>
    <col min="18" max="18" width="20.554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8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4</v>
      </c>
      <c r="P1" s="3" t="s">
        <v>13</v>
      </c>
      <c r="Q1" s="4" t="s">
        <v>14</v>
      </c>
      <c r="R1" s="5" t="s">
        <v>15</v>
      </c>
    </row>
    <row r="2" spans="1:18" hidden="1">
      <c r="A2" s="6">
        <v>1</v>
      </c>
      <c r="B2" s="6" t="s">
        <v>16</v>
      </c>
      <c r="C2" s="7">
        <v>960.64</v>
      </c>
      <c r="D2" s="6" t="s">
        <v>17</v>
      </c>
      <c r="E2" s="8">
        <v>45698</v>
      </c>
      <c r="F2" s="6" t="s">
        <v>18</v>
      </c>
      <c r="G2" s="49">
        <v>87.585800000000006</v>
      </c>
      <c r="H2" s="9">
        <v>84138.422912000009</v>
      </c>
      <c r="I2" s="10">
        <v>0.1</v>
      </c>
      <c r="J2" s="11">
        <f>ROUND(H2*I2,0)</f>
        <v>8414</v>
      </c>
      <c r="K2" s="11">
        <f>H2-J2</f>
        <v>75724.422912000009</v>
      </c>
      <c r="L2" s="11"/>
      <c r="M2" s="11">
        <f>K2</f>
        <v>75724.422912000009</v>
      </c>
      <c r="N2" s="11">
        <f>SUM(L2:M2)</f>
        <v>75724.422912000009</v>
      </c>
      <c r="O2" s="8">
        <v>45861</v>
      </c>
      <c r="P2" s="6" t="s">
        <v>19</v>
      </c>
      <c r="Q2" s="12">
        <v>45717</v>
      </c>
      <c r="R2" s="6"/>
    </row>
    <row r="3" spans="1:18" hidden="1">
      <c r="A3" s="6">
        <v>2</v>
      </c>
      <c r="B3" s="6" t="s">
        <v>20</v>
      </c>
      <c r="C3" s="7">
        <v>132</v>
      </c>
      <c r="D3" s="6" t="s">
        <v>17</v>
      </c>
      <c r="E3" s="8">
        <v>45698</v>
      </c>
      <c r="F3" s="6" t="s">
        <v>21</v>
      </c>
      <c r="G3" s="49">
        <v>87.585800000000006</v>
      </c>
      <c r="H3" s="9">
        <v>11561.3256</v>
      </c>
      <c r="I3" s="10">
        <v>0.02</v>
      </c>
      <c r="J3" s="11">
        <f t="shared" ref="J3:J66" si="0">ROUND(H3*I3,0)</f>
        <v>231</v>
      </c>
      <c r="K3" s="11">
        <f t="shared" ref="K3:K40" si="1">H3-J3</f>
        <v>11330.3256</v>
      </c>
      <c r="L3" s="11"/>
      <c r="M3" s="6">
        <v>11330.33</v>
      </c>
      <c r="N3" s="11">
        <f t="shared" ref="N3:N66" si="2">SUM(L3:M3)</f>
        <v>11330.33</v>
      </c>
      <c r="O3" s="8">
        <v>45740</v>
      </c>
      <c r="P3" s="13" t="s">
        <v>22</v>
      </c>
      <c r="Q3" s="12">
        <v>45717</v>
      </c>
      <c r="R3" s="6"/>
    </row>
    <row r="4" spans="1:18" hidden="1">
      <c r="A4" s="6">
        <v>3</v>
      </c>
      <c r="B4" s="6" t="s">
        <v>23</v>
      </c>
      <c r="C4" s="7">
        <v>472.38</v>
      </c>
      <c r="D4" s="6" t="s">
        <v>17</v>
      </c>
      <c r="E4" s="8">
        <v>45698</v>
      </c>
      <c r="F4" s="6" t="s">
        <v>24</v>
      </c>
      <c r="G4" s="49">
        <v>87.585800000000006</v>
      </c>
      <c r="H4" s="9">
        <v>41373.780204000002</v>
      </c>
      <c r="I4" s="10">
        <v>0.02</v>
      </c>
      <c r="J4" s="11">
        <f t="shared" si="0"/>
        <v>827</v>
      </c>
      <c r="K4" s="11">
        <f t="shared" si="1"/>
        <v>40546.780204000002</v>
      </c>
      <c r="L4" s="11"/>
      <c r="M4" s="6"/>
      <c r="N4" s="11">
        <f t="shared" si="2"/>
        <v>0</v>
      </c>
      <c r="O4" s="6"/>
      <c r="P4" s="6" t="s">
        <v>25</v>
      </c>
      <c r="Q4" s="12">
        <v>45717</v>
      </c>
      <c r="R4" s="6"/>
    </row>
    <row r="5" spans="1:18" hidden="1">
      <c r="A5" s="6">
        <v>4</v>
      </c>
      <c r="B5" s="6" t="s">
        <v>26</v>
      </c>
      <c r="C5" s="7">
        <v>432</v>
      </c>
      <c r="D5" s="6" t="s">
        <v>17</v>
      </c>
      <c r="E5" s="8">
        <v>45698</v>
      </c>
      <c r="F5" s="6" t="s">
        <v>27</v>
      </c>
      <c r="G5" s="49">
        <v>87.585800000000006</v>
      </c>
      <c r="H5" s="9">
        <v>37837.065600000002</v>
      </c>
      <c r="I5" s="10">
        <v>0.02</v>
      </c>
      <c r="J5" s="11">
        <f t="shared" si="0"/>
        <v>757</v>
      </c>
      <c r="K5" s="11">
        <f t="shared" si="1"/>
        <v>37080.065600000002</v>
      </c>
      <c r="L5" s="11"/>
      <c r="M5" s="6"/>
      <c r="N5" s="11">
        <f t="shared" si="2"/>
        <v>0</v>
      </c>
      <c r="O5" s="6"/>
      <c r="P5" s="6" t="s">
        <v>25</v>
      </c>
      <c r="Q5" s="12">
        <v>45717</v>
      </c>
      <c r="R5" s="6"/>
    </row>
    <row r="6" spans="1:18" hidden="1">
      <c r="A6" s="6">
        <v>5</v>
      </c>
      <c r="B6" s="6" t="s">
        <v>28</v>
      </c>
      <c r="C6" s="7">
        <v>472.38</v>
      </c>
      <c r="D6" s="6" t="s">
        <v>17</v>
      </c>
      <c r="E6" s="8">
        <v>45698</v>
      </c>
      <c r="F6" s="6" t="s">
        <v>29</v>
      </c>
      <c r="G6" s="49">
        <v>87.585800000000006</v>
      </c>
      <c r="H6" s="9">
        <v>41373.780204000002</v>
      </c>
      <c r="I6" s="10">
        <v>0.02</v>
      </c>
      <c r="J6" s="11">
        <f t="shared" si="0"/>
        <v>827</v>
      </c>
      <c r="K6" s="11">
        <f t="shared" si="1"/>
        <v>40546.780204000002</v>
      </c>
      <c r="L6" s="11"/>
      <c r="M6" s="6"/>
      <c r="N6" s="11">
        <f t="shared" si="2"/>
        <v>0</v>
      </c>
      <c r="O6" s="6"/>
      <c r="P6" s="6" t="s">
        <v>25</v>
      </c>
      <c r="Q6" s="12">
        <v>45717</v>
      </c>
      <c r="R6" s="6"/>
    </row>
    <row r="7" spans="1:18" hidden="1">
      <c r="A7" s="6">
        <v>6</v>
      </c>
      <c r="B7" s="6" t="s">
        <v>30</v>
      </c>
      <c r="C7" s="7">
        <v>125.5911346359798</v>
      </c>
      <c r="D7" s="6" t="s">
        <v>17</v>
      </c>
      <c r="E7" s="8">
        <v>45698</v>
      </c>
      <c r="F7" s="6" t="s">
        <v>31</v>
      </c>
      <c r="G7" s="49">
        <v>87.585800000000006</v>
      </c>
      <c r="H7" s="9">
        <v>11000</v>
      </c>
      <c r="I7" s="10">
        <v>0.02</v>
      </c>
      <c r="J7" s="11">
        <f t="shared" si="0"/>
        <v>220</v>
      </c>
      <c r="K7" s="11">
        <f t="shared" si="1"/>
        <v>10780</v>
      </c>
      <c r="L7" s="11"/>
      <c r="M7" s="11">
        <f>K7</f>
        <v>10780</v>
      </c>
      <c r="N7" s="11">
        <f t="shared" si="2"/>
        <v>10780</v>
      </c>
      <c r="O7" s="8">
        <v>45822</v>
      </c>
      <c r="P7" s="13" t="s">
        <v>32</v>
      </c>
      <c r="Q7" s="12">
        <v>45717</v>
      </c>
      <c r="R7" s="6"/>
    </row>
    <row r="8" spans="1:18" hidden="1">
      <c r="A8" s="6">
        <v>7</v>
      </c>
      <c r="B8" s="6" t="s">
        <v>33</v>
      </c>
      <c r="C8" s="7">
        <v>1495.68</v>
      </c>
      <c r="D8" s="6" t="s">
        <v>34</v>
      </c>
      <c r="E8" s="8">
        <v>45698</v>
      </c>
      <c r="F8" s="6" t="s">
        <v>35</v>
      </c>
      <c r="G8" s="49">
        <v>87.585800000000006</v>
      </c>
      <c r="H8" s="9">
        <v>131000.32934400001</v>
      </c>
      <c r="I8" s="10">
        <v>0.1</v>
      </c>
      <c r="J8" s="11">
        <f t="shared" si="0"/>
        <v>13100</v>
      </c>
      <c r="K8" s="11">
        <f t="shared" si="1"/>
        <v>117900.32934400001</v>
      </c>
      <c r="L8" s="11"/>
      <c r="M8" s="11">
        <f>K8</f>
        <v>117900.32934400001</v>
      </c>
      <c r="N8" s="11">
        <f t="shared" si="2"/>
        <v>117900.32934400001</v>
      </c>
      <c r="O8" s="8">
        <v>45861</v>
      </c>
      <c r="P8" s="6" t="s">
        <v>19</v>
      </c>
      <c r="Q8" s="12">
        <v>45717</v>
      </c>
      <c r="R8" s="6"/>
    </row>
    <row r="9" spans="1:18" hidden="1">
      <c r="A9" s="6">
        <v>8</v>
      </c>
      <c r="B9" s="6" t="s">
        <v>20</v>
      </c>
      <c r="C9" s="7">
        <v>211.20000000000002</v>
      </c>
      <c r="D9" s="6" t="s">
        <v>34</v>
      </c>
      <c r="E9" s="8">
        <v>45698</v>
      </c>
      <c r="F9" s="6" t="s">
        <v>36</v>
      </c>
      <c r="G9" s="49">
        <v>87.585800000000006</v>
      </c>
      <c r="H9" s="9">
        <v>18498.120960000004</v>
      </c>
      <c r="I9" s="10">
        <v>0.02</v>
      </c>
      <c r="J9" s="11">
        <f t="shared" si="0"/>
        <v>370</v>
      </c>
      <c r="K9" s="11">
        <f t="shared" si="1"/>
        <v>18128.120960000004</v>
      </c>
      <c r="L9" s="11"/>
      <c r="M9" s="6">
        <v>18128.12</v>
      </c>
      <c r="N9" s="11">
        <f t="shared" si="2"/>
        <v>18128.12</v>
      </c>
      <c r="O9" s="8">
        <v>45740</v>
      </c>
      <c r="P9" s="13" t="s">
        <v>37</v>
      </c>
      <c r="Q9" s="12">
        <v>45717</v>
      </c>
      <c r="R9" s="6"/>
    </row>
    <row r="10" spans="1:18" hidden="1">
      <c r="A10" s="6">
        <v>9</v>
      </c>
      <c r="B10" s="6" t="s">
        <v>23</v>
      </c>
      <c r="C10" s="7">
        <v>755.80799999999999</v>
      </c>
      <c r="D10" s="6" t="s">
        <v>34</v>
      </c>
      <c r="E10" s="8">
        <v>45698</v>
      </c>
      <c r="F10" s="6" t="s">
        <v>38</v>
      </c>
      <c r="G10" s="49">
        <v>87.585800000000006</v>
      </c>
      <c r="H10" s="9">
        <v>66198.048326400007</v>
      </c>
      <c r="I10" s="10">
        <v>0.02</v>
      </c>
      <c r="J10" s="11">
        <f t="shared" si="0"/>
        <v>1324</v>
      </c>
      <c r="K10" s="11">
        <f t="shared" si="1"/>
        <v>64874.048326400007</v>
      </c>
      <c r="L10" s="11"/>
      <c r="M10" s="6"/>
      <c r="N10" s="11">
        <f t="shared" si="2"/>
        <v>0</v>
      </c>
      <c r="O10" s="6"/>
      <c r="P10" s="6" t="s">
        <v>25</v>
      </c>
      <c r="Q10" s="12">
        <v>45717</v>
      </c>
      <c r="R10" s="6"/>
    </row>
    <row r="11" spans="1:18" hidden="1">
      <c r="A11" s="6">
        <v>10</v>
      </c>
      <c r="B11" s="6" t="s">
        <v>26</v>
      </c>
      <c r="C11" s="7">
        <v>475.2</v>
      </c>
      <c r="D11" s="6" t="s">
        <v>34</v>
      </c>
      <c r="E11" s="8">
        <v>45698</v>
      </c>
      <c r="F11" s="6" t="s">
        <v>39</v>
      </c>
      <c r="G11" s="49">
        <v>87.585800000000006</v>
      </c>
      <c r="H11" s="9">
        <v>41620.77216</v>
      </c>
      <c r="I11" s="10">
        <v>0.02</v>
      </c>
      <c r="J11" s="11">
        <f t="shared" si="0"/>
        <v>832</v>
      </c>
      <c r="K11" s="11">
        <f t="shared" si="1"/>
        <v>40788.77216</v>
      </c>
      <c r="L11" s="11"/>
      <c r="M11" s="6"/>
      <c r="N11" s="11">
        <f t="shared" si="2"/>
        <v>0</v>
      </c>
      <c r="O11" s="6"/>
      <c r="P11" s="6" t="s">
        <v>25</v>
      </c>
      <c r="Q11" s="12">
        <v>45717</v>
      </c>
      <c r="R11" s="6"/>
    </row>
    <row r="12" spans="1:18" hidden="1">
      <c r="A12" s="6">
        <v>11</v>
      </c>
      <c r="B12" s="6" t="s">
        <v>28</v>
      </c>
      <c r="C12" s="7">
        <v>283.428</v>
      </c>
      <c r="D12" s="6" t="s">
        <v>34</v>
      </c>
      <c r="E12" s="8">
        <v>45698</v>
      </c>
      <c r="F12" s="6" t="s">
        <v>40</v>
      </c>
      <c r="G12" s="49">
        <v>87.585800000000006</v>
      </c>
      <c r="H12" s="9">
        <v>24824.268122400001</v>
      </c>
      <c r="I12" s="10">
        <v>0.02</v>
      </c>
      <c r="J12" s="11">
        <f t="shared" si="0"/>
        <v>496</v>
      </c>
      <c r="K12" s="11">
        <f t="shared" si="1"/>
        <v>24328.268122400001</v>
      </c>
      <c r="L12" s="11"/>
      <c r="M12" s="6"/>
      <c r="N12" s="11">
        <f t="shared" si="2"/>
        <v>0</v>
      </c>
      <c r="O12" s="6"/>
      <c r="P12" s="6" t="s">
        <v>25</v>
      </c>
      <c r="Q12" s="12">
        <v>45717</v>
      </c>
      <c r="R12" s="6"/>
    </row>
    <row r="13" spans="1:18" hidden="1">
      <c r="A13" s="6">
        <v>12</v>
      </c>
      <c r="B13" s="6" t="s">
        <v>41</v>
      </c>
      <c r="C13" s="7">
        <v>81</v>
      </c>
      <c r="D13" s="6" t="s">
        <v>34</v>
      </c>
      <c r="E13" s="8">
        <v>45698</v>
      </c>
      <c r="F13" s="6" t="s">
        <v>42</v>
      </c>
      <c r="G13" s="49">
        <v>87.585800000000006</v>
      </c>
      <c r="H13" s="9">
        <v>7094.4498000000003</v>
      </c>
      <c r="I13" s="10">
        <v>0.02</v>
      </c>
      <c r="J13" s="11">
        <f t="shared" si="0"/>
        <v>142</v>
      </c>
      <c r="K13" s="11">
        <f t="shared" si="1"/>
        <v>6952.4498000000003</v>
      </c>
      <c r="L13" s="11"/>
      <c r="M13" s="6"/>
      <c r="N13" s="11">
        <f t="shared" si="2"/>
        <v>0</v>
      </c>
      <c r="O13" s="6"/>
      <c r="P13" s="6" t="s">
        <v>25</v>
      </c>
      <c r="Q13" s="12">
        <v>45717</v>
      </c>
      <c r="R13" s="6"/>
    </row>
    <row r="14" spans="1:18" hidden="1">
      <c r="A14" s="6">
        <v>13</v>
      </c>
      <c r="B14" s="6" t="s">
        <v>30</v>
      </c>
      <c r="C14" s="7">
        <v>150.70936156317575</v>
      </c>
      <c r="D14" s="6" t="s">
        <v>34</v>
      </c>
      <c r="E14" s="8">
        <v>45698</v>
      </c>
      <c r="F14" s="6" t="s">
        <v>43</v>
      </c>
      <c r="G14" s="49">
        <v>87.585800000000006</v>
      </c>
      <c r="H14" s="9">
        <v>13200</v>
      </c>
      <c r="I14" s="10">
        <v>0.02</v>
      </c>
      <c r="J14" s="11">
        <f t="shared" si="0"/>
        <v>264</v>
      </c>
      <c r="K14" s="11">
        <f t="shared" si="1"/>
        <v>12936</v>
      </c>
      <c r="L14" s="11">
        <v>6468</v>
      </c>
      <c r="M14" s="11">
        <v>6468</v>
      </c>
      <c r="N14" s="11">
        <f t="shared" si="2"/>
        <v>12936</v>
      </c>
      <c r="O14" s="8">
        <v>45822</v>
      </c>
      <c r="P14" s="13" t="s">
        <v>32</v>
      </c>
      <c r="Q14" s="12">
        <v>45717</v>
      </c>
      <c r="R14" s="6" t="s">
        <v>44</v>
      </c>
    </row>
    <row r="15" spans="1:18" hidden="1">
      <c r="A15" s="6">
        <v>14</v>
      </c>
      <c r="B15" s="6" t="s">
        <v>45</v>
      </c>
      <c r="C15" s="7">
        <v>2991.3599999999992</v>
      </c>
      <c r="D15" s="6" t="s">
        <v>46</v>
      </c>
      <c r="E15" s="8">
        <v>45698</v>
      </c>
      <c r="F15" s="6" t="s">
        <v>47</v>
      </c>
      <c r="G15" s="49">
        <v>87.585800000000006</v>
      </c>
      <c r="H15" s="9">
        <v>262000.65868799994</v>
      </c>
      <c r="I15" s="10">
        <v>0.1</v>
      </c>
      <c r="J15" s="11">
        <f t="shared" si="0"/>
        <v>26200</v>
      </c>
      <c r="K15" s="11">
        <f t="shared" si="1"/>
        <v>235800.65868799994</v>
      </c>
      <c r="L15" s="11"/>
      <c r="M15" s="11">
        <f>K15</f>
        <v>235800.65868799994</v>
      </c>
      <c r="N15" s="11">
        <f t="shared" si="2"/>
        <v>235800.65868799994</v>
      </c>
      <c r="O15" s="8">
        <v>45861</v>
      </c>
      <c r="P15" s="6" t="s">
        <v>19</v>
      </c>
      <c r="Q15" s="12">
        <v>45717</v>
      </c>
      <c r="R15" s="6"/>
    </row>
    <row r="16" spans="1:18" hidden="1">
      <c r="A16" s="6">
        <v>15</v>
      </c>
      <c r="B16" s="6" t="s">
        <v>20</v>
      </c>
      <c r="C16" s="7">
        <v>211.20000000000002</v>
      </c>
      <c r="D16" s="6" t="s">
        <v>46</v>
      </c>
      <c r="E16" s="8">
        <v>45698</v>
      </c>
      <c r="F16" s="6" t="s">
        <v>48</v>
      </c>
      <c r="G16" s="49">
        <v>87.585800000000006</v>
      </c>
      <c r="H16" s="9">
        <v>18498.120960000004</v>
      </c>
      <c r="I16" s="10">
        <v>0.02</v>
      </c>
      <c r="J16" s="11">
        <f t="shared" si="0"/>
        <v>370</v>
      </c>
      <c r="K16" s="11">
        <f t="shared" si="1"/>
        <v>18128.120960000004</v>
      </c>
      <c r="L16" s="11"/>
      <c r="M16" s="6">
        <v>18128.12</v>
      </c>
      <c r="N16" s="11">
        <f t="shared" si="2"/>
        <v>18128.12</v>
      </c>
      <c r="O16" s="8">
        <v>45740</v>
      </c>
      <c r="P16" s="13" t="s">
        <v>49</v>
      </c>
      <c r="Q16" s="12">
        <v>45717</v>
      </c>
      <c r="R16" s="6"/>
    </row>
    <row r="17" spans="1:18" hidden="1">
      <c r="A17" s="6">
        <v>16</v>
      </c>
      <c r="B17" s="6" t="s">
        <v>23</v>
      </c>
      <c r="C17" s="7">
        <v>755.80799999999999</v>
      </c>
      <c r="D17" s="6" t="s">
        <v>46</v>
      </c>
      <c r="E17" s="8">
        <v>45698</v>
      </c>
      <c r="F17" s="6" t="s">
        <v>50</v>
      </c>
      <c r="G17" s="49">
        <v>87.585800000000006</v>
      </c>
      <c r="H17" s="9">
        <v>66198.048326400007</v>
      </c>
      <c r="I17" s="10">
        <v>0.02</v>
      </c>
      <c r="J17" s="11">
        <f t="shared" si="0"/>
        <v>1324</v>
      </c>
      <c r="K17" s="11">
        <f t="shared" si="1"/>
        <v>64874.048326400007</v>
      </c>
      <c r="L17" s="11"/>
      <c r="M17" s="6"/>
      <c r="N17" s="11">
        <f t="shared" si="2"/>
        <v>0</v>
      </c>
      <c r="O17" s="6"/>
      <c r="P17" s="6" t="s">
        <v>25</v>
      </c>
      <c r="Q17" s="12">
        <v>45717</v>
      </c>
      <c r="R17" s="6"/>
    </row>
    <row r="18" spans="1:18" hidden="1">
      <c r="A18" s="6">
        <v>17</v>
      </c>
      <c r="B18" s="6" t="s">
        <v>26</v>
      </c>
      <c r="C18" s="7">
        <v>691.19999999999993</v>
      </c>
      <c r="D18" s="6" t="s">
        <v>46</v>
      </c>
      <c r="E18" s="8">
        <v>45698</v>
      </c>
      <c r="F18" s="6" t="s">
        <v>51</v>
      </c>
      <c r="G18" s="49">
        <v>87.585800000000006</v>
      </c>
      <c r="H18" s="9">
        <v>60539.304960000001</v>
      </c>
      <c r="I18" s="10">
        <v>0.02</v>
      </c>
      <c r="J18" s="11">
        <f t="shared" si="0"/>
        <v>1211</v>
      </c>
      <c r="K18" s="11">
        <f t="shared" si="1"/>
        <v>59328.304960000001</v>
      </c>
      <c r="L18" s="11"/>
      <c r="M18" s="6"/>
      <c r="N18" s="11">
        <f t="shared" si="2"/>
        <v>0</v>
      </c>
      <c r="O18" s="6"/>
      <c r="P18" s="6" t="s">
        <v>25</v>
      </c>
      <c r="Q18" s="12">
        <v>45717</v>
      </c>
      <c r="R18" s="6"/>
    </row>
    <row r="19" spans="1:18" hidden="1">
      <c r="A19" s="6">
        <v>18</v>
      </c>
      <c r="B19" s="6" t="s">
        <v>41</v>
      </c>
      <c r="C19" s="7">
        <v>216</v>
      </c>
      <c r="D19" s="6" t="s">
        <v>46</v>
      </c>
      <c r="E19" s="8">
        <v>45698</v>
      </c>
      <c r="F19" s="6" t="s">
        <v>52</v>
      </c>
      <c r="G19" s="49">
        <v>87.585800000000006</v>
      </c>
      <c r="H19" s="9">
        <v>18918.532800000001</v>
      </c>
      <c r="I19" s="10">
        <v>0.02</v>
      </c>
      <c r="J19" s="11">
        <f t="shared" si="0"/>
        <v>378</v>
      </c>
      <c r="K19" s="11">
        <f t="shared" si="1"/>
        <v>18540.532800000001</v>
      </c>
      <c r="L19" s="11"/>
      <c r="M19" s="6"/>
      <c r="N19" s="11">
        <f t="shared" si="2"/>
        <v>0</v>
      </c>
      <c r="O19" s="6"/>
      <c r="P19" s="6" t="s">
        <v>25</v>
      </c>
      <c r="Q19" s="12">
        <v>45717</v>
      </c>
      <c r="R19" s="6"/>
    </row>
    <row r="20" spans="1:18" hidden="1">
      <c r="A20" s="6">
        <v>19</v>
      </c>
      <c r="B20" s="6" t="s">
        <v>28</v>
      </c>
      <c r="C20" s="7">
        <v>755.80799999999999</v>
      </c>
      <c r="D20" s="6" t="s">
        <v>46</v>
      </c>
      <c r="E20" s="8">
        <v>45698</v>
      </c>
      <c r="F20" s="6" t="s">
        <v>53</v>
      </c>
      <c r="G20" s="49">
        <v>87.585800000000006</v>
      </c>
      <c r="H20" s="9">
        <v>66198.048326400007</v>
      </c>
      <c r="I20" s="10">
        <v>0.02</v>
      </c>
      <c r="J20" s="11">
        <f t="shared" si="0"/>
        <v>1324</v>
      </c>
      <c r="K20" s="11">
        <f t="shared" si="1"/>
        <v>64874.048326400007</v>
      </c>
      <c r="L20" s="11"/>
      <c r="M20" s="6"/>
      <c r="N20" s="11">
        <f t="shared" si="2"/>
        <v>0</v>
      </c>
      <c r="O20" s="6"/>
      <c r="P20" s="6" t="s">
        <v>25</v>
      </c>
      <c r="Q20" s="12">
        <v>45717</v>
      </c>
      <c r="R20" s="6"/>
    </row>
    <row r="21" spans="1:18" hidden="1">
      <c r="A21" s="6">
        <v>20</v>
      </c>
      <c r="B21" s="6" t="s">
        <v>54</v>
      </c>
      <c r="C21" s="7">
        <v>887.67999999999984</v>
      </c>
      <c r="D21" s="6" t="s">
        <v>55</v>
      </c>
      <c r="E21" s="8">
        <v>45698</v>
      </c>
      <c r="F21" s="6" t="s">
        <v>56</v>
      </c>
      <c r="G21" s="49">
        <v>87.585800000000006</v>
      </c>
      <c r="H21" s="9">
        <v>77748.162943999996</v>
      </c>
      <c r="I21" s="10">
        <v>0.1</v>
      </c>
      <c r="J21" s="11">
        <f t="shared" si="0"/>
        <v>7775</v>
      </c>
      <c r="K21" s="11">
        <f t="shared" si="1"/>
        <v>69973.162943999996</v>
      </c>
      <c r="L21" s="11"/>
      <c r="M21" s="11">
        <v>69973.16</v>
      </c>
      <c r="N21" s="11">
        <f t="shared" si="2"/>
        <v>69973.16</v>
      </c>
      <c r="O21" s="8">
        <v>45728</v>
      </c>
      <c r="P21" s="13" t="s">
        <v>57</v>
      </c>
      <c r="Q21" s="12">
        <v>45717</v>
      </c>
      <c r="R21" s="6"/>
    </row>
    <row r="22" spans="1:18" hidden="1">
      <c r="A22" s="6">
        <v>21</v>
      </c>
      <c r="B22" s="6" t="s">
        <v>41</v>
      </c>
      <c r="C22" s="7">
        <v>162</v>
      </c>
      <c r="D22" s="6" t="s">
        <v>55</v>
      </c>
      <c r="E22" s="8">
        <v>45698</v>
      </c>
      <c r="F22" s="6" t="s">
        <v>58</v>
      </c>
      <c r="G22" s="49">
        <v>87.585800000000006</v>
      </c>
      <c r="H22" s="9">
        <v>14188.899600000001</v>
      </c>
      <c r="I22" s="10">
        <v>0.02</v>
      </c>
      <c r="J22" s="11">
        <f t="shared" si="0"/>
        <v>284</v>
      </c>
      <c r="K22" s="11">
        <f t="shared" si="1"/>
        <v>13904.899600000001</v>
      </c>
      <c r="L22" s="11"/>
      <c r="M22" s="6"/>
      <c r="N22" s="11">
        <f t="shared" si="2"/>
        <v>0</v>
      </c>
      <c r="O22" s="6"/>
      <c r="P22" s="6" t="s">
        <v>25</v>
      </c>
      <c r="Q22" s="12">
        <v>45717</v>
      </c>
      <c r="R22" s="6"/>
    </row>
    <row r="23" spans="1:18" hidden="1">
      <c r="A23" s="6">
        <v>22</v>
      </c>
      <c r="B23" s="6" t="s">
        <v>28</v>
      </c>
      <c r="C23" s="7">
        <v>566.85599999999999</v>
      </c>
      <c r="D23" s="6" t="s">
        <v>55</v>
      </c>
      <c r="E23" s="8">
        <v>45698</v>
      </c>
      <c r="F23" s="6" t="s">
        <v>59</v>
      </c>
      <c r="G23" s="49">
        <v>87.585800000000006</v>
      </c>
      <c r="H23" s="9">
        <v>49648.536244800001</v>
      </c>
      <c r="I23" s="10">
        <v>0.02</v>
      </c>
      <c r="J23" s="11">
        <f t="shared" si="0"/>
        <v>993</v>
      </c>
      <c r="K23" s="11">
        <f t="shared" si="1"/>
        <v>48655.536244800001</v>
      </c>
      <c r="L23" s="11"/>
      <c r="M23" s="6"/>
      <c r="N23" s="11">
        <f t="shared" si="2"/>
        <v>0</v>
      </c>
      <c r="O23" s="6"/>
      <c r="P23" s="6" t="s">
        <v>25</v>
      </c>
      <c r="Q23" s="12">
        <v>45717</v>
      </c>
      <c r="R23" s="6"/>
    </row>
    <row r="24" spans="1:18" hidden="1">
      <c r="A24" s="6">
        <v>23</v>
      </c>
      <c r="B24" s="6" t="s">
        <v>26</v>
      </c>
      <c r="C24" s="7">
        <v>259.2</v>
      </c>
      <c r="D24" s="6" t="s">
        <v>55</v>
      </c>
      <c r="E24" s="8">
        <v>45698</v>
      </c>
      <c r="F24" s="6" t="s">
        <v>60</v>
      </c>
      <c r="G24" s="49">
        <v>87.585800000000006</v>
      </c>
      <c r="H24" s="9">
        <v>22702.23936</v>
      </c>
      <c r="I24" s="10">
        <v>0.02</v>
      </c>
      <c r="J24" s="11">
        <f t="shared" si="0"/>
        <v>454</v>
      </c>
      <c r="K24" s="11">
        <f t="shared" si="1"/>
        <v>22248.23936</v>
      </c>
      <c r="L24" s="11"/>
      <c r="M24" s="6"/>
      <c r="N24" s="11">
        <f t="shared" si="2"/>
        <v>0</v>
      </c>
      <c r="O24" s="6"/>
      <c r="P24" s="6" t="s">
        <v>25</v>
      </c>
      <c r="Q24" s="12">
        <v>45717</v>
      </c>
      <c r="R24" s="6"/>
    </row>
    <row r="25" spans="1:18" hidden="1">
      <c r="A25" s="6">
        <v>24</v>
      </c>
      <c r="B25" s="6" t="s">
        <v>61</v>
      </c>
      <c r="C25" s="7">
        <v>364.79999999999995</v>
      </c>
      <c r="D25" s="6" t="s">
        <v>62</v>
      </c>
      <c r="E25" s="8">
        <v>45698</v>
      </c>
      <c r="F25" s="6" t="s">
        <v>63</v>
      </c>
      <c r="G25" s="49">
        <v>87.585800000000006</v>
      </c>
      <c r="H25" s="9">
        <v>31951.29984</v>
      </c>
      <c r="I25" s="10">
        <v>0.1</v>
      </c>
      <c r="J25" s="11">
        <f t="shared" si="0"/>
        <v>3195</v>
      </c>
      <c r="K25" s="11">
        <f t="shared" si="1"/>
        <v>28756.29984</v>
      </c>
      <c r="L25" s="11"/>
      <c r="M25" s="11">
        <v>28756.3</v>
      </c>
      <c r="N25" s="11">
        <f t="shared" si="2"/>
        <v>28756.3</v>
      </c>
      <c r="O25" s="8">
        <v>45728</v>
      </c>
      <c r="P25" s="13" t="s">
        <v>64</v>
      </c>
      <c r="Q25" s="12">
        <v>45717</v>
      </c>
      <c r="R25" s="6"/>
    </row>
    <row r="26" spans="1:18" hidden="1">
      <c r="A26" s="6">
        <v>25</v>
      </c>
      <c r="B26" s="6" t="s">
        <v>20</v>
      </c>
      <c r="C26" s="7">
        <v>52.8</v>
      </c>
      <c r="D26" s="6" t="s">
        <v>62</v>
      </c>
      <c r="E26" s="8">
        <v>45698</v>
      </c>
      <c r="F26" s="6" t="s">
        <v>65</v>
      </c>
      <c r="G26" s="49">
        <v>87.585800000000006</v>
      </c>
      <c r="H26" s="9">
        <v>4624.53024</v>
      </c>
      <c r="I26" s="10">
        <v>0.02</v>
      </c>
      <c r="J26" s="11">
        <f t="shared" si="0"/>
        <v>92</v>
      </c>
      <c r="K26" s="11">
        <f t="shared" si="1"/>
        <v>4532.53024</v>
      </c>
      <c r="L26" s="11"/>
      <c r="M26" s="6">
        <v>4532.53</v>
      </c>
      <c r="N26" s="11">
        <f t="shared" si="2"/>
        <v>4532.53</v>
      </c>
      <c r="O26" s="8">
        <v>45740</v>
      </c>
      <c r="P26" s="13" t="s">
        <v>66</v>
      </c>
      <c r="Q26" s="12">
        <v>45717</v>
      </c>
      <c r="R26" s="6"/>
    </row>
    <row r="27" spans="1:18" hidden="1">
      <c r="A27" s="6">
        <v>26</v>
      </c>
      <c r="B27" s="6" t="s">
        <v>23</v>
      </c>
      <c r="C27" s="7">
        <v>188.952</v>
      </c>
      <c r="D27" s="6" t="s">
        <v>62</v>
      </c>
      <c r="E27" s="8">
        <v>45698</v>
      </c>
      <c r="F27" s="6" t="s">
        <v>67</v>
      </c>
      <c r="G27" s="49">
        <v>87.585800000000006</v>
      </c>
      <c r="H27" s="9">
        <v>16549.512081600002</v>
      </c>
      <c r="I27" s="10">
        <v>0.02</v>
      </c>
      <c r="J27" s="11">
        <f t="shared" si="0"/>
        <v>331</v>
      </c>
      <c r="K27" s="11">
        <f t="shared" si="1"/>
        <v>16218.512081600002</v>
      </c>
      <c r="L27" s="11"/>
      <c r="M27" s="6"/>
      <c r="N27" s="11">
        <f t="shared" si="2"/>
        <v>0</v>
      </c>
      <c r="O27" s="6"/>
      <c r="P27" s="6" t="s">
        <v>25</v>
      </c>
      <c r="Q27" s="12">
        <v>45717</v>
      </c>
      <c r="R27" s="6"/>
    </row>
    <row r="28" spans="1:18" hidden="1">
      <c r="A28" s="6">
        <v>27</v>
      </c>
      <c r="B28" s="6" t="s">
        <v>26</v>
      </c>
      <c r="C28" s="7">
        <v>172.8</v>
      </c>
      <c r="D28" s="6" t="s">
        <v>62</v>
      </c>
      <c r="E28" s="8">
        <v>45698</v>
      </c>
      <c r="F28" s="6" t="s">
        <v>68</v>
      </c>
      <c r="G28" s="49">
        <v>87.585800000000006</v>
      </c>
      <c r="H28" s="9">
        <v>15134.826240000002</v>
      </c>
      <c r="I28" s="10">
        <v>0.02</v>
      </c>
      <c r="J28" s="11">
        <f t="shared" si="0"/>
        <v>303</v>
      </c>
      <c r="K28" s="11">
        <f t="shared" si="1"/>
        <v>14831.826240000002</v>
      </c>
      <c r="L28" s="11"/>
      <c r="M28" s="6"/>
      <c r="N28" s="11">
        <f t="shared" si="2"/>
        <v>0</v>
      </c>
      <c r="O28" s="6"/>
      <c r="P28" s="6" t="s">
        <v>25</v>
      </c>
      <c r="Q28" s="12">
        <v>45717</v>
      </c>
      <c r="R28" s="6"/>
    </row>
    <row r="29" spans="1:18" hidden="1">
      <c r="A29" s="6">
        <v>28</v>
      </c>
      <c r="B29" s="6" t="s">
        <v>41</v>
      </c>
      <c r="C29" s="7">
        <v>54</v>
      </c>
      <c r="D29" s="6" t="s">
        <v>62</v>
      </c>
      <c r="E29" s="8">
        <v>45698</v>
      </c>
      <c r="F29" s="6" t="s">
        <v>69</v>
      </c>
      <c r="G29" s="49">
        <v>87.585800000000006</v>
      </c>
      <c r="H29" s="9">
        <v>4729.6332000000002</v>
      </c>
      <c r="I29" s="10">
        <v>0.02</v>
      </c>
      <c r="J29" s="11">
        <f t="shared" si="0"/>
        <v>95</v>
      </c>
      <c r="K29" s="11">
        <f t="shared" si="1"/>
        <v>4634.6332000000002</v>
      </c>
      <c r="L29" s="11"/>
      <c r="M29" s="6"/>
      <c r="N29" s="11">
        <f t="shared" si="2"/>
        <v>0</v>
      </c>
      <c r="O29" s="6"/>
      <c r="P29" s="6" t="s">
        <v>25</v>
      </c>
      <c r="Q29" s="12">
        <v>45717</v>
      </c>
      <c r="R29" s="6"/>
    </row>
    <row r="30" spans="1:18" hidden="1">
      <c r="A30" s="6">
        <v>29</v>
      </c>
      <c r="B30" s="6" t="s">
        <v>28</v>
      </c>
      <c r="C30" s="7">
        <v>188.952</v>
      </c>
      <c r="D30" s="6" t="s">
        <v>62</v>
      </c>
      <c r="E30" s="8">
        <v>45698</v>
      </c>
      <c r="F30" s="6" t="s">
        <v>70</v>
      </c>
      <c r="G30" s="49">
        <v>87.585800000000006</v>
      </c>
      <c r="H30" s="9">
        <v>16549.512081600002</v>
      </c>
      <c r="I30" s="10">
        <v>0.02</v>
      </c>
      <c r="J30" s="11">
        <f t="shared" si="0"/>
        <v>331</v>
      </c>
      <c r="K30" s="11">
        <f t="shared" si="1"/>
        <v>16218.512081600002</v>
      </c>
      <c r="L30" s="11"/>
      <c r="M30" s="6"/>
      <c r="N30" s="11">
        <f t="shared" si="2"/>
        <v>0</v>
      </c>
      <c r="O30" s="6"/>
      <c r="P30" s="6" t="s">
        <v>25</v>
      </c>
      <c r="Q30" s="12">
        <v>45717</v>
      </c>
      <c r="R30" s="6"/>
    </row>
    <row r="31" spans="1:18" hidden="1">
      <c r="A31" s="6">
        <v>30</v>
      </c>
      <c r="B31" s="6" t="s">
        <v>71</v>
      </c>
      <c r="C31" s="7">
        <v>1231.9599999999998</v>
      </c>
      <c r="D31" s="6" t="s">
        <v>72</v>
      </c>
      <c r="E31" s="8">
        <v>45698</v>
      </c>
      <c r="F31" s="6" t="s">
        <v>73</v>
      </c>
      <c r="G31" s="49">
        <v>87.585800000000006</v>
      </c>
      <c r="H31" s="9">
        <v>107902.20216799999</v>
      </c>
      <c r="I31" s="10">
        <v>0.1</v>
      </c>
      <c r="J31" s="11">
        <f t="shared" si="0"/>
        <v>10790</v>
      </c>
      <c r="K31" s="11">
        <f t="shared" si="1"/>
        <v>97112.202167999989</v>
      </c>
      <c r="L31" s="11"/>
      <c r="M31" s="11">
        <v>97112.2</v>
      </c>
      <c r="N31" s="11">
        <f t="shared" si="2"/>
        <v>97112.2</v>
      </c>
      <c r="O31" s="8">
        <v>45728</v>
      </c>
      <c r="P31" s="13" t="s">
        <v>74</v>
      </c>
      <c r="Q31" s="12">
        <v>45717</v>
      </c>
      <c r="R31" s="6"/>
    </row>
    <row r="32" spans="1:18" hidden="1">
      <c r="A32" s="6">
        <v>31</v>
      </c>
      <c r="B32" s="6" t="s">
        <v>75</v>
      </c>
      <c r="C32" s="7">
        <v>180</v>
      </c>
      <c r="D32" s="6" t="s">
        <v>72</v>
      </c>
      <c r="E32" s="8">
        <v>45698</v>
      </c>
      <c r="F32" s="6" t="s">
        <v>76</v>
      </c>
      <c r="G32" s="49">
        <v>87.585800000000006</v>
      </c>
      <c r="H32" s="9">
        <v>15765.444000000001</v>
      </c>
      <c r="I32" s="10">
        <v>0.02</v>
      </c>
      <c r="J32" s="11">
        <f t="shared" si="0"/>
        <v>315</v>
      </c>
      <c r="K32" s="11">
        <f t="shared" si="1"/>
        <v>15450.444000000001</v>
      </c>
      <c r="L32" s="11"/>
      <c r="M32" s="6">
        <v>15450.44</v>
      </c>
      <c r="N32" s="11">
        <f t="shared" si="2"/>
        <v>15450.44</v>
      </c>
      <c r="O32" s="8">
        <v>45740</v>
      </c>
      <c r="P32" s="13" t="s">
        <v>77</v>
      </c>
      <c r="Q32" s="12">
        <v>45717</v>
      </c>
      <c r="R32" s="6"/>
    </row>
    <row r="33" spans="1:18" hidden="1">
      <c r="A33" s="6">
        <v>32</v>
      </c>
      <c r="B33" s="6" t="s">
        <v>78</v>
      </c>
      <c r="C33" s="7">
        <v>27</v>
      </c>
      <c r="D33" s="6" t="s">
        <v>72</v>
      </c>
      <c r="E33" s="8">
        <v>45698</v>
      </c>
      <c r="F33" s="6" t="s">
        <v>79</v>
      </c>
      <c r="G33" s="49">
        <v>87.585800000000006</v>
      </c>
      <c r="H33" s="9">
        <v>2364.8166000000001</v>
      </c>
      <c r="I33" s="10">
        <v>0.02</v>
      </c>
      <c r="J33" s="11">
        <f t="shared" si="0"/>
        <v>47</v>
      </c>
      <c r="K33" s="11">
        <f t="shared" si="1"/>
        <v>2317.8166000000001</v>
      </c>
      <c r="L33" s="11"/>
      <c r="M33" s="6"/>
      <c r="N33" s="11">
        <f t="shared" si="2"/>
        <v>0</v>
      </c>
      <c r="O33" s="6"/>
      <c r="P33" s="6" t="s">
        <v>25</v>
      </c>
      <c r="Q33" s="12">
        <v>45717</v>
      </c>
      <c r="R33" s="6"/>
    </row>
    <row r="34" spans="1:18" hidden="1">
      <c r="A34" s="6">
        <v>33</v>
      </c>
      <c r="B34" s="6" t="s">
        <v>80</v>
      </c>
      <c r="C34" s="7">
        <v>180</v>
      </c>
      <c r="D34" s="6" t="s">
        <v>72</v>
      </c>
      <c r="E34" s="8">
        <v>45698</v>
      </c>
      <c r="F34" s="6" t="s">
        <v>81</v>
      </c>
      <c r="G34" s="49">
        <v>87.585800000000006</v>
      </c>
      <c r="H34" s="9">
        <v>15765.444000000001</v>
      </c>
      <c r="I34" s="10">
        <v>0.02</v>
      </c>
      <c r="J34" s="11">
        <f t="shared" si="0"/>
        <v>315</v>
      </c>
      <c r="K34" s="11">
        <f t="shared" si="1"/>
        <v>15450.444000000001</v>
      </c>
      <c r="L34" s="11"/>
      <c r="M34" s="6"/>
      <c r="N34" s="11">
        <f t="shared" si="2"/>
        <v>0</v>
      </c>
      <c r="O34" s="6"/>
      <c r="P34" s="6" t="s">
        <v>25</v>
      </c>
      <c r="Q34" s="12">
        <v>45717</v>
      </c>
      <c r="R34" s="6"/>
    </row>
    <row r="35" spans="1:18" hidden="1">
      <c r="A35" s="6">
        <v>34</v>
      </c>
      <c r="B35" s="6" t="s">
        <v>20</v>
      </c>
      <c r="C35" s="7">
        <v>52.8</v>
      </c>
      <c r="D35" s="6" t="s">
        <v>72</v>
      </c>
      <c r="E35" s="8">
        <v>45698</v>
      </c>
      <c r="F35" s="6" t="s">
        <v>82</v>
      </c>
      <c r="G35" s="49">
        <v>87.585800000000006</v>
      </c>
      <c r="H35" s="9">
        <v>4624.53024</v>
      </c>
      <c r="I35" s="10">
        <v>0.02</v>
      </c>
      <c r="J35" s="11">
        <f t="shared" si="0"/>
        <v>92</v>
      </c>
      <c r="K35" s="11">
        <f t="shared" si="1"/>
        <v>4532.53024</v>
      </c>
      <c r="L35" s="11"/>
      <c r="M35" s="6">
        <v>4532.53</v>
      </c>
      <c r="N35" s="11">
        <f t="shared" si="2"/>
        <v>4532.53</v>
      </c>
      <c r="O35" s="8">
        <v>45740</v>
      </c>
      <c r="P35" s="13" t="s">
        <v>83</v>
      </c>
      <c r="Q35" s="12">
        <v>45717</v>
      </c>
      <c r="R35" s="6"/>
    </row>
    <row r="36" spans="1:18" hidden="1">
      <c r="A36" s="6">
        <v>35</v>
      </c>
      <c r="B36" s="6" t="s">
        <v>23</v>
      </c>
      <c r="C36" s="7">
        <v>252.93199999999999</v>
      </c>
      <c r="D36" s="6" t="s">
        <v>72</v>
      </c>
      <c r="E36" s="8">
        <v>45698</v>
      </c>
      <c r="F36" s="6" t="s">
        <v>84</v>
      </c>
      <c r="G36" s="49">
        <v>87.585800000000006</v>
      </c>
      <c r="H36" s="9">
        <v>22153.2515656</v>
      </c>
      <c r="I36" s="10">
        <v>0.02</v>
      </c>
      <c r="J36" s="11">
        <f t="shared" si="0"/>
        <v>443</v>
      </c>
      <c r="K36" s="11">
        <f t="shared" si="1"/>
        <v>21710.2515656</v>
      </c>
      <c r="L36" s="11"/>
      <c r="M36" s="6"/>
      <c r="N36" s="11">
        <f t="shared" si="2"/>
        <v>0</v>
      </c>
      <c r="O36" s="6"/>
      <c r="P36" s="6" t="s">
        <v>25</v>
      </c>
      <c r="Q36" s="12">
        <v>45717</v>
      </c>
      <c r="R36" s="6"/>
    </row>
    <row r="37" spans="1:18" hidden="1">
      <c r="A37" s="6">
        <v>36</v>
      </c>
      <c r="B37" s="6" t="s">
        <v>85</v>
      </c>
      <c r="C37" s="7">
        <v>31.99</v>
      </c>
      <c r="D37" s="6" t="s">
        <v>72</v>
      </c>
      <c r="E37" s="8">
        <v>45698</v>
      </c>
      <c r="F37" s="6" t="s">
        <v>86</v>
      </c>
      <c r="G37" s="49">
        <v>87.585800000000006</v>
      </c>
      <c r="H37" s="9">
        <v>2801.8697419999999</v>
      </c>
      <c r="I37" s="10">
        <v>0.02</v>
      </c>
      <c r="J37" s="11">
        <f t="shared" si="0"/>
        <v>56</v>
      </c>
      <c r="K37" s="11">
        <f t="shared" si="1"/>
        <v>2745.8697419999999</v>
      </c>
      <c r="L37" s="11"/>
      <c r="M37" s="6"/>
      <c r="N37" s="11">
        <f t="shared" si="2"/>
        <v>0</v>
      </c>
      <c r="O37" s="6"/>
      <c r="P37" s="6" t="s">
        <v>25</v>
      </c>
      <c r="Q37" s="12">
        <v>45717</v>
      </c>
      <c r="R37" s="6"/>
    </row>
    <row r="38" spans="1:18" hidden="1">
      <c r="A38" s="6">
        <v>37</v>
      </c>
      <c r="B38" s="6" t="s">
        <v>26</v>
      </c>
      <c r="C38" s="7">
        <v>129.60000000000002</v>
      </c>
      <c r="D38" s="6" t="s">
        <v>72</v>
      </c>
      <c r="E38" s="8">
        <v>45698</v>
      </c>
      <c r="F38" s="6" t="s">
        <v>87</v>
      </c>
      <c r="G38" s="49">
        <v>87.585800000000006</v>
      </c>
      <c r="H38" s="9">
        <v>11351.119680000003</v>
      </c>
      <c r="I38" s="10">
        <v>0.02</v>
      </c>
      <c r="J38" s="11">
        <f t="shared" si="0"/>
        <v>227</v>
      </c>
      <c r="K38" s="11">
        <f t="shared" si="1"/>
        <v>11124.119680000003</v>
      </c>
      <c r="L38" s="11"/>
      <c r="M38" s="6"/>
      <c r="N38" s="11">
        <f t="shared" si="2"/>
        <v>0</v>
      </c>
      <c r="O38" s="6"/>
      <c r="P38" s="6" t="s">
        <v>25</v>
      </c>
      <c r="Q38" s="12">
        <v>45717</v>
      </c>
      <c r="R38" s="6"/>
    </row>
    <row r="39" spans="1:18" hidden="1">
      <c r="A39" s="6">
        <v>38</v>
      </c>
      <c r="B39" s="6" t="s">
        <v>28</v>
      </c>
      <c r="C39" s="7">
        <v>63.98</v>
      </c>
      <c r="D39" s="6" t="s">
        <v>72</v>
      </c>
      <c r="E39" s="8">
        <v>45698</v>
      </c>
      <c r="F39" s="6" t="s">
        <v>88</v>
      </c>
      <c r="G39" s="49">
        <v>87.585800000000006</v>
      </c>
      <c r="H39" s="9">
        <v>5603.7394839999997</v>
      </c>
      <c r="I39" s="10">
        <v>0.02</v>
      </c>
      <c r="J39" s="11">
        <f t="shared" si="0"/>
        <v>112</v>
      </c>
      <c r="K39" s="11">
        <f t="shared" si="1"/>
        <v>5491.7394839999997</v>
      </c>
      <c r="L39" s="11"/>
      <c r="M39" s="6"/>
      <c r="N39" s="11">
        <f t="shared" si="2"/>
        <v>0</v>
      </c>
      <c r="O39" s="6"/>
      <c r="P39" s="6" t="s">
        <v>25</v>
      </c>
      <c r="Q39" s="12">
        <v>45717</v>
      </c>
      <c r="R39" s="6"/>
    </row>
    <row r="40" spans="1:18" hidden="1">
      <c r="A40" s="6">
        <v>39</v>
      </c>
      <c r="B40" s="6" t="s">
        <v>89</v>
      </c>
      <c r="C40" s="7">
        <v>31.99</v>
      </c>
      <c r="D40" s="6" t="s">
        <v>72</v>
      </c>
      <c r="E40" s="8">
        <v>45698</v>
      </c>
      <c r="F40" s="6" t="s">
        <v>90</v>
      </c>
      <c r="G40" s="49">
        <v>87.585800000000006</v>
      </c>
      <c r="H40" s="9">
        <v>2801.8697419999999</v>
      </c>
      <c r="I40" s="10">
        <v>0.02</v>
      </c>
      <c r="J40" s="11">
        <f t="shared" si="0"/>
        <v>56</v>
      </c>
      <c r="K40" s="11">
        <f t="shared" si="1"/>
        <v>2745.8697419999999</v>
      </c>
      <c r="L40" s="11"/>
      <c r="M40" s="6"/>
      <c r="N40" s="11">
        <f t="shared" si="2"/>
        <v>0</v>
      </c>
      <c r="O40" s="6"/>
      <c r="P40" s="6" t="s">
        <v>25</v>
      </c>
      <c r="Q40" s="12">
        <v>45717</v>
      </c>
      <c r="R40" s="6"/>
    </row>
    <row r="41" spans="1:18" hidden="1">
      <c r="A41" s="6">
        <v>40</v>
      </c>
      <c r="B41" s="6" t="s">
        <v>91</v>
      </c>
      <c r="C41" s="7">
        <v>364.8</v>
      </c>
      <c r="D41" s="6" t="s">
        <v>92</v>
      </c>
      <c r="E41" s="8">
        <v>45751</v>
      </c>
      <c r="F41" s="113">
        <v>256779410800</v>
      </c>
      <c r="G41" s="50">
        <v>86.921819999999997</v>
      </c>
      <c r="H41" s="9">
        <v>31709.079935999998</v>
      </c>
      <c r="I41" s="10">
        <v>0.1</v>
      </c>
      <c r="J41" s="11">
        <f t="shared" si="0"/>
        <v>3171</v>
      </c>
      <c r="K41" s="11">
        <f>H41-J41</f>
        <v>28538.079935999998</v>
      </c>
      <c r="L41" s="11"/>
      <c r="M41" s="16">
        <v>28538.079935999998</v>
      </c>
      <c r="N41" s="11">
        <f t="shared" si="2"/>
        <v>28538.079935999998</v>
      </c>
      <c r="O41" s="8">
        <v>45791</v>
      </c>
      <c r="P41" s="13" t="s">
        <v>94</v>
      </c>
      <c r="Q41" s="12">
        <v>45717</v>
      </c>
      <c r="R41" s="6"/>
    </row>
    <row r="42" spans="1:18" hidden="1">
      <c r="A42" s="6">
        <v>41</v>
      </c>
      <c r="B42" s="6" t="s">
        <v>95</v>
      </c>
      <c r="C42" s="7">
        <v>25.17</v>
      </c>
      <c r="D42" s="6" t="s">
        <v>92</v>
      </c>
      <c r="E42" s="8">
        <v>45763</v>
      </c>
      <c r="F42" s="113">
        <v>256779412037</v>
      </c>
      <c r="G42" s="50">
        <v>86.921819999999997</v>
      </c>
      <c r="H42" s="9">
        <v>2187.8222094000002</v>
      </c>
      <c r="I42" s="10">
        <v>0.02</v>
      </c>
      <c r="J42" s="11">
        <f t="shared" si="0"/>
        <v>44</v>
      </c>
      <c r="K42" s="11">
        <f>H42-J42</f>
        <v>2143.8222094000002</v>
      </c>
      <c r="L42" s="11"/>
      <c r="M42" s="15"/>
      <c r="N42" s="11">
        <f t="shared" si="2"/>
        <v>0</v>
      </c>
      <c r="O42" s="6"/>
      <c r="P42" s="6" t="s">
        <v>25</v>
      </c>
      <c r="Q42" s="12">
        <v>45717</v>
      </c>
      <c r="R42" s="6"/>
    </row>
    <row r="43" spans="1:18" hidden="1">
      <c r="A43" s="6">
        <v>42</v>
      </c>
      <c r="B43" s="6" t="s">
        <v>97</v>
      </c>
      <c r="C43" s="7">
        <v>283.43</v>
      </c>
      <c r="D43" s="6" t="s">
        <v>98</v>
      </c>
      <c r="E43" s="8">
        <v>45750</v>
      </c>
      <c r="F43" s="113">
        <v>256779410039</v>
      </c>
      <c r="G43" s="50">
        <v>86.921819999999997</v>
      </c>
      <c r="H43" s="9">
        <v>24636.251442599998</v>
      </c>
      <c r="I43" s="10">
        <v>0.02</v>
      </c>
      <c r="J43" s="11">
        <f t="shared" si="0"/>
        <v>493</v>
      </c>
      <c r="K43" s="11">
        <f>H43-J43</f>
        <v>24143.251442599998</v>
      </c>
      <c r="L43" s="11"/>
      <c r="M43" s="17">
        <f>K43</f>
        <v>24143.251442599998</v>
      </c>
      <c r="N43" s="11">
        <f t="shared" si="2"/>
        <v>24143.251442599998</v>
      </c>
      <c r="O43" s="8">
        <v>45791</v>
      </c>
      <c r="P43" s="13" t="s">
        <v>94</v>
      </c>
      <c r="Q43" s="12">
        <v>45717</v>
      </c>
      <c r="R43" s="6"/>
    </row>
    <row r="44" spans="1:18" hidden="1">
      <c r="A44" s="6">
        <v>43</v>
      </c>
      <c r="B44" s="6" t="s">
        <v>100</v>
      </c>
      <c r="C44" s="7">
        <v>79.2</v>
      </c>
      <c r="D44" s="6" t="s">
        <v>98</v>
      </c>
      <c r="E44" s="8">
        <v>45750</v>
      </c>
      <c r="F44" s="113">
        <v>256779410040</v>
      </c>
      <c r="G44" s="50">
        <v>86.921819999999997</v>
      </c>
      <c r="H44" s="9">
        <v>6884.2081440000002</v>
      </c>
      <c r="I44" s="10">
        <v>0.02</v>
      </c>
      <c r="J44" s="11">
        <f t="shared" si="0"/>
        <v>138</v>
      </c>
      <c r="K44" s="11">
        <f t="shared" ref="K44:K77" si="3">H44-J44</f>
        <v>6746.2081440000002</v>
      </c>
      <c r="L44" s="11"/>
      <c r="M44" s="17">
        <f>K44</f>
        <v>6746.2081440000002</v>
      </c>
      <c r="N44" s="11">
        <f t="shared" si="2"/>
        <v>6746.2081440000002</v>
      </c>
      <c r="O44" s="8">
        <v>45791</v>
      </c>
      <c r="P44" s="13" t="s">
        <v>94</v>
      </c>
      <c r="Q44" s="12">
        <v>45717</v>
      </c>
      <c r="R44" s="6"/>
    </row>
    <row r="45" spans="1:18" hidden="1">
      <c r="A45" s="6">
        <v>44</v>
      </c>
      <c r="B45" s="6" t="s">
        <v>102</v>
      </c>
      <c r="C45" s="7">
        <v>129.6</v>
      </c>
      <c r="D45" s="6" t="s">
        <v>98</v>
      </c>
      <c r="E45" s="8">
        <v>45750</v>
      </c>
      <c r="F45" s="113">
        <v>256779410041</v>
      </c>
      <c r="G45" s="50">
        <v>86.921819999999997</v>
      </c>
      <c r="H45" s="9">
        <v>11265.067872</v>
      </c>
      <c r="I45" s="10">
        <v>0.02</v>
      </c>
      <c r="J45" s="11">
        <f t="shared" si="0"/>
        <v>225</v>
      </c>
      <c r="K45" s="11">
        <f t="shared" si="3"/>
        <v>11040.067872</v>
      </c>
      <c r="L45" s="11"/>
      <c r="M45" s="17">
        <f>K45</f>
        <v>11040.067872</v>
      </c>
      <c r="N45" s="11">
        <f t="shared" si="2"/>
        <v>11040.067872</v>
      </c>
      <c r="O45" s="8">
        <v>45791</v>
      </c>
      <c r="P45" s="13" t="s">
        <v>94</v>
      </c>
      <c r="Q45" s="12">
        <v>45717</v>
      </c>
      <c r="R45" s="6"/>
    </row>
    <row r="46" spans="1:18" hidden="1">
      <c r="A46" s="6">
        <v>45</v>
      </c>
      <c r="B46" s="6" t="s">
        <v>104</v>
      </c>
      <c r="C46" s="7">
        <v>270</v>
      </c>
      <c r="D46" s="6" t="s">
        <v>98</v>
      </c>
      <c r="E46" s="8">
        <v>45750</v>
      </c>
      <c r="F46" s="113">
        <v>256779410042</v>
      </c>
      <c r="G46" s="50">
        <v>86.921819999999997</v>
      </c>
      <c r="H46" s="9">
        <v>23468.8914</v>
      </c>
      <c r="I46" s="10">
        <v>0.02</v>
      </c>
      <c r="J46" s="11">
        <f t="shared" si="0"/>
        <v>469</v>
      </c>
      <c r="K46" s="11">
        <f t="shared" si="3"/>
        <v>22999.8914</v>
      </c>
      <c r="L46" s="11"/>
      <c r="M46" s="15"/>
      <c r="N46" s="11">
        <f t="shared" si="2"/>
        <v>0</v>
      </c>
      <c r="O46" s="6"/>
      <c r="P46" s="6" t="s">
        <v>25</v>
      </c>
      <c r="Q46" s="12">
        <v>45717</v>
      </c>
      <c r="R46" s="6"/>
    </row>
    <row r="47" spans="1:18" hidden="1">
      <c r="A47" s="6">
        <v>46</v>
      </c>
      <c r="B47" s="6" t="s">
        <v>106</v>
      </c>
      <c r="C47" s="7">
        <v>283.43</v>
      </c>
      <c r="D47" s="6" t="s">
        <v>98</v>
      </c>
      <c r="E47" s="8">
        <v>45750</v>
      </c>
      <c r="F47" s="113">
        <v>256779410102</v>
      </c>
      <c r="G47" s="50">
        <v>86.921819999999997</v>
      </c>
      <c r="H47" s="9">
        <v>24636.251442599998</v>
      </c>
      <c r="I47" s="10">
        <v>0.02</v>
      </c>
      <c r="J47" s="11">
        <f t="shared" si="0"/>
        <v>493</v>
      </c>
      <c r="K47" s="11">
        <f t="shared" si="3"/>
        <v>24143.251442599998</v>
      </c>
      <c r="L47" s="11"/>
      <c r="M47" s="17">
        <f>K47</f>
        <v>24143.251442599998</v>
      </c>
      <c r="N47" s="11">
        <f t="shared" si="2"/>
        <v>24143.251442599998</v>
      </c>
      <c r="O47" s="8">
        <v>45791</v>
      </c>
      <c r="P47" s="13" t="s">
        <v>94</v>
      </c>
      <c r="Q47" s="12">
        <v>45717</v>
      </c>
      <c r="R47" s="6"/>
    </row>
    <row r="48" spans="1:18" hidden="1">
      <c r="A48" s="6">
        <v>47</v>
      </c>
      <c r="B48" s="6" t="s">
        <v>108</v>
      </c>
      <c r="C48" s="7">
        <v>81</v>
      </c>
      <c r="D48" s="6" t="s">
        <v>98</v>
      </c>
      <c r="E48" s="8">
        <v>45750</v>
      </c>
      <c r="F48" s="113">
        <v>256779410103</v>
      </c>
      <c r="G48" s="50">
        <v>86.921819999999997</v>
      </c>
      <c r="H48" s="9">
        <v>7040.6674199999998</v>
      </c>
      <c r="I48" s="10">
        <v>0.02</v>
      </c>
      <c r="J48" s="11">
        <f t="shared" si="0"/>
        <v>141</v>
      </c>
      <c r="K48" s="11">
        <f t="shared" si="3"/>
        <v>6899.6674199999998</v>
      </c>
      <c r="L48" s="11"/>
      <c r="M48" s="15"/>
      <c r="N48" s="11">
        <f t="shared" si="2"/>
        <v>0</v>
      </c>
      <c r="O48" s="6"/>
      <c r="P48" s="6" t="s">
        <v>25</v>
      </c>
      <c r="Q48" s="12">
        <v>45717</v>
      </c>
      <c r="R48" s="6"/>
    </row>
    <row r="49" spans="1:18" hidden="1">
      <c r="A49" s="6">
        <v>48</v>
      </c>
      <c r="B49" s="6" t="s">
        <v>110</v>
      </c>
      <c r="C49" s="7">
        <v>129.6</v>
      </c>
      <c r="D49" s="6" t="s">
        <v>98</v>
      </c>
      <c r="E49" s="8">
        <v>45750</v>
      </c>
      <c r="F49" s="113">
        <v>256779410104</v>
      </c>
      <c r="G49" s="50">
        <v>86.921819999999997</v>
      </c>
      <c r="H49" s="9">
        <v>11265.067872</v>
      </c>
      <c r="I49" s="10">
        <v>0.02</v>
      </c>
      <c r="J49" s="11">
        <f t="shared" si="0"/>
        <v>225</v>
      </c>
      <c r="K49" s="11">
        <f t="shared" si="3"/>
        <v>11040.067872</v>
      </c>
      <c r="L49" s="11"/>
      <c r="M49" s="17">
        <f>K49</f>
        <v>11040.067872</v>
      </c>
      <c r="N49" s="11">
        <f t="shared" si="2"/>
        <v>11040.067872</v>
      </c>
      <c r="O49" s="8">
        <v>45791</v>
      </c>
      <c r="P49" s="13" t="s">
        <v>94</v>
      </c>
      <c r="Q49" s="12">
        <v>45717</v>
      </c>
      <c r="R49" s="6"/>
    </row>
    <row r="50" spans="1:18" hidden="1">
      <c r="A50" s="6">
        <v>49</v>
      </c>
      <c r="B50" s="6" t="s">
        <v>112</v>
      </c>
      <c r="C50" s="7">
        <v>75.849999999999994</v>
      </c>
      <c r="D50" s="6" t="s">
        <v>98</v>
      </c>
      <c r="E50" s="8">
        <v>45750</v>
      </c>
      <c r="F50" s="113">
        <v>256779410183</v>
      </c>
      <c r="G50" s="50">
        <v>86.921819999999997</v>
      </c>
      <c r="H50" s="9">
        <v>6593.0200469999991</v>
      </c>
      <c r="I50" s="10">
        <v>0.02</v>
      </c>
      <c r="J50" s="11">
        <f t="shared" si="0"/>
        <v>132</v>
      </c>
      <c r="K50" s="11">
        <f t="shared" si="3"/>
        <v>6461.0200469999991</v>
      </c>
      <c r="L50" s="11"/>
      <c r="M50" s="17">
        <f>K50</f>
        <v>6461.0200469999991</v>
      </c>
      <c r="N50" s="11">
        <f t="shared" si="2"/>
        <v>6461.0200469999991</v>
      </c>
      <c r="O50" s="8">
        <v>45791</v>
      </c>
      <c r="P50" s="13" t="s">
        <v>94</v>
      </c>
      <c r="Q50" s="12">
        <v>45717</v>
      </c>
      <c r="R50" s="6"/>
    </row>
    <row r="51" spans="1:18" hidden="1">
      <c r="A51" s="6">
        <v>50</v>
      </c>
      <c r="B51" s="6" t="s">
        <v>114</v>
      </c>
      <c r="C51" s="7">
        <v>583.67999999999995</v>
      </c>
      <c r="D51" s="6" t="s">
        <v>98</v>
      </c>
      <c r="E51" s="8">
        <v>45763</v>
      </c>
      <c r="F51" s="113">
        <v>256779412122</v>
      </c>
      <c r="G51" s="50">
        <v>86.921819999999997</v>
      </c>
      <c r="H51" s="9">
        <v>50734.527897599997</v>
      </c>
      <c r="I51" s="10">
        <v>0.1</v>
      </c>
      <c r="J51" s="11">
        <f t="shared" si="0"/>
        <v>5073</v>
      </c>
      <c r="K51" s="11">
        <f t="shared" si="3"/>
        <v>45661.527897599997</v>
      </c>
      <c r="L51" s="11"/>
      <c r="M51" s="17">
        <f>K51</f>
        <v>45661.527897599997</v>
      </c>
      <c r="N51" s="11">
        <f t="shared" si="2"/>
        <v>45661.527897599997</v>
      </c>
      <c r="O51" s="8">
        <v>45861</v>
      </c>
      <c r="P51" s="6" t="s">
        <v>19</v>
      </c>
      <c r="Q51" s="12">
        <v>45717</v>
      </c>
      <c r="R51" s="6"/>
    </row>
    <row r="52" spans="1:18" hidden="1">
      <c r="A52" s="6">
        <v>51</v>
      </c>
      <c r="B52" s="6" t="s">
        <v>116</v>
      </c>
      <c r="C52" s="7">
        <v>188.95</v>
      </c>
      <c r="D52" s="6" t="s">
        <v>17</v>
      </c>
      <c r="E52" s="8">
        <v>45763</v>
      </c>
      <c r="F52" s="113">
        <v>256779411261</v>
      </c>
      <c r="G52" s="50">
        <v>86.921819999999997</v>
      </c>
      <c r="H52" s="9">
        <v>16423.877888999999</v>
      </c>
      <c r="I52" s="10">
        <v>0.02</v>
      </c>
      <c r="J52" s="11">
        <f t="shared" si="0"/>
        <v>328</v>
      </c>
      <c r="K52" s="11">
        <f t="shared" si="3"/>
        <v>16095.877888999999</v>
      </c>
      <c r="L52" s="11"/>
      <c r="M52" s="15"/>
      <c r="N52" s="11">
        <f t="shared" si="2"/>
        <v>0</v>
      </c>
      <c r="O52" s="6"/>
      <c r="P52" s="6" t="s">
        <v>25</v>
      </c>
      <c r="Q52" s="12">
        <v>45717</v>
      </c>
      <c r="R52" s="6"/>
    </row>
    <row r="53" spans="1:18" hidden="1">
      <c r="A53" s="6">
        <v>52</v>
      </c>
      <c r="B53" s="6" t="s">
        <v>118</v>
      </c>
      <c r="C53" s="7">
        <v>86.4</v>
      </c>
      <c r="D53" s="6" t="s">
        <v>17</v>
      </c>
      <c r="E53" s="8">
        <v>45763</v>
      </c>
      <c r="F53" s="113">
        <v>256779411261</v>
      </c>
      <c r="G53" s="50">
        <v>86.921819999999997</v>
      </c>
      <c r="H53" s="9">
        <v>7510.0452480000004</v>
      </c>
      <c r="I53" s="10">
        <v>0.02</v>
      </c>
      <c r="J53" s="11">
        <f t="shared" si="0"/>
        <v>150</v>
      </c>
      <c r="K53" s="11">
        <f t="shared" si="3"/>
        <v>7360.0452480000004</v>
      </c>
      <c r="L53" s="11"/>
      <c r="M53" s="15"/>
      <c r="N53" s="11">
        <f t="shared" si="2"/>
        <v>0</v>
      </c>
      <c r="O53" s="6"/>
      <c r="P53" s="6" t="s">
        <v>25</v>
      </c>
      <c r="Q53" s="12">
        <v>45717</v>
      </c>
      <c r="R53" s="6"/>
    </row>
    <row r="54" spans="1:18" hidden="1">
      <c r="A54" s="6">
        <v>53</v>
      </c>
      <c r="B54" s="6" t="s">
        <v>116</v>
      </c>
      <c r="C54" s="7">
        <v>94.48</v>
      </c>
      <c r="D54" s="6" t="s">
        <v>17</v>
      </c>
      <c r="E54" s="8">
        <v>45763</v>
      </c>
      <c r="F54" s="113">
        <v>256779411258</v>
      </c>
      <c r="G54" s="50">
        <v>86.921819999999997</v>
      </c>
      <c r="H54" s="9">
        <v>8212.3735536000004</v>
      </c>
      <c r="I54" s="10">
        <v>0.02</v>
      </c>
      <c r="J54" s="11">
        <f t="shared" si="0"/>
        <v>164</v>
      </c>
      <c r="K54" s="11">
        <f t="shared" si="3"/>
        <v>8048.3735536000004</v>
      </c>
      <c r="L54" s="11"/>
      <c r="M54" s="15"/>
      <c r="N54" s="11">
        <f t="shared" si="2"/>
        <v>0</v>
      </c>
      <c r="O54" s="6"/>
      <c r="P54" s="6" t="s">
        <v>25</v>
      </c>
      <c r="Q54" s="12">
        <v>45717</v>
      </c>
      <c r="R54" s="6"/>
    </row>
    <row r="55" spans="1:18" hidden="1">
      <c r="A55" s="6">
        <v>54</v>
      </c>
      <c r="B55" s="6" t="s">
        <v>118</v>
      </c>
      <c r="C55" s="7">
        <v>43.2</v>
      </c>
      <c r="D55" s="6" t="s">
        <v>17</v>
      </c>
      <c r="E55" s="8">
        <v>45763</v>
      </c>
      <c r="F55" s="113">
        <v>256779411258</v>
      </c>
      <c r="G55" s="50">
        <v>86.921819999999997</v>
      </c>
      <c r="H55" s="9">
        <v>3755.0226240000002</v>
      </c>
      <c r="I55" s="10">
        <v>0.02</v>
      </c>
      <c r="J55" s="11">
        <f t="shared" si="0"/>
        <v>75</v>
      </c>
      <c r="K55" s="11">
        <f t="shared" si="3"/>
        <v>3680.0226240000002</v>
      </c>
      <c r="L55" s="11"/>
      <c r="M55" s="15"/>
      <c r="N55" s="11">
        <f t="shared" si="2"/>
        <v>0</v>
      </c>
      <c r="O55" s="6"/>
      <c r="P55" s="6" t="s">
        <v>25</v>
      </c>
      <c r="Q55" s="12">
        <v>45717</v>
      </c>
      <c r="R55" s="6"/>
    </row>
    <row r="56" spans="1:18" hidden="1">
      <c r="A56" s="6">
        <v>55</v>
      </c>
      <c r="B56" s="6" t="s">
        <v>116</v>
      </c>
      <c r="C56" s="7">
        <v>94.48</v>
      </c>
      <c r="D56" s="6" t="s">
        <v>17</v>
      </c>
      <c r="E56" s="8">
        <v>45763</v>
      </c>
      <c r="F56" s="113">
        <v>256779411259</v>
      </c>
      <c r="G56" s="50">
        <v>86.921819999999997</v>
      </c>
      <c r="H56" s="9">
        <v>8212.3735536000004</v>
      </c>
      <c r="I56" s="10">
        <v>0.02</v>
      </c>
      <c r="J56" s="11">
        <f t="shared" si="0"/>
        <v>164</v>
      </c>
      <c r="K56" s="11">
        <f t="shared" si="3"/>
        <v>8048.3735536000004</v>
      </c>
      <c r="L56" s="11"/>
      <c r="M56" s="15"/>
      <c r="N56" s="11">
        <f t="shared" si="2"/>
        <v>0</v>
      </c>
      <c r="O56" s="6"/>
      <c r="P56" s="6" t="s">
        <v>25</v>
      </c>
      <c r="Q56" s="12">
        <v>45717</v>
      </c>
      <c r="R56" s="6"/>
    </row>
    <row r="57" spans="1:18" hidden="1">
      <c r="A57" s="6">
        <v>56</v>
      </c>
      <c r="B57" s="6" t="s">
        <v>118</v>
      </c>
      <c r="C57" s="7">
        <v>43.2</v>
      </c>
      <c r="D57" s="6" t="s">
        <v>17</v>
      </c>
      <c r="E57" s="8">
        <v>45763</v>
      </c>
      <c r="F57" s="113">
        <v>256779411259</v>
      </c>
      <c r="G57" s="50">
        <v>86.921819999999997</v>
      </c>
      <c r="H57" s="9">
        <v>3755.0226240000002</v>
      </c>
      <c r="I57" s="10">
        <v>0.02</v>
      </c>
      <c r="J57" s="11">
        <f t="shared" si="0"/>
        <v>75</v>
      </c>
      <c r="K57" s="11">
        <f t="shared" si="3"/>
        <v>3680.0226240000002</v>
      </c>
      <c r="L57" s="11"/>
      <c r="M57" s="15"/>
      <c r="N57" s="11">
        <f t="shared" si="2"/>
        <v>0</v>
      </c>
      <c r="O57" s="6"/>
      <c r="P57" s="6" t="s">
        <v>25</v>
      </c>
      <c r="Q57" s="12">
        <v>45717</v>
      </c>
      <c r="R57" s="6"/>
    </row>
    <row r="58" spans="1:18" hidden="1">
      <c r="A58" s="6">
        <v>57</v>
      </c>
      <c r="B58" s="6" t="s">
        <v>116</v>
      </c>
      <c r="C58" s="7">
        <v>94.48</v>
      </c>
      <c r="D58" s="6" t="s">
        <v>17</v>
      </c>
      <c r="E58" s="8">
        <v>45763</v>
      </c>
      <c r="F58" s="113">
        <v>256779411260</v>
      </c>
      <c r="G58" s="50">
        <v>86.921819999999997</v>
      </c>
      <c r="H58" s="9">
        <v>8212.3735536000004</v>
      </c>
      <c r="I58" s="10">
        <v>0.02</v>
      </c>
      <c r="J58" s="11">
        <f t="shared" si="0"/>
        <v>164</v>
      </c>
      <c r="K58" s="11">
        <f t="shared" si="3"/>
        <v>8048.3735536000004</v>
      </c>
      <c r="L58" s="11"/>
      <c r="M58" s="15"/>
      <c r="N58" s="11">
        <f t="shared" si="2"/>
        <v>0</v>
      </c>
      <c r="O58" s="6"/>
      <c r="P58" s="6" t="s">
        <v>25</v>
      </c>
      <c r="Q58" s="12">
        <v>45717</v>
      </c>
      <c r="R58" s="6"/>
    </row>
    <row r="59" spans="1:18" hidden="1">
      <c r="A59" s="6">
        <v>58</v>
      </c>
      <c r="B59" s="6" t="s">
        <v>118</v>
      </c>
      <c r="C59" s="7">
        <v>43.2</v>
      </c>
      <c r="D59" s="6" t="s">
        <v>17</v>
      </c>
      <c r="E59" s="8">
        <v>45763</v>
      </c>
      <c r="F59" s="113">
        <v>256779411260</v>
      </c>
      <c r="G59" s="50">
        <v>86.921819999999997</v>
      </c>
      <c r="H59" s="9">
        <v>3755.0226240000002</v>
      </c>
      <c r="I59" s="10">
        <v>0.02</v>
      </c>
      <c r="J59" s="11">
        <f t="shared" si="0"/>
        <v>75</v>
      </c>
      <c r="K59" s="11">
        <f t="shared" si="3"/>
        <v>3680.0226240000002</v>
      </c>
      <c r="L59" s="11"/>
      <c r="M59" s="15"/>
      <c r="N59" s="11">
        <f t="shared" si="2"/>
        <v>0</v>
      </c>
      <c r="O59" s="6"/>
      <c r="P59" s="6" t="s">
        <v>25</v>
      </c>
      <c r="Q59" s="12">
        <v>45717</v>
      </c>
      <c r="R59" s="6"/>
    </row>
    <row r="60" spans="1:18" hidden="1">
      <c r="A60" s="6">
        <v>59</v>
      </c>
      <c r="B60" s="6" t="s">
        <v>122</v>
      </c>
      <c r="C60" s="7">
        <v>26.4</v>
      </c>
      <c r="D60" s="6" t="s">
        <v>17</v>
      </c>
      <c r="E60" s="8">
        <v>45762</v>
      </c>
      <c r="F60" s="113">
        <v>256779411010</v>
      </c>
      <c r="G60" s="50">
        <v>86.921819999999997</v>
      </c>
      <c r="H60" s="9">
        <v>2294.7360479999998</v>
      </c>
      <c r="I60" s="10">
        <v>0.02</v>
      </c>
      <c r="J60" s="11">
        <f t="shared" si="0"/>
        <v>46</v>
      </c>
      <c r="K60" s="11">
        <f t="shared" si="3"/>
        <v>2248.7360479999998</v>
      </c>
      <c r="L60" s="11"/>
      <c r="M60" s="15"/>
      <c r="N60" s="11">
        <f t="shared" si="2"/>
        <v>0</v>
      </c>
      <c r="O60" s="6"/>
      <c r="P60" s="6" t="s">
        <v>25</v>
      </c>
      <c r="Q60" s="12">
        <v>45717</v>
      </c>
      <c r="R60" s="6"/>
    </row>
    <row r="61" spans="1:18" hidden="1">
      <c r="A61" s="6">
        <v>60</v>
      </c>
      <c r="B61" s="6" t="s">
        <v>124</v>
      </c>
      <c r="C61" s="7">
        <v>94.48</v>
      </c>
      <c r="D61" s="6" t="s">
        <v>17</v>
      </c>
      <c r="E61" s="8">
        <v>45762</v>
      </c>
      <c r="F61" s="113">
        <v>256779411010</v>
      </c>
      <c r="G61" s="50">
        <v>86.921819999999997</v>
      </c>
      <c r="H61" s="9">
        <v>8212.3735536000004</v>
      </c>
      <c r="I61" s="10">
        <v>0.02</v>
      </c>
      <c r="J61" s="11">
        <f t="shared" si="0"/>
        <v>164</v>
      </c>
      <c r="K61" s="11">
        <f t="shared" si="3"/>
        <v>8048.3735536000004</v>
      </c>
      <c r="L61" s="11"/>
      <c r="M61" s="15"/>
      <c r="N61" s="11">
        <f t="shared" si="2"/>
        <v>0</v>
      </c>
      <c r="O61" s="6"/>
      <c r="P61" s="6" t="s">
        <v>25</v>
      </c>
      <c r="Q61" s="12">
        <v>45717</v>
      </c>
      <c r="R61" s="6"/>
    </row>
    <row r="62" spans="1:18" hidden="1">
      <c r="A62" s="6">
        <v>61</v>
      </c>
      <c r="B62" s="6" t="s">
        <v>125</v>
      </c>
      <c r="C62" s="7">
        <v>43.2</v>
      </c>
      <c r="D62" s="6" t="s">
        <v>17</v>
      </c>
      <c r="E62" s="8">
        <v>45762</v>
      </c>
      <c r="F62" s="113">
        <v>256779411010</v>
      </c>
      <c r="G62" s="50">
        <v>86.921819999999997</v>
      </c>
      <c r="H62" s="9">
        <v>3755.0226240000002</v>
      </c>
      <c r="I62" s="10">
        <v>0.02</v>
      </c>
      <c r="J62" s="11">
        <f t="shared" si="0"/>
        <v>75</v>
      </c>
      <c r="K62" s="11">
        <f t="shared" si="3"/>
        <v>3680.0226240000002</v>
      </c>
      <c r="L62" s="11"/>
      <c r="M62" s="15"/>
      <c r="N62" s="11">
        <f t="shared" si="2"/>
        <v>0</v>
      </c>
      <c r="O62" s="6"/>
      <c r="P62" s="6" t="s">
        <v>25</v>
      </c>
      <c r="Q62" s="12">
        <v>45717</v>
      </c>
      <c r="R62" s="6"/>
    </row>
    <row r="63" spans="1:18" hidden="1">
      <c r="A63" s="6">
        <v>62</v>
      </c>
      <c r="B63" s="6" t="s">
        <v>122</v>
      </c>
      <c r="C63" s="7">
        <v>26.4</v>
      </c>
      <c r="D63" s="6" t="s">
        <v>17</v>
      </c>
      <c r="E63" s="8">
        <v>45762</v>
      </c>
      <c r="F63" s="113">
        <v>256779411007</v>
      </c>
      <c r="G63" s="50">
        <v>86.921819999999997</v>
      </c>
      <c r="H63" s="9">
        <v>2294.7360479999998</v>
      </c>
      <c r="I63" s="10">
        <v>0.02</v>
      </c>
      <c r="J63" s="11">
        <f t="shared" si="0"/>
        <v>46</v>
      </c>
      <c r="K63" s="11">
        <f t="shared" si="3"/>
        <v>2248.7360479999998</v>
      </c>
      <c r="L63" s="11"/>
      <c r="M63" s="15"/>
      <c r="N63" s="11">
        <f t="shared" si="2"/>
        <v>0</v>
      </c>
      <c r="O63" s="6"/>
      <c r="P63" s="6" t="s">
        <v>25</v>
      </c>
      <c r="Q63" s="12">
        <v>45717</v>
      </c>
      <c r="R63" s="6"/>
    </row>
    <row r="64" spans="1:18" hidden="1">
      <c r="A64" s="6">
        <v>63</v>
      </c>
      <c r="B64" s="6" t="s">
        <v>124</v>
      </c>
      <c r="C64" s="7">
        <v>94.48</v>
      </c>
      <c r="D64" s="6" t="s">
        <v>17</v>
      </c>
      <c r="E64" s="8">
        <v>45762</v>
      </c>
      <c r="F64" s="113">
        <v>256779411007</v>
      </c>
      <c r="G64" s="50">
        <v>86.921819999999997</v>
      </c>
      <c r="H64" s="9">
        <v>8212.3735536000004</v>
      </c>
      <c r="I64" s="10">
        <v>0.02</v>
      </c>
      <c r="J64" s="11">
        <f t="shared" si="0"/>
        <v>164</v>
      </c>
      <c r="K64" s="11">
        <f t="shared" si="3"/>
        <v>8048.3735536000004</v>
      </c>
      <c r="L64" s="11"/>
      <c r="M64" s="15"/>
      <c r="N64" s="11">
        <f t="shared" si="2"/>
        <v>0</v>
      </c>
      <c r="O64" s="6"/>
      <c r="P64" s="6" t="s">
        <v>25</v>
      </c>
      <c r="Q64" s="12">
        <v>45717</v>
      </c>
      <c r="R64" s="6"/>
    </row>
    <row r="65" spans="1:18" hidden="1">
      <c r="A65" s="6">
        <v>64</v>
      </c>
      <c r="B65" s="6" t="s">
        <v>125</v>
      </c>
      <c r="C65" s="7">
        <v>43.2</v>
      </c>
      <c r="D65" s="6" t="s">
        <v>17</v>
      </c>
      <c r="E65" s="8">
        <v>45762</v>
      </c>
      <c r="F65" s="113">
        <v>256779411007</v>
      </c>
      <c r="G65" s="50">
        <v>86.921819999999997</v>
      </c>
      <c r="H65" s="9">
        <v>3755.0226240000002</v>
      </c>
      <c r="I65" s="10">
        <v>0.02</v>
      </c>
      <c r="J65" s="11">
        <f t="shared" si="0"/>
        <v>75</v>
      </c>
      <c r="K65" s="11">
        <f t="shared" si="3"/>
        <v>3680.0226240000002</v>
      </c>
      <c r="L65" s="11"/>
      <c r="M65" s="15"/>
      <c r="N65" s="11">
        <f t="shared" si="2"/>
        <v>0</v>
      </c>
      <c r="O65" s="6"/>
      <c r="P65" s="6" t="s">
        <v>25</v>
      </c>
      <c r="Q65" s="12">
        <v>45717</v>
      </c>
      <c r="R65" s="6"/>
    </row>
    <row r="66" spans="1:18" hidden="1">
      <c r="A66" s="6">
        <v>65</v>
      </c>
      <c r="B66" s="6" t="s">
        <v>122</v>
      </c>
      <c r="C66" s="7">
        <v>52.8</v>
      </c>
      <c r="D66" s="6" t="s">
        <v>17</v>
      </c>
      <c r="E66" s="8">
        <v>45762</v>
      </c>
      <c r="F66" s="113">
        <v>256779411008</v>
      </c>
      <c r="G66" s="50">
        <v>86.921819999999997</v>
      </c>
      <c r="H66" s="9">
        <v>4589.4720959999995</v>
      </c>
      <c r="I66" s="10">
        <v>0.02</v>
      </c>
      <c r="J66" s="11">
        <f t="shared" si="0"/>
        <v>92</v>
      </c>
      <c r="K66" s="11">
        <f t="shared" si="3"/>
        <v>4497.4720959999995</v>
      </c>
      <c r="L66" s="11"/>
      <c r="M66" s="15"/>
      <c r="N66" s="11">
        <f t="shared" si="2"/>
        <v>0</v>
      </c>
      <c r="O66" s="6"/>
      <c r="P66" s="6" t="s">
        <v>25</v>
      </c>
      <c r="Q66" s="12">
        <v>45717</v>
      </c>
      <c r="R66" s="6"/>
    </row>
    <row r="67" spans="1:18" hidden="1">
      <c r="A67" s="6">
        <v>66</v>
      </c>
      <c r="B67" s="6" t="s">
        <v>124</v>
      </c>
      <c r="C67" s="7">
        <v>188.95</v>
      </c>
      <c r="D67" s="6" t="s">
        <v>17</v>
      </c>
      <c r="E67" s="8">
        <v>45762</v>
      </c>
      <c r="F67" s="113">
        <v>256779411008</v>
      </c>
      <c r="G67" s="50">
        <v>86.921819999999997</v>
      </c>
      <c r="H67" s="9">
        <v>16423.877888999999</v>
      </c>
      <c r="I67" s="10">
        <v>0.02</v>
      </c>
      <c r="J67" s="11">
        <f t="shared" ref="J67:J130" si="4">ROUND(H67*I67,0)</f>
        <v>328</v>
      </c>
      <c r="K67" s="11">
        <f t="shared" si="3"/>
        <v>16095.877888999999</v>
      </c>
      <c r="L67" s="11"/>
      <c r="M67" s="15"/>
      <c r="N67" s="11">
        <f t="shared" ref="N67:N130" si="5">SUM(L67:M67)</f>
        <v>0</v>
      </c>
      <c r="O67" s="6"/>
      <c r="P67" s="6" t="s">
        <v>25</v>
      </c>
      <c r="Q67" s="12">
        <v>45717</v>
      </c>
      <c r="R67" s="6"/>
    </row>
    <row r="68" spans="1:18" hidden="1">
      <c r="A68" s="6">
        <v>67</v>
      </c>
      <c r="B68" s="6" t="s">
        <v>125</v>
      </c>
      <c r="C68" s="7">
        <v>86.4</v>
      </c>
      <c r="D68" s="6" t="s">
        <v>17</v>
      </c>
      <c r="E68" s="8">
        <v>45762</v>
      </c>
      <c r="F68" s="113">
        <v>256779411008</v>
      </c>
      <c r="G68" s="50">
        <v>86.921819999999997</v>
      </c>
      <c r="H68" s="9">
        <v>7510.0452480000004</v>
      </c>
      <c r="I68" s="10">
        <v>0.02</v>
      </c>
      <c r="J68" s="11">
        <f t="shared" si="4"/>
        <v>150</v>
      </c>
      <c r="K68" s="11">
        <f t="shared" si="3"/>
        <v>7360.0452480000004</v>
      </c>
      <c r="L68" s="11"/>
      <c r="M68" s="15"/>
      <c r="N68" s="11">
        <f t="shared" si="5"/>
        <v>0</v>
      </c>
      <c r="O68" s="6"/>
      <c r="P68" s="6" t="s">
        <v>25</v>
      </c>
      <c r="Q68" s="12">
        <v>45717</v>
      </c>
      <c r="R68" s="6"/>
    </row>
    <row r="69" spans="1:18" hidden="1">
      <c r="A69" s="6">
        <v>68</v>
      </c>
      <c r="B69" s="6" t="s">
        <v>122</v>
      </c>
      <c r="C69" s="7">
        <v>26.4</v>
      </c>
      <c r="D69" s="6" t="s">
        <v>17</v>
      </c>
      <c r="E69" s="8">
        <v>45762</v>
      </c>
      <c r="F69" s="113">
        <v>256779411009</v>
      </c>
      <c r="G69" s="50">
        <v>86.921819999999997</v>
      </c>
      <c r="H69" s="9">
        <v>2294.7360479999998</v>
      </c>
      <c r="I69" s="10">
        <v>0.02</v>
      </c>
      <c r="J69" s="11">
        <f t="shared" si="4"/>
        <v>46</v>
      </c>
      <c r="K69" s="11">
        <f t="shared" si="3"/>
        <v>2248.7360479999998</v>
      </c>
      <c r="L69" s="11"/>
      <c r="M69" s="15"/>
      <c r="N69" s="11">
        <f t="shared" si="5"/>
        <v>0</v>
      </c>
      <c r="O69" s="6"/>
      <c r="P69" s="6" t="s">
        <v>25</v>
      </c>
      <c r="Q69" s="12">
        <v>45717</v>
      </c>
      <c r="R69" s="6"/>
    </row>
    <row r="70" spans="1:18" hidden="1">
      <c r="A70" s="6">
        <v>69</v>
      </c>
      <c r="B70" s="6" t="s">
        <v>124</v>
      </c>
      <c r="C70" s="7">
        <v>94.48</v>
      </c>
      <c r="D70" s="6" t="s">
        <v>17</v>
      </c>
      <c r="E70" s="8">
        <v>45762</v>
      </c>
      <c r="F70" s="113">
        <v>256779411009</v>
      </c>
      <c r="G70" s="50">
        <v>86.921819999999997</v>
      </c>
      <c r="H70" s="9">
        <v>8212.3735536000004</v>
      </c>
      <c r="I70" s="10">
        <v>0.02</v>
      </c>
      <c r="J70" s="11">
        <f t="shared" si="4"/>
        <v>164</v>
      </c>
      <c r="K70" s="11">
        <f t="shared" si="3"/>
        <v>8048.3735536000004</v>
      </c>
      <c r="L70" s="11"/>
      <c r="M70" s="15"/>
      <c r="N70" s="11">
        <f t="shared" si="5"/>
        <v>0</v>
      </c>
      <c r="O70" s="6"/>
      <c r="P70" s="6" t="s">
        <v>25</v>
      </c>
      <c r="Q70" s="12">
        <v>45717</v>
      </c>
      <c r="R70" s="6"/>
    </row>
    <row r="71" spans="1:18" hidden="1">
      <c r="A71" s="6">
        <v>70</v>
      </c>
      <c r="B71" s="6" t="s">
        <v>125</v>
      </c>
      <c r="C71" s="7">
        <v>43.2</v>
      </c>
      <c r="D71" s="6" t="s">
        <v>17</v>
      </c>
      <c r="E71" s="8">
        <v>45762</v>
      </c>
      <c r="F71" s="113">
        <v>256779411009</v>
      </c>
      <c r="G71" s="50">
        <v>86.921819999999997</v>
      </c>
      <c r="H71" s="9">
        <v>3755.0226240000002</v>
      </c>
      <c r="I71" s="10">
        <v>0.02</v>
      </c>
      <c r="J71" s="11">
        <f t="shared" si="4"/>
        <v>75</v>
      </c>
      <c r="K71" s="11">
        <f t="shared" si="3"/>
        <v>3680.0226240000002</v>
      </c>
      <c r="L71" s="11"/>
      <c r="M71" s="15"/>
      <c r="N71" s="11">
        <f t="shared" si="5"/>
        <v>0</v>
      </c>
      <c r="O71" s="6"/>
      <c r="P71" s="6" t="s">
        <v>25</v>
      </c>
      <c r="Q71" s="12">
        <v>45717</v>
      </c>
      <c r="R71" s="6"/>
    </row>
    <row r="72" spans="1:18" hidden="1">
      <c r="A72" s="6">
        <v>71</v>
      </c>
      <c r="B72" s="6" t="s">
        <v>129</v>
      </c>
      <c r="C72" s="7">
        <v>359.66</v>
      </c>
      <c r="D72" s="6" t="s">
        <v>98</v>
      </c>
      <c r="E72" s="8">
        <v>45769</v>
      </c>
      <c r="F72" s="113">
        <v>256779412630</v>
      </c>
      <c r="G72" s="50">
        <v>86.921819999999997</v>
      </c>
      <c r="H72" s="9">
        <v>31262.3017812</v>
      </c>
      <c r="I72" s="10">
        <v>0.02</v>
      </c>
      <c r="J72" s="11">
        <f t="shared" si="4"/>
        <v>625</v>
      </c>
      <c r="K72" s="11">
        <f t="shared" si="3"/>
        <v>30637.3017812</v>
      </c>
      <c r="L72" s="11"/>
      <c r="M72" s="15"/>
      <c r="N72" s="11">
        <f t="shared" si="5"/>
        <v>0</v>
      </c>
      <c r="O72" s="6"/>
      <c r="P72" s="6" t="s">
        <v>25</v>
      </c>
      <c r="Q72" s="12">
        <v>45717</v>
      </c>
      <c r="R72" s="6"/>
    </row>
    <row r="73" spans="1:18" hidden="1">
      <c r="A73" s="6">
        <v>72</v>
      </c>
      <c r="B73" s="18" t="s">
        <v>131</v>
      </c>
      <c r="C73" s="7">
        <v>172.8</v>
      </c>
      <c r="D73" s="6" t="s">
        <v>98</v>
      </c>
      <c r="E73" s="8">
        <v>45769</v>
      </c>
      <c r="F73" s="113">
        <v>256779412630</v>
      </c>
      <c r="G73" s="50">
        <v>86.921819999999997</v>
      </c>
      <c r="H73" s="9">
        <v>15020.090496000001</v>
      </c>
      <c r="I73" s="10">
        <v>0.02</v>
      </c>
      <c r="J73" s="11">
        <f t="shared" si="4"/>
        <v>300</v>
      </c>
      <c r="K73" s="11">
        <f t="shared" si="3"/>
        <v>14720.090496000001</v>
      </c>
      <c r="L73" s="11"/>
      <c r="M73" s="15"/>
      <c r="N73" s="11">
        <f t="shared" si="5"/>
        <v>0</v>
      </c>
      <c r="O73" s="6"/>
      <c r="P73" s="6" t="s">
        <v>25</v>
      </c>
      <c r="Q73" s="12">
        <v>45717</v>
      </c>
      <c r="R73" s="6"/>
    </row>
    <row r="74" spans="1:18" hidden="1">
      <c r="A74" s="6">
        <v>73</v>
      </c>
      <c r="B74" s="6" t="s">
        <v>132</v>
      </c>
      <c r="C74" s="7">
        <v>359.66</v>
      </c>
      <c r="D74" s="6" t="s">
        <v>98</v>
      </c>
      <c r="E74" s="8">
        <v>45769</v>
      </c>
      <c r="F74" s="113">
        <v>256779412598</v>
      </c>
      <c r="G74" s="50">
        <v>86.921819999999997</v>
      </c>
      <c r="H74" s="9">
        <v>31262.3017812</v>
      </c>
      <c r="I74" s="10">
        <v>0.02</v>
      </c>
      <c r="J74" s="11">
        <f t="shared" si="4"/>
        <v>625</v>
      </c>
      <c r="K74" s="11">
        <f t="shared" si="3"/>
        <v>30637.3017812</v>
      </c>
      <c r="L74" s="11"/>
      <c r="M74" s="15"/>
      <c r="N74" s="11">
        <f t="shared" si="5"/>
        <v>0</v>
      </c>
      <c r="O74" s="6"/>
      <c r="P74" s="6" t="s">
        <v>25</v>
      </c>
      <c r="Q74" s="12">
        <v>45717</v>
      </c>
      <c r="R74" s="6"/>
    </row>
    <row r="75" spans="1:18" hidden="1">
      <c r="A75" s="6">
        <v>74</v>
      </c>
      <c r="B75" s="6" t="s">
        <v>134</v>
      </c>
      <c r="C75" s="7">
        <v>108</v>
      </c>
      <c r="D75" s="6" t="s">
        <v>98</v>
      </c>
      <c r="E75" s="8">
        <v>45769</v>
      </c>
      <c r="F75" s="113">
        <v>256779412598</v>
      </c>
      <c r="G75" s="50">
        <v>86.921819999999997</v>
      </c>
      <c r="H75" s="9">
        <v>9387.5565599999991</v>
      </c>
      <c r="I75" s="10">
        <v>0.02</v>
      </c>
      <c r="J75" s="11">
        <f t="shared" si="4"/>
        <v>188</v>
      </c>
      <c r="K75" s="11">
        <f t="shared" si="3"/>
        <v>9199.5565599999991</v>
      </c>
      <c r="L75" s="11"/>
      <c r="M75" s="15"/>
      <c r="N75" s="11">
        <f t="shared" si="5"/>
        <v>0</v>
      </c>
      <c r="O75" s="6"/>
      <c r="P75" s="6" t="s">
        <v>25</v>
      </c>
      <c r="Q75" s="12">
        <v>45717</v>
      </c>
      <c r="R75" s="6"/>
    </row>
    <row r="76" spans="1:18" hidden="1">
      <c r="A76" s="6">
        <v>75</v>
      </c>
      <c r="B76" s="6" t="s">
        <v>135</v>
      </c>
      <c r="C76" s="7">
        <v>172.8</v>
      </c>
      <c r="D76" s="6" t="s">
        <v>98</v>
      </c>
      <c r="E76" s="8">
        <v>45769</v>
      </c>
      <c r="F76" s="113">
        <v>256779412598</v>
      </c>
      <c r="G76" s="50">
        <v>86.921819999999997</v>
      </c>
      <c r="H76" s="9">
        <v>15020.090496000001</v>
      </c>
      <c r="I76" s="10">
        <v>0.02</v>
      </c>
      <c r="J76" s="11">
        <f t="shared" si="4"/>
        <v>300</v>
      </c>
      <c r="K76" s="11">
        <f t="shared" si="3"/>
        <v>14720.090496000001</v>
      </c>
      <c r="L76" s="11"/>
      <c r="M76" s="15"/>
      <c r="N76" s="11">
        <f t="shared" si="5"/>
        <v>0</v>
      </c>
      <c r="O76" s="6"/>
      <c r="P76" s="6" t="s">
        <v>25</v>
      </c>
      <c r="Q76" s="12">
        <v>45778</v>
      </c>
      <c r="R76" s="6"/>
    </row>
    <row r="77" spans="1:18" hidden="1">
      <c r="A77" s="6">
        <v>76</v>
      </c>
      <c r="B77" s="6" t="s">
        <v>136</v>
      </c>
      <c r="C77" s="7">
        <v>720</v>
      </c>
      <c r="D77" s="6" t="s">
        <v>98</v>
      </c>
      <c r="E77" s="8">
        <v>45769</v>
      </c>
      <c r="F77" s="113">
        <v>256779412598</v>
      </c>
      <c r="G77" s="50">
        <v>86.921819999999997</v>
      </c>
      <c r="H77" s="9">
        <v>62583.710399999996</v>
      </c>
      <c r="I77" s="10">
        <v>0.02</v>
      </c>
      <c r="J77" s="11">
        <f t="shared" si="4"/>
        <v>1252</v>
      </c>
      <c r="K77" s="11">
        <f t="shared" si="3"/>
        <v>61331.710399999996</v>
      </c>
      <c r="L77" s="11"/>
      <c r="M77" s="15"/>
      <c r="N77" s="11">
        <f t="shared" si="5"/>
        <v>0</v>
      </c>
      <c r="O77" s="6"/>
      <c r="P77" s="6" t="s">
        <v>25</v>
      </c>
      <c r="Q77" s="12">
        <v>45778</v>
      </c>
      <c r="R77" s="6"/>
    </row>
    <row r="78" spans="1:18" hidden="1">
      <c r="A78" s="6">
        <v>77</v>
      </c>
      <c r="B78" s="6" t="s">
        <v>137</v>
      </c>
      <c r="C78" s="7">
        <v>180</v>
      </c>
      <c r="D78" s="6" t="s">
        <v>138</v>
      </c>
      <c r="E78" s="8">
        <v>45770</v>
      </c>
      <c r="F78" s="113">
        <v>256779412875</v>
      </c>
      <c r="G78" s="49">
        <v>86.921827690613824</v>
      </c>
      <c r="H78" s="9">
        <v>15645.928984310489</v>
      </c>
      <c r="I78" s="10">
        <v>0.02</v>
      </c>
      <c r="J78" s="11">
        <f t="shared" si="4"/>
        <v>313</v>
      </c>
      <c r="K78" s="11">
        <f>H78-J78</f>
        <v>15332.928984310489</v>
      </c>
      <c r="L78" s="11"/>
      <c r="M78" s="11"/>
      <c r="N78" s="11">
        <f t="shared" si="5"/>
        <v>0</v>
      </c>
      <c r="O78" s="6"/>
      <c r="P78" s="6" t="s">
        <v>25</v>
      </c>
      <c r="Q78" s="12">
        <v>45748</v>
      </c>
      <c r="R78" s="6"/>
    </row>
    <row r="79" spans="1:18" hidden="1">
      <c r="A79" s="6">
        <v>78</v>
      </c>
      <c r="B79" s="6" t="s">
        <v>140</v>
      </c>
      <c r="C79" s="7">
        <v>27</v>
      </c>
      <c r="D79" s="6" t="s">
        <v>138</v>
      </c>
      <c r="E79" s="8">
        <v>45770</v>
      </c>
      <c r="F79" s="113">
        <v>256779412875</v>
      </c>
      <c r="G79" s="49">
        <v>86.921827690613824</v>
      </c>
      <c r="H79" s="9">
        <v>2346.8893476465732</v>
      </c>
      <c r="I79" s="10">
        <v>0.02</v>
      </c>
      <c r="J79" s="11">
        <f t="shared" si="4"/>
        <v>47</v>
      </c>
      <c r="K79" s="11">
        <f t="shared" ref="K79:K142" si="6">H79-J79</f>
        <v>2299.8893476465732</v>
      </c>
      <c r="L79" s="11"/>
      <c r="M79" s="11"/>
      <c r="N79" s="11">
        <f t="shared" si="5"/>
        <v>0</v>
      </c>
      <c r="O79" s="6"/>
      <c r="P79" s="6" t="s">
        <v>25</v>
      </c>
      <c r="Q79" s="12">
        <v>45748</v>
      </c>
      <c r="R79" s="6"/>
    </row>
    <row r="80" spans="1:18" hidden="1">
      <c r="A80" s="6">
        <v>79</v>
      </c>
      <c r="B80" s="6" t="s">
        <v>141</v>
      </c>
      <c r="C80" s="7">
        <v>90</v>
      </c>
      <c r="D80" s="6" t="s">
        <v>138</v>
      </c>
      <c r="E80" s="8">
        <v>45770</v>
      </c>
      <c r="F80" s="113">
        <v>256779412875</v>
      </c>
      <c r="G80" s="49">
        <v>86.921827690613824</v>
      </c>
      <c r="H80" s="9">
        <v>7822.9644921552444</v>
      </c>
      <c r="I80" s="10">
        <v>0.02</v>
      </c>
      <c r="J80" s="11">
        <f t="shared" si="4"/>
        <v>156</v>
      </c>
      <c r="K80" s="11">
        <f t="shared" si="6"/>
        <v>7666.9644921552444</v>
      </c>
      <c r="L80" s="11"/>
      <c r="M80" s="11"/>
      <c r="N80" s="11">
        <f t="shared" si="5"/>
        <v>0</v>
      </c>
      <c r="O80" s="6"/>
      <c r="P80" s="6" t="s">
        <v>25</v>
      </c>
      <c r="Q80" s="12">
        <v>45748</v>
      </c>
      <c r="R80" s="6"/>
    </row>
    <row r="81" spans="1:18" hidden="1">
      <c r="A81" s="6">
        <v>80</v>
      </c>
      <c r="B81" s="6" t="s">
        <v>142</v>
      </c>
      <c r="C81" s="7">
        <v>26.4</v>
      </c>
      <c r="D81" s="6" t="s">
        <v>138</v>
      </c>
      <c r="E81" s="8">
        <v>45770</v>
      </c>
      <c r="F81" s="113">
        <v>256779412875</v>
      </c>
      <c r="G81" s="49">
        <v>86.921827690613824</v>
      </c>
      <c r="H81" s="9">
        <v>2294.736251032205</v>
      </c>
      <c r="I81" s="10">
        <v>0.02</v>
      </c>
      <c r="J81" s="11">
        <f t="shared" si="4"/>
        <v>46</v>
      </c>
      <c r="K81" s="11">
        <f t="shared" si="6"/>
        <v>2248.736251032205</v>
      </c>
      <c r="L81" s="11"/>
      <c r="M81" s="11"/>
      <c r="N81" s="11">
        <f t="shared" si="5"/>
        <v>0</v>
      </c>
      <c r="O81" s="6"/>
      <c r="P81" s="6" t="s">
        <v>25</v>
      </c>
      <c r="Q81" s="12">
        <v>45748</v>
      </c>
      <c r="R81" s="6"/>
    </row>
    <row r="82" spans="1:18" hidden="1">
      <c r="A82" s="6">
        <v>81</v>
      </c>
      <c r="B82" s="6" t="s">
        <v>143</v>
      </c>
      <c r="C82" s="7">
        <v>171.48</v>
      </c>
      <c r="D82" s="6" t="s">
        <v>138</v>
      </c>
      <c r="E82" s="8">
        <v>45770</v>
      </c>
      <c r="F82" s="113">
        <v>256779412875</v>
      </c>
      <c r="G82" s="49">
        <v>86.921827690613824</v>
      </c>
      <c r="H82" s="9">
        <v>14905.355012386457</v>
      </c>
      <c r="I82" s="10">
        <v>0.02</v>
      </c>
      <c r="J82" s="11">
        <f t="shared" si="4"/>
        <v>298</v>
      </c>
      <c r="K82" s="11">
        <f t="shared" si="6"/>
        <v>14607.355012386457</v>
      </c>
      <c r="L82" s="11"/>
      <c r="M82" s="11"/>
      <c r="N82" s="11">
        <f t="shared" si="5"/>
        <v>0</v>
      </c>
      <c r="O82" s="6"/>
      <c r="P82" s="6" t="s">
        <v>25</v>
      </c>
      <c r="Q82" s="12">
        <v>45748</v>
      </c>
      <c r="R82" s="6"/>
    </row>
    <row r="83" spans="1:18" hidden="1">
      <c r="A83" s="6">
        <v>82</v>
      </c>
      <c r="B83" s="6" t="s">
        <v>144</v>
      </c>
      <c r="C83" s="7">
        <v>86.4</v>
      </c>
      <c r="D83" s="6" t="s">
        <v>138</v>
      </c>
      <c r="E83" s="8">
        <v>45770</v>
      </c>
      <c r="F83" s="113">
        <v>256779412875</v>
      </c>
      <c r="G83" s="49">
        <v>86.921827690613824</v>
      </c>
      <c r="H83" s="9">
        <v>7510.0459124690351</v>
      </c>
      <c r="I83" s="10">
        <v>0.02</v>
      </c>
      <c r="J83" s="11">
        <f t="shared" si="4"/>
        <v>150</v>
      </c>
      <c r="K83" s="11">
        <f t="shared" si="6"/>
        <v>7360.0459124690351</v>
      </c>
      <c r="L83" s="11"/>
      <c r="M83" s="11"/>
      <c r="N83" s="11">
        <f t="shared" si="5"/>
        <v>0</v>
      </c>
      <c r="O83" s="6"/>
      <c r="P83" s="6" t="s">
        <v>25</v>
      </c>
      <c r="Q83" s="12">
        <v>45748</v>
      </c>
      <c r="R83" s="6"/>
    </row>
    <row r="84" spans="1:18" hidden="1">
      <c r="A84" s="6">
        <v>83</v>
      </c>
      <c r="B84" s="6" t="s">
        <v>145</v>
      </c>
      <c r="C84" s="7">
        <v>110.6</v>
      </c>
      <c r="D84" s="6" t="s">
        <v>138</v>
      </c>
      <c r="E84" s="8">
        <v>45770</v>
      </c>
      <c r="F84" s="113">
        <v>256779412903</v>
      </c>
      <c r="G84" s="49">
        <v>86.972691807542247</v>
      </c>
      <c r="H84" s="9">
        <v>9619.1797139141727</v>
      </c>
      <c r="I84" s="10">
        <v>0.02</v>
      </c>
      <c r="J84" s="11">
        <f t="shared" si="4"/>
        <v>192</v>
      </c>
      <c r="K84" s="11">
        <f t="shared" si="6"/>
        <v>9427.1797139141727</v>
      </c>
      <c r="L84" s="11"/>
      <c r="M84" s="11"/>
      <c r="N84" s="11">
        <f t="shared" si="5"/>
        <v>0</v>
      </c>
      <c r="O84" s="6"/>
      <c r="P84" s="6" t="s">
        <v>25</v>
      </c>
      <c r="Q84" s="12">
        <v>45748</v>
      </c>
      <c r="R84" s="6"/>
    </row>
    <row r="85" spans="1:18" hidden="1">
      <c r="A85" s="6">
        <v>84</v>
      </c>
      <c r="B85" s="6" t="s">
        <v>144</v>
      </c>
      <c r="C85" s="7">
        <v>43.2</v>
      </c>
      <c r="D85" s="6" t="s">
        <v>138</v>
      </c>
      <c r="E85" s="8">
        <v>45770</v>
      </c>
      <c r="F85" s="113">
        <v>256779412903</v>
      </c>
      <c r="G85" s="49">
        <v>86.972691807542247</v>
      </c>
      <c r="H85" s="9">
        <v>3757.2202860858251</v>
      </c>
      <c r="I85" s="10">
        <v>0.02</v>
      </c>
      <c r="J85" s="11">
        <f t="shared" si="4"/>
        <v>75</v>
      </c>
      <c r="K85" s="11">
        <f t="shared" si="6"/>
        <v>3682.2202860858251</v>
      </c>
      <c r="L85" s="11"/>
      <c r="M85" s="11"/>
      <c r="N85" s="11">
        <f t="shared" si="5"/>
        <v>0</v>
      </c>
      <c r="O85" s="6"/>
      <c r="P85" s="6" t="s">
        <v>25</v>
      </c>
      <c r="Q85" s="12">
        <v>45748</v>
      </c>
      <c r="R85" s="6"/>
    </row>
    <row r="86" spans="1:18" hidden="1">
      <c r="A86" s="6">
        <v>85</v>
      </c>
      <c r="B86" s="19" t="s">
        <v>147</v>
      </c>
      <c r="C86" s="7">
        <v>51.73</v>
      </c>
      <c r="D86" s="6" t="s">
        <v>138</v>
      </c>
      <c r="E86" s="8">
        <v>45787</v>
      </c>
      <c r="F86" s="20">
        <v>256779413234</v>
      </c>
      <c r="G86" s="21">
        <v>85.983699999999999</v>
      </c>
      <c r="H86" s="9">
        <v>4447.9368009999998</v>
      </c>
      <c r="I86" s="10">
        <v>0.02</v>
      </c>
      <c r="J86" s="11">
        <f t="shared" si="4"/>
        <v>89</v>
      </c>
      <c r="K86" s="11">
        <f t="shared" si="6"/>
        <v>4358.9368009999998</v>
      </c>
      <c r="L86" s="11"/>
      <c r="M86" s="9">
        <f>K86</f>
        <v>4358.9368009999998</v>
      </c>
      <c r="N86" s="11">
        <f t="shared" si="5"/>
        <v>4358.9368009999998</v>
      </c>
      <c r="O86" s="8">
        <v>45821</v>
      </c>
      <c r="P86" s="13" t="s">
        <v>32</v>
      </c>
      <c r="Q86" s="12">
        <v>45778</v>
      </c>
      <c r="R86" s="6"/>
    </row>
    <row r="87" spans="1:18" hidden="1">
      <c r="A87" s="6">
        <v>86</v>
      </c>
      <c r="B87" s="19" t="s">
        <v>148</v>
      </c>
      <c r="C87" s="7">
        <v>25.67</v>
      </c>
      <c r="D87" s="6" t="s">
        <v>138</v>
      </c>
      <c r="E87" s="8">
        <v>45771</v>
      </c>
      <c r="F87" s="20">
        <v>256779412766</v>
      </c>
      <c r="G87" s="21">
        <v>86.921819999999997</v>
      </c>
      <c r="H87" s="9">
        <v>2231.2831194</v>
      </c>
      <c r="I87" s="10">
        <v>0.02</v>
      </c>
      <c r="J87" s="11">
        <f t="shared" si="4"/>
        <v>45</v>
      </c>
      <c r="K87" s="11">
        <f t="shared" si="6"/>
        <v>2186.2831194</v>
      </c>
      <c r="L87" s="11"/>
      <c r="M87" s="11">
        <f>K87</f>
        <v>2186.2831194</v>
      </c>
      <c r="N87" s="11">
        <f t="shared" si="5"/>
        <v>2186.2831194</v>
      </c>
      <c r="O87" s="8">
        <v>45813</v>
      </c>
      <c r="P87" s="22" t="s">
        <v>149</v>
      </c>
      <c r="Q87" s="12">
        <v>45778</v>
      </c>
      <c r="R87" s="6"/>
    </row>
    <row r="88" spans="1:18" hidden="1">
      <c r="A88" s="6">
        <v>87</v>
      </c>
      <c r="B88" s="19" t="s">
        <v>150</v>
      </c>
      <c r="C88" s="7">
        <v>42.33</v>
      </c>
      <c r="D88" s="6" t="s">
        <v>138</v>
      </c>
      <c r="E88" s="8">
        <v>45787</v>
      </c>
      <c r="F88" s="20">
        <v>256779413248</v>
      </c>
      <c r="G88" s="21">
        <v>85.983699999999999</v>
      </c>
      <c r="H88" s="9">
        <v>3639.6900209999999</v>
      </c>
      <c r="I88" s="10">
        <v>0.02</v>
      </c>
      <c r="J88" s="11">
        <f t="shared" si="4"/>
        <v>73</v>
      </c>
      <c r="K88" s="11">
        <f t="shared" si="6"/>
        <v>3566.6900209999999</v>
      </c>
      <c r="L88" s="11"/>
      <c r="M88" s="11">
        <f t="shared" ref="M88:M107" si="7">K88</f>
        <v>3566.6900209999999</v>
      </c>
      <c r="N88" s="11">
        <f t="shared" si="5"/>
        <v>3566.6900209999999</v>
      </c>
      <c r="O88" s="8">
        <v>45813</v>
      </c>
      <c r="P88" s="22" t="s">
        <v>149</v>
      </c>
      <c r="Q88" s="12">
        <v>45778</v>
      </c>
      <c r="R88" s="6"/>
    </row>
    <row r="89" spans="1:18" hidden="1">
      <c r="A89" s="6">
        <v>88</v>
      </c>
      <c r="B89" s="19" t="s">
        <v>151</v>
      </c>
      <c r="C89" s="7">
        <v>94.48</v>
      </c>
      <c r="D89" s="6" t="s">
        <v>92</v>
      </c>
      <c r="E89" s="8">
        <v>45736</v>
      </c>
      <c r="F89" s="20">
        <v>246779413959</v>
      </c>
      <c r="G89" s="51">
        <v>86.69126</v>
      </c>
      <c r="H89" s="9">
        <v>8190.5902448000006</v>
      </c>
      <c r="I89" s="10">
        <v>0.02</v>
      </c>
      <c r="J89" s="11">
        <f t="shared" si="4"/>
        <v>164</v>
      </c>
      <c r="K89" s="11">
        <f t="shared" si="6"/>
        <v>8026.5902448000006</v>
      </c>
      <c r="L89" s="11"/>
      <c r="M89" s="11">
        <f t="shared" si="7"/>
        <v>8026.5902448000006</v>
      </c>
      <c r="N89" s="11">
        <f t="shared" si="5"/>
        <v>8026.5902448000006</v>
      </c>
      <c r="O89" s="8">
        <v>45813</v>
      </c>
      <c r="P89" s="22" t="s">
        <v>149</v>
      </c>
      <c r="Q89" s="12">
        <v>45778</v>
      </c>
      <c r="R89" s="6"/>
    </row>
    <row r="90" spans="1:18" hidden="1">
      <c r="A90" s="6">
        <v>89</v>
      </c>
      <c r="B90" s="19" t="s">
        <v>152</v>
      </c>
      <c r="C90" s="7">
        <v>27</v>
      </c>
      <c r="D90" s="6" t="s">
        <v>92</v>
      </c>
      <c r="E90" s="8">
        <v>45736</v>
      </c>
      <c r="F90" s="20">
        <v>246779413959</v>
      </c>
      <c r="G90" s="51">
        <v>86.69126</v>
      </c>
      <c r="H90" s="9">
        <v>2340.6640200000002</v>
      </c>
      <c r="I90" s="10">
        <v>0.02</v>
      </c>
      <c r="J90" s="11">
        <f t="shared" si="4"/>
        <v>47</v>
      </c>
      <c r="K90" s="11">
        <f t="shared" si="6"/>
        <v>2293.6640200000002</v>
      </c>
      <c r="L90" s="11"/>
      <c r="M90" s="11">
        <f t="shared" si="7"/>
        <v>2293.6640200000002</v>
      </c>
      <c r="N90" s="11">
        <f t="shared" si="5"/>
        <v>2293.6640200000002</v>
      </c>
      <c r="O90" s="8">
        <v>45813</v>
      </c>
      <c r="P90" s="22" t="s">
        <v>149</v>
      </c>
      <c r="Q90" s="12">
        <v>45778</v>
      </c>
      <c r="R90" s="6"/>
    </row>
    <row r="91" spans="1:18" hidden="1">
      <c r="A91" s="6">
        <v>90</v>
      </c>
      <c r="B91" s="19" t="s">
        <v>153</v>
      </c>
      <c r="C91" s="7">
        <v>43.2</v>
      </c>
      <c r="D91" s="6" t="s">
        <v>92</v>
      </c>
      <c r="E91" s="8">
        <v>45736</v>
      </c>
      <c r="F91" s="20">
        <v>246779413959</v>
      </c>
      <c r="G91" s="51">
        <v>86.69126</v>
      </c>
      <c r="H91" s="9">
        <v>3745.0624320000002</v>
      </c>
      <c r="I91" s="10">
        <v>0.02</v>
      </c>
      <c r="J91" s="11">
        <f t="shared" si="4"/>
        <v>75</v>
      </c>
      <c r="K91" s="11">
        <f t="shared" si="6"/>
        <v>3670.0624320000002</v>
      </c>
      <c r="L91" s="11"/>
      <c r="M91" s="11">
        <f t="shared" si="7"/>
        <v>3670.0624320000002</v>
      </c>
      <c r="N91" s="11">
        <f t="shared" si="5"/>
        <v>3670.0624320000002</v>
      </c>
      <c r="O91" s="8">
        <v>45813</v>
      </c>
      <c r="P91" s="22" t="s">
        <v>149</v>
      </c>
      <c r="Q91" s="12">
        <v>45778</v>
      </c>
      <c r="R91" s="6"/>
    </row>
    <row r="92" spans="1:18" hidden="1">
      <c r="A92" s="6">
        <v>91</v>
      </c>
      <c r="B92" s="19" t="s">
        <v>151</v>
      </c>
      <c r="C92" s="7">
        <v>94.48</v>
      </c>
      <c r="D92" s="6" t="s">
        <v>92</v>
      </c>
      <c r="E92" s="8">
        <v>45736</v>
      </c>
      <c r="F92" s="20">
        <v>246779413960</v>
      </c>
      <c r="G92" s="51">
        <v>86.69126</v>
      </c>
      <c r="H92" s="9">
        <v>8190.5902448000006</v>
      </c>
      <c r="I92" s="10">
        <v>0.02</v>
      </c>
      <c r="J92" s="11">
        <f t="shared" si="4"/>
        <v>164</v>
      </c>
      <c r="K92" s="11">
        <f t="shared" si="6"/>
        <v>8026.5902448000006</v>
      </c>
      <c r="L92" s="11"/>
      <c r="M92" s="11">
        <f t="shared" si="7"/>
        <v>8026.5902448000006</v>
      </c>
      <c r="N92" s="11">
        <f t="shared" si="5"/>
        <v>8026.5902448000006</v>
      </c>
      <c r="O92" s="8">
        <v>45813</v>
      </c>
      <c r="P92" s="22" t="s">
        <v>149</v>
      </c>
      <c r="Q92" s="12">
        <v>45778</v>
      </c>
      <c r="R92" s="6"/>
    </row>
    <row r="93" spans="1:18" hidden="1">
      <c r="A93" s="6">
        <v>92</v>
      </c>
      <c r="B93" s="19" t="s">
        <v>152</v>
      </c>
      <c r="C93" s="7">
        <v>27</v>
      </c>
      <c r="D93" s="6" t="s">
        <v>92</v>
      </c>
      <c r="E93" s="8">
        <v>45736</v>
      </c>
      <c r="F93" s="20">
        <v>246779413960</v>
      </c>
      <c r="G93" s="51">
        <v>86.69126</v>
      </c>
      <c r="H93" s="9">
        <v>2340.6640200000002</v>
      </c>
      <c r="I93" s="10">
        <v>0.02</v>
      </c>
      <c r="J93" s="11">
        <f t="shared" si="4"/>
        <v>47</v>
      </c>
      <c r="K93" s="11">
        <f t="shared" si="6"/>
        <v>2293.6640200000002</v>
      </c>
      <c r="L93" s="11"/>
      <c r="M93" s="11">
        <f t="shared" si="7"/>
        <v>2293.6640200000002</v>
      </c>
      <c r="N93" s="11">
        <f t="shared" si="5"/>
        <v>2293.6640200000002</v>
      </c>
      <c r="O93" s="8">
        <v>45813</v>
      </c>
      <c r="P93" s="22" t="s">
        <v>149</v>
      </c>
      <c r="Q93" s="12">
        <v>45778</v>
      </c>
      <c r="R93" s="6"/>
    </row>
    <row r="94" spans="1:18" hidden="1">
      <c r="A94" s="6">
        <v>93</v>
      </c>
      <c r="B94" s="19" t="s">
        <v>153</v>
      </c>
      <c r="C94" s="7">
        <v>43.2</v>
      </c>
      <c r="D94" s="6" t="s">
        <v>92</v>
      </c>
      <c r="E94" s="8">
        <v>45736</v>
      </c>
      <c r="F94" s="20">
        <v>246779413960</v>
      </c>
      <c r="G94" s="51">
        <v>86.69126</v>
      </c>
      <c r="H94" s="9">
        <v>3745.0624320000002</v>
      </c>
      <c r="I94" s="10">
        <v>0.02</v>
      </c>
      <c r="J94" s="11">
        <f t="shared" si="4"/>
        <v>75</v>
      </c>
      <c r="K94" s="11">
        <f t="shared" si="6"/>
        <v>3670.0624320000002</v>
      </c>
      <c r="L94" s="11"/>
      <c r="M94" s="11">
        <f t="shared" si="7"/>
        <v>3670.0624320000002</v>
      </c>
      <c r="N94" s="11">
        <f t="shared" si="5"/>
        <v>3670.0624320000002</v>
      </c>
      <c r="O94" s="8">
        <v>45813</v>
      </c>
      <c r="P94" s="22" t="s">
        <v>149</v>
      </c>
      <c r="Q94" s="12">
        <v>45778</v>
      </c>
      <c r="R94" s="6"/>
    </row>
    <row r="95" spans="1:18" hidden="1">
      <c r="A95" s="6">
        <v>94</v>
      </c>
      <c r="B95" s="19" t="s">
        <v>151</v>
      </c>
      <c r="C95" s="7">
        <v>188.95</v>
      </c>
      <c r="D95" s="6" t="s">
        <v>92</v>
      </c>
      <c r="E95" s="8">
        <v>45736</v>
      </c>
      <c r="F95" s="20">
        <v>246779413963</v>
      </c>
      <c r="G95" s="51">
        <v>86.69126</v>
      </c>
      <c r="H95" s="9">
        <v>16380.313576999999</v>
      </c>
      <c r="I95" s="10">
        <v>0.02</v>
      </c>
      <c r="J95" s="11">
        <f t="shared" si="4"/>
        <v>328</v>
      </c>
      <c r="K95" s="11">
        <f t="shared" si="6"/>
        <v>16052.313576999999</v>
      </c>
      <c r="L95" s="11"/>
      <c r="M95" s="11">
        <f t="shared" si="7"/>
        <v>16052.313576999999</v>
      </c>
      <c r="N95" s="11">
        <f t="shared" si="5"/>
        <v>16052.313576999999</v>
      </c>
      <c r="O95" s="8">
        <v>45813</v>
      </c>
      <c r="P95" s="22" t="s">
        <v>149</v>
      </c>
      <c r="Q95" s="12">
        <v>45778</v>
      </c>
      <c r="R95" s="6"/>
    </row>
    <row r="96" spans="1:18" hidden="1">
      <c r="A96" s="6">
        <v>95</v>
      </c>
      <c r="B96" s="19" t="s">
        <v>152</v>
      </c>
      <c r="C96" s="7">
        <v>54</v>
      </c>
      <c r="D96" s="6" t="s">
        <v>92</v>
      </c>
      <c r="E96" s="8">
        <v>45736</v>
      </c>
      <c r="F96" s="20">
        <v>246779413963</v>
      </c>
      <c r="G96" s="51">
        <v>86.69126</v>
      </c>
      <c r="H96" s="9">
        <v>4681.3280400000003</v>
      </c>
      <c r="I96" s="10">
        <v>0.02</v>
      </c>
      <c r="J96" s="11">
        <f t="shared" si="4"/>
        <v>94</v>
      </c>
      <c r="K96" s="11">
        <f t="shared" si="6"/>
        <v>4587.3280400000003</v>
      </c>
      <c r="L96" s="11"/>
      <c r="M96" s="11">
        <f t="shared" si="7"/>
        <v>4587.3280400000003</v>
      </c>
      <c r="N96" s="11">
        <f t="shared" si="5"/>
        <v>4587.3280400000003</v>
      </c>
      <c r="O96" s="8">
        <v>45813</v>
      </c>
      <c r="P96" s="22" t="s">
        <v>149</v>
      </c>
      <c r="Q96" s="12">
        <v>45778</v>
      </c>
      <c r="R96" s="6"/>
    </row>
    <row r="97" spans="1:18" hidden="1">
      <c r="A97" s="6">
        <v>96</v>
      </c>
      <c r="B97" s="19" t="s">
        <v>153</v>
      </c>
      <c r="C97" s="7">
        <v>86.4</v>
      </c>
      <c r="D97" s="6" t="s">
        <v>92</v>
      </c>
      <c r="E97" s="8">
        <v>45736</v>
      </c>
      <c r="F97" s="20">
        <v>246779413963</v>
      </c>
      <c r="G97" s="51">
        <v>86.69126</v>
      </c>
      <c r="H97" s="9">
        <v>7490.1248640000003</v>
      </c>
      <c r="I97" s="10">
        <v>0.02</v>
      </c>
      <c r="J97" s="11">
        <f t="shared" si="4"/>
        <v>150</v>
      </c>
      <c r="K97" s="11">
        <f t="shared" si="6"/>
        <v>7340.1248640000003</v>
      </c>
      <c r="L97" s="11"/>
      <c r="M97" s="11">
        <f t="shared" si="7"/>
        <v>7340.1248640000003</v>
      </c>
      <c r="N97" s="11">
        <f t="shared" si="5"/>
        <v>7340.1248640000003</v>
      </c>
      <c r="O97" s="8">
        <v>45813</v>
      </c>
      <c r="P97" s="22" t="s">
        <v>149</v>
      </c>
      <c r="Q97" s="12">
        <v>45778</v>
      </c>
      <c r="R97" s="6"/>
    </row>
    <row r="98" spans="1:18" hidden="1">
      <c r="A98" s="6">
        <v>97</v>
      </c>
      <c r="B98" s="19" t="s">
        <v>154</v>
      </c>
      <c r="C98" s="7">
        <v>188.95</v>
      </c>
      <c r="D98" s="6" t="s">
        <v>138</v>
      </c>
      <c r="E98" s="8">
        <v>45793</v>
      </c>
      <c r="F98" s="20">
        <v>256779413331</v>
      </c>
      <c r="G98" s="51">
        <v>85.983699999999999</v>
      </c>
      <c r="H98" s="9">
        <v>16246.620115</v>
      </c>
      <c r="I98" s="10">
        <v>0.02</v>
      </c>
      <c r="J98" s="11">
        <f t="shared" si="4"/>
        <v>325</v>
      </c>
      <c r="K98" s="11">
        <f t="shared" si="6"/>
        <v>15921.620115</v>
      </c>
      <c r="L98" s="11"/>
      <c r="M98" s="11">
        <f t="shared" si="7"/>
        <v>15921.620115</v>
      </c>
      <c r="N98" s="11">
        <f t="shared" si="5"/>
        <v>15921.620115</v>
      </c>
      <c r="O98" s="8">
        <v>45813</v>
      </c>
      <c r="P98" s="22" t="s">
        <v>149</v>
      </c>
      <c r="Q98" s="12">
        <v>45778</v>
      </c>
      <c r="R98" s="6"/>
    </row>
    <row r="99" spans="1:18" hidden="1">
      <c r="A99" s="6">
        <v>98</v>
      </c>
      <c r="B99" s="19" t="s">
        <v>155</v>
      </c>
      <c r="C99" s="7">
        <v>188.95</v>
      </c>
      <c r="D99" s="6" t="s">
        <v>138</v>
      </c>
      <c r="E99" s="8">
        <v>45797</v>
      </c>
      <c r="F99" s="20">
        <v>256779413466</v>
      </c>
      <c r="G99" s="51">
        <v>85.983699999999999</v>
      </c>
      <c r="H99" s="9">
        <v>16246.620115</v>
      </c>
      <c r="I99" s="10">
        <v>0.02</v>
      </c>
      <c r="J99" s="11">
        <f t="shared" si="4"/>
        <v>325</v>
      </c>
      <c r="K99" s="11">
        <f t="shared" si="6"/>
        <v>15921.620115</v>
      </c>
      <c r="L99" s="11"/>
      <c r="M99" s="11">
        <f t="shared" si="7"/>
        <v>15921.620115</v>
      </c>
      <c r="N99" s="11">
        <f t="shared" si="5"/>
        <v>15921.620115</v>
      </c>
      <c r="O99" s="8">
        <v>45813</v>
      </c>
      <c r="P99" s="22" t="s">
        <v>149</v>
      </c>
      <c r="Q99" s="12">
        <v>45778</v>
      </c>
      <c r="R99" s="6"/>
    </row>
    <row r="100" spans="1:18" hidden="1">
      <c r="A100" s="6">
        <v>99</v>
      </c>
      <c r="B100" s="19" t="s">
        <v>156</v>
      </c>
      <c r="C100" s="7">
        <v>746.12</v>
      </c>
      <c r="D100" s="6" t="s">
        <v>138</v>
      </c>
      <c r="E100" s="8">
        <v>45805</v>
      </c>
      <c r="F100" s="20">
        <v>256779413906</v>
      </c>
      <c r="G100" s="51">
        <v>85.983699999999999</v>
      </c>
      <c r="H100" s="9">
        <v>64154.158243999998</v>
      </c>
      <c r="I100" s="10">
        <v>0.1</v>
      </c>
      <c r="J100" s="11">
        <f t="shared" si="4"/>
        <v>6415</v>
      </c>
      <c r="K100" s="11">
        <f t="shared" si="6"/>
        <v>57739.158243999998</v>
      </c>
      <c r="L100" s="11"/>
      <c r="M100" s="11">
        <f t="shared" si="7"/>
        <v>57739.158243999998</v>
      </c>
      <c r="N100" s="11">
        <f t="shared" si="5"/>
        <v>57739.158243999998</v>
      </c>
      <c r="O100" s="8">
        <v>45813</v>
      </c>
      <c r="P100" s="22" t="s">
        <v>149</v>
      </c>
      <c r="Q100" s="12">
        <v>45778</v>
      </c>
      <c r="R100" s="6"/>
    </row>
    <row r="101" spans="1:18" hidden="1">
      <c r="A101" s="6">
        <v>100</v>
      </c>
      <c r="B101" s="19" t="s">
        <v>157</v>
      </c>
      <c r="C101" s="7">
        <v>51.5</v>
      </c>
      <c r="D101" s="6" t="s">
        <v>158</v>
      </c>
      <c r="E101" s="8">
        <v>45797</v>
      </c>
      <c r="F101" s="20">
        <v>256779413830</v>
      </c>
      <c r="G101" s="51">
        <v>85.983699999999999</v>
      </c>
      <c r="H101" s="9">
        <v>4428.1605499999996</v>
      </c>
      <c r="I101" s="10">
        <v>0.02</v>
      </c>
      <c r="J101" s="11">
        <f t="shared" si="4"/>
        <v>89</v>
      </c>
      <c r="K101" s="11">
        <f t="shared" si="6"/>
        <v>4339.1605499999996</v>
      </c>
      <c r="L101" s="11"/>
      <c r="M101" s="11">
        <f t="shared" si="7"/>
        <v>4339.1605499999996</v>
      </c>
      <c r="N101" s="11">
        <f t="shared" si="5"/>
        <v>4339.1605499999996</v>
      </c>
      <c r="O101" s="8">
        <v>45813</v>
      </c>
      <c r="P101" s="22" t="s">
        <v>149</v>
      </c>
      <c r="Q101" s="12">
        <v>45778</v>
      </c>
      <c r="R101" s="6"/>
    </row>
    <row r="102" spans="1:18" hidden="1">
      <c r="A102" s="6">
        <v>101</v>
      </c>
      <c r="B102" s="19" t="s">
        <v>159</v>
      </c>
      <c r="C102" s="7">
        <v>42.14</v>
      </c>
      <c r="D102" s="6" t="s">
        <v>158</v>
      </c>
      <c r="E102" s="8">
        <v>45797</v>
      </c>
      <c r="F102" s="20">
        <v>256779413838</v>
      </c>
      <c r="G102" s="51">
        <v>85.983699999999999</v>
      </c>
      <c r="H102" s="9">
        <v>3623.353118</v>
      </c>
      <c r="I102" s="10">
        <v>0.02</v>
      </c>
      <c r="J102" s="11">
        <f t="shared" si="4"/>
        <v>72</v>
      </c>
      <c r="K102" s="11">
        <f t="shared" si="6"/>
        <v>3551.353118</v>
      </c>
      <c r="L102" s="11"/>
      <c r="M102" s="11">
        <f t="shared" si="7"/>
        <v>3551.353118</v>
      </c>
      <c r="N102" s="11">
        <f t="shared" si="5"/>
        <v>3551.353118</v>
      </c>
      <c r="O102" s="8">
        <v>45813</v>
      </c>
      <c r="P102" s="22" t="s">
        <v>149</v>
      </c>
      <c r="Q102" s="12">
        <v>45778</v>
      </c>
      <c r="R102" s="6"/>
    </row>
    <row r="103" spans="1:18" hidden="1">
      <c r="A103" s="6">
        <v>102</v>
      </c>
      <c r="B103" s="24" t="s">
        <v>160</v>
      </c>
      <c r="C103" s="7">
        <v>49.95</v>
      </c>
      <c r="D103" s="6" t="s">
        <v>138</v>
      </c>
      <c r="E103" s="8">
        <v>45793</v>
      </c>
      <c r="F103" s="25">
        <v>256779413262</v>
      </c>
      <c r="G103" s="52">
        <v>85.983699999999999</v>
      </c>
      <c r="H103" s="9">
        <v>4294.8858150000005</v>
      </c>
      <c r="I103" s="10">
        <v>0.02</v>
      </c>
      <c r="J103" s="11">
        <f t="shared" si="4"/>
        <v>86</v>
      </c>
      <c r="K103" s="11">
        <f t="shared" si="6"/>
        <v>4208.8858150000005</v>
      </c>
      <c r="L103" s="11"/>
      <c r="M103" s="11">
        <f t="shared" si="7"/>
        <v>4208.8858150000005</v>
      </c>
      <c r="N103" s="11">
        <f t="shared" si="5"/>
        <v>4208.8858150000005</v>
      </c>
      <c r="O103" s="8">
        <v>45822</v>
      </c>
      <c r="P103" s="6" t="s">
        <v>32</v>
      </c>
      <c r="Q103" s="12">
        <v>45778</v>
      </c>
      <c r="R103" s="6"/>
    </row>
    <row r="104" spans="1:18" hidden="1">
      <c r="A104" s="6">
        <v>103</v>
      </c>
      <c r="B104" s="24" t="s">
        <v>161</v>
      </c>
      <c r="C104" s="7">
        <v>105.6</v>
      </c>
      <c r="D104" s="6" t="s">
        <v>138</v>
      </c>
      <c r="E104" s="8">
        <v>45793</v>
      </c>
      <c r="F104" s="25">
        <v>256779413294</v>
      </c>
      <c r="G104" s="52">
        <v>85.983699999999999</v>
      </c>
      <c r="H104" s="9">
        <v>9079.8787199999988</v>
      </c>
      <c r="I104" s="10">
        <v>0.02</v>
      </c>
      <c r="J104" s="11">
        <f t="shared" si="4"/>
        <v>182</v>
      </c>
      <c r="K104" s="11">
        <f t="shared" si="6"/>
        <v>8897.8787199999988</v>
      </c>
      <c r="L104" s="11"/>
      <c r="M104" s="11">
        <f t="shared" si="7"/>
        <v>8897.8787199999988</v>
      </c>
      <c r="N104" s="11">
        <f t="shared" si="5"/>
        <v>8897.8787199999988</v>
      </c>
      <c r="O104" s="8">
        <v>45822</v>
      </c>
      <c r="P104" s="6" t="s">
        <v>32</v>
      </c>
      <c r="Q104" s="12">
        <v>45778</v>
      </c>
      <c r="R104" s="6"/>
    </row>
    <row r="105" spans="1:18" hidden="1">
      <c r="A105" s="6">
        <v>104</v>
      </c>
      <c r="B105" s="24" t="s">
        <v>162</v>
      </c>
      <c r="C105" s="7">
        <v>377.9</v>
      </c>
      <c r="D105" s="6" t="s">
        <v>138</v>
      </c>
      <c r="E105" s="8">
        <v>45793</v>
      </c>
      <c r="F105" s="25">
        <v>256779413294</v>
      </c>
      <c r="G105" s="52">
        <v>85.983699999999999</v>
      </c>
      <c r="H105" s="9">
        <v>32493.240229999999</v>
      </c>
      <c r="I105" s="10">
        <v>0.02</v>
      </c>
      <c r="J105" s="11">
        <f t="shared" si="4"/>
        <v>650</v>
      </c>
      <c r="K105" s="11">
        <f t="shared" si="6"/>
        <v>31843.240229999999</v>
      </c>
      <c r="L105" s="11"/>
      <c r="M105" s="11">
        <f t="shared" si="7"/>
        <v>31843.240229999999</v>
      </c>
      <c r="N105" s="11">
        <f t="shared" si="5"/>
        <v>31843.240229999999</v>
      </c>
      <c r="O105" s="8">
        <v>45822</v>
      </c>
      <c r="P105" s="6" t="s">
        <v>32</v>
      </c>
      <c r="Q105" s="12">
        <v>45778</v>
      </c>
      <c r="R105" s="6"/>
    </row>
    <row r="106" spans="1:18" hidden="1">
      <c r="A106" s="6">
        <v>105</v>
      </c>
      <c r="B106" s="24" t="s">
        <v>163</v>
      </c>
      <c r="C106" s="7">
        <v>172.8</v>
      </c>
      <c r="D106" s="6" t="s">
        <v>138</v>
      </c>
      <c r="E106" s="8">
        <v>45793</v>
      </c>
      <c r="F106" s="25">
        <v>256779413294</v>
      </c>
      <c r="G106" s="52">
        <v>85.983699999999999</v>
      </c>
      <c r="H106" s="9">
        <v>14857.98336</v>
      </c>
      <c r="I106" s="10">
        <v>0.02</v>
      </c>
      <c r="J106" s="11">
        <f t="shared" si="4"/>
        <v>297</v>
      </c>
      <c r="K106" s="11">
        <f t="shared" si="6"/>
        <v>14560.98336</v>
      </c>
      <c r="L106" s="11"/>
      <c r="M106" s="11">
        <f t="shared" si="7"/>
        <v>14560.98336</v>
      </c>
      <c r="N106" s="11">
        <f t="shared" si="5"/>
        <v>14560.98336</v>
      </c>
      <c r="O106" s="8">
        <v>45822</v>
      </c>
      <c r="P106" s="6" t="s">
        <v>32</v>
      </c>
      <c r="Q106" s="12">
        <v>45778</v>
      </c>
      <c r="R106" s="6"/>
    </row>
    <row r="107" spans="1:18" hidden="1">
      <c r="A107" s="6">
        <v>106</v>
      </c>
      <c r="B107" s="19" t="s">
        <v>164</v>
      </c>
      <c r="C107" s="27">
        <v>1888.3379964000001</v>
      </c>
      <c r="D107" s="6" t="s">
        <v>158</v>
      </c>
      <c r="E107" s="8">
        <v>45815</v>
      </c>
      <c r="F107" s="20">
        <v>256779414249</v>
      </c>
      <c r="G107" s="51">
        <v>85.490780000000001</v>
      </c>
      <c r="H107" s="9">
        <v>161435.48821587319</v>
      </c>
      <c r="I107" s="10">
        <v>0.1</v>
      </c>
      <c r="J107" s="11">
        <f t="shared" si="4"/>
        <v>16144</v>
      </c>
      <c r="K107" s="11">
        <f t="shared" si="6"/>
        <v>145291.48821587319</v>
      </c>
      <c r="L107" s="11"/>
      <c r="M107" s="11">
        <f t="shared" si="7"/>
        <v>145291.48821587319</v>
      </c>
      <c r="N107" s="11">
        <f t="shared" si="5"/>
        <v>145291.48821587319</v>
      </c>
      <c r="O107" s="8">
        <v>45822</v>
      </c>
      <c r="P107" s="6" t="s">
        <v>32</v>
      </c>
      <c r="Q107" s="12">
        <v>45809</v>
      </c>
      <c r="R107" s="6"/>
    </row>
    <row r="108" spans="1:18" hidden="1">
      <c r="A108" s="6">
        <v>107</v>
      </c>
      <c r="B108" s="19" t="s">
        <v>165</v>
      </c>
      <c r="C108" s="28">
        <v>50</v>
      </c>
      <c r="D108" s="6" t="s">
        <v>158</v>
      </c>
      <c r="E108" s="8">
        <v>45812</v>
      </c>
      <c r="F108" s="29">
        <v>256779414282</v>
      </c>
      <c r="G108" s="51">
        <v>85.490780000000001</v>
      </c>
      <c r="H108" s="9">
        <v>4274.5389999999998</v>
      </c>
      <c r="I108" s="10">
        <v>0.02</v>
      </c>
      <c r="J108" s="11">
        <f t="shared" si="4"/>
        <v>85</v>
      </c>
      <c r="K108" s="11">
        <f t="shared" si="6"/>
        <v>4189.5389999999998</v>
      </c>
      <c r="L108" s="11"/>
      <c r="M108" s="11">
        <f>K108</f>
        <v>4189.5389999999998</v>
      </c>
      <c r="N108" s="11">
        <f t="shared" si="5"/>
        <v>4189.5389999999998</v>
      </c>
      <c r="O108" s="8">
        <v>45833</v>
      </c>
      <c r="P108" s="6" t="s">
        <v>166</v>
      </c>
      <c r="Q108" s="12">
        <v>45809</v>
      </c>
      <c r="R108" s="6"/>
    </row>
    <row r="109" spans="1:18" hidden="1">
      <c r="A109" s="6">
        <v>108</v>
      </c>
      <c r="B109" s="19" t="s">
        <v>167</v>
      </c>
      <c r="C109" s="28">
        <v>1080</v>
      </c>
      <c r="D109" s="6" t="s">
        <v>158</v>
      </c>
      <c r="E109" s="8">
        <v>45812</v>
      </c>
      <c r="F109" s="29">
        <v>256779414296</v>
      </c>
      <c r="G109" s="51">
        <v>85.490780000000001</v>
      </c>
      <c r="H109" s="9">
        <v>92330.042400000006</v>
      </c>
      <c r="I109" s="10">
        <v>0.02</v>
      </c>
      <c r="J109" s="11">
        <f t="shared" si="4"/>
        <v>1847</v>
      </c>
      <c r="K109" s="11">
        <f t="shared" si="6"/>
        <v>90483.042400000006</v>
      </c>
      <c r="L109" s="11"/>
      <c r="M109" s="11">
        <f t="shared" ref="M109:M113" si="8">K109</f>
        <v>90483.042400000006</v>
      </c>
      <c r="N109" s="11">
        <f t="shared" si="5"/>
        <v>90483.042400000006</v>
      </c>
      <c r="O109" s="8">
        <v>45833</v>
      </c>
      <c r="P109" s="6" t="s">
        <v>166</v>
      </c>
      <c r="Q109" s="12">
        <v>45809</v>
      </c>
      <c r="R109" s="6"/>
    </row>
    <row r="110" spans="1:18" hidden="1">
      <c r="A110" s="6">
        <v>109</v>
      </c>
      <c r="B110" s="19" t="s">
        <v>168</v>
      </c>
      <c r="C110" s="28">
        <v>162</v>
      </c>
      <c r="D110" s="6" t="s">
        <v>158</v>
      </c>
      <c r="E110" s="8">
        <v>45812</v>
      </c>
      <c r="F110" s="29">
        <v>256779414296</v>
      </c>
      <c r="G110" s="51">
        <v>85.490780000000001</v>
      </c>
      <c r="H110" s="9">
        <v>13849.506359999999</v>
      </c>
      <c r="I110" s="10">
        <v>0.02</v>
      </c>
      <c r="J110" s="11">
        <f t="shared" si="4"/>
        <v>277</v>
      </c>
      <c r="K110" s="11">
        <f t="shared" si="6"/>
        <v>13572.506359999999</v>
      </c>
      <c r="L110" s="11"/>
      <c r="M110" s="11">
        <f t="shared" si="8"/>
        <v>13572.506359999999</v>
      </c>
      <c r="N110" s="11">
        <f t="shared" si="5"/>
        <v>13572.506359999999</v>
      </c>
      <c r="O110" s="8">
        <v>45833</v>
      </c>
      <c r="P110" s="6" t="s">
        <v>166</v>
      </c>
      <c r="Q110" s="12">
        <v>45809</v>
      </c>
      <c r="R110" s="6"/>
    </row>
    <row r="111" spans="1:18" hidden="1">
      <c r="A111" s="6">
        <v>110</v>
      </c>
      <c r="B111" s="19" t="s">
        <v>169</v>
      </c>
      <c r="C111" s="28">
        <v>550.20000000000005</v>
      </c>
      <c r="D111" s="6" t="s">
        <v>158</v>
      </c>
      <c r="E111" s="8">
        <v>45812</v>
      </c>
      <c r="F111" s="29">
        <v>256779414296</v>
      </c>
      <c r="G111" s="51">
        <v>85.490780000000001</v>
      </c>
      <c r="H111" s="9">
        <v>47037.027156000004</v>
      </c>
      <c r="I111" s="10">
        <v>0.02</v>
      </c>
      <c r="J111" s="11">
        <f t="shared" si="4"/>
        <v>941</v>
      </c>
      <c r="K111" s="11">
        <f t="shared" si="6"/>
        <v>46096.027156000004</v>
      </c>
      <c r="L111" s="11"/>
      <c r="M111" s="11">
        <f t="shared" si="8"/>
        <v>46096.027156000004</v>
      </c>
      <c r="N111" s="11">
        <f t="shared" si="5"/>
        <v>46096.027156000004</v>
      </c>
      <c r="O111" s="8">
        <v>45833</v>
      </c>
      <c r="P111" s="6" t="s">
        <v>166</v>
      </c>
      <c r="Q111" s="12">
        <v>45809</v>
      </c>
      <c r="R111" s="6"/>
    </row>
    <row r="112" spans="1:18" hidden="1">
      <c r="A112" s="6">
        <v>111</v>
      </c>
      <c r="B112" s="19" t="s">
        <v>170</v>
      </c>
      <c r="C112" s="28">
        <v>38.630000000000003</v>
      </c>
      <c r="D112" s="6" t="s">
        <v>158</v>
      </c>
      <c r="E112" s="8">
        <v>45812</v>
      </c>
      <c r="F112" s="29">
        <v>256779414296</v>
      </c>
      <c r="G112" s="51">
        <v>85.490780000000001</v>
      </c>
      <c r="H112" s="9">
        <v>3302.5088314000004</v>
      </c>
      <c r="I112" s="10">
        <v>0.02</v>
      </c>
      <c r="J112" s="11">
        <f t="shared" si="4"/>
        <v>66</v>
      </c>
      <c r="K112" s="11">
        <f t="shared" si="6"/>
        <v>3236.5088314000004</v>
      </c>
      <c r="L112" s="11"/>
      <c r="M112" s="11">
        <f t="shared" si="8"/>
        <v>3236.5088314000004</v>
      </c>
      <c r="N112" s="11">
        <f t="shared" si="5"/>
        <v>3236.5088314000004</v>
      </c>
      <c r="O112" s="8">
        <v>45833</v>
      </c>
      <c r="P112" s="6" t="s">
        <v>166</v>
      </c>
      <c r="Q112" s="12">
        <v>45809</v>
      </c>
      <c r="R112" s="6"/>
    </row>
    <row r="113" spans="1:18" hidden="1">
      <c r="A113" s="6">
        <v>112</v>
      </c>
      <c r="B113" s="19" t="s">
        <v>171</v>
      </c>
      <c r="C113" s="28">
        <v>259.2</v>
      </c>
      <c r="D113" s="6" t="s">
        <v>158</v>
      </c>
      <c r="E113" s="8">
        <v>45812</v>
      </c>
      <c r="F113" s="29">
        <v>256779414296</v>
      </c>
      <c r="G113" s="51">
        <v>85.490780000000001</v>
      </c>
      <c r="H113" s="9">
        <v>22159.210176000001</v>
      </c>
      <c r="I113" s="10">
        <v>0.02</v>
      </c>
      <c r="J113" s="11">
        <f t="shared" si="4"/>
        <v>443</v>
      </c>
      <c r="K113" s="11">
        <f t="shared" si="6"/>
        <v>21716.210176000001</v>
      </c>
      <c r="L113" s="11"/>
      <c r="M113" s="11">
        <f t="shared" si="8"/>
        <v>21716.210176000001</v>
      </c>
      <c r="N113" s="11">
        <f t="shared" si="5"/>
        <v>21716.210176000001</v>
      </c>
      <c r="O113" s="8">
        <v>45833</v>
      </c>
      <c r="P113" s="6" t="s">
        <v>166</v>
      </c>
      <c r="Q113" s="12">
        <v>45809</v>
      </c>
      <c r="R113" s="6"/>
    </row>
    <row r="114" spans="1:18" hidden="1">
      <c r="A114" s="6">
        <v>113</v>
      </c>
      <c r="B114" s="19" t="s">
        <v>172</v>
      </c>
      <c r="C114" s="28">
        <v>1440</v>
      </c>
      <c r="D114" s="12" t="s">
        <v>173</v>
      </c>
      <c r="E114" s="8">
        <v>45842</v>
      </c>
      <c r="F114" s="29">
        <v>256779414785</v>
      </c>
      <c r="G114" s="51">
        <v>86.00067</v>
      </c>
      <c r="H114" s="9">
        <v>123840.9648</v>
      </c>
      <c r="I114" s="10">
        <v>0.02</v>
      </c>
      <c r="J114" s="11">
        <f t="shared" si="4"/>
        <v>2477</v>
      </c>
      <c r="K114" s="11">
        <f t="shared" si="6"/>
        <v>121363.9648</v>
      </c>
      <c r="L114" s="11"/>
      <c r="M114" s="11"/>
      <c r="N114" s="11">
        <f t="shared" si="5"/>
        <v>0</v>
      </c>
      <c r="O114" s="8"/>
      <c r="P114" s="6" t="s">
        <v>25</v>
      </c>
      <c r="Q114" s="12">
        <v>45839</v>
      </c>
      <c r="R114" s="6"/>
    </row>
    <row r="115" spans="1:18" hidden="1">
      <c r="A115" s="6">
        <v>114</v>
      </c>
      <c r="B115" s="19" t="s">
        <v>175</v>
      </c>
      <c r="C115" s="28">
        <v>216</v>
      </c>
      <c r="D115" s="12" t="s">
        <v>173</v>
      </c>
      <c r="E115" s="8">
        <v>45842</v>
      </c>
      <c r="F115" s="29">
        <v>256779414785</v>
      </c>
      <c r="G115" s="51">
        <v>86.00067</v>
      </c>
      <c r="H115" s="9">
        <v>18576.14472</v>
      </c>
      <c r="I115" s="10">
        <v>0.02</v>
      </c>
      <c r="J115" s="11">
        <f t="shared" si="4"/>
        <v>372</v>
      </c>
      <c r="K115" s="11">
        <f t="shared" si="6"/>
        <v>18204.14472</v>
      </c>
      <c r="L115" s="11"/>
      <c r="M115" s="11"/>
      <c r="N115" s="11">
        <f t="shared" si="5"/>
        <v>0</v>
      </c>
      <c r="O115" s="8"/>
      <c r="P115" s="6" t="s">
        <v>25</v>
      </c>
      <c r="Q115" s="12">
        <v>45839</v>
      </c>
      <c r="R115" s="6"/>
    </row>
    <row r="116" spans="1:18" hidden="1">
      <c r="A116" s="6">
        <v>115</v>
      </c>
      <c r="B116" s="19" t="s">
        <v>176</v>
      </c>
      <c r="C116" s="28">
        <v>1088.0899999999999</v>
      </c>
      <c r="D116" s="12" t="s">
        <v>173</v>
      </c>
      <c r="E116" s="8">
        <v>45842</v>
      </c>
      <c r="F116" s="29">
        <v>256779414785</v>
      </c>
      <c r="G116" s="51">
        <v>86.00067</v>
      </c>
      <c r="H116" s="9">
        <v>93576.469020299992</v>
      </c>
      <c r="I116" s="10">
        <v>0.02</v>
      </c>
      <c r="J116" s="11">
        <f t="shared" si="4"/>
        <v>1872</v>
      </c>
      <c r="K116" s="11">
        <f t="shared" si="6"/>
        <v>91704.469020299992</v>
      </c>
      <c r="L116" s="11"/>
      <c r="M116" s="11"/>
      <c r="N116" s="11">
        <f t="shared" si="5"/>
        <v>0</v>
      </c>
      <c r="O116" s="8"/>
      <c r="P116" s="6" t="s">
        <v>25</v>
      </c>
      <c r="Q116" s="12">
        <v>45839</v>
      </c>
      <c r="R116" s="6"/>
    </row>
    <row r="117" spans="1:18" hidden="1">
      <c r="A117" s="6">
        <v>116</v>
      </c>
      <c r="B117" s="19" t="s">
        <v>177</v>
      </c>
      <c r="C117" s="28">
        <v>518.4</v>
      </c>
      <c r="D117" s="12" t="s">
        <v>173</v>
      </c>
      <c r="E117" s="8">
        <v>45842</v>
      </c>
      <c r="F117" s="29">
        <v>256779414785</v>
      </c>
      <c r="G117" s="51">
        <v>86.00067</v>
      </c>
      <c r="H117" s="9">
        <v>44582.747327999998</v>
      </c>
      <c r="I117" s="10">
        <v>0.02</v>
      </c>
      <c r="J117" s="11">
        <f t="shared" si="4"/>
        <v>892</v>
      </c>
      <c r="K117" s="11">
        <f t="shared" si="6"/>
        <v>43690.747327999998</v>
      </c>
      <c r="L117" s="11"/>
      <c r="M117" s="11"/>
      <c r="N117" s="11">
        <f t="shared" si="5"/>
        <v>0</v>
      </c>
      <c r="O117" s="8"/>
      <c r="P117" s="6" t="s">
        <v>25</v>
      </c>
      <c r="Q117" s="12">
        <v>45839</v>
      </c>
      <c r="R117" s="6"/>
    </row>
    <row r="118" spans="1:18" hidden="1">
      <c r="A118" s="6">
        <v>117</v>
      </c>
      <c r="B118" s="19" t="s">
        <v>178</v>
      </c>
      <c r="C118" s="28">
        <v>1350.66</v>
      </c>
      <c r="D118" s="12" t="s">
        <v>173</v>
      </c>
      <c r="E118" s="8">
        <v>45842</v>
      </c>
      <c r="F118" s="29">
        <v>256779414809</v>
      </c>
      <c r="G118" s="51">
        <v>86.00067</v>
      </c>
      <c r="H118" s="9">
        <v>116157.6649422</v>
      </c>
      <c r="I118" s="10">
        <v>0.02</v>
      </c>
      <c r="J118" s="11">
        <f t="shared" si="4"/>
        <v>2323</v>
      </c>
      <c r="K118" s="11">
        <f t="shared" si="6"/>
        <v>113834.6649422</v>
      </c>
      <c r="L118" s="11"/>
      <c r="M118" s="11"/>
      <c r="N118" s="11">
        <f t="shared" si="5"/>
        <v>0</v>
      </c>
      <c r="O118" s="8"/>
      <c r="P118" s="6" t="s">
        <v>25</v>
      </c>
      <c r="Q118" s="12">
        <v>45839</v>
      </c>
      <c r="R118" s="6"/>
    </row>
    <row r="119" spans="1:18" hidden="1">
      <c r="A119" s="6">
        <v>118</v>
      </c>
      <c r="B119" s="19" t="s">
        <v>180</v>
      </c>
      <c r="C119" s="28">
        <v>25</v>
      </c>
      <c r="D119" s="12" t="s">
        <v>173</v>
      </c>
      <c r="E119" s="8">
        <v>45842</v>
      </c>
      <c r="F119" s="29">
        <v>256779414809</v>
      </c>
      <c r="G119" s="51">
        <v>86.00067</v>
      </c>
      <c r="H119" s="9">
        <v>2150.0167499999998</v>
      </c>
      <c r="I119" s="10">
        <v>0.02</v>
      </c>
      <c r="J119" s="11">
        <f t="shared" si="4"/>
        <v>43</v>
      </c>
      <c r="K119" s="11">
        <f t="shared" si="6"/>
        <v>2107.0167499999998</v>
      </c>
      <c r="L119" s="11"/>
      <c r="M119" s="11"/>
      <c r="N119" s="11">
        <f t="shared" si="5"/>
        <v>0</v>
      </c>
      <c r="O119" s="8"/>
      <c r="P119" s="6" t="s">
        <v>25</v>
      </c>
      <c r="Q119" s="12">
        <v>45839</v>
      </c>
      <c r="R119" s="6"/>
    </row>
    <row r="120" spans="1:18" hidden="1">
      <c r="A120" s="6">
        <v>119</v>
      </c>
      <c r="B120" s="19" t="s">
        <v>181</v>
      </c>
      <c r="C120" s="28">
        <v>604.79999999999995</v>
      </c>
      <c r="D120" s="12" t="s">
        <v>173</v>
      </c>
      <c r="E120" s="8">
        <v>45842</v>
      </c>
      <c r="F120" s="29">
        <v>256779414809</v>
      </c>
      <c r="G120" s="51">
        <v>86.00067</v>
      </c>
      <c r="H120" s="9">
        <v>52013.205215999995</v>
      </c>
      <c r="I120" s="10">
        <v>0.02</v>
      </c>
      <c r="J120" s="11">
        <f t="shared" si="4"/>
        <v>1040</v>
      </c>
      <c r="K120" s="11">
        <f t="shared" si="6"/>
        <v>50973.205215999995</v>
      </c>
      <c r="L120" s="11"/>
      <c r="M120" s="11"/>
      <c r="N120" s="11">
        <f t="shared" si="5"/>
        <v>0</v>
      </c>
      <c r="O120" s="8"/>
      <c r="P120" s="6" t="s">
        <v>25</v>
      </c>
      <c r="Q120" s="12">
        <v>45839</v>
      </c>
      <c r="R120" s="6"/>
    </row>
    <row r="121" spans="1:18" hidden="1">
      <c r="A121" s="6">
        <v>120</v>
      </c>
      <c r="B121" s="24" t="s">
        <v>182</v>
      </c>
      <c r="C121" s="26">
        <v>720</v>
      </c>
      <c r="D121" s="12" t="s">
        <v>173</v>
      </c>
      <c r="E121" s="8">
        <v>45842</v>
      </c>
      <c r="F121" s="29">
        <v>256779414998</v>
      </c>
      <c r="G121" s="51">
        <v>86.00067</v>
      </c>
      <c r="H121" s="9">
        <v>61920.482400000001</v>
      </c>
      <c r="I121" s="10">
        <v>0.02</v>
      </c>
      <c r="J121" s="11">
        <f t="shared" si="4"/>
        <v>1238</v>
      </c>
      <c r="K121" s="11">
        <f t="shared" si="6"/>
        <v>60682.482400000001</v>
      </c>
      <c r="L121" s="11"/>
      <c r="M121" s="11"/>
      <c r="N121" s="11">
        <f t="shared" si="5"/>
        <v>0</v>
      </c>
      <c r="O121" s="8"/>
      <c r="P121" s="6" t="s">
        <v>25</v>
      </c>
      <c r="Q121" s="12">
        <v>45839</v>
      </c>
      <c r="R121" s="6"/>
    </row>
    <row r="122" spans="1:18" hidden="1">
      <c r="A122" s="6">
        <v>121</v>
      </c>
      <c r="B122" s="24" t="s">
        <v>183</v>
      </c>
      <c r="C122" s="26">
        <v>108</v>
      </c>
      <c r="D122" s="12" t="s">
        <v>173</v>
      </c>
      <c r="E122" s="8">
        <v>45842</v>
      </c>
      <c r="F122" s="29">
        <v>256779414998</v>
      </c>
      <c r="G122" s="51">
        <v>86.00067</v>
      </c>
      <c r="H122" s="9">
        <v>9288.0723600000001</v>
      </c>
      <c r="I122" s="10">
        <v>0.02</v>
      </c>
      <c r="J122" s="11">
        <f t="shared" si="4"/>
        <v>186</v>
      </c>
      <c r="K122" s="11">
        <f t="shared" si="6"/>
        <v>9102.0723600000001</v>
      </c>
      <c r="L122" s="11"/>
      <c r="M122" s="11"/>
      <c r="N122" s="11">
        <f t="shared" si="5"/>
        <v>0</v>
      </c>
      <c r="O122" s="8"/>
      <c r="P122" s="6" t="s">
        <v>25</v>
      </c>
      <c r="Q122" s="12">
        <v>45839</v>
      </c>
      <c r="R122" s="6"/>
    </row>
    <row r="123" spans="1:18" hidden="1">
      <c r="A123" s="6">
        <v>122</v>
      </c>
      <c r="B123" s="24" t="s">
        <v>184</v>
      </c>
      <c r="C123" s="26">
        <v>360</v>
      </c>
      <c r="D123" s="12" t="s">
        <v>173</v>
      </c>
      <c r="E123" s="8">
        <v>45842</v>
      </c>
      <c r="F123" s="29">
        <v>256779414998</v>
      </c>
      <c r="G123" s="51">
        <v>86.00067</v>
      </c>
      <c r="H123" s="9">
        <v>30960.2412</v>
      </c>
      <c r="I123" s="10">
        <v>0.02</v>
      </c>
      <c r="J123" s="11">
        <f t="shared" si="4"/>
        <v>619</v>
      </c>
      <c r="K123" s="11">
        <f t="shared" si="6"/>
        <v>30341.2412</v>
      </c>
      <c r="L123" s="11"/>
      <c r="M123" s="11"/>
      <c r="N123" s="11">
        <f t="shared" si="5"/>
        <v>0</v>
      </c>
      <c r="O123" s="8"/>
      <c r="P123" s="6" t="s">
        <v>25</v>
      </c>
      <c r="Q123" s="12">
        <v>45839</v>
      </c>
      <c r="R123" s="6"/>
    </row>
    <row r="124" spans="1:18" hidden="1">
      <c r="A124" s="6">
        <v>123</v>
      </c>
      <c r="B124" s="24" t="s">
        <v>185</v>
      </c>
      <c r="C124" s="26">
        <v>377.9</v>
      </c>
      <c r="D124" s="12" t="s">
        <v>173</v>
      </c>
      <c r="E124" s="8">
        <v>45842</v>
      </c>
      <c r="F124" s="29">
        <v>256779414998</v>
      </c>
      <c r="G124" s="51">
        <v>86.00067</v>
      </c>
      <c r="H124" s="9">
        <v>32499.653192999998</v>
      </c>
      <c r="I124" s="10">
        <v>0.02</v>
      </c>
      <c r="J124" s="11">
        <f t="shared" si="4"/>
        <v>650</v>
      </c>
      <c r="K124" s="11">
        <f t="shared" si="6"/>
        <v>31849.653192999998</v>
      </c>
      <c r="L124" s="11"/>
      <c r="M124" s="11"/>
      <c r="N124" s="11">
        <f t="shared" si="5"/>
        <v>0</v>
      </c>
      <c r="O124" s="8"/>
      <c r="P124" s="6" t="s">
        <v>25</v>
      </c>
      <c r="Q124" s="12">
        <v>45839</v>
      </c>
      <c r="R124" s="6"/>
    </row>
    <row r="125" spans="1:18" hidden="1">
      <c r="A125" s="6">
        <v>124</v>
      </c>
      <c r="B125" s="24" t="s">
        <v>186</v>
      </c>
      <c r="C125" s="26">
        <v>13.63</v>
      </c>
      <c r="D125" s="12" t="s">
        <v>173</v>
      </c>
      <c r="E125" s="8">
        <v>45842</v>
      </c>
      <c r="F125" s="29">
        <v>256779414998</v>
      </c>
      <c r="G125" s="51">
        <v>86.00067</v>
      </c>
      <c r="H125" s="9">
        <v>1172.1891321000001</v>
      </c>
      <c r="I125" s="10">
        <v>0.02</v>
      </c>
      <c r="J125" s="11">
        <f t="shared" si="4"/>
        <v>23</v>
      </c>
      <c r="K125" s="11">
        <f t="shared" si="6"/>
        <v>1149.1891321000001</v>
      </c>
      <c r="L125" s="11"/>
      <c r="M125" s="11"/>
      <c r="N125" s="11">
        <f t="shared" si="5"/>
        <v>0</v>
      </c>
      <c r="O125" s="8"/>
      <c r="P125" s="6" t="s">
        <v>25</v>
      </c>
      <c r="Q125" s="12">
        <v>45839</v>
      </c>
      <c r="R125" s="6"/>
    </row>
    <row r="126" spans="1:18" hidden="1">
      <c r="A126" s="6">
        <v>125</v>
      </c>
      <c r="B126" s="24" t="s">
        <v>187</v>
      </c>
      <c r="C126" s="26">
        <v>172.8</v>
      </c>
      <c r="D126" s="12" t="s">
        <v>173</v>
      </c>
      <c r="E126" s="8">
        <v>45842</v>
      </c>
      <c r="F126" s="29">
        <v>256779414998</v>
      </c>
      <c r="G126" s="51">
        <v>86.00067</v>
      </c>
      <c r="H126" s="9">
        <v>14860.915776000002</v>
      </c>
      <c r="I126" s="10">
        <v>0.02</v>
      </c>
      <c r="J126" s="11">
        <f t="shared" si="4"/>
        <v>297</v>
      </c>
      <c r="K126" s="11">
        <f t="shared" si="6"/>
        <v>14563.915776000002</v>
      </c>
      <c r="L126" s="11"/>
      <c r="M126" s="11"/>
      <c r="N126" s="11">
        <f t="shared" si="5"/>
        <v>0</v>
      </c>
      <c r="O126" s="8"/>
      <c r="P126" s="6" t="s">
        <v>25</v>
      </c>
      <c r="Q126" s="12">
        <v>45839</v>
      </c>
      <c r="R126" s="6"/>
    </row>
    <row r="127" spans="1:18" hidden="1">
      <c r="A127" s="6">
        <v>126</v>
      </c>
      <c r="B127" s="24" t="s">
        <v>188</v>
      </c>
      <c r="C127" s="26">
        <v>14.09</v>
      </c>
      <c r="D127" s="12" t="s">
        <v>173</v>
      </c>
      <c r="E127" s="8">
        <v>45842</v>
      </c>
      <c r="F127" s="29">
        <v>256779415031</v>
      </c>
      <c r="G127" s="51">
        <v>86.00067</v>
      </c>
      <c r="H127" s="9">
        <v>1211.7494403000001</v>
      </c>
      <c r="I127" s="10">
        <v>0.02</v>
      </c>
      <c r="J127" s="11">
        <f t="shared" si="4"/>
        <v>24</v>
      </c>
      <c r="K127" s="11">
        <f t="shared" si="6"/>
        <v>1187.7494403000001</v>
      </c>
      <c r="L127" s="11"/>
      <c r="M127" s="11"/>
      <c r="N127" s="11">
        <f t="shared" si="5"/>
        <v>0</v>
      </c>
      <c r="O127" s="8"/>
      <c r="P127" s="6" t="s">
        <v>25</v>
      </c>
      <c r="Q127" s="12">
        <v>45839</v>
      </c>
      <c r="R127" s="6"/>
    </row>
    <row r="128" spans="1:18" hidden="1">
      <c r="A128" s="6">
        <v>127</v>
      </c>
      <c r="B128" s="24" t="s">
        <v>189</v>
      </c>
      <c r="C128" s="26">
        <v>139.58000000000001</v>
      </c>
      <c r="D128" s="12" t="s">
        <v>173</v>
      </c>
      <c r="E128" s="8">
        <v>45842</v>
      </c>
      <c r="F128" s="29">
        <v>256779414851</v>
      </c>
      <c r="G128" s="51">
        <v>86.00067</v>
      </c>
      <c r="H128" s="9">
        <v>12003.973518600002</v>
      </c>
      <c r="I128" s="10">
        <v>0.02</v>
      </c>
      <c r="J128" s="11">
        <f t="shared" si="4"/>
        <v>240</v>
      </c>
      <c r="K128" s="11">
        <f t="shared" si="6"/>
        <v>11763.973518600002</v>
      </c>
      <c r="L128" s="11"/>
      <c r="M128" s="11"/>
      <c r="N128" s="11">
        <f t="shared" si="5"/>
        <v>0</v>
      </c>
      <c r="O128" s="8"/>
      <c r="P128" s="6" t="s">
        <v>25</v>
      </c>
      <c r="Q128" s="12">
        <v>45839</v>
      </c>
      <c r="R128" s="6"/>
    </row>
    <row r="129" spans="1:18" hidden="1">
      <c r="A129" s="6">
        <v>128</v>
      </c>
      <c r="B129" s="24" t="s">
        <v>190</v>
      </c>
      <c r="C129" s="30">
        <v>1620</v>
      </c>
      <c r="D129" s="12" t="s">
        <v>173</v>
      </c>
      <c r="E129" s="8">
        <v>45842</v>
      </c>
      <c r="F129" s="29">
        <v>256779414866</v>
      </c>
      <c r="G129" s="51">
        <v>86.00067</v>
      </c>
      <c r="H129" s="9">
        <v>139321.08540000001</v>
      </c>
      <c r="I129" s="10">
        <v>0.02</v>
      </c>
      <c r="J129" s="11">
        <f t="shared" si="4"/>
        <v>2786</v>
      </c>
      <c r="K129" s="11">
        <f t="shared" si="6"/>
        <v>136535.08540000001</v>
      </c>
      <c r="L129" s="11"/>
      <c r="M129" s="11"/>
      <c r="N129" s="11">
        <f t="shared" si="5"/>
        <v>0</v>
      </c>
      <c r="O129" s="8"/>
      <c r="P129" s="6" t="s">
        <v>25</v>
      </c>
      <c r="Q129" s="12">
        <v>45839</v>
      </c>
      <c r="R129" s="6"/>
    </row>
    <row r="130" spans="1:18" hidden="1">
      <c r="A130" s="6">
        <v>129</v>
      </c>
      <c r="B130" s="24" t="s">
        <v>191</v>
      </c>
      <c r="C130" s="26">
        <v>243</v>
      </c>
      <c r="D130" s="12" t="s">
        <v>173</v>
      </c>
      <c r="E130" s="8">
        <v>45842</v>
      </c>
      <c r="F130" s="29">
        <v>256779414866</v>
      </c>
      <c r="G130" s="51">
        <v>86.00067</v>
      </c>
      <c r="H130" s="9">
        <v>20898.162810000002</v>
      </c>
      <c r="I130" s="10">
        <v>0.02</v>
      </c>
      <c r="J130" s="11">
        <f t="shared" si="4"/>
        <v>418</v>
      </c>
      <c r="K130" s="11">
        <f t="shared" si="6"/>
        <v>20480.162810000002</v>
      </c>
      <c r="L130" s="11"/>
      <c r="M130" s="11"/>
      <c r="N130" s="11">
        <f t="shared" si="5"/>
        <v>0</v>
      </c>
      <c r="O130" s="8"/>
      <c r="P130" s="6" t="s">
        <v>25</v>
      </c>
      <c r="Q130" s="12">
        <v>45839</v>
      </c>
      <c r="R130" s="6"/>
    </row>
    <row r="131" spans="1:18" hidden="1">
      <c r="A131" s="6">
        <v>130</v>
      </c>
      <c r="B131" s="24" t="s">
        <v>192</v>
      </c>
      <c r="C131" s="26">
        <v>809.23</v>
      </c>
      <c r="D131" s="12" t="s">
        <v>173</v>
      </c>
      <c r="E131" s="8">
        <v>45842</v>
      </c>
      <c r="F131" s="29">
        <v>256779414866</v>
      </c>
      <c r="G131" s="51">
        <v>86.00067</v>
      </c>
      <c r="H131" s="9">
        <v>69594.322184100005</v>
      </c>
      <c r="I131" s="10">
        <v>0.02</v>
      </c>
      <c r="J131" s="11">
        <f t="shared" ref="J131:J185" si="9">ROUND(H131*I131,0)</f>
        <v>1392</v>
      </c>
      <c r="K131" s="11">
        <f t="shared" si="6"/>
        <v>68202.322184100005</v>
      </c>
      <c r="L131" s="11"/>
      <c r="M131" s="11"/>
      <c r="N131" s="11">
        <f t="shared" ref="N131:N185" si="10">SUM(L131:M131)</f>
        <v>0</v>
      </c>
      <c r="O131" s="8"/>
      <c r="P131" s="6" t="s">
        <v>25</v>
      </c>
      <c r="Q131" s="12">
        <v>45839</v>
      </c>
      <c r="R131" s="6"/>
    </row>
    <row r="132" spans="1:18" hidden="1">
      <c r="A132" s="6">
        <v>131</v>
      </c>
      <c r="B132" s="24" t="s">
        <v>193</v>
      </c>
      <c r="C132" s="26">
        <v>388.8</v>
      </c>
      <c r="D132" s="12" t="s">
        <v>173</v>
      </c>
      <c r="E132" s="8">
        <v>45842</v>
      </c>
      <c r="F132" s="29">
        <v>256779414866</v>
      </c>
      <c r="G132" s="51">
        <v>86.00067</v>
      </c>
      <c r="H132" s="9">
        <v>33437.060495999998</v>
      </c>
      <c r="I132" s="10">
        <v>0.02</v>
      </c>
      <c r="J132" s="11">
        <f t="shared" si="9"/>
        <v>669</v>
      </c>
      <c r="K132" s="11">
        <f t="shared" si="6"/>
        <v>32768.060495999998</v>
      </c>
      <c r="L132" s="11"/>
      <c r="M132" s="11"/>
      <c r="N132" s="11">
        <f t="shared" si="10"/>
        <v>0</v>
      </c>
      <c r="O132" s="8"/>
      <c r="P132" s="6" t="s">
        <v>25</v>
      </c>
      <c r="Q132" s="12">
        <v>45839</v>
      </c>
      <c r="R132" s="6"/>
    </row>
    <row r="133" spans="1:18" hidden="1">
      <c r="A133" s="6">
        <v>132</v>
      </c>
      <c r="B133" s="24" t="s">
        <v>194</v>
      </c>
      <c r="C133" s="26">
        <v>630</v>
      </c>
      <c r="D133" s="12" t="s">
        <v>173</v>
      </c>
      <c r="E133" s="8">
        <v>45842</v>
      </c>
      <c r="F133" s="29">
        <v>256779414866</v>
      </c>
      <c r="G133" s="51">
        <v>86.00067</v>
      </c>
      <c r="H133" s="9">
        <v>54180.422099999996</v>
      </c>
      <c r="I133" s="10">
        <v>0.02</v>
      </c>
      <c r="J133" s="11">
        <f t="shared" si="9"/>
        <v>1084</v>
      </c>
      <c r="K133" s="11">
        <f t="shared" si="6"/>
        <v>53096.422099999996</v>
      </c>
      <c r="L133" s="11"/>
      <c r="M133" s="11"/>
      <c r="N133" s="11">
        <f t="shared" si="10"/>
        <v>0</v>
      </c>
      <c r="O133" s="8"/>
      <c r="P133" s="31" t="s">
        <v>25</v>
      </c>
      <c r="Q133" s="12">
        <v>45839</v>
      </c>
      <c r="R133" s="6"/>
    </row>
    <row r="134" spans="1:18" hidden="1">
      <c r="A134" s="6">
        <v>133</v>
      </c>
      <c r="B134" s="19" t="s">
        <v>195</v>
      </c>
      <c r="C134" s="28">
        <v>5120.2</v>
      </c>
      <c r="D134" s="12" t="s">
        <v>173</v>
      </c>
      <c r="E134" s="8">
        <v>45842</v>
      </c>
      <c r="F134" s="20">
        <v>256779415205</v>
      </c>
      <c r="G134" s="51">
        <v>86.00067</v>
      </c>
      <c r="H134" s="9">
        <v>440340.630534</v>
      </c>
      <c r="I134" s="10">
        <v>0.1</v>
      </c>
      <c r="J134" s="11">
        <f t="shared" si="9"/>
        <v>44034</v>
      </c>
      <c r="K134" s="11">
        <f t="shared" si="6"/>
        <v>396306.630534</v>
      </c>
      <c r="L134" s="11">
        <v>144316.00431359999</v>
      </c>
      <c r="M134" s="11">
        <f>K134-L134</f>
        <v>251990.62622040001</v>
      </c>
      <c r="N134" s="11">
        <f t="shared" si="10"/>
        <v>396306.630534</v>
      </c>
      <c r="O134" s="8">
        <v>45993</v>
      </c>
      <c r="P134" s="6" t="s">
        <v>196</v>
      </c>
      <c r="Q134" s="12">
        <v>45839</v>
      </c>
      <c r="R134" s="6" t="s">
        <v>44</v>
      </c>
    </row>
    <row r="135" spans="1:18" hidden="1">
      <c r="A135" s="6">
        <v>134</v>
      </c>
      <c r="B135" s="19" t="s">
        <v>197</v>
      </c>
      <c r="C135" s="28">
        <v>449.63</v>
      </c>
      <c r="D135" s="12" t="s">
        <v>173</v>
      </c>
      <c r="E135" s="8">
        <v>45856</v>
      </c>
      <c r="F135" s="20">
        <v>256779415417</v>
      </c>
      <c r="G135" s="51">
        <v>86.00067</v>
      </c>
      <c r="H135" s="9">
        <v>38668.481252099999</v>
      </c>
      <c r="I135" s="10">
        <v>0.02</v>
      </c>
      <c r="J135" s="11">
        <f t="shared" si="9"/>
        <v>773</v>
      </c>
      <c r="K135" s="11">
        <f t="shared" si="6"/>
        <v>37895.481252099999</v>
      </c>
      <c r="L135" s="11"/>
      <c r="M135" s="11">
        <f>K135</f>
        <v>37895.481252099999</v>
      </c>
      <c r="N135" s="11">
        <f t="shared" si="10"/>
        <v>37895.481252099999</v>
      </c>
      <c r="O135" s="8">
        <v>45891</v>
      </c>
      <c r="P135" s="13" t="s">
        <v>198</v>
      </c>
      <c r="Q135" s="12">
        <v>45839</v>
      </c>
      <c r="R135" s="6"/>
    </row>
    <row r="136" spans="1:18" hidden="1">
      <c r="A136" s="6">
        <v>135</v>
      </c>
      <c r="B136" s="19" t="s">
        <v>199</v>
      </c>
      <c r="C136" s="28">
        <v>84.17</v>
      </c>
      <c r="D136" s="12" t="s">
        <v>173</v>
      </c>
      <c r="E136" s="8">
        <v>45842</v>
      </c>
      <c r="F136" s="20">
        <v>256779415267</v>
      </c>
      <c r="G136" s="51">
        <v>86.00067</v>
      </c>
      <c r="H136" s="9">
        <v>7238.6763939000002</v>
      </c>
      <c r="I136" s="10">
        <v>0.02</v>
      </c>
      <c r="J136" s="11">
        <f t="shared" si="9"/>
        <v>145</v>
      </c>
      <c r="K136" s="11">
        <f t="shared" si="6"/>
        <v>7093.6763939000002</v>
      </c>
      <c r="L136" s="11"/>
      <c r="M136" s="11">
        <f>K136</f>
        <v>7093.6763939000002</v>
      </c>
      <c r="N136" s="11">
        <f t="shared" si="10"/>
        <v>7093.6763939000002</v>
      </c>
      <c r="O136" s="8">
        <v>45891</v>
      </c>
      <c r="P136" s="13" t="s">
        <v>198</v>
      </c>
      <c r="Q136" s="12">
        <v>45839</v>
      </c>
      <c r="R136" s="6"/>
    </row>
    <row r="137" spans="1:18" hidden="1">
      <c r="A137" s="6">
        <v>136</v>
      </c>
      <c r="B137" s="19" t="s">
        <v>200</v>
      </c>
      <c r="C137" s="28">
        <v>180</v>
      </c>
      <c r="D137" s="12" t="s">
        <v>158</v>
      </c>
      <c r="E137" s="8">
        <v>45863</v>
      </c>
      <c r="F137" s="20">
        <v>256779415941</v>
      </c>
      <c r="G137" s="51">
        <v>86.00067</v>
      </c>
      <c r="H137" s="9">
        <v>15480.1206</v>
      </c>
      <c r="I137" s="10">
        <v>0.02</v>
      </c>
      <c r="J137" s="11">
        <f t="shared" si="9"/>
        <v>310</v>
      </c>
      <c r="K137" s="11">
        <f t="shared" si="6"/>
        <v>15170.1206</v>
      </c>
      <c r="L137" s="11"/>
      <c r="M137" s="11">
        <f>K137-L137</f>
        <v>15170.1206</v>
      </c>
      <c r="N137" s="11">
        <f t="shared" si="10"/>
        <v>15170.1206</v>
      </c>
      <c r="O137" s="8">
        <v>45993</v>
      </c>
      <c r="P137" s="6" t="s">
        <v>196</v>
      </c>
      <c r="Q137" s="12">
        <v>45839</v>
      </c>
      <c r="R137" s="6"/>
    </row>
    <row r="138" spans="1:18" hidden="1">
      <c r="A138" s="6">
        <v>137</v>
      </c>
      <c r="B138" s="19" t="s">
        <v>201</v>
      </c>
      <c r="C138" s="28">
        <v>133.63</v>
      </c>
      <c r="D138" s="12" t="s">
        <v>158</v>
      </c>
      <c r="E138" s="8">
        <v>45863</v>
      </c>
      <c r="F138" s="20">
        <v>256779415941</v>
      </c>
      <c r="G138" s="51">
        <v>86.00067</v>
      </c>
      <c r="H138" s="9">
        <v>11492.269532099999</v>
      </c>
      <c r="I138" s="10">
        <v>0.02</v>
      </c>
      <c r="J138" s="11">
        <f t="shared" si="9"/>
        <v>230</v>
      </c>
      <c r="K138" s="11">
        <f t="shared" si="6"/>
        <v>11262.269532099999</v>
      </c>
      <c r="L138" s="11"/>
      <c r="M138" s="11">
        <f>K138-L138</f>
        <v>11262.269532099999</v>
      </c>
      <c r="N138" s="11">
        <f t="shared" si="10"/>
        <v>11262.269532099999</v>
      </c>
      <c r="O138" s="8">
        <v>46006</v>
      </c>
      <c r="P138" s="6" t="s">
        <v>202</v>
      </c>
      <c r="Q138" s="12">
        <v>45839</v>
      </c>
      <c r="R138" s="6"/>
    </row>
    <row r="139" spans="1:18" hidden="1">
      <c r="A139" s="6">
        <v>138</v>
      </c>
      <c r="B139" s="19" t="s">
        <v>203</v>
      </c>
      <c r="C139" s="28">
        <v>43.2</v>
      </c>
      <c r="D139" s="12" t="s">
        <v>158</v>
      </c>
      <c r="E139" s="8">
        <v>45863</v>
      </c>
      <c r="F139" s="20">
        <v>256779415941</v>
      </c>
      <c r="G139" s="51">
        <v>86.00067</v>
      </c>
      <c r="H139" s="9">
        <v>3715.2289440000004</v>
      </c>
      <c r="I139" s="10">
        <v>0.02</v>
      </c>
      <c r="J139" s="11">
        <f t="shared" si="9"/>
        <v>74</v>
      </c>
      <c r="K139" s="11">
        <f t="shared" si="6"/>
        <v>3641.2289440000004</v>
      </c>
      <c r="L139" s="11"/>
      <c r="M139" s="11">
        <f>K139-L139</f>
        <v>3641.2289440000004</v>
      </c>
      <c r="N139" s="11">
        <f t="shared" si="10"/>
        <v>3641.2289440000004</v>
      </c>
      <c r="O139" s="8">
        <v>46006</v>
      </c>
      <c r="P139" s="6" t="s">
        <v>202</v>
      </c>
      <c r="Q139" s="12">
        <v>45839</v>
      </c>
      <c r="R139" s="6"/>
    </row>
    <row r="140" spans="1:18" hidden="1">
      <c r="A140" s="6">
        <v>139</v>
      </c>
      <c r="B140" s="19" t="s">
        <v>204</v>
      </c>
      <c r="C140" s="28">
        <v>4902.53</v>
      </c>
      <c r="D140" s="12" t="s">
        <v>205</v>
      </c>
      <c r="E140" s="8">
        <v>45877</v>
      </c>
      <c r="F140" s="20">
        <v>256779416093</v>
      </c>
      <c r="G140" s="51">
        <v>86.030119999999997</v>
      </c>
      <c r="H140" s="9">
        <v>421765.24420359998</v>
      </c>
      <c r="I140" s="10">
        <v>0.1</v>
      </c>
      <c r="J140" s="11">
        <f t="shared" si="9"/>
        <v>42177</v>
      </c>
      <c r="K140" s="11">
        <f t="shared" si="6"/>
        <v>379588.24420359998</v>
      </c>
      <c r="L140" s="11">
        <v>246362.73404159996</v>
      </c>
      <c r="M140" s="11">
        <f>K140-L140</f>
        <v>133225.51016200002</v>
      </c>
      <c r="N140" s="11">
        <f t="shared" si="10"/>
        <v>379588.24420359998</v>
      </c>
      <c r="O140" s="8">
        <v>45932</v>
      </c>
      <c r="P140" s="13" t="s">
        <v>206</v>
      </c>
      <c r="Q140" s="12">
        <v>45870</v>
      </c>
      <c r="R140" s="6" t="s">
        <v>44</v>
      </c>
    </row>
    <row r="141" spans="1:18" hidden="1">
      <c r="A141" s="6">
        <v>140</v>
      </c>
      <c r="B141" s="19" t="s">
        <v>207</v>
      </c>
      <c r="C141" s="28">
        <v>700</v>
      </c>
      <c r="D141" s="12" t="s">
        <v>205</v>
      </c>
      <c r="E141" s="8">
        <v>45877</v>
      </c>
      <c r="F141" s="20">
        <v>256779416122</v>
      </c>
      <c r="G141" s="51">
        <v>86.030119999999997</v>
      </c>
      <c r="H141" s="9">
        <v>60221.083999999995</v>
      </c>
      <c r="I141" s="10">
        <v>0.02</v>
      </c>
      <c r="J141" s="11">
        <f t="shared" si="9"/>
        <v>1204</v>
      </c>
      <c r="K141" s="11">
        <f t="shared" si="6"/>
        <v>59017.083999999995</v>
      </c>
      <c r="L141" s="11"/>
      <c r="M141" s="11"/>
      <c r="N141" s="11">
        <f t="shared" si="10"/>
        <v>0</v>
      </c>
      <c r="O141" s="8"/>
      <c r="P141" s="6" t="s">
        <v>25</v>
      </c>
      <c r="Q141" s="12">
        <v>45870</v>
      </c>
      <c r="R141" s="6"/>
    </row>
    <row r="142" spans="1:18" hidden="1">
      <c r="A142" s="6">
        <v>141</v>
      </c>
      <c r="B142" s="19" t="s">
        <v>208</v>
      </c>
      <c r="C142" s="28">
        <v>323.47000000000003</v>
      </c>
      <c r="D142" s="12" t="s">
        <v>205</v>
      </c>
      <c r="E142" s="8">
        <v>45877</v>
      </c>
      <c r="F142" s="20">
        <v>256779416130</v>
      </c>
      <c r="G142" s="51">
        <v>86.030119999999997</v>
      </c>
      <c r="H142" s="9">
        <v>27828.162916400001</v>
      </c>
      <c r="I142" s="10">
        <v>0.02</v>
      </c>
      <c r="J142" s="11">
        <f t="shared" si="9"/>
        <v>557</v>
      </c>
      <c r="K142" s="11">
        <f t="shared" si="6"/>
        <v>27271.162916400001</v>
      </c>
      <c r="L142" s="11"/>
      <c r="M142" s="11">
        <f>K142</f>
        <v>27271.162916400001</v>
      </c>
      <c r="N142" s="11">
        <f t="shared" si="10"/>
        <v>27271.162916400001</v>
      </c>
      <c r="O142" s="8">
        <v>45896</v>
      </c>
      <c r="P142" s="13" t="s">
        <v>209</v>
      </c>
      <c r="Q142" s="12">
        <v>45870</v>
      </c>
      <c r="R142" s="6"/>
    </row>
    <row r="143" spans="1:18" hidden="1">
      <c r="A143" s="6">
        <v>142</v>
      </c>
      <c r="B143" s="19" t="s">
        <v>210</v>
      </c>
      <c r="C143" s="28">
        <v>189</v>
      </c>
      <c r="D143" s="12" t="s">
        <v>205</v>
      </c>
      <c r="E143" s="8">
        <v>45877</v>
      </c>
      <c r="F143" s="20">
        <v>256779416154</v>
      </c>
      <c r="G143" s="51">
        <v>86.030119999999997</v>
      </c>
      <c r="H143" s="9">
        <v>16259.69268</v>
      </c>
      <c r="I143" s="10">
        <v>0.02</v>
      </c>
      <c r="J143" s="11">
        <f t="shared" si="9"/>
        <v>325</v>
      </c>
      <c r="K143" s="11">
        <f t="shared" ref="K143:K185" si="11">H143-J143</f>
        <v>15934.69268</v>
      </c>
      <c r="L143" s="11"/>
      <c r="M143" s="11">
        <f>K143</f>
        <v>15934.69268</v>
      </c>
      <c r="N143" s="11">
        <f t="shared" si="10"/>
        <v>15934.69268</v>
      </c>
      <c r="O143" s="8">
        <v>45891</v>
      </c>
      <c r="P143" s="13" t="s">
        <v>198</v>
      </c>
      <c r="Q143" s="12">
        <v>45870</v>
      </c>
      <c r="R143" s="6"/>
    </row>
    <row r="144" spans="1:18" hidden="1">
      <c r="A144" s="6">
        <v>143</v>
      </c>
      <c r="B144" s="19" t="s">
        <v>211</v>
      </c>
      <c r="C144" s="28">
        <v>652.21</v>
      </c>
      <c r="D144" s="12" t="s">
        <v>205</v>
      </c>
      <c r="E144" s="8">
        <v>45877</v>
      </c>
      <c r="F144" s="20">
        <v>256779416154</v>
      </c>
      <c r="G144" s="51">
        <v>86.030119999999997</v>
      </c>
      <c r="H144" s="9">
        <v>56109.704565200002</v>
      </c>
      <c r="I144" s="10">
        <v>0.02</v>
      </c>
      <c r="J144" s="11">
        <f t="shared" si="9"/>
        <v>1122</v>
      </c>
      <c r="K144" s="11">
        <f t="shared" si="11"/>
        <v>54987.704565200002</v>
      </c>
      <c r="L144" s="11"/>
      <c r="M144" s="11">
        <f>K144</f>
        <v>54987.704565200002</v>
      </c>
      <c r="N144" s="11">
        <f t="shared" si="10"/>
        <v>54987.704565200002</v>
      </c>
      <c r="O144" s="8">
        <v>45905</v>
      </c>
      <c r="P144" s="6" t="s">
        <v>212</v>
      </c>
      <c r="Q144" s="12">
        <v>45870</v>
      </c>
      <c r="R144" s="6"/>
    </row>
    <row r="145" spans="1:18" hidden="1">
      <c r="A145" s="6">
        <v>144</v>
      </c>
      <c r="B145" s="19" t="s">
        <v>213</v>
      </c>
      <c r="C145" s="28">
        <v>302.39999999999998</v>
      </c>
      <c r="D145" s="12" t="s">
        <v>205</v>
      </c>
      <c r="E145" s="8">
        <v>45877</v>
      </c>
      <c r="F145" s="20">
        <v>256779416154</v>
      </c>
      <c r="G145" s="51">
        <v>86.030119999999997</v>
      </c>
      <c r="H145" s="9">
        <v>26015.508287999997</v>
      </c>
      <c r="I145" s="10">
        <v>0.02</v>
      </c>
      <c r="J145" s="11">
        <f t="shared" si="9"/>
        <v>520</v>
      </c>
      <c r="K145" s="11">
        <f t="shared" si="11"/>
        <v>25495.508287999997</v>
      </c>
      <c r="L145" s="11"/>
      <c r="M145" s="11">
        <f>K145</f>
        <v>25495.508287999997</v>
      </c>
      <c r="N145" s="11">
        <f t="shared" si="10"/>
        <v>25495.508287999997</v>
      </c>
      <c r="O145" s="8">
        <v>45905</v>
      </c>
      <c r="P145" s="6" t="s">
        <v>212</v>
      </c>
      <c r="Q145" s="12">
        <v>45870</v>
      </c>
      <c r="R145" s="6"/>
    </row>
    <row r="146" spans="1:18" hidden="1">
      <c r="A146" s="6">
        <v>145</v>
      </c>
      <c r="B146" s="19" t="s">
        <v>214</v>
      </c>
      <c r="C146" s="28">
        <v>3500</v>
      </c>
      <c r="D146" s="12" t="s">
        <v>205</v>
      </c>
      <c r="E146" s="8">
        <v>45877</v>
      </c>
      <c r="F146" s="20">
        <v>256779416155</v>
      </c>
      <c r="G146" s="51">
        <v>86.030119999999997</v>
      </c>
      <c r="H146" s="9">
        <v>301105.42</v>
      </c>
      <c r="I146" s="10">
        <v>0.02</v>
      </c>
      <c r="J146" s="11">
        <f t="shared" si="9"/>
        <v>6022</v>
      </c>
      <c r="K146" s="11">
        <f t="shared" si="11"/>
        <v>295083.42</v>
      </c>
      <c r="L146" s="11"/>
      <c r="M146" s="11">
        <f t="shared" ref="M146:M147" si="12">K146</f>
        <v>295083.42</v>
      </c>
      <c r="N146" s="11">
        <f t="shared" si="10"/>
        <v>295083.42</v>
      </c>
      <c r="O146" s="8">
        <v>45891</v>
      </c>
      <c r="P146" s="13" t="s">
        <v>198</v>
      </c>
      <c r="Q146" s="12">
        <v>45870</v>
      </c>
      <c r="R146" s="6"/>
    </row>
    <row r="147" spans="1:18" hidden="1">
      <c r="A147" s="6">
        <v>146</v>
      </c>
      <c r="B147" s="19" t="s">
        <v>215</v>
      </c>
      <c r="C147" s="28">
        <v>1106.3399999999999</v>
      </c>
      <c r="D147" s="12" t="s">
        <v>205</v>
      </c>
      <c r="E147" s="8">
        <v>45877</v>
      </c>
      <c r="F147" s="20">
        <v>256779416193</v>
      </c>
      <c r="G147" s="51">
        <v>86.030119999999997</v>
      </c>
      <c r="H147" s="9">
        <v>95178.562960799987</v>
      </c>
      <c r="I147" s="10">
        <v>0.02</v>
      </c>
      <c r="J147" s="11">
        <f t="shared" si="9"/>
        <v>1904</v>
      </c>
      <c r="K147" s="11">
        <f t="shared" si="11"/>
        <v>93274.562960799987</v>
      </c>
      <c r="L147" s="11"/>
      <c r="M147" s="11">
        <f t="shared" si="12"/>
        <v>93274.562960799987</v>
      </c>
      <c r="N147" s="11">
        <f t="shared" si="10"/>
        <v>93274.562960799987</v>
      </c>
      <c r="O147" s="8">
        <v>45891</v>
      </c>
      <c r="P147" s="13" t="s">
        <v>198</v>
      </c>
      <c r="Q147" s="12">
        <v>45870</v>
      </c>
      <c r="R147" s="6"/>
    </row>
    <row r="148" spans="1:18" hidden="1">
      <c r="A148" s="6">
        <v>147</v>
      </c>
      <c r="B148" s="19" t="s">
        <v>216</v>
      </c>
      <c r="C148" s="28">
        <v>518.4</v>
      </c>
      <c r="D148" s="12" t="s">
        <v>205</v>
      </c>
      <c r="E148" s="8">
        <v>45877</v>
      </c>
      <c r="F148" s="20">
        <v>256779416193</v>
      </c>
      <c r="G148" s="51">
        <v>86.030119999999997</v>
      </c>
      <c r="H148" s="9">
        <v>44598.014207999993</v>
      </c>
      <c r="I148" s="10">
        <v>0.02</v>
      </c>
      <c r="J148" s="11">
        <f t="shared" si="9"/>
        <v>892</v>
      </c>
      <c r="K148" s="11">
        <f t="shared" si="11"/>
        <v>43706.014207999993</v>
      </c>
      <c r="L148" s="11"/>
      <c r="M148" s="11">
        <f>K148</f>
        <v>43706.014207999993</v>
      </c>
      <c r="N148" s="11">
        <f t="shared" si="10"/>
        <v>43706.014207999993</v>
      </c>
      <c r="O148" s="8">
        <v>45905</v>
      </c>
      <c r="P148" s="6" t="s">
        <v>212</v>
      </c>
      <c r="Q148" s="12">
        <v>45870</v>
      </c>
      <c r="R148" s="6"/>
    </row>
    <row r="149" spans="1:18" hidden="1">
      <c r="A149" s="6">
        <v>148</v>
      </c>
      <c r="B149" s="19" t="s">
        <v>217</v>
      </c>
      <c r="C149" s="28">
        <v>150.77000000000001</v>
      </c>
      <c r="D149" s="12" t="s">
        <v>205</v>
      </c>
      <c r="E149" s="8">
        <v>45877</v>
      </c>
      <c r="F149" s="20">
        <v>256779416437</v>
      </c>
      <c r="G149" s="51">
        <v>86.030119999999997</v>
      </c>
      <c r="H149" s="9">
        <v>12970.761192400001</v>
      </c>
      <c r="I149" s="10">
        <v>0.02</v>
      </c>
      <c r="J149" s="11">
        <f t="shared" si="9"/>
        <v>259</v>
      </c>
      <c r="K149" s="11">
        <f t="shared" si="11"/>
        <v>12711.761192400001</v>
      </c>
      <c r="L149" s="11"/>
      <c r="M149" s="11">
        <f t="shared" ref="M149:M150" si="13">K149</f>
        <v>12711.761192400001</v>
      </c>
      <c r="N149" s="11">
        <f t="shared" si="10"/>
        <v>12711.761192400001</v>
      </c>
      <c r="O149" s="8">
        <v>45891</v>
      </c>
      <c r="P149" s="13" t="s">
        <v>198</v>
      </c>
      <c r="Q149" s="12">
        <v>45870</v>
      </c>
      <c r="R149" s="6"/>
    </row>
    <row r="150" spans="1:18" hidden="1">
      <c r="A150" s="6">
        <v>149</v>
      </c>
      <c r="B150" s="19" t="s">
        <v>218</v>
      </c>
      <c r="C150" s="28">
        <v>123.36</v>
      </c>
      <c r="D150" s="12" t="s">
        <v>205</v>
      </c>
      <c r="E150" s="8">
        <v>45877</v>
      </c>
      <c r="F150" s="20">
        <v>256779416450</v>
      </c>
      <c r="G150" s="51">
        <v>86.030119999999997</v>
      </c>
      <c r="H150" s="9">
        <v>10612.675603199999</v>
      </c>
      <c r="I150" s="10">
        <v>0.02</v>
      </c>
      <c r="J150" s="11">
        <f t="shared" si="9"/>
        <v>212</v>
      </c>
      <c r="K150" s="11">
        <f t="shared" si="11"/>
        <v>10400.675603199999</v>
      </c>
      <c r="L150" s="11"/>
      <c r="M150" s="11">
        <f t="shared" si="13"/>
        <v>10400.675603199999</v>
      </c>
      <c r="N150" s="11">
        <f t="shared" si="10"/>
        <v>10400.675603199999</v>
      </c>
      <c r="O150" s="8">
        <v>45891</v>
      </c>
      <c r="P150" s="13" t="s">
        <v>198</v>
      </c>
      <c r="Q150" s="12">
        <v>45870</v>
      </c>
      <c r="R150" s="6"/>
    </row>
    <row r="151" spans="1:18" hidden="1">
      <c r="A151" s="6">
        <v>150</v>
      </c>
      <c r="B151" s="19" t="s">
        <v>219</v>
      </c>
      <c r="C151" s="28">
        <v>947.07</v>
      </c>
      <c r="D151" s="12" t="s">
        <v>205</v>
      </c>
      <c r="E151" s="8">
        <v>45877</v>
      </c>
      <c r="F151" s="20">
        <v>256779416500</v>
      </c>
      <c r="G151" s="51">
        <v>86.030119999999997</v>
      </c>
      <c r="H151" s="9">
        <v>81476.545748400007</v>
      </c>
      <c r="I151" s="10">
        <v>0.02</v>
      </c>
      <c r="J151" s="11">
        <f t="shared" si="9"/>
        <v>1630</v>
      </c>
      <c r="K151" s="11">
        <f t="shared" si="11"/>
        <v>79846.545748400007</v>
      </c>
      <c r="L151" s="11"/>
      <c r="M151" s="11">
        <f>K151</f>
        <v>79846.545748400007</v>
      </c>
      <c r="N151" s="11">
        <f t="shared" si="10"/>
        <v>79846.545748400007</v>
      </c>
      <c r="O151" s="8">
        <v>45896</v>
      </c>
      <c r="P151" s="6" t="s">
        <v>209</v>
      </c>
      <c r="Q151" s="12">
        <v>45870</v>
      </c>
      <c r="R151" s="6"/>
    </row>
    <row r="152" spans="1:18" hidden="1">
      <c r="A152" s="6">
        <v>151</v>
      </c>
      <c r="B152" s="32" t="s">
        <v>220</v>
      </c>
      <c r="C152" s="28">
        <v>102.88</v>
      </c>
      <c r="D152" s="12" t="s">
        <v>173</v>
      </c>
      <c r="E152" s="8">
        <v>45842</v>
      </c>
      <c r="F152" s="33">
        <v>256779415254</v>
      </c>
      <c r="G152" s="51">
        <v>86.00067</v>
      </c>
      <c r="H152" s="9">
        <v>8847.7489296000003</v>
      </c>
      <c r="I152" s="10">
        <v>0.02</v>
      </c>
      <c r="J152" s="11">
        <f t="shared" si="9"/>
        <v>177</v>
      </c>
      <c r="K152" s="11">
        <f t="shared" si="11"/>
        <v>8670.7489296000003</v>
      </c>
      <c r="L152" s="11"/>
      <c r="M152" s="11"/>
      <c r="N152" s="11">
        <f t="shared" si="10"/>
        <v>0</v>
      </c>
      <c r="O152" s="8"/>
      <c r="P152" s="6" t="s">
        <v>25</v>
      </c>
      <c r="Q152" s="12">
        <v>45870</v>
      </c>
      <c r="R152" s="6"/>
    </row>
    <row r="153" spans="1:18" hidden="1">
      <c r="A153" s="6">
        <v>152</v>
      </c>
      <c r="B153" s="32" t="s">
        <v>221</v>
      </c>
      <c r="C153" s="28">
        <v>270</v>
      </c>
      <c r="D153" s="12" t="s">
        <v>205</v>
      </c>
      <c r="E153" s="8">
        <v>45888</v>
      </c>
      <c r="F153" s="33">
        <v>256779416579</v>
      </c>
      <c r="G153" s="51">
        <v>86.030119999999997</v>
      </c>
      <c r="H153" s="9">
        <v>23228.132399999999</v>
      </c>
      <c r="I153" s="10">
        <v>0.02</v>
      </c>
      <c r="J153" s="11">
        <f t="shared" si="9"/>
        <v>465</v>
      </c>
      <c r="K153" s="11">
        <f t="shared" si="11"/>
        <v>22763.132399999999</v>
      </c>
      <c r="L153" s="11"/>
      <c r="M153" s="11">
        <f>K153</f>
        <v>22763.132399999999</v>
      </c>
      <c r="N153" s="11">
        <f t="shared" si="10"/>
        <v>22763.132399999999</v>
      </c>
      <c r="O153" s="8">
        <v>45891</v>
      </c>
      <c r="P153" s="6" t="s">
        <v>198</v>
      </c>
      <c r="Q153" s="12">
        <v>45870</v>
      </c>
      <c r="R153" s="6"/>
    </row>
    <row r="154" spans="1:18" hidden="1">
      <c r="A154" s="6">
        <v>153</v>
      </c>
      <c r="B154" s="19" t="s">
        <v>222</v>
      </c>
      <c r="C154" s="28">
        <v>20.57</v>
      </c>
      <c r="D154" s="12" t="s">
        <v>223</v>
      </c>
      <c r="E154" s="8">
        <v>45889</v>
      </c>
      <c r="F154" s="20">
        <v>256779416810</v>
      </c>
      <c r="G154" s="51">
        <v>86.030119999999997</v>
      </c>
      <c r="H154" s="9">
        <v>1769.6395683999999</v>
      </c>
      <c r="I154" s="10">
        <v>0.02</v>
      </c>
      <c r="J154" s="11">
        <f t="shared" si="9"/>
        <v>35</v>
      </c>
      <c r="K154" s="11">
        <f t="shared" si="11"/>
        <v>1734.6395683999999</v>
      </c>
      <c r="L154" s="11">
        <v>0</v>
      </c>
      <c r="M154" s="11">
        <f t="shared" ref="M154:M174" si="14">K154-L154</f>
        <v>1734.6395683999999</v>
      </c>
      <c r="N154" s="11">
        <f t="shared" si="10"/>
        <v>1734.6395683999999</v>
      </c>
      <c r="O154" s="8">
        <v>45932</v>
      </c>
      <c r="P154" s="6" t="s">
        <v>206</v>
      </c>
      <c r="Q154" s="12">
        <v>45870</v>
      </c>
      <c r="R154" s="6"/>
    </row>
    <row r="155" spans="1:18">
      <c r="A155" s="6">
        <v>154</v>
      </c>
      <c r="B155" s="19" t="s">
        <v>224</v>
      </c>
      <c r="C155" s="28">
        <v>3850</v>
      </c>
      <c r="D155" s="12" t="s">
        <v>223</v>
      </c>
      <c r="E155" s="8">
        <v>45889</v>
      </c>
      <c r="F155" s="20">
        <v>256779416825</v>
      </c>
      <c r="G155" s="51">
        <v>86.030119999999997</v>
      </c>
      <c r="H155" s="9">
        <v>331215.962</v>
      </c>
      <c r="I155" s="10">
        <v>0.02</v>
      </c>
      <c r="J155" s="11">
        <f t="shared" si="9"/>
        <v>6624</v>
      </c>
      <c r="K155" s="11">
        <f t="shared" si="11"/>
        <v>324591.962</v>
      </c>
      <c r="L155" s="11">
        <v>0</v>
      </c>
      <c r="M155" s="11">
        <f t="shared" si="14"/>
        <v>324591.962</v>
      </c>
      <c r="N155" s="11">
        <f t="shared" si="10"/>
        <v>324591.962</v>
      </c>
      <c r="O155" s="8">
        <v>45933</v>
      </c>
      <c r="P155" s="6" t="s">
        <v>225</v>
      </c>
      <c r="Q155" s="12">
        <v>45870</v>
      </c>
      <c r="R155" s="6"/>
    </row>
    <row r="156" spans="1:18" hidden="1">
      <c r="A156" s="6">
        <v>155</v>
      </c>
      <c r="B156" s="19" t="s">
        <v>226</v>
      </c>
      <c r="C156" s="28">
        <v>94.48</v>
      </c>
      <c r="D156" s="12" t="s">
        <v>223</v>
      </c>
      <c r="E156" s="8">
        <v>45889</v>
      </c>
      <c r="F156" s="20">
        <v>256779416855</v>
      </c>
      <c r="G156" s="51">
        <v>86.030119999999997</v>
      </c>
      <c r="H156" s="9">
        <v>8128.1257376000003</v>
      </c>
      <c r="I156" s="10">
        <v>0.02</v>
      </c>
      <c r="J156" s="11">
        <f t="shared" si="9"/>
        <v>163</v>
      </c>
      <c r="K156" s="11">
        <f t="shared" si="11"/>
        <v>7965.1257376000003</v>
      </c>
      <c r="L156" s="11">
        <v>0</v>
      </c>
      <c r="M156" s="11">
        <f t="shared" si="14"/>
        <v>7965.1257376000003</v>
      </c>
      <c r="N156" s="11">
        <f t="shared" si="10"/>
        <v>7965.1257376000003</v>
      </c>
      <c r="O156" s="8">
        <v>45932</v>
      </c>
      <c r="P156" s="6" t="s">
        <v>206</v>
      </c>
      <c r="Q156" s="12">
        <v>45870</v>
      </c>
      <c r="R156" s="6"/>
    </row>
    <row r="157" spans="1:18" hidden="1">
      <c r="A157" s="6">
        <v>156</v>
      </c>
      <c r="B157" s="19" t="s">
        <v>227</v>
      </c>
      <c r="C157" s="28">
        <v>25.04</v>
      </c>
      <c r="D157" s="12" t="s">
        <v>223</v>
      </c>
      <c r="E157" s="8">
        <v>45904</v>
      </c>
      <c r="F157" s="20">
        <v>256779417139</v>
      </c>
      <c r="G157" s="51">
        <v>87.514330000000001</v>
      </c>
      <c r="H157" s="9">
        <v>2191.3588231999997</v>
      </c>
      <c r="I157" s="10">
        <v>0.02</v>
      </c>
      <c r="J157" s="11">
        <f t="shared" si="9"/>
        <v>44</v>
      </c>
      <c r="K157" s="11">
        <f t="shared" si="11"/>
        <v>2147.3588231999997</v>
      </c>
      <c r="L157" s="11">
        <v>0</v>
      </c>
      <c r="M157" s="11">
        <f t="shared" si="14"/>
        <v>2147.3588231999997</v>
      </c>
      <c r="N157" s="11">
        <f t="shared" si="10"/>
        <v>2147.3588231999997</v>
      </c>
      <c r="O157" s="8">
        <v>45932</v>
      </c>
      <c r="P157" s="6" t="s">
        <v>206</v>
      </c>
      <c r="Q157" s="12">
        <v>45901</v>
      </c>
      <c r="R157" s="6"/>
    </row>
    <row r="158" spans="1:18" hidden="1">
      <c r="A158" s="6">
        <v>157</v>
      </c>
      <c r="B158" s="19" t="s">
        <v>228</v>
      </c>
      <c r="C158" s="28">
        <v>20.49</v>
      </c>
      <c r="D158" s="12" t="s">
        <v>223</v>
      </c>
      <c r="E158" s="8">
        <v>45904</v>
      </c>
      <c r="F158" s="20">
        <v>256779417140</v>
      </c>
      <c r="G158" s="51">
        <v>87.514330000000001</v>
      </c>
      <c r="H158" s="9">
        <v>1793.1686216999999</v>
      </c>
      <c r="I158" s="10">
        <v>0.02</v>
      </c>
      <c r="J158" s="11">
        <f t="shared" si="9"/>
        <v>36</v>
      </c>
      <c r="K158" s="11">
        <f t="shared" si="11"/>
        <v>1757.1686216999999</v>
      </c>
      <c r="L158" s="11">
        <v>0</v>
      </c>
      <c r="M158" s="11">
        <f t="shared" si="14"/>
        <v>1757.1686216999999</v>
      </c>
      <c r="N158" s="11">
        <f t="shared" si="10"/>
        <v>1757.1686216999999</v>
      </c>
      <c r="O158" s="8">
        <v>45932</v>
      </c>
      <c r="P158" s="6" t="s">
        <v>206</v>
      </c>
      <c r="Q158" s="12">
        <v>45901</v>
      </c>
      <c r="R158" s="6"/>
    </row>
    <row r="159" spans="1:18" hidden="1">
      <c r="A159" s="6">
        <v>158</v>
      </c>
      <c r="B159" s="19" t="s">
        <v>229</v>
      </c>
      <c r="C159" s="28">
        <v>8.8800000000000008</v>
      </c>
      <c r="D159" s="12" t="s">
        <v>223</v>
      </c>
      <c r="E159" s="8">
        <v>45904</v>
      </c>
      <c r="F159" s="20">
        <v>256779417191</v>
      </c>
      <c r="G159" s="51">
        <v>87.514330000000001</v>
      </c>
      <c r="H159" s="9">
        <v>777.12725040000009</v>
      </c>
      <c r="I159" s="10">
        <v>0.02</v>
      </c>
      <c r="J159" s="11">
        <f t="shared" si="9"/>
        <v>16</v>
      </c>
      <c r="K159" s="11">
        <f t="shared" si="11"/>
        <v>761.12725040000009</v>
      </c>
      <c r="L159" s="11">
        <v>0</v>
      </c>
      <c r="M159" s="11">
        <f t="shared" si="14"/>
        <v>761.12725040000009</v>
      </c>
      <c r="N159" s="11">
        <f t="shared" si="10"/>
        <v>761.12725040000009</v>
      </c>
      <c r="O159" s="8">
        <v>45932</v>
      </c>
      <c r="P159" s="6" t="s">
        <v>206</v>
      </c>
      <c r="Q159" s="12">
        <v>45901</v>
      </c>
      <c r="R159" s="6"/>
    </row>
    <row r="160" spans="1:18" hidden="1">
      <c r="A160" s="6">
        <v>159</v>
      </c>
      <c r="B160" s="19" t="s">
        <v>230</v>
      </c>
      <c r="C160" s="28">
        <v>412</v>
      </c>
      <c r="D160" s="12" t="s">
        <v>223</v>
      </c>
      <c r="E160" s="8">
        <v>45904</v>
      </c>
      <c r="F160" s="20">
        <v>256779417235</v>
      </c>
      <c r="G160" s="51">
        <v>87.514330000000001</v>
      </c>
      <c r="H160" s="9">
        <v>36055.903960000003</v>
      </c>
      <c r="I160" s="10">
        <v>0.02</v>
      </c>
      <c r="J160" s="11">
        <f t="shared" si="9"/>
        <v>721</v>
      </c>
      <c r="K160" s="11">
        <f t="shared" si="11"/>
        <v>35334.903960000003</v>
      </c>
      <c r="L160" s="11">
        <v>0</v>
      </c>
      <c r="M160" s="11">
        <f t="shared" si="14"/>
        <v>35334.903960000003</v>
      </c>
      <c r="N160" s="11">
        <f t="shared" si="10"/>
        <v>35334.903960000003</v>
      </c>
      <c r="O160" s="8">
        <v>45932</v>
      </c>
      <c r="P160" s="6" t="s">
        <v>206</v>
      </c>
      <c r="Q160" s="12">
        <v>45901</v>
      </c>
      <c r="R160" s="6"/>
    </row>
    <row r="161" spans="1:18" hidden="1">
      <c r="A161" s="6">
        <v>160</v>
      </c>
      <c r="B161" s="19" t="s">
        <v>231</v>
      </c>
      <c r="C161" s="28">
        <v>27</v>
      </c>
      <c r="D161" s="12" t="s">
        <v>223</v>
      </c>
      <c r="E161" s="8">
        <v>45904</v>
      </c>
      <c r="F161" s="20">
        <v>256779417267</v>
      </c>
      <c r="G161" s="51">
        <v>87.514330000000001</v>
      </c>
      <c r="H161" s="9">
        <v>2362.8869100000002</v>
      </c>
      <c r="I161" s="10">
        <v>0.02</v>
      </c>
      <c r="J161" s="11">
        <f t="shared" si="9"/>
        <v>47</v>
      </c>
      <c r="K161" s="11">
        <f t="shared" si="11"/>
        <v>2315.8869100000002</v>
      </c>
      <c r="L161" s="11">
        <v>0</v>
      </c>
      <c r="M161" s="11">
        <f t="shared" si="14"/>
        <v>2315.8869100000002</v>
      </c>
      <c r="N161" s="11">
        <f t="shared" si="10"/>
        <v>2315.8869100000002</v>
      </c>
      <c r="O161" s="8">
        <v>45932</v>
      </c>
      <c r="P161" s="6" t="s">
        <v>206</v>
      </c>
      <c r="Q161" s="12">
        <v>45901</v>
      </c>
      <c r="R161" s="6"/>
    </row>
    <row r="162" spans="1:18" hidden="1">
      <c r="A162" s="6">
        <v>161</v>
      </c>
      <c r="B162" s="19" t="s">
        <v>232</v>
      </c>
      <c r="C162" s="28">
        <v>94.48</v>
      </c>
      <c r="D162" s="12" t="s">
        <v>223</v>
      </c>
      <c r="E162" s="8">
        <v>45904</v>
      </c>
      <c r="F162" s="20">
        <v>256779417267</v>
      </c>
      <c r="G162" s="51">
        <v>87.514330000000001</v>
      </c>
      <c r="H162" s="9">
        <v>8268.3538984000006</v>
      </c>
      <c r="I162" s="10">
        <v>0.02</v>
      </c>
      <c r="J162" s="11">
        <f t="shared" si="9"/>
        <v>165</v>
      </c>
      <c r="K162" s="11">
        <f t="shared" si="11"/>
        <v>8103.3538984000006</v>
      </c>
      <c r="L162" s="11">
        <v>0</v>
      </c>
      <c r="M162" s="11">
        <f t="shared" si="14"/>
        <v>8103.3538984000006</v>
      </c>
      <c r="N162" s="11">
        <f t="shared" si="10"/>
        <v>8103.3538984000006</v>
      </c>
      <c r="O162" s="8">
        <v>45932</v>
      </c>
      <c r="P162" s="6" t="s">
        <v>206</v>
      </c>
      <c r="Q162" s="12">
        <v>45901</v>
      </c>
      <c r="R162" s="6"/>
    </row>
    <row r="163" spans="1:18" hidden="1">
      <c r="A163" s="6">
        <v>162</v>
      </c>
      <c r="B163" s="19" t="s">
        <v>233</v>
      </c>
      <c r="C163" s="28">
        <v>43.2</v>
      </c>
      <c r="D163" s="12" t="s">
        <v>223</v>
      </c>
      <c r="E163" s="8">
        <v>45904</v>
      </c>
      <c r="F163" s="20">
        <v>256779417267</v>
      </c>
      <c r="G163" s="51">
        <v>87.514330000000001</v>
      </c>
      <c r="H163" s="9">
        <v>3780.6190560000005</v>
      </c>
      <c r="I163" s="10">
        <v>0.02</v>
      </c>
      <c r="J163" s="11">
        <f t="shared" si="9"/>
        <v>76</v>
      </c>
      <c r="K163" s="11">
        <f t="shared" si="11"/>
        <v>3704.6190560000005</v>
      </c>
      <c r="L163" s="11">
        <v>0</v>
      </c>
      <c r="M163" s="11">
        <f t="shared" si="14"/>
        <v>3704.6190560000005</v>
      </c>
      <c r="N163" s="11">
        <f t="shared" si="10"/>
        <v>3704.6190560000005</v>
      </c>
      <c r="O163" s="8">
        <v>45932</v>
      </c>
      <c r="P163" s="6" t="s">
        <v>206</v>
      </c>
      <c r="Q163" s="12">
        <v>45901</v>
      </c>
      <c r="R163" s="6"/>
    </row>
    <row r="164" spans="1:18" hidden="1">
      <c r="A164" s="6">
        <v>163</v>
      </c>
      <c r="B164" s="19" t="s">
        <v>234</v>
      </c>
      <c r="C164" s="28">
        <v>94.48</v>
      </c>
      <c r="D164" s="12" t="s">
        <v>223</v>
      </c>
      <c r="E164" s="8">
        <v>45904</v>
      </c>
      <c r="F164" s="20">
        <v>256779417297</v>
      </c>
      <c r="G164" s="51">
        <v>87.514330000000001</v>
      </c>
      <c r="H164" s="9">
        <v>8268.3538984000006</v>
      </c>
      <c r="I164" s="10">
        <v>0.02</v>
      </c>
      <c r="J164" s="11">
        <f t="shared" si="9"/>
        <v>165</v>
      </c>
      <c r="K164" s="11">
        <f t="shared" si="11"/>
        <v>8103.3538984000006</v>
      </c>
      <c r="L164" s="11">
        <v>0</v>
      </c>
      <c r="M164" s="11">
        <f t="shared" si="14"/>
        <v>8103.3538984000006</v>
      </c>
      <c r="N164" s="11">
        <f t="shared" si="10"/>
        <v>8103.3538984000006</v>
      </c>
      <c r="O164" s="8">
        <v>45932</v>
      </c>
      <c r="P164" s="6" t="s">
        <v>206</v>
      </c>
      <c r="Q164" s="12">
        <v>45901</v>
      </c>
      <c r="R164" s="6"/>
    </row>
    <row r="165" spans="1:18" hidden="1">
      <c r="A165" s="6">
        <v>164</v>
      </c>
      <c r="B165" s="19" t="s">
        <v>235</v>
      </c>
      <c r="C165" s="28">
        <v>43.2</v>
      </c>
      <c r="D165" s="12" t="s">
        <v>223</v>
      </c>
      <c r="E165" s="8">
        <v>45904</v>
      </c>
      <c r="F165" s="20">
        <v>256779417297</v>
      </c>
      <c r="G165" s="51">
        <v>87.514330000000001</v>
      </c>
      <c r="H165" s="9">
        <v>3780.6190560000005</v>
      </c>
      <c r="I165" s="10">
        <v>0.02</v>
      </c>
      <c r="J165" s="11">
        <f t="shared" si="9"/>
        <v>76</v>
      </c>
      <c r="K165" s="11">
        <f t="shared" si="11"/>
        <v>3704.6190560000005</v>
      </c>
      <c r="L165" s="11">
        <v>0</v>
      </c>
      <c r="M165" s="11">
        <f t="shared" si="14"/>
        <v>3704.6190560000005</v>
      </c>
      <c r="N165" s="11">
        <f t="shared" si="10"/>
        <v>3704.6190560000005</v>
      </c>
      <c r="O165" s="8">
        <v>45932</v>
      </c>
      <c r="P165" s="6" t="s">
        <v>206</v>
      </c>
      <c r="Q165" s="12">
        <v>45901</v>
      </c>
      <c r="R165" s="6"/>
    </row>
    <row r="166" spans="1:18" hidden="1">
      <c r="A166" s="6">
        <v>165</v>
      </c>
      <c r="B166" s="19" t="s">
        <v>236</v>
      </c>
      <c r="C166" s="28">
        <v>1598.28</v>
      </c>
      <c r="D166" s="12" t="s">
        <v>223</v>
      </c>
      <c r="E166" s="8">
        <v>45904</v>
      </c>
      <c r="F166" s="20">
        <v>256779417091</v>
      </c>
      <c r="G166" s="51">
        <v>87.514330000000001</v>
      </c>
      <c r="H166" s="9">
        <v>139872.4033524</v>
      </c>
      <c r="I166" s="10">
        <v>0.1</v>
      </c>
      <c r="J166" s="11">
        <f t="shared" si="9"/>
        <v>13987</v>
      </c>
      <c r="K166" s="11">
        <f t="shared" si="11"/>
        <v>125885.4033524</v>
      </c>
      <c r="L166" s="11">
        <v>0</v>
      </c>
      <c r="M166" s="34">
        <f t="shared" si="14"/>
        <v>125885.4033524</v>
      </c>
      <c r="N166" s="11">
        <f t="shared" si="10"/>
        <v>125885.4033524</v>
      </c>
      <c r="O166" s="8">
        <v>45932</v>
      </c>
      <c r="P166" s="6" t="s">
        <v>206</v>
      </c>
      <c r="Q166" s="12">
        <v>45901</v>
      </c>
      <c r="R166" s="6"/>
    </row>
    <row r="167" spans="1:18" hidden="1">
      <c r="A167" s="6">
        <v>166</v>
      </c>
      <c r="B167" s="19" t="s">
        <v>237</v>
      </c>
      <c r="C167" s="28">
        <v>50.34</v>
      </c>
      <c r="D167" s="12" t="s">
        <v>92</v>
      </c>
      <c r="E167" s="8">
        <v>45917</v>
      </c>
      <c r="F167" s="20">
        <v>256779417777</v>
      </c>
      <c r="G167" s="51">
        <v>87.514330000000001</v>
      </c>
      <c r="H167" s="9">
        <v>4405.4713722000006</v>
      </c>
      <c r="I167" s="10">
        <v>0.02</v>
      </c>
      <c r="J167" s="11">
        <f t="shared" si="9"/>
        <v>88</v>
      </c>
      <c r="K167" s="11">
        <f t="shared" si="11"/>
        <v>4317.4713722000006</v>
      </c>
      <c r="L167" s="11">
        <v>0</v>
      </c>
      <c r="M167" s="11">
        <f t="shared" si="14"/>
        <v>4317.4713722000006</v>
      </c>
      <c r="N167" s="11">
        <f t="shared" si="10"/>
        <v>4317.4713722000006</v>
      </c>
      <c r="O167" s="8">
        <v>45932</v>
      </c>
      <c r="P167" s="31" t="s">
        <v>206</v>
      </c>
      <c r="Q167" s="12">
        <v>45901</v>
      </c>
      <c r="R167" s="6"/>
    </row>
    <row r="168" spans="1:18" hidden="1">
      <c r="A168" s="6">
        <v>167</v>
      </c>
      <c r="B168" s="19" t="s">
        <v>238</v>
      </c>
      <c r="C168" s="28">
        <v>350</v>
      </c>
      <c r="D168" s="12" t="s">
        <v>239</v>
      </c>
      <c r="E168" s="8">
        <v>45935</v>
      </c>
      <c r="F168" s="20">
        <v>256779417914</v>
      </c>
      <c r="G168" s="51">
        <v>88.190770000000001</v>
      </c>
      <c r="H168" s="9">
        <v>30866.769499999999</v>
      </c>
      <c r="I168" s="10">
        <v>0.02</v>
      </c>
      <c r="J168" s="11">
        <f t="shared" si="9"/>
        <v>617</v>
      </c>
      <c r="K168" s="11">
        <f t="shared" si="11"/>
        <v>30249.769499999999</v>
      </c>
      <c r="L168" s="11">
        <v>0</v>
      </c>
      <c r="M168" s="11">
        <f t="shared" si="14"/>
        <v>30249.769499999999</v>
      </c>
      <c r="N168" s="11">
        <f t="shared" si="10"/>
        <v>30249.769499999999</v>
      </c>
      <c r="O168" s="8">
        <v>45993</v>
      </c>
      <c r="P168" s="6" t="s">
        <v>196</v>
      </c>
      <c r="Q168" s="12">
        <v>45931</v>
      </c>
      <c r="R168" s="6"/>
    </row>
    <row r="169" spans="1:18" hidden="1">
      <c r="A169" s="6">
        <v>168</v>
      </c>
      <c r="B169" s="19" t="s">
        <v>240</v>
      </c>
      <c r="C169" s="28">
        <v>350</v>
      </c>
      <c r="D169" s="12" t="s">
        <v>241</v>
      </c>
      <c r="E169" s="8">
        <v>45950</v>
      </c>
      <c r="F169" s="20">
        <v>256779418638</v>
      </c>
      <c r="G169" s="51">
        <v>88.190770000000001</v>
      </c>
      <c r="H169" s="9">
        <v>30866.769499999999</v>
      </c>
      <c r="I169" s="10">
        <v>0.02</v>
      </c>
      <c r="J169" s="11">
        <f t="shared" si="9"/>
        <v>617</v>
      </c>
      <c r="K169" s="11">
        <f t="shared" si="11"/>
        <v>30249.769499999999</v>
      </c>
      <c r="L169" s="11">
        <v>0</v>
      </c>
      <c r="M169" s="11">
        <f t="shared" si="14"/>
        <v>30249.769499999999</v>
      </c>
      <c r="N169" s="11">
        <f t="shared" si="10"/>
        <v>30249.769499999999</v>
      </c>
      <c r="O169" s="8">
        <v>45993</v>
      </c>
      <c r="P169" s="6" t="s">
        <v>196</v>
      </c>
      <c r="Q169" s="12">
        <v>45931</v>
      </c>
      <c r="R169" s="6"/>
    </row>
    <row r="170" spans="1:18" hidden="1">
      <c r="A170" s="6">
        <v>169</v>
      </c>
      <c r="B170" s="19" t="s">
        <v>242</v>
      </c>
      <c r="C170" s="35">
        <v>27.17</v>
      </c>
      <c r="D170" s="12" t="s">
        <v>241</v>
      </c>
      <c r="E170" s="8">
        <v>45966</v>
      </c>
      <c r="F170" s="20">
        <v>256779419216</v>
      </c>
      <c r="G170" s="51">
        <v>88.003389999999996</v>
      </c>
      <c r="H170" s="9">
        <v>2391.0521063000001</v>
      </c>
      <c r="I170" s="10">
        <v>0.02</v>
      </c>
      <c r="J170" s="11">
        <f t="shared" si="9"/>
        <v>48</v>
      </c>
      <c r="K170" s="11">
        <f t="shared" si="11"/>
        <v>2343.0521063000001</v>
      </c>
      <c r="L170" s="11">
        <v>0</v>
      </c>
      <c r="M170" s="11">
        <f t="shared" si="14"/>
        <v>2343.0521063000001</v>
      </c>
      <c r="N170" s="11">
        <f t="shared" si="10"/>
        <v>2343.0521063000001</v>
      </c>
      <c r="O170" s="8">
        <v>45993</v>
      </c>
      <c r="P170" s="6" t="s">
        <v>196</v>
      </c>
      <c r="Q170" s="12">
        <v>45962</v>
      </c>
      <c r="R170" s="6"/>
    </row>
    <row r="171" spans="1:18" hidden="1">
      <c r="A171" s="6">
        <v>170</v>
      </c>
      <c r="B171" s="19" t="s">
        <v>243</v>
      </c>
      <c r="C171" s="35">
        <v>11.27</v>
      </c>
      <c r="D171" s="12" t="s">
        <v>241</v>
      </c>
      <c r="E171" s="8">
        <v>45966</v>
      </c>
      <c r="F171" s="20">
        <v>256779419240</v>
      </c>
      <c r="G171" s="51">
        <v>88.003389999999996</v>
      </c>
      <c r="H171" s="9">
        <v>991.79820529999995</v>
      </c>
      <c r="I171" s="10">
        <v>0.02</v>
      </c>
      <c r="J171" s="11">
        <f t="shared" si="9"/>
        <v>20</v>
      </c>
      <c r="K171" s="11">
        <f t="shared" si="11"/>
        <v>971.79820529999995</v>
      </c>
      <c r="L171" s="11">
        <v>0</v>
      </c>
      <c r="M171" s="11">
        <f t="shared" si="14"/>
        <v>971.79820529999995</v>
      </c>
      <c r="N171" s="11">
        <f t="shared" si="10"/>
        <v>971.79820529999995</v>
      </c>
      <c r="O171" s="8">
        <v>45993</v>
      </c>
      <c r="P171" s="6" t="s">
        <v>196</v>
      </c>
      <c r="Q171" s="12">
        <v>45962</v>
      </c>
      <c r="R171" s="6"/>
    </row>
    <row r="172" spans="1:18" hidden="1">
      <c r="A172" s="6">
        <v>171</v>
      </c>
      <c r="B172" s="19" t="s">
        <v>244</v>
      </c>
      <c r="C172" s="28">
        <v>367.84</v>
      </c>
      <c r="D172" s="12" t="s">
        <v>241</v>
      </c>
      <c r="E172" s="8">
        <v>45966</v>
      </c>
      <c r="F172" s="20">
        <v>256779418877</v>
      </c>
      <c r="G172" s="51">
        <v>88.003389999999996</v>
      </c>
      <c r="H172" s="9">
        <v>32371.166977599998</v>
      </c>
      <c r="I172" s="10">
        <v>0.1</v>
      </c>
      <c r="J172" s="11">
        <f t="shared" si="9"/>
        <v>3237</v>
      </c>
      <c r="K172" s="11">
        <f t="shared" si="11"/>
        <v>29134.166977599998</v>
      </c>
      <c r="L172" s="11">
        <v>0</v>
      </c>
      <c r="M172" s="11">
        <f>K172-L172</f>
        <v>29134.166977599998</v>
      </c>
      <c r="N172" s="11">
        <f t="shared" si="10"/>
        <v>29134.166977599998</v>
      </c>
      <c r="O172" s="8">
        <v>45993</v>
      </c>
      <c r="P172" s="6" t="s">
        <v>196</v>
      </c>
      <c r="Q172" s="12">
        <v>45962</v>
      </c>
      <c r="R172" s="6"/>
    </row>
    <row r="173" spans="1:18" hidden="1">
      <c r="A173" s="6">
        <v>172</v>
      </c>
      <c r="B173" s="19" t="s">
        <v>245</v>
      </c>
      <c r="C173" s="28">
        <v>350</v>
      </c>
      <c r="D173" s="12" t="s">
        <v>246</v>
      </c>
      <c r="E173" s="8">
        <v>45996</v>
      </c>
      <c r="F173" s="20">
        <v>256779419798</v>
      </c>
      <c r="G173" s="21">
        <v>88.700140000000005</v>
      </c>
      <c r="H173" s="9">
        <v>31045.049000000003</v>
      </c>
      <c r="I173" s="10">
        <v>0.02</v>
      </c>
      <c r="J173" s="11">
        <f t="shared" si="9"/>
        <v>621</v>
      </c>
      <c r="K173" s="11">
        <f t="shared" si="11"/>
        <v>30424.049000000003</v>
      </c>
      <c r="L173" s="11">
        <v>0</v>
      </c>
      <c r="M173" s="11">
        <f>K173-L173</f>
        <v>30424.049000000003</v>
      </c>
      <c r="N173" s="11">
        <f t="shared" si="10"/>
        <v>30424.049000000003</v>
      </c>
      <c r="O173" s="8">
        <v>46067</v>
      </c>
      <c r="P173" s="13" t="s">
        <v>247</v>
      </c>
      <c r="Q173" s="12">
        <v>45992</v>
      </c>
      <c r="R173" s="6"/>
    </row>
    <row r="174" spans="1:18" hidden="1">
      <c r="A174" s="6">
        <v>173</v>
      </c>
      <c r="B174" s="19" t="s">
        <v>248</v>
      </c>
      <c r="C174" s="28">
        <v>11.18</v>
      </c>
      <c r="D174" s="12" t="s">
        <v>246</v>
      </c>
      <c r="E174" s="8">
        <v>45999</v>
      </c>
      <c r="F174" s="20">
        <v>256779419830</v>
      </c>
      <c r="G174" s="21">
        <v>88.700140000000005</v>
      </c>
      <c r="H174" s="9">
        <v>991.66756520000001</v>
      </c>
      <c r="I174" s="10">
        <v>0.02</v>
      </c>
      <c r="J174" s="11">
        <f t="shared" si="9"/>
        <v>20</v>
      </c>
      <c r="K174" s="11">
        <f t="shared" si="11"/>
        <v>971.66756520000001</v>
      </c>
      <c r="L174" s="11">
        <v>0</v>
      </c>
      <c r="M174" s="11">
        <f t="shared" si="14"/>
        <v>971.66756520000001</v>
      </c>
      <c r="N174" s="11">
        <f t="shared" si="10"/>
        <v>971.66756520000001</v>
      </c>
      <c r="O174" s="8">
        <v>46067</v>
      </c>
      <c r="P174" s="13" t="s">
        <v>249</v>
      </c>
      <c r="Q174" s="12">
        <v>45992</v>
      </c>
      <c r="R174" s="6"/>
    </row>
    <row r="175" spans="1:18" hidden="1">
      <c r="A175" s="6">
        <v>174</v>
      </c>
      <c r="B175" s="19" t="s">
        <v>250</v>
      </c>
      <c r="C175" s="28">
        <v>182.78</v>
      </c>
      <c r="D175" s="12" t="s">
        <v>246</v>
      </c>
      <c r="E175" s="8">
        <v>46024</v>
      </c>
      <c r="F175" s="20">
        <v>256779440012</v>
      </c>
      <c r="G175" s="51">
        <v>90.743139999999997</v>
      </c>
      <c r="H175" s="9">
        <v>16586.031129200001</v>
      </c>
      <c r="I175" s="10">
        <v>0.1</v>
      </c>
      <c r="J175" s="11">
        <f t="shared" si="9"/>
        <v>1659</v>
      </c>
      <c r="K175" s="11">
        <f t="shared" si="11"/>
        <v>14927.031129200001</v>
      </c>
      <c r="L175" s="11"/>
      <c r="M175" s="11"/>
      <c r="N175" s="11">
        <f t="shared" si="10"/>
        <v>0</v>
      </c>
      <c r="O175" s="8"/>
      <c r="P175" s="6" t="s">
        <v>25</v>
      </c>
      <c r="Q175" s="12">
        <v>46023</v>
      </c>
      <c r="R175" s="6"/>
    </row>
    <row r="176" spans="1:18" hidden="1">
      <c r="A176" s="6">
        <v>175</v>
      </c>
      <c r="B176" s="19" t="s">
        <v>251</v>
      </c>
      <c r="C176" s="28">
        <v>50</v>
      </c>
      <c r="D176" s="12" t="s">
        <v>246</v>
      </c>
      <c r="E176" s="8">
        <v>46024</v>
      </c>
      <c r="F176" s="20">
        <v>256779440046</v>
      </c>
      <c r="G176" s="51">
        <v>90.743139999999997</v>
      </c>
      <c r="H176" s="9">
        <v>4537.1570000000002</v>
      </c>
      <c r="I176" s="10">
        <v>0.02</v>
      </c>
      <c r="J176" s="11">
        <f t="shared" si="9"/>
        <v>91</v>
      </c>
      <c r="K176" s="11">
        <f t="shared" si="11"/>
        <v>4446.1570000000002</v>
      </c>
      <c r="L176" s="11"/>
      <c r="M176" s="11"/>
      <c r="N176" s="11">
        <f t="shared" si="10"/>
        <v>0</v>
      </c>
      <c r="O176" s="8"/>
      <c r="P176" s="6" t="s">
        <v>25</v>
      </c>
      <c r="Q176" s="12">
        <v>46023</v>
      </c>
      <c r="R176" s="6"/>
    </row>
    <row r="177" spans="1:18" hidden="1">
      <c r="A177" s="6">
        <v>176</v>
      </c>
      <c r="B177" s="19" t="s">
        <v>252</v>
      </c>
      <c r="C177" s="28">
        <v>700</v>
      </c>
      <c r="D177" s="12" t="s">
        <v>253</v>
      </c>
      <c r="E177" s="8">
        <v>46027</v>
      </c>
      <c r="F177" s="20">
        <v>256779440106</v>
      </c>
      <c r="G177" s="51">
        <v>90.743139999999997</v>
      </c>
      <c r="H177" s="9">
        <v>63520.197999999997</v>
      </c>
      <c r="I177" s="10">
        <v>0.02</v>
      </c>
      <c r="J177" s="11">
        <f t="shared" si="9"/>
        <v>1270</v>
      </c>
      <c r="K177" s="11">
        <f t="shared" si="11"/>
        <v>62250.197999999997</v>
      </c>
      <c r="L177" s="11"/>
      <c r="M177" s="11"/>
      <c r="N177" s="11">
        <f t="shared" si="10"/>
        <v>0</v>
      </c>
      <c r="O177" s="8"/>
      <c r="P177" s="6" t="s">
        <v>25</v>
      </c>
      <c r="Q177" s="12">
        <v>46023</v>
      </c>
      <c r="R177" s="6"/>
    </row>
    <row r="178" spans="1:18" hidden="1">
      <c r="A178" s="6">
        <v>177</v>
      </c>
      <c r="B178" s="19" t="s">
        <v>254</v>
      </c>
      <c r="C178" s="28">
        <v>246.17</v>
      </c>
      <c r="D178" s="12" t="s">
        <v>253</v>
      </c>
      <c r="E178" s="8">
        <v>46028</v>
      </c>
      <c r="F178" s="20">
        <v>256779440152</v>
      </c>
      <c r="G178" s="51">
        <v>90.743139999999997</v>
      </c>
      <c r="H178" s="9">
        <v>22338.2387738</v>
      </c>
      <c r="I178" s="10">
        <v>0.02</v>
      </c>
      <c r="J178" s="11">
        <f t="shared" si="9"/>
        <v>447</v>
      </c>
      <c r="K178" s="11">
        <f t="shared" si="11"/>
        <v>21891.2387738</v>
      </c>
      <c r="L178" s="11"/>
      <c r="M178" s="11"/>
      <c r="N178" s="11">
        <f t="shared" si="10"/>
        <v>0</v>
      </c>
      <c r="O178" s="8"/>
      <c r="P178" s="6" t="s">
        <v>25</v>
      </c>
      <c r="Q178" s="12">
        <v>46023</v>
      </c>
      <c r="R178" s="6"/>
    </row>
    <row r="179" spans="1:18" hidden="1">
      <c r="A179" s="6">
        <v>178</v>
      </c>
      <c r="B179" s="19" t="s">
        <v>255</v>
      </c>
      <c r="C179" s="28">
        <v>881.6</v>
      </c>
      <c r="D179" s="12" t="s">
        <v>253</v>
      </c>
      <c r="E179" s="8">
        <v>46028</v>
      </c>
      <c r="F179" s="20">
        <v>256779440242</v>
      </c>
      <c r="G179" s="51">
        <v>90.743139999999997</v>
      </c>
      <c r="H179" s="9">
        <v>79999.152224000005</v>
      </c>
      <c r="I179" s="10">
        <v>0.1</v>
      </c>
      <c r="J179" s="11">
        <f t="shared" si="9"/>
        <v>8000</v>
      </c>
      <c r="K179" s="11">
        <f t="shared" si="11"/>
        <v>71999.152224000005</v>
      </c>
      <c r="L179" s="11"/>
      <c r="M179" s="11"/>
      <c r="N179" s="11">
        <f t="shared" si="10"/>
        <v>0</v>
      </c>
      <c r="O179" s="8"/>
      <c r="P179" s="6" t="s">
        <v>25</v>
      </c>
      <c r="Q179" s="12">
        <v>46023</v>
      </c>
      <c r="R179" s="6"/>
    </row>
    <row r="180" spans="1:18" hidden="1">
      <c r="A180" s="6">
        <v>179</v>
      </c>
      <c r="B180" s="36" t="s">
        <v>250</v>
      </c>
      <c r="C180" s="37">
        <v>182.78</v>
      </c>
      <c r="D180" s="38" t="s">
        <v>246</v>
      </c>
      <c r="E180" s="8">
        <v>46024</v>
      </c>
      <c r="F180" s="39">
        <v>256779440012</v>
      </c>
      <c r="G180" s="53">
        <v>90.743139999999997</v>
      </c>
      <c r="H180" s="9">
        <f t="shared" ref="H180:H185" si="15">C180*G180</f>
        <v>16586.031129200001</v>
      </c>
      <c r="I180" s="40">
        <v>0.1</v>
      </c>
      <c r="J180" s="41">
        <f t="shared" si="9"/>
        <v>1659</v>
      </c>
      <c r="K180" s="41">
        <f t="shared" si="11"/>
        <v>14927.031129200001</v>
      </c>
      <c r="L180" s="41"/>
      <c r="M180" s="41"/>
      <c r="N180" s="11">
        <f t="shared" si="10"/>
        <v>0</v>
      </c>
      <c r="O180" s="42"/>
      <c r="P180" s="43" t="s">
        <v>25</v>
      </c>
      <c r="Q180" s="38">
        <v>46054</v>
      </c>
      <c r="R180" s="6"/>
    </row>
    <row r="181" spans="1:18" hidden="1">
      <c r="A181" s="6">
        <v>180</v>
      </c>
      <c r="B181" s="36" t="s">
        <v>251</v>
      </c>
      <c r="C181" s="37">
        <v>50</v>
      </c>
      <c r="D181" s="38" t="s">
        <v>246</v>
      </c>
      <c r="E181" s="8">
        <v>46024</v>
      </c>
      <c r="F181" s="39">
        <v>256779440046</v>
      </c>
      <c r="G181" s="53">
        <v>90.743139999999997</v>
      </c>
      <c r="H181" s="9">
        <f t="shared" si="15"/>
        <v>4537.1570000000002</v>
      </c>
      <c r="I181" s="40">
        <v>0.02</v>
      </c>
      <c r="J181" s="41">
        <f t="shared" si="9"/>
        <v>91</v>
      </c>
      <c r="K181" s="41">
        <f t="shared" si="11"/>
        <v>4446.1570000000002</v>
      </c>
      <c r="L181" s="41"/>
      <c r="M181" s="41"/>
      <c r="N181" s="11">
        <f t="shared" si="10"/>
        <v>0</v>
      </c>
      <c r="O181" s="42"/>
      <c r="P181" s="43" t="s">
        <v>256</v>
      </c>
      <c r="Q181" s="38">
        <v>46054</v>
      </c>
      <c r="R181" s="6"/>
    </row>
    <row r="182" spans="1:18" hidden="1">
      <c r="A182" s="6">
        <v>181</v>
      </c>
      <c r="B182" s="36" t="s">
        <v>257</v>
      </c>
      <c r="C182" s="37">
        <v>26.4</v>
      </c>
      <c r="D182" s="38" t="s">
        <v>258</v>
      </c>
      <c r="E182" s="8">
        <v>46064</v>
      </c>
      <c r="F182" s="39">
        <v>256779451520</v>
      </c>
      <c r="G182" s="53">
        <v>90.3352</v>
      </c>
      <c r="H182" s="9">
        <f t="shared" si="15"/>
        <v>2384.8492799999999</v>
      </c>
      <c r="I182" s="40">
        <v>0.02</v>
      </c>
      <c r="J182" s="41">
        <f t="shared" si="9"/>
        <v>48</v>
      </c>
      <c r="K182" s="41">
        <f t="shared" si="11"/>
        <v>2336.8492799999999</v>
      </c>
      <c r="L182" s="41"/>
      <c r="M182" s="41"/>
      <c r="N182" s="11">
        <f t="shared" si="10"/>
        <v>0</v>
      </c>
      <c r="O182" s="42"/>
      <c r="P182" s="43" t="s">
        <v>25</v>
      </c>
      <c r="Q182" s="38">
        <v>46054</v>
      </c>
      <c r="R182" s="6"/>
    </row>
    <row r="183" spans="1:18" hidden="1">
      <c r="A183" s="6">
        <v>182</v>
      </c>
      <c r="B183" s="36" t="s">
        <v>259</v>
      </c>
      <c r="C183" s="37">
        <v>23.09</v>
      </c>
      <c r="D183" s="38" t="s">
        <v>258</v>
      </c>
      <c r="E183" s="8">
        <v>46064</v>
      </c>
      <c r="F183" s="39">
        <v>256779451520</v>
      </c>
      <c r="G183" s="53">
        <v>90.3352</v>
      </c>
      <c r="H183" s="9">
        <f t="shared" si="15"/>
        <v>2085.8397679999998</v>
      </c>
      <c r="I183" s="40">
        <v>0.02</v>
      </c>
      <c r="J183" s="41">
        <f t="shared" si="9"/>
        <v>42</v>
      </c>
      <c r="K183" s="41">
        <f t="shared" si="11"/>
        <v>2043.8397679999998</v>
      </c>
      <c r="L183" s="41"/>
      <c r="M183" s="41"/>
      <c r="N183" s="11">
        <f t="shared" si="10"/>
        <v>0</v>
      </c>
      <c r="O183" s="42"/>
      <c r="P183" s="43" t="s">
        <v>25</v>
      </c>
      <c r="Q183" s="38">
        <v>46054</v>
      </c>
      <c r="R183" s="6"/>
    </row>
    <row r="184" spans="1:18" hidden="1">
      <c r="A184" s="6">
        <v>183</v>
      </c>
      <c r="B184" s="36" t="s">
        <v>260</v>
      </c>
      <c r="C184" s="37">
        <v>11.55</v>
      </c>
      <c r="D184" s="38" t="s">
        <v>258</v>
      </c>
      <c r="E184" s="8">
        <v>46064</v>
      </c>
      <c r="F184" s="39">
        <v>256779451520</v>
      </c>
      <c r="G184" s="53">
        <v>90.3352</v>
      </c>
      <c r="H184" s="9">
        <f t="shared" si="15"/>
        <v>1043.37156</v>
      </c>
      <c r="I184" s="40">
        <v>0.02</v>
      </c>
      <c r="J184" s="41">
        <f t="shared" si="9"/>
        <v>21</v>
      </c>
      <c r="K184" s="41">
        <f t="shared" si="11"/>
        <v>1022.37156</v>
      </c>
      <c r="L184" s="41"/>
      <c r="M184" s="41"/>
      <c r="N184" s="11">
        <f t="shared" si="10"/>
        <v>0</v>
      </c>
      <c r="O184" s="42"/>
      <c r="P184" s="43" t="s">
        <v>25</v>
      </c>
      <c r="Q184" s="38">
        <v>46054</v>
      </c>
      <c r="R184" s="6"/>
    </row>
    <row r="185" spans="1:18" hidden="1">
      <c r="A185" s="6">
        <v>184</v>
      </c>
      <c r="B185" s="36" t="s">
        <v>261</v>
      </c>
      <c r="C185" s="37">
        <v>384.56</v>
      </c>
      <c r="D185" s="38" t="s">
        <v>258</v>
      </c>
      <c r="E185" s="8">
        <v>46065</v>
      </c>
      <c r="F185" s="39">
        <v>256779451324</v>
      </c>
      <c r="G185" s="53">
        <v>90.3352</v>
      </c>
      <c r="H185" s="9">
        <f t="shared" si="15"/>
        <v>34739.304512000002</v>
      </c>
      <c r="I185" s="40">
        <v>0.1</v>
      </c>
      <c r="J185" s="41">
        <f t="shared" si="9"/>
        <v>3474</v>
      </c>
      <c r="K185" s="41">
        <f t="shared" si="11"/>
        <v>31265.304512000002</v>
      </c>
      <c r="L185" s="41"/>
      <c r="M185" s="41"/>
      <c r="N185" s="11">
        <f t="shared" si="10"/>
        <v>0</v>
      </c>
      <c r="O185" s="42"/>
      <c r="P185" s="43" t="s">
        <v>25</v>
      </c>
      <c r="Q185" s="38">
        <v>46054</v>
      </c>
      <c r="R185" s="6"/>
    </row>
    <row r="186" spans="1:18" hidden="1">
      <c r="A186" s="6">
        <v>185</v>
      </c>
      <c r="B186" s="36" t="s">
        <v>262</v>
      </c>
      <c r="C186" s="28"/>
      <c r="D186" s="12"/>
      <c r="E186" s="8"/>
      <c r="F186" s="20"/>
      <c r="G186" s="23"/>
      <c r="H186" s="9"/>
      <c r="I186" s="10"/>
      <c r="J186" s="11"/>
      <c r="K186" s="11"/>
      <c r="L186" s="11"/>
      <c r="M186" s="11"/>
      <c r="N186" s="11"/>
      <c r="O186" s="8"/>
      <c r="P186" s="6"/>
      <c r="Q186" s="12"/>
      <c r="R186" s="6"/>
    </row>
    <row r="187" spans="1:18" hidden="1">
      <c r="A187" s="6"/>
      <c r="B187" s="19" t="s">
        <v>262</v>
      </c>
      <c r="C187" s="7"/>
      <c r="D187" s="6"/>
      <c r="E187" s="8"/>
      <c r="F187" s="20"/>
      <c r="G187" s="23"/>
      <c r="H187" s="9"/>
      <c r="I187" s="10"/>
      <c r="J187" s="11"/>
      <c r="K187" s="11"/>
      <c r="L187" s="11"/>
      <c r="M187" s="11">
        <v>341000</v>
      </c>
      <c r="N187" s="11"/>
      <c r="O187" s="6" t="s">
        <v>263</v>
      </c>
      <c r="P187" s="6" t="s">
        <v>264</v>
      </c>
      <c r="Q187" s="12"/>
      <c r="R187" s="6"/>
    </row>
    <row r="188" spans="1:18" hidden="1">
      <c r="A188" s="44"/>
      <c r="B188" s="44"/>
      <c r="C188" s="45">
        <f>SUM(C2:C187)</f>
        <v>71151.01249259914</v>
      </c>
      <c r="D188" s="44"/>
      <c r="E188" s="46"/>
      <c r="F188" s="46"/>
      <c r="G188" s="46"/>
      <c r="H188" s="45">
        <f>SUM(H2:H187)</f>
        <v>6170225.9838202726</v>
      </c>
      <c r="I188" s="44"/>
      <c r="J188" s="45">
        <f>SUM(J2:J187)</f>
        <v>298205</v>
      </c>
      <c r="K188" s="45">
        <f>SUM(K2:K187)</f>
        <v>5872020.9838202726</v>
      </c>
      <c r="L188" s="45">
        <f>SUM(L2:L187)</f>
        <v>397146.73835519992</v>
      </c>
      <c r="M188" s="45">
        <f>SUM(M2:M187)</f>
        <v>3557557.5078460737</v>
      </c>
      <c r="N188" s="45"/>
      <c r="O188" s="44"/>
      <c r="P188" s="47">
        <f>K188-L188-M188</f>
        <v>1917316.7376189991</v>
      </c>
      <c r="Q188" s="43" t="s">
        <v>265</v>
      </c>
      <c r="R188" s="43"/>
    </row>
  </sheetData>
  <autoFilter ref="A1:R188" xr:uid="{B4972CBE-C3ED-445C-A1C7-8D589FC6819A}">
    <filterColumn colId="15">
      <filters>
        <filter val="HDFCN52025100308494407"/>
      </filters>
    </filterColumn>
  </autoFilter>
  <conditionalFormatting sqref="F86">
    <cfRule type="duplicateValues" dxfId="75" priority="29"/>
    <cfRule type="duplicateValues" dxfId="74" priority="30"/>
  </conditionalFormatting>
  <conditionalFormatting sqref="F87">
    <cfRule type="duplicateValues" dxfId="73" priority="28"/>
  </conditionalFormatting>
  <conditionalFormatting sqref="F87:F88">
    <cfRule type="duplicateValues" dxfId="72" priority="27"/>
  </conditionalFormatting>
  <conditionalFormatting sqref="F88">
    <cfRule type="duplicateValues" dxfId="71" priority="26"/>
  </conditionalFormatting>
  <conditionalFormatting sqref="F107">
    <cfRule type="duplicateValues" dxfId="70" priority="31"/>
  </conditionalFormatting>
  <conditionalFormatting sqref="F108">
    <cfRule type="duplicateValues" dxfId="69" priority="24"/>
  </conditionalFormatting>
  <conditionalFormatting sqref="F134">
    <cfRule type="duplicateValues" dxfId="68" priority="22"/>
    <cfRule type="duplicateValues" dxfId="67" priority="23"/>
  </conditionalFormatting>
  <conditionalFormatting sqref="F135:F136">
    <cfRule type="duplicateValues" dxfId="66" priority="21"/>
  </conditionalFormatting>
  <conditionalFormatting sqref="F140:F142 F149:F151">
    <cfRule type="duplicateValues" dxfId="65" priority="20"/>
  </conditionalFormatting>
  <conditionalFormatting sqref="F152">
    <cfRule type="duplicateValues" dxfId="64" priority="19"/>
  </conditionalFormatting>
  <conditionalFormatting sqref="F153">
    <cfRule type="duplicateValues" dxfId="63" priority="32"/>
    <cfRule type="duplicateValues" dxfId="62" priority="33"/>
  </conditionalFormatting>
  <conditionalFormatting sqref="F154:F156">
    <cfRule type="duplicateValues" dxfId="61" priority="34"/>
  </conditionalFormatting>
  <conditionalFormatting sqref="F157:F160 F166">
    <cfRule type="duplicateValues" dxfId="60" priority="35"/>
  </conditionalFormatting>
  <conditionalFormatting sqref="F167">
    <cfRule type="duplicateValues" dxfId="59" priority="36"/>
  </conditionalFormatting>
  <conditionalFormatting sqref="F168">
    <cfRule type="duplicateValues" dxfId="58" priority="18"/>
  </conditionalFormatting>
  <conditionalFormatting sqref="F169">
    <cfRule type="duplicateValues" dxfId="57" priority="16"/>
    <cfRule type="duplicateValues" dxfId="56" priority="17"/>
  </conditionalFormatting>
  <conditionalFormatting sqref="F170:F171">
    <cfRule type="duplicateValues" dxfId="55" priority="15"/>
  </conditionalFormatting>
  <conditionalFormatting sqref="F172">
    <cfRule type="duplicateValues" dxfId="54" priority="13"/>
    <cfRule type="duplicateValues" dxfId="53" priority="14"/>
  </conditionalFormatting>
  <conditionalFormatting sqref="F173:F174">
    <cfRule type="duplicateValues" dxfId="52" priority="12"/>
  </conditionalFormatting>
  <conditionalFormatting sqref="F175:F176">
    <cfRule type="duplicateValues" dxfId="51" priority="10"/>
    <cfRule type="duplicateValues" dxfId="50" priority="11"/>
  </conditionalFormatting>
  <conditionalFormatting sqref="F177">
    <cfRule type="duplicateValues" dxfId="49" priority="9"/>
  </conditionalFormatting>
  <conditionalFormatting sqref="F178">
    <cfRule type="duplicateValues" dxfId="48" priority="8"/>
  </conditionalFormatting>
  <conditionalFormatting sqref="F179 F186">
    <cfRule type="duplicateValues" dxfId="47" priority="7"/>
  </conditionalFormatting>
  <conditionalFormatting sqref="F180:F181">
    <cfRule type="duplicateValues" dxfId="46" priority="5"/>
    <cfRule type="duplicateValues" dxfId="45" priority="6"/>
  </conditionalFormatting>
  <conditionalFormatting sqref="F185">
    <cfRule type="duplicateValues" dxfId="44" priority="4"/>
  </conditionalFormatting>
  <conditionalFormatting sqref="F187 F100:F102 F98">
    <cfRule type="duplicateValues" dxfId="43" priority="25"/>
  </conditionalFormatting>
  <conditionalFormatting sqref="F2:F185">
    <cfRule type="duplicateValues" dxfId="42" priority="3"/>
  </conditionalFormatting>
  <conditionalFormatting sqref="P1:P1048576">
    <cfRule type="duplicateValues" dxfId="41" priority="2"/>
  </conditionalFormatting>
  <conditionalFormatting sqref="F1:F1048576">
    <cfRule type="duplicateValues" dxfId="4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5AFF-7071-4A2F-AA26-96088CD2FC85}">
  <dimension ref="A1:L69"/>
  <sheetViews>
    <sheetView zoomScale="115" zoomScaleNormal="115" workbookViewId="0">
      <selection activeCell="L15" sqref="L15:L16"/>
    </sheetView>
  </sheetViews>
  <sheetFormatPr defaultColWidth="8.77734375" defaultRowHeight="13.2"/>
  <cols>
    <col min="1" max="1" width="19.109375" style="80" bestFit="1" customWidth="1"/>
    <col min="2" max="2" width="16.21875" style="90" bestFit="1" customWidth="1"/>
    <col min="3" max="3" width="16.21875" style="116" bestFit="1" customWidth="1"/>
    <col min="4" max="4" width="24.21875" style="80" bestFit="1" customWidth="1"/>
    <col min="5" max="5" width="13.21875" style="80" bestFit="1" customWidth="1"/>
    <col min="6" max="6" width="12.109375" style="80" bestFit="1" customWidth="1"/>
    <col min="7" max="7" width="24.21875" style="80" bestFit="1" customWidth="1"/>
    <col min="8" max="8" width="19.88671875" style="80" bestFit="1" customWidth="1"/>
    <col min="9" max="9" width="8.77734375" style="80"/>
    <col min="10" max="10" width="20" style="80" bestFit="1" customWidth="1"/>
    <col min="11" max="11" width="24.21875" style="80" bestFit="1" customWidth="1"/>
    <col min="12" max="12" width="33.33203125" style="80" bestFit="1" customWidth="1"/>
    <col min="13" max="16384" width="8.77734375" style="80"/>
  </cols>
  <sheetData>
    <row r="1" spans="1:12" ht="57.6">
      <c r="A1" s="54" t="s">
        <v>273</v>
      </c>
      <c r="B1" s="55" t="s">
        <v>274</v>
      </c>
      <c r="C1" s="54" t="s">
        <v>275</v>
      </c>
      <c r="D1" s="54" t="s">
        <v>277</v>
      </c>
      <c r="E1" s="188" t="s">
        <v>285</v>
      </c>
      <c r="F1" s="185" t="s">
        <v>286</v>
      </c>
      <c r="G1" s="54" t="s">
        <v>292</v>
      </c>
      <c r="H1" s="54" t="s">
        <v>600</v>
      </c>
      <c r="J1" s="95" t="s">
        <v>600</v>
      </c>
      <c r="K1" s="95" t="s">
        <v>277</v>
      </c>
      <c r="L1" t="s">
        <v>567</v>
      </c>
    </row>
    <row r="2" spans="1:12" ht="14.4">
      <c r="A2" s="58">
        <v>1400000007</v>
      </c>
      <c r="B2" s="56" t="s">
        <v>319</v>
      </c>
      <c r="C2" s="57">
        <v>45772</v>
      </c>
      <c r="D2" s="56" t="s">
        <v>57</v>
      </c>
      <c r="E2" s="187" t="s">
        <v>309</v>
      </c>
      <c r="F2" s="164">
        <v>-77748.160000000003</v>
      </c>
      <c r="G2" s="56" t="s">
        <v>57</v>
      </c>
      <c r="H2" s="58">
        <v>1400000007</v>
      </c>
      <c r="J2">
        <v>1400000007</v>
      </c>
      <c r="K2" t="s">
        <v>57</v>
      </c>
      <c r="L2" s="96">
        <v>-77748.160000000003</v>
      </c>
    </row>
    <row r="3" spans="1:12" ht="14.4">
      <c r="A3" s="58">
        <v>1400000008</v>
      </c>
      <c r="B3" s="56" t="s">
        <v>319</v>
      </c>
      <c r="C3" s="57">
        <v>45772</v>
      </c>
      <c r="D3" s="56" t="s">
        <v>64</v>
      </c>
      <c r="E3" s="187" t="s">
        <v>309</v>
      </c>
      <c r="F3" s="164">
        <v>-31951.3</v>
      </c>
      <c r="G3" s="56" t="s">
        <v>64</v>
      </c>
      <c r="H3" s="58">
        <v>1400000008</v>
      </c>
      <c r="J3">
        <v>1400000008</v>
      </c>
      <c r="K3" t="s">
        <v>64</v>
      </c>
      <c r="L3" s="96">
        <v>-31951.3</v>
      </c>
    </row>
    <row r="4" spans="1:12" ht="14.4">
      <c r="A4" s="58">
        <v>1400000009</v>
      </c>
      <c r="B4" s="56" t="s">
        <v>319</v>
      </c>
      <c r="C4" s="57">
        <v>45772</v>
      </c>
      <c r="D4" s="56" t="s">
        <v>74</v>
      </c>
      <c r="E4" s="187" t="s">
        <v>309</v>
      </c>
      <c r="F4" s="164">
        <v>-107902.2</v>
      </c>
      <c r="G4" s="56" t="s">
        <v>74</v>
      </c>
      <c r="H4" s="58">
        <v>1400000009</v>
      </c>
      <c r="J4">
        <v>1400000009</v>
      </c>
      <c r="K4" t="s">
        <v>74</v>
      </c>
      <c r="L4" s="96">
        <v>-107902.2</v>
      </c>
    </row>
    <row r="5" spans="1:12" ht="14.4">
      <c r="A5" s="58">
        <v>1400000010</v>
      </c>
      <c r="B5" s="56" t="s">
        <v>319</v>
      </c>
      <c r="C5" s="57">
        <v>45772</v>
      </c>
      <c r="D5" s="56" t="s">
        <v>22</v>
      </c>
      <c r="E5" s="187" t="s">
        <v>309</v>
      </c>
      <c r="F5" s="164">
        <v>-11561.33</v>
      </c>
      <c r="G5" s="56" t="s">
        <v>22</v>
      </c>
      <c r="H5" s="58">
        <v>1400000010</v>
      </c>
      <c r="J5">
        <v>1400000010</v>
      </c>
      <c r="K5" t="s">
        <v>22</v>
      </c>
      <c r="L5" s="96">
        <v>-11561.33</v>
      </c>
    </row>
    <row r="6" spans="1:12" ht="14.4">
      <c r="A6" s="58">
        <v>1400000011</v>
      </c>
      <c r="B6" s="56" t="s">
        <v>319</v>
      </c>
      <c r="C6" s="57">
        <v>45772</v>
      </c>
      <c r="D6" s="56" t="s">
        <v>37</v>
      </c>
      <c r="E6" s="187" t="s">
        <v>309</v>
      </c>
      <c r="F6" s="164">
        <v>-18498.12</v>
      </c>
      <c r="G6" s="56" t="s">
        <v>37</v>
      </c>
      <c r="H6" s="58">
        <v>1400000011</v>
      </c>
      <c r="J6">
        <v>1400000011</v>
      </c>
      <c r="K6" t="s">
        <v>37</v>
      </c>
      <c r="L6" s="96">
        <v>-18498.12</v>
      </c>
    </row>
    <row r="7" spans="1:12" ht="14.4">
      <c r="A7" s="58">
        <v>1400000012</v>
      </c>
      <c r="B7" s="56" t="s">
        <v>319</v>
      </c>
      <c r="C7" s="57">
        <v>45772</v>
      </c>
      <c r="D7" s="56" t="s">
        <v>49</v>
      </c>
      <c r="E7" s="187" t="s">
        <v>309</v>
      </c>
      <c r="F7" s="164">
        <v>-18498.12</v>
      </c>
      <c r="G7" s="56" t="s">
        <v>49</v>
      </c>
      <c r="H7" s="58">
        <v>1400000012</v>
      </c>
      <c r="J7">
        <v>1400000012</v>
      </c>
      <c r="K7" t="s">
        <v>49</v>
      </c>
      <c r="L7" s="96">
        <v>-18498.12</v>
      </c>
    </row>
    <row r="8" spans="1:12" ht="14.4">
      <c r="A8" s="58">
        <v>1400000013</v>
      </c>
      <c r="B8" s="56" t="s">
        <v>319</v>
      </c>
      <c r="C8" s="57">
        <v>45772</v>
      </c>
      <c r="D8" s="56" t="s">
        <v>66</v>
      </c>
      <c r="E8" s="187" t="s">
        <v>309</v>
      </c>
      <c r="F8" s="164">
        <v>-4624.53</v>
      </c>
      <c r="G8" s="56" t="s">
        <v>66</v>
      </c>
      <c r="H8" s="58">
        <v>1400000013</v>
      </c>
      <c r="J8">
        <v>1400000013</v>
      </c>
      <c r="K8" t="s">
        <v>66</v>
      </c>
      <c r="L8" s="96">
        <v>-4624.53</v>
      </c>
    </row>
    <row r="9" spans="1:12" ht="14.4">
      <c r="A9" s="58">
        <v>1400000014</v>
      </c>
      <c r="B9" s="56" t="s">
        <v>319</v>
      </c>
      <c r="C9" s="57">
        <v>45772</v>
      </c>
      <c r="D9" s="56" t="s">
        <v>77</v>
      </c>
      <c r="E9" s="187" t="s">
        <v>309</v>
      </c>
      <c r="F9" s="164">
        <v>-15765.44</v>
      </c>
      <c r="G9" s="56" t="s">
        <v>77</v>
      </c>
      <c r="H9" s="58">
        <v>1400000014</v>
      </c>
      <c r="J9">
        <v>1400000014</v>
      </c>
      <c r="K9" t="s">
        <v>77</v>
      </c>
      <c r="L9" s="96">
        <v>-15765.44</v>
      </c>
    </row>
    <row r="10" spans="1:12" ht="14.4">
      <c r="A10" s="58">
        <v>1400000015</v>
      </c>
      <c r="B10" s="56" t="s">
        <v>319</v>
      </c>
      <c r="C10" s="57">
        <v>45772</v>
      </c>
      <c r="D10" s="56" t="s">
        <v>83</v>
      </c>
      <c r="E10" s="187" t="s">
        <v>309</v>
      </c>
      <c r="F10" s="164">
        <v>-4624.53</v>
      </c>
      <c r="G10" s="56" t="s">
        <v>83</v>
      </c>
      <c r="H10" s="58">
        <v>1400000015</v>
      </c>
      <c r="J10">
        <v>1400000015</v>
      </c>
      <c r="K10" t="s">
        <v>83</v>
      </c>
      <c r="L10" s="96">
        <v>-4624.53</v>
      </c>
    </row>
    <row r="11" spans="1:12" ht="14.4">
      <c r="A11" s="58">
        <v>1400001449</v>
      </c>
      <c r="B11" s="56" t="s">
        <v>319</v>
      </c>
      <c r="C11" s="57">
        <v>45912</v>
      </c>
      <c r="D11" s="56" t="s">
        <v>212</v>
      </c>
      <c r="E11" s="187" t="s">
        <v>309</v>
      </c>
      <c r="F11" s="164">
        <v>124189.23</v>
      </c>
      <c r="G11" s="56" t="s">
        <v>305</v>
      </c>
      <c r="H11" s="58">
        <v>1400001449</v>
      </c>
      <c r="J11">
        <v>1400001449</v>
      </c>
      <c r="K11" t="s">
        <v>212</v>
      </c>
      <c r="L11" s="96">
        <v>0</v>
      </c>
    </row>
    <row r="12" spans="1:12" ht="14.4">
      <c r="A12" s="58">
        <v>1400001173</v>
      </c>
      <c r="B12" s="56" t="s">
        <v>319</v>
      </c>
      <c r="C12" s="57">
        <v>45912</v>
      </c>
      <c r="D12" s="56" t="s">
        <v>212</v>
      </c>
      <c r="E12" s="187" t="s">
        <v>309</v>
      </c>
      <c r="F12" s="164">
        <v>-124189.23</v>
      </c>
      <c r="G12" s="56" t="s">
        <v>305</v>
      </c>
      <c r="H12" s="58">
        <v>1400001449</v>
      </c>
      <c r="J12">
        <v>1400001450</v>
      </c>
      <c r="K12"/>
      <c r="L12" s="96">
        <v>0</v>
      </c>
    </row>
    <row r="13" spans="1:12" ht="14.4">
      <c r="A13" s="58">
        <v>1400001450</v>
      </c>
      <c r="B13" s="56" t="s">
        <v>319</v>
      </c>
      <c r="C13" s="57">
        <v>45908</v>
      </c>
      <c r="D13" s="56" t="s">
        <v>305</v>
      </c>
      <c r="E13" s="187" t="s">
        <v>309</v>
      </c>
      <c r="F13" s="164">
        <v>495157.4</v>
      </c>
      <c r="G13" s="56" t="s">
        <v>305</v>
      </c>
      <c r="H13" s="58">
        <v>1400001450</v>
      </c>
      <c r="J13">
        <v>1400001451</v>
      </c>
      <c r="K13" t="s">
        <v>94</v>
      </c>
      <c r="L13" s="96">
        <v>0</v>
      </c>
    </row>
    <row r="14" spans="1:12" ht="14.4">
      <c r="A14" s="58">
        <v>1400001142</v>
      </c>
      <c r="B14" s="56" t="s">
        <v>319</v>
      </c>
      <c r="C14" s="57">
        <v>45908</v>
      </c>
      <c r="D14" s="56" t="s">
        <v>305</v>
      </c>
      <c r="E14" s="187" t="s">
        <v>309</v>
      </c>
      <c r="F14" s="164">
        <v>-495157.4</v>
      </c>
      <c r="G14" s="56" t="s">
        <v>305</v>
      </c>
      <c r="H14" s="58">
        <v>1400001450</v>
      </c>
      <c r="J14">
        <v>1400001452</v>
      </c>
      <c r="K14" t="s">
        <v>198</v>
      </c>
      <c r="L14" s="96">
        <v>-492209.06</v>
      </c>
    </row>
    <row r="15" spans="1:12" ht="14.4">
      <c r="A15" s="58">
        <v>1400000063</v>
      </c>
      <c r="B15" s="56" t="s">
        <v>319</v>
      </c>
      <c r="C15" s="57">
        <v>45832</v>
      </c>
      <c r="D15" s="56" t="s">
        <v>94</v>
      </c>
      <c r="E15" s="187" t="s">
        <v>309</v>
      </c>
      <c r="F15" s="164">
        <v>-112111.95</v>
      </c>
      <c r="G15" s="56" t="s">
        <v>305</v>
      </c>
      <c r="H15" s="58">
        <v>1400001451</v>
      </c>
      <c r="J15">
        <v>1400001453</v>
      </c>
      <c r="K15" t="s">
        <v>198</v>
      </c>
      <c r="L15" s="96">
        <v>-2932.62</v>
      </c>
    </row>
    <row r="16" spans="1:12" ht="14.4">
      <c r="A16" s="58">
        <v>1400001451</v>
      </c>
      <c r="B16" s="56" t="s">
        <v>319</v>
      </c>
      <c r="C16" s="57">
        <v>45832</v>
      </c>
      <c r="D16" s="56" t="s">
        <v>94</v>
      </c>
      <c r="E16" s="187" t="s">
        <v>309</v>
      </c>
      <c r="F16" s="164">
        <v>112111.95</v>
      </c>
      <c r="G16" s="56" t="s">
        <v>305</v>
      </c>
      <c r="H16" s="58">
        <v>1400001451</v>
      </c>
      <c r="J16"/>
      <c r="K16" t="s">
        <v>323</v>
      </c>
      <c r="L16" s="96">
        <v>-136843.96</v>
      </c>
    </row>
    <row r="17" spans="1:12" ht="14.4">
      <c r="A17" s="58">
        <v>1400001452</v>
      </c>
      <c r="B17" s="56" t="s">
        <v>319</v>
      </c>
      <c r="C17" s="57">
        <v>45946</v>
      </c>
      <c r="D17" s="56" t="s">
        <v>198</v>
      </c>
      <c r="E17" s="187" t="s">
        <v>309</v>
      </c>
      <c r="F17" s="164">
        <v>-492209.06</v>
      </c>
      <c r="G17" s="56" t="s">
        <v>198</v>
      </c>
      <c r="H17" s="58">
        <v>1400001452</v>
      </c>
      <c r="J17">
        <v>1400001454</v>
      </c>
      <c r="K17" t="s">
        <v>94</v>
      </c>
      <c r="L17" s="96">
        <v>-116988.95</v>
      </c>
    </row>
    <row r="18" spans="1:12" ht="14.4">
      <c r="A18" s="58">
        <v>1400001453</v>
      </c>
      <c r="B18" s="56" t="s">
        <v>319</v>
      </c>
      <c r="C18" s="57">
        <v>45946</v>
      </c>
      <c r="D18" s="56" t="s">
        <v>323</v>
      </c>
      <c r="E18" s="187" t="s">
        <v>309</v>
      </c>
      <c r="F18" s="164">
        <v>2932.62</v>
      </c>
      <c r="G18" s="56" t="s">
        <v>323</v>
      </c>
      <c r="H18" s="58">
        <v>1400001453</v>
      </c>
      <c r="J18">
        <v>1400001455</v>
      </c>
      <c r="K18" t="s">
        <v>206</v>
      </c>
      <c r="L18" s="96">
        <v>-646935.77</v>
      </c>
    </row>
    <row r="19" spans="1:12" ht="14.4">
      <c r="A19" s="58">
        <v>1400001453</v>
      </c>
      <c r="B19" s="56" t="s">
        <v>319</v>
      </c>
      <c r="C19" s="57">
        <v>45946</v>
      </c>
      <c r="D19" s="56" t="s">
        <v>323</v>
      </c>
      <c r="E19" s="187" t="s">
        <v>309</v>
      </c>
      <c r="F19" s="164">
        <v>-139776.57999999999</v>
      </c>
      <c r="G19" s="56" t="s">
        <v>323</v>
      </c>
      <c r="H19" s="58">
        <v>1400001453</v>
      </c>
      <c r="J19">
        <v>1400001456</v>
      </c>
      <c r="K19" t="s">
        <v>166</v>
      </c>
      <c r="L19" s="96">
        <v>-182952.83</v>
      </c>
    </row>
    <row r="20" spans="1:12" ht="14.4">
      <c r="A20" s="58">
        <v>1400001452</v>
      </c>
      <c r="B20" s="56" t="s">
        <v>319</v>
      </c>
      <c r="C20" s="57">
        <v>45946</v>
      </c>
      <c r="D20" s="56" t="s">
        <v>198</v>
      </c>
      <c r="E20" s="187" t="s">
        <v>309</v>
      </c>
      <c r="F20" s="164">
        <v>-2932.62</v>
      </c>
      <c r="G20" s="56" t="s">
        <v>305</v>
      </c>
      <c r="H20" s="58">
        <v>1400001453</v>
      </c>
      <c r="J20">
        <v>1400001458</v>
      </c>
      <c r="K20" t="s">
        <v>328</v>
      </c>
      <c r="L20" s="96">
        <v>0</v>
      </c>
    </row>
    <row r="21" spans="1:12" ht="14.4">
      <c r="A21" s="58">
        <v>1400001454</v>
      </c>
      <c r="B21" s="56" t="s">
        <v>319</v>
      </c>
      <c r="C21" s="57">
        <v>45946</v>
      </c>
      <c r="D21" s="56" t="s">
        <v>94</v>
      </c>
      <c r="E21" s="187" t="s">
        <v>309</v>
      </c>
      <c r="F21" s="164">
        <v>-116988.95</v>
      </c>
      <c r="G21" s="56" t="s">
        <v>94</v>
      </c>
      <c r="H21" s="58">
        <v>1400001454</v>
      </c>
      <c r="J21">
        <v>1400001468</v>
      </c>
      <c r="K21" t="s">
        <v>206</v>
      </c>
      <c r="L21" s="96">
        <v>0</v>
      </c>
    </row>
    <row r="22" spans="1:12" ht="14.4">
      <c r="A22" s="58">
        <v>1400001455</v>
      </c>
      <c r="B22" s="56" t="s">
        <v>319</v>
      </c>
      <c r="C22" s="57">
        <v>45946</v>
      </c>
      <c r="D22" s="56" t="s">
        <v>206</v>
      </c>
      <c r="E22" s="187" t="s">
        <v>309</v>
      </c>
      <c r="F22" s="164">
        <v>-646935.77</v>
      </c>
      <c r="G22" s="56" t="s">
        <v>206</v>
      </c>
      <c r="H22" s="58">
        <v>1400001455</v>
      </c>
      <c r="J22">
        <v>1400001956</v>
      </c>
      <c r="K22" t="s">
        <v>209</v>
      </c>
      <c r="L22" s="96">
        <v>-109304.71</v>
      </c>
    </row>
    <row r="23" spans="1:12" ht="14.4">
      <c r="A23" s="58">
        <v>1400001456</v>
      </c>
      <c r="B23" s="56" t="s">
        <v>319</v>
      </c>
      <c r="C23" s="57">
        <v>45946</v>
      </c>
      <c r="D23" s="56" t="s">
        <v>166</v>
      </c>
      <c r="E23" s="187" t="s">
        <v>309</v>
      </c>
      <c r="F23" s="164">
        <v>-182952.83</v>
      </c>
      <c r="G23" s="56" t="s">
        <v>166</v>
      </c>
      <c r="H23" s="58">
        <v>1400001456</v>
      </c>
      <c r="J23">
        <v>1400001961</v>
      </c>
      <c r="K23" t="s">
        <v>149</v>
      </c>
      <c r="L23" s="96">
        <v>-167674.29</v>
      </c>
    </row>
    <row r="24" spans="1:12" ht="14.4">
      <c r="A24" s="58">
        <v>1400001458</v>
      </c>
      <c r="B24" s="56" t="s">
        <v>319</v>
      </c>
      <c r="C24" s="57">
        <v>45890</v>
      </c>
      <c r="D24" s="56" t="s">
        <v>328</v>
      </c>
      <c r="E24" s="187" t="s">
        <v>309</v>
      </c>
      <c r="F24" s="164">
        <v>179293.83</v>
      </c>
      <c r="G24" s="56" t="s">
        <v>305</v>
      </c>
      <c r="H24" s="58">
        <v>1400001458</v>
      </c>
      <c r="J24">
        <v>1400001971</v>
      </c>
      <c r="K24" t="s">
        <v>19</v>
      </c>
      <c r="L24" s="96">
        <v>-50734.53</v>
      </c>
    </row>
    <row r="25" spans="1:12" ht="14.4">
      <c r="A25" s="58">
        <v>1400000898</v>
      </c>
      <c r="B25" s="56" t="s">
        <v>319</v>
      </c>
      <c r="C25" s="57">
        <v>45890</v>
      </c>
      <c r="D25" s="56" t="s">
        <v>328</v>
      </c>
      <c r="E25" s="187" t="s">
        <v>309</v>
      </c>
      <c r="F25" s="164">
        <v>-179293.83</v>
      </c>
      <c r="G25" s="56" t="s">
        <v>305</v>
      </c>
      <c r="H25" s="58">
        <v>1400001458</v>
      </c>
      <c r="J25">
        <v>1400001972</v>
      </c>
      <c r="K25" t="s">
        <v>19</v>
      </c>
      <c r="L25" s="96">
        <v>-477139.41</v>
      </c>
    </row>
    <row r="26" spans="1:12" ht="14.4">
      <c r="A26" s="58">
        <v>1400001468</v>
      </c>
      <c r="B26" s="56" t="s">
        <v>319</v>
      </c>
      <c r="C26" s="57">
        <v>45938</v>
      </c>
      <c r="D26" s="56" t="s">
        <v>206</v>
      </c>
      <c r="E26" s="187" t="s">
        <v>309</v>
      </c>
      <c r="F26" s="164">
        <v>339060.54</v>
      </c>
      <c r="G26" s="56" t="s">
        <v>305</v>
      </c>
      <c r="H26" s="58">
        <v>1400001468</v>
      </c>
      <c r="J26">
        <v>1400001988</v>
      </c>
      <c r="K26" t="s">
        <v>209</v>
      </c>
      <c r="L26" s="96">
        <v>0</v>
      </c>
    </row>
    <row r="27" spans="1:12" ht="14.4">
      <c r="A27" s="58">
        <v>1400001367</v>
      </c>
      <c r="B27" s="56" t="s">
        <v>319</v>
      </c>
      <c r="C27" s="57">
        <v>45938</v>
      </c>
      <c r="D27" s="56" t="s">
        <v>206</v>
      </c>
      <c r="E27" s="187" t="s">
        <v>309</v>
      </c>
      <c r="F27" s="164">
        <v>-339060.54</v>
      </c>
      <c r="G27" s="56" t="s">
        <v>305</v>
      </c>
      <c r="H27" s="58">
        <v>1400001468</v>
      </c>
      <c r="J27">
        <v>1400001989</v>
      </c>
      <c r="K27" t="s">
        <v>331</v>
      </c>
      <c r="L27" s="96">
        <v>0</v>
      </c>
    </row>
    <row r="28" spans="1:12" ht="14.4">
      <c r="A28" s="58">
        <v>1400001956</v>
      </c>
      <c r="B28" s="56" t="s">
        <v>319</v>
      </c>
      <c r="C28" s="57">
        <v>45979</v>
      </c>
      <c r="D28" s="56" t="s">
        <v>209</v>
      </c>
      <c r="E28" s="187" t="s">
        <v>309</v>
      </c>
      <c r="F28" s="164">
        <v>-109304.71</v>
      </c>
      <c r="G28" s="56" t="s">
        <v>209</v>
      </c>
      <c r="H28" s="58">
        <v>1400001956</v>
      </c>
      <c r="J28">
        <v>1400001993</v>
      </c>
      <c r="K28" t="s">
        <v>149</v>
      </c>
      <c r="L28" s="96">
        <v>0</v>
      </c>
    </row>
    <row r="29" spans="1:12" ht="14.4">
      <c r="A29" s="58">
        <v>1400001961</v>
      </c>
      <c r="B29" s="56" t="s">
        <v>319</v>
      </c>
      <c r="C29" s="57">
        <v>45979</v>
      </c>
      <c r="D29" s="56" t="s">
        <v>149</v>
      </c>
      <c r="E29" s="187" t="s">
        <v>309</v>
      </c>
      <c r="F29" s="164">
        <v>-8051.51</v>
      </c>
      <c r="G29" s="56" t="s">
        <v>149</v>
      </c>
      <c r="H29" s="58">
        <v>1400001961</v>
      </c>
      <c r="J29">
        <v>1400002197</v>
      </c>
      <c r="K29" t="s">
        <v>320</v>
      </c>
      <c r="L29" s="96">
        <v>-97487.56</v>
      </c>
    </row>
    <row r="30" spans="1:12" ht="14.4">
      <c r="A30" s="58">
        <v>1400001961</v>
      </c>
      <c r="B30" s="56" t="s">
        <v>319</v>
      </c>
      <c r="C30" s="57">
        <v>45979</v>
      </c>
      <c r="D30" s="56" t="s">
        <v>149</v>
      </c>
      <c r="E30" s="187" t="s">
        <v>309</v>
      </c>
      <c r="F30" s="164">
        <v>-159622.78</v>
      </c>
      <c r="G30" s="56" t="s">
        <v>149</v>
      </c>
      <c r="H30" s="58">
        <v>1400001961</v>
      </c>
      <c r="J30">
        <v>1400002388</v>
      </c>
      <c r="K30" t="s">
        <v>320</v>
      </c>
      <c r="L30" s="96">
        <v>0</v>
      </c>
    </row>
    <row r="31" spans="1:12" ht="14.4">
      <c r="A31" s="58">
        <v>1400001971</v>
      </c>
      <c r="B31" s="56" t="s">
        <v>319</v>
      </c>
      <c r="C31" s="57">
        <v>45979</v>
      </c>
      <c r="D31" s="56" t="s">
        <v>19</v>
      </c>
      <c r="E31" s="187" t="s">
        <v>309</v>
      </c>
      <c r="F31" s="164">
        <v>-50734.53</v>
      </c>
      <c r="G31" s="56" t="s">
        <v>19</v>
      </c>
      <c r="H31" s="58">
        <v>1400001971</v>
      </c>
      <c r="J31">
        <v>1400002389</v>
      </c>
      <c r="K31" t="s">
        <v>535</v>
      </c>
      <c r="L31" s="96">
        <v>-16156.509999999998</v>
      </c>
    </row>
    <row r="32" spans="1:12" ht="14.4">
      <c r="A32" s="58">
        <v>1400001972</v>
      </c>
      <c r="B32" s="56" t="s">
        <v>319</v>
      </c>
      <c r="C32" s="57">
        <v>45979</v>
      </c>
      <c r="D32" s="56" t="s">
        <v>19</v>
      </c>
      <c r="E32" s="187" t="s">
        <v>309</v>
      </c>
      <c r="F32" s="164">
        <v>-477139.41</v>
      </c>
      <c r="G32" s="56" t="s">
        <v>19</v>
      </c>
      <c r="H32" s="58">
        <v>1400001972</v>
      </c>
      <c r="J32"/>
      <c r="K32" t="s">
        <v>320</v>
      </c>
      <c r="L32" s="96">
        <v>-14531.11</v>
      </c>
    </row>
    <row r="33" spans="1:12" ht="14.4">
      <c r="A33" s="58">
        <v>1400001988</v>
      </c>
      <c r="B33" s="56" t="s">
        <v>319</v>
      </c>
      <c r="C33" s="57">
        <v>45908</v>
      </c>
      <c r="D33" s="56" t="s">
        <v>209</v>
      </c>
      <c r="E33" s="187" t="s">
        <v>309</v>
      </c>
      <c r="F33" s="164">
        <v>107117.71</v>
      </c>
      <c r="G33" s="56" t="s">
        <v>305</v>
      </c>
      <c r="H33" s="58">
        <v>1400001988</v>
      </c>
      <c r="J33" t="s">
        <v>305</v>
      </c>
      <c r="K33" t="s">
        <v>225</v>
      </c>
      <c r="L33" s="96">
        <v>-324591.96000000002</v>
      </c>
    </row>
    <row r="34" spans="1:12" ht="14.4">
      <c r="A34" s="58">
        <v>1400001145</v>
      </c>
      <c r="B34" s="56" t="s">
        <v>319</v>
      </c>
      <c r="C34" s="57">
        <v>45908</v>
      </c>
      <c r="D34" s="56" t="s">
        <v>209</v>
      </c>
      <c r="E34" s="187" t="s">
        <v>309</v>
      </c>
      <c r="F34" s="164">
        <v>-107117.71</v>
      </c>
      <c r="G34" s="56" t="s">
        <v>305</v>
      </c>
      <c r="H34" s="58">
        <v>1400001988</v>
      </c>
      <c r="J34"/>
      <c r="K34" t="s">
        <v>32</v>
      </c>
      <c r="L34" s="96">
        <v>-226409</v>
      </c>
    </row>
    <row r="35" spans="1:12" ht="14.4">
      <c r="A35" s="58">
        <v>1400001989</v>
      </c>
      <c r="B35" s="56" t="s">
        <v>319</v>
      </c>
      <c r="C35" s="57">
        <v>45890</v>
      </c>
      <c r="D35" s="56" t="s">
        <v>331</v>
      </c>
      <c r="E35" s="187" t="s">
        <v>309</v>
      </c>
      <c r="F35" s="164">
        <v>475086.94</v>
      </c>
      <c r="G35" s="56" t="s">
        <v>305</v>
      </c>
      <c r="H35" s="58">
        <v>1400001989</v>
      </c>
      <c r="J35"/>
      <c r="K35" t="s">
        <v>264</v>
      </c>
      <c r="L35" s="96">
        <v>-341000</v>
      </c>
    </row>
    <row r="36" spans="1:12" ht="14.4">
      <c r="A36" s="58">
        <v>1400000962</v>
      </c>
      <c r="B36" s="56" t="s">
        <v>319</v>
      </c>
      <c r="C36" s="57">
        <v>45890</v>
      </c>
      <c r="D36" s="56" t="s">
        <v>331</v>
      </c>
      <c r="E36" s="187" t="s">
        <v>309</v>
      </c>
      <c r="F36" s="164">
        <v>-475086.94</v>
      </c>
      <c r="G36" s="56" t="s">
        <v>305</v>
      </c>
      <c r="H36" s="58">
        <v>1400001989</v>
      </c>
      <c r="J36"/>
      <c r="K36" t="s">
        <v>541</v>
      </c>
      <c r="L36" s="96">
        <v>-30424.05</v>
      </c>
    </row>
    <row r="37" spans="1:12" ht="14.4">
      <c r="A37" s="58">
        <v>1400001993</v>
      </c>
      <c r="B37" s="56" t="s">
        <v>319</v>
      </c>
      <c r="C37" s="57">
        <v>45832</v>
      </c>
      <c r="D37" s="56" t="s">
        <v>149</v>
      </c>
      <c r="E37" s="187" t="s">
        <v>309</v>
      </c>
      <c r="F37" s="164">
        <v>159186.29</v>
      </c>
      <c r="G37" s="56" t="s">
        <v>305</v>
      </c>
      <c r="H37" s="58">
        <v>1400001993</v>
      </c>
      <c r="J37"/>
      <c r="K37" t="s">
        <v>542</v>
      </c>
      <c r="L37" s="96">
        <v>-971.67</v>
      </c>
    </row>
    <row r="38" spans="1:12" ht="14.4">
      <c r="A38" s="58">
        <v>1400000115</v>
      </c>
      <c r="B38" s="56" t="s">
        <v>319</v>
      </c>
      <c r="C38" s="57">
        <v>45832</v>
      </c>
      <c r="D38" s="56" t="s">
        <v>149</v>
      </c>
      <c r="E38" s="187" t="s">
        <v>309</v>
      </c>
      <c r="F38" s="164">
        <v>-159186.29</v>
      </c>
      <c r="G38" s="56" t="s">
        <v>305</v>
      </c>
      <c r="H38" s="58">
        <v>1400001993</v>
      </c>
      <c r="J38"/>
      <c r="K38" t="s">
        <v>320</v>
      </c>
      <c r="L38" s="96">
        <v>-296024</v>
      </c>
    </row>
    <row r="39" spans="1:12" ht="14.4">
      <c r="A39" s="58">
        <v>1400002197</v>
      </c>
      <c r="B39" s="56" t="s">
        <v>319</v>
      </c>
      <c r="C39" s="57">
        <v>46007</v>
      </c>
      <c r="D39" s="56" t="s">
        <v>320</v>
      </c>
      <c r="E39" s="187" t="s">
        <v>309</v>
      </c>
      <c r="F39" s="164">
        <v>-66620.789999999994</v>
      </c>
      <c r="G39" s="56" t="s">
        <v>320</v>
      </c>
      <c r="H39" s="58">
        <v>1400002197</v>
      </c>
      <c r="J39"/>
      <c r="K39"/>
    </row>
    <row r="40" spans="1:12" ht="14.4">
      <c r="A40" s="58">
        <v>1400002197</v>
      </c>
      <c r="B40" s="56" t="s">
        <v>319</v>
      </c>
      <c r="C40" s="57">
        <v>46007</v>
      </c>
      <c r="D40" s="56" t="s">
        <v>320</v>
      </c>
      <c r="E40" s="187" t="s">
        <v>309</v>
      </c>
      <c r="F40" s="164">
        <v>-30866.77</v>
      </c>
      <c r="G40" s="56" t="s">
        <v>320</v>
      </c>
      <c r="H40" s="58">
        <v>1400002197</v>
      </c>
      <c r="J40"/>
      <c r="K40"/>
    </row>
    <row r="41" spans="1:12" ht="14.4">
      <c r="A41" s="58">
        <v>1400002388</v>
      </c>
      <c r="B41" s="56" t="s">
        <v>319</v>
      </c>
      <c r="C41" s="57">
        <v>46030</v>
      </c>
      <c r="D41" s="56" t="s">
        <v>320</v>
      </c>
      <c r="E41" s="187" t="s">
        <v>309</v>
      </c>
      <c r="F41" s="164">
        <v>14531.11</v>
      </c>
      <c r="G41" s="56" t="s">
        <v>305</v>
      </c>
      <c r="H41" s="58">
        <v>1400002388</v>
      </c>
      <c r="J41"/>
      <c r="K41"/>
    </row>
    <row r="42" spans="1:12" ht="14.4">
      <c r="A42" s="58">
        <v>1400002198</v>
      </c>
      <c r="B42" s="56" t="s">
        <v>319</v>
      </c>
      <c r="C42" s="57">
        <v>46007</v>
      </c>
      <c r="D42" s="56" t="s">
        <v>320</v>
      </c>
      <c r="E42" s="187" t="s">
        <v>309</v>
      </c>
      <c r="F42" s="164">
        <v>-14531.11</v>
      </c>
      <c r="G42" s="56" t="s">
        <v>305</v>
      </c>
      <c r="H42" s="58">
        <v>1400002388</v>
      </c>
      <c r="J42"/>
      <c r="K42"/>
    </row>
    <row r="43" spans="1:12" ht="14.4">
      <c r="A43" s="58">
        <v>1400002389</v>
      </c>
      <c r="B43" s="56" t="s">
        <v>319</v>
      </c>
      <c r="C43" s="57">
        <v>46030</v>
      </c>
      <c r="D43" s="56" t="s">
        <v>535</v>
      </c>
      <c r="E43" s="187" t="s">
        <v>309</v>
      </c>
      <c r="F43" s="164">
        <v>14903.5</v>
      </c>
      <c r="G43" s="56" t="s">
        <v>305</v>
      </c>
      <c r="H43" s="58">
        <v>1400002389</v>
      </c>
      <c r="J43"/>
      <c r="K43"/>
    </row>
    <row r="44" spans="1:12" ht="14.4">
      <c r="A44" s="58">
        <v>1400002389</v>
      </c>
      <c r="B44" s="56" t="s">
        <v>319</v>
      </c>
      <c r="C44" s="57">
        <v>46030</v>
      </c>
      <c r="D44" s="56" t="s">
        <v>535</v>
      </c>
      <c r="E44" s="187" t="s">
        <v>309</v>
      </c>
      <c r="F44" s="164">
        <v>14531.11</v>
      </c>
      <c r="G44" s="56" t="s">
        <v>305</v>
      </c>
      <c r="H44" s="58">
        <v>1400002389</v>
      </c>
      <c r="J44"/>
      <c r="K44"/>
    </row>
    <row r="45" spans="1:12" ht="14.4">
      <c r="A45" s="58">
        <v>1400002389</v>
      </c>
      <c r="B45" s="56" t="s">
        <v>319</v>
      </c>
      <c r="C45" s="57">
        <v>46030</v>
      </c>
      <c r="D45" s="56" t="s">
        <v>535</v>
      </c>
      <c r="E45" s="187" t="s">
        <v>309</v>
      </c>
      <c r="F45" s="164">
        <v>-30687.62</v>
      </c>
      <c r="G45" s="56" t="s">
        <v>305</v>
      </c>
      <c r="H45" s="58">
        <v>1400002389</v>
      </c>
      <c r="J45"/>
      <c r="K45"/>
    </row>
    <row r="46" spans="1:12" ht="14.4">
      <c r="A46" s="58">
        <v>1400002237</v>
      </c>
      <c r="B46" s="56" t="s">
        <v>319</v>
      </c>
      <c r="C46" s="57">
        <v>46011</v>
      </c>
      <c r="D46" s="56" t="s">
        <v>535</v>
      </c>
      <c r="E46" s="187" t="s">
        <v>309</v>
      </c>
      <c r="F46" s="164">
        <v>-14903.5</v>
      </c>
      <c r="G46" s="56" t="s">
        <v>305</v>
      </c>
      <c r="H46" s="58">
        <v>1400002389</v>
      </c>
      <c r="J46"/>
      <c r="K46"/>
    </row>
    <row r="47" spans="1:12" ht="14.4">
      <c r="A47" s="58">
        <v>1400002388</v>
      </c>
      <c r="B47" s="56" t="s">
        <v>319</v>
      </c>
      <c r="C47" s="57">
        <v>46030</v>
      </c>
      <c r="D47" s="56" t="s">
        <v>320</v>
      </c>
      <c r="E47" s="187" t="s">
        <v>309</v>
      </c>
      <c r="F47" s="164">
        <v>-14531.11</v>
      </c>
      <c r="G47" s="56" t="s">
        <v>305</v>
      </c>
      <c r="H47" s="58">
        <v>1400002389</v>
      </c>
      <c r="J47"/>
      <c r="K47"/>
    </row>
    <row r="48" spans="1:12" ht="14.4">
      <c r="A48" s="58">
        <v>1400001329</v>
      </c>
      <c r="B48" s="56" t="s">
        <v>319</v>
      </c>
      <c r="C48" s="57">
        <v>45931</v>
      </c>
      <c r="D48" s="56" t="s">
        <v>32</v>
      </c>
      <c r="E48" s="187" t="s">
        <v>309</v>
      </c>
      <c r="F48" s="164">
        <v>-226409</v>
      </c>
      <c r="G48" s="56" t="s">
        <v>305</v>
      </c>
      <c r="H48" s="56" t="s">
        <v>305</v>
      </c>
      <c r="J48"/>
      <c r="K48"/>
    </row>
    <row r="49" spans="1:11" ht="14.4">
      <c r="A49" s="58">
        <v>1400000113</v>
      </c>
      <c r="B49" s="56" t="s">
        <v>319</v>
      </c>
      <c r="C49" s="57">
        <v>45832</v>
      </c>
      <c r="D49" s="56" t="s">
        <v>264</v>
      </c>
      <c r="E49" s="187" t="s">
        <v>309</v>
      </c>
      <c r="F49" s="164">
        <v>-341000</v>
      </c>
      <c r="G49" s="56" t="s">
        <v>305</v>
      </c>
      <c r="H49" s="56" t="s">
        <v>305</v>
      </c>
      <c r="J49"/>
      <c r="K49"/>
    </row>
    <row r="50" spans="1:11" ht="14.4">
      <c r="A50" s="58">
        <v>1400002197</v>
      </c>
      <c r="B50" s="56" t="s">
        <v>319</v>
      </c>
      <c r="C50" s="57">
        <v>46007</v>
      </c>
      <c r="D50" s="56" t="s">
        <v>320</v>
      </c>
      <c r="E50" s="187" t="s">
        <v>309</v>
      </c>
      <c r="F50" s="164">
        <v>-296024</v>
      </c>
      <c r="G50" s="56" t="s">
        <v>305</v>
      </c>
      <c r="H50" s="56" t="s">
        <v>305</v>
      </c>
      <c r="J50"/>
      <c r="K50"/>
    </row>
    <row r="51" spans="1:11" ht="14.4">
      <c r="A51" s="58">
        <v>1400001627</v>
      </c>
      <c r="B51" s="56" t="s">
        <v>319</v>
      </c>
      <c r="C51" s="57">
        <v>45972</v>
      </c>
      <c r="D51" s="56" t="s">
        <v>225</v>
      </c>
      <c r="E51" s="187" t="s">
        <v>309</v>
      </c>
      <c r="F51" s="164">
        <v>-324591.96000000002</v>
      </c>
      <c r="G51" s="56" t="s">
        <v>305</v>
      </c>
      <c r="H51" s="56" t="s">
        <v>305</v>
      </c>
      <c r="J51"/>
      <c r="K51"/>
    </row>
    <row r="52" spans="1:11" ht="14.4">
      <c r="A52" s="58">
        <v>1400002720</v>
      </c>
      <c r="B52" s="56" t="s">
        <v>319</v>
      </c>
      <c r="C52" s="57">
        <v>46070</v>
      </c>
      <c r="D52" s="56" t="s">
        <v>541</v>
      </c>
      <c r="E52" s="187" t="s">
        <v>309</v>
      </c>
      <c r="F52" s="164">
        <v>-30424.05</v>
      </c>
      <c r="G52" s="56" t="s">
        <v>305</v>
      </c>
      <c r="H52" s="56" t="s">
        <v>305</v>
      </c>
      <c r="J52"/>
      <c r="K52"/>
    </row>
    <row r="53" spans="1:11" ht="14.4">
      <c r="A53" s="58">
        <v>1400002721</v>
      </c>
      <c r="B53" s="56" t="s">
        <v>319</v>
      </c>
      <c r="C53" s="57">
        <v>46070</v>
      </c>
      <c r="D53" s="56" t="s">
        <v>542</v>
      </c>
      <c r="E53" s="187" t="s">
        <v>309</v>
      </c>
      <c r="F53" s="164">
        <v>-971.67</v>
      </c>
      <c r="G53" s="56" t="s">
        <v>305</v>
      </c>
      <c r="H53" s="56" t="s">
        <v>305</v>
      </c>
      <c r="J53"/>
      <c r="K53"/>
    </row>
    <row r="54" spans="1:11" ht="14.4">
      <c r="J54"/>
      <c r="K54"/>
    </row>
    <row r="55" spans="1:11" ht="14.4">
      <c r="J55"/>
      <c r="K55"/>
    </row>
    <row r="56" spans="1:11" ht="14.4">
      <c r="J56"/>
      <c r="K56"/>
    </row>
    <row r="57" spans="1:11" ht="14.4">
      <c r="J57"/>
      <c r="K57"/>
    </row>
    <row r="58" spans="1:11" ht="14.4">
      <c r="J58"/>
      <c r="K58"/>
    </row>
    <row r="59" spans="1:11" ht="14.4">
      <c r="J59"/>
      <c r="K59"/>
    </row>
    <row r="60" spans="1:11" ht="14.4">
      <c r="J60"/>
      <c r="K60"/>
    </row>
    <row r="61" spans="1:11" ht="14.4">
      <c r="J61"/>
      <c r="K61"/>
    </row>
    <row r="62" spans="1:11" ht="14.4">
      <c r="J62"/>
      <c r="K62"/>
    </row>
    <row r="63" spans="1:11" ht="14.4">
      <c r="J63"/>
      <c r="K63"/>
    </row>
    <row r="64" spans="1:11" ht="14.4">
      <c r="J64"/>
      <c r="K64"/>
    </row>
    <row r="65" spans="10:11" ht="14.4">
      <c r="J65"/>
      <c r="K65"/>
    </row>
    <row r="66" spans="10:11" ht="14.4">
      <c r="J66"/>
      <c r="K66"/>
    </row>
    <row r="67" spans="10:11" ht="14.4">
      <c r="J67"/>
      <c r="K67"/>
    </row>
    <row r="68" spans="10:11" ht="14.4">
      <c r="J68"/>
      <c r="K68"/>
    </row>
    <row r="69" spans="10:11" ht="14.4">
      <c r="J69"/>
      <c r="K6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E859-0174-49FC-8922-3527C65175C5}">
  <dimension ref="A1:N93"/>
  <sheetViews>
    <sheetView topLeftCell="E1" zoomScale="110" zoomScaleNormal="110" workbookViewId="0">
      <selection activeCell="M6" sqref="M6"/>
    </sheetView>
  </sheetViews>
  <sheetFormatPr defaultColWidth="8.77734375" defaultRowHeight="13.2"/>
  <cols>
    <col min="1" max="1" width="13" style="80" customWidth="1"/>
    <col min="2" max="2" width="19.109375" style="90" bestFit="1" customWidth="1"/>
    <col min="3" max="3" width="25.77734375" style="80" customWidth="1"/>
    <col min="4" max="4" width="13.77734375" style="116" customWidth="1"/>
    <col min="5" max="5" width="14" style="80" bestFit="1" customWidth="1"/>
    <col min="6" max="6" width="13.88671875" style="80" bestFit="1" customWidth="1"/>
    <col min="7" max="7" width="26.77734375" style="80" bestFit="1" customWidth="1"/>
    <col min="8" max="8" width="25.33203125" style="80" bestFit="1" customWidth="1"/>
    <col min="9" max="9" width="9.21875" style="116" bestFit="1" customWidth="1"/>
    <col min="10" max="10" width="12.77734375" style="80" bestFit="1" customWidth="1"/>
    <col min="11" max="11" width="27.77734375" style="80" bestFit="1" customWidth="1"/>
    <col min="12" max="12" width="8.21875" style="80" bestFit="1" customWidth="1"/>
    <col min="13" max="13" width="12.5546875" style="180" bestFit="1" customWidth="1"/>
    <col min="14" max="14" width="25.33203125" style="80" bestFit="1" customWidth="1"/>
    <col min="15" max="16384" width="8.77734375" style="80"/>
  </cols>
  <sheetData>
    <row r="1" spans="1:14" s="79" customFormat="1">
      <c r="B1" s="94">
        <f>SUBTOTAL(9,B4:B93)</f>
        <v>3557557.5078460723</v>
      </c>
      <c r="D1" s="127">
        <f>B1+G1</f>
        <v>-464928.21215392696</v>
      </c>
      <c r="G1" s="94">
        <f>SUBTOTAL(9,G4:G55)</f>
        <v>-4022485.7199999993</v>
      </c>
      <c r="I1" s="116"/>
      <c r="M1" s="176">
        <f>SUM(M4:M31)</f>
        <v>3557557.0999999996</v>
      </c>
    </row>
    <row r="2" spans="1:14" s="175" customFormat="1">
      <c r="A2" s="231" t="s">
        <v>547</v>
      </c>
      <c r="B2" s="231"/>
      <c r="C2" s="231"/>
      <c r="D2" s="117"/>
      <c r="E2" s="232" t="s">
        <v>596</v>
      </c>
      <c r="F2" s="233"/>
      <c r="G2" s="233"/>
      <c r="H2" s="234"/>
      <c r="I2" s="181"/>
      <c r="J2" s="235" t="s">
        <v>597</v>
      </c>
      <c r="K2" s="235"/>
      <c r="L2" s="235"/>
      <c r="M2" s="235"/>
      <c r="N2" s="235"/>
    </row>
    <row r="3" spans="1:14" s="175" customFormat="1" ht="19.95" customHeight="1">
      <c r="A3" s="165" t="s">
        <v>4</v>
      </c>
      <c r="B3" s="166" t="s">
        <v>12</v>
      </c>
      <c r="C3" s="167" t="s">
        <v>13</v>
      </c>
      <c r="D3" s="118"/>
      <c r="E3" s="182" t="s">
        <v>274</v>
      </c>
      <c r="F3" s="183" t="s">
        <v>275</v>
      </c>
      <c r="G3" s="182" t="s">
        <v>286</v>
      </c>
      <c r="H3" s="183" t="s">
        <v>292</v>
      </c>
      <c r="I3" s="181"/>
      <c r="J3" s="168" t="s">
        <v>591</v>
      </c>
      <c r="K3" s="168" t="s">
        <v>592</v>
      </c>
      <c r="L3" s="168" t="s">
        <v>593</v>
      </c>
      <c r="M3" s="177" t="s">
        <v>594</v>
      </c>
      <c r="N3" s="168" t="s">
        <v>595</v>
      </c>
    </row>
    <row r="4" spans="1:14" ht="14.4">
      <c r="A4" s="120">
        <v>45728</v>
      </c>
      <c r="B4" s="84">
        <v>69973.16</v>
      </c>
      <c r="C4" s="121" t="s">
        <v>57</v>
      </c>
      <c r="D4" s="119"/>
      <c r="E4" s="56" t="s">
        <v>319</v>
      </c>
      <c r="F4" s="57">
        <v>45772</v>
      </c>
      <c r="G4" s="59">
        <v>-77748.160000000003</v>
      </c>
      <c r="H4" s="56" t="s">
        <v>57</v>
      </c>
      <c r="J4" s="42">
        <v>45728</v>
      </c>
      <c r="K4" s="43" t="s">
        <v>301</v>
      </c>
      <c r="L4" s="43" t="s">
        <v>309</v>
      </c>
      <c r="M4" s="178">
        <v>97112.2</v>
      </c>
      <c r="N4" s="43" t="s">
        <v>74</v>
      </c>
    </row>
    <row r="5" spans="1:14" ht="14.4">
      <c r="A5" s="120">
        <v>45728</v>
      </c>
      <c r="B5" s="84">
        <v>28756.3</v>
      </c>
      <c r="C5" s="121" t="s">
        <v>64</v>
      </c>
      <c r="D5" s="119"/>
      <c r="E5" s="56" t="s">
        <v>319</v>
      </c>
      <c r="F5" s="57">
        <v>45772</v>
      </c>
      <c r="G5" s="59">
        <v>-31951.3</v>
      </c>
      <c r="H5" s="56" t="s">
        <v>64</v>
      </c>
      <c r="J5" s="42">
        <v>45728</v>
      </c>
      <c r="K5" s="43" t="s">
        <v>301</v>
      </c>
      <c r="L5" s="43" t="s">
        <v>309</v>
      </c>
      <c r="M5" s="178">
        <v>28756.3</v>
      </c>
      <c r="N5" s="43" t="s">
        <v>64</v>
      </c>
    </row>
    <row r="6" spans="1:14" ht="14.4">
      <c r="A6" s="120">
        <v>45728</v>
      </c>
      <c r="B6" s="84">
        <v>97112.2</v>
      </c>
      <c r="C6" s="121" t="s">
        <v>74</v>
      </c>
      <c r="D6" s="119"/>
      <c r="E6" s="56" t="s">
        <v>319</v>
      </c>
      <c r="F6" s="57">
        <v>45772</v>
      </c>
      <c r="G6" s="59">
        <v>-107902.2</v>
      </c>
      <c r="H6" s="56" t="s">
        <v>74</v>
      </c>
      <c r="J6" s="42">
        <v>45728</v>
      </c>
      <c r="K6" s="43" t="s">
        <v>301</v>
      </c>
      <c r="L6" s="43" t="s">
        <v>309</v>
      </c>
      <c r="M6" s="178">
        <v>69973.16</v>
      </c>
      <c r="N6" s="43" t="s">
        <v>57</v>
      </c>
    </row>
    <row r="7" spans="1:14" ht="14.4">
      <c r="A7" s="120">
        <v>45740</v>
      </c>
      <c r="B7" s="84">
        <v>11330.33</v>
      </c>
      <c r="C7" s="121" t="s">
        <v>22</v>
      </c>
      <c r="D7" s="119"/>
      <c r="E7" s="56" t="s">
        <v>319</v>
      </c>
      <c r="F7" s="57">
        <v>45772</v>
      </c>
      <c r="G7" s="59">
        <v>-11561.33</v>
      </c>
      <c r="H7" s="56" t="s">
        <v>22</v>
      </c>
      <c r="J7" s="42">
        <v>45740</v>
      </c>
      <c r="K7" s="43" t="s">
        <v>301</v>
      </c>
      <c r="L7" s="43" t="s">
        <v>309</v>
      </c>
      <c r="M7" s="178">
        <v>18128.12</v>
      </c>
      <c r="N7" s="43" t="s">
        <v>37</v>
      </c>
    </row>
    <row r="8" spans="1:14" ht="14.4">
      <c r="A8" s="120">
        <v>45740</v>
      </c>
      <c r="B8" s="84">
        <v>18128.12</v>
      </c>
      <c r="C8" s="121" t="s">
        <v>37</v>
      </c>
      <c r="D8" s="119"/>
      <c r="E8" s="56" t="s">
        <v>319</v>
      </c>
      <c r="F8" s="57">
        <v>45772</v>
      </c>
      <c r="G8" s="59">
        <v>-18498.12</v>
      </c>
      <c r="H8" s="56" t="s">
        <v>37</v>
      </c>
      <c r="J8" s="42">
        <v>45740</v>
      </c>
      <c r="K8" s="43" t="s">
        <v>301</v>
      </c>
      <c r="L8" s="43" t="s">
        <v>309</v>
      </c>
      <c r="M8" s="178">
        <v>15450.44</v>
      </c>
      <c r="N8" s="43" t="s">
        <v>77</v>
      </c>
    </row>
    <row r="9" spans="1:14" ht="14.4">
      <c r="A9" s="120">
        <v>45740</v>
      </c>
      <c r="B9" s="84">
        <v>18128.12</v>
      </c>
      <c r="C9" s="121" t="s">
        <v>49</v>
      </c>
      <c r="D9" s="119"/>
      <c r="E9" s="56" t="s">
        <v>319</v>
      </c>
      <c r="F9" s="57">
        <v>45772</v>
      </c>
      <c r="G9" s="59">
        <v>-18498.12</v>
      </c>
      <c r="H9" s="56" t="s">
        <v>49</v>
      </c>
      <c r="J9" s="42">
        <v>45740</v>
      </c>
      <c r="K9" s="43" t="s">
        <v>301</v>
      </c>
      <c r="L9" s="43" t="s">
        <v>309</v>
      </c>
      <c r="M9" s="178">
        <v>11330.33</v>
      </c>
      <c r="N9" s="43" t="s">
        <v>22</v>
      </c>
    </row>
    <row r="10" spans="1:14" ht="14.4">
      <c r="A10" s="120">
        <v>45740</v>
      </c>
      <c r="B10" s="84">
        <v>4532.53</v>
      </c>
      <c r="C10" s="121" t="s">
        <v>66</v>
      </c>
      <c r="D10" s="119"/>
      <c r="E10" s="56" t="s">
        <v>319</v>
      </c>
      <c r="F10" s="57">
        <v>45772</v>
      </c>
      <c r="G10" s="59">
        <v>-4624.53</v>
      </c>
      <c r="H10" s="56" t="s">
        <v>66</v>
      </c>
      <c r="J10" s="42">
        <v>45740</v>
      </c>
      <c r="K10" s="43" t="s">
        <v>301</v>
      </c>
      <c r="L10" s="43" t="s">
        <v>309</v>
      </c>
      <c r="M10" s="178">
        <v>4532.53</v>
      </c>
      <c r="N10" s="43" t="s">
        <v>83</v>
      </c>
    </row>
    <row r="11" spans="1:14" ht="14.4">
      <c r="A11" s="120">
        <v>45740</v>
      </c>
      <c r="B11" s="84">
        <v>15450.44</v>
      </c>
      <c r="C11" s="121" t="s">
        <v>77</v>
      </c>
      <c r="D11" s="119"/>
      <c r="E11" s="56" t="s">
        <v>319</v>
      </c>
      <c r="F11" s="57">
        <v>45772</v>
      </c>
      <c r="G11" s="59">
        <v>-15765.44</v>
      </c>
      <c r="H11" s="56" t="s">
        <v>77</v>
      </c>
      <c r="J11" s="42">
        <v>45740</v>
      </c>
      <c r="K11" s="43" t="s">
        <v>301</v>
      </c>
      <c r="L11" s="43" t="s">
        <v>309</v>
      </c>
      <c r="M11" s="178">
        <v>18128.12</v>
      </c>
      <c r="N11" s="43" t="s">
        <v>49</v>
      </c>
    </row>
    <row r="12" spans="1:14" ht="14.4">
      <c r="A12" s="120">
        <v>45740</v>
      </c>
      <c r="B12" s="84">
        <v>4532.53</v>
      </c>
      <c r="C12" s="121" t="s">
        <v>83</v>
      </c>
      <c r="D12" s="119"/>
      <c r="E12" s="56" t="s">
        <v>319</v>
      </c>
      <c r="F12" s="57">
        <v>45772</v>
      </c>
      <c r="G12" s="59">
        <v>-4624.53</v>
      </c>
      <c r="H12" s="56" t="s">
        <v>83</v>
      </c>
      <c r="J12" s="42">
        <v>45740</v>
      </c>
      <c r="K12" s="43" t="s">
        <v>301</v>
      </c>
      <c r="L12" s="43" t="s">
        <v>309</v>
      </c>
      <c r="M12" s="178">
        <v>4532.53</v>
      </c>
      <c r="N12" s="43" t="s">
        <v>66</v>
      </c>
    </row>
    <row r="13" spans="1:14" ht="14.4">
      <c r="A13" s="120">
        <v>45791</v>
      </c>
      <c r="B13" s="85">
        <v>28538.079935999998</v>
      </c>
      <c r="C13" s="121" t="s">
        <v>94</v>
      </c>
      <c r="D13" s="119"/>
      <c r="E13" s="169" t="s">
        <v>319</v>
      </c>
      <c r="F13" s="170">
        <v>45832</v>
      </c>
      <c r="G13" s="174">
        <v>-341000</v>
      </c>
      <c r="H13" s="56" t="s">
        <v>305</v>
      </c>
      <c r="I13" s="171"/>
      <c r="J13" s="172">
        <v>45813</v>
      </c>
      <c r="K13" s="173" t="s">
        <v>301</v>
      </c>
      <c r="L13" s="173" t="s">
        <v>309</v>
      </c>
      <c r="M13" s="179">
        <v>341000</v>
      </c>
      <c r="N13" s="173" t="s">
        <v>264</v>
      </c>
    </row>
    <row r="14" spans="1:14" ht="14.4">
      <c r="A14" s="120">
        <v>45791</v>
      </c>
      <c r="B14" s="86">
        <v>24143.251442599998</v>
      </c>
      <c r="C14" s="121" t="s">
        <v>94</v>
      </c>
      <c r="D14" s="119"/>
      <c r="E14" s="169" t="s">
        <v>319</v>
      </c>
      <c r="F14" s="170">
        <v>45931</v>
      </c>
      <c r="G14" s="174">
        <v>-226409</v>
      </c>
      <c r="H14" s="56" t="s">
        <v>305</v>
      </c>
      <c r="I14" s="171"/>
      <c r="J14" s="172">
        <v>45822</v>
      </c>
      <c r="K14" s="173" t="s">
        <v>301</v>
      </c>
      <c r="L14" s="173" t="s">
        <v>309</v>
      </c>
      <c r="M14" s="179">
        <v>226409</v>
      </c>
      <c r="N14" s="173" t="s">
        <v>32</v>
      </c>
    </row>
    <row r="15" spans="1:14" ht="14.4">
      <c r="A15" s="120">
        <v>45791</v>
      </c>
      <c r="B15" s="86">
        <v>6746.2081440000002</v>
      </c>
      <c r="C15" s="121" t="s">
        <v>94</v>
      </c>
      <c r="D15" s="119"/>
      <c r="E15" s="56" t="s">
        <v>319</v>
      </c>
      <c r="F15" s="57">
        <v>45946</v>
      </c>
      <c r="G15" s="59">
        <v>-492209.06</v>
      </c>
      <c r="H15" s="56" t="s">
        <v>198</v>
      </c>
      <c r="J15" s="42">
        <v>45791</v>
      </c>
      <c r="K15" s="43" t="s">
        <v>301</v>
      </c>
      <c r="L15" s="43" t="s">
        <v>309</v>
      </c>
      <c r="M15" s="178">
        <v>112111.95</v>
      </c>
      <c r="N15" s="43" t="s">
        <v>94</v>
      </c>
    </row>
    <row r="16" spans="1:14" ht="14.4">
      <c r="A16" s="120">
        <v>45791</v>
      </c>
      <c r="B16" s="86">
        <v>11040.067872</v>
      </c>
      <c r="C16" s="121" t="s">
        <v>94</v>
      </c>
      <c r="D16" s="119"/>
      <c r="E16" s="56" t="s">
        <v>319</v>
      </c>
      <c r="F16" s="57">
        <v>45946</v>
      </c>
      <c r="G16" s="59">
        <v>-139776.57999999999</v>
      </c>
      <c r="H16" s="56" t="s">
        <v>323</v>
      </c>
    </row>
    <row r="17" spans="1:14" ht="14.4">
      <c r="A17" s="120">
        <v>45791</v>
      </c>
      <c r="B17" s="86">
        <v>24143.251442599998</v>
      </c>
      <c r="C17" s="121" t="s">
        <v>94</v>
      </c>
      <c r="D17" s="119"/>
      <c r="E17" s="56" t="s">
        <v>319</v>
      </c>
      <c r="F17" s="57">
        <v>45946</v>
      </c>
      <c r="G17" s="59">
        <v>-116988.95</v>
      </c>
      <c r="H17" s="56" t="s">
        <v>94</v>
      </c>
      <c r="J17" s="42">
        <v>45813</v>
      </c>
      <c r="K17" s="43" t="s">
        <v>301</v>
      </c>
      <c r="L17" s="43" t="s">
        <v>309</v>
      </c>
      <c r="M17" s="178">
        <v>159186.29</v>
      </c>
      <c r="N17" s="43" t="s">
        <v>149</v>
      </c>
    </row>
    <row r="18" spans="1:14" ht="14.4">
      <c r="A18" s="120">
        <v>45791</v>
      </c>
      <c r="B18" s="86">
        <v>11040.067872</v>
      </c>
      <c r="C18" s="121" t="s">
        <v>94</v>
      </c>
      <c r="D18" s="119"/>
      <c r="E18" s="56" t="s">
        <v>319</v>
      </c>
      <c r="F18" s="57">
        <v>45946</v>
      </c>
      <c r="G18" s="59">
        <v>-646935.77</v>
      </c>
      <c r="H18" s="56" t="s">
        <v>206</v>
      </c>
      <c r="J18" s="42">
        <v>45833</v>
      </c>
      <c r="K18" s="43" t="s">
        <v>301</v>
      </c>
      <c r="L18" s="43" t="s">
        <v>309</v>
      </c>
      <c r="M18" s="178">
        <v>179293.83</v>
      </c>
      <c r="N18" s="43" t="s">
        <v>166</v>
      </c>
    </row>
    <row r="19" spans="1:14" ht="14.4">
      <c r="A19" s="120">
        <v>45791</v>
      </c>
      <c r="B19" s="86">
        <v>6461.0200469999991</v>
      </c>
      <c r="C19" s="121" t="s">
        <v>94</v>
      </c>
      <c r="D19" s="119"/>
      <c r="E19" s="56" t="s">
        <v>319</v>
      </c>
      <c r="F19" s="57">
        <v>45946</v>
      </c>
      <c r="G19" s="59">
        <v>-182952.83</v>
      </c>
      <c r="H19" s="56" t="s">
        <v>166</v>
      </c>
      <c r="J19" s="42">
        <v>45861</v>
      </c>
      <c r="K19" s="43" t="s">
        <v>301</v>
      </c>
      <c r="L19" s="43" t="s">
        <v>309</v>
      </c>
      <c r="M19" s="178">
        <v>475086.94</v>
      </c>
      <c r="N19" s="43" t="s">
        <v>19</v>
      </c>
    </row>
    <row r="20" spans="1:14" ht="14.4">
      <c r="A20" s="120">
        <v>45813</v>
      </c>
      <c r="B20" s="84">
        <v>2186.2831194</v>
      </c>
      <c r="C20" s="121" t="s">
        <v>149</v>
      </c>
      <c r="D20" s="119"/>
      <c r="E20" s="169" t="s">
        <v>319</v>
      </c>
      <c r="F20" s="170">
        <v>45972</v>
      </c>
      <c r="G20" s="174">
        <v>-324591.96000000002</v>
      </c>
      <c r="H20" s="56" t="s">
        <v>305</v>
      </c>
      <c r="I20" s="171"/>
      <c r="J20" s="172">
        <v>45933</v>
      </c>
      <c r="K20" s="173" t="s">
        <v>301</v>
      </c>
      <c r="L20" s="173" t="s">
        <v>309</v>
      </c>
      <c r="M20" s="179">
        <v>324591.96000000002</v>
      </c>
      <c r="N20" s="173" t="s">
        <v>225</v>
      </c>
    </row>
    <row r="21" spans="1:14" ht="14.4">
      <c r="A21" s="120">
        <v>45813</v>
      </c>
      <c r="B21" s="84">
        <v>3566.6900209999999</v>
      </c>
      <c r="C21" s="121" t="s">
        <v>149</v>
      </c>
      <c r="D21" s="119"/>
      <c r="E21" s="56" t="s">
        <v>319</v>
      </c>
      <c r="F21" s="57">
        <v>45979</v>
      </c>
      <c r="G21" s="59">
        <v>-8051.51</v>
      </c>
      <c r="H21" s="56" t="s">
        <v>149</v>
      </c>
    </row>
    <row r="22" spans="1:14" ht="14.4">
      <c r="A22" s="120">
        <v>45813</v>
      </c>
      <c r="B22" s="84">
        <v>8026.5902448000006</v>
      </c>
      <c r="C22" s="121" t="s">
        <v>149</v>
      </c>
      <c r="D22" s="119"/>
      <c r="E22" s="56" t="s">
        <v>319</v>
      </c>
      <c r="F22" s="57">
        <v>45979</v>
      </c>
      <c r="G22" s="59">
        <v>-109304.71</v>
      </c>
      <c r="H22" s="56" t="s">
        <v>209</v>
      </c>
      <c r="J22" s="42">
        <v>45891</v>
      </c>
      <c r="K22" s="43" t="s">
        <v>301</v>
      </c>
      <c r="L22" s="43" t="s">
        <v>309</v>
      </c>
      <c r="M22" s="178">
        <v>495157.4</v>
      </c>
      <c r="N22" s="43" t="s">
        <v>198</v>
      </c>
    </row>
    <row r="23" spans="1:14" ht="14.4">
      <c r="A23" s="120">
        <v>45813</v>
      </c>
      <c r="B23" s="84">
        <v>2293.6640200000002</v>
      </c>
      <c r="C23" s="121" t="s">
        <v>149</v>
      </c>
      <c r="D23" s="119"/>
      <c r="E23" s="56" t="s">
        <v>319</v>
      </c>
      <c r="F23" s="57">
        <v>45979</v>
      </c>
      <c r="G23" s="59">
        <v>-159622.78</v>
      </c>
      <c r="H23" s="56" t="s">
        <v>149</v>
      </c>
      <c r="J23" s="42">
        <v>45896</v>
      </c>
      <c r="K23" s="43" t="s">
        <v>301</v>
      </c>
      <c r="L23" s="43" t="s">
        <v>309</v>
      </c>
      <c r="M23" s="178">
        <v>107117.71</v>
      </c>
      <c r="N23" s="43" t="s">
        <v>209</v>
      </c>
    </row>
    <row r="24" spans="1:14" ht="14.4">
      <c r="A24" s="120">
        <v>45813</v>
      </c>
      <c r="B24" s="84">
        <v>3670.0624320000002</v>
      </c>
      <c r="C24" s="121" t="s">
        <v>149</v>
      </c>
      <c r="D24" s="119"/>
      <c r="E24" s="56" t="s">
        <v>319</v>
      </c>
      <c r="F24" s="57">
        <v>45979</v>
      </c>
      <c r="G24" s="59">
        <v>-50734.53</v>
      </c>
      <c r="H24" s="56" t="s">
        <v>19</v>
      </c>
      <c r="J24" s="42">
        <v>45905</v>
      </c>
      <c r="K24" s="43" t="s">
        <v>301</v>
      </c>
      <c r="L24" s="43" t="s">
        <v>309</v>
      </c>
      <c r="M24" s="178">
        <v>124189.23</v>
      </c>
      <c r="N24" s="43" t="s">
        <v>212</v>
      </c>
    </row>
    <row r="25" spans="1:14" ht="14.4">
      <c r="A25" s="120">
        <v>45813</v>
      </c>
      <c r="B25" s="84">
        <v>8026.5902448000006</v>
      </c>
      <c r="C25" s="121" t="s">
        <v>598</v>
      </c>
      <c r="D25" s="119"/>
      <c r="E25" s="56" t="s">
        <v>319</v>
      </c>
      <c r="F25" s="57">
        <v>45979</v>
      </c>
      <c r="G25" s="59">
        <v>-477139.41</v>
      </c>
      <c r="H25" s="56" t="s">
        <v>19</v>
      </c>
      <c r="J25" s="42">
        <v>45933</v>
      </c>
      <c r="K25" s="43" t="s">
        <v>301</v>
      </c>
      <c r="L25" s="43" t="s">
        <v>309</v>
      </c>
      <c r="M25" s="178">
        <v>339060.54</v>
      </c>
      <c r="N25" s="43" t="s">
        <v>206</v>
      </c>
    </row>
    <row r="26" spans="1:14" ht="14.4">
      <c r="A26" s="120">
        <v>45813</v>
      </c>
      <c r="B26" s="84">
        <v>2293.6640200000002</v>
      </c>
      <c r="C26" s="121" t="s">
        <v>149</v>
      </c>
      <c r="D26" s="119"/>
      <c r="E26" s="56" t="s">
        <v>319</v>
      </c>
      <c r="F26" s="57">
        <v>46007</v>
      </c>
      <c r="G26" s="59">
        <v>-66620.789999999994</v>
      </c>
      <c r="H26" s="56" t="s">
        <v>320</v>
      </c>
    </row>
    <row r="27" spans="1:14" ht="14.4">
      <c r="A27" s="120">
        <v>45813</v>
      </c>
      <c r="B27" s="84">
        <v>3670.0624320000002</v>
      </c>
      <c r="C27" s="121" t="s">
        <v>149</v>
      </c>
      <c r="D27" s="119"/>
      <c r="E27" s="56" t="s">
        <v>319</v>
      </c>
      <c r="F27" s="57">
        <v>46007</v>
      </c>
      <c r="G27" s="59">
        <v>-296024</v>
      </c>
      <c r="H27" s="56" t="s">
        <v>305</v>
      </c>
      <c r="J27" s="42">
        <v>45993</v>
      </c>
      <c r="K27" s="43" t="s">
        <v>301</v>
      </c>
      <c r="L27" s="43" t="s">
        <v>309</v>
      </c>
      <c r="M27" s="178">
        <v>360109.3</v>
      </c>
      <c r="N27" s="43" t="s">
        <v>320</v>
      </c>
    </row>
    <row r="28" spans="1:14" ht="14.4">
      <c r="A28" s="120">
        <v>45813</v>
      </c>
      <c r="B28" s="84">
        <v>16052.313576999999</v>
      </c>
      <c r="C28" s="121" t="s">
        <v>149</v>
      </c>
      <c r="D28" s="119"/>
      <c r="E28" s="56" t="s">
        <v>319</v>
      </c>
      <c r="F28" s="57">
        <v>46007</v>
      </c>
      <c r="G28" s="59">
        <v>-30866.77</v>
      </c>
      <c r="H28" s="56" t="s">
        <v>320</v>
      </c>
      <c r="J28" s="42">
        <v>46006</v>
      </c>
      <c r="K28" s="43" t="s">
        <v>301</v>
      </c>
      <c r="L28" s="43" t="s">
        <v>309</v>
      </c>
      <c r="M28" s="178">
        <v>14903.5</v>
      </c>
      <c r="N28" s="43" t="s">
        <v>535</v>
      </c>
    </row>
    <row r="29" spans="1:14" ht="14.4">
      <c r="A29" s="120">
        <v>45813</v>
      </c>
      <c r="B29" s="84">
        <v>4587.3280400000003</v>
      </c>
      <c r="C29" s="121" t="s">
        <v>149</v>
      </c>
      <c r="D29" s="119"/>
      <c r="E29" s="56" t="s">
        <v>319</v>
      </c>
      <c r="F29" s="57">
        <v>46030</v>
      </c>
      <c r="G29" s="59">
        <v>-30687.62</v>
      </c>
      <c r="H29" s="56" t="s">
        <v>305</v>
      </c>
      <c r="J29" s="42"/>
      <c r="K29" s="43"/>
      <c r="L29" s="43"/>
      <c r="M29" s="178"/>
      <c r="N29" s="43"/>
    </row>
    <row r="30" spans="1:14" ht="14.4">
      <c r="A30" s="120">
        <v>45813</v>
      </c>
      <c r="B30" s="84">
        <v>7340.1248640000003</v>
      </c>
      <c r="C30" s="121" t="s">
        <v>149</v>
      </c>
      <c r="D30" s="119"/>
      <c r="E30" s="169" t="s">
        <v>319</v>
      </c>
      <c r="F30" s="170">
        <v>46070</v>
      </c>
      <c r="G30" s="174">
        <v>-30424.05</v>
      </c>
      <c r="H30" s="56" t="s">
        <v>305</v>
      </c>
      <c r="I30" s="171"/>
      <c r="J30" s="172">
        <v>46069</v>
      </c>
      <c r="K30" s="173" t="s">
        <v>301</v>
      </c>
      <c r="L30" s="173" t="s">
        <v>309</v>
      </c>
      <c r="M30" s="179">
        <v>30424.05</v>
      </c>
      <c r="N30" s="173" t="s">
        <v>541</v>
      </c>
    </row>
    <row r="31" spans="1:14" ht="14.4">
      <c r="A31" s="120">
        <v>45813</v>
      </c>
      <c r="B31" s="84">
        <v>15921.620115</v>
      </c>
      <c r="C31" s="121" t="s">
        <v>149</v>
      </c>
      <c r="D31" s="119"/>
      <c r="E31" s="169" t="s">
        <v>319</v>
      </c>
      <c r="F31" s="170">
        <v>46070</v>
      </c>
      <c r="G31" s="174">
        <v>-971.67</v>
      </c>
      <c r="H31" s="56" t="s">
        <v>305</v>
      </c>
      <c r="I31" s="171"/>
      <c r="J31" s="172">
        <v>46069</v>
      </c>
      <c r="K31" s="173" t="s">
        <v>301</v>
      </c>
      <c r="L31" s="173" t="s">
        <v>309</v>
      </c>
      <c r="M31" s="179">
        <v>971.67</v>
      </c>
      <c r="N31" s="173" t="s">
        <v>542</v>
      </c>
    </row>
    <row r="32" spans="1:14" ht="14.4">
      <c r="A32" s="120">
        <v>45813</v>
      </c>
      <c r="B32" s="84">
        <v>15921.620115</v>
      </c>
      <c r="C32" s="121" t="s">
        <v>149</v>
      </c>
      <c r="D32" s="119"/>
      <c r="E32" s="161" t="s">
        <v>319</v>
      </c>
      <c r="F32" s="162">
        <v>45832</v>
      </c>
      <c r="G32" s="163">
        <v>-112111.95</v>
      </c>
      <c r="H32" s="56" t="s">
        <v>305</v>
      </c>
    </row>
    <row r="33" spans="1:8" ht="14.4">
      <c r="A33" s="120">
        <v>45813</v>
      </c>
      <c r="B33" s="84">
        <v>57739.158243999998</v>
      </c>
      <c r="C33" s="121" t="s">
        <v>149</v>
      </c>
      <c r="D33" s="119"/>
      <c r="E33" s="161" t="s">
        <v>319</v>
      </c>
      <c r="F33" s="162">
        <v>45832</v>
      </c>
      <c r="G33" s="163">
        <v>112111.95</v>
      </c>
      <c r="H33" s="56" t="s">
        <v>305</v>
      </c>
    </row>
    <row r="34" spans="1:8" ht="14.4">
      <c r="A34" s="120">
        <v>45813</v>
      </c>
      <c r="B34" s="84">
        <v>4339.1605499999996</v>
      </c>
      <c r="C34" s="121" t="s">
        <v>149</v>
      </c>
      <c r="D34" s="119"/>
      <c r="E34" s="161" t="s">
        <v>319</v>
      </c>
      <c r="F34" s="162">
        <v>45832</v>
      </c>
      <c r="G34" s="163">
        <v>159186.29</v>
      </c>
      <c r="H34" s="56" t="s">
        <v>305</v>
      </c>
    </row>
    <row r="35" spans="1:8" ht="14.4">
      <c r="A35" s="120">
        <v>45813</v>
      </c>
      <c r="B35" s="84">
        <v>3551.353118</v>
      </c>
      <c r="C35" s="121" t="s">
        <v>149</v>
      </c>
      <c r="D35" s="119"/>
      <c r="E35" s="161" t="s">
        <v>319</v>
      </c>
      <c r="F35" s="162">
        <v>45832</v>
      </c>
      <c r="G35" s="163">
        <v>-159186.29</v>
      </c>
      <c r="H35" s="56" t="s">
        <v>305</v>
      </c>
    </row>
    <row r="36" spans="1:8" ht="14.4">
      <c r="A36" s="120">
        <v>45813</v>
      </c>
      <c r="B36" s="84">
        <v>341000</v>
      </c>
      <c r="C36" s="121" t="s">
        <v>264</v>
      </c>
      <c r="D36" s="119"/>
      <c r="E36" s="161" t="s">
        <v>319</v>
      </c>
      <c r="F36" s="162">
        <v>45890</v>
      </c>
      <c r="G36" s="163">
        <v>179293.83</v>
      </c>
      <c r="H36" s="56" t="s">
        <v>305</v>
      </c>
    </row>
    <row r="37" spans="1:8" ht="14.4">
      <c r="A37" s="120">
        <v>45821</v>
      </c>
      <c r="B37" s="84">
        <v>4358.9368009999998</v>
      </c>
      <c r="C37" s="121" t="s">
        <v>32</v>
      </c>
      <c r="D37" s="119"/>
      <c r="E37" s="161" t="s">
        <v>319</v>
      </c>
      <c r="F37" s="162">
        <v>45890</v>
      </c>
      <c r="G37" s="163">
        <v>-179293.83</v>
      </c>
      <c r="H37" s="56" t="s">
        <v>305</v>
      </c>
    </row>
    <row r="38" spans="1:8" ht="14.4">
      <c r="A38" s="120">
        <v>45822</v>
      </c>
      <c r="B38" s="84">
        <v>10780</v>
      </c>
      <c r="C38" s="121" t="s">
        <v>32</v>
      </c>
      <c r="D38" s="119"/>
      <c r="E38" s="161" t="s">
        <v>319</v>
      </c>
      <c r="F38" s="162">
        <v>45890</v>
      </c>
      <c r="G38" s="163">
        <v>475086.94</v>
      </c>
      <c r="H38" s="56" t="s">
        <v>305</v>
      </c>
    </row>
    <row r="39" spans="1:8" ht="14.4">
      <c r="A39" s="120">
        <v>45822</v>
      </c>
      <c r="B39" s="84">
        <v>6468</v>
      </c>
      <c r="C39" s="121" t="s">
        <v>32</v>
      </c>
      <c r="D39" s="119"/>
      <c r="E39" s="161" t="s">
        <v>319</v>
      </c>
      <c r="F39" s="162">
        <v>45890</v>
      </c>
      <c r="G39" s="163">
        <v>-475086.94</v>
      </c>
      <c r="H39" s="56" t="s">
        <v>305</v>
      </c>
    </row>
    <row r="40" spans="1:8" ht="14.4">
      <c r="A40" s="120">
        <v>45822</v>
      </c>
      <c r="B40" s="84">
        <v>4208.8858150000005</v>
      </c>
      <c r="C40" s="121" t="s">
        <v>32</v>
      </c>
      <c r="D40" s="119"/>
      <c r="E40" s="161" t="s">
        <v>319</v>
      </c>
      <c r="F40" s="162">
        <v>45908</v>
      </c>
      <c r="G40" s="163">
        <v>495157.4</v>
      </c>
      <c r="H40" s="56" t="s">
        <v>305</v>
      </c>
    </row>
    <row r="41" spans="1:8" ht="14.4">
      <c r="A41" s="120">
        <v>45822</v>
      </c>
      <c r="B41" s="84">
        <v>8897.8787199999988</v>
      </c>
      <c r="C41" s="121" t="s">
        <v>32</v>
      </c>
      <c r="D41" s="119"/>
      <c r="E41" s="161" t="s">
        <v>319</v>
      </c>
      <c r="F41" s="162">
        <v>45908</v>
      </c>
      <c r="G41" s="163">
        <v>-495157.4</v>
      </c>
      <c r="H41" s="56" t="s">
        <v>305</v>
      </c>
    </row>
    <row r="42" spans="1:8" ht="14.4">
      <c r="A42" s="120">
        <v>45822</v>
      </c>
      <c r="B42" s="84">
        <v>31843.240229999999</v>
      </c>
      <c r="C42" s="121" t="s">
        <v>32</v>
      </c>
      <c r="D42" s="119"/>
      <c r="E42" s="161" t="s">
        <v>319</v>
      </c>
      <c r="F42" s="162">
        <v>45908</v>
      </c>
      <c r="G42" s="163">
        <v>107117.71</v>
      </c>
      <c r="H42" s="56" t="s">
        <v>305</v>
      </c>
    </row>
    <row r="43" spans="1:8" ht="14.4">
      <c r="A43" s="120">
        <v>45822</v>
      </c>
      <c r="B43" s="84">
        <v>14560.98336</v>
      </c>
      <c r="C43" s="121" t="s">
        <v>32</v>
      </c>
      <c r="D43" s="119"/>
      <c r="E43" s="161" t="s">
        <v>319</v>
      </c>
      <c r="F43" s="162">
        <v>45908</v>
      </c>
      <c r="G43" s="163">
        <v>-107117.71</v>
      </c>
      <c r="H43" s="56" t="s">
        <v>305</v>
      </c>
    </row>
    <row r="44" spans="1:8" ht="14.4">
      <c r="A44" s="120">
        <v>45822</v>
      </c>
      <c r="B44" s="84">
        <v>145291.48821587319</v>
      </c>
      <c r="C44" s="121" t="s">
        <v>32</v>
      </c>
      <c r="D44" s="119"/>
      <c r="E44" s="161" t="s">
        <v>319</v>
      </c>
      <c r="F44" s="162">
        <v>45912</v>
      </c>
      <c r="G44" s="163">
        <v>124189.23</v>
      </c>
      <c r="H44" s="56" t="s">
        <v>305</v>
      </c>
    </row>
    <row r="45" spans="1:8" ht="14.4">
      <c r="A45" s="120">
        <v>45833</v>
      </c>
      <c r="B45" s="84">
        <v>4189.5389999999998</v>
      </c>
      <c r="C45" s="121" t="s">
        <v>166</v>
      </c>
      <c r="D45" s="119"/>
      <c r="E45" s="161" t="s">
        <v>319</v>
      </c>
      <c r="F45" s="162">
        <v>45912</v>
      </c>
      <c r="G45" s="163">
        <v>-124189.23</v>
      </c>
      <c r="H45" s="56" t="s">
        <v>305</v>
      </c>
    </row>
    <row r="46" spans="1:8" ht="14.4">
      <c r="A46" s="120">
        <v>45833</v>
      </c>
      <c r="B46" s="84">
        <v>90483.042400000006</v>
      </c>
      <c r="C46" s="121" t="s">
        <v>166</v>
      </c>
      <c r="D46" s="119"/>
      <c r="E46" s="161" t="s">
        <v>319</v>
      </c>
      <c r="F46" s="162">
        <v>45938</v>
      </c>
      <c r="G46" s="163">
        <v>339060.54</v>
      </c>
      <c r="H46" s="56" t="s">
        <v>305</v>
      </c>
    </row>
    <row r="47" spans="1:8" ht="14.4">
      <c r="A47" s="120">
        <v>45833</v>
      </c>
      <c r="B47" s="84">
        <v>13572.506359999999</v>
      </c>
      <c r="C47" s="121" t="s">
        <v>166</v>
      </c>
      <c r="D47" s="119"/>
      <c r="E47" s="161" t="s">
        <v>319</v>
      </c>
      <c r="F47" s="162">
        <v>45938</v>
      </c>
      <c r="G47" s="163">
        <v>-339060.54</v>
      </c>
      <c r="H47" s="56" t="s">
        <v>305</v>
      </c>
    </row>
    <row r="48" spans="1:8" ht="14.4">
      <c r="A48" s="120">
        <v>45833</v>
      </c>
      <c r="B48" s="84">
        <v>46096.027156000004</v>
      </c>
      <c r="C48" s="121" t="s">
        <v>166</v>
      </c>
      <c r="D48" s="119"/>
      <c r="E48" s="161" t="s">
        <v>319</v>
      </c>
      <c r="F48" s="162">
        <v>46007</v>
      </c>
      <c r="G48" s="163">
        <v>-14531.11</v>
      </c>
      <c r="H48" s="56" t="s">
        <v>305</v>
      </c>
    </row>
    <row r="49" spans="1:8" ht="14.4">
      <c r="A49" s="120">
        <v>45833</v>
      </c>
      <c r="B49" s="84">
        <v>3236.5088314000004</v>
      </c>
      <c r="C49" s="121" t="s">
        <v>166</v>
      </c>
      <c r="D49" s="119"/>
      <c r="E49" s="161" t="s">
        <v>319</v>
      </c>
      <c r="F49" s="162">
        <v>46011</v>
      </c>
      <c r="G49" s="163">
        <v>-14903.5</v>
      </c>
      <c r="H49" s="56" t="s">
        <v>305</v>
      </c>
    </row>
    <row r="50" spans="1:8" ht="14.4">
      <c r="A50" s="120">
        <v>45833</v>
      </c>
      <c r="B50" s="84">
        <v>21716.210176000001</v>
      </c>
      <c r="C50" s="121" t="s">
        <v>166</v>
      </c>
      <c r="D50" s="119"/>
      <c r="E50" s="161" t="s">
        <v>319</v>
      </c>
      <c r="F50" s="162">
        <v>46030</v>
      </c>
      <c r="G50" s="163">
        <v>14531.11</v>
      </c>
      <c r="H50" s="56" t="s">
        <v>305</v>
      </c>
    </row>
    <row r="51" spans="1:8" ht="14.4">
      <c r="A51" s="120">
        <v>45861</v>
      </c>
      <c r="B51" s="84">
        <v>75724.422912000009</v>
      </c>
      <c r="C51" s="121" t="s">
        <v>19</v>
      </c>
      <c r="D51" s="119"/>
      <c r="E51" s="161" t="s">
        <v>319</v>
      </c>
      <c r="F51" s="162">
        <v>46030</v>
      </c>
      <c r="G51" s="163">
        <v>14903.5</v>
      </c>
      <c r="H51" s="56" t="s">
        <v>305</v>
      </c>
    </row>
    <row r="52" spans="1:8" ht="14.4">
      <c r="A52" s="120">
        <v>45861</v>
      </c>
      <c r="B52" s="84">
        <v>117900.32934400001</v>
      </c>
      <c r="C52" s="121" t="s">
        <v>19</v>
      </c>
      <c r="D52" s="119"/>
      <c r="E52" s="161" t="s">
        <v>319</v>
      </c>
      <c r="F52" s="162">
        <v>46030</v>
      </c>
      <c r="G52" s="163">
        <v>14531.11</v>
      </c>
      <c r="H52" s="56" t="s">
        <v>305</v>
      </c>
    </row>
    <row r="53" spans="1:8" ht="14.4">
      <c r="A53" s="120">
        <v>45861</v>
      </c>
      <c r="B53" s="84">
        <v>235800.65868799994</v>
      </c>
      <c r="C53" s="121" t="s">
        <v>19</v>
      </c>
      <c r="D53" s="119"/>
      <c r="E53" s="161" t="s">
        <v>319</v>
      </c>
      <c r="F53" s="162">
        <v>46030</v>
      </c>
      <c r="G53" s="163">
        <v>-14531.11</v>
      </c>
      <c r="H53" s="56" t="s">
        <v>305</v>
      </c>
    </row>
    <row r="54" spans="1:8" ht="14.4">
      <c r="A54" s="120">
        <v>45861</v>
      </c>
      <c r="B54" s="86">
        <v>45661.527897599997</v>
      </c>
      <c r="C54" s="121" t="s">
        <v>19</v>
      </c>
      <c r="D54" s="119"/>
      <c r="E54" s="161" t="s">
        <v>319</v>
      </c>
      <c r="F54" s="162">
        <v>45946</v>
      </c>
      <c r="G54" s="163">
        <v>-2932.62</v>
      </c>
      <c r="H54" s="56" t="s">
        <v>305</v>
      </c>
    </row>
    <row r="55" spans="1:8" ht="14.4">
      <c r="A55" s="120">
        <v>45891</v>
      </c>
      <c r="B55" s="84">
        <v>37895.481252099999</v>
      </c>
      <c r="C55" s="121" t="s">
        <v>198</v>
      </c>
      <c r="D55" s="119"/>
      <c r="E55" s="161" t="s">
        <v>319</v>
      </c>
      <c r="F55" s="162">
        <v>45946</v>
      </c>
      <c r="G55" s="163">
        <v>2932.62</v>
      </c>
      <c r="H55" s="56" t="s">
        <v>323</v>
      </c>
    </row>
    <row r="56" spans="1:8">
      <c r="A56" s="120">
        <v>45891</v>
      </c>
      <c r="B56" s="84">
        <v>7093.6763939000002</v>
      </c>
      <c r="C56" s="121" t="s">
        <v>198</v>
      </c>
      <c r="D56" s="119"/>
      <c r="E56" s="79"/>
      <c r="F56" s="79"/>
      <c r="G56" s="79"/>
      <c r="H56" s="79"/>
    </row>
    <row r="57" spans="1:8">
      <c r="A57" s="120">
        <v>45891</v>
      </c>
      <c r="B57" s="84">
        <v>15934.69268</v>
      </c>
      <c r="C57" s="121" t="s">
        <v>198</v>
      </c>
      <c r="D57" s="119"/>
      <c r="E57" s="79"/>
      <c r="F57" s="79"/>
      <c r="G57" s="79"/>
      <c r="H57" s="79"/>
    </row>
    <row r="58" spans="1:8">
      <c r="A58" s="120">
        <v>45891</v>
      </c>
      <c r="B58" s="84">
        <v>295083.42</v>
      </c>
      <c r="C58" s="121" t="s">
        <v>198</v>
      </c>
      <c r="D58" s="119"/>
      <c r="E58" s="79"/>
      <c r="F58" s="79"/>
      <c r="G58" s="79"/>
      <c r="H58" s="79"/>
    </row>
    <row r="59" spans="1:8">
      <c r="A59" s="120">
        <v>45891</v>
      </c>
      <c r="B59" s="84">
        <v>93274.562960799987</v>
      </c>
      <c r="C59" s="121" t="s">
        <v>198</v>
      </c>
      <c r="D59" s="119"/>
      <c r="E59" s="79"/>
      <c r="F59" s="79"/>
      <c r="G59" s="79"/>
      <c r="H59" s="79"/>
    </row>
    <row r="60" spans="1:8">
      <c r="A60" s="120">
        <v>45891</v>
      </c>
      <c r="B60" s="84">
        <v>12711.761192400001</v>
      </c>
      <c r="C60" s="121" t="s">
        <v>198</v>
      </c>
      <c r="D60" s="119"/>
      <c r="E60" s="79"/>
      <c r="F60" s="79"/>
      <c r="G60" s="79"/>
      <c r="H60" s="79"/>
    </row>
    <row r="61" spans="1:8">
      <c r="A61" s="120">
        <v>45891</v>
      </c>
      <c r="B61" s="84">
        <v>10400.675603199999</v>
      </c>
      <c r="C61" s="121" t="s">
        <v>198</v>
      </c>
      <c r="D61" s="119"/>
      <c r="E61" s="79"/>
      <c r="F61" s="79"/>
      <c r="G61" s="79"/>
      <c r="H61" s="79"/>
    </row>
    <row r="62" spans="1:8">
      <c r="A62" s="120">
        <v>45891</v>
      </c>
      <c r="B62" s="84">
        <v>22763.132399999999</v>
      </c>
      <c r="C62" s="121" t="s">
        <v>198</v>
      </c>
      <c r="D62" s="119"/>
      <c r="E62" s="79"/>
      <c r="F62" s="79"/>
      <c r="G62" s="79"/>
      <c r="H62" s="79"/>
    </row>
    <row r="63" spans="1:8">
      <c r="A63" s="120">
        <v>45896</v>
      </c>
      <c r="B63" s="84">
        <v>27271.162916400001</v>
      </c>
      <c r="C63" s="121" t="s">
        <v>209</v>
      </c>
      <c r="D63" s="119"/>
      <c r="E63" s="79"/>
      <c r="F63" s="79"/>
      <c r="G63" s="79"/>
      <c r="H63" s="79"/>
    </row>
    <row r="64" spans="1:8">
      <c r="A64" s="120">
        <v>45896</v>
      </c>
      <c r="B64" s="84">
        <v>79846.545748400007</v>
      </c>
      <c r="C64" s="121" t="s">
        <v>209</v>
      </c>
      <c r="D64" s="119"/>
      <c r="E64" s="79"/>
      <c r="F64" s="79"/>
      <c r="G64" s="79"/>
      <c r="H64" s="79"/>
    </row>
    <row r="65" spans="1:8">
      <c r="A65" s="120">
        <v>45905</v>
      </c>
      <c r="B65" s="84">
        <v>54987.704565200002</v>
      </c>
      <c r="C65" s="121" t="s">
        <v>212</v>
      </c>
      <c r="D65" s="119"/>
      <c r="E65" s="79"/>
      <c r="F65" s="79"/>
      <c r="G65" s="79"/>
      <c r="H65" s="79"/>
    </row>
    <row r="66" spans="1:8">
      <c r="A66" s="120">
        <v>45905</v>
      </c>
      <c r="B66" s="84">
        <v>25495.508287999997</v>
      </c>
      <c r="C66" s="121" t="s">
        <v>212</v>
      </c>
      <c r="D66" s="119"/>
      <c r="E66" s="79"/>
      <c r="F66" s="79"/>
      <c r="G66" s="79"/>
      <c r="H66" s="79"/>
    </row>
    <row r="67" spans="1:8">
      <c r="A67" s="120">
        <v>45905</v>
      </c>
      <c r="B67" s="84">
        <v>43706.014207999993</v>
      </c>
      <c r="C67" s="121" t="s">
        <v>212</v>
      </c>
      <c r="D67" s="119"/>
      <c r="E67" s="79"/>
      <c r="F67" s="79"/>
      <c r="G67" s="79"/>
      <c r="H67" s="79"/>
    </row>
    <row r="68" spans="1:8">
      <c r="A68" s="120">
        <v>45932</v>
      </c>
      <c r="B68" s="84">
        <v>133225.51016200002</v>
      </c>
      <c r="C68" s="121" t="s">
        <v>206</v>
      </c>
      <c r="D68" s="119"/>
      <c r="E68" s="79"/>
      <c r="F68" s="79"/>
      <c r="G68" s="79"/>
      <c r="H68" s="79"/>
    </row>
    <row r="69" spans="1:8">
      <c r="A69" s="120">
        <v>45932</v>
      </c>
      <c r="B69" s="84">
        <v>1734.6395683999999</v>
      </c>
      <c r="C69" s="121" t="s">
        <v>206</v>
      </c>
      <c r="D69" s="119"/>
      <c r="E69" s="79"/>
      <c r="F69" s="79"/>
      <c r="G69" s="79"/>
      <c r="H69" s="79"/>
    </row>
    <row r="70" spans="1:8">
      <c r="A70" s="120">
        <v>45932</v>
      </c>
      <c r="B70" s="84">
        <v>7965.1257376000003</v>
      </c>
      <c r="C70" s="121" t="s">
        <v>206</v>
      </c>
      <c r="D70" s="119"/>
      <c r="E70" s="79"/>
      <c r="F70" s="79"/>
      <c r="G70" s="79"/>
      <c r="H70" s="79"/>
    </row>
    <row r="71" spans="1:8">
      <c r="A71" s="120">
        <v>45932</v>
      </c>
      <c r="B71" s="84">
        <v>2147.3588231999997</v>
      </c>
      <c r="C71" s="121" t="s">
        <v>206</v>
      </c>
      <c r="D71" s="119"/>
      <c r="E71" s="79"/>
      <c r="F71" s="79"/>
      <c r="G71" s="79"/>
      <c r="H71" s="79"/>
    </row>
    <row r="72" spans="1:8">
      <c r="A72" s="120">
        <v>45932</v>
      </c>
      <c r="B72" s="84">
        <v>1757.1686216999999</v>
      </c>
      <c r="C72" s="121" t="s">
        <v>206</v>
      </c>
      <c r="D72" s="119"/>
      <c r="E72" s="79"/>
      <c r="F72" s="79"/>
      <c r="G72" s="79"/>
      <c r="H72" s="79"/>
    </row>
    <row r="73" spans="1:8">
      <c r="A73" s="120">
        <v>45932</v>
      </c>
      <c r="B73" s="84">
        <v>761.12725040000009</v>
      </c>
      <c r="C73" s="121" t="s">
        <v>206</v>
      </c>
      <c r="D73" s="119"/>
      <c r="E73" s="79"/>
      <c r="F73" s="79"/>
      <c r="G73" s="79"/>
      <c r="H73" s="79"/>
    </row>
    <row r="74" spans="1:8">
      <c r="A74" s="120">
        <v>45932</v>
      </c>
      <c r="B74" s="84">
        <v>35334.903960000003</v>
      </c>
      <c r="C74" s="121" t="s">
        <v>206</v>
      </c>
      <c r="D74" s="119"/>
    </row>
    <row r="75" spans="1:8">
      <c r="A75" s="120">
        <v>45932</v>
      </c>
      <c r="B75" s="84">
        <v>2315.8869100000002</v>
      </c>
      <c r="C75" s="121" t="s">
        <v>206</v>
      </c>
      <c r="D75" s="119"/>
    </row>
    <row r="76" spans="1:8">
      <c r="A76" s="120">
        <v>45932</v>
      </c>
      <c r="B76" s="84">
        <v>8103.3538984000006</v>
      </c>
      <c r="C76" s="121" t="s">
        <v>206</v>
      </c>
      <c r="D76" s="119"/>
    </row>
    <row r="77" spans="1:8">
      <c r="A77" s="120">
        <v>45932</v>
      </c>
      <c r="B77" s="84">
        <v>3704.6190560000005</v>
      </c>
      <c r="C77" s="121" t="s">
        <v>206</v>
      </c>
      <c r="D77" s="119"/>
    </row>
    <row r="78" spans="1:8">
      <c r="A78" s="120">
        <v>45932</v>
      </c>
      <c r="B78" s="84">
        <v>8103.3538984000006</v>
      </c>
      <c r="C78" s="121" t="s">
        <v>206</v>
      </c>
      <c r="D78" s="119"/>
    </row>
    <row r="79" spans="1:8">
      <c r="A79" s="120">
        <v>45932</v>
      </c>
      <c r="B79" s="84">
        <v>3704.6190560000005</v>
      </c>
      <c r="C79" s="121" t="s">
        <v>206</v>
      </c>
      <c r="D79" s="119"/>
    </row>
    <row r="80" spans="1:8">
      <c r="A80" s="120">
        <v>45932</v>
      </c>
      <c r="B80" s="87">
        <v>125885.4033524</v>
      </c>
      <c r="C80" s="121" t="s">
        <v>206</v>
      </c>
      <c r="D80" s="119"/>
    </row>
    <row r="81" spans="1:4">
      <c r="A81" s="120">
        <v>45932</v>
      </c>
      <c r="B81" s="84">
        <v>4317.4713722000006</v>
      </c>
      <c r="C81" s="121" t="s">
        <v>206</v>
      </c>
      <c r="D81" s="119"/>
    </row>
    <row r="82" spans="1:4">
      <c r="A82" s="120">
        <v>45933</v>
      </c>
      <c r="B82" s="84">
        <v>324591.962</v>
      </c>
      <c r="C82" s="121" t="s">
        <v>225</v>
      </c>
      <c r="D82" s="119"/>
    </row>
    <row r="83" spans="1:4">
      <c r="A83" s="120">
        <v>45993</v>
      </c>
      <c r="B83" s="84">
        <v>251990.62622040001</v>
      </c>
      <c r="C83" s="121" t="s">
        <v>196</v>
      </c>
      <c r="D83" s="119"/>
    </row>
    <row r="84" spans="1:4">
      <c r="A84" s="120">
        <v>45993</v>
      </c>
      <c r="B84" s="84">
        <v>15170.1206</v>
      </c>
      <c r="C84" s="121" t="s">
        <v>196</v>
      </c>
      <c r="D84" s="119"/>
    </row>
    <row r="85" spans="1:4">
      <c r="A85" s="120">
        <v>45993</v>
      </c>
      <c r="B85" s="84">
        <v>30249.769499999999</v>
      </c>
      <c r="C85" s="121" t="s">
        <v>196</v>
      </c>
      <c r="D85" s="119"/>
    </row>
    <row r="86" spans="1:4">
      <c r="A86" s="120">
        <v>45993</v>
      </c>
      <c r="B86" s="84">
        <v>30249.769499999999</v>
      </c>
      <c r="C86" s="121" t="s">
        <v>196</v>
      </c>
      <c r="D86" s="119"/>
    </row>
    <row r="87" spans="1:4">
      <c r="A87" s="120">
        <v>45993</v>
      </c>
      <c r="B87" s="84">
        <v>2343.0521063000001</v>
      </c>
      <c r="C87" s="121" t="s">
        <v>196</v>
      </c>
      <c r="D87" s="119"/>
    </row>
    <row r="88" spans="1:4">
      <c r="A88" s="120">
        <v>45993</v>
      </c>
      <c r="B88" s="84">
        <v>971.79820529999995</v>
      </c>
      <c r="C88" s="121" t="s">
        <v>196</v>
      </c>
      <c r="D88" s="119"/>
    </row>
    <row r="89" spans="1:4">
      <c r="A89" s="120">
        <v>45993</v>
      </c>
      <c r="B89" s="84">
        <v>29134.166977599998</v>
      </c>
      <c r="C89" s="121" t="s">
        <v>196</v>
      </c>
      <c r="D89" s="119"/>
    </row>
    <row r="90" spans="1:4">
      <c r="A90" s="120">
        <v>46006</v>
      </c>
      <c r="B90" s="84">
        <v>11262.269532099999</v>
      </c>
      <c r="C90" s="121" t="s">
        <v>202</v>
      </c>
      <c r="D90" s="119"/>
    </row>
    <row r="91" spans="1:4">
      <c r="A91" s="120">
        <v>46006</v>
      </c>
      <c r="B91" s="84">
        <v>3641.2289440000004</v>
      </c>
      <c r="C91" s="121" t="s">
        <v>202</v>
      </c>
      <c r="D91" s="119"/>
    </row>
    <row r="92" spans="1:4">
      <c r="A92" s="120">
        <v>46067</v>
      </c>
      <c r="B92" s="84">
        <v>30424.049000000003</v>
      </c>
      <c r="C92" s="121" t="s">
        <v>247</v>
      </c>
      <c r="D92" s="119"/>
    </row>
    <row r="93" spans="1:4">
      <c r="A93" s="120">
        <v>46067</v>
      </c>
      <c r="B93" s="84">
        <v>971.66756520000001</v>
      </c>
      <c r="C93" s="121" t="s">
        <v>249</v>
      </c>
      <c r="D93" s="119"/>
    </row>
  </sheetData>
  <autoFilter ref="A3:C93" xr:uid="{D36EE859-0174-49FC-8922-3527C65175C5}"/>
  <mergeCells count="3">
    <mergeCell ref="A2:C2"/>
    <mergeCell ref="E2:H2"/>
    <mergeCell ref="J2:N2"/>
  </mergeCells>
  <conditionalFormatting sqref="H1:H1048576">
    <cfRule type="duplicateValues" dxfId="39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2C94-1FAD-43CE-A322-E7AA893CA968}">
  <dimension ref="A1:J186"/>
  <sheetViews>
    <sheetView workbookViewId="0">
      <selection activeCell="J1" sqref="J1"/>
    </sheetView>
  </sheetViews>
  <sheetFormatPr defaultRowHeight="14.4"/>
  <cols>
    <col min="1" max="1" width="5.88671875" bestFit="1" customWidth="1"/>
    <col min="2" max="2" width="53.6640625" bestFit="1" customWidth="1"/>
    <col min="3" max="3" width="13.21875" bestFit="1" customWidth="1"/>
    <col min="4" max="4" width="21.44140625" bestFit="1" customWidth="1"/>
    <col min="5" max="5" width="10.109375" bestFit="1" customWidth="1"/>
    <col min="6" max="6" width="15.5546875" bestFit="1" customWidth="1"/>
    <col min="7" max="7" width="8.6640625" bestFit="1" customWidth="1"/>
    <col min="8" max="8" width="12.21875" bestFit="1" customWidth="1"/>
    <col min="9" max="9" width="4.21875" bestFit="1" customWidth="1"/>
    <col min="10" max="10" width="12.21875" bestFit="1" customWidth="1"/>
  </cols>
  <sheetData>
    <row r="1" spans="1:10">
      <c r="J1" s="61">
        <f>SUBTOTAL(9,J3:J186)</f>
        <v>298205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8" t="s">
        <v>6</v>
      </c>
      <c r="H2" s="2" t="s">
        <v>7</v>
      </c>
      <c r="I2" s="1" t="s">
        <v>8</v>
      </c>
      <c r="J2" s="1" t="s">
        <v>9</v>
      </c>
    </row>
    <row r="3" spans="1:10">
      <c r="A3" s="6">
        <v>1</v>
      </c>
      <c r="B3" s="6" t="s">
        <v>16</v>
      </c>
      <c r="C3" s="7">
        <v>960.64</v>
      </c>
      <c r="D3" s="6" t="s">
        <v>17</v>
      </c>
      <c r="E3" s="8">
        <v>45698</v>
      </c>
      <c r="F3" s="6" t="s">
        <v>18</v>
      </c>
      <c r="G3" s="49">
        <v>87.585800000000006</v>
      </c>
      <c r="H3" s="9">
        <v>84138.422912000009</v>
      </c>
      <c r="I3" s="10">
        <v>0.1</v>
      </c>
      <c r="J3" s="11">
        <f>ROUND(H3*I3,0)</f>
        <v>8414</v>
      </c>
    </row>
    <row r="4" spans="1:10">
      <c r="A4" s="6">
        <v>2</v>
      </c>
      <c r="B4" s="6" t="s">
        <v>20</v>
      </c>
      <c r="C4" s="7">
        <v>132</v>
      </c>
      <c r="D4" s="6" t="s">
        <v>17</v>
      </c>
      <c r="E4" s="8">
        <v>45698</v>
      </c>
      <c r="F4" s="6" t="s">
        <v>21</v>
      </c>
      <c r="G4" s="49">
        <v>87.585800000000006</v>
      </c>
      <c r="H4" s="9">
        <v>11561.3256</v>
      </c>
      <c r="I4" s="10">
        <v>0.02</v>
      </c>
      <c r="J4" s="11">
        <f t="shared" ref="J4:J67" si="0">ROUND(H4*I4,0)</f>
        <v>231</v>
      </c>
    </row>
    <row r="5" spans="1:10">
      <c r="A5" s="6">
        <v>3</v>
      </c>
      <c r="B5" s="6" t="s">
        <v>23</v>
      </c>
      <c r="C5" s="7">
        <v>472.38</v>
      </c>
      <c r="D5" s="6" t="s">
        <v>17</v>
      </c>
      <c r="E5" s="8">
        <v>45698</v>
      </c>
      <c r="F5" s="6" t="s">
        <v>24</v>
      </c>
      <c r="G5" s="49">
        <v>87.585800000000006</v>
      </c>
      <c r="H5" s="9">
        <v>41373.780204000002</v>
      </c>
      <c r="I5" s="10">
        <v>0.02</v>
      </c>
      <c r="J5" s="11">
        <f t="shared" si="0"/>
        <v>827</v>
      </c>
    </row>
    <row r="6" spans="1:10">
      <c r="A6" s="6">
        <v>4</v>
      </c>
      <c r="B6" s="6" t="s">
        <v>26</v>
      </c>
      <c r="C6" s="7">
        <v>432</v>
      </c>
      <c r="D6" s="6" t="s">
        <v>17</v>
      </c>
      <c r="E6" s="8">
        <v>45698</v>
      </c>
      <c r="F6" s="6" t="s">
        <v>27</v>
      </c>
      <c r="G6" s="49">
        <v>87.585800000000006</v>
      </c>
      <c r="H6" s="9">
        <v>37837.065600000002</v>
      </c>
      <c r="I6" s="10">
        <v>0.02</v>
      </c>
      <c r="J6" s="11">
        <f t="shared" si="0"/>
        <v>757</v>
      </c>
    </row>
    <row r="7" spans="1:10">
      <c r="A7" s="6">
        <v>5</v>
      </c>
      <c r="B7" s="6" t="s">
        <v>28</v>
      </c>
      <c r="C7" s="7">
        <v>472.38</v>
      </c>
      <c r="D7" s="6" t="s">
        <v>17</v>
      </c>
      <c r="E7" s="8">
        <v>45698</v>
      </c>
      <c r="F7" s="6" t="s">
        <v>29</v>
      </c>
      <c r="G7" s="49">
        <v>87.585800000000006</v>
      </c>
      <c r="H7" s="9">
        <v>41373.780204000002</v>
      </c>
      <c r="I7" s="10">
        <v>0.02</v>
      </c>
      <c r="J7" s="11">
        <f t="shared" si="0"/>
        <v>827</v>
      </c>
    </row>
    <row r="8" spans="1:10">
      <c r="A8" s="6">
        <v>6</v>
      </c>
      <c r="B8" s="6" t="s">
        <v>30</v>
      </c>
      <c r="C8" s="7">
        <v>125.5911346359798</v>
      </c>
      <c r="D8" s="6" t="s">
        <v>17</v>
      </c>
      <c r="E8" s="8">
        <v>45698</v>
      </c>
      <c r="F8" s="6" t="s">
        <v>31</v>
      </c>
      <c r="G8" s="49">
        <v>87.585800000000006</v>
      </c>
      <c r="H8" s="9">
        <v>11000</v>
      </c>
      <c r="I8" s="10">
        <v>0.02</v>
      </c>
      <c r="J8" s="11">
        <f t="shared" si="0"/>
        <v>220</v>
      </c>
    </row>
    <row r="9" spans="1:10">
      <c r="A9" s="6">
        <v>7</v>
      </c>
      <c r="B9" s="6" t="s">
        <v>33</v>
      </c>
      <c r="C9" s="7">
        <v>1495.68</v>
      </c>
      <c r="D9" s="6" t="s">
        <v>34</v>
      </c>
      <c r="E9" s="8">
        <v>45698</v>
      </c>
      <c r="F9" s="6" t="s">
        <v>35</v>
      </c>
      <c r="G9" s="49">
        <v>87.585800000000006</v>
      </c>
      <c r="H9" s="9">
        <v>131000.32934400001</v>
      </c>
      <c r="I9" s="10">
        <v>0.1</v>
      </c>
      <c r="J9" s="11">
        <f t="shared" si="0"/>
        <v>13100</v>
      </c>
    </row>
    <row r="10" spans="1:10">
      <c r="A10" s="6">
        <v>8</v>
      </c>
      <c r="B10" s="6" t="s">
        <v>20</v>
      </c>
      <c r="C10" s="7">
        <v>211.20000000000002</v>
      </c>
      <c r="D10" s="6" t="s">
        <v>34</v>
      </c>
      <c r="E10" s="8">
        <v>45698</v>
      </c>
      <c r="F10" s="6" t="s">
        <v>36</v>
      </c>
      <c r="G10" s="49">
        <v>87.585800000000006</v>
      </c>
      <c r="H10" s="9">
        <v>18498.120960000004</v>
      </c>
      <c r="I10" s="10">
        <v>0.02</v>
      </c>
      <c r="J10" s="11">
        <f t="shared" si="0"/>
        <v>370</v>
      </c>
    </row>
    <row r="11" spans="1:10">
      <c r="A11" s="6">
        <v>9</v>
      </c>
      <c r="B11" s="6" t="s">
        <v>23</v>
      </c>
      <c r="C11" s="7">
        <v>755.80799999999999</v>
      </c>
      <c r="D11" s="6" t="s">
        <v>34</v>
      </c>
      <c r="E11" s="8">
        <v>45698</v>
      </c>
      <c r="F11" s="6" t="s">
        <v>38</v>
      </c>
      <c r="G11" s="49">
        <v>87.585800000000006</v>
      </c>
      <c r="H11" s="9">
        <v>66198.048326400007</v>
      </c>
      <c r="I11" s="10">
        <v>0.02</v>
      </c>
      <c r="J11" s="11">
        <f t="shared" si="0"/>
        <v>1324</v>
      </c>
    </row>
    <row r="12" spans="1:10">
      <c r="A12" s="6">
        <v>10</v>
      </c>
      <c r="B12" s="6" t="s">
        <v>26</v>
      </c>
      <c r="C12" s="7">
        <v>475.2</v>
      </c>
      <c r="D12" s="6" t="s">
        <v>34</v>
      </c>
      <c r="E12" s="8">
        <v>45698</v>
      </c>
      <c r="F12" s="6" t="s">
        <v>39</v>
      </c>
      <c r="G12" s="49">
        <v>87.585800000000006</v>
      </c>
      <c r="H12" s="9">
        <v>41620.77216</v>
      </c>
      <c r="I12" s="10">
        <v>0.02</v>
      </c>
      <c r="J12" s="11">
        <f t="shared" si="0"/>
        <v>832</v>
      </c>
    </row>
    <row r="13" spans="1:10">
      <c r="A13" s="6">
        <v>11</v>
      </c>
      <c r="B13" s="6" t="s">
        <v>28</v>
      </c>
      <c r="C13" s="7">
        <v>283.428</v>
      </c>
      <c r="D13" s="6" t="s">
        <v>34</v>
      </c>
      <c r="E13" s="8">
        <v>45698</v>
      </c>
      <c r="F13" s="6" t="s">
        <v>40</v>
      </c>
      <c r="G13" s="49">
        <v>87.585800000000006</v>
      </c>
      <c r="H13" s="9">
        <v>24824.268122400001</v>
      </c>
      <c r="I13" s="10">
        <v>0.02</v>
      </c>
      <c r="J13" s="11">
        <f t="shared" si="0"/>
        <v>496</v>
      </c>
    </row>
    <row r="14" spans="1:10">
      <c r="A14" s="6">
        <v>12</v>
      </c>
      <c r="B14" s="6" t="s">
        <v>41</v>
      </c>
      <c r="C14" s="7">
        <v>81</v>
      </c>
      <c r="D14" s="6" t="s">
        <v>34</v>
      </c>
      <c r="E14" s="8">
        <v>45698</v>
      </c>
      <c r="F14" s="6" t="s">
        <v>42</v>
      </c>
      <c r="G14" s="49">
        <v>87.585800000000006</v>
      </c>
      <c r="H14" s="9">
        <v>7094.4498000000003</v>
      </c>
      <c r="I14" s="10">
        <v>0.02</v>
      </c>
      <c r="J14" s="11">
        <f t="shared" si="0"/>
        <v>142</v>
      </c>
    </row>
    <row r="15" spans="1:10">
      <c r="A15" s="6">
        <v>13</v>
      </c>
      <c r="B15" s="6" t="s">
        <v>30</v>
      </c>
      <c r="C15" s="7">
        <v>150.70936156317575</v>
      </c>
      <c r="D15" s="6" t="s">
        <v>34</v>
      </c>
      <c r="E15" s="8">
        <v>45698</v>
      </c>
      <c r="F15" s="6" t="s">
        <v>43</v>
      </c>
      <c r="G15" s="49">
        <v>87.585800000000006</v>
      </c>
      <c r="H15" s="9">
        <v>13200</v>
      </c>
      <c r="I15" s="10">
        <v>0.02</v>
      </c>
      <c r="J15" s="11">
        <f t="shared" si="0"/>
        <v>264</v>
      </c>
    </row>
    <row r="16" spans="1:10">
      <c r="A16" s="6">
        <v>14</v>
      </c>
      <c r="B16" s="6" t="s">
        <v>45</v>
      </c>
      <c r="C16" s="7">
        <v>2991.3599999999992</v>
      </c>
      <c r="D16" s="6" t="s">
        <v>46</v>
      </c>
      <c r="E16" s="8">
        <v>45698</v>
      </c>
      <c r="F16" s="6" t="s">
        <v>47</v>
      </c>
      <c r="G16" s="49">
        <v>87.585800000000006</v>
      </c>
      <c r="H16" s="9">
        <v>262000.65868799994</v>
      </c>
      <c r="I16" s="10">
        <v>0.1</v>
      </c>
      <c r="J16" s="11">
        <f t="shared" si="0"/>
        <v>26200</v>
      </c>
    </row>
    <row r="17" spans="1:10">
      <c r="A17" s="6">
        <v>15</v>
      </c>
      <c r="B17" s="6" t="s">
        <v>20</v>
      </c>
      <c r="C17" s="7">
        <v>211.20000000000002</v>
      </c>
      <c r="D17" s="6" t="s">
        <v>46</v>
      </c>
      <c r="E17" s="8">
        <v>45698</v>
      </c>
      <c r="F17" s="6" t="s">
        <v>48</v>
      </c>
      <c r="G17" s="49">
        <v>87.585800000000006</v>
      </c>
      <c r="H17" s="9">
        <v>18498.120960000004</v>
      </c>
      <c r="I17" s="10">
        <v>0.02</v>
      </c>
      <c r="J17" s="11">
        <f t="shared" si="0"/>
        <v>370</v>
      </c>
    </row>
    <row r="18" spans="1:10">
      <c r="A18" s="6">
        <v>16</v>
      </c>
      <c r="B18" s="6" t="s">
        <v>23</v>
      </c>
      <c r="C18" s="7">
        <v>755.80799999999999</v>
      </c>
      <c r="D18" s="6" t="s">
        <v>46</v>
      </c>
      <c r="E18" s="8">
        <v>45698</v>
      </c>
      <c r="F18" s="6" t="s">
        <v>50</v>
      </c>
      <c r="G18" s="49">
        <v>87.585800000000006</v>
      </c>
      <c r="H18" s="9">
        <v>66198.048326400007</v>
      </c>
      <c r="I18" s="10">
        <v>0.02</v>
      </c>
      <c r="J18" s="11">
        <f t="shared" si="0"/>
        <v>1324</v>
      </c>
    </row>
    <row r="19" spans="1:10">
      <c r="A19" s="6">
        <v>17</v>
      </c>
      <c r="B19" s="6" t="s">
        <v>26</v>
      </c>
      <c r="C19" s="7">
        <v>691.19999999999993</v>
      </c>
      <c r="D19" s="6" t="s">
        <v>46</v>
      </c>
      <c r="E19" s="8">
        <v>45698</v>
      </c>
      <c r="F19" s="6" t="s">
        <v>51</v>
      </c>
      <c r="G19" s="49">
        <v>87.585800000000006</v>
      </c>
      <c r="H19" s="9">
        <v>60539.304960000001</v>
      </c>
      <c r="I19" s="10">
        <v>0.02</v>
      </c>
      <c r="J19" s="11">
        <f t="shared" si="0"/>
        <v>1211</v>
      </c>
    </row>
    <row r="20" spans="1:10">
      <c r="A20" s="6">
        <v>18</v>
      </c>
      <c r="B20" s="6" t="s">
        <v>41</v>
      </c>
      <c r="C20" s="7">
        <v>216</v>
      </c>
      <c r="D20" s="6" t="s">
        <v>46</v>
      </c>
      <c r="E20" s="8">
        <v>45698</v>
      </c>
      <c r="F20" s="6" t="s">
        <v>52</v>
      </c>
      <c r="G20" s="49">
        <v>87.585800000000006</v>
      </c>
      <c r="H20" s="9">
        <v>18918.532800000001</v>
      </c>
      <c r="I20" s="10">
        <v>0.02</v>
      </c>
      <c r="J20" s="11">
        <f t="shared" si="0"/>
        <v>378</v>
      </c>
    </row>
    <row r="21" spans="1:10">
      <c r="A21" s="6">
        <v>19</v>
      </c>
      <c r="B21" s="6" t="s">
        <v>28</v>
      </c>
      <c r="C21" s="7">
        <v>755.80799999999999</v>
      </c>
      <c r="D21" s="6" t="s">
        <v>46</v>
      </c>
      <c r="E21" s="8">
        <v>45698</v>
      </c>
      <c r="F21" s="6" t="s">
        <v>53</v>
      </c>
      <c r="G21" s="49">
        <v>87.585800000000006</v>
      </c>
      <c r="H21" s="9">
        <v>66198.048326400007</v>
      </c>
      <c r="I21" s="10">
        <v>0.02</v>
      </c>
      <c r="J21" s="11">
        <f t="shared" si="0"/>
        <v>1324</v>
      </c>
    </row>
    <row r="22" spans="1:10">
      <c r="A22" s="6">
        <v>20</v>
      </c>
      <c r="B22" s="6" t="s">
        <v>54</v>
      </c>
      <c r="C22" s="7">
        <v>887.67999999999984</v>
      </c>
      <c r="D22" s="6" t="s">
        <v>55</v>
      </c>
      <c r="E22" s="8">
        <v>45698</v>
      </c>
      <c r="F22" s="6" t="s">
        <v>56</v>
      </c>
      <c r="G22" s="49">
        <v>87.585800000000006</v>
      </c>
      <c r="H22" s="9">
        <v>77748.162943999996</v>
      </c>
      <c r="I22" s="10">
        <v>0.1</v>
      </c>
      <c r="J22" s="11">
        <f t="shared" si="0"/>
        <v>7775</v>
      </c>
    </row>
    <row r="23" spans="1:10">
      <c r="A23" s="6">
        <v>21</v>
      </c>
      <c r="B23" s="6" t="s">
        <v>41</v>
      </c>
      <c r="C23" s="7">
        <v>162</v>
      </c>
      <c r="D23" s="6" t="s">
        <v>55</v>
      </c>
      <c r="E23" s="8">
        <v>45698</v>
      </c>
      <c r="F23" s="6" t="s">
        <v>58</v>
      </c>
      <c r="G23" s="49">
        <v>87.585800000000006</v>
      </c>
      <c r="H23" s="9">
        <v>14188.899600000001</v>
      </c>
      <c r="I23" s="10">
        <v>0.02</v>
      </c>
      <c r="J23" s="11">
        <f t="shared" si="0"/>
        <v>284</v>
      </c>
    </row>
    <row r="24" spans="1:10">
      <c r="A24" s="6">
        <v>22</v>
      </c>
      <c r="B24" s="6" t="s">
        <v>28</v>
      </c>
      <c r="C24" s="7">
        <v>566.85599999999999</v>
      </c>
      <c r="D24" s="6" t="s">
        <v>55</v>
      </c>
      <c r="E24" s="8">
        <v>45698</v>
      </c>
      <c r="F24" s="6" t="s">
        <v>59</v>
      </c>
      <c r="G24" s="49">
        <v>87.585800000000006</v>
      </c>
      <c r="H24" s="9">
        <v>49648.536244800001</v>
      </c>
      <c r="I24" s="10">
        <v>0.02</v>
      </c>
      <c r="J24" s="11">
        <f t="shared" si="0"/>
        <v>993</v>
      </c>
    </row>
    <row r="25" spans="1:10">
      <c r="A25" s="6">
        <v>23</v>
      </c>
      <c r="B25" s="6" t="s">
        <v>26</v>
      </c>
      <c r="C25" s="7">
        <v>259.2</v>
      </c>
      <c r="D25" s="6" t="s">
        <v>55</v>
      </c>
      <c r="E25" s="8">
        <v>45698</v>
      </c>
      <c r="F25" s="6" t="s">
        <v>60</v>
      </c>
      <c r="G25" s="49">
        <v>87.585800000000006</v>
      </c>
      <c r="H25" s="9">
        <v>22702.23936</v>
      </c>
      <c r="I25" s="10">
        <v>0.02</v>
      </c>
      <c r="J25" s="11">
        <f t="shared" si="0"/>
        <v>454</v>
      </c>
    </row>
    <row r="26" spans="1:10">
      <c r="A26" s="6">
        <v>24</v>
      </c>
      <c r="B26" s="6" t="s">
        <v>61</v>
      </c>
      <c r="C26" s="7">
        <v>364.79999999999995</v>
      </c>
      <c r="D26" s="6" t="s">
        <v>62</v>
      </c>
      <c r="E26" s="8">
        <v>45698</v>
      </c>
      <c r="F26" s="6" t="s">
        <v>63</v>
      </c>
      <c r="G26" s="49">
        <v>87.585800000000006</v>
      </c>
      <c r="H26" s="9">
        <v>31951.29984</v>
      </c>
      <c r="I26" s="10">
        <v>0.1</v>
      </c>
      <c r="J26" s="11">
        <f t="shared" si="0"/>
        <v>3195</v>
      </c>
    </row>
    <row r="27" spans="1:10">
      <c r="A27" s="6">
        <v>25</v>
      </c>
      <c r="B27" s="6" t="s">
        <v>20</v>
      </c>
      <c r="C27" s="7">
        <v>52.8</v>
      </c>
      <c r="D27" s="6" t="s">
        <v>62</v>
      </c>
      <c r="E27" s="8">
        <v>45698</v>
      </c>
      <c r="F27" s="6" t="s">
        <v>65</v>
      </c>
      <c r="G27" s="49">
        <v>87.585800000000006</v>
      </c>
      <c r="H27" s="9">
        <v>4624.53024</v>
      </c>
      <c r="I27" s="10">
        <v>0.02</v>
      </c>
      <c r="J27" s="11">
        <f t="shared" si="0"/>
        <v>92</v>
      </c>
    </row>
    <row r="28" spans="1:10">
      <c r="A28" s="6">
        <v>26</v>
      </c>
      <c r="B28" s="6" t="s">
        <v>23</v>
      </c>
      <c r="C28" s="7">
        <v>188.952</v>
      </c>
      <c r="D28" s="6" t="s">
        <v>62</v>
      </c>
      <c r="E28" s="8">
        <v>45698</v>
      </c>
      <c r="F28" s="6" t="s">
        <v>67</v>
      </c>
      <c r="G28" s="49">
        <v>87.585800000000006</v>
      </c>
      <c r="H28" s="9">
        <v>16549.512081600002</v>
      </c>
      <c r="I28" s="10">
        <v>0.02</v>
      </c>
      <c r="J28" s="11">
        <f t="shared" si="0"/>
        <v>331</v>
      </c>
    </row>
    <row r="29" spans="1:10">
      <c r="A29" s="6">
        <v>27</v>
      </c>
      <c r="B29" s="6" t="s">
        <v>26</v>
      </c>
      <c r="C29" s="7">
        <v>172.8</v>
      </c>
      <c r="D29" s="6" t="s">
        <v>62</v>
      </c>
      <c r="E29" s="8">
        <v>45698</v>
      </c>
      <c r="F29" s="6" t="s">
        <v>68</v>
      </c>
      <c r="G29" s="49">
        <v>87.585800000000006</v>
      </c>
      <c r="H29" s="9">
        <v>15134.826240000002</v>
      </c>
      <c r="I29" s="10">
        <v>0.02</v>
      </c>
      <c r="J29" s="11">
        <f t="shared" si="0"/>
        <v>303</v>
      </c>
    </row>
    <row r="30" spans="1:10">
      <c r="A30" s="6">
        <v>28</v>
      </c>
      <c r="B30" s="6" t="s">
        <v>41</v>
      </c>
      <c r="C30" s="7">
        <v>54</v>
      </c>
      <c r="D30" s="6" t="s">
        <v>62</v>
      </c>
      <c r="E30" s="8">
        <v>45698</v>
      </c>
      <c r="F30" s="6" t="s">
        <v>69</v>
      </c>
      <c r="G30" s="49">
        <v>87.585800000000006</v>
      </c>
      <c r="H30" s="9">
        <v>4729.6332000000002</v>
      </c>
      <c r="I30" s="10">
        <v>0.02</v>
      </c>
      <c r="J30" s="11">
        <f t="shared" si="0"/>
        <v>95</v>
      </c>
    </row>
    <row r="31" spans="1:10">
      <c r="A31" s="6">
        <v>29</v>
      </c>
      <c r="B31" s="6" t="s">
        <v>28</v>
      </c>
      <c r="C31" s="7">
        <v>188.952</v>
      </c>
      <c r="D31" s="6" t="s">
        <v>62</v>
      </c>
      <c r="E31" s="8">
        <v>45698</v>
      </c>
      <c r="F31" s="6" t="s">
        <v>70</v>
      </c>
      <c r="G31" s="49">
        <v>87.585800000000006</v>
      </c>
      <c r="H31" s="9">
        <v>16549.512081600002</v>
      </c>
      <c r="I31" s="10">
        <v>0.02</v>
      </c>
      <c r="J31" s="11">
        <f t="shared" si="0"/>
        <v>331</v>
      </c>
    </row>
    <row r="32" spans="1:10">
      <c r="A32" s="6">
        <v>30</v>
      </c>
      <c r="B32" s="6" t="s">
        <v>71</v>
      </c>
      <c r="C32" s="7">
        <v>1231.9599999999998</v>
      </c>
      <c r="D32" s="6" t="s">
        <v>72</v>
      </c>
      <c r="E32" s="8">
        <v>45698</v>
      </c>
      <c r="F32" s="6" t="s">
        <v>73</v>
      </c>
      <c r="G32" s="49">
        <v>87.585800000000006</v>
      </c>
      <c r="H32" s="9">
        <v>107902.20216799999</v>
      </c>
      <c r="I32" s="10">
        <v>0.1</v>
      </c>
      <c r="J32" s="11">
        <f t="shared" si="0"/>
        <v>10790</v>
      </c>
    </row>
    <row r="33" spans="1:10">
      <c r="A33" s="6">
        <v>31</v>
      </c>
      <c r="B33" s="6" t="s">
        <v>75</v>
      </c>
      <c r="C33" s="7">
        <v>180</v>
      </c>
      <c r="D33" s="6" t="s">
        <v>72</v>
      </c>
      <c r="E33" s="8">
        <v>45698</v>
      </c>
      <c r="F33" s="6" t="s">
        <v>76</v>
      </c>
      <c r="G33" s="49">
        <v>87.585800000000006</v>
      </c>
      <c r="H33" s="9">
        <v>15765.444000000001</v>
      </c>
      <c r="I33" s="10">
        <v>0.02</v>
      </c>
      <c r="J33" s="11">
        <f t="shared" si="0"/>
        <v>315</v>
      </c>
    </row>
    <row r="34" spans="1:10">
      <c r="A34" s="6">
        <v>32</v>
      </c>
      <c r="B34" s="6" t="s">
        <v>78</v>
      </c>
      <c r="C34" s="7">
        <v>27</v>
      </c>
      <c r="D34" s="6" t="s">
        <v>72</v>
      </c>
      <c r="E34" s="8">
        <v>45698</v>
      </c>
      <c r="F34" s="6" t="s">
        <v>79</v>
      </c>
      <c r="G34" s="49">
        <v>87.585800000000006</v>
      </c>
      <c r="H34" s="9">
        <v>2364.8166000000001</v>
      </c>
      <c r="I34" s="10">
        <v>0.02</v>
      </c>
      <c r="J34" s="11">
        <f t="shared" si="0"/>
        <v>47</v>
      </c>
    </row>
    <row r="35" spans="1:10">
      <c r="A35" s="6">
        <v>33</v>
      </c>
      <c r="B35" s="6" t="s">
        <v>80</v>
      </c>
      <c r="C35" s="7">
        <v>180</v>
      </c>
      <c r="D35" s="6" t="s">
        <v>72</v>
      </c>
      <c r="E35" s="8">
        <v>45698</v>
      </c>
      <c r="F35" s="6" t="s">
        <v>81</v>
      </c>
      <c r="G35" s="49">
        <v>87.585800000000006</v>
      </c>
      <c r="H35" s="9">
        <v>15765.444000000001</v>
      </c>
      <c r="I35" s="10">
        <v>0.02</v>
      </c>
      <c r="J35" s="11">
        <f t="shared" si="0"/>
        <v>315</v>
      </c>
    </row>
    <row r="36" spans="1:10">
      <c r="A36" s="6">
        <v>34</v>
      </c>
      <c r="B36" s="6" t="s">
        <v>20</v>
      </c>
      <c r="C36" s="7">
        <v>52.8</v>
      </c>
      <c r="D36" s="6" t="s">
        <v>72</v>
      </c>
      <c r="E36" s="8">
        <v>45698</v>
      </c>
      <c r="F36" s="6" t="s">
        <v>82</v>
      </c>
      <c r="G36" s="49">
        <v>87.585800000000006</v>
      </c>
      <c r="H36" s="9">
        <v>4624.53024</v>
      </c>
      <c r="I36" s="10">
        <v>0.02</v>
      </c>
      <c r="J36" s="11">
        <f t="shared" si="0"/>
        <v>92</v>
      </c>
    </row>
    <row r="37" spans="1:10">
      <c r="A37" s="6">
        <v>35</v>
      </c>
      <c r="B37" s="6" t="s">
        <v>23</v>
      </c>
      <c r="C37" s="7">
        <v>252.93199999999999</v>
      </c>
      <c r="D37" s="6" t="s">
        <v>72</v>
      </c>
      <c r="E37" s="8">
        <v>45698</v>
      </c>
      <c r="F37" s="6" t="s">
        <v>84</v>
      </c>
      <c r="G37" s="49">
        <v>87.585800000000006</v>
      </c>
      <c r="H37" s="9">
        <v>22153.2515656</v>
      </c>
      <c r="I37" s="10">
        <v>0.02</v>
      </c>
      <c r="J37" s="11">
        <f t="shared" si="0"/>
        <v>443</v>
      </c>
    </row>
    <row r="38" spans="1:10">
      <c r="A38" s="6">
        <v>36</v>
      </c>
      <c r="B38" s="6" t="s">
        <v>85</v>
      </c>
      <c r="C38" s="7">
        <v>31.99</v>
      </c>
      <c r="D38" s="6" t="s">
        <v>72</v>
      </c>
      <c r="E38" s="8">
        <v>45698</v>
      </c>
      <c r="F38" s="6" t="s">
        <v>86</v>
      </c>
      <c r="G38" s="49">
        <v>87.585800000000006</v>
      </c>
      <c r="H38" s="9">
        <v>2801.8697419999999</v>
      </c>
      <c r="I38" s="10">
        <v>0.02</v>
      </c>
      <c r="J38" s="11">
        <f t="shared" si="0"/>
        <v>56</v>
      </c>
    </row>
    <row r="39" spans="1:10">
      <c r="A39" s="6">
        <v>37</v>
      </c>
      <c r="B39" s="6" t="s">
        <v>26</v>
      </c>
      <c r="C39" s="7">
        <v>129.60000000000002</v>
      </c>
      <c r="D39" s="6" t="s">
        <v>72</v>
      </c>
      <c r="E39" s="8">
        <v>45698</v>
      </c>
      <c r="F39" s="6" t="s">
        <v>87</v>
      </c>
      <c r="G39" s="49">
        <v>87.585800000000006</v>
      </c>
      <c r="H39" s="9">
        <v>11351.119680000003</v>
      </c>
      <c r="I39" s="10">
        <v>0.02</v>
      </c>
      <c r="J39" s="11">
        <f t="shared" si="0"/>
        <v>227</v>
      </c>
    </row>
    <row r="40" spans="1:10">
      <c r="A40" s="6">
        <v>38</v>
      </c>
      <c r="B40" s="6" t="s">
        <v>28</v>
      </c>
      <c r="C40" s="7">
        <v>63.98</v>
      </c>
      <c r="D40" s="6" t="s">
        <v>72</v>
      </c>
      <c r="E40" s="8">
        <v>45698</v>
      </c>
      <c r="F40" s="6" t="s">
        <v>88</v>
      </c>
      <c r="G40" s="49">
        <v>87.585800000000006</v>
      </c>
      <c r="H40" s="9">
        <v>5603.7394839999997</v>
      </c>
      <c r="I40" s="10">
        <v>0.02</v>
      </c>
      <c r="J40" s="11">
        <f t="shared" si="0"/>
        <v>112</v>
      </c>
    </row>
    <row r="41" spans="1:10">
      <c r="A41" s="6">
        <v>39</v>
      </c>
      <c r="B41" s="6" t="s">
        <v>89</v>
      </c>
      <c r="C41" s="7">
        <v>31.99</v>
      </c>
      <c r="D41" s="6" t="s">
        <v>72</v>
      </c>
      <c r="E41" s="8">
        <v>45698</v>
      </c>
      <c r="F41" s="6" t="s">
        <v>90</v>
      </c>
      <c r="G41" s="49">
        <v>87.585800000000006</v>
      </c>
      <c r="H41" s="9">
        <v>2801.8697419999999</v>
      </c>
      <c r="I41" s="10">
        <v>0.02</v>
      </c>
      <c r="J41" s="11">
        <f t="shared" si="0"/>
        <v>56</v>
      </c>
    </row>
    <row r="42" spans="1:10">
      <c r="A42" s="6">
        <v>40</v>
      </c>
      <c r="B42" s="6" t="s">
        <v>91</v>
      </c>
      <c r="C42" s="7">
        <v>364.8</v>
      </c>
      <c r="D42" s="6" t="s">
        <v>92</v>
      </c>
      <c r="E42" s="8">
        <v>45751</v>
      </c>
      <c r="F42" s="14" t="s">
        <v>93</v>
      </c>
      <c r="G42" s="50">
        <v>86.921819999999997</v>
      </c>
      <c r="H42" s="9">
        <v>31709.079935999998</v>
      </c>
      <c r="I42" s="10">
        <v>0.1</v>
      </c>
      <c r="J42" s="11">
        <f t="shared" si="0"/>
        <v>3171</v>
      </c>
    </row>
    <row r="43" spans="1:10">
      <c r="A43" s="6">
        <v>41</v>
      </c>
      <c r="B43" s="6" t="s">
        <v>95</v>
      </c>
      <c r="C43" s="7">
        <v>25.17</v>
      </c>
      <c r="D43" s="6" t="s">
        <v>92</v>
      </c>
      <c r="E43" s="8">
        <v>45763</v>
      </c>
      <c r="F43" s="14" t="s">
        <v>96</v>
      </c>
      <c r="G43" s="50">
        <v>86.921819999999997</v>
      </c>
      <c r="H43" s="9">
        <v>2187.8222094000002</v>
      </c>
      <c r="I43" s="10">
        <v>0.02</v>
      </c>
      <c r="J43" s="11">
        <f t="shared" si="0"/>
        <v>44</v>
      </c>
    </row>
    <row r="44" spans="1:10">
      <c r="A44" s="6">
        <v>42</v>
      </c>
      <c r="B44" s="6" t="s">
        <v>97</v>
      </c>
      <c r="C44" s="7">
        <v>283.43</v>
      </c>
      <c r="D44" s="6" t="s">
        <v>98</v>
      </c>
      <c r="E44" s="8">
        <v>45750</v>
      </c>
      <c r="F44" s="14" t="s">
        <v>99</v>
      </c>
      <c r="G44" s="50">
        <v>86.921819999999997</v>
      </c>
      <c r="H44" s="9">
        <v>24636.251442599998</v>
      </c>
      <c r="I44" s="10">
        <v>0.02</v>
      </c>
      <c r="J44" s="11">
        <f t="shared" si="0"/>
        <v>493</v>
      </c>
    </row>
    <row r="45" spans="1:10">
      <c r="A45" s="6">
        <v>43</v>
      </c>
      <c r="B45" s="6" t="s">
        <v>100</v>
      </c>
      <c r="C45" s="7">
        <v>79.2</v>
      </c>
      <c r="D45" s="6" t="s">
        <v>98</v>
      </c>
      <c r="E45" s="8">
        <v>45750</v>
      </c>
      <c r="F45" s="14" t="s">
        <v>101</v>
      </c>
      <c r="G45" s="50">
        <v>86.921819999999997</v>
      </c>
      <c r="H45" s="9">
        <v>6884.2081440000002</v>
      </c>
      <c r="I45" s="10">
        <v>0.02</v>
      </c>
      <c r="J45" s="11">
        <f t="shared" si="0"/>
        <v>138</v>
      </c>
    </row>
    <row r="46" spans="1:10">
      <c r="A46" s="6">
        <v>44</v>
      </c>
      <c r="B46" s="6" t="s">
        <v>102</v>
      </c>
      <c r="C46" s="7">
        <v>129.6</v>
      </c>
      <c r="D46" s="6" t="s">
        <v>98</v>
      </c>
      <c r="E46" s="8">
        <v>45750</v>
      </c>
      <c r="F46" s="14" t="s">
        <v>103</v>
      </c>
      <c r="G46" s="50">
        <v>86.921819999999997</v>
      </c>
      <c r="H46" s="9">
        <v>11265.067872</v>
      </c>
      <c r="I46" s="10">
        <v>0.02</v>
      </c>
      <c r="J46" s="11">
        <f t="shared" si="0"/>
        <v>225</v>
      </c>
    </row>
    <row r="47" spans="1:10">
      <c r="A47" s="6">
        <v>45</v>
      </c>
      <c r="B47" s="6" t="s">
        <v>104</v>
      </c>
      <c r="C47" s="7">
        <v>270</v>
      </c>
      <c r="D47" s="6" t="s">
        <v>98</v>
      </c>
      <c r="E47" s="8">
        <v>45750</v>
      </c>
      <c r="F47" s="14" t="s">
        <v>105</v>
      </c>
      <c r="G47" s="50">
        <v>86.921819999999997</v>
      </c>
      <c r="H47" s="9">
        <v>23468.8914</v>
      </c>
      <c r="I47" s="10">
        <v>0.02</v>
      </c>
      <c r="J47" s="11">
        <f t="shared" si="0"/>
        <v>469</v>
      </c>
    </row>
    <row r="48" spans="1:10">
      <c r="A48" s="6">
        <v>46</v>
      </c>
      <c r="B48" s="6" t="s">
        <v>106</v>
      </c>
      <c r="C48" s="7">
        <v>283.43</v>
      </c>
      <c r="D48" s="6" t="s">
        <v>98</v>
      </c>
      <c r="E48" s="8">
        <v>45750</v>
      </c>
      <c r="F48" s="14" t="s">
        <v>107</v>
      </c>
      <c r="G48" s="50">
        <v>86.921819999999997</v>
      </c>
      <c r="H48" s="9">
        <v>24636.251442599998</v>
      </c>
      <c r="I48" s="10">
        <v>0.02</v>
      </c>
      <c r="J48" s="11">
        <f t="shared" si="0"/>
        <v>493</v>
      </c>
    </row>
    <row r="49" spans="1:10">
      <c r="A49" s="6">
        <v>47</v>
      </c>
      <c r="B49" s="6" t="s">
        <v>108</v>
      </c>
      <c r="C49" s="7">
        <v>81</v>
      </c>
      <c r="D49" s="6" t="s">
        <v>98</v>
      </c>
      <c r="E49" s="8">
        <v>45750</v>
      </c>
      <c r="F49" s="14" t="s">
        <v>109</v>
      </c>
      <c r="G49" s="50">
        <v>86.921819999999997</v>
      </c>
      <c r="H49" s="9">
        <v>7040.6674199999998</v>
      </c>
      <c r="I49" s="10">
        <v>0.02</v>
      </c>
      <c r="J49" s="11">
        <f t="shared" si="0"/>
        <v>141</v>
      </c>
    </row>
    <row r="50" spans="1:10">
      <c r="A50" s="6">
        <v>48</v>
      </c>
      <c r="B50" s="6" t="s">
        <v>110</v>
      </c>
      <c r="C50" s="7">
        <v>129.6</v>
      </c>
      <c r="D50" s="6" t="s">
        <v>98</v>
      </c>
      <c r="E50" s="8">
        <v>45750</v>
      </c>
      <c r="F50" s="14" t="s">
        <v>111</v>
      </c>
      <c r="G50" s="50">
        <v>86.921819999999997</v>
      </c>
      <c r="H50" s="9">
        <v>11265.067872</v>
      </c>
      <c r="I50" s="10">
        <v>0.02</v>
      </c>
      <c r="J50" s="11">
        <f t="shared" si="0"/>
        <v>225</v>
      </c>
    </row>
    <row r="51" spans="1:10">
      <c r="A51" s="6">
        <v>49</v>
      </c>
      <c r="B51" s="6" t="s">
        <v>112</v>
      </c>
      <c r="C51" s="7">
        <v>75.849999999999994</v>
      </c>
      <c r="D51" s="6" t="s">
        <v>98</v>
      </c>
      <c r="E51" s="8">
        <v>45750</v>
      </c>
      <c r="F51" s="14" t="s">
        <v>113</v>
      </c>
      <c r="G51" s="50">
        <v>86.921819999999997</v>
      </c>
      <c r="H51" s="9">
        <v>6593.0200469999991</v>
      </c>
      <c r="I51" s="10">
        <v>0.02</v>
      </c>
      <c r="J51" s="11">
        <f t="shared" si="0"/>
        <v>132</v>
      </c>
    </row>
    <row r="52" spans="1:10">
      <c r="A52" s="6">
        <v>50</v>
      </c>
      <c r="B52" s="6" t="s">
        <v>114</v>
      </c>
      <c r="C52" s="7">
        <v>583.67999999999995</v>
      </c>
      <c r="D52" s="6" t="s">
        <v>98</v>
      </c>
      <c r="E52" s="8">
        <v>45763</v>
      </c>
      <c r="F52" s="14" t="s">
        <v>115</v>
      </c>
      <c r="G52" s="50">
        <v>86.921819999999997</v>
      </c>
      <c r="H52" s="9">
        <v>50734.527897599997</v>
      </c>
      <c r="I52" s="10">
        <v>0.1</v>
      </c>
      <c r="J52" s="11">
        <f t="shared" si="0"/>
        <v>5073</v>
      </c>
    </row>
    <row r="53" spans="1:10">
      <c r="A53" s="6">
        <v>51</v>
      </c>
      <c r="B53" s="6" t="s">
        <v>116</v>
      </c>
      <c r="C53" s="7">
        <v>188.95</v>
      </c>
      <c r="D53" s="6" t="s">
        <v>17</v>
      </c>
      <c r="E53" s="8">
        <v>45763</v>
      </c>
      <c r="F53" s="14" t="s">
        <v>117</v>
      </c>
      <c r="G53" s="50">
        <v>86.921819999999997</v>
      </c>
      <c r="H53" s="9">
        <v>16423.877888999999</v>
      </c>
      <c r="I53" s="10">
        <v>0.02</v>
      </c>
      <c r="J53" s="11">
        <f t="shared" si="0"/>
        <v>328</v>
      </c>
    </row>
    <row r="54" spans="1:10">
      <c r="A54" s="6">
        <v>52</v>
      </c>
      <c r="B54" s="6" t="s">
        <v>118</v>
      </c>
      <c r="C54" s="7">
        <v>86.4</v>
      </c>
      <c r="D54" s="6" t="s">
        <v>17</v>
      </c>
      <c r="E54" s="8">
        <v>45763</v>
      </c>
      <c r="F54" s="14" t="s">
        <v>117</v>
      </c>
      <c r="G54" s="50">
        <v>86.921819999999997</v>
      </c>
      <c r="H54" s="9">
        <v>7510.0452480000004</v>
      </c>
      <c r="I54" s="10">
        <v>0.02</v>
      </c>
      <c r="J54" s="11">
        <f t="shared" si="0"/>
        <v>150</v>
      </c>
    </row>
    <row r="55" spans="1:10">
      <c r="A55" s="6">
        <v>53</v>
      </c>
      <c r="B55" s="6" t="s">
        <v>116</v>
      </c>
      <c r="C55" s="7">
        <v>94.48</v>
      </c>
      <c r="D55" s="6" t="s">
        <v>17</v>
      </c>
      <c r="E55" s="8">
        <v>45763</v>
      </c>
      <c r="F55" s="14" t="s">
        <v>119</v>
      </c>
      <c r="G55" s="50">
        <v>86.921819999999997</v>
      </c>
      <c r="H55" s="9">
        <v>8212.3735536000004</v>
      </c>
      <c r="I55" s="10">
        <v>0.02</v>
      </c>
      <c r="J55" s="11">
        <f t="shared" si="0"/>
        <v>164</v>
      </c>
    </row>
    <row r="56" spans="1:10">
      <c r="A56" s="6">
        <v>54</v>
      </c>
      <c r="B56" s="6" t="s">
        <v>118</v>
      </c>
      <c r="C56" s="7">
        <v>43.2</v>
      </c>
      <c r="D56" s="6" t="s">
        <v>17</v>
      </c>
      <c r="E56" s="8">
        <v>45763</v>
      </c>
      <c r="F56" s="14" t="s">
        <v>119</v>
      </c>
      <c r="G56" s="50">
        <v>86.921819999999997</v>
      </c>
      <c r="H56" s="9">
        <v>3755.0226240000002</v>
      </c>
      <c r="I56" s="10">
        <v>0.02</v>
      </c>
      <c r="J56" s="11">
        <f t="shared" si="0"/>
        <v>75</v>
      </c>
    </row>
    <row r="57" spans="1:10">
      <c r="A57" s="6">
        <v>55</v>
      </c>
      <c r="B57" s="6" t="s">
        <v>116</v>
      </c>
      <c r="C57" s="7">
        <v>94.48</v>
      </c>
      <c r="D57" s="6" t="s">
        <v>17</v>
      </c>
      <c r="E57" s="8">
        <v>45763</v>
      </c>
      <c r="F57" s="14" t="s">
        <v>120</v>
      </c>
      <c r="G57" s="50">
        <v>86.921819999999997</v>
      </c>
      <c r="H57" s="9">
        <v>8212.3735536000004</v>
      </c>
      <c r="I57" s="10">
        <v>0.02</v>
      </c>
      <c r="J57" s="11">
        <f t="shared" si="0"/>
        <v>164</v>
      </c>
    </row>
    <row r="58" spans="1:10">
      <c r="A58" s="6">
        <v>56</v>
      </c>
      <c r="B58" s="6" t="s">
        <v>118</v>
      </c>
      <c r="C58" s="7">
        <v>43.2</v>
      </c>
      <c r="D58" s="6" t="s">
        <v>17</v>
      </c>
      <c r="E58" s="8">
        <v>45763</v>
      </c>
      <c r="F58" s="14" t="s">
        <v>120</v>
      </c>
      <c r="G58" s="50">
        <v>86.921819999999997</v>
      </c>
      <c r="H58" s="9">
        <v>3755.0226240000002</v>
      </c>
      <c r="I58" s="10">
        <v>0.02</v>
      </c>
      <c r="J58" s="11">
        <f t="shared" si="0"/>
        <v>75</v>
      </c>
    </row>
    <row r="59" spans="1:10">
      <c r="A59" s="6">
        <v>57</v>
      </c>
      <c r="B59" s="6" t="s">
        <v>116</v>
      </c>
      <c r="C59" s="7">
        <v>94.48</v>
      </c>
      <c r="D59" s="6" t="s">
        <v>17</v>
      </c>
      <c r="E59" s="8">
        <v>45763</v>
      </c>
      <c r="F59" s="14" t="s">
        <v>121</v>
      </c>
      <c r="G59" s="50">
        <v>86.921819999999997</v>
      </c>
      <c r="H59" s="9">
        <v>8212.3735536000004</v>
      </c>
      <c r="I59" s="10">
        <v>0.02</v>
      </c>
      <c r="J59" s="11">
        <f t="shared" si="0"/>
        <v>164</v>
      </c>
    </row>
    <row r="60" spans="1:10">
      <c r="A60" s="6">
        <v>58</v>
      </c>
      <c r="B60" s="6" t="s">
        <v>118</v>
      </c>
      <c r="C60" s="7">
        <v>43.2</v>
      </c>
      <c r="D60" s="6" t="s">
        <v>17</v>
      </c>
      <c r="E60" s="8">
        <v>45763</v>
      </c>
      <c r="F60" s="14" t="s">
        <v>121</v>
      </c>
      <c r="G60" s="50">
        <v>86.921819999999997</v>
      </c>
      <c r="H60" s="9">
        <v>3755.0226240000002</v>
      </c>
      <c r="I60" s="10">
        <v>0.02</v>
      </c>
      <c r="J60" s="11">
        <f t="shared" si="0"/>
        <v>75</v>
      </c>
    </row>
    <row r="61" spans="1:10">
      <c r="A61" s="6">
        <v>59</v>
      </c>
      <c r="B61" s="6" t="s">
        <v>122</v>
      </c>
      <c r="C61" s="7">
        <v>26.4</v>
      </c>
      <c r="D61" s="6" t="s">
        <v>17</v>
      </c>
      <c r="E61" s="8">
        <v>45762</v>
      </c>
      <c r="F61" s="14" t="s">
        <v>123</v>
      </c>
      <c r="G61" s="50">
        <v>86.921819999999997</v>
      </c>
      <c r="H61" s="9">
        <v>2294.7360479999998</v>
      </c>
      <c r="I61" s="10">
        <v>0.02</v>
      </c>
      <c r="J61" s="11">
        <f t="shared" si="0"/>
        <v>46</v>
      </c>
    </row>
    <row r="62" spans="1:10">
      <c r="A62" s="6">
        <v>60</v>
      </c>
      <c r="B62" s="6" t="s">
        <v>124</v>
      </c>
      <c r="C62" s="7">
        <v>94.48</v>
      </c>
      <c r="D62" s="6" t="s">
        <v>17</v>
      </c>
      <c r="E62" s="8">
        <v>45762</v>
      </c>
      <c r="F62" s="14" t="s">
        <v>123</v>
      </c>
      <c r="G62" s="50">
        <v>86.921819999999997</v>
      </c>
      <c r="H62" s="9">
        <v>8212.3735536000004</v>
      </c>
      <c r="I62" s="10">
        <v>0.02</v>
      </c>
      <c r="J62" s="11">
        <f t="shared" si="0"/>
        <v>164</v>
      </c>
    </row>
    <row r="63" spans="1:10">
      <c r="A63" s="6">
        <v>61</v>
      </c>
      <c r="B63" s="6" t="s">
        <v>125</v>
      </c>
      <c r="C63" s="7">
        <v>43.2</v>
      </c>
      <c r="D63" s="6" t="s">
        <v>17</v>
      </c>
      <c r="E63" s="8">
        <v>45762</v>
      </c>
      <c r="F63" s="14" t="s">
        <v>123</v>
      </c>
      <c r="G63" s="50">
        <v>86.921819999999997</v>
      </c>
      <c r="H63" s="9">
        <v>3755.0226240000002</v>
      </c>
      <c r="I63" s="10">
        <v>0.02</v>
      </c>
      <c r="J63" s="11">
        <f t="shared" si="0"/>
        <v>75</v>
      </c>
    </row>
    <row r="64" spans="1:10">
      <c r="A64" s="6">
        <v>62</v>
      </c>
      <c r="B64" s="6" t="s">
        <v>122</v>
      </c>
      <c r="C64" s="7">
        <v>26.4</v>
      </c>
      <c r="D64" s="6" t="s">
        <v>17</v>
      </c>
      <c r="E64" s="8">
        <v>45762</v>
      </c>
      <c r="F64" s="14" t="s">
        <v>126</v>
      </c>
      <c r="G64" s="50">
        <v>86.921819999999997</v>
      </c>
      <c r="H64" s="9">
        <v>2294.7360479999998</v>
      </c>
      <c r="I64" s="10">
        <v>0.02</v>
      </c>
      <c r="J64" s="11">
        <f t="shared" si="0"/>
        <v>46</v>
      </c>
    </row>
    <row r="65" spans="1:10">
      <c r="A65" s="6">
        <v>63</v>
      </c>
      <c r="B65" s="6" t="s">
        <v>124</v>
      </c>
      <c r="C65" s="7">
        <v>94.48</v>
      </c>
      <c r="D65" s="6" t="s">
        <v>17</v>
      </c>
      <c r="E65" s="8">
        <v>45762</v>
      </c>
      <c r="F65" s="14" t="s">
        <v>126</v>
      </c>
      <c r="G65" s="50">
        <v>86.921819999999997</v>
      </c>
      <c r="H65" s="9">
        <v>8212.3735536000004</v>
      </c>
      <c r="I65" s="10">
        <v>0.02</v>
      </c>
      <c r="J65" s="11">
        <f t="shared" si="0"/>
        <v>164</v>
      </c>
    </row>
    <row r="66" spans="1:10">
      <c r="A66" s="6">
        <v>64</v>
      </c>
      <c r="B66" s="6" t="s">
        <v>125</v>
      </c>
      <c r="C66" s="7">
        <v>43.2</v>
      </c>
      <c r="D66" s="6" t="s">
        <v>17</v>
      </c>
      <c r="E66" s="8">
        <v>45762</v>
      </c>
      <c r="F66" s="14" t="s">
        <v>126</v>
      </c>
      <c r="G66" s="50">
        <v>86.921819999999997</v>
      </c>
      <c r="H66" s="9">
        <v>3755.0226240000002</v>
      </c>
      <c r="I66" s="10">
        <v>0.02</v>
      </c>
      <c r="J66" s="11">
        <f t="shared" si="0"/>
        <v>75</v>
      </c>
    </row>
    <row r="67" spans="1:10">
      <c r="A67" s="6">
        <v>65</v>
      </c>
      <c r="B67" s="6" t="s">
        <v>122</v>
      </c>
      <c r="C67" s="7">
        <v>52.8</v>
      </c>
      <c r="D67" s="6" t="s">
        <v>17</v>
      </c>
      <c r="E67" s="8">
        <v>45762</v>
      </c>
      <c r="F67" s="14" t="s">
        <v>127</v>
      </c>
      <c r="G67" s="50">
        <v>86.921819999999997</v>
      </c>
      <c r="H67" s="9">
        <v>4589.4720959999995</v>
      </c>
      <c r="I67" s="10">
        <v>0.02</v>
      </c>
      <c r="J67" s="11">
        <f t="shared" si="0"/>
        <v>92</v>
      </c>
    </row>
    <row r="68" spans="1:10">
      <c r="A68" s="6">
        <v>66</v>
      </c>
      <c r="B68" s="6" t="s">
        <v>124</v>
      </c>
      <c r="C68" s="7">
        <v>188.95</v>
      </c>
      <c r="D68" s="6" t="s">
        <v>17</v>
      </c>
      <c r="E68" s="8">
        <v>45762</v>
      </c>
      <c r="F68" s="14" t="s">
        <v>127</v>
      </c>
      <c r="G68" s="50">
        <v>86.921819999999997</v>
      </c>
      <c r="H68" s="9">
        <v>16423.877888999999</v>
      </c>
      <c r="I68" s="10">
        <v>0.02</v>
      </c>
      <c r="J68" s="11">
        <f t="shared" ref="J68:J131" si="1">ROUND(H68*I68,0)</f>
        <v>328</v>
      </c>
    </row>
    <row r="69" spans="1:10">
      <c r="A69" s="6">
        <v>67</v>
      </c>
      <c r="B69" s="6" t="s">
        <v>125</v>
      </c>
      <c r="C69" s="7">
        <v>86.4</v>
      </c>
      <c r="D69" s="6" t="s">
        <v>17</v>
      </c>
      <c r="E69" s="8">
        <v>45762</v>
      </c>
      <c r="F69" s="14" t="s">
        <v>127</v>
      </c>
      <c r="G69" s="50">
        <v>86.921819999999997</v>
      </c>
      <c r="H69" s="9">
        <v>7510.0452480000004</v>
      </c>
      <c r="I69" s="10">
        <v>0.02</v>
      </c>
      <c r="J69" s="11">
        <f t="shared" si="1"/>
        <v>150</v>
      </c>
    </row>
    <row r="70" spans="1:10">
      <c r="A70" s="6">
        <v>68</v>
      </c>
      <c r="B70" s="6" t="s">
        <v>122</v>
      </c>
      <c r="C70" s="7">
        <v>26.4</v>
      </c>
      <c r="D70" s="6" t="s">
        <v>17</v>
      </c>
      <c r="E70" s="8">
        <v>45762</v>
      </c>
      <c r="F70" s="14" t="s">
        <v>128</v>
      </c>
      <c r="G70" s="50">
        <v>86.921819999999997</v>
      </c>
      <c r="H70" s="9">
        <v>2294.7360479999998</v>
      </c>
      <c r="I70" s="10">
        <v>0.02</v>
      </c>
      <c r="J70" s="11">
        <f t="shared" si="1"/>
        <v>46</v>
      </c>
    </row>
    <row r="71" spans="1:10">
      <c r="A71" s="6">
        <v>69</v>
      </c>
      <c r="B71" s="6" t="s">
        <v>124</v>
      </c>
      <c r="C71" s="7">
        <v>94.48</v>
      </c>
      <c r="D71" s="6" t="s">
        <v>17</v>
      </c>
      <c r="E71" s="8">
        <v>45762</v>
      </c>
      <c r="F71" s="14" t="s">
        <v>128</v>
      </c>
      <c r="G71" s="50">
        <v>86.921819999999997</v>
      </c>
      <c r="H71" s="9">
        <v>8212.3735536000004</v>
      </c>
      <c r="I71" s="10">
        <v>0.02</v>
      </c>
      <c r="J71" s="11">
        <f t="shared" si="1"/>
        <v>164</v>
      </c>
    </row>
    <row r="72" spans="1:10">
      <c r="A72" s="6">
        <v>70</v>
      </c>
      <c r="B72" s="6" t="s">
        <v>125</v>
      </c>
      <c r="C72" s="7">
        <v>43.2</v>
      </c>
      <c r="D72" s="6" t="s">
        <v>17</v>
      </c>
      <c r="E72" s="8">
        <v>45762</v>
      </c>
      <c r="F72" s="14" t="s">
        <v>128</v>
      </c>
      <c r="G72" s="50">
        <v>86.921819999999997</v>
      </c>
      <c r="H72" s="9">
        <v>3755.0226240000002</v>
      </c>
      <c r="I72" s="10">
        <v>0.02</v>
      </c>
      <c r="J72" s="11">
        <f t="shared" si="1"/>
        <v>75</v>
      </c>
    </row>
    <row r="73" spans="1:10">
      <c r="A73" s="6">
        <v>71</v>
      </c>
      <c r="B73" s="6" t="s">
        <v>129</v>
      </c>
      <c r="C73" s="7">
        <v>359.66</v>
      </c>
      <c r="D73" s="6" t="s">
        <v>98</v>
      </c>
      <c r="E73" s="8">
        <v>45769</v>
      </c>
      <c r="F73" s="14" t="s">
        <v>130</v>
      </c>
      <c r="G73" s="50">
        <v>86.921819999999997</v>
      </c>
      <c r="H73" s="9">
        <v>31262.3017812</v>
      </c>
      <c r="I73" s="10">
        <v>0.02</v>
      </c>
      <c r="J73" s="11">
        <f t="shared" si="1"/>
        <v>625</v>
      </c>
    </row>
    <row r="74" spans="1:10">
      <c r="A74" s="6">
        <v>72</v>
      </c>
      <c r="B74" s="18" t="s">
        <v>131</v>
      </c>
      <c r="C74" s="7">
        <v>172.8</v>
      </c>
      <c r="D74" s="6" t="s">
        <v>98</v>
      </c>
      <c r="E74" s="8">
        <v>45769</v>
      </c>
      <c r="F74" s="14" t="s">
        <v>130</v>
      </c>
      <c r="G74" s="50">
        <v>86.921819999999997</v>
      </c>
      <c r="H74" s="9">
        <v>15020.090496000001</v>
      </c>
      <c r="I74" s="10">
        <v>0.02</v>
      </c>
      <c r="J74" s="11">
        <f t="shared" si="1"/>
        <v>300</v>
      </c>
    </row>
    <row r="75" spans="1:10">
      <c r="A75" s="6">
        <v>73</v>
      </c>
      <c r="B75" s="6" t="s">
        <v>132</v>
      </c>
      <c r="C75" s="7">
        <v>359.66</v>
      </c>
      <c r="D75" s="6" t="s">
        <v>98</v>
      </c>
      <c r="E75" s="8">
        <v>45769</v>
      </c>
      <c r="F75" s="14" t="s">
        <v>133</v>
      </c>
      <c r="G75" s="50">
        <v>86.921819999999997</v>
      </c>
      <c r="H75" s="9">
        <v>31262.3017812</v>
      </c>
      <c r="I75" s="10">
        <v>0.02</v>
      </c>
      <c r="J75" s="11">
        <f t="shared" si="1"/>
        <v>625</v>
      </c>
    </row>
    <row r="76" spans="1:10">
      <c r="A76" s="6">
        <v>74</v>
      </c>
      <c r="B76" s="6" t="s">
        <v>134</v>
      </c>
      <c r="C76" s="7">
        <v>108</v>
      </c>
      <c r="D76" s="6" t="s">
        <v>98</v>
      </c>
      <c r="E76" s="8">
        <v>45769</v>
      </c>
      <c r="F76" s="14" t="s">
        <v>133</v>
      </c>
      <c r="G76" s="50">
        <v>86.921819999999997</v>
      </c>
      <c r="H76" s="9">
        <v>9387.5565599999991</v>
      </c>
      <c r="I76" s="10">
        <v>0.02</v>
      </c>
      <c r="J76" s="11">
        <f t="shared" si="1"/>
        <v>188</v>
      </c>
    </row>
    <row r="77" spans="1:10">
      <c r="A77" s="6">
        <v>75</v>
      </c>
      <c r="B77" s="6" t="s">
        <v>135</v>
      </c>
      <c r="C77" s="7">
        <v>172.8</v>
      </c>
      <c r="D77" s="6" t="s">
        <v>98</v>
      </c>
      <c r="E77" s="8">
        <v>45769</v>
      </c>
      <c r="F77" s="14" t="s">
        <v>133</v>
      </c>
      <c r="G77" s="50">
        <v>86.921819999999997</v>
      </c>
      <c r="H77" s="9">
        <v>15020.090496000001</v>
      </c>
      <c r="I77" s="10">
        <v>0.02</v>
      </c>
      <c r="J77" s="11">
        <f t="shared" si="1"/>
        <v>300</v>
      </c>
    </row>
    <row r="78" spans="1:10">
      <c r="A78" s="6">
        <v>76</v>
      </c>
      <c r="B78" s="6" t="s">
        <v>136</v>
      </c>
      <c r="C78" s="7">
        <v>720</v>
      </c>
      <c r="D78" s="6" t="s">
        <v>98</v>
      </c>
      <c r="E78" s="8">
        <v>45769</v>
      </c>
      <c r="F78" s="14" t="s">
        <v>133</v>
      </c>
      <c r="G78" s="50">
        <v>86.921819999999997</v>
      </c>
      <c r="H78" s="9">
        <v>62583.710399999996</v>
      </c>
      <c r="I78" s="10">
        <v>0.02</v>
      </c>
      <c r="J78" s="11">
        <f t="shared" si="1"/>
        <v>1252</v>
      </c>
    </row>
    <row r="79" spans="1:10">
      <c r="A79" s="6">
        <v>77</v>
      </c>
      <c r="B79" s="6" t="s">
        <v>137</v>
      </c>
      <c r="C79" s="7">
        <v>180</v>
      </c>
      <c r="D79" s="6" t="s">
        <v>138</v>
      </c>
      <c r="E79" s="8">
        <v>45770</v>
      </c>
      <c r="F79" s="14" t="s">
        <v>139</v>
      </c>
      <c r="G79" s="49">
        <v>86.921827690613824</v>
      </c>
      <c r="H79" s="9">
        <v>15645.928984310489</v>
      </c>
      <c r="I79" s="10">
        <v>0.02</v>
      </c>
      <c r="J79" s="11">
        <f t="shared" si="1"/>
        <v>313</v>
      </c>
    </row>
    <row r="80" spans="1:10">
      <c r="A80" s="6">
        <v>78</v>
      </c>
      <c r="B80" s="6" t="s">
        <v>140</v>
      </c>
      <c r="C80" s="7">
        <v>27</v>
      </c>
      <c r="D80" s="6" t="s">
        <v>138</v>
      </c>
      <c r="E80" s="8">
        <v>45770</v>
      </c>
      <c r="F80" s="14" t="s">
        <v>139</v>
      </c>
      <c r="G80" s="49">
        <v>86.921827690613824</v>
      </c>
      <c r="H80" s="9">
        <v>2346.8893476465732</v>
      </c>
      <c r="I80" s="10">
        <v>0.02</v>
      </c>
      <c r="J80" s="11">
        <f t="shared" si="1"/>
        <v>47</v>
      </c>
    </row>
    <row r="81" spans="1:10">
      <c r="A81" s="6">
        <v>79</v>
      </c>
      <c r="B81" s="6" t="s">
        <v>141</v>
      </c>
      <c r="C81" s="7">
        <v>90</v>
      </c>
      <c r="D81" s="6" t="s">
        <v>138</v>
      </c>
      <c r="E81" s="8">
        <v>45770</v>
      </c>
      <c r="F81" s="14" t="s">
        <v>139</v>
      </c>
      <c r="G81" s="49">
        <v>86.921827690613824</v>
      </c>
      <c r="H81" s="9">
        <v>7822.9644921552444</v>
      </c>
      <c r="I81" s="10">
        <v>0.02</v>
      </c>
      <c r="J81" s="11">
        <f t="shared" si="1"/>
        <v>156</v>
      </c>
    </row>
    <row r="82" spans="1:10">
      <c r="A82" s="6">
        <v>80</v>
      </c>
      <c r="B82" s="6" t="s">
        <v>142</v>
      </c>
      <c r="C82" s="7">
        <v>26.4</v>
      </c>
      <c r="D82" s="6" t="s">
        <v>138</v>
      </c>
      <c r="E82" s="8">
        <v>45770</v>
      </c>
      <c r="F82" s="14" t="s">
        <v>139</v>
      </c>
      <c r="G82" s="49">
        <v>86.921827690613824</v>
      </c>
      <c r="H82" s="9">
        <v>2294.736251032205</v>
      </c>
      <c r="I82" s="10">
        <v>0.02</v>
      </c>
      <c r="J82" s="11">
        <f t="shared" si="1"/>
        <v>46</v>
      </c>
    </row>
    <row r="83" spans="1:10">
      <c r="A83" s="6">
        <v>81</v>
      </c>
      <c r="B83" s="6" t="s">
        <v>143</v>
      </c>
      <c r="C83" s="7">
        <v>171.48</v>
      </c>
      <c r="D83" s="6" t="s">
        <v>138</v>
      </c>
      <c r="E83" s="8">
        <v>45770</v>
      </c>
      <c r="F83" s="14" t="s">
        <v>139</v>
      </c>
      <c r="G83" s="49">
        <v>86.921827690613824</v>
      </c>
      <c r="H83" s="9">
        <v>14905.355012386457</v>
      </c>
      <c r="I83" s="10">
        <v>0.02</v>
      </c>
      <c r="J83" s="11">
        <f t="shared" si="1"/>
        <v>298</v>
      </c>
    </row>
    <row r="84" spans="1:10">
      <c r="A84" s="6">
        <v>82</v>
      </c>
      <c r="B84" s="6" t="s">
        <v>144</v>
      </c>
      <c r="C84" s="7">
        <v>86.4</v>
      </c>
      <c r="D84" s="6" t="s">
        <v>138</v>
      </c>
      <c r="E84" s="8">
        <v>45770</v>
      </c>
      <c r="F84" s="14" t="s">
        <v>139</v>
      </c>
      <c r="G84" s="49">
        <v>86.921827690613824</v>
      </c>
      <c r="H84" s="9">
        <v>7510.0459124690351</v>
      </c>
      <c r="I84" s="10">
        <v>0.02</v>
      </c>
      <c r="J84" s="11">
        <f t="shared" si="1"/>
        <v>150</v>
      </c>
    </row>
    <row r="85" spans="1:10">
      <c r="A85" s="6">
        <v>83</v>
      </c>
      <c r="B85" s="6" t="s">
        <v>145</v>
      </c>
      <c r="C85" s="7">
        <v>110.6</v>
      </c>
      <c r="D85" s="6" t="s">
        <v>138</v>
      </c>
      <c r="E85" s="8">
        <v>45770</v>
      </c>
      <c r="F85" s="14" t="s">
        <v>146</v>
      </c>
      <c r="G85" s="49">
        <v>86.972691807542247</v>
      </c>
      <c r="H85" s="9">
        <v>9619.1797139141727</v>
      </c>
      <c r="I85" s="10">
        <v>0.02</v>
      </c>
      <c r="J85" s="11">
        <f t="shared" si="1"/>
        <v>192</v>
      </c>
    </row>
    <row r="86" spans="1:10">
      <c r="A86" s="6">
        <v>84</v>
      </c>
      <c r="B86" s="6" t="s">
        <v>144</v>
      </c>
      <c r="C86" s="7">
        <v>43.2</v>
      </c>
      <c r="D86" s="6" t="s">
        <v>138</v>
      </c>
      <c r="E86" s="8">
        <v>45770</v>
      </c>
      <c r="F86" s="14" t="s">
        <v>146</v>
      </c>
      <c r="G86" s="49">
        <v>86.972691807542247</v>
      </c>
      <c r="H86" s="9">
        <v>3757.2202860858251</v>
      </c>
      <c r="I86" s="10">
        <v>0.02</v>
      </c>
      <c r="J86" s="11">
        <f t="shared" si="1"/>
        <v>75</v>
      </c>
    </row>
    <row r="87" spans="1:10">
      <c r="A87" s="6">
        <v>85</v>
      </c>
      <c r="B87" s="19" t="s">
        <v>147</v>
      </c>
      <c r="C87" s="7">
        <v>51.73</v>
      </c>
      <c r="D87" s="6" t="s">
        <v>138</v>
      </c>
      <c r="E87" s="8">
        <v>45787</v>
      </c>
      <c r="F87" s="20">
        <v>256779413234</v>
      </c>
      <c r="G87" s="21">
        <v>85.983699999999999</v>
      </c>
      <c r="H87" s="9">
        <v>4447.9368009999998</v>
      </c>
      <c r="I87" s="10">
        <v>0.02</v>
      </c>
      <c r="J87" s="11">
        <f t="shared" si="1"/>
        <v>89</v>
      </c>
    </row>
    <row r="88" spans="1:10">
      <c r="A88" s="6">
        <v>86</v>
      </c>
      <c r="B88" s="19" t="s">
        <v>148</v>
      </c>
      <c r="C88" s="7">
        <v>25.67</v>
      </c>
      <c r="D88" s="6" t="s">
        <v>138</v>
      </c>
      <c r="E88" s="8">
        <v>45771</v>
      </c>
      <c r="F88" s="20">
        <v>256779412766</v>
      </c>
      <c r="G88" s="21">
        <v>86.921819999999997</v>
      </c>
      <c r="H88" s="9">
        <v>2231.2831194</v>
      </c>
      <c r="I88" s="10">
        <v>0.02</v>
      </c>
      <c r="J88" s="11">
        <f t="shared" si="1"/>
        <v>45</v>
      </c>
    </row>
    <row r="89" spans="1:10">
      <c r="A89" s="6">
        <v>87</v>
      </c>
      <c r="B89" s="19" t="s">
        <v>150</v>
      </c>
      <c r="C89" s="7">
        <v>42.33</v>
      </c>
      <c r="D89" s="6" t="s">
        <v>138</v>
      </c>
      <c r="E89" s="8">
        <v>45787</v>
      </c>
      <c r="F89" s="20">
        <v>256779413248</v>
      </c>
      <c r="G89" s="21">
        <v>85.983699999999999</v>
      </c>
      <c r="H89" s="9">
        <v>3639.6900209999999</v>
      </c>
      <c r="I89" s="10">
        <v>0.02</v>
      </c>
      <c r="J89" s="11">
        <f t="shared" si="1"/>
        <v>73</v>
      </c>
    </row>
    <row r="90" spans="1:10">
      <c r="A90" s="6">
        <v>88</v>
      </c>
      <c r="B90" s="19" t="s">
        <v>151</v>
      </c>
      <c r="C90" s="7">
        <v>94.48</v>
      </c>
      <c r="D90" s="6" t="s">
        <v>92</v>
      </c>
      <c r="E90" s="8">
        <v>45736</v>
      </c>
      <c r="F90" s="20">
        <v>246779413959</v>
      </c>
      <c r="G90" s="51">
        <v>86.69126</v>
      </c>
      <c r="H90" s="9">
        <v>8190.5902448000006</v>
      </c>
      <c r="I90" s="10">
        <v>0.02</v>
      </c>
      <c r="J90" s="11">
        <f t="shared" si="1"/>
        <v>164</v>
      </c>
    </row>
    <row r="91" spans="1:10">
      <c r="A91" s="6">
        <v>89</v>
      </c>
      <c r="B91" s="19" t="s">
        <v>152</v>
      </c>
      <c r="C91" s="7">
        <v>27</v>
      </c>
      <c r="D91" s="6" t="s">
        <v>92</v>
      </c>
      <c r="E91" s="8">
        <v>45736</v>
      </c>
      <c r="F91" s="20">
        <v>246779413959</v>
      </c>
      <c r="G91" s="51">
        <v>86.69126</v>
      </c>
      <c r="H91" s="9">
        <v>2340.6640200000002</v>
      </c>
      <c r="I91" s="10">
        <v>0.02</v>
      </c>
      <c r="J91" s="11">
        <f t="shared" si="1"/>
        <v>47</v>
      </c>
    </row>
    <row r="92" spans="1:10">
      <c r="A92" s="6">
        <v>90</v>
      </c>
      <c r="B92" s="19" t="s">
        <v>153</v>
      </c>
      <c r="C92" s="7">
        <v>43.2</v>
      </c>
      <c r="D92" s="6" t="s">
        <v>92</v>
      </c>
      <c r="E92" s="8">
        <v>45736</v>
      </c>
      <c r="F92" s="20">
        <v>246779413959</v>
      </c>
      <c r="G92" s="51">
        <v>86.69126</v>
      </c>
      <c r="H92" s="9">
        <v>3745.0624320000002</v>
      </c>
      <c r="I92" s="10">
        <v>0.02</v>
      </c>
      <c r="J92" s="11">
        <f t="shared" si="1"/>
        <v>75</v>
      </c>
    </row>
    <row r="93" spans="1:10">
      <c r="A93" s="6">
        <v>91</v>
      </c>
      <c r="B93" s="19" t="s">
        <v>151</v>
      </c>
      <c r="C93" s="7">
        <v>94.48</v>
      </c>
      <c r="D93" s="6" t="s">
        <v>92</v>
      </c>
      <c r="E93" s="8">
        <v>45736</v>
      </c>
      <c r="F93" s="20">
        <v>246779413960</v>
      </c>
      <c r="G93" s="51">
        <v>86.69126</v>
      </c>
      <c r="H93" s="9">
        <v>8190.5902448000006</v>
      </c>
      <c r="I93" s="10">
        <v>0.02</v>
      </c>
      <c r="J93" s="11">
        <f t="shared" si="1"/>
        <v>164</v>
      </c>
    </row>
    <row r="94" spans="1:10">
      <c r="A94" s="6">
        <v>92</v>
      </c>
      <c r="B94" s="19" t="s">
        <v>152</v>
      </c>
      <c r="C94" s="7">
        <v>27</v>
      </c>
      <c r="D94" s="6" t="s">
        <v>92</v>
      </c>
      <c r="E94" s="8">
        <v>45736</v>
      </c>
      <c r="F94" s="20">
        <v>246779413960</v>
      </c>
      <c r="G94" s="51">
        <v>86.69126</v>
      </c>
      <c r="H94" s="9">
        <v>2340.6640200000002</v>
      </c>
      <c r="I94" s="10">
        <v>0.02</v>
      </c>
      <c r="J94" s="11">
        <f t="shared" si="1"/>
        <v>47</v>
      </c>
    </row>
    <row r="95" spans="1:10">
      <c r="A95" s="6">
        <v>93</v>
      </c>
      <c r="B95" s="19" t="s">
        <v>153</v>
      </c>
      <c r="C95" s="7">
        <v>43.2</v>
      </c>
      <c r="D95" s="6" t="s">
        <v>92</v>
      </c>
      <c r="E95" s="8">
        <v>45736</v>
      </c>
      <c r="F95" s="20">
        <v>246779413960</v>
      </c>
      <c r="G95" s="51">
        <v>86.69126</v>
      </c>
      <c r="H95" s="9">
        <v>3745.0624320000002</v>
      </c>
      <c r="I95" s="10">
        <v>0.02</v>
      </c>
      <c r="J95" s="11">
        <f t="shared" si="1"/>
        <v>75</v>
      </c>
    </row>
    <row r="96" spans="1:10">
      <c r="A96" s="6">
        <v>94</v>
      </c>
      <c r="B96" s="19" t="s">
        <v>151</v>
      </c>
      <c r="C96" s="7">
        <v>188.95</v>
      </c>
      <c r="D96" s="6" t="s">
        <v>92</v>
      </c>
      <c r="E96" s="8">
        <v>45736</v>
      </c>
      <c r="F96" s="20">
        <v>246779413963</v>
      </c>
      <c r="G96" s="51">
        <v>86.69126</v>
      </c>
      <c r="H96" s="9">
        <v>16380.313576999999</v>
      </c>
      <c r="I96" s="10">
        <v>0.02</v>
      </c>
      <c r="J96" s="11">
        <f t="shared" si="1"/>
        <v>328</v>
      </c>
    </row>
    <row r="97" spans="1:10">
      <c r="A97" s="6">
        <v>95</v>
      </c>
      <c r="B97" s="19" t="s">
        <v>152</v>
      </c>
      <c r="C97" s="7">
        <v>54</v>
      </c>
      <c r="D97" s="6" t="s">
        <v>92</v>
      </c>
      <c r="E97" s="8">
        <v>45736</v>
      </c>
      <c r="F97" s="20">
        <v>246779413963</v>
      </c>
      <c r="G97" s="51">
        <v>86.69126</v>
      </c>
      <c r="H97" s="9">
        <v>4681.3280400000003</v>
      </c>
      <c r="I97" s="10">
        <v>0.02</v>
      </c>
      <c r="J97" s="11">
        <f t="shared" si="1"/>
        <v>94</v>
      </c>
    </row>
    <row r="98" spans="1:10">
      <c r="A98" s="6">
        <v>96</v>
      </c>
      <c r="B98" s="19" t="s">
        <v>153</v>
      </c>
      <c r="C98" s="7">
        <v>86.4</v>
      </c>
      <c r="D98" s="6" t="s">
        <v>92</v>
      </c>
      <c r="E98" s="8">
        <v>45736</v>
      </c>
      <c r="F98" s="20">
        <v>246779413963</v>
      </c>
      <c r="G98" s="51">
        <v>86.69126</v>
      </c>
      <c r="H98" s="9">
        <v>7490.1248640000003</v>
      </c>
      <c r="I98" s="10">
        <v>0.02</v>
      </c>
      <c r="J98" s="11">
        <f t="shared" si="1"/>
        <v>150</v>
      </c>
    </row>
    <row r="99" spans="1:10">
      <c r="A99" s="6">
        <v>97</v>
      </c>
      <c r="B99" s="19" t="s">
        <v>154</v>
      </c>
      <c r="C99" s="7">
        <v>188.95</v>
      </c>
      <c r="D99" s="6" t="s">
        <v>138</v>
      </c>
      <c r="E99" s="8">
        <v>45793</v>
      </c>
      <c r="F99" s="20">
        <v>256779413331</v>
      </c>
      <c r="G99" s="51">
        <v>85.983699999999999</v>
      </c>
      <c r="H99" s="9">
        <v>16246.620115</v>
      </c>
      <c r="I99" s="10">
        <v>0.02</v>
      </c>
      <c r="J99" s="11">
        <f t="shared" si="1"/>
        <v>325</v>
      </c>
    </row>
    <row r="100" spans="1:10">
      <c r="A100" s="6">
        <v>98</v>
      </c>
      <c r="B100" s="19" t="s">
        <v>155</v>
      </c>
      <c r="C100" s="7">
        <v>188.95</v>
      </c>
      <c r="D100" s="6" t="s">
        <v>138</v>
      </c>
      <c r="E100" s="8">
        <v>45797</v>
      </c>
      <c r="F100" s="20">
        <v>256779413466</v>
      </c>
      <c r="G100" s="51">
        <v>85.983699999999999</v>
      </c>
      <c r="H100" s="9">
        <v>16246.620115</v>
      </c>
      <c r="I100" s="10">
        <v>0.02</v>
      </c>
      <c r="J100" s="11">
        <f t="shared" si="1"/>
        <v>325</v>
      </c>
    </row>
    <row r="101" spans="1:10">
      <c r="A101" s="6">
        <v>99</v>
      </c>
      <c r="B101" s="19" t="s">
        <v>156</v>
      </c>
      <c r="C101" s="7">
        <v>746.12</v>
      </c>
      <c r="D101" s="6" t="s">
        <v>138</v>
      </c>
      <c r="E101" s="8">
        <v>45805</v>
      </c>
      <c r="F101" s="20">
        <v>256779413906</v>
      </c>
      <c r="G101" s="51">
        <v>85.983699999999999</v>
      </c>
      <c r="H101" s="9">
        <v>64154.158243999998</v>
      </c>
      <c r="I101" s="10">
        <v>0.1</v>
      </c>
      <c r="J101" s="11">
        <f t="shared" si="1"/>
        <v>6415</v>
      </c>
    </row>
    <row r="102" spans="1:10">
      <c r="A102" s="6">
        <v>100</v>
      </c>
      <c r="B102" s="19" t="s">
        <v>157</v>
      </c>
      <c r="C102" s="7">
        <v>51.5</v>
      </c>
      <c r="D102" s="6" t="s">
        <v>158</v>
      </c>
      <c r="E102" s="8">
        <v>45797</v>
      </c>
      <c r="F102" s="20">
        <v>256779413830</v>
      </c>
      <c r="G102" s="51">
        <v>85.983699999999999</v>
      </c>
      <c r="H102" s="9">
        <v>4428.1605499999996</v>
      </c>
      <c r="I102" s="10">
        <v>0.02</v>
      </c>
      <c r="J102" s="11">
        <f t="shared" si="1"/>
        <v>89</v>
      </c>
    </row>
    <row r="103" spans="1:10">
      <c r="A103" s="6">
        <v>101</v>
      </c>
      <c r="B103" s="19" t="s">
        <v>159</v>
      </c>
      <c r="C103" s="7">
        <v>42.14</v>
      </c>
      <c r="D103" s="6" t="s">
        <v>158</v>
      </c>
      <c r="E103" s="8">
        <v>45797</v>
      </c>
      <c r="F103" s="20">
        <v>256779413838</v>
      </c>
      <c r="G103" s="51">
        <v>85.983699999999999</v>
      </c>
      <c r="H103" s="9">
        <v>3623.353118</v>
      </c>
      <c r="I103" s="10">
        <v>0.02</v>
      </c>
      <c r="J103" s="11">
        <f t="shared" si="1"/>
        <v>72</v>
      </c>
    </row>
    <row r="104" spans="1:10">
      <c r="A104" s="6">
        <v>102</v>
      </c>
      <c r="B104" s="24" t="s">
        <v>160</v>
      </c>
      <c r="C104" s="7">
        <v>49.95</v>
      </c>
      <c r="D104" s="6" t="s">
        <v>138</v>
      </c>
      <c r="E104" s="8">
        <v>45793</v>
      </c>
      <c r="F104" s="25">
        <v>256779413262</v>
      </c>
      <c r="G104" s="52">
        <v>85.983699999999999</v>
      </c>
      <c r="H104" s="9">
        <v>4294.8858150000005</v>
      </c>
      <c r="I104" s="10">
        <v>0.02</v>
      </c>
      <c r="J104" s="11">
        <f t="shared" si="1"/>
        <v>86</v>
      </c>
    </row>
    <row r="105" spans="1:10">
      <c r="A105" s="6">
        <v>103</v>
      </c>
      <c r="B105" s="24" t="s">
        <v>161</v>
      </c>
      <c r="C105" s="7">
        <v>105.6</v>
      </c>
      <c r="D105" s="6" t="s">
        <v>138</v>
      </c>
      <c r="E105" s="8">
        <v>45793</v>
      </c>
      <c r="F105" s="25">
        <v>256779413294</v>
      </c>
      <c r="G105" s="52">
        <v>85.983699999999999</v>
      </c>
      <c r="H105" s="9">
        <v>9079.8787199999988</v>
      </c>
      <c r="I105" s="10">
        <v>0.02</v>
      </c>
      <c r="J105" s="11">
        <f t="shared" si="1"/>
        <v>182</v>
      </c>
    </row>
    <row r="106" spans="1:10">
      <c r="A106" s="6">
        <v>104</v>
      </c>
      <c r="B106" s="24" t="s">
        <v>162</v>
      </c>
      <c r="C106" s="7">
        <v>377.9</v>
      </c>
      <c r="D106" s="6" t="s">
        <v>138</v>
      </c>
      <c r="E106" s="8">
        <v>45793</v>
      </c>
      <c r="F106" s="25">
        <v>256779413294</v>
      </c>
      <c r="G106" s="52">
        <v>85.983699999999999</v>
      </c>
      <c r="H106" s="9">
        <v>32493.240229999999</v>
      </c>
      <c r="I106" s="10">
        <v>0.02</v>
      </c>
      <c r="J106" s="11">
        <f t="shared" si="1"/>
        <v>650</v>
      </c>
    </row>
    <row r="107" spans="1:10">
      <c r="A107" s="6">
        <v>105</v>
      </c>
      <c r="B107" s="24" t="s">
        <v>163</v>
      </c>
      <c r="C107" s="7">
        <v>172.8</v>
      </c>
      <c r="D107" s="6" t="s">
        <v>138</v>
      </c>
      <c r="E107" s="8">
        <v>45793</v>
      </c>
      <c r="F107" s="25">
        <v>256779413294</v>
      </c>
      <c r="G107" s="52">
        <v>85.983699999999999</v>
      </c>
      <c r="H107" s="9">
        <v>14857.98336</v>
      </c>
      <c r="I107" s="10">
        <v>0.02</v>
      </c>
      <c r="J107" s="11">
        <f t="shared" si="1"/>
        <v>297</v>
      </c>
    </row>
    <row r="108" spans="1:10">
      <c r="A108" s="6">
        <v>106</v>
      </c>
      <c r="B108" s="19" t="s">
        <v>164</v>
      </c>
      <c r="C108" s="27">
        <v>1888.3379964000001</v>
      </c>
      <c r="D108" s="6" t="s">
        <v>158</v>
      </c>
      <c r="E108" s="8">
        <v>45815</v>
      </c>
      <c r="F108" s="20">
        <v>256779414249</v>
      </c>
      <c r="G108" s="51">
        <v>85.490780000000001</v>
      </c>
      <c r="H108" s="9">
        <v>161435.48821587319</v>
      </c>
      <c r="I108" s="10">
        <v>0.1</v>
      </c>
      <c r="J108" s="11">
        <f t="shared" si="1"/>
        <v>16144</v>
      </c>
    </row>
    <row r="109" spans="1:10">
      <c r="A109" s="6">
        <v>107</v>
      </c>
      <c r="B109" s="19" t="s">
        <v>165</v>
      </c>
      <c r="C109" s="28">
        <v>50</v>
      </c>
      <c r="D109" s="6" t="s">
        <v>158</v>
      </c>
      <c r="E109" s="8">
        <v>45812</v>
      </c>
      <c r="F109" s="29">
        <v>256779414282</v>
      </c>
      <c r="G109" s="51">
        <v>85.490780000000001</v>
      </c>
      <c r="H109" s="9">
        <v>4274.5389999999998</v>
      </c>
      <c r="I109" s="10">
        <v>0.02</v>
      </c>
      <c r="J109" s="11">
        <f t="shared" si="1"/>
        <v>85</v>
      </c>
    </row>
    <row r="110" spans="1:10">
      <c r="A110" s="6">
        <v>108</v>
      </c>
      <c r="B110" s="19" t="s">
        <v>167</v>
      </c>
      <c r="C110" s="28">
        <v>1080</v>
      </c>
      <c r="D110" s="6" t="s">
        <v>158</v>
      </c>
      <c r="E110" s="8">
        <v>45812</v>
      </c>
      <c r="F110" s="29">
        <v>256779414296</v>
      </c>
      <c r="G110" s="51">
        <v>85.490780000000001</v>
      </c>
      <c r="H110" s="9">
        <v>92330.042400000006</v>
      </c>
      <c r="I110" s="10">
        <v>0.02</v>
      </c>
      <c r="J110" s="11">
        <f t="shared" si="1"/>
        <v>1847</v>
      </c>
    </row>
    <row r="111" spans="1:10">
      <c r="A111" s="6">
        <v>109</v>
      </c>
      <c r="B111" s="19" t="s">
        <v>168</v>
      </c>
      <c r="C111" s="28">
        <v>162</v>
      </c>
      <c r="D111" s="6" t="s">
        <v>158</v>
      </c>
      <c r="E111" s="8">
        <v>45812</v>
      </c>
      <c r="F111" s="29">
        <v>256779414296</v>
      </c>
      <c r="G111" s="51">
        <v>85.490780000000001</v>
      </c>
      <c r="H111" s="9">
        <v>13849.506359999999</v>
      </c>
      <c r="I111" s="10">
        <v>0.02</v>
      </c>
      <c r="J111" s="11">
        <f t="shared" si="1"/>
        <v>277</v>
      </c>
    </row>
    <row r="112" spans="1:10">
      <c r="A112" s="6">
        <v>110</v>
      </c>
      <c r="B112" s="19" t="s">
        <v>169</v>
      </c>
      <c r="C112" s="28">
        <v>550.20000000000005</v>
      </c>
      <c r="D112" s="6" t="s">
        <v>158</v>
      </c>
      <c r="E112" s="8">
        <v>45812</v>
      </c>
      <c r="F112" s="29">
        <v>256779414296</v>
      </c>
      <c r="G112" s="51">
        <v>85.490780000000001</v>
      </c>
      <c r="H112" s="9">
        <v>47037.027156000004</v>
      </c>
      <c r="I112" s="10">
        <v>0.02</v>
      </c>
      <c r="J112" s="11">
        <f t="shared" si="1"/>
        <v>941</v>
      </c>
    </row>
    <row r="113" spans="1:10">
      <c r="A113" s="6">
        <v>111</v>
      </c>
      <c r="B113" s="19" t="s">
        <v>170</v>
      </c>
      <c r="C113" s="28">
        <v>38.630000000000003</v>
      </c>
      <c r="D113" s="6" t="s">
        <v>158</v>
      </c>
      <c r="E113" s="8">
        <v>45812</v>
      </c>
      <c r="F113" s="29">
        <v>256779414296</v>
      </c>
      <c r="G113" s="51">
        <v>85.490780000000001</v>
      </c>
      <c r="H113" s="9">
        <v>3302.5088314000004</v>
      </c>
      <c r="I113" s="10">
        <v>0.02</v>
      </c>
      <c r="J113" s="11">
        <f t="shared" si="1"/>
        <v>66</v>
      </c>
    </row>
    <row r="114" spans="1:10">
      <c r="A114" s="6">
        <v>112</v>
      </c>
      <c r="B114" s="19" t="s">
        <v>171</v>
      </c>
      <c r="C114" s="28">
        <v>259.2</v>
      </c>
      <c r="D114" s="6" t="s">
        <v>158</v>
      </c>
      <c r="E114" s="8">
        <v>45812</v>
      </c>
      <c r="F114" s="29">
        <v>256779414296</v>
      </c>
      <c r="G114" s="51">
        <v>85.490780000000001</v>
      </c>
      <c r="H114" s="9">
        <v>22159.210176000001</v>
      </c>
      <c r="I114" s="10">
        <v>0.02</v>
      </c>
      <c r="J114" s="11">
        <f t="shared" si="1"/>
        <v>443</v>
      </c>
    </row>
    <row r="115" spans="1:10">
      <c r="A115" s="6">
        <v>113</v>
      </c>
      <c r="B115" s="19" t="s">
        <v>172</v>
      </c>
      <c r="C115" s="28">
        <v>1440</v>
      </c>
      <c r="D115" s="12" t="s">
        <v>173</v>
      </c>
      <c r="E115" s="8">
        <v>45842</v>
      </c>
      <c r="F115" s="29" t="s">
        <v>174</v>
      </c>
      <c r="G115" s="51">
        <v>86.00067</v>
      </c>
      <c r="H115" s="9">
        <v>123840.9648</v>
      </c>
      <c r="I115" s="10">
        <v>0.02</v>
      </c>
      <c r="J115" s="11">
        <f t="shared" si="1"/>
        <v>2477</v>
      </c>
    </row>
    <row r="116" spans="1:10">
      <c r="A116" s="6">
        <v>114</v>
      </c>
      <c r="B116" s="19" t="s">
        <v>175</v>
      </c>
      <c r="C116" s="28">
        <v>216</v>
      </c>
      <c r="D116" s="12" t="s">
        <v>173</v>
      </c>
      <c r="E116" s="8">
        <v>45842</v>
      </c>
      <c r="F116" s="29" t="s">
        <v>174</v>
      </c>
      <c r="G116" s="51">
        <v>86.00067</v>
      </c>
      <c r="H116" s="9">
        <v>18576.14472</v>
      </c>
      <c r="I116" s="10">
        <v>0.02</v>
      </c>
      <c r="J116" s="11">
        <f t="shared" si="1"/>
        <v>372</v>
      </c>
    </row>
    <row r="117" spans="1:10">
      <c r="A117" s="6">
        <v>115</v>
      </c>
      <c r="B117" s="19" t="s">
        <v>176</v>
      </c>
      <c r="C117" s="28">
        <v>1088.0899999999999</v>
      </c>
      <c r="D117" s="12" t="s">
        <v>173</v>
      </c>
      <c r="E117" s="8">
        <v>45842</v>
      </c>
      <c r="F117" s="29" t="s">
        <v>174</v>
      </c>
      <c r="G117" s="51">
        <v>86.00067</v>
      </c>
      <c r="H117" s="9">
        <v>93576.469020299992</v>
      </c>
      <c r="I117" s="10">
        <v>0.02</v>
      </c>
      <c r="J117" s="11">
        <f t="shared" si="1"/>
        <v>1872</v>
      </c>
    </row>
    <row r="118" spans="1:10">
      <c r="A118" s="6">
        <v>116</v>
      </c>
      <c r="B118" s="19" t="s">
        <v>177</v>
      </c>
      <c r="C118" s="28">
        <v>518.4</v>
      </c>
      <c r="D118" s="12" t="s">
        <v>173</v>
      </c>
      <c r="E118" s="8">
        <v>45842</v>
      </c>
      <c r="F118" s="29" t="s">
        <v>174</v>
      </c>
      <c r="G118" s="51">
        <v>86.00067</v>
      </c>
      <c r="H118" s="9">
        <v>44582.747327999998</v>
      </c>
      <c r="I118" s="10">
        <v>0.02</v>
      </c>
      <c r="J118" s="11">
        <f t="shared" si="1"/>
        <v>892</v>
      </c>
    </row>
    <row r="119" spans="1:10">
      <c r="A119" s="6">
        <v>117</v>
      </c>
      <c r="B119" s="19" t="s">
        <v>178</v>
      </c>
      <c r="C119" s="28">
        <v>1350.66</v>
      </c>
      <c r="D119" s="12" t="s">
        <v>173</v>
      </c>
      <c r="E119" s="8">
        <v>45842</v>
      </c>
      <c r="F119" s="29" t="s">
        <v>179</v>
      </c>
      <c r="G119" s="51">
        <v>86.00067</v>
      </c>
      <c r="H119" s="9">
        <v>116157.6649422</v>
      </c>
      <c r="I119" s="10">
        <v>0.02</v>
      </c>
      <c r="J119" s="11">
        <f t="shared" si="1"/>
        <v>2323</v>
      </c>
    </row>
    <row r="120" spans="1:10">
      <c r="A120" s="6">
        <v>118</v>
      </c>
      <c r="B120" s="19" t="s">
        <v>180</v>
      </c>
      <c r="C120" s="28">
        <v>25</v>
      </c>
      <c r="D120" s="12" t="s">
        <v>173</v>
      </c>
      <c r="E120" s="8">
        <v>45842</v>
      </c>
      <c r="F120" s="29" t="s">
        <v>179</v>
      </c>
      <c r="G120" s="51">
        <v>86.00067</v>
      </c>
      <c r="H120" s="9">
        <v>2150.0167499999998</v>
      </c>
      <c r="I120" s="10">
        <v>0.02</v>
      </c>
      <c r="J120" s="11">
        <f t="shared" si="1"/>
        <v>43</v>
      </c>
    </row>
    <row r="121" spans="1:10">
      <c r="A121" s="6">
        <v>119</v>
      </c>
      <c r="B121" s="19" t="s">
        <v>181</v>
      </c>
      <c r="C121" s="28">
        <v>604.79999999999995</v>
      </c>
      <c r="D121" s="12" t="s">
        <v>173</v>
      </c>
      <c r="E121" s="8">
        <v>45842</v>
      </c>
      <c r="F121" s="29" t="s">
        <v>179</v>
      </c>
      <c r="G121" s="51">
        <v>86.00067</v>
      </c>
      <c r="H121" s="9">
        <v>52013.205215999995</v>
      </c>
      <c r="I121" s="10">
        <v>0.02</v>
      </c>
      <c r="J121" s="11">
        <f t="shared" si="1"/>
        <v>1040</v>
      </c>
    </row>
    <row r="122" spans="1:10">
      <c r="A122" s="6">
        <v>120</v>
      </c>
      <c r="B122" s="24" t="s">
        <v>182</v>
      </c>
      <c r="C122" s="26">
        <v>720</v>
      </c>
      <c r="D122" s="12" t="s">
        <v>173</v>
      </c>
      <c r="E122" s="8">
        <v>45842</v>
      </c>
      <c r="F122" s="29">
        <v>256779414998</v>
      </c>
      <c r="G122" s="51">
        <v>86.00067</v>
      </c>
      <c r="H122" s="9">
        <v>61920.482400000001</v>
      </c>
      <c r="I122" s="10">
        <v>0.02</v>
      </c>
      <c r="J122" s="11">
        <f t="shared" si="1"/>
        <v>1238</v>
      </c>
    </row>
    <row r="123" spans="1:10">
      <c r="A123" s="6">
        <v>121</v>
      </c>
      <c r="B123" s="24" t="s">
        <v>183</v>
      </c>
      <c r="C123" s="26">
        <v>108</v>
      </c>
      <c r="D123" s="12" t="s">
        <v>173</v>
      </c>
      <c r="E123" s="8">
        <v>45842</v>
      </c>
      <c r="F123" s="29">
        <v>256779414998</v>
      </c>
      <c r="G123" s="51">
        <v>86.00067</v>
      </c>
      <c r="H123" s="9">
        <v>9288.0723600000001</v>
      </c>
      <c r="I123" s="10">
        <v>0.02</v>
      </c>
      <c r="J123" s="11">
        <f t="shared" si="1"/>
        <v>186</v>
      </c>
    </row>
    <row r="124" spans="1:10">
      <c r="A124" s="6">
        <v>122</v>
      </c>
      <c r="B124" s="24" t="s">
        <v>184</v>
      </c>
      <c r="C124" s="26">
        <v>360</v>
      </c>
      <c r="D124" s="12" t="s">
        <v>173</v>
      </c>
      <c r="E124" s="8">
        <v>45842</v>
      </c>
      <c r="F124" s="29">
        <v>256779414998</v>
      </c>
      <c r="G124" s="51">
        <v>86.00067</v>
      </c>
      <c r="H124" s="9">
        <v>30960.2412</v>
      </c>
      <c r="I124" s="10">
        <v>0.02</v>
      </c>
      <c r="J124" s="11">
        <f t="shared" si="1"/>
        <v>619</v>
      </c>
    </row>
    <row r="125" spans="1:10">
      <c r="A125" s="6">
        <v>123</v>
      </c>
      <c r="B125" s="24" t="s">
        <v>185</v>
      </c>
      <c r="C125" s="26">
        <v>377.9</v>
      </c>
      <c r="D125" s="12" t="s">
        <v>173</v>
      </c>
      <c r="E125" s="8">
        <v>45842</v>
      </c>
      <c r="F125" s="29">
        <v>256779414998</v>
      </c>
      <c r="G125" s="51">
        <v>86.00067</v>
      </c>
      <c r="H125" s="9">
        <v>32499.653192999998</v>
      </c>
      <c r="I125" s="10">
        <v>0.02</v>
      </c>
      <c r="J125" s="11">
        <f t="shared" si="1"/>
        <v>650</v>
      </c>
    </row>
    <row r="126" spans="1:10">
      <c r="A126" s="6">
        <v>124</v>
      </c>
      <c r="B126" s="24" t="s">
        <v>186</v>
      </c>
      <c r="C126" s="26">
        <v>13.63</v>
      </c>
      <c r="D126" s="12" t="s">
        <v>173</v>
      </c>
      <c r="E126" s="8">
        <v>45842</v>
      </c>
      <c r="F126" s="29">
        <v>256779414998</v>
      </c>
      <c r="G126" s="51">
        <v>86.00067</v>
      </c>
      <c r="H126" s="9">
        <v>1172.1891321000001</v>
      </c>
      <c r="I126" s="10">
        <v>0.02</v>
      </c>
      <c r="J126" s="11">
        <f t="shared" si="1"/>
        <v>23</v>
      </c>
    </row>
    <row r="127" spans="1:10">
      <c r="A127" s="6">
        <v>125</v>
      </c>
      <c r="B127" s="24" t="s">
        <v>187</v>
      </c>
      <c r="C127" s="26">
        <v>172.8</v>
      </c>
      <c r="D127" s="12" t="s">
        <v>173</v>
      </c>
      <c r="E127" s="8">
        <v>45842</v>
      </c>
      <c r="F127" s="29">
        <v>256779414998</v>
      </c>
      <c r="G127" s="51">
        <v>86.00067</v>
      </c>
      <c r="H127" s="9">
        <v>14860.915776000002</v>
      </c>
      <c r="I127" s="10">
        <v>0.02</v>
      </c>
      <c r="J127" s="11">
        <f t="shared" si="1"/>
        <v>297</v>
      </c>
    </row>
    <row r="128" spans="1:10">
      <c r="A128" s="6">
        <v>126</v>
      </c>
      <c r="B128" s="24" t="s">
        <v>188</v>
      </c>
      <c r="C128" s="26">
        <v>14.09</v>
      </c>
      <c r="D128" s="12" t="s">
        <v>173</v>
      </c>
      <c r="E128" s="8">
        <v>45842</v>
      </c>
      <c r="F128" s="29">
        <v>256779415031</v>
      </c>
      <c r="G128" s="51">
        <v>86.00067</v>
      </c>
      <c r="H128" s="9">
        <v>1211.7494403000001</v>
      </c>
      <c r="I128" s="10">
        <v>0.02</v>
      </c>
      <c r="J128" s="11">
        <f t="shared" si="1"/>
        <v>24</v>
      </c>
    </row>
    <row r="129" spans="1:10">
      <c r="A129" s="6">
        <v>127</v>
      </c>
      <c r="B129" s="24" t="s">
        <v>189</v>
      </c>
      <c r="C129" s="26">
        <v>139.58000000000001</v>
      </c>
      <c r="D129" s="12" t="s">
        <v>173</v>
      </c>
      <c r="E129" s="8">
        <v>45842</v>
      </c>
      <c r="F129" s="29">
        <v>256779414851</v>
      </c>
      <c r="G129" s="51">
        <v>86.00067</v>
      </c>
      <c r="H129" s="9">
        <v>12003.973518600002</v>
      </c>
      <c r="I129" s="10">
        <v>0.02</v>
      </c>
      <c r="J129" s="11">
        <f t="shared" si="1"/>
        <v>240</v>
      </c>
    </row>
    <row r="130" spans="1:10">
      <c r="A130" s="6">
        <v>128</v>
      </c>
      <c r="B130" s="24" t="s">
        <v>190</v>
      </c>
      <c r="C130" s="30">
        <v>1620</v>
      </c>
      <c r="D130" s="12" t="s">
        <v>173</v>
      </c>
      <c r="E130" s="8">
        <v>45842</v>
      </c>
      <c r="F130" s="29">
        <v>256779414866</v>
      </c>
      <c r="G130" s="51">
        <v>86.00067</v>
      </c>
      <c r="H130" s="9">
        <v>139321.08540000001</v>
      </c>
      <c r="I130" s="10">
        <v>0.02</v>
      </c>
      <c r="J130" s="11">
        <f t="shared" si="1"/>
        <v>2786</v>
      </c>
    </row>
    <row r="131" spans="1:10">
      <c r="A131" s="6">
        <v>129</v>
      </c>
      <c r="B131" s="24" t="s">
        <v>191</v>
      </c>
      <c r="C131" s="26">
        <v>243</v>
      </c>
      <c r="D131" s="12" t="s">
        <v>173</v>
      </c>
      <c r="E131" s="8">
        <v>45842</v>
      </c>
      <c r="F131" s="29">
        <v>256779414866</v>
      </c>
      <c r="G131" s="51">
        <v>86.00067</v>
      </c>
      <c r="H131" s="9">
        <v>20898.162810000002</v>
      </c>
      <c r="I131" s="10">
        <v>0.02</v>
      </c>
      <c r="J131" s="11">
        <f t="shared" si="1"/>
        <v>418</v>
      </c>
    </row>
    <row r="132" spans="1:10">
      <c r="A132" s="6">
        <v>130</v>
      </c>
      <c r="B132" s="24" t="s">
        <v>192</v>
      </c>
      <c r="C132" s="26">
        <v>809.23</v>
      </c>
      <c r="D132" s="12" t="s">
        <v>173</v>
      </c>
      <c r="E132" s="8">
        <v>45842</v>
      </c>
      <c r="F132" s="29">
        <v>256779414866</v>
      </c>
      <c r="G132" s="51">
        <v>86.00067</v>
      </c>
      <c r="H132" s="9">
        <v>69594.322184100005</v>
      </c>
      <c r="I132" s="10">
        <v>0.02</v>
      </c>
      <c r="J132" s="11">
        <f t="shared" ref="J132:J186" si="2">ROUND(H132*I132,0)</f>
        <v>1392</v>
      </c>
    </row>
    <row r="133" spans="1:10">
      <c r="A133" s="6">
        <v>131</v>
      </c>
      <c r="B133" s="24" t="s">
        <v>193</v>
      </c>
      <c r="C133" s="26">
        <v>388.8</v>
      </c>
      <c r="D133" s="12" t="s">
        <v>173</v>
      </c>
      <c r="E133" s="8">
        <v>45842</v>
      </c>
      <c r="F133" s="29">
        <v>256779414866</v>
      </c>
      <c r="G133" s="51">
        <v>86.00067</v>
      </c>
      <c r="H133" s="9">
        <v>33437.060495999998</v>
      </c>
      <c r="I133" s="10">
        <v>0.02</v>
      </c>
      <c r="J133" s="11">
        <f t="shared" si="2"/>
        <v>669</v>
      </c>
    </row>
    <row r="134" spans="1:10">
      <c r="A134" s="6">
        <v>132</v>
      </c>
      <c r="B134" s="24" t="s">
        <v>194</v>
      </c>
      <c r="C134" s="26">
        <v>630</v>
      </c>
      <c r="D134" s="12" t="s">
        <v>173</v>
      </c>
      <c r="E134" s="8">
        <v>45842</v>
      </c>
      <c r="F134" s="29">
        <v>256779414866</v>
      </c>
      <c r="G134" s="51">
        <v>86.00067</v>
      </c>
      <c r="H134" s="9">
        <v>54180.422099999996</v>
      </c>
      <c r="I134" s="10">
        <v>0.02</v>
      </c>
      <c r="J134" s="11">
        <f t="shared" si="2"/>
        <v>1084</v>
      </c>
    </row>
    <row r="135" spans="1:10">
      <c r="A135" s="6">
        <v>133</v>
      </c>
      <c r="B135" s="19" t="s">
        <v>195</v>
      </c>
      <c r="C135" s="28">
        <v>5120.2</v>
      </c>
      <c r="D135" s="12" t="s">
        <v>173</v>
      </c>
      <c r="E135" s="8">
        <v>45842</v>
      </c>
      <c r="F135" s="20">
        <v>256779415205</v>
      </c>
      <c r="G135" s="51">
        <v>86.00067</v>
      </c>
      <c r="H135" s="9">
        <v>440340.630534</v>
      </c>
      <c r="I135" s="10">
        <v>0.1</v>
      </c>
      <c r="J135" s="11">
        <f t="shared" si="2"/>
        <v>44034</v>
      </c>
    </row>
    <row r="136" spans="1:10">
      <c r="A136" s="6">
        <v>134</v>
      </c>
      <c r="B136" s="19" t="s">
        <v>197</v>
      </c>
      <c r="C136" s="28">
        <v>449.63</v>
      </c>
      <c r="D136" s="12" t="s">
        <v>173</v>
      </c>
      <c r="E136" s="8">
        <v>45856</v>
      </c>
      <c r="F136" s="20">
        <v>256779415417</v>
      </c>
      <c r="G136" s="51">
        <v>86.00067</v>
      </c>
      <c r="H136" s="9">
        <v>38668.481252099999</v>
      </c>
      <c r="I136" s="10">
        <v>0.02</v>
      </c>
      <c r="J136" s="11">
        <f t="shared" si="2"/>
        <v>773</v>
      </c>
    </row>
    <row r="137" spans="1:10">
      <c r="A137" s="6">
        <v>135</v>
      </c>
      <c r="B137" s="19" t="s">
        <v>199</v>
      </c>
      <c r="C137" s="28">
        <v>84.17</v>
      </c>
      <c r="D137" s="12" t="s">
        <v>173</v>
      </c>
      <c r="E137" s="8">
        <v>45842</v>
      </c>
      <c r="F137" s="20">
        <v>256779415267</v>
      </c>
      <c r="G137" s="51">
        <v>86.00067</v>
      </c>
      <c r="H137" s="9">
        <v>7238.6763939000002</v>
      </c>
      <c r="I137" s="10">
        <v>0.02</v>
      </c>
      <c r="J137" s="11">
        <f t="shared" si="2"/>
        <v>145</v>
      </c>
    </row>
    <row r="138" spans="1:10">
      <c r="A138" s="6">
        <v>136</v>
      </c>
      <c r="B138" s="19" t="s">
        <v>200</v>
      </c>
      <c r="C138" s="28">
        <v>180</v>
      </c>
      <c r="D138" s="12" t="s">
        <v>158</v>
      </c>
      <c r="E138" s="8">
        <v>45863</v>
      </c>
      <c r="F138" s="20">
        <v>256779415941</v>
      </c>
      <c r="G138" s="51">
        <v>86.00067</v>
      </c>
      <c r="H138" s="9">
        <v>15480.1206</v>
      </c>
      <c r="I138" s="10">
        <v>0.02</v>
      </c>
      <c r="J138" s="11">
        <f t="shared" si="2"/>
        <v>310</v>
      </c>
    </row>
    <row r="139" spans="1:10">
      <c r="A139" s="6">
        <v>137</v>
      </c>
      <c r="B139" s="19" t="s">
        <v>201</v>
      </c>
      <c r="C139" s="28">
        <v>133.63</v>
      </c>
      <c r="D139" s="12" t="s">
        <v>158</v>
      </c>
      <c r="E139" s="8">
        <v>45863</v>
      </c>
      <c r="F139" s="20">
        <v>256779415941</v>
      </c>
      <c r="G139" s="51">
        <v>86.00067</v>
      </c>
      <c r="H139" s="9">
        <v>11492.269532099999</v>
      </c>
      <c r="I139" s="10">
        <v>0.02</v>
      </c>
      <c r="J139" s="11">
        <f t="shared" si="2"/>
        <v>230</v>
      </c>
    </row>
    <row r="140" spans="1:10">
      <c r="A140" s="6">
        <v>138</v>
      </c>
      <c r="B140" s="19" t="s">
        <v>203</v>
      </c>
      <c r="C140" s="28">
        <v>43.2</v>
      </c>
      <c r="D140" s="12" t="s">
        <v>158</v>
      </c>
      <c r="E140" s="8">
        <v>45863</v>
      </c>
      <c r="F140" s="20">
        <v>256779415941</v>
      </c>
      <c r="G140" s="51">
        <v>86.00067</v>
      </c>
      <c r="H140" s="9">
        <v>3715.2289440000004</v>
      </c>
      <c r="I140" s="10">
        <v>0.02</v>
      </c>
      <c r="J140" s="11">
        <f t="shared" si="2"/>
        <v>74</v>
      </c>
    </row>
    <row r="141" spans="1:10">
      <c r="A141" s="6">
        <v>139</v>
      </c>
      <c r="B141" s="19" t="s">
        <v>204</v>
      </c>
      <c r="C141" s="28">
        <v>4902.53</v>
      </c>
      <c r="D141" s="12" t="s">
        <v>205</v>
      </c>
      <c r="E141" s="8">
        <v>45877</v>
      </c>
      <c r="F141" s="20">
        <v>256779416093</v>
      </c>
      <c r="G141" s="51">
        <v>86.030119999999997</v>
      </c>
      <c r="H141" s="9">
        <v>421765.24420359998</v>
      </c>
      <c r="I141" s="10">
        <v>0.1</v>
      </c>
      <c r="J141" s="11">
        <f t="shared" si="2"/>
        <v>42177</v>
      </c>
    </row>
    <row r="142" spans="1:10">
      <c r="A142" s="6">
        <v>140</v>
      </c>
      <c r="B142" s="19" t="s">
        <v>207</v>
      </c>
      <c r="C142" s="28">
        <v>700</v>
      </c>
      <c r="D142" s="12" t="s">
        <v>205</v>
      </c>
      <c r="E142" s="8">
        <v>45877</v>
      </c>
      <c r="F142" s="20">
        <v>256779416122</v>
      </c>
      <c r="G142" s="51">
        <v>86.030119999999997</v>
      </c>
      <c r="H142" s="9">
        <v>60221.083999999995</v>
      </c>
      <c r="I142" s="10">
        <v>0.02</v>
      </c>
      <c r="J142" s="11">
        <f t="shared" si="2"/>
        <v>1204</v>
      </c>
    </row>
    <row r="143" spans="1:10">
      <c r="A143" s="6">
        <v>141</v>
      </c>
      <c r="B143" s="19" t="s">
        <v>208</v>
      </c>
      <c r="C143" s="28">
        <v>323.47000000000003</v>
      </c>
      <c r="D143" s="12" t="s">
        <v>205</v>
      </c>
      <c r="E143" s="8">
        <v>45877</v>
      </c>
      <c r="F143" s="20">
        <v>256779416130</v>
      </c>
      <c r="G143" s="51">
        <v>86.030119999999997</v>
      </c>
      <c r="H143" s="9">
        <v>27828.162916400001</v>
      </c>
      <c r="I143" s="10">
        <v>0.02</v>
      </c>
      <c r="J143" s="11">
        <f t="shared" si="2"/>
        <v>557</v>
      </c>
    </row>
    <row r="144" spans="1:10">
      <c r="A144" s="6">
        <v>142</v>
      </c>
      <c r="B144" s="19" t="s">
        <v>210</v>
      </c>
      <c r="C144" s="28">
        <v>189</v>
      </c>
      <c r="D144" s="12" t="s">
        <v>205</v>
      </c>
      <c r="E144" s="8">
        <v>45877</v>
      </c>
      <c r="F144" s="20">
        <v>256779416154</v>
      </c>
      <c r="G144" s="51">
        <v>86.030119999999997</v>
      </c>
      <c r="H144" s="9">
        <v>16259.69268</v>
      </c>
      <c r="I144" s="10">
        <v>0.02</v>
      </c>
      <c r="J144" s="11">
        <f t="shared" si="2"/>
        <v>325</v>
      </c>
    </row>
    <row r="145" spans="1:10">
      <c r="A145" s="6">
        <v>143</v>
      </c>
      <c r="B145" s="19" t="s">
        <v>211</v>
      </c>
      <c r="C145" s="28">
        <v>652.21</v>
      </c>
      <c r="D145" s="12" t="s">
        <v>205</v>
      </c>
      <c r="E145" s="8">
        <v>45877</v>
      </c>
      <c r="F145" s="20">
        <v>256779416154</v>
      </c>
      <c r="G145" s="51">
        <v>86.030119999999997</v>
      </c>
      <c r="H145" s="9">
        <v>56109.704565200002</v>
      </c>
      <c r="I145" s="10">
        <v>0.02</v>
      </c>
      <c r="J145" s="11">
        <f t="shared" si="2"/>
        <v>1122</v>
      </c>
    </row>
    <row r="146" spans="1:10">
      <c r="A146" s="6">
        <v>144</v>
      </c>
      <c r="B146" s="19" t="s">
        <v>213</v>
      </c>
      <c r="C146" s="28">
        <v>302.39999999999998</v>
      </c>
      <c r="D146" s="12" t="s">
        <v>205</v>
      </c>
      <c r="E146" s="8">
        <v>45877</v>
      </c>
      <c r="F146" s="20">
        <v>256779416154</v>
      </c>
      <c r="G146" s="51">
        <v>86.030119999999997</v>
      </c>
      <c r="H146" s="9">
        <v>26015.508287999997</v>
      </c>
      <c r="I146" s="10">
        <v>0.02</v>
      </c>
      <c r="J146" s="11">
        <f t="shared" si="2"/>
        <v>520</v>
      </c>
    </row>
    <row r="147" spans="1:10">
      <c r="A147" s="6">
        <v>145</v>
      </c>
      <c r="B147" s="19" t="s">
        <v>214</v>
      </c>
      <c r="C147" s="28">
        <v>3500</v>
      </c>
      <c r="D147" s="12" t="s">
        <v>205</v>
      </c>
      <c r="E147" s="8">
        <v>45877</v>
      </c>
      <c r="F147" s="20">
        <v>256779416155</v>
      </c>
      <c r="G147" s="51">
        <v>86.030119999999997</v>
      </c>
      <c r="H147" s="9">
        <v>301105.42</v>
      </c>
      <c r="I147" s="10">
        <v>0.02</v>
      </c>
      <c r="J147" s="11">
        <f t="shared" si="2"/>
        <v>6022</v>
      </c>
    </row>
    <row r="148" spans="1:10">
      <c r="A148" s="6">
        <v>146</v>
      </c>
      <c r="B148" s="19" t="s">
        <v>215</v>
      </c>
      <c r="C148" s="28">
        <v>1106.3399999999999</v>
      </c>
      <c r="D148" s="12" t="s">
        <v>205</v>
      </c>
      <c r="E148" s="8">
        <v>45877</v>
      </c>
      <c r="F148" s="20">
        <v>256779416193</v>
      </c>
      <c r="G148" s="51">
        <v>86.030119999999997</v>
      </c>
      <c r="H148" s="9">
        <v>95178.562960799987</v>
      </c>
      <c r="I148" s="10">
        <v>0.02</v>
      </c>
      <c r="J148" s="11">
        <f t="shared" si="2"/>
        <v>1904</v>
      </c>
    </row>
    <row r="149" spans="1:10">
      <c r="A149" s="6">
        <v>147</v>
      </c>
      <c r="B149" s="19" t="s">
        <v>216</v>
      </c>
      <c r="C149" s="28">
        <v>518.4</v>
      </c>
      <c r="D149" s="12" t="s">
        <v>205</v>
      </c>
      <c r="E149" s="8">
        <v>45877</v>
      </c>
      <c r="F149" s="20">
        <v>256779416193</v>
      </c>
      <c r="G149" s="51">
        <v>86.030119999999997</v>
      </c>
      <c r="H149" s="9">
        <v>44598.014207999993</v>
      </c>
      <c r="I149" s="10">
        <v>0.02</v>
      </c>
      <c r="J149" s="11">
        <f t="shared" si="2"/>
        <v>892</v>
      </c>
    </row>
    <row r="150" spans="1:10">
      <c r="A150" s="6">
        <v>148</v>
      </c>
      <c r="B150" s="19" t="s">
        <v>217</v>
      </c>
      <c r="C150" s="28">
        <v>150.77000000000001</v>
      </c>
      <c r="D150" s="12" t="s">
        <v>205</v>
      </c>
      <c r="E150" s="8">
        <v>45877</v>
      </c>
      <c r="F150" s="20">
        <v>256779416437</v>
      </c>
      <c r="G150" s="51">
        <v>86.030119999999997</v>
      </c>
      <c r="H150" s="9">
        <v>12970.761192400001</v>
      </c>
      <c r="I150" s="10">
        <v>0.02</v>
      </c>
      <c r="J150" s="11">
        <f t="shared" si="2"/>
        <v>259</v>
      </c>
    </row>
    <row r="151" spans="1:10">
      <c r="A151" s="6">
        <v>149</v>
      </c>
      <c r="B151" s="19" t="s">
        <v>218</v>
      </c>
      <c r="C151" s="28">
        <v>123.36</v>
      </c>
      <c r="D151" s="12" t="s">
        <v>205</v>
      </c>
      <c r="E151" s="8">
        <v>45877</v>
      </c>
      <c r="F151" s="20">
        <v>256779416450</v>
      </c>
      <c r="G151" s="51">
        <v>86.030119999999997</v>
      </c>
      <c r="H151" s="9">
        <v>10612.675603199999</v>
      </c>
      <c r="I151" s="10">
        <v>0.02</v>
      </c>
      <c r="J151" s="11">
        <f t="shared" si="2"/>
        <v>212</v>
      </c>
    </row>
    <row r="152" spans="1:10">
      <c r="A152" s="6">
        <v>150</v>
      </c>
      <c r="B152" s="19" t="s">
        <v>219</v>
      </c>
      <c r="C152" s="28">
        <v>947.07</v>
      </c>
      <c r="D152" s="12" t="s">
        <v>205</v>
      </c>
      <c r="E152" s="8">
        <v>45877</v>
      </c>
      <c r="F152" s="20">
        <v>256779416500</v>
      </c>
      <c r="G152" s="51">
        <v>86.030119999999997</v>
      </c>
      <c r="H152" s="9">
        <v>81476.545748400007</v>
      </c>
      <c r="I152" s="10">
        <v>0.02</v>
      </c>
      <c r="J152" s="11">
        <f t="shared" si="2"/>
        <v>1630</v>
      </c>
    </row>
    <row r="153" spans="1:10">
      <c r="A153" s="6">
        <v>151</v>
      </c>
      <c r="B153" s="32" t="s">
        <v>220</v>
      </c>
      <c r="C153" s="28">
        <v>102.88</v>
      </c>
      <c r="D153" s="12" t="s">
        <v>173</v>
      </c>
      <c r="E153" s="8">
        <v>45842</v>
      </c>
      <c r="F153" s="33">
        <v>256779415254</v>
      </c>
      <c r="G153" s="51">
        <v>86.00067</v>
      </c>
      <c r="H153" s="9">
        <v>8847.7489296000003</v>
      </c>
      <c r="I153" s="10">
        <v>0.02</v>
      </c>
      <c r="J153" s="11">
        <f t="shared" si="2"/>
        <v>177</v>
      </c>
    </row>
    <row r="154" spans="1:10">
      <c r="A154" s="6">
        <v>152</v>
      </c>
      <c r="B154" s="32" t="s">
        <v>221</v>
      </c>
      <c r="C154" s="28">
        <v>270</v>
      </c>
      <c r="D154" s="12" t="s">
        <v>205</v>
      </c>
      <c r="E154" s="8">
        <v>45888</v>
      </c>
      <c r="F154" s="33">
        <v>256779416579</v>
      </c>
      <c r="G154" s="51">
        <v>86.030119999999997</v>
      </c>
      <c r="H154" s="9">
        <v>23228.132399999999</v>
      </c>
      <c r="I154" s="10">
        <v>0.02</v>
      </c>
      <c r="J154" s="11">
        <f t="shared" si="2"/>
        <v>465</v>
      </c>
    </row>
    <row r="155" spans="1:10">
      <c r="A155" s="6">
        <v>153</v>
      </c>
      <c r="B155" s="19" t="s">
        <v>222</v>
      </c>
      <c r="C155" s="28">
        <v>20.57</v>
      </c>
      <c r="D155" s="12" t="s">
        <v>223</v>
      </c>
      <c r="E155" s="8">
        <v>45889</v>
      </c>
      <c r="F155" s="20">
        <v>256779416810</v>
      </c>
      <c r="G155" s="51">
        <v>86.030119999999997</v>
      </c>
      <c r="H155" s="9">
        <v>1769.6395683999999</v>
      </c>
      <c r="I155" s="10">
        <v>0.02</v>
      </c>
      <c r="J155" s="11">
        <f t="shared" si="2"/>
        <v>35</v>
      </c>
    </row>
    <row r="156" spans="1:10">
      <c r="A156" s="6">
        <v>154</v>
      </c>
      <c r="B156" s="19" t="s">
        <v>224</v>
      </c>
      <c r="C156" s="28">
        <v>3850</v>
      </c>
      <c r="D156" s="12" t="s">
        <v>223</v>
      </c>
      <c r="E156" s="8">
        <v>45889</v>
      </c>
      <c r="F156" s="20">
        <v>256779416825</v>
      </c>
      <c r="G156" s="51">
        <v>86.030119999999997</v>
      </c>
      <c r="H156" s="9">
        <v>331215.962</v>
      </c>
      <c r="I156" s="10">
        <v>0.02</v>
      </c>
      <c r="J156" s="11">
        <f t="shared" si="2"/>
        <v>6624</v>
      </c>
    </row>
    <row r="157" spans="1:10">
      <c r="A157" s="6">
        <v>155</v>
      </c>
      <c r="B157" s="19" t="s">
        <v>226</v>
      </c>
      <c r="C157" s="28">
        <v>94.48</v>
      </c>
      <c r="D157" s="12" t="s">
        <v>223</v>
      </c>
      <c r="E157" s="8">
        <v>45889</v>
      </c>
      <c r="F157" s="20">
        <v>256779416855</v>
      </c>
      <c r="G157" s="51">
        <v>86.030119999999997</v>
      </c>
      <c r="H157" s="9">
        <v>8128.1257376000003</v>
      </c>
      <c r="I157" s="10">
        <v>0.02</v>
      </c>
      <c r="J157" s="11">
        <f t="shared" si="2"/>
        <v>163</v>
      </c>
    </row>
    <row r="158" spans="1:10">
      <c r="A158" s="6">
        <v>156</v>
      </c>
      <c r="B158" s="19" t="s">
        <v>227</v>
      </c>
      <c r="C158" s="28">
        <v>25.04</v>
      </c>
      <c r="D158" s="12" t="s">
        <v>223</v>
      </c>
      <c r="E158" s="8">
        <v>45904</v>
      </c>
      <c r="F158" s="20">
        <v>256779417139</v>
      </c>
      <c r="G158" s="51">
        <v>87.514330000000001</v>
      </c>
      <c r="H158" s="9">
        <v>2191.3588231999997</v>
      </c>
      <c r="I158" s="10">
        <v>0.02</v>
      </c>
      <c r="J158" s="11">
        <f t="shared" si="2"/>
        <v>44</v>
      </c>
    </row>
    <row r="159" spans="1:10">
      <c r="A159" s="6">
        <v>157</v>
      </c>
      <c r="B159" s="19" t="s">
        <v>228</v>
      </c>
      <c r="C159" s="28">
        <v>20.49</v>
      </c>
      <c r="D159" s="12" t="s">
        <v>223</v>
      </c>
      <c r="E159" s="8">
        <v>45904</v>
      </c>
      <c r="F159" s="20">
        <v>256779417140</v>
      </c>
      <c r="G159" s="51">
        <v>87.514330000000001</v>
      </c>
      <c r="H159" s="9">
        <v>1793.1686216999999</v>
      </c>
      <c r="I159" s="10">
        <v>0.02</v>
      </c>
      <c r="J159" s="11">
        <f t="shared" si="2"/>
        <v>36</v>
      </c>
    </row>
    <row r="160" spans="1:10">
      <c r="A160" s="6">
        <v>158</v>
      </c>
      <c r="B160" s="19" t="s">
        <v>229</v>
      </c>
      <c r="C160" s="28">
        <v>8.8800000000000008</v>
      </c>
      <c r="D160" s="12" t="s">
        <v>223</v>
      </c>
      <c r="E160" s="8">
        <v>45904</v>
      </c>
      <c r="F160" s="20">
        <v>256779417191</v>
      </c>
      <c r="G160" s="51">
        <v>87.514330000000001</v>
      </c>
      <c r="H160" s="9">
        <v>777.12725040000009</v>
      </c>
      <c r="I160" s="10">
        <v>0.02</v>
      </c>
      <c r="J160" s="11">
        <f t="shared" si="2"/>
        <v>16</v>
      </c>
    </row>
    <row r="161" spans="1:10">
      <c r="A161" s="6">
        <v>159</v>
      </c>
      <c r="B161" s="19" t="s">
        <v>230</v>
      </c>
      <c r="C161" s="28">
        <v>412</v>
      </c>
      <c r="D161" s="12" t="s">
        <v>223</v>
      </c>
      <c r="E161" s="8">
        <v>45904</v>
      </c>
      <c r="F161" s="20">
        <v>256779417235</v>
      </c>
      <c r="G161" s="51">
        <v>87.514330000000001</v>
      </c>
      <c r="H161" s="9">
        <v>36055.903960000003</v>
      </c>
      <c r="I161" s="10">
        <v>0.02</v>
      </c>
      <c r="J161" s="11">
        <f t="shared" si="2"/>
        <v>721</v>
      </c>
    </row>
    <row r="162" spans="1:10">
      <c r="A162" s="6">
        <v>160</v>
      </c>
      <c r="B162" s="19" t="s">
        <v>231</v>
      </c>
      <c r="C162" s="28">
        <v>27</v>
      </c>
      <c r="D162" s="12" t="s">
        <v>223</v>
      </c>
      <c r="E162" s="8">
        <v>45904</v>
      </c>
      <c r="F162" s="20">
        <v>256779417267</v>
      </c>
      <c r="G162" s="51">
        <v>87.514330000000001</v>
      </c>
      <c r="H162" s="9">
        <v>2362.8869100000002</v>
      </c>
      <c r="I162" s="10">
        <v>0.02</v>
      </c>
      <c r="J162" s="11">
        <f t="shared" si="2"/>
        <v>47</v>
      </c>
    </row>
    <row r="163" spans="1:10">
      <c r="A163" s="6">
        <v>161</v>
      </c>
      <c r="B163" s="19" t="s">
        <v>232</v>
      </c>
      <c r="C163" s="28">
        <v>94.48</v>
      </c>
      <c r="D163" s="12" t="s">
        <v>223</v>
      </c>
      <c r="E163" s="8">
        <v>45904</v>
      </c>
      <c r="F163" s="20">
        <v>256779417267</v>
      </c>
      <c r="G163" s="51">
        <v>87.514330000000001</v>
      </c>
      <c r="H163" s="9">
        <v>8268.3538984000006</v>
      </c>
      <c r="I163" s="10">
        <v>0.02</v>
      </c>
      <c r="J163" s="11">
        <f t="shared" si="2"/>
        <v>165</v>
      </c>
    </row>
    <row r="164" spans="1:10">
      <c r="A164" s="6">
        <v>162</v>
      </c>
      <c r="B164" s="19" t="s">
        <v>233</v>
      </c>
      <c r="C164" s="28">
        <v>43.2</v>
      </c>
      <c r="D164" s="12" t="s">
        <v>223</v>
      </c>
      <c r="E164" s="8">
        <v>45904</v>
      </c>
      <c r="F164" s="20">
        <v>256779417267</v>
      </c>
      <c r="G164" s="51">
        <v>87.514330000000001</v>
      </c>
      <c r="H164" s="9">
        <v>3780.6190560000005</v>
      </c>
      <c r="I164" s="10">
        <v>0.02</v>
      </c>
      <c r="J164" s="11">
        <f t="shared" si="2"/>
        <v>76</v>
      </c>
    </row>
    <row r="165" spans="1:10">
      <c r="A165" s="6">
        <v>163</v>
      </c>
      <c r="B165" s="19" t="s">
        <v>234</v>
      </c>
      <c r="C165" s="28">
        <v>94.48</v>
      </c>
      <c r="D165" s="12" t="s">
        <v>223</v>
      </c>
      <c r="E165" s="8">
        <v>45904</v>
      </c>
      <c r="F165" s="20">
        <v>256779417297</v>
      </c>
      <c r="G165" s="51">
        <v>87.514330000000001</v>
      </c>
      <c r="H165" s="9">
        <v>8268.3538984000006</v>
      </c>
      <c r="I165" s="10">
        <v>0.02</v>
      </c>
      <c r="J165" s="11">
        <f t="shared" si="2"/>
        <v>165</v>
      </c>
    </row>
    <row r="166" spans="1:10">
      <c r="A166" s="6">
        <v>164</v>
      </c>
      <c r="B166" s="19" t="s">
        <v>235</v>
      </c>
      <c r="C166" s="28">
        <v>43.2</v>
      </c>
      <c r="D166" s="12" t="s">
        <v>223</v>
      </c>
      <c r="E166" s="8">
        <v>45904</v>
      </c>
      <c r="F166" s="20">
        <v>256779417297</v>
      </c>
      <c r="G166" s="51">
        <v>87.514330000000001</v>
      </c>
      <c r="H166" s="9">
        <v>3780.6190560000005</v>
      </c>
      <c r="I166" s="10">
        <v>0.02</v>
      </c>
      <c r="J166" s="11">
        <f t="shared" si="2"/>
        <v>76</v>
      </c>
    </row>
    <row r="167" spans="1:10">
      <c r="A167" s="6">
        <v>165</v>
      </c>
      <c r="B167" s="19" t="s">
        <v>236</v>
      </c>
      <c r="C167" s="28">
        <v>1598.28</v>
      </c>
      <c r="D167" s="12" t="s">
        <v>223</v>
      </c>
      <c r="E167" s="8">
        <v>45904</v>
      </c>
      <c r="F167" s="20">
        <v>256779417091</v>
      </c>
      <c r="G167" s="51">
        <v>87.514330000000001</v>
      </c>
      <c r="H167" s="9">
        <v>139872.4033524</v>
      </c>
      <c r="I167" s="10">
        <v>0.1</v>
      </c>
      <c r="J167" s="11">
        <f t="shared" si="2"/>
        <v>13987</v>
      </c>
    </row>
    <row r="168" spans="1:10">
      <c r="A168" s="6">
        <v>166</v>
      </c>
      <c r="B168" s="19" t="s">
        <v>237</v>
      </c>
      <c r="C168" s="28">
        <v>50.34</v>
      </c>
      <c r="D168" s="12" t="s">
        <v>92</v>
      </c>
      <c r="E168" s="8">
        <v>45917</v>
      </c>
      <c r="F168" s="20">
        <v>256779417777</v>
      </c>
      <c r="G168" s="51">
        <v>87.514330000000001</v>
      </c>
      <c r="H168" s="9">
        <v>4405.4713722000006</v>
      </c>
      <c r="I168" s="10">
        <v>0.02</v>
      </c>
      <c r="J168" s="11">
        <f t="shared" si="2"/>
        <v>88</v>
      </c>
    </row>
    <row r="169" spans="1:10">
      <c r="A169" s="6">
        <v>167</v>
      </c>
      <c r="B169" s="19" t="s">
        <v>238</v>
      </c>
      <c r="C169" s="28">
        <v>350</v>
      </c>
      <c r="D169" s="12" t="s">
        <v>239</v>
      </c>
      <c r="E169" s="8">
        <v>45935</v>
      </c>
      <c r="F169" s="20">
        <v>256779417914</v>
      </c>
      <c r="G169" s="51">
        <v>88.190770000000001</v>
      </c>
      <c r="H169" s="9">
        <v>30866.769499999999</v>
      </c>
      <c r="I169" s="10">
        <v>0.02</v>
      </c>
      <c r="J169" s="11">
        <f t="shared" si="2"/>
        <v>617</v>
      </c>
    </row>
    <row r="170" spans="1:10">
      <c r="A170" s="6">
        <v>168</v>
      </c>
      <c r="B170" s="19" t="s">
        <v>240</v>
      </c>
      <c r="C170" s="28">
        <v>350</v>
      </c>
      <c r="D170" s="12" t="s">
        <v>241</v>
      </c>
      <c r="E170" s="8">
        <v>45950</v>
      </c>
      <c r="F170" s="20">
        <v>256779418638</v>
      </c>
      <c r="G170" s="51">
        <v>88.190770000000001</v>
      </c>
      <c r="H170" s="9">
        <v>30866.769499999999</v>
      </c>
      <c r="I170" s="10">
        <v>0.02</v>
      </c>
      <c r="J170" s="11">
        <f t="shared" si="2"/>
        <v>617</v>
      </c>
    </row>
    <row r="171" spans="1:10">
      <c r="A171" s="6">
        <v>169</v>
      </c>
      <c r="B171" s="19" t="s">
        <v>242</v>
      </c>
      <c r="C171" s="35">
        <v>27.17</v>
      </c>
      <c r="D171" s="12" t="s">
        <v>241</v>
      </c>
      <c r="E171" s="8">
        <v>45966</v>
      </c>
      <c r="F171" s="20">
        <v>256779419216</v>
      </c>
      <c r="G171" s="51">
        <v>88.003389999999996</v>
      </c>
      <c r="H171" s="9">
        <v>2391.0521063000001</v>
      </c>
      <c r="I171" s="10">
        <v>0.02</v>
      </c>
      <c r="J171" s="11">
        <f t="shared" si="2"/>
        <v>48</v>
      </c>
    </row>
    <row r="172" spans="1:10">
      <c r="A172" s="6">
        <v>170</v>
      </c>
      <c r="B172" s="19" t="s">
        <v>243</v>
      </c>
      <c r="C172" s="35">
        <v>11.27</v>
      </c>
      <c r="D172" s="12" t="s">
        <v>241</v>
      </c>
      <c r="E172" s="8">
        <v>45966</v>
      </c>
      <c r="F172" s="20">
        <v>256779419240</v>
      </c>
      <c r="G172" s="51">
        <v>88.003389999999996</v>
      </c>
      <c r="H172" s="9">
        <v>991.79820529999995</v>
      </c>
      <c r="I172" s="10">
        <v>0.02</v>
      </c>
      <c r="J172" s="11">
        <f t="shared" si="2"/>
        <v>20</v>
      </c>
    </row>
    <row r="173" spans="1:10">
      <c r="A173" s="6">
        <v>171</v>
      </c>
      <c r="B173" s="19" t="s">
        <v>244</v>
      </c>
      <c r="C173" s="28">
        <v>367.84</v>
      </c>
      <c r="D173" s="12" t="s">
        <v>241</v>
      </c>
      <c r="E173" s="8">
        <v>45966</v>
      </c>
      <c r="F173" s="20">
        <v>256779418877</v>
      </c>
      <c r="G173" s="51">
        <v>88.003389999999996</v>
      </c>
      <c r="H173" s="9">
        <v>32371.166977599998</v>
      </c>
      <c r="I173" s="10">
        <v>0.1</v>
      </c>
      <c r="J173" s="11">
        <f t="shared" si="2"/>
        <v>3237</v>
      </c>
    </row>
    <row r="174" spans="1:10">
      <c r="A174" s="6">
        <v>172</v>
      </c>
      <c r="B174" s="19" t="s">
        <v>245</v>
      </c>
      <c r="C174" s="28">
        <v>350</v>
      </c>
      <c r="D174" s="12" t="s">
        <v>246</v>
      </c>
      <c r="E174" s="8">
        <v>45996</v>
      </c>
      <c r="F174" s="20">
        <v>256779419798</v>
      </c>
      <c r="G174" s="21">
        <v>88.700140000000005</v>
      </c>
      <c r="H174" s="9">
        <v>31045.049000000003</v>
      </c>
      <c r="I174" s="10">
        <v>0.02</v>
      </c>
      <c r="J174" s="11">
        <f t="shared" si="2"/>
        <v>621</v>
      </c>
    </row>
    <row r="175" spans="1:10">
      <c r="A175" s="6">
        <v>173</v>
      </c>
      <c r="B175" s="19" t="s">
        <v>248</v>
      </c>
      <c r="C175" s="28">
        <v>11.18</v>
      </c>
      <c r="D175" s="12" t="s">
        <v>246</v>
      </c>
      <c r="E175" s="8">
        <v>45999</v>
      </c>
      <c r="F175" s="20">
        <v>256779419830</v>
      </c>
      <c r="G175" s="21">
        <v>88.700140000000005</v>
      </c>
      <c r="H175" s="9">
        <v>991.66756520000001</v>
      </c>
      <c r="I175" s="10">
        <v>0.02</v>
      </c>
      <c r="J175" s="11">
        <f t="shared" si="2"/>
        <v>20</v>
      </c>
    </row>
    <row r="176" spans="1:10">
      <c r="A176" s="6">
        <v>174</v>
      </c>
      <c r="B176" s="19" t="s">
        <v>250</v>
      </c>
      <c r="C176" s="28">
        <v>182.78</v>
      </c>
      <c r="D176" s="12" t="s">
        <v>246</v>
      </c>
      <c r="E176" s="8">
        <v>46024</v>
      </c>
      <c r="F176" s="20">
        <v>256779440012</v>
      </c>
      <c r="G176" s="51">
        <v>90.743139999999997</v>
      </c>
      <c r="H176" s="9">
        <v>16586.031129200001</v>
      </c>
      <c r="I176" s="10">
        <v>0.1</v>
      </c>
      <c r="J176" s="11">
        <f t="shared" si="2"/>
        <v>1659</v>
      </c>
    </row>
    <row r="177" spans="1:10">
      <c r="A177" s="6">
        <v>175</v>
      </c>
      <c r="B177" s="19" t="s">
        <v>251</v>
      </c>
      <c r="C177" s="28">
        <v>50</v>
      </c>
      <c r="D177" s="12" t="s">
        <v>246</v>
      </c>
      <c r="E177" s="8">
        <v>46024</v>
      </c>
      <c r="F177" s="20">
        <v>256779440046</v>
      </c>
      <c r="G177" s="51">
        <v>90.743139999999997</v>
      </c>
      <c r="H177" s="9">
        <v>4537.1570000000002</v>
      </c>
      <c r="I177" s="10">
        <v>0.02</v>
      </c>
      <c r="J177" s="11">
        <f t="shared" si="2"/>
        <v>91</v>
      </c>
    </row>
    <row r="178" spans="1:10">
      <c r="A178" s="6">
        <v>176</v>
      </c>
      <c r="B178" s="19" t="s">
        <v>252</v>
      </c>
      <c r="C178" s="28">
        <v>700</v>
      </c>
      <c r="D178" s="12" t="s">
        <v>253</v>
      </c>
      <c r="E178" s="8">
        <v>46027</v>
      </c>
      <c r="F178" s="20">
        <v>256779440106</v>
      </c>
      <c r="G178" s="51">
        <v>90.743139999999997</v>
      </c>
      <c r="H178" s="9">
        <v>63520.197999999997</v>
      </c>
      <c r="I178" s="10">
        <v>0.02</v>
      </c>
      <c r="J178" s="11">
        <f t="shared" si="2"/>
        <v>1270</v>
      </c>
    </row>
    <row r="179" spans="1:10">
      <c r="A179" s="6">
        <v>177</v>
      </c>
      <c r="B179" s="19" t="s">
        <v>254</v>
      </c>
      <c r="C179" s="28">
        <v>246.17</v>
      </c>
      <c r="D179" s="12" t="s">
        <v>253</v>
      </c>
      <c r="E179" s="8">
        <v>46028</v>
      </c>
      <c r="F179" s="20">
        <v>256779440152</v>
      </c>
      <c r="G179" s="51">
        <v>90.743139999999997</v>
      </c>
      <c r="H179" s="9">
        <v>22338.2387738</v>
      </c>
      <c r="I179" s="10">
        <v>0.02</v>
      </c>
      <c r="J179" s="11">
        <f t="shared" si="2"/>
        <v>447</v>
      </c>
    </row>
    <row r="180" spans="1:10">
      <c r="A180" s="6">
        <v>178</v>
      </c>
      <c r="B180" s="19" t="s">
        <v>255</v>
      </c>
      <c r="C180" s="28">
        <v>881.6</v>
      </c>
      <c r="D180" s="12" t="s">
        <v>253</v>
      </c>
      <c r="E180" s="8">
        <v>46028</v>
      </c>
      <c r="F180" s="20">
        <v>256779440242</v>
      </c>
      <c r="G180" s="51">
        <v>90.743139999999997</v>
      </c>
      <c r="H180" s="9">
        <v>79999.152224000005</v>
      </c>
      <c r="I180" s="10">
        <v>0.1</v>
      </c>
      <c r="J180" s="11">
        <f t="shared" si="2"/>
        <v>8000</v>
      </c>
    </row>
    <row r="181" spans="1:10">
      <c r="A181" s="6">
        <v>179</v>
      </c>
      <c r="B181" s="36" t="s">
        <v>250</v>
      </c>
      <c r="C181" s="37">
        <v>182.78</v>
      </c>
      <c r="D181" s="38" t="s">
        <v>246</v>
      </c>
      <c r="E181" s="8">
        <v>46024</v>
      </c>
      <c r="F181" s="39">
        <v>256779440012</v>
      </c>
      <c r="G181" s="53">
        <v>90.743139999999997</v>
      </c>
      <c r="H181" s="9">
        <f t="shared" ref="H181:H186" si="3">C181*G181</f>
        <v>16586.031129200001</v>
      </c>
      <c r="I181" s="40">
        <v>0.1</v>
      </c>
      <c r="J181" s="41">
        <f t="shared" si="2"/>
        <v>1659</v>
      </c>
    </row>
    <row r="182" spans="1:10">
      <c r="A182" s="6">
        <v>180</v>
      </c>
      <c r="B182" s="36" t="s">
        <v>251</v>
      </c>
      <c r="C182" s="37">
        <v>50</v>
      </c>
      <c r="D182" s="38" t="s">
        <v>246</v>
      </c>
      <c r="E182" s="8">
        <v>46024</v>
      </c>
      <c r="F182" s="39">
        <v>256779440046</v>
      </c>
      <c r="G182" s="53">
        <v>90.743139999999997</v>
      </c>
      <c r="H182" s="9">
        <f t="shared" si="3"/>
        <v>4537.1570000000002</v>
      </c>
      <c r="I182" s="40">
        <v>0.02</v>
      </c>
      <c r="J182" s="41">
        <f t="shared" si="2"/>
        <v>91</v>
      </c>
    </row>
    <row r="183" spans="1:10">
      <c r="A183" s="6">
        <v>181</v>
      </c>
      <c r="B183" s="36" t="s">
        <v>257</v>
      </c>
      <c r="C183" s="37">
        <v>26.4</v>
      </c>
      <c r="D183" s="38" t="s">
        <v>258</v>
      </c>
      <c r="E183" s="8">
        <v>46064</v>
      </c>
      <c r="F183" s="39">
        <v>256779451520</v>
      </c>
      <c r="G183" s="53">
        <v>90.3352</v>
      </c>
      <c r="H183" s="9">
        <f t="shared" si="3"/>
        <v>2384.8492799999999</v>
      </c>
      <c r="I183" s="40">
        <v>0.02</v>
      </c>
      <c r="J183" s="41">
        <f t="shared" si="2"/>
        <v>48</v>
      </c>
    </row>
    <row r="184" spans="1:10">
      <c r="A184" s="6">
        <v>182</v>
      </c>
      <c r="B184" s="36" t="s">
        <v>259</v>
      </c>
      <c r="C184" s="37">
        <v>23.09</v>
      </c>
      <c r="D184" s="38" t="s">
        <v>258</v>
      </c>
      <c r="E184" s="8">
        <v>46064</v>
      </c>
      <c r="F184" s="39">
        <v>256779451520</v>
      </c>
      <c r="G184" s="53">
        <v>90.3352</v>
      </c>
      <c r="H184" s="9">
        <f t="shared" si="3"/>
        <v>2085.8397679999998</v>
      </c>
      <c r="I184" s="40">
        <v>0.02</v>
      </c>
      <c r="J184" s="41">
        <f t="shared" si="2"/>
        <v>42</v>
      </c>
    </row>
    <row r="185" spans="1:10">
      <c r="A185" s="6">
        <v>183</v>
      </c>
      <c r="B185" s="36" t="s">
        <v>260</v>
      </c>
      <c r="C185" s="37">
        <v>11.55</v>
      </c>
      <c r="D185" s="38" t="s">
        <v>258</v>
      </c>
      <c r="E185" s="8">
        <v>46064</v>
      </c>
      <c r="F185" s="39">
        <v>256779451520</v>
      </c>
      <c r="G185" s="53">
        <v>90.3352</v>
      </c>
      <c r="H185" s="9">
        <f t="shared" si="3"/>
        <v>1043.37156</v>
      </c>
      <c r="I185" s="40">
        <v>0.02</v>
      </c>
      <c r="J185" s="41">
        <f t="shared" si="2"/>
        <v>21</v>
      </c>
    </row>
    <row r="186" spans="1:10">
      <c r="A186" s="6">
        <v>184</v>
      </c>
      <c r="B186" s="36" t="s">
        <v>261</v>
      </c>
      <c r="C186" s="37">
        <v>384.56</v>
      </c>
      <c r="D186" s="38" t="s">
        <v>258</v>
      </c>
      <c r="E186" s="8">
        <v>46065</v>
      </c>
      <c r="F186" s="39">
        <v>256779451324</v>
      </c>
      <c r="G186" s="53">
        <v>90.3352</v>
      </c>
      <c r="H186" s="9">
        <f t="shared" si="3"/>
        <v>34739.304512000002</v>
      </c>
      <c r="I186" s="40">
        <v>0.1</v>
      </c>
      <c r="J186" s="41">
        <f t="shared" si="2"/>
        <v>3474</v>
      </c>
    </row>
  </sheetData>
  <autoFilter ref="A2:J2" xr:uid="{65CA2C94-1FAD-43CE-A322-E7AA893CA968}"/>
  <conditionalFormatting sqref="F87">
    <cfRule type="duplicateValues" dxfId="38" priority="26"/>
    <cfRule type="duplicateValues" dxfId="37" priority="27"/>
  </conditionalFormatting>
  <conditionalFormatting sqref="F88">
    <cfRule type="duplicateValues" dxfId="36" priority="25"/>
  </conditionalFormatting>
  <conditionalFormatting sqref="F88:F89">
    <cfRule type="duplicateValues" dxfId="35" priority="24"/>
  </conditionalFormatting>
  <conditionalFormatting sqref="F89">
    <cfRule type="duplicateValues" dxfId="34" priority="23"/>
  </conditionalFormatting>
  <conditionalFormatting sqref="F108">
    <cfRule type="duplicateValues" dxfId="33" priority="28"/>
  </conditionalFormatting>
  <conditionalFormatting sqref="F109">
    <cfRule type="duplicateValues" dxfId="32" priority="21"/>
  </conditionalFormatting>
  <conditionalFormatting sqref="F135">
    <cfRule type="duplicateValues" dxfId="31" priority="19"/>
    <cfRule type="duplicateValues" dxfId="30" priority="20"/>
  </conditionalFormatting>
  <conditionalFormatting sqref="F136:F137">
    <cfRule type="duplicateValues" dxfId="29" priority="18"/>
  </conditionalFormatting>
  <conditionalFormatting sqref="F141:F143 F150:F152">
    <cfRule type="duplicateValues" dxfId="28" priority="17"/>
  </conditionalFormatting>
  <conditionalFormatting sqref="F153">
    <cfRule type="duplicateValues" dxfId="27" priority="16"/>
  </conditionalFormatting>
  <conditionalFormatting sqref="F154">
    <cfRule type="duplicateValues" dxfId="26" priority="29"/>
    <cfRule type="duplicateValues" dxfId="25" priority="30"/>
  </conditionalFormatting>
  <conditionalFormatting sqref="F155:F157">
    <cfRule type="duplicateValues" dxfId="24" priority="31"/>
  </conditionalFormatting>
  <conditionalFormatting sqref="F158:F161 F167">
    <cfRule type="duplicateValues" dxfId="23" priority="32"/>
  </conditionalFormatting>
  <conditionalFormatting sqref="F168">
    <cfRule type="duplicateValues" dxfId="22" priority="33"/>
  </conditionalFormatting>
  <conditionalFormatting sqref="F169">
    <cfRule type="duplicateValues" dxfId="21" priority="15"/>
  </conditionalFormatting>
  <conditionalFormatting sqref="F170">
    <cfRule type="duplicateValues" dxfId="20" priority="13"/>
    <cfRule type="duplicateValues" dxfId="19" priority="14"/>
  </conditionalFormatting>
  <conditionalFormatting sqref="F171:F172">
    <cfRule type="duplicateValues" dxfId="18" priority="12"/>
  </conditionalFormatting>
  <conditionalFormatting sqref="F173">
    <cfRule type="duplicateValues" dxfId="17" priority="10"/>
    <cfRule type="duplicateValues" dxfId="16" priority="11"/>
  </conditionalFormatting>
  <conditionalFormatting sqref="F174:F175">
    <cfRule type="duplicateValues" dxfId="15" priority="9"/>
  </conditionalFormatting>
  <conditionalFormatting sqref="F176:F177">
    <cfRule type="duplicateValues" dxfId="14" priority="7"/>
    <cfRule type="duplicateValues" dxfId="13" priority="8"/>
  </conditionalFormatting>
  <conditionalFormatting sqref="F178">
    <cfRule type="duplicateValues" dxfId="12" priority="6"/>
  </conditionalFormatting>
  <conditionalFormatting sqref="F179">
    <cfRule type="duplicateValues" dxfId="11" priority="5"/>
  </conditionalFormatting>
  <conditionalFormatting sqref="F180">
    <cfRule type="duplicateValues" dxfId="10" priority="4"/>
  </conditionalFormatting>
  <conditionalFormatting sqref="F181:F182">
    <cfRule type="duplicateValues" dxfId="9" priority="2"/>
    <cfRule type="duplicateValues" dxfId="8" priority="3"/>
  </conditionalFormatting>
  <conditionalFormatting sqref="F186">
    <cfRule type="duplicateValues" dxfId="7" priority="1"/>
  </conditionalFormatting>
  <conditionalFormatting sqref="F101:F103 F99">
    <cfRule type="duplicateValues" dxfId="6" priority="2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E9B8-58C4-438C-9F6C-E0122763F30C}">
  <dimension ref="A1:R40"/>
  <sheetViews>
    <sheetView topLeftCell="A2" workbookViewId="0">
      <selection activeCell="B2" sqref="B2"/>
    </sheetView>
  </sheetViews>
  <sheetFormatPr defaultRowHeight="14.4"/>
  <cols>
    <col min="1" max="1" width="4.77734375" bestFit="1" customWidth="1"/>
    <col min="2" max="2" width="11.33203125" customWidth="1"/>
    <col min="3" max="3" width="16.44140625" bestFit="1" customWidth="1"/>
    <col min="4" max="4" width="3.77734375" customWidth="1"/>
    <col min="5" max="5" width="8" customWidth="1"/>
    <col min="6" max="6" width="4.5546875" customWidth="1"/>
    <col min="7" max="7" width="8.109375" customWidth="1"/>
    <col min="8" max="8" width="45.44140625" customWidth="1"/>
    <col min="10" max="10" width="25.6640625" customWidth="1"/>
    <col min="11" max="11" width="8" customWidth="1"/>
    <col min="12" max="12" width="10.109375" bestFit="1" customWidth="1"/>
    <col min="13" max="13" width="15.5546875" bestFit="1" customWidth="1"/>
    <col min="14" max="14" width="8.6640625" hidden="1" customWidth="1"/>
    <col min="15" max="15" width="11.5546875" style="73" customWidth="1"/>
    <col min="16" max="16" width="4.21875" hidden="1" customWidth="1"/>
    <col min="17" max="17" width="12.21875" bestFit="1" customWidth="1"/>
    <col min="18" max="18" width="12.5546875" bestFit="1" customWidth="1"/>
  </cols>
  <sheetData>
    <row r="1" spans="1:18" s="70" customFormat="1" ht="129.6">
      <c r="A1" s="68" t="s">
        <v>274</v>
      </c>
      <c r="B1" s="69" t="s">
        <v>275</v>
      </c>
      <c r="C1" s="69" t="s">
        <v>278</v>
      </c>
      <c r="D1" s="68" t="s">
        <v>283</v>
      </c>
      <c r="E1" s="68" t="s">
        <v>284</v>
      </c>
      <c r="F1" s="68" t="s">
        <v>285</v>
      </c>
      <c r="G1" s="68" t="s">
        <v>286</v>
      </c>
      <c r="H1" s="69" t="s">
        <v>292</v>
      </c>
      <c r="J1" s="1" t="s">
        <v>1</v>
      </c>
      <c r="K1" s="1" t="s">
        <v>2</v>
      </c>
      <c r="L1" s="1" t="s">
        <v>4</v>
      </c>
      <c r="M1" s="1" t="s">
        <v>5</v>
      </c>
      <c r="N1" s="48" t="s">
        <v>6</v>
      </c>
      <c r="O1" s="71" t="s">
        <v>7</v>
      </c>
      <c r="P1" s="1" t="s">
        <v>8</v>
      </c>
      <c r="Q1" s="1" t="s">
        <v>9</v>
      </c>
      <c r="R1" s="1" t="s">
        <v>10</v>
      </c>
    </row>
    <row r="2" spans="1:18">
      <c r="A2" s="56" t="s">
        <v>340</v>
      </c>
      <c r="B2" s="57">
        <v>45733</v>
      </c>
      <c r="C2" s="6" t="s">
        <v>79</v>
      </c>
      <c r="D2" s="56" t="s">
        <v>309</v>
      </c>
      <c r="E2" s="59">
        <v>2364.8200000000002</v>
      </c>
      <c r="F2" s="67" t="s">
        <v>309</v>
      </c>
      <c r="G2" s="59">
        <v>2364.8200000000002</v>
      </c>
      <c r="H2" s="56" t="s">
        <v>386</v>
      </c>
      <c r="J2" s="6" t="s">
        <v>78</v>
      </c>
      <c r="K2" s="7">
        <v>27</v>
      </c>
      <c r="L2" s="8">
        <v>45698</v>
      </c>
      <c r="M2" s="6" t="s">
        <v>79</v>
      </c>
      <c r="N2" s="49">
        <v>87.585800000000006</v>
      </c>
      <c r="O2" s="72">
        <v>2364.8166000000001</v>
      </c>
      <c r="P2" s="10">
        <v>0.02</v>
      </c>
      <c r="Q2" s="11">
        <f t="shared" ref="Q2:Q40" si="0">ROUND(O2*P2,0)</f>
        <v>47</v>
      </c>
      <c r="R2" s="11">
        <f t="shared" ref="R2:R40" si="1">O2-Q2</f>
        <v>2317.8166000000001</v>
      </c>
    </row>
    <row r="3" spans="1:18">
      <c r="A3" s="56" t="s">
        <v>340</v>
      </c>
      <c r="B3" s="57">
        <v>45733</v>
      </c>
      <c r="C3" s="6" t="s">
        <v>86</v>
      </c>
      <c r="D3" s="56" t="s">
        <v>309</v>
      </c>
      <c r="E3" s="59">
        <v>2801.87</v>
      </c>
      <c r="F3" s="67" t="s">
        <v>309</v>
      </c>
      <c r="G3" s="59">
        <v>2801.87</v>
      </c>
      <c r="H3" s="56" t="s">
        <v>394</v>
      </c>
      <c r="J3" s="6" t="s">
        <v>85</v>
      </c>
      <c r="K3" s="7">
        <v>31.99</v>
      </c>
      <c r="L3" s="8">
        <v>45698</v>
      </c>
      <c r="M3" s="6" t="s">
        <v>86</v>
      </c>
      <c r="N3" s="49">
        <v>87.585800000000006</v>
      </c>
      <c r="O3" s="72">
        <v>2801.8697419999999</v>
      </c>
      <c r="P3" s="10">
        <v>0.02</v>
      </c>
      <c r="Q3" s="11">
        <f t="shared" si="0"/>
        <v>56</v>
      </c>
      <c r="R3" s="11">
        <f t="shared" si="1"/>
        <v>2745.8697419999999</v>
      </c>
    </row>
    <row r="4" spans="1:18">
      <c r="A4" s="56" t="s">
        <v>340</v>
      </c>
      <c r="B4" s="57">
        <v>45733</v>
      </c>
      <c r="C4" s="6" t="s">
        <v>90</v>
      </c>
      <c r="D4" s="56" t="s">
        <v>309</v>
      </c>
      <c r="E4" s="59">
        <v>2801.87</v>
      </c>
      <c r="F4" s="67" t="s">
        <v>309</v>
      </c>
      <c r="G4" s="59">
        <v>2801.87</v>
      </c>
      <c r="H4" s="56" t="s">
        <v>400</v>
      </c>
      <c r="J4" s="6" t="s">
        <v>89</v>
      </c>
      <c r="K4" s="7">
        <v>31.99</v>
      </c>
      <c r="L4" s="8">
        <v>45698</v>
      </c>
      <c r="M4" s="6" t="s">
        <v>90</v>
      </c>
      <c r="N4" s="49">
        <v>87.585800000000006</v>
      </c>
      <c r="O4" s="72">
        <v>2801.8697419999999</v>
      </c>
      <c r="P4" s="10">
        <v>0.02</v>
      </c>
      <c r="Q4" s="11">
        <f t="shared" si="0"/>
        <v>56</v>
      </c>
      <c r="R4" s="11">
        <f t="shared" si="1"/>
        <v>2745.8697419999999</v>
      </c>
    </row>
    <row r="5" spans="1:18">
      <c r="A5" s="56" t="s">
        <v>340</v>
      </c>
      <c r="B5" s="57">
        <v>45733</v>
      </c>
      <c r="C5" s="6" t="s">
        <v>65</v>
      </c>
      <c r="D5" s="56" t="s">
        <v>309</v>
      </c>
      <c r="E5" s="59">
        <v>4624.53</v>
      </c>
      <c r="F5" s="67" t="s">
        <v>309</v>
      </c>
      <c r="G5" s="59">
        <v>4624.53</v>
      </c>
      <c r="H5" s="56" t="s">
        <v>357</v>
      </c>
      <c r="J5" s="6" t="s">
        <v>20</v>
      </c>
      <c r="K5" s="7">
        <v>52.8</v>
      </c>
      <c r="L5" s="8">
        <v>45698</v>
      </c>
      <c r="M5" s="6" t="s">
        <v>65</v>
      </c>
      <c r="N5" s="49">
        <v>87.585800000000006</v>
      </c>
      <c r="O5" s="72">
        <v>4624.53024</v>
      </c>
      <c r="P5" s="10">
        <v>0.02</v>
      </c>
      <c r="Q5" s="11">
        <f t="shared" si="0"/>
        <v>92</v>
      </c>
      <c r="R5" s="11">
        <f t="shared" si="1"/>
        <v>4532.53024</v>
      </c>
    </row>
    <row r="6" spans="1:18">
      <c r="A6" s="56" t="s">
        <v>340</v>
      </c>
      <c r="B6" s="57">
        <v>45733</v>
      </c>
      <c r="C6" s="6" t="s">
        <v>82</v>
      </c>
      <c r="D6" s="56" t="s">
        <v>309</v>
      </c>
      <c r="E6" s="59">
        <v>4624.53</v>
      </c>
      <c r="F6" s="67" t="s">
        <v>309</v>
      </c>
      <c r="G6" s="59">
        <v>4624.53</v>
      </c>
      <c r="H6" s="56" t="s">
        <v>357</v>
      </c>
      <c r="J6" s="6" t="s">
        <v>20</v>
      </c>
      <c r="K6" s="7">
        <v>52.8</v>
      </c>
      <c r="L6" s="8">
        <v>45698</v>
      </c>
      <c r="M6" s="6" t="s">
        <v>82</v>
      </c>
      <c r="N6" s="49">
        <v>87.585800000000006</v>
      </c>
      <c r="O6" s="72">
        <v>4624.53024</v>
      </c>
      <c r="P6" s="10">
        <v>0.02</v>
      </c>
      <c r="Q6" s="11">
        <f t="shared" si="0"/>
        <v>92</v>
      </c>
      <c r="R6" s="11">
        <f t="shared" si="1"/>
        <v>4532.53024</v>
      </c>
    </row>
    <row r="7" spans="1:18">
      <c r="A7" s="56" t="s">
        <v>340</v>
      </c>
      <c r="B7" s="57">
        <v>45733</v>
      </c>
      <c r="C7" s="6" t="s">
        <v>69</v>
      </c>
      <c r="D7" s="56" t="s">
        <v>309</v>
      </c>
      <c r="E7" s="59">
        <v>4729.63</v>
      </c>
      <c r="F7" s="67" t="s">
        <v>309</v>
      </c>
      <c r="G7" s="59">
        <v>4729.63</v>
      </c>
      <c r="H7" s="56" t="s">
        <v>370</v>
      </c>
      <c r="J7" s="6" t="s">
        <v>41</v>
      </c>
      <c r="K7" s="7">
        <v>54</v>
      </c>
      <c r="L7" s="8">
        <v>45698</v>
      </c>
      <c r="M7" s="6" t="s">
        <v>69</v>
      </c>
      <c r="N7" s="49">
        <v>87.585800000000006</v>
      </c>
      <c r="O7" s="72">
        <v>4729.6332000000002</v>
      </c>
      <c r="P7" s="10">
        <v>0.02</v>
      </c>
      <c r="Q7" s="11">
        <f t="shared" si="0"/>
        <v>95</v>
      </c>
      <c r="R7" s="11">
        <f t="shared" si="1"/>
        <v>4634.6332000000002</v>
      </c>
    </row>
    <row r="8" spans="1:18">
      <c r="A8" s="56" t="s">
        <v>340</v>
      </c>
      <c r="B8" s="57">
        <v>45733</v>
      </c>
      <c r="C8" s="6" t="s">
        <v>88</v>
      </c>
      <c r="D8" s="56" t="s">
        <v>309</v>
      </c>
      <c r="E8" s="59">
        <v>5603.74</v>
      </c>
      <c r="F8" s="67" t="s">
        <v>309</v>
      </c>
      <c r="G8" s="59">
        <v>5603.74</v>
      </c>
      <c r="H8" s="56" t="s">
        <v>398</v>
      </c>
      <c r="J8" s="6" t="s">
        <v>28</v>
      </c>
      <c r="K8" s="7">
        <v>63.98</v>
      </c>
      <c r="L8" s="8">
        <v>45698</v>
      </c>
      <c r="M8" s="6" t="s">
        <v>88</v>
      </c>
      <c r="N8" s="49">
        <v>87.585800000000006</v>
      </c>
      <c r="O8" s="72">
        <v>5603.7394839999997</v>
      </c>
      <c r="P8" s="10">
        <v>0.02</v>
      </c>
      <c r="Q8" s="11">
        <f t="shared" si="0"/>
        <v>112</v>
      </c>
      <c r="R8" s="11">
        <f t="shared" si="1"/>
        <v>5491.7394839999997</v>
      </c>
    </row>
    <row r="9" spans="1:18">
      <c r="A9" s="56" t="s">
        <v>340</v>
      </c>
      <c r="B9" s="57">
        <v>45733</v>
      </c>
      <c r="C9" s="6" t="s">
        <v>42</v>
      </c>
      <c r="D9" s="56" t="s">
        <v>309</v>
      </c>
      <c r="E9" s="59">
        <v>7094.45</v>
      </c>
      <c r="F9" s="67" t="s">
        <v>309</v>
      </c>
      <c r="G9" s="59">
        <v>7094.45</v>
      </c>
      <c r="H9" s="56" t="s">
        <v>380</v>
      </c>
      <c r="J9" s="6" t="s">
        <v>41</v>
      </c>
      <c r="K9" s="7">
        <v>81</v>
      </c>
      <c r="L9" s="8">
        <v>45698</v>
      </c>
      <c r="M9" s="6" t="s">
        <v>42</v>
      </c>
      <c r="N9" s="49">
        <v>87.585800000000006</v>
      </c>
      <c r="O9" s="72">
        <v>7094.4498000000003</v>
      </c>
      <c r="P9" s="10">
        <v>0.02</v>
      </c>
      <c r="Q9" s="11">
        <f t="shared" si="0"/>
        <v>142</v>
      </c>
      <c r="R9" s="11">
        <f t="shared" si="1"/>
        <v>6952.4498000000003</v>
      </c>
    </row>
    <row r="10" spans="1:18">
      <c r="A10" s="56" t="s">
        <v>340</v>
      </c>
      <c r="B10" s="57">
        <v>45733</v>
      </c>
      <c r="C10" s="6" t="s">
        <v>31</v>
      </c>
      <c r="D10" s="56" t="s">
        <v>309</v>
      </c>
      <c r="E10" s="59">
        <v>11000</v>
      </c>
      <c r="F10" s="67" t="s">
        <v>309</v>
      </c>
      <c r="G10" s="59">
        <v>11000</v>
      </c>
      <c r="H10" s="56" t="s">
        <v>343</v>
      </c>
      <c r="J10" s="6" t="s">
        <v>30</v>
      </c>
      <c r="K10" s="7">
        <v>125.5911346359798</v>
      </c>
      <c r="L10" s="8">
        <v>45698</v>
      </c>
      <c r="M10" s="6" t="s">
        <v>31</v>
      </c>
      <c r="N10" s="49">
        <v>87.585800000000006</v>
      </c>
      <c r="O10" s="72">
        <v>11000</v>
      </c>
      <c r="P10" s="10">
        <v>0.02</v>
      </c>
      <c r="Q10" s="11">
        <f t="shared" si="0"/>
        <v>220</v>
      </c>
      <c r="R10" s="11">
        <f t="shared" si="1"/>
        <v>10780</v>
      </c>
    </row>
    <row r="11" spans="1:18">
      <c r="A11" s="56" t="s">
        <v>340</v>
      </c>
      <c r="B11" s="57">
        <v>45733</v>
      </c>
      <c r="C11" s="6" t="s">
        <v>87</v>
      </c>
      <c r="D11" s="56" t="s">
        <v>309</v>
      </c>
      <c r="E11" s="59">
        <v>11351.12</v>
      </c>
      <c r="F11" s="67" t="s">
        <v>309</v>
      </c>
      <c r="G11" s="59">
        <v>11351.12</v>
      </c>
      <c r="H11" s="56" t="s">
        <v>396</v>
      </c>
      <c r="J11" s="6" t="s">
        <v>26</v>
      </c>
      <c r="K11" s="7">
        <v>129.60000000000002</v>
      </c>
      <c r="L11" s="8">
        <v>45698</v>
      </c>
      <c r="M11" s="6" t="s">
        <v>87</v>
      </c>
      <c r="N11" s="49">
        <v>87.585800000000006</v>
      </c>
      <c r="O11" s="72">
        <v>11351.119680000003</v>
      </c>
      <c r="P11" s="10">
        <v>0.02</v>
      </c>
      <c r="Q11" s="11">
        <f t="shared" si="0"/>
        <v>227</v>
      </c>
      <c r="R11" s="11">
        <f t="shared" si="1"/>
        <v>11124.119680000003</v>
      </c>
    </row>
    <row r="12" spans="1:18">
      <c r="A12" s="56" t="s">
        <v>340</v>
      </c>
      <c r="B12" s="57">
        <v>45733</v>
      </c>
      <c r="C12" s="6" t="s">
        <v>21</v>
      </c>
      <c r="D12" s="56" t="s">
        <v>309</v>
      </c>
      <c r="E12" s="59">
        <v>11561.33</v>
      </c>
      <c r="F12" s="67" t="s">
        <v>309</v>
      </c>
      <c r="G12" s="59">
        <v>11561.33</v>
      </c>
      <c r="H12" s="56" t="s">
        <v>353</v>
      </c>
      <c r="J12" s="6" t="s">
        <v>20</v>
      </c>
      <c r="K12" s="7">
        <v>132</v>
      </c>
      <c r="L12" s="8">
        <v>45698</v>
      </c>
      <c r="M12" s="6" t="s">
        <v>21</v>
      </c>
      <c r="N12" s="49">
        <v>87.585800000000006</v>
      </c>
      <c r="O12" s="72">
        <v>11561.3256</v>
      </c>
      <c r="P12" s="10">
        <v>0.02</v>
      </c>
      <c r="Q12" s="11">
        <f t="shared" si="0"/>
        <v>231</v>
      </c>
      <c r="R12" s="11">
        <f t="shared" si="1"/>
        <v>11330.3256</v>
      </c>
    </row>
    <row r="13" spans="1:18">
      <c r="A13" s="56" t="s">
        <v>340</v>
      </c>
      <c r="B13" s="57">
        <v>45733</v>
      </c>
      <c r="C13" s="6" t="s">
        <v>43</v>
      </c>
      <c r="D13" s="56" t="s">
        <v>309</v>
      </c>
      <c r="E13" s="59">
        <v>13200</v>
      </c>
      <c r="F13" s="67" t="s">
        <v>309</v>
      </c>
      <c r="G13" s="59">
        <v>13200</v>
      </c>
      <c r="H13" s="56" t="s">
        <v>345</v>
      </c>
      <c r="J13" s="6" t="s">
        <v>30</v>
      </c>
      <c r="K13" s="7">
        <v>150.70936156317575</v>
      </c>
      <c r="L13" s="8">
        <v>45698</v>
      </c>
      <c r="M13" s="6" t="s">
        <v>43</v>
      </c>
      <c r="N13" s="49">
        <v>87.585800000000006</v>
      </c>
      <c r="O13" s="72">
        <v>13200</v>
      </c>
      <c r="P13" s="10">
        <v>0.02</v>
      </c>
      <c r="Q13" s="11">
        <f t="shared" si="0"/>
        <v>264</v>
      </c>
      <c r="R13" s="11">
        <f t="shared" si="1"/>
        <v>12936</v>
      </c>
    </row>
    <row r="14" spans="1:18">
      <c r="A14" s="56" t="s">
        <v>340</v>
      </c>
      <c r="B14" s="57">
        <v>45733</v>
      </c>
      <c r="C14" s="6" t="s">
        <v>58</v>
      </c>
      <c r="D14" s="56" t="s">
        <v>309</v>
      </c>
      <c r="E14" s="59">
        <v>14188.9</v>
      </c>
      <c r="F14" s="67" t="s">
        <v>309</v>
      </c>
      <c r="G14" s="59">
        <v>14188.9</v>
      </c>
      <c r="H14" s="56" t="s">
        <v>406</v>
      </c>
      <c r="J14" s="6" t="s">
        <v>41</v>
      </c>
      <c r="K14" s="7">
        <v>162</v>
      </c>
      <c r="L14" s="8">
        <v>45698</v>
      </c>
      <c r="M14" s="6" t="s">
        <v>58</v>
      </c>
      <c r="N14" s="49">
        <v>87.585800000000006</v>
      </c>
      <c r="O14" s="72">
        <v>14188.899600000001</v>
      </c>
      <c r="P14" s="10">
        <v>0.02</v>
      </c>
      <c r="Q14" s="11">
        <f t="shared" si="0"/>
        <v>284</v>
      </c>
      <c r="R14" s="11">
        <f t="shared" si="1"/>
        <v>13904.899600000001</v>
      </c>
    </row>
    <row r="15" spans="1:18">
      <c r="A15" s="56" t="s">
        <v>340</v>
      </c>
      <c r="B15" s="57">
        <v>45733</v>
      </c>
      <c r="C15" s="6" t="s">
        <v>68</v>
      </c>
      <c r="D15" s="56" t="s">
        <v>309</v>
      </c>
      <c r="E15" s="59">
        <v>15134.83</v>
      </c>
      <c r="F15" s="67" t="s">
        <v>309</v>
      </c>
      <c r="G15" s="59">
        <v>15134.83</v>
      </c>
      <c r="H15" s="56" t="s">
        <v>369</v>
      </c>
      <c r="J15" s="6" t="s">
        <v>26</v>
      </c>
      <c r="K15" s="7">
        <v>172.8</v>
      </c>
      <c r="L15" s="8">
        <v>45698</v>
      </c>
      <c r="M15" s="6" t="s">
        <v>68</v>
      </c>
      <c r="N15" s="49">
        <v>87.585800000000006</v>
      </c>
      <c r="O15" s="72">
        <v>15134.826240000002</v>
      </c>
      <c r="P15" s="10">
        <v>0.02</v>
      </c>
      <c r="Q15" s="11">
        <f t="shared" si="0"/>
        <v>303</v>
      </c>
      <c r="R15" s="11">
        <f t="shared" si="1"/>
        <v>14831.826240000002</v>
      </c>
    </row>
    <row r="16" spans="1:18">
      <c r="A16" s="56" t="s">
        <v>340</v>
      </c>
      <c r="B16" s="57">
        <v>45733</v>
      </c>
      <c r="C16" s="6" t="s">
        <v>76</v>
      </c>
      <c r="D16" s="56" t="s">
        <v>309</v>
      </c>
      <c r="E16" s="59">
        <v>15765.44</v>
      </c>
      <c r="F16" s="67" t="s">
        <v>309</v>
      </c>
      <c r="G16" s="59">
        <v>15765.44</v>
      </c>
      <c r="H16" s="56" t="s">
        <v>359</v>
      </c>
      <c r="J16" s="6" t="s">
        <v>75</v>
      </c>
      <c r="K16" s="7">
        <v>180</v>
      </c>
      <c r="L16" s="8">
        <v>45698</v>
      </c>
      <c r="M16" s="6" t="s">
        <v>76</v>
      </c>
      <c r="N16" s="49">
        <v>87.585800000000006</v>
      </c>
      <c r="O16" s="72">
        <v>15765.444000000001</v>
      </c>
      <c r="P16" s="10">
        <v>0.02</v>
      </c>
      <c r="Q16" s="11">
        <f t="shared" si="0"/>
        <v>315</v>
      </c>
      <c r="R16" s="11">
        <f t="shared" si="1"/>
        <v>15450.444000000001</v>
      </c>
    </row>
    <row r="17" spans="1:18">
      <c r="A17" s="56" t="s">
        <v>340</v>
      </c>
      <c r="B17" s="57">
        <v>45733</v>
      </c>
      <c r="C17" s="6" t="s">
        <v>81</v>
      </c>
      <c r="D17" s="56" t="s">
        <v>309</v>
      </c>
      <c r="E17" s="59">
        <v>15765.44</v>
      </c>
      <c r="F17" s="67" t="s">
        <v>309</v>
      </c>
      <c r="G17" s="59">
        <v>15765.44</v>
      </c>
      <c r="H17" s="56" t="s">
        <v>388</v>
      </c>
      <c r="J17" s="6" t="s">
        <v>80</v>
      </c>
      <c r="K17" s="7">
        <v>180</v>
      </c>
      <c r="L17" s="8">
        <v>45698</v>
      </c>
      <c r="M17" s="6" t="s">
        <v>81</v>
      </c>
      <c r="N17" s="49">
        <v>87.585800000000006</v>
      </c>
      <c r="O17" s="72">
        <v>15765.444000000001</v>
      </c>
      <c r="P17" s="10">
        <v>0.02</v>
      </c>
      <c r="Q17" s="11">
        <f t="shared" si="0"/>
        <v>315</v>
      </c>
      <c r="R17" s="11">
        <f t="shared" si="1"/>
        <v>15450.444000000001</v>
      </c>
    </row>
    <row r="18" spans="1:18">
      <c r="A18" s="56" t="s">
        <v>340</v>
      </c>
      <c r="B18" s="57">
        <v>45733</v>
      </c>
      <c r="C18" s="6" t="s">
        <v>67</v>
      </c>
      <c r="D18" s="56" t="s">
        <v>309</v>
      </c>
      <c r="E18" s="59">
        <v>16549.509999999998</v>
      </c>
      <c r="F18" s="67" t="s">
        <v>309</v>
      </c>
      <c r="G18" s="59">
        <v>16549.509999999998</v>
      </c>
      <c r="H18" s="56" t="s">
        <v>368</v>
      </c>
      <c r="J18" s="6" t="s">
        <v>23</v>
      </c>
      <c r="K18" s="7">
        <v>188.952</v>
      </c>
      <c r="L18" s="8">
        <v>45698</v>
      </c>
      <c r="M18" s="6" t="s">
        <v>67</v>
      </c>
      <c r="N18" s="49">
        <v>87.585800000000006</v>
      </c>
      <c r="O18" s="72">
        <v>16549.512081600002</v>
      </c>
      <c r="P18" s="10">
        <v>0.02</v>
      </c>
      <c r="Q18" s="11">
        <f t="shared" si="0"/>
        <v>331</v>
      </c>
      <c r="R18" s="11">
        <f t="shared" si="1"/>
        <v>16218.512081600002</v>
      </c>
    </row>
    <row r="19" spans="1:18">
      <c r="A19" s="56" t="s">
        <v>340</v>
      </c>
      <c r="B19" s="57">
        <v>45733</v>
      </c>
      <c r="C19" s="6" t="s">
        <v>70</v>
      </c>
      <c r="D19" s="56" t="s">
        <v>309</v>
      </c>
      <c r="E19" s="59">
        <v>16549.509999999998</v>
      </c>
      <c r="F19" s="67" t="s">
        <v>309</v>
      </c>
      <c r="G19" s="59">
        <v>16549.509999999998</v>
      </c>
      <c r="H19" s="56" t="s">
        <v>384</v>
      </c>
      <c r="J19" s="6" t="s">
        <v>28</v>
      </c>
      <c r="K19" s="7">
        <v>188.952</v>
      </c>
      <c r="L19" s="8">
        <v>45698</v>
      </c>
      <c r="M19" s="6" t="s">
        <v>70</v>
      </c>
      <c r="N19" s="49">
        <v>87.585800000000006</v>
      </c>
      <c r="O19" s="72">
        <v>16549.512081600002</v>
      </c>
      <c r="P19" s="10">
        <v>0.02</v>
      </c>
      <c r="Q19" s="11">
        <f t="shared" si="0"/>
        <v>331</v>
      </c>
      <c r="R19" s="11">
        <f t="shared" si="1"/>
        <v>16218.512081600002</v>
      </c>
    </row>
    <row r="20" spans="1:18">
      <c r="A20" s="56" t="s">
        <v>340</v>
      </c>
      <c r="B20" s="57">
        <v>45733</v>
      </c>
      <c r="C20" s="6" t="s">
        <v>36</v>
      </c>
      <c r="D20" s="56" t="s">
        <v>309</v>
      </c>
      <c r="E20" s="59">
        <v>18498.12</v>
      </c>
      <c r="F20" s="67" t="s">
        <v>309</v>
      </c>
      <c r="G20" s="59">
        <v>18498.12</v>
      </c>
      <c r="H20" s="56" t="s">
        <v>354</v>
      </c>
      <c r="J20" s="6" t="s">
        <v>20</v>
      </c>
      <c r="K20" s="7">
        <v>211.20000000000002</v>
      </c>
      <c r="L20" s="8">
        <v>45698</v>
      </c>
      <c r="M20" s="6" t="s">
        <v>36</v>
      </c>
      <c r="N20" s="49">
        <v>87.585800000000006</v>
      </c>
      <c r="O20" s="72">
        <v>18498.120960000004</v>
      </c>
      <c r="P20" s="10">
        <v>0.02</v>
      </c>
      <c r="Q20" s="11">
        <f t="shared" si="0"/>
        <v>370</v>
      </c>
      <c r="R20" s="11">
        <f t="shared" si="1"/>
        <v>18128.120960000004</v>
      </c>
    </row>
    <row r="21" spans="1:18">
      <c r="A21" s="56" t="s">
        <v>340</v>
      </c>
      <c r="B21" s="57">
        <v>45733</v>
      </c>
      <c r="C21" s="6" t="s">
        <v>48</v>
      </c>
      <c r="D21" s="56" t="s">
        <v>309</v>
      </c>
      <c r="E21" s="59">
        <v>18498.12</v>
      </c>
      <c r="F21" s="67" t="s">
        <v>309</v>
      </c>
      <c r="G21" s="59">
        <v>18498.12</v>
      </c>
      <c r="H21" s="56" t="s">
        <v>354</v>
      </c>
      <c r="J21" s="6" t="s">
        <v>20</v>
      </c>
      <c r="K21" s="7">
        <v>211.20000000000002</v>
      </c>
      <c r="L21" s="8">
        <v>45698</v>
      </c>
      <c r="M21" s="6" t="s">
        <v>48</v>
      </c>
      <c r="N21" s="49">
        <v>87.585800000000006</v>
      </c>
      <c r="O21" s="72">
        <v>18498.120960000004</v>
      </c>
      <c r="P21" s="10">
        <v>0.02</v>
      </c>
      <c r="Q21" s="11">
        <f t="shared" si="0"/>
        <v>370</v>
      </c>
      <c r="R21" s="11">
        <f t="shared" si="1"/>
        <v>18128.120960000004</v>
      </c>
    </row>
    <row r="22" spans="1:18">
      <c r="A22" s="56" t="s">
        <v>340</v>
      </c>
      <c r="B22" s="57">
        <v>45733</v>
      </c>
      <c r="C22" s="6" t="s">
        <v>52</v>
      </c>
      <c r="D22" s="56" t="s">
        <v>309</v>
      </c>
      <c r="E22" s="59">
        <v>18918.53</v>
      </c>
      <c r="F22" s="67" t="s">
        <v>309</v>
      </c>
      <c r="G22" s="59">
        <v>18918.53</v>
      </c>
      <c r="H22" s="56" t="s">
        <v>378</v>
      </c>
      <c r="J22" s="6" t="s">
        <v>41</v>
      </c>
      <c r="K22" s="7">
        <v>216</v>
      </c>
      <c r="L22" s="8">
        <v>45698</v>
      </c>
      <c r="M22" s="6" t="s">
        <v>52</v>
      </c>
      <c r="N22" s="49">
        <v>87.585800000000006</v>
      </c>
      <c r="O22" s="72">
        <v>18918.532800000001</v>
      </c>
      <c r="P22" s="10">
        <v>0.02</v>
      </c>
      <c r="Q22" s="11">
        <f t="shared" si="0"/>
        <v>378</v>
      </c>
      <c r="R22" s="11">
        <f t="shared" si="1"/>
        <v>18540.532800000001</v>
      </c>
    </row>
    <row r="23" spans="1:18">
      <c r="A23" s="56" t="s">
        <v>340</v>
      </c>
      <c r="B23" s="57">
        <v>45733</v>
      </c>
      <c r="C23" s="6" t="s">
        <v>84</v>
      </c>
      <c r="D23" s="56" t="s">
        <v>309</v>
      </c>
      <c r="E23" s="59">
        <v>22153.25</v>
      </c>
      <c r="F23" s="67" t="s">
        <v>309</v>
      </c>
      <c r="G23" s="59">
        <v>22153.25</v>
      </c>
      <c r="H23" s="56" t="s">
        <v>392</v>
      </c>
      <c r="J23" s="6" t="s">
        <v>23</v>
      </c>
      <c r="K23" s="7">
        <v>252.93199999999999</v>
      </c>
      <c r="L23" s="8">
        <v>45698</v>
      </c>
      <c r="M23" s="6" t="s">
        <v>84</v>
      </c>
      <c r="N23" s="49">
        <v>87.585800000000006</v>
      </c>
      <c r="O23" s="72">
        <v>22153.2515656</v>
      </c>
      <c r="P23" s="10">
        <v>0.02</v>
      </c>
      <c r="Q23" s="11">
        <f t="shared" si="0"/>
        <v>443</v>
      </c>
      <c r="R23" s="11">
        <f t="shared" si="1"/>
        <v>21710.2515656</v>
      </c>
    </row>
    <row r="24" spans="1:18">
      <c r="A24" s="56" t="s">
        <v>340</v>
      </c>
      <c r="B24" s="57">
        <v>45733</v>
      </c>
      <c r="C24" s="6" t="s">
        <v>60</v>
      </c>
      <c r="D24" s="56" t="s">
        <v>309</v>
      </c>
      <c r="E24" s="59">
        <v>22702.240000000002</v>
      </c>
      <c r="F24" s="67" t="s">
        <v>309</v>
      </c>
      <c r="G24" s="59">
        <v>22702.240000000002</v>
      </c>
      <c r="H24" s="56" t="s">
        <v>410</v>
      </c>
      <c r="J24" s="6" t="s">
        <v>26</v>
      </c>
      <c r="K24" s="7">
        <v>259.2</v>
      </c>
      <c r="L24" s="8">
        <v>45698</v>
      </c>
      <c r="M24" s="6" t="s">
        <v>60</v>
      </c>
      <c r="N24" s="49">
        <v>87.585800000000006</v>
      </c>
      <c r="O24" s="72">
        <v>22702.23936</v>
      </c>
      <c r="P24" s="10">
        <v>0.02</v>
      </c>
      <c r="Q24" s="11">
        <f t="shared" si="0"/>
        <v>454</v>
      </c>
      <c r="R24" s="11">
        <f t="shared" si="1"/>
        <v>22248.23936</v>
      </c>
    </row>
    <row r="25" spans="1:18">
      <c r="A25" s="56" t="s">
        <v>340</v>
      </c>
      <c r="B25" s="57">
        <v>45733</v>
      </c>
      <c r="C25" s="6" t="s">
        <v>40</v>
      </c>
      <c r="D25" s="56" t="s">
        <v>309</v>
      </c>
      <c r="E25" s="59">
        <v>24824.27</v>
      </c>
      <c r="F25" s="67" t="s">
        <v>309</v>
      </c>
      <c r="G25" s="59">
        <v>24824.27</v>
      </c>
      <c r="H25" s="56" t="s">
        <v>376</v>
      </c>
      <c r="J25" s="6" t="s">
        <v>28</v>
      </c>
      <c r="K25" s="7">
        <v>283.428</v>
      </c>
      <c r="L25" s="8">
        <v>45698</v>
      </c>
      <c r="M25" s="6" t="s">
        <v>40</v>
      </c>
      <c r="N25" s="49">
        <v>87.585800000000006</v>
      </c>
      <c r="O25" s="72">
        <v>24824.268122400001</v>
      </c>
      <c r="P25" s="10">
        <v>0.02</v>
      </c>
      <c r="Q25" s="11">
        <f t="shared" si="0"/>
        <v>496</v>
      </c>
      <c r="R25" s="11">
        <f t="shared" si="1"/>
        <v>24328.268122400001</v>
      </c>
    </row>
    <row r="26" spans="1:18">
      <c r="A26" s="56" t="s">
        <v>340</v>
      </c>
      <c r="B26" s="57">
        <v>45733</v>
      </c>
      <c r="C26" s="6" t="s">
        <v>63</v>
      </c>
      <c r="D26" s="56" t="s">
        <v>309</v>
      </c>
      <c r="E26" s="59">
        <v>31951.3</v>
      </c>
      <c r="F26" s="67" t="s">
        <v>309</v>
      </c>
      <c r="G26" s="59">
        <v>31951.3</v>
      </c>
      <c r="H26" s="56" t="s">
        <v>349</v>
      </c>
      <c r="J26" s="6" t="s">
        <v>61</v>
      </c>
      <c r="K26" s="7">
        <v>364.79999999999995</v>
      </c>
      <c r="L26" s="8">
        <v>45698</v>
      </c>
      <c r="M26" s="6" t="s">
        <v>63</v>
      </c>
      <c r="N26" s="49">
        <v>87.585800000000006</v>
      </c>
      <c r="O26" s="72">
        <v>31951.29984</v>
      </c>
      <c r="P26" s="10">
        <v>0.1</v>
      </c>
      <c r="Q26" s="11">
        <f t="shared" si="0"/>
        <v>3195</v>
      </c>
      <c r="R26" s="11">
        <f t="shared" si="1"/>
        <v>28756.29984</v>
      </c>
    </row>
    <row r="27" spans="1:18">
      <c r="A27" s="56" t="s">
        <v>340</v>
      </c>
      <c r="B27" s="57">
        <v>45733</v>
      </c>
      <c r="C27" s="6" t="s">
        <v>27</v>
      </c>
      <c r="D27" s="56" t="s">
        <v>309</v>
      </c>
      <c r="E27" s="59">
        <v>37837.07</v>
      </c>
      <c r="F27" s="67" t="s">
        <v>309</v>
      </c>
      <c r="G27" s="59">
        <v>37837.07</v>
      </c>
      <c r="H27" s="56" t="s">
        <v>404</v>
      </c>
      <c r="J27" s="6" t="s">
        <v>26</v>
      </c>
      <c r="K27" s="7">
        <v>432</v>
      </c>
      <c r="L27" s="8">
        <v>45698</v>
      </c>
      <c r="M27" s="6" t="s">
        <v>27</v>
      </c>
      <c r="N27" s="49">
        <v>87.585800000000006</v>
      </c>
      <c r="O27" s="72">
        <v>37837.065600000002</v>
      </c>
      <c r="P27" s="10">
        <v>0.02</v>
      </c>
      <c r="Q27" s="11">
        <f t="shared" si="0"/>
        <v>757</v>
      </c>
      <c r="R27" s="11">
        <f t="shared" si="1"/>
        <v>37080.065600000002</v>
      </c>
    </row>
    <row r="28" spans="1:18">
      <c r="A28" s="56" t="s">
        <v>340</v>
      </c>
      <c r="B28" s="57">
        <v>45733</v>
      </c>
      <c r="C28" s="6" t="s">
        <v>24</v>
      </c>
      <c r="D28" s="56" t="s">
        <v>309</v>
      </c>
      <c r="E28" s="59">
        <v>41373.78</v>
      </c>
      <c r="F28" s="67" t="s">
        <v>309</v>
      </c>
      <c r="G28" s="59">
        <v>41373.78</v>
      </c>
      <c r="H28" s="56" t="s">
        <v>371</v>
      </c>
      <c r="J28" s="6" t="s">
        <v>23</v>
      </c>
      <c r="K28" s="7">
        <v>472.38</v>
      </c>
      <c r="L28" s="8">
        <v>45698</v>
      </c>
      <c r="M28" s="6" t="s">
        <v>24</v>
      </c>
      <c r="N28" s="49">
        <v>87.585800000000006</v>
      </c>
      <c r="O28" s="72">
        <v>41373.780204000002</v>
      </c>
      <c r="P28" s="10">
        <v>0.02</v>
      </c>
      <c r="Q28" s="11">
        <f t="shared" si="0"/>
        <v>827</v>
      </c>
      <c r="R28" s="11">
        <f t="shared" si="1"/>
        <v>40546.780204000002</v>
      </c>
    </row>
    <row r="29" spans="1:18">
      <c r="A29" s="56" t="s">
        <v>340</v>
      </c>
      <c r="B29" s="57">
        <v>45733</v>
      </c>
      <c r="C29" s="6" t="s">
        <v>29</v>
      </c>
      <c r="D29" s="56" t="s">
        <v>309</v>
      </c>
      <c r="E29" s="59">
        <v>41373.78</v>
      </c>
      <c r="F29" s="67" t="s">
        <v>309</v>
      </c>
      <c r="G29" s="59">
        <v>41373.78</v>
      </c>
      <c r="H29" s="56" t="s">
        <v>402</v>
      </c>
      <c r="J29" s="6" t="s">
        <v>28</v>
      </c>
      <c r="K29" s="7">
        <v>472.38</v>
      </c>
      <c r="L29" s="8">
        <v>45698</v>
      </c>
      <c r="M29" s="6" t="s">
        <v>29</v>
      </c>
      <c r="N29" s="49">
        <v>87.585800000000006</v>
      </c>
      <c r="O29" s="72">
        <v>41373.780204000002</v>
      </c>
      <c r="P29" s="10">
        <v>0.02</v>
      </c>
      <c r="Q29" s="11">
        <f t="shared" si="0"/>
        <v>827</v>
      </c>
      <c r="R29" s="11">
        <f t="shared" si="1"/>
        <v>40546.780204000002</v>
      </c>
    </row>
    <row r="30" spans="1:18">
      <c r="A30" s="56" t="s">
        <v>340</v>
      </c>
      <c r="B30" s="57">
        <v>45733</v>
      </c>
      <c r="C30" s="6" t="s">
        <v>39</v>
      </c>
      <c r="D30" s="56" t="s">
        <v>309</v>
      </c>
      <c r="E30" s="59">
        <v>41620.769999999997</v>
      </c>
      <c r="F30" s="67" t="s">
        <v>309</v>
      </c>
      <c r="G30" s="59">
        <v>41620.769999999997</v>
      </c>
      <c r="H30" s="56" t="s">
        <v>374</v>
      </c>
      <c r="J30" s="6" t="s">
        <v>26</v>
      </c>
      <c r="K30" s="7">
        <v>475.2</v>
      </c>
      <c r="L30" s="8">
        <v>45698</v>
      </c>
      <c r="M30" s="6" t="s">
        <v>39</v>
      </c>
      <c r="N30" s="49">
        <v>87.585800000000006</v>
      </c>
      <c r="O30" s="72">
        <v>41620.77216</v>
      </c>
      <c r="P30" s="10">
        <v>0.02</v>
      </c>
      <c r="Q30" s="11">
        <f t="shared" si="0"/>
        <v>832</v>
      </c>
      <c r="R30" s="11">
        <f t="shared" si="1"/>
        <v>40788.77216</v>
      </c>
    </row>
    <row r="31" spans="1:18">
      <c r="A31" s="56" t="s">
        <v>340</v>
      </c>
      <c r="B31" s="57">
        <v>45733</v>
      </c>
      <c r="C31" s="6" t="s">
        <v>59</v>
      </c>
      <c r="D31" s="56" t="s">
        <v>309</v>
      </c>
      <c r="E31" s="59">
        <v>49648.54</v>
      </c>
      <c r="F31" s="67" t="s">
        <v>309</v>
      </c>
      <c r="G31" s="59">
        <v>49648.54</v>
      </c>
      <c r="H31" s="56" t="s">
        <v>408</v>
      </c>
      <c r="J31" s="6" t="s">
        <v>28</v>
      </c>
      <c r="K31" s="7">
        <v>566.85599999999999</v>
      </c>
      <c r="L31" s="8">
        <v>45698</v>
      </c>
      <c r="M31" s="6" t="s">
        <v>59</v>
      </c>
      <c r="N31" s="49">
        <v>87.585800000000006</v>
      </c>
      <c r="O31" s="72">
        <v>49648.536244800001</v>
      </c>
      <c r="P31" s="10">
        <v>0.02</v>
      </c>
      <c r="Q31" s="11">
        <f t="shared" si="0"/>
        <v>993</v>
      </c>
      <c r="R31" s="11">
        <f t="shared" si="1"/>
        <v>48655.536244800001</v>
      </c>
    </row>
    <row r="32" spans="1:18">
      <c r="A32" s="56" t="s">
        <v>340</v>
      </c>
      <c r="B32" s="57">
        <v>45733</v>
      </c>
      <c r="C32" s="6" t="s">
        <v>51</v>
      </c>
      <c r="D32" s="56" t="s">
        <v>309</v>
      </c>
      <c r="E32" s="59">
        <v>60539.3</v>
      </c>
      <c r="F32" s="67" t="s">
        <v>309</v>
      </c>
      <c r="G32" s="59">
        <v>60539.3</v>
      </c>
      <c r="H32" s="56" t="s">
        <v>367</v>
      </c>
      <c r="J32" s="6" t="s">
        <v>26</v>
      </c>
      <c r="K32" s="7">
        <v>691.19999999999993</v>
      </c>
      <c r="L32" s="8">
        <v>45698</v>
      </c>
      <c r="M32" s="6" t="s">
        <v>51</v>
      </c>
      <c r="N32" s="49">
        <v>87.585800000000006</v>
      </c>
      <c r="O32" s="72">
        <v>60539.304960000001</v>
      </c>
      <c r="P32" s="10">
        <v>0.02</v>
      </c>
      <c r="Q32" s="11">
        <f t="shared" si="0"/>
        <v>1211</v>
      </c>
      <c r="R32" s="11">
        <f t="shared" si="1"/>
        <v>59328.304960000001</v>
      </c>
    </row>
    <row r="33" spans="1:18">
      <c r="A33" s="56" t="s">
        <v>340</v>
      </c>
      <c r="B33" s="57">
        <v>45733</v>
      </c>
      <c r="C33" s="6" t="s">
        <v>38</v>
      </c>
      <c r="D33" s="56" t="s">
        <v>309</v>
      </c>
      <c r="E33" s="59">
        <v>66198.05</v>
      </c>
      <c r="F33" s="67" t="s">
        <v>309</v>
      </c>
      <c r="G33" s="59">
        <v>66198.05</v>
      </c>
      <c r="H33" s="56" t="s">
        <v>372</v>
      </c>
      <c r="J33" s="6" t="s">
        <v>23</v>
      </c>
      <c r="K33" s="7">
        <v>755.80799999999999</v>
      </c>
      <c r="L33" s="8">
        <v>45698</v>
      </c>
      <c r="M33" s="6" t="s">
        <v>38</v>
      </c>
      <c r="N33" s="49">
        <v>87.585800000000006</v>
      </c>
      <c r="O33" s="72">
        <v>66198.048326400007</v>
      </c>
      <c r="P33" s="10">
        <v>0.02</v>
      </c>
      <c r="Q33" s="11">
        <f t="shared" si="0"/>
        <v>1324</v>
      </c>
      <c r="R33" s="11">
        <f t="shared" si="1"/>
        <v>64874.048326400007</v>
      </c>
    </row>
    <row r="34" spans="1:18">
      <c r="A34" s="56" t="s">
        <v>340</v>
      </c>
      <c r="B34" s="57">
        <v>45733</v>
      </c>
      <c r="C34" s="6" t="s">
        <v>50</v>
      </c>
      <c r="D34" s="56" t="s">
        <v>309</v>
      </c>
      <c r="E34" s="59">
        <v>66198.05</v>
      </c>
      <c r="F34" s="67" t="s">
        <v>309</v>
      </c>
      <c r="G34" s="59">
        <v>66198.05</v>
      </c>
      <c r="H34" s="56" t="s">
        <v>382</v>
      </c>
      <c r="J34" s="6" t="s">
        <v>23</v>
      </c>
      <c r="K34" s="7">
        <v>755.80799999999999</v>
      </c>
      <c r="L34" s="8">
        <v>45698</v>
      </c>
      <c r="M34" s="6" t="s">
        <v>50</v>
      </c>
      <c r="N34" s="49">
        <v>87.585800000000006</v>
      </c>
      <c r="O34" s="72">
        <v>66198.048326400007</v>
      </c>
      <c r="P34" s="10">
        <v>0.02</v>
      </c>
      <c r="Q34" s="11">
        <f t="shared" si="0"/>
        <v>1324</v>
      </c>
      <c r="R34" s="11">
        <f t="shared" si="1"/>
        <v>64874.048326400007</v>
      </c>
    </row>
    <row r="35" spans="1:18">
      <c r="A35" s="56" t="s">
        <v>340</v>
      </c>
      <c r="B35" s="57">
        <v>45733</v>
      </c>
      <c r="C35" s="6" t="s">
        <v>53</v>
      </c>
      <c r="D35" s="56" t="s">
        <v>309</v>
      </c>
      <c r="E35" s="59">
        <v>66198.05</v>
      </c>
      <c r="F35" s="67" t="s">
        <v>309</v>
      </c>
      <c r="G35" s="59">
        <v>66198.05</v>
      </c>
      <c r="H35" s="56" t="s">
        <v>390</v>
      </c>
      <c r="J35" s="6" t="s">
        <v>28</v>
      </c>
      <c r="K35" s="7">
        <v>755.80799999999999</v>
      </c>
      <c r="L35" s="8">
        <v>45698</v>
      </c>
      <c r="M35" s="6" t="s">
        <v>53</v>
      </c>
      <c r="N35" s="49">
        <v>87.585800000000006</v>
      </c>
      <c r="O35" s="72">
        <v>66198.048326400007</v>
      </c>
      <c r="P35" s="10">
        <v>0.02</v>
      </c>
      <c r="Q35" s="11">
        <f t="shared" si="0"/>
        <v>1324</v>
      </c>
      <c r="R35" s="11">
        <f t="shared" si="1"/>
        <v>64874.048326400007</v>
      </c>
    </row>
    <row r="36" spans="1:18">
      <c r="A36" s="56" t="s">
        <v>340</v>
      </c>
      <c r="B36" s="57">
        <v>45733</v>
      </c>
      <c r="C36" s="6" t="s">
        <v>56</v>
      </c>
      <c r="D36" s="56" t="s">
        <v>309</v>
      </c>
      <c r="E36" s="59">
        <v>77748.160000000003</v>
      </c>
      <c r="F36" s="67" t="s">
        <v>309</v>
      </c>
      <c r="G36" s="59">
        <v>77748.160000000003</v>
      </c>
      <c r="H36" s="56" t="s">
        <v>347</v>
      </c>
      <c r="J36" s="6" t="s">
        <v>54</v>
      </c>
      <c r="K36" s="7">
        <v>887.67999999999984</v>
      </c>
      <c r="L36" s="8">
        <v>45698</v>
      </c>
      <c r="M36" s="6" t="s">
        <v>56</v>
      </c>
      <c r="N36" s="49">
        <v>87.585800000000006</v>
      </c>
      <c r="O36" s="72">
        <v>77748.162943999996</v>
      </c>
      <c r="P36" s="10">
        <v>0.1</v>
      </c>
      <c r="Q36" s="11">
        <f t="shared" si="0"/>
        <v>7775</v>
      </c>
      <c r="R36" s="11">
        <f t="shared" si="1"/>
        <v>69973.162943999996</v>
      </c>
    </row>
    <row r="37" spans="1:18">
      <c r="A37" s="56" t="s">
        <v>340</v>
      </c>
      <c r="B37" s="57">
        <v>45733</v>
      </c>
      <c r="C37" s="6" t="s">
        <v>18</v>
      </c>
      <c r="D37" s="56" t="s">
        <v>309</v>
      </c>
      <c r="E37" s="59">
        <v>84138.42</v>
      </c>
      <c r="F37" s="67" t="s">
        <v>309</v>
      </c>
      <c r="G37" s="59">
        <v>84138.42</v>
      </c>
      <c r="H37" s="56" t="s">
        <v>366</v>
      </c>
      <c r="J37" s="6" t="s">
        <v>16</v>
      </c>
      <c r="K37" s="7">
        <v>960.64</v>
      </c>
      <c r="L37" s="8">
        <v>45698</v>
      </c>
      <c r="M37" s="6" t="s">
        <v>18</v>
      </c>
      <c r="N37" s="49">
        <v>87.585800000000006</v>
      </c>
      <c r="O37" s="72">
        <v>84138.422912000009</v>
      </c>
      <c r="P37" s="10">
        <v>0.1</v>
      </c>
      <c r="Q37" s="11">
        <f t="shared" si="0"/>
        <v>8414</v>
      </c>
      <c r="R37" s="11">
        <f t="shared" si="1"/>
        <v>75724.422912000009</v>
      </c>
    </row>
    <row r="38" spans="1:18">
      <c r="A38" s="56" t="s">
        <v>340</v>
      </c>
      <c r="B38" s="57">
        <v>45733</v>
      </c>
      <c r="C38" s="6" t="s">
        <v>73</v>
      </c>
      <c r="D38" s="56" t="s">
        <v>309</v>
      </c>
      <c r="E38" s="59">
        <v>107902.2</v>
      </c>
      <c r="F38" s="67" t="s">
        <v>309</v>
      </c>
      <c r="G38" s="59">
        <v>107902.2</v>
      </c>
      <c r="H38" s="56" t="s">
        <v>351</v>
      </c>
      <c r="J38" s="6" t="s">
        <v>71</v>
      </c>
      <c r="K38" s="7">
        <v>1231.9599999999998</v>
      </c>
      <c r="L38" s="8">
        <v>45698</v>
      </c>
      <c r="M38" s="6" t="s">
        <v>73</v>
      </c>
      <c r="N38" s="49">
        <v>87.585800000000006</v>
      </c>
      <c r="O38" s="72">
        <v>107902.20216799999</v>
      </c>
      <c r="P38" s="10">
        <v>0.1</v>
      </c>
      <c r="Q38" s="11">
        <f t="shared" si="0"/>
        <v>10790</v>
      </c>
      <c r="R38" s="11">
        <f t="shared" si="1"/>
        <v>97112.202167999989</v>
      </c>
    </row>
    <row r="39" spans="1:18">
      <c r="A39" s="56" t="s">
        <v>340</v>
      </c>
      <c r="B39" s="57">
        <v>45733</v>
      </c>
      <c r="C39" s="6" t="s">
        <v>35</v>
      </c>
      <c r="D39" s="56" t="s">
        <v>309</v>
      </c>
      <c r="E39" s="59">
        <v>131000.33</v>
      </c>
      <c r="F39" s="67" t="s">
        <v>309</v>
      </c>
      <c r="G39" s="59">
        <v>131000.33</v>
      </c>
      <c r="H39" s="56" t="s">
        <v>362</v>
      </c>
      <c r="J39" s="6" t="s">
        <v>33</v>
      </c>
      <c r="K39" s="7">
        <v>1495.68</v>
      </c>
      <c r="L39" s="8">
        <v>45698</v>
      </c>
      <c r="M39" s="6" t="s">
        <v>35</v>
      </c>
      <c r="N39" s="49">
        <v>87.585800000000006</v>
      </c>
      <c r="O39" s="72">
        <v>131000.32934400001</v>
      </c>
      <c r="P39" s="10">
        <v>0.1</v>
      </c>
      <c r="Q39" s="11">
        <f t="shared" si="0"/>
        <v>13100</v>
      </c>
      <c r="R39" s="11">
        <f t="shared" si="1"/>
        <v>117900.32934400001</v>
      </c>
    </row>
    <row r="40" spans="1:18">
      <c r="A40" s="56" t="s">
        <v>340</v>
      </c>
      <c r="B40" s="57">
        <v>45733</v>
      </c>
      <c r="C40" s="6" t="s">
        <v>47</v>
      </c>
      <c r="D40" s="56" t="s">
        <v>309</v>
      </c>
      <c r="E40" s="59">
        <v>262000.66</v>
      </c>
      <c r="F40" s="67" t="s">
        <v>309</v>
      </c>
      <c r="G40" s="59">
        <v>262000.66</v>
      </c>
      <c r="H40" s="56" t="s">
        <v>364</v>
      </c>
      <c r="J40" s="6" t="s">
        <v>45</v>
      </c>
      <c r="K40" s="7">
        <v>2991.3599999999992</v>
      </c>
      <c r="L40" s="8">
        <v>45698</v>
      </c>
      <c r="M40" s="6" t="s">
        <v>47</v>
      </c>
      <c r="N40" s="49">
        <v>87.585800000000006</v>
      </c>
      <c r="O40" s="72">
        <v>262000.65868799994</v>
      </c>
      <c r="P40" s="10">
        <v>0.1</v>
      </c>
      <c r="Q40" s="11">
        <f t="shared" si="0"/>
        <v>26200</v>
      </c>
      <c r="R40" s="11">
        <f t="shared" si="1"/>
        <v>235800.65868799994</v>
      </c>
    </row>
  </sheetData>
  <autoFilter ref="J1:R40" xr:uid="{5940E9B8-58C4-438C-9F6C-E0122763F30C}">
    <sortState xmlns:xlrd2="http://schemas.microsoft.com/office/spreadsheetml/2017/richdata2" ref="J2:R40">
      <sortCondition ref="O1:O40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123-18A8-424C-B7C3-DD129F1AE30D}">
  <dimension ref="A2:K3"/>
  <sheetViews>
    <sheetView workbookViewId="0">
      <selection activeCell="J3" sqref="J3"/>
    </sheetView>
  </sheetViews>
  <sheetFormatPr defaultRowHeight="14.4"/>
  <cols>
    <col min="1" max="1" width="16.77734375" bestFit="1" customWidth="1"/>
    <col min="2" max="2" width="14" bestFit="1" customWidth="1"/>
    <col min="3" max="3" width="13.88671875" bestFit="1" customWidth="1"/>
    <col min="4" max="4" width="12.88671875" bestFit="1" customWidth="1"/>
    <col min="5" max="5" width="6.109375" customWidth="1"/>
    <col min="6" max="6" width="7.21875" customWidth="1"/>
    <col min="7" max="7" width="8.21875" customWidth="1"/>
    <col min="8" max="8" width="10.6640625" customWidth="1"/>
    <col min="9" max="9" width="29.33203125" bestFit="1" customWidth="1"/>
    <col min="10" max="10" width="12.88671875" bestFit="1" customWidth="1"/>
    <col min="11" max="11" width="22.5546875" bestFit="1" customWidth="1"/>
  </cols>
  <sheetData>
    <row r="2" spans="1:11">
      <c r="A2" s="54" t="s">
        <v>273</v>
      </c>
      <c r="B2" s="54" t="s">
        <v>274</v>
      </c>
      <c r="C2" s="54" t="s">
        <v>275</v>
      </c>
      <c r="D2" s="54" t="s">
        <v>278</v>
      </c>
      <c r="E2" s="54" t="s">
        <v>283</v>
      </c>
      <c r="F2" s="54" t="s">
        <v>284</v>
      </c>
      <c r="G2" s="54" t="s">
        <v>285</v>
      </c>
      <c r="H2" s="54" t="s">
        <v>286</v>
      </c>
      <c r="I2" s="54" t="s">
        <v>292</v>
      </c>
      <c r="J2" s="125" t="s">
        <v>589</v>
      </c>
      <c r="K2" s="54" t="s">
        <v>586</v>
      </c>
    </row>
    <row r="3" spans="1:11">
      <c r="A3" s="58">
        <v>1600000820</v>
      </c>
      <c r="B3" s="56" t="s">
        <v>438</v>
      </c>
      <c r="C3" s="57">
        <v>45791</v>
      </c>
      <c r="D3" s="60">
        <v>256779420529</v>
      </c>
      <c r="E3" s="56" t="s">
        <v>333</v>
      </c>
      <c r="F3" s="59">
        <v>-86.4</v>
      </c>
      <c r="G3" s="56" t="s">
        <v>309</v>
      </c>
      <c r="H3" s="59">
        <v>-7510.05</v>
      </c>
      <c r="I3" s="56" t="s">
        <v>484</v>
      </c>
      <c r="J3" s="126">
        <v>256779411760</v>
      </c>
      <c r="K3" s="43" t="s">
        <v>590</v>
      </c>
    </row>
  </sheetData>
  <conditionalFormatting sqref="J2:J3">
    <cfRule type="duplicateValues" dxfId="5" priority="3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2B72-A6B4-4617-93E6-2D823E806D82}">
  <dimension ref="A1:N8"/>
  <sheetViews>
    <sheetView topLeftCell="B1" workbookViewId="0">
      <selection activeCell="L4" sqref="L4:L5"/>
    </sheetView>
  </sheetViews>
  <sheetFormatPr defaultRowHeight="14.4"/>
  <cols>
    <col min="1" max="1" width="16.77734375" bestFit="1" customWidth="1"/>
    <col min="2" max="2" width="9.44140625" bestFit="1" customWidth="1"/>
    <col min="3" max="3" width="13.88671875" bestFit="1" customWidth="1"/>
    <col min="4" max="4" width="12.88671875" bestFit="1" customWidth="1"/>
    <col min="5" max="5" width="10.44140625" customWidth="1"/>
    <col min="6" max="6" width="10.88671875" customWidth="1"/>
    <col min="9" max="9" width="27" bestFit="1" customWidth="1"/>
    <col min="10" max="10" width="13.77734375" bestFit="1" customWidth="1"/>
    <col min="11" max="11" width="9.77734375" bestFit="1" customWidth="1"/>
    <col min="12" max="12" width="10.33203125" bestFit="1" customWidth="1"/>
    <col min="13" max="13" width="4.5546875" bestFit="1" customWidth="1"/>
    <col min="14" max="14" width="32.109375" bestFit="1" customWidth="1"/>
  </cols>
  <sheetData>
    <row r="1" spans="1:14">
      <c r="A1" s="66"/>
      <c r="B1" s="66"/>
      <c r="C1" s="66"/>
      <c r="D1" s="66"/>
      <c r="E1" s="66"/>
      <c r="F1" s="66"/>
      <c r="G1" s="66"/>
      <c r="H1" s="66"/>
      <c r="I1" s="66"/>
      <c r="J1" s="124"/>
      <c r="K1" s="124"/>
      <c r="L1" s="124"/>
      <c r="M1" s="124"/>
    </row>
    <row r="2" spans="1:14">
      <c r="A2" s="66"/>
      <c r="B2" s="66"/>
      <c r="C2" s="66"/>
      <c r="D2" s="66"/>
      <c r="E2" s="66"/>
      <c r="F2" s="66"/>
      <c r="G2" s="66"/>
      <c r="H2" s="124"/>
      <c r="I2" s="124"/>
      <c r="J2" s="124"/>
      <c r="K2" s="124"/>
      <c r="L2" s="124"/>
      <c r="M2" s="124"/>
    </row>
    <row r="3" spans="1:14" ht="57.6">
      <c r="A3" s="69" t="s">
        <v>273</v>
      </c>
      <c r="B3" s="68" t="s">
        <v>274</v>
      </c>
      <c r="C3" s="69" t="s">
        <v>275</v>
      </c>
      <c r="D3" s="69" t="s">
        <v>278</v>
      </c>
      <c r="E3" s="68" t="s">
        <v>283</v>
      </c>
      <c r="F3" s="68" t="s">
        <v>284</v>
      </c>
      <c r="G3" s="68" t="s">
        <v>285</v>
      </c>
      <c r="H3" s="68" t="s">
        <v>286</v>
      </c>
      <c r="I3" s="69" t="s">
        <v>292</v>
      </c>
      <c r="J3" s="152" t="s">
        <v>545</v>
      </c>
      <c r="K3" s="152" t="s">
        <v>8</v>
      </c>
      <c r="L3" s="153" t="s">
        <v>544</v>
      </c>
      <c r="M3" s="154" t="s">
        <v>543</v>
      </c>
      <c r="N3" s="154" t="s">
        <v>586</v>
      </c>
    </row>
    <row r="4" spans="1:14">
      <c r="A4" s="58">
        <v>1800012193</v>
      </c>
      <c r="B4" s="56" t="s">
        <v>417</v>
      </c>
      <c r="C4" s="57">
        <v>45889</v>
      </c>
      <c r="D4" s="60">
        <v>256779416855</v>
      </c>
      <c r="E4" s="56" t="s">
        <v>333</v>
      </c>
      <c r="F4" s="59">
        <v>137.68</v>
      </c>
      <c r="G4" s="56" t="s">
        <v>309</v>
      </c>
      <c r="H4" s="59">
        <v>11844.63</v>
      </c>
      <c r="I4" s="56" t="s">
        <v>513</v>
      </c>
      <c r="J4" s="74" cm="1">
        <f t="array" ref="J4:K4">VLOOKUP(D4,'Customer data Vlookup'!$B:$E,{2,3},0)</f>
        <v>8128.1257376000003</v>
      </c>
      <c r="K4" s="74">
        <v>163</v>
      </c>
      <c r="L4" s="41">
        <f>J4-H4</f>
        <v>-3716.5042623999989</v>
      </c>
      <c r="M4" s="62">
        <f>K4/H4</f>
        <v>1.3761510490407891E-2</v>
      </c>
      <c r="N4" s="43" t="s">
        <v>588</v>
      </c>
    </row>
    <row r="5" spans="1:14">
      <c r="A5" s="58">
        <v>1800009485</v>
      </c>
      <c r="B5" s="56" t="s">
        <v>417</v>
      </c>
      <c r="C5" s="57">
        <v>45815</v>
      </c>
      <c r="D5" s="60">
        <v>256779414249</v>
      </c>
      <c r="E5" s="56" t="s">
        <v>333</v>
      </c>
      <c r="F5" s="59">
        <v>2032.81</v>
      </c>
      <c r="G5" s="56" t="s">
        <v>309</v>
      </c>
      <c r="H5" s="59">
        <v>173786.51</v>
      </c>
      <c r="I5" s="56" t="s">
        <v>164</v>
      </c>
      <c r="J5" s="74" cm="1">
        <f t="array" ref="J5:K5">VLOOKUP(D5,'Customer data Vlookup'!$B:$E,{2,3},0)</f>
        <v>161435.48821587319</v>
      </c>
      <c r="K5" s="74">
        <v>16144</v>
      </c>
      <c r="L5" s="41">
        <f t="shared" ref="L5:L7" si="0">J5-H5</f>
        <v>-12351.021784126817</v>
      </c>
      <c r="M5" s="62">
        <f t="shared" ref="M5:M7" si="1">K5/H5</f>
        <v>9.2895587810584379E-2</v>
      </c>
      <c r="N5" s="43" t="s">
        <v>588</v>
      </c>
    </row>
    <row r="6" spans="1:14">
      <c r="A6" s="58">
        <v>1800015679</v>
      </c>
      <c r="B6" s="56" t="s">
        <v>417</v>
      </c>
      <c r="C6" s="57">
        <v>46024</v>
      </c>
      <c r="D6" s="60">
        <v>256779440012</v>
      </c>
      <c r="E6" s="56" t="s">
        <v>333</v>
      </c>
      <c r="F6" s="59">
        <v>182.78</v>
      </c>
      <c r="G6" s="56" t="s">
        <v>309</v>
      </c>
      <c r="H6" s="59">
        <v>16586.03</v>
      </c>
      <c r="I6" s="56" t="s">
        <v>250</v>
      </c>
      <c r="J6" s="74" cm="1">
        <f t="array" ref="J6:K6">VLOOKUP(D6,'Customer data Vlookup'!$B:$E,{2,3},0)</f>
        <v>33172.062258400001</v>
      </c>
      <c r="K6" s="74">
        <v>3318</v>
      </c>
      <c r="L6" s="41">
        <f t="shared" si="0"/>
        <v>16586.032258400002</v>
      </c>
      <c r="M6" s="62">
        <f t="shared" si="1"/>
        <v>0.20004787161243529</v>
      </c>
      <c r="N6" s="43" t="s">
        <v>587</v>
      </c>
    </row>
    <row r="7" spans="1:14">
      <c r="A7" s="58">
        <v>1800015717</v>
      </c>
      <c r="B7" s="56" t="s">
        <v>417</v>
      </c>
      <c r="C7" s="57">
        <v>46024</v>
      </c>
      <c r="D7" s="60">
        <v>256779440046</v>
      </c>
      <c r="E7" s="56" t="s">
        <v>333</v>
      </c>
      <c r="F7" s="59">
        <v>50</v>
      </c>
      <c r="G7" s="56" t="s">
        <v>309</v>
      </c>
      <c r="H7" s="59">
        <v>4537.16</v>
      </c>
      <c r="I7" s="56" t="s">
        <v>251</v>
      </c>
      <c r="J7" s="74" cm="1">
        <f t="array" ref="J7:K7">VLOOKUP(D7,'Customer data Vlookup'!$B:$E,{2,3},0)</f>
        <v>9074.3140000000003</v>
      </c>
      <c r="K7" s="74">
        <v>182</v>
      </c>
      <c r="L7" s="41">
        <f t="shared" si="0"/>
        <v>4537.1540000000005</v>
      </c>
      <c r="M7" s="62">
        <f t="shared" si="1"/>
        <v>4.0113198564740937E-2</v>
      </c>
      <c r="N7" s="43" t="s">
        <v>587</v>
      </c>
    </row>
    <row r="8" spans="1:14">
      <c r="L8" s="150">
        <f>SUM(L4:L7)</f>
        <v>5055.660211873188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9B0A-690E-4A56-9D27-D49CFF7BE570}">
  <dimension ref="A1:R5"/>
  <sheetViews>
    <sheetView topLeftCell="C1" workbookViewId="0">
      <selection activeCell="H184" sqref="H182:H184"/>
    </sheetView>
  </sheetViews>
  <sheetFormatPr defaultRowHeight="14.4"/>
  <cols>
    <col min="1" max="1" width="5.88671875" bestFit="1" customWidth="1"/>
    <col min="2" max="2" width="23.21875" bestFit="1" customWidth="1"/>
    <col min="3" max="3" width="7.88671875" customWidth="1"/>
    <col min="4" max="4" width="15.77734375" customWidth="1"/>
    <col min="5" max="5" width="10.109375" bestFit="1" customWidth="1"/>
    <col min="6" max="6" width="15.5546875" bestFit="1" customWidth="1"/>
    <col min="7" max="7" width="8.6640625" bestFit="1" customWidth="1"/>
    <col min="8" max="8" width="12.21875" bestFit="1" customWidth="1"/>
    <col min="9" max="9" width="4.21875" bestFit="1" customWidth="1"/>
    <col min="10" max="10" width="9.77734375" bestFit="1" customWidth="1"/>
    <col min="11" max="11" width="11.21875" bestFit="1" customWidth="1"/>
    <col min="12" max="12" width="11.44140625" customWidth="1"/>
    <col min="13" max="13" width="11.77734375" customWidth="1"/>
    <col min="14" max="14" width="11.21875" bestFit="1" customWidth="1"/>
    <col min="15" max="15" width="10.109375" bestFit="1" customWidth="1"/>
    <col min="16" max="16" width="23.88671875" bestFit="1" customWidth="1"/>
    <col min="17" max="17" width="28.33203125" hidden="1" customWidth="1"/>
    <col min="18" max="18" width="20.5546875" bestFit="1" customWidth="1"/>
  </cols>
  <sheetData>
    <row r="1" spans="1:18" s="149" customFormat="1" ht="43.2">
      <c r="A1" s="143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3" t="s">
        <v>5</v>
      </c>
      <c r="G1" s="144" t="s">
        <v>6</v>
      </c>
      <c r="H1" s="145" t="s">
        <v>7</v>
      </c>
      <c r="I1" s="143" t="s">
        <v>8</v>
      </c>
      <c r="J1" s="143" t="s">
        <v>9</v>
      </c>
      <c r="K1" s="143" t="s">
        <v>10</v>
      </c>
      <c r="L1" s="143" t="s">
        <v>585</v>
      </c>
      <c r="M1" s="143" t="s">
        <v>12</v>
      </c>
      <c r="N1" s="143"/>
      <c r="O1" s="143" t="s">
        <v>4</v>
      </c>
      <c r="P1" s="146" t="s">
        <v>13</v>
      </c>
      <c r="Q1" s="147" t="s">
        <v>14</v>
      </c>
      <c r="R1" s="148" t="s">
        <v>15</v>
      </c>
    </row>
    <row r="2" spans="1:18" ht="28.8">
      <c r="A2" s="131">
        <v>13</v>
      </c>
      <c r="B2" s="131" t="s">
        <v>30</v>
      </c>
      <c r="C2" s="132">
        <v>150.70936156317575</v>
      </c>
      <c r="D2" s="131" t="s">
        <v>34</v>
      </c>
      <c r="E2" s="133">
        <v>45698</v>
      </c>
      <c r="F2" s="131" t="s">
        <v>43</v>
      </c>
      <c r="G2" s="134">
        <v>87.585800000000006</v>
      </c>
      <c r="H2" s="135">
        <v>13200</v>
      </c>
      <c r="I2" s="136">
        <v>0.02</v>
      </c>
      <c r="J2" s="137">
        <v>264</v>
      </c>
      <c r="K2" s="137">
        <v>12936</v>
      </c>
      <c r="L2" s="137">
        <v>6468</v>
      </c>
      <c r="M2" s="137">
        <v>6468</v>
      </c>
      <c r="N2" s="137">
        <v>12936</v>
      </c>
      <c r="O2" s="133">
        <v>45822</v>
      </c>
      <c r="P2" s="131" t="s">
        <v>32</v>
      </c>
      <c r="Q2" s="138">
        <v>45717</v>
      </c>
      <c r="R2" s="131" t="s">
        <v>44</v>
      </c>
    </row>
    <row r="3" spans="1:18">
      <c r="A3" s="131">
        <v>133</v>
      </c>
      <c r="B3" s="139" t="s">
        <v>195</v>
      </c>
      <c r="C3" s="140">
        <v>5120.2</v>
      </c>
      <c r="D3" s="138" t="s">
        <v>173</v>
      </c>
      <c r="E3" s="133">
        <v>45842</v>
      </c>
      <c r="F3" s="141">
        <v>256779415205</v>
      </c>
      <c r="G3" s="142">
        <v>86.00067</v>
      </c>
      <c r="H3" s="135">
        <v>440340.630534</v>
      </c>
      <c r="I3" s="136">
        <v>0.1</v>
      </c>
      <c r="J3" s="137">
        <v>44034</v>
      </c>
      <c r="K3" s="137">
        <v>396306.630534</v>
      </c>
      <c r="L3" s="137">
        <v>144316.00431359999</v>
      </c>
      <c r="M3" s="137">
        <v>251990.62622040001</v>
      </c>
      <c r="N3" s="137">
        <v>396306.630534</v>
      </c>
      <c r="O3" s="133">
        <v>45993</v>
      </c>
      <c r="P3" s="131" t="s">
        <v>196</v>
      </c>
      <c r="Q3" s="138">
        <v>45839</v>
      </c>
      <c r="R3" s="131" t="s">
        <v>44</v>
      </c>
    </row>
    <row r="4" spans="1:18" ht="28.8">
      <c r="A4" s="131">
        <v>139</v>
      </c>
      <c r="B4" s="139" t="s">
        <v>204</v>
      </c>
      <c r="C4" s="140">
        <v>4902.53</v>
      </c>
      <c r="D4" s="138" t="s">
        <v>205</v>
      </c>
      <c r="E4" s="133">
        <v>45877</v>
      </c>
      <c r="F4" s="141">
        <v>256779416093</v>
      </c>
      <c r="G4" s="142">
        <v>86.030119999999997</v>
      </c>
      <c r="H4" s="135">
        <v>421765.24420359998</v>
      </c>
      <c r="I4" s="136">
        <v>0.1</v>
      </c>
      <c r="J4" s="137">
        <v>42177</v>
      </c>
      <c r="K4" s="137">
        <v>379588.24420359998</v>
      </c>
      <c r="L4" s="137">
        <v>246362.73404159996</v>
      </c>
      <c r="M4" s="137">
        <v>133225.51016200002</v>
      </c>
      <c r="N4" s="137">
        <v>379588.24420359998</v>
      </c>
      <c r="O4" s="133">
        <v>45932</v>
      </c>
      <c r="P4" s="131" t="s">
        <v>206</v>
      </c>
      <c r="Q4" s="138">
        <v>45870</v>
      </c>
      <c r="R4" s="131" t="s">
        <v>44</v>
      </c>
    </row>
    <row r="5" spans="1:18">
      <c r="L5" s="151">
        <f>SUM(L2:L4)</f>
        <v>397146.73835519992</v>
      </c>
    </row>
  </sheetData>
  <conditionalFormatting sqref="P1:P4">
    <cfRule type="duplicateValues" dxfId="4" priority="5"/>
  </conditionalFormatting>
  <conditionalFormatting sqref="F2:F4">
    <cfRule type="duplicateValues" dxfId="3" priority="4"/>
  </conditionalFormatting>
  <conditionalFormatting sqref="F3">
    <cfRule type="duplicateValues" dxfId="2" priority="2"/>
    <cfRule type="duplicateValues" dxfId="1" priority="3"/>
  </conditionalFormatting>
  <conditionalFormatting sqref="F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37C6-F727-4B1F-9E0B-F2E890143D3B}">
  <dimension ref="B3:J127"/>
  <sheetViews>
    <sheetView topLeftCell="A75" workbookViewId="0">
      <selection activeCell="D88" sqref="D88"/>
    </sheetView>
  </sheetViews>
  <sheetFormatPr defaultRowHeight="14.4"/>
  <cols>
    <col min="2" max="2" width="15.5546875" bestFit="1" customWidth="1"/>
    <col min="3" max="3" width="12.6640625" bestFit="1" customWidth="1"/>
    <col min="4" max="4" width="12.77734375" bestFit="1" customWidth="1"/>
    <col min="5" max="5" width="13.109375" bestFit="1" customWidth="1"/>
    <col min="6" max="6" width="18.88671875" bestFit="1" customWidth="1"/>
    <col min="7" max="7" width="13.77734375" bestFit="1" customWidth="1"/>
    <col min="8" max="8" width="13.109375" bestFit="1" customWidth="1"/>
    <col min="10" max="10" width="10.33203125" bestFit="1" customWidth="1"/>
  </cols>
  <sheetData>
    <row r="3" spans="2:10">
      <c r="B3" s="115" t="s">
        <v>5</v>
      </c>
      <c r="C3" s="115" t="s">
        <v>574</v>
      </c>
      <c r="D3" s="115" t="s">
        <v>575</v>
      </c>
      <c r="E3" s="115" t="s">
        <v>576</v>
      </c>
      <c r="F3" s="115" t="s">
        <v>577</v>
      </c>
      <c r="G3" s="115" t="s">
        <v>578</v>
      </c>
      <c r="H3" s="115" t="s">
        <v>579</v>
      </c>
      <c r="J3">
        <f>SUBTOTAL(9,J4:J127)</f>
        <v>5055.6538202730926</v>
      </c>
    </row>
    <row r="4" spans="2:10">
      <c r="B4" s="114">
        <v>246779413959</v>
      </c>
      <c r="C4" s="74">
        <v>14276.316696800002</v>
      </c>
      <c r="D4" s="74">
        <v>286</v>
      </c>
      <c r="E4" s="74">
        <v>13990.316696800002</v>
      </c>
      <c r="F4" s="74"/>
      <c r="G4" s="74">
        <v>13990.316696800002</v>
      </c>
      <c r="H4" s="77">
        <f>SUM(F4:G4)</f>
        <v>13990.316696800002</v>
      </c>
      <c r="I4">
        <f>_xlfn.XLOOKUP(B4,'Ascendus Data'!$M:$M,'Ascendus Data'!$U:$U,0,0)</f>
        <v>14276.32</v>
      </c>
      <c r="J4" s="150">
        <f>C4-I4</f>
        <v>-3.3031999973900383E-3</v>
      </c>
    </row>
    <row r="5" spans="2:10">
      <c r="B5" s="114">
        <v>246779413960</v>
      </c>
      <c r="C5" s="74">
        <v>14276.316696800002</v>
      </c>
      <c r="D5" s="74">
        <v>286</v>
      </c>
      <c r="E5" s="74">
        <v>13990.316696800002</v>
      </c>
      <c r="F5" s="74"/>
      <c r="G5" s="74">
        <v>13990.316696800002</v>
      </c>
      <c r="H5" s="77">
        <f t="shared" ref="H5:H68" si="0">SUM(F5:G5)</f>
        <v>13990.316696800002</v>
      </c>
      <c r="I5">
        <f>_xlfn.XLOOKUP(B5,'Ascendus Data'!$M:$M,'Ascendus Data'!$U:$U,0,0)</f>
        <v>14276.32</v>
      </c>
      <c r="J5" s="150">
        <f t="shared" ref="J5:J68" si="1">C5-I5</f>
        <v>-3.3031999973900383E-3</v>
      </c>
    </row>
    <row r="6" spans="2:10">
      <c r="B6" s="114">
        <v>246779413963</v>
      </c>
      <c r="C6" s="74">
        <v>28551.766481000002</v>
      </c>
      <c r="D6" s="74">
        <v>572</v>
      </c>
      <c r="E6" s="74">
        <v>27979.766481000002</v>
      </c>
      <c r="F6" s="74"/>
      <c r="G6" s="74">
        <v>27979.766481000002</v>
      </c>
      <c r="H6" s="77">
        <f t="shared" si="0"/>
        <v>27979.766481000002</v>
      </c>
      <c r="I6">
        <f>_xlfn.XLOOKUP(B6,'Ascendus Data'!$M:$M,'Ascendus Data'!$U:$U,0,0)</f>
        <v>28551.77</v>
      </c>
      <c r="J6" s="150">
        <f t="shared" si="1"/>
        <v>-3.5189999980502762E-3</v>
      </c>
    </row>
    <row r="7" spans="2:10">
      <c r="B7" s="114">
        <v>256779410039</v>
      </c>
      <c r="C7" s="74">
        <v>24636.251442599998</v>
      </c>
      <c r="D7" s="74">
        <v>493</v>
      </c>
      <c r="E7" s="74">
        <v>24143.251442599998</v>
      </c>
      <c r="F7" s="74"/>
      <c r="G7" s="74">
        <v>24143.251442599998</v>
      </c>
      <c r="H7" s="77">
        <f t="shared" si="0"/>
        <v>24143.251442599998</v>
      </c>
      <c r="I7">
        <f>_xlfn.XLOOKUP(B7,'Ascendus Data'!$M:$M,'Ascendus Data'!$U:$U,0,0)</f>
        <v>24636.25</v>
      </c>
      <c r="J7" s="150">
        <f t="shared" si="1"/>
        <v>1.4425999979721382E-3</v>
      </c>
    </row>
    <row r="8" spans="2:10">
      <c r="B8" s="114">
        <v>256779410040</v>
      </c>
      <c r="C8" s="74">
        <v>6884.2081440000002</v>
      </c>
      <c r="D8" s="74">
        <v>138</v>
      </c>
      <c r="E8" s="74">
        <v>6746.2081440000002</v>
      </c>
      <c r="F8" s="74"/>
      <c r="G8" s="74">
        <v>6746.2081440000002</v>
      </c>
      <c r="H8" s="77">
        <f t="shared" si="0"/>
        <v>6746.2081440000002</v>
      </c>
      <c r="I8">
        <f>_xlfn.XLOOKUP(B8,'Ascendus Data'!$M:$M,'Ascendus Data'!$U:$U,0,0)</f>
        <v>6884.21</v>
      </c>
      <c r="J8" s="150">
        <f t="shared" si="1"/>
        <v>-1.855999999861524E-3</v>
      </c>
    </row>
    <row r="9" spans="2:10">
      <c r="B9" s="114">
        <v>256779410041</v>
      </c>
      <c r="C9" s="74">
        <v>11265.067872</v>
      </c>
      <c r="D9" s="74">
        <v>225</v>
      </c>
      <c r="E9" s="74">
        <v>11040.067872</v>
      </c>
      <c r="F9" s="74"/>
      <c r="G9" s="74">
        <v>11040.067872</v>
      </c>
      <c r="H9" s="77">
        <f t="shared" si="0"/>
        <v>11040.067872</v>
      </c>
      <c r="I9">
        <f>_xlfn.XLOOKUP(B9,'Ascendus Data'!$M:$M,'Ascendus Data'!$U:$U,0,0)</f>
        <v>11265.07</v>
      </c>
      <c r="J9" s="150">
        <f t="shared" si="1"/>
        <v>-2.1280000000842847E-3</v>
      </c>
    </row>
    <row r="10" spans="2:10">
      <c r="B10" s="114">
        <v>256779410042</v>
      </c>
      <c r="C10" s="74">
        <v>23468.8914</v>
      </c>
      <c r="D10" s="74">
        <v>469</v>
      </c>
      <c r="E10" s="74">
        <v>22999.8914</v>
      </c>
      <c r="F10" s="74"/>
      <c r="G10" s="74"/>
      <c r="H10" s="77">
        <f t="shared" si="0"/>
        <v>0</v>
      </c>
      <c r="I10">
        <f>_xlfn.XLOOKUP(B10,'Ascendus Data'!$M:$M,'Ascendus Data'!$U:$U,0,0)</f>
        <v>23468.89</v>
      </c>
      <c r="J10" s="150">
        <f t="shared" si="1"/>
        <v>1.4000000010128133E-3</v>
      </c>
    </row>
    <row r="11" spans="2:10">
      <c r="B11" s="114">
        <v>256779410102</v>
      </c>
      <c r="C11" s="74">
        <v>24636.251442599998</v>
      </c>
      <c r="D11" s="74">
        <v>493</v>
      </c>
      <c r="E11" s="74">
        <v>24143.251442599998</v>
      </c>
      <c r="F11" s="74"/>
      <c r="G11" s="74">
        <v>24143.251442599998</v>
      </c>
      <c r="H11" s="77">
        <f t="shared" si="0"/>
        <v>24143.251442599998</v>
      </c>
      <c r="I11">
        <f>_xlfn.XLOOKUP(B11,'Ascendus Data'!$M:$M,'Ascendus Data'!$U:$U,0,0)</f>
        <v>24636.25</v>
      </c>
      <c r="J11" s="150">
        <f t="shared" si="1"/>
        <v>1.4425999979721382E-3</v>
      </c>
    </row>
    <row r="12" spans="2:10">
      <c r="B12" s="114">
        <v>256779410103</v>
      </c>
      <c r="C12" s="74">
        <v>7040.6674199999998</v>
      </c>
      <c r="D12" s="74">
        <v>141</v>
      </c>
      <c r="E12" s="74">
        <v>6899.6674199999998</v>
      </c>
      <c r="F12" s="74"/>
      <c r="G12" s="74"/>
      <c r="H12" s="77">
        <f t="shared" si="0"/>
        <v>0</v>
      </c>
      <c r="I12">
        <f>_xlfn.XLOOKUP(B12,'Ascendus Data'!$M:$M,'Ascendus Data'!$U:$U,0,0)</f>
        <v>7040.67</v>
      </c>
      <c r="J12" s="150">
        <f t="shared" si="1"/>
        <v>-2.5800000003073364E-3</v>
      </c>
    </row>
    <row r="13" spans="2:10">
      <c r="B13" s="114">
        <v>256779410104</v>
      </c>
      <c r="C13" s="74">
        <v>11265.067872</v>
      </c>
      <c r="D13" s="74">
        <v>225</v>
      </c>
      <c r="E13" s="74">
        <v>11040.067872</v>
      </c>
      <c r="F13" s="74"/>
      <c r="G13" s="74">
        <v>11040.067872</v>
      </c>
      <c r="H13" s="77">
        <f t="shared" si="0"/>
        <v>11040.067872</v>
      </c>
      <c r="I13">
        <f>_xlfn.XLOOKUP(B13,'Ascendus Data'!$M:$M,'Ascendus Data'!$U:$U,0,0)</f>
        <v>11265.07</v>
      </c>
      <c r="J13" s="150">
        <f t="shared" si="1"/>
        <v>-2.1280000000842847E-3</v>
      </c>
    </row>
    <row r="14" spans="2:10">
      <c r="B14" s="114">
        <v>256779410183</v>
      </c>
      <c r="C14" s="74">
        <v>6593.0200469999991</v>
      </c>
      <c r="D14" s="74">
        <v>132</v>
      </c>
      <c r="E14" s="74">
        <v>6461.0200469999991</v>
      </c>
      <c r="F14" s="74"/>
      <c r="G14" s="74">
        <v>6461.0200469999991</v>
      </c>
      <c r="H14" s="77">
        <f t="shared" si="0"/>
        <v>6461.0200469999991</v>
      </c>
      <c r="I14">
        <f>_xlfn.XLOOKUP(B14,'Ascendus Data'!$M:$M,'Ascendus Data'!$U:$U,0,0)</f>
        <v>6593.02</v>
      </c>
      <c r="J14" s="150">
        <f t="shared" si="1"/>
        <v>4.6999998630781192E-5</v>
      </c>
    </row>
    <row r="15" spans="2:10">
      <c r="B15" s="114">
        <v>256779410800</v>
      </c>
      <c r="C15" s="74">
        <v>31709.079935999998</v>
      </c>
      <c r="D15" s="74">
        <v>3171</v>
      </c>
      <c r="E15" s="74">
        <v>28538.079935999998</v>
      </c>
      <c r="F15" s="74"/>
      <c r="G15" s="74">
        <v>28538.079935999998</v>
      </c>
      <c r="H15" s="77">
        <f t="shared" si="0"/>
        <v>28538.079935999998</v>
      </c>
      <c r="I15">
        <f>_xlfn.XLOOKUP(B15,'Ascendus Data'!$M:$M,'Ascendus Data'!$U:$U,0,0)</f>
        <v>31709.08</v>
      </c>
      <c r="J15" s="150">
        <f t="shared" si="1"/>
        <v>-6.400000347639434E-5</v>
      </c>
    </row>
    <row r="16" spans="2:10">
      <c r="B16" s="114">
        <v>256779411007</v>
      </c>
      <c r="C16" s="74">
        <v>14262.132225600002</v>
      </c>
      <c r="D16" s="74">
        <v>285</v>
      </c>
      <c r="E16" s="74">
        <v>13977.132225600002</v>
      </c>
      <c r="F16" s="74"/>
      <c r="G16" s="74"/>
      <c r="H16" s="77">
        <f t="shared" si="0"/>
        <v>0</v>
      </c>
      <c r="I16">
        <f>_xlfn.XLOOKUP(B16,'Ascendus Data'!$M:$M,'Ascendus Data'!$U:$U,0,0)</f>
        <v>14262.13</v>
      </c>
      <c r="J16" s="150">
        <f t="shared" si="1"/>
        <v>2.2256000029301504E-3</v>
      </c>
    </row>
    <row r="17" spans="2:10">
      <c r="B17" s="114">
        <v>256779411008</v>
      </c>
      <c r="C17" s="74">
        <v>28523.395233000003</v>
      </c>
      <c r="D17" s="74">
        <v>570</v>
      </c>
      <c r="E17" s="74">
        <v>27953.395233000003</v>
      </c>
      <c r="F17" s="74"/>
      <c r="G17" s="74"/>
      <c r="H17" s="77">
        <f t="shared" si="0"/>
        <v>0</v>
      </c>
      <c r="I17">
        <f>_xlfn.XLOOKUP(B17,'Ascendus Data'!$M:$M,'Ascendus Data'!$U:$U,0,0)</f>
        <v>28523.4</v>
      </c>
      <c r="J17" s="150">
        <f t="shared" si="1"/>
        <v>-4.7669999985373579E-3</v>
      </c>
    </row>
    <row r="18" spans="2:10">
      <c r="B18" s="114">
        <v>256779411009</v>
      </c>
      <c r="C18" s="74">
        <v>14262.132225600002</v>
      </c>
      <c r="D18" s="74">
        <v>285</v>
      </c>
      <c r="E18" s="74">
        <v>13977.132225600002</v>
      </c>
      <c r="F18" s="74"/>
      <c r="G18" s="74"/>
      <c r="H18" s="77">
        <f t="shared" si="0"/>
        <v>0</v>
      </c>
      <c r="I18">
        <f>_xlfn.XLOOKUP(B18,'Ascendus Data'!$M:$M,'Ascendus Data'!$U:$U,0,0)</f>
        <v>14262.13</v>
      </c>
      <c r="J18" s="150">
        <f t="shared" si="1"/>
        <v>2.2256000029301504E-3</v>
      </c>
    </row>
    <row r="19" spans="2:10">
      <c r="B19" s="114">
        <v>256779411010</v>
      </c>
      <c r="C19" s="74">
        <v>14262.132225600002</v>
      </c>
      <c r="D19" s="74">
        <v>285</v>
      </c>
      <c r="E19" s="74">
        <v>13977.132225600002</v>
      </c>
      <c r="F19" s="74"/>
      <c r="G19" s="74"/>
      <c r="H19" s="77">
        <f t="shared" si="0"/>
        <v>0</v>
      </c>
      <c r="I19">
        <f>_xlfn.XLOOKUP(B19,'Ascendus Data'!$M:$M,'Ascendus Data'!$U:$U,0,0)</f>
        <v>14262.13</v>
      </c>
      <c r="J19" s="150">
        <f t="shared" si="1"/>
        <v>2.2256000029301504E-3</v>
      </c>
    </row>
    <row r="20" spans="2:10">
      <c r="B20" s="114">
        <v>256779411258</v>
      </c>
      <c r="C20" s="74">
        <v>11967.3961776</v>
      </c>
      <c r="D20" s="74">
        <v>239</v>
      </c>
      <c r="E20" s="74">
        <v>11728.3961776</v>
      </c>
      <c r="F20" s="74"/>
      <c r="G20" s="74"/>
      <c r="H20" s="77">
        <f t="shared" si="0"/>
        <v>0</v>
      </c>
      <c r="I20">
        <f>_xlfn.XLOOKUP(B20,'Ascendus Data'!$M:$M,'Ascendus Data'!$U:$U,0,0)</f>
        <v>11967.4</v>
      </c>
      <c r="J20" s="150">
        <f t="shared" si="1"/>
        <v>-3.8223999999900116E-3</v>
      </c>
    </row>
    <row r="21" spans="2:10">
      <c r="B21" s="114">
        <v>256779411259</v>
      </c>
      <c r="C21" s="74">
        <v>11967.3961776</v>
      </c>
      <c r="D21" s="74">
        <v>239</v>
      </c>
      <c r="E21" s="74">
        <v>11728.3961776</v>
      </c>
      <c r="F21" s="74"/>
      <c r="G21" s="74"/>
      <c r="H21" s="77">
        <f t="shared" si="0"/>
        <v>0</v>
      </c>
      <c r="I21">
        <f>_xlfn.XLOOKUP(B21,'Ascendus Data'!$M:$M,'Ascendus Data'!$U:$U,0,0)</f>
        <v>11967.4</v>
      </c>
      <c r="J21" s="150">
        <f t="shared" si="1"/>
        <v>-3.8223999999900116E-3</v>
      </c>
    </row>
    <row r="22" spans="2:10">
      <c r="B22" s="114">
        <v>256779411260</v>
      </c>
      <c r="C22" s="74">
        <v>11967.3961776</v>
      </c>
      <c r="D22" s="74">
        <v>239</v>
      </c>
      <c r="E22" s="74">
        <v>11728.3961776</v>
      </c>
      <c r="F22" s="74"/>
      <c r="G22" s="74"/>
      <c r="H22" s="77">
        <f t="shared" si="0"/>
        <v>0</v>
      </c>
      <c r="I22">
        <f>_xlfn.XLOOKUP(B22,'Ascendus Data'!$M:$M,'Ascendus Data'!$U:$U,0,0)</f>
        <v>11967.4</v>
      </c>
      <c r="J22" s="150">
        <f t="shared" si="1"/>
        <v>-3.8223999999900116E-3</v>
      </c>
    </row>
    <row r="23" spans="2:10">
      <c r="B23" s="114">
        <v>256779411261</v>
      </c>
      <c r="C23" s="74">
        <v>23933.923136999998</v>
      </c>
      <c r="D23" s="74">
        <v>478</v>
      </c>
      <c r="E23" s="74">
        <v>23455.923136999998</v>
      </c>
      <c r="F23" s="74"/>
      <c r="G23" s="74"/>
      <c r="H23" s="77">
        <f t="shared" si="0"/>
        <v>0</v>
      </c>
      <c r="I23">
        <f>_xlfn.XLOOKUP(B23,'Ascendus Data'!$M:$M,'Ascendus Data'!$U:$U,0,0)</f>
        <v>23933.919999999998</v>
      </c>
      <c r="J23" s="150">
        <f t="shared" si="1"/>
        <v>3.1369999996968545E-3</v>
      </c>
    </row>
    <row r="24" spans="2:10">
      <c r="B24" s="114">
        <v>256779412037</v>
      </c>
      <c r="C24" s="74">
        <v>2187.8222094000002</v>
      </c>
      <c r="D24" s="74">
        <v>44</v>
      </c>
      <c r="E24" s="74">
        <v>2143.8222094000002</v>
      </c>
      <c r="F24" s="74"/>
      <c r="G24" s="74"/>
      <c r="H24" s="77">
        <f t="shared" si="0"/>
        <v>0</v>
      </c>
      <c r="I24">
        <f>_xlfn.XLOOKUP(B24,'Ascendus Data'!$M:$M,'Ascendus Data'!$U:$U,0,0)</f>
        <v>2187.8200000000002</v>
      </c>
      <c r="J24" s="150">
        <f t="shared" si="1"/>
        <v>2.2094000000834058E-3</v>
      </c>
    </row>
    <row r="25" spans="2:10">
      <c r="B25" s="114">
        <v>256779412122</v>
      </c>
      <c r="C25" s="74">
        <v>50734.527897599997</v>
      </c>
      <c r="D25" s="74">
        <v>5073</v>
      </c>
      <c r="E25" s="74">
        <v>45661.527897599997</v>
      </c>
      <c r="F25" s="74"/>
      <c r="G25" s="74">
        <v>45661.527897599997</v>
      </c>
      <c r="H25" s="77">
        <f t="shared" si="0"/>
        <v>45661.527897599997</v>
      </c>
      <c r="I25">
        <f>_xlfn.XLOOKUP(B25,'Ascendus Data'!$M:$M,'Ascendus Data'!$U:$U,0,0)</f>
        <v>50734.53</v>
      </c>
      <c r="J25" s="150">
        <f t="shared" si="1"/>
        <v>-2.10240000160411E-3</v>
      </c>
    </row>
    <row r="26" spans="2:10">
      <c r="B26" s="114">
        <v>256779412598</v>
      </c>
      <c r="C26" s="74">
        <v>118253.6592372</v>
      </c>
      <c r="D26" s="74">
        <v>2365</v>
      </c>
      <c r="E26" s="74">
        <v>115888.6592372</v>
      </c>
      <c r="F26" s="74"/>
      <c r="G26" s="74"/>
      <c r="H26" s="77">
        <f t="shared" si="0"/>
        <v>0</v>
      </c>
      <c r="I26">
        <f>_xlfn.XLOOKUP(B26,'Ascendus Data'!$M:$M,'Ascendus Data'!$U:$U,0,0)</f>
        <v>118253.66</v>
      </c>
      <c r="J26" s="150">
        <f t="shared" si="1"/>
        <v>-7.6280000212136656E-4</v>
      </c>
    </row>
    <row r="27" spans="2:10">
      <c r="B27" s="114">
        <v>256779412630</v>
      </c>
      <c r="C27" s="74">
        <v>46282.392277200001</v>
      </c>
      <c r="D27" s="74">
        <v>925</v>
      </c>
      <c r="E27" s="74">
        <v>45357.392277200001</v>
      </c>
      <c r="F27" s="74"/>
      <c r="G27" s="74"/>
      <c r="H27" s="77">
        <f t="shared" si="0"/>
        <v>0</v>
      </c>
      <c r="I27">
        <f>_xlfn.XLOOKUP(B27,'Ascendus Data'!$M:$M,'Ascendus Data'!$U:$U,0,0)</f>
        <v>46282.39</v>
      </c>
      <c r="J27" s="150">
        <f t="shared" si="1"/>
        <v>2.2772000011173077E-3</v>
      </c>
    </row>
    <row r="28" spans="2:10">
      <c r="B28" s="114">
        <v>256779412766</v>
      </c>
      <c r="C28" s="74">
        <v>2231.2831194</v>
      </c>
      <c r="D28" s="74">
        <v>45</v>
      </c>
      <c r="E28" s="74">
        <v>2186.2831194</v>
      </c>
      <c r="F28" s="74"/>
      <c r="G28" s="74">
        <v>2186.2831194</v>
      </c>
      <c r="H28" s="77">
        <f t="shared" si="0"/>
        <v>2186.2831194</v>
      </c>
      <c r="I28">
        <f>_xlfn.XLOOKUP(B28,'Ascendus Data'!$M:$M,'Ascendus Data'!$U:$U,0,0)</f>
        <v>2231.2800000000002</v>
      </c>
      <c r="J28" s="150">
        <f t="shared" si="1"/>
        <v>3.1193999998322397E-3</v>
      </c>
    </row>
    <row r="29" spans="2:10">
      <c r="B29" s="114">
        <v>256779412875</v>
      </c>
      <c r="C29" s="74">
        <v>50525.919999999998</v>
      </c>
      <c r="D29" s="74">
        <v>1010</v>
      </c>
      <c r="E29" s="74">
        <v>49515.92</v>
      </c>
      <c r="F29" s="74"/>
      <c r="G29" s="74"/>
      <c r="H29" s="77">
        <f t="shared" si="0"/>
        <v>0</v>
      </c>
      <c r="I29">
        <f>_xlfn.XLOOKUP(B29,'Ascendus Data'!$M:$M,'Ascendus Data'!$U:$U,0,0)</f>
        <v>50525.919999999998</v>
      </c>
      <c r="J29" s="150">
        <f t="shared" si="1"/>
        <v>0</v>
      </c>
    </row>
    <row r="30" spans="2:10">
      <c r="B30" s="114">
        <v>256779412903</v>
      </c>
      <c r="C30" s="74">
        <v>13376.399999999998</v>
      </c>
      <c r="D30" s="74">
        <v>267</v>
      </c>
      <c r="E30" s="74">
        <v>13109.399999999998</v>
      </c>
      <c r="F30" s="74"/>
      <c r="G30" s="74"/>
      <c r="H30" s="77">
        <f t="shared" si="0"/>
        <v>0</v>
      </c>
      <c r="I30">
        <f>_xlfn.XLOOKUP(B30,'Ascendus Data'!$M:$M,'Ascendus Data'!$U:$U,0,0)</f>
        <v>13376.4</v>
      </c>
      <c r="J30" s="150">
        <f t="shared" si="1"/>
        <v>0</v>
      </c>
    </row>
    <row r="31" spans="2:10">
      <c r="B31" s="114">
        <v>256779413234</v>
      </c>
      <c r="C31" s="74">
        <v>4447.9368009999998</v>
      </c>
      <c r="D31" s="74">
        <v>89</v>
      </c>
      <c r="E31" s="74">
        <v>4358.9368009999998</v>
      </c>
      <c r="F31" s="74"/>
      <c r="G31" s="74">
        <v>4358.9368009999998</v>
      </c>
      <c r="H31" s="77">
        <f t="shared" si="0"/>
        <v>4358.9368009999998</v>
      </c>
      <c r="I31">
        <f>_xlfn.XLOOKUP(B31,'Ascendus Data'!$M:$M,'Ascendus Data'!$U:$U,0,0)</f>
        <v>4447.9399999999996</v>
      </c>
      <c r="J31" s="150">
        <f t="shared" si="1"/>
        <v>-3.1989999997676932E-3</v>
      </c>
    </row>
    <row r="32" spans="2:10">
      <c r="B32" s="114">
        <v>256779413248</v>
      </c>
      <c r="C32" s="74">
        <v>3639.6900209999999</v>
      </c>
      <c r="D32" s="74">
        <v>73</v>
      </c>
      <c r="E32" s="74">
        <v>3566.6900209999999</v>
      </c>
      <c r="F32" s="74"/>
      <c r="G32" s="74">
        <v>3566.6900209999999</v>
      </c>
      <c r="H32" s="77">
        <f t="shared" si="0"/>
        <v>3566.6900209999999</v>
      </c>
      <c r="I32">
        <f>_xlfn.XLOOKUP(B32,'Ascendus Data'!$M:$M,'Ascendus Data'!$U:$U,0,0)</f>
        <v>3639.69</v>
      </c>
      <c r="J32" s="150">
        <f t="shared" si="1"/>
        <v>2.0999999833293259E-5</v>
      </c>
    </row>
    <row r="33" spans="2:10">
      <c r="B33" s="114">
        <v>256779413262</v>
      </c>
      <c r="C33" s="74">
        <v>4294.8858150000005</v>
      </c>
      <c r="D33" s="74">
        <v>86</v>
      </c>
      <c r="E33" s="74">
        <v>4208.8858150000005</v>
      </c>
      <c r="F33" s="74"/>
      <c r="G33" s="74">
        <v>4208.8858150000005</v>
      </c>
      <c r="H33" s="77">
        <f t="shared" si="0"/>
        <v>4208.8858150000005</v>
      </c>
      <c r="I33">
        <f>_xlfn.XLOOKUP(B33,'Ascendus Data'!$M:$M,'Ascendus Data'!$U:$U,0,0)</f>
        <v>4294.8900000000003</v>
      </c>
      <c r="J33" s="150">
        <f t="shared" si="1"/>
        <v>-4.184999999779393E-3</v>
      </c>
    </row>
    <row r="34" spans="2:10">
      <c r="B34" s="114">
        <v>256779413294</v>
      </c>
      <c r="C34" s="74">
        <v>56431.102309999995</v>
      </c>
      <c r="D34" s="74">
        <v>1129</v>
      </c>
      <c r="E34" s="74">
        <v>55302.102309999995</v>
      </c>
      <c r="F34" s="74"/>
      <c r="G34" s="74">
        <v>55302.102309999995</v>
      </c>
      <c r="H34" s="77">
        <f t="shared" si="0"/>
        <v>55302.102309999995</v>
      </c>
      <c r="I34">
        <f>_xlfn.XLOOKUP(B34,'Ascendus Data'!$M:$M,'Ascendus Data'!$U:$U,0,0)</f>
        <v>56431.1</v>
      </c>
      <c r="J34" s="150">
        <f t="shared" si="1"/>
        <v>2.3099999962141737E-3</v>
      </c>
    </row>
    <row r="35" spans="2:10">
      <c r="B35" s="114">
        <v>256779413331</v>
      </c>
      <c r="C35" s="74">
        <v>16246.620115</v>
      </c>
      <c r="D35" s="74">
        <v>325</v>
      </c>
      <c r="E35" s="74">
        <v>15921.620115</v>
      </c>
      <c r="F35" s="74"/>
      <c r="G35" s="74">
        <v>15921.620115</v>
      </c>
      <c r="H35" s="77">
        <f t="shared" si="0"/>
        <v>15921.620115</v>
      </c>
      <c r="I35">
        <f>_xlfn.XLOOKUP(B35,'Ascendus Data'!$M:$M,'Ascendus Data'!$U:$U,0,0)</f>
        <v>16246.62</v>
      </c>
      <c r="J35" s="150">
        <f t="shared" si="1"/>
        <v>1.1499999891384505E-4</v>
      </c>
    </row>
    <row r="36" spans="2:10">
      <c r="B36" s="114">
        <v>256779413466</v>
      </c>
      <c r="C36" s="74">
        <v>16246.620115</v>
      </c>
      <c r="D36" s="74">
        <v>325</v>
      </c>
      <c r="E36" s="74">
        <v>15921.620115</v>
      </c>
      <c r="F36" s="74"/>
      <c r="G36" s="74">
        <v>15921.620115</v>
      </c>
      <c r="H36" s="77">
        <f t="shared" si="0"/>
        <v>15921.620115</v>
      </c>
      <c r="I36">
        <f>_xlfn.XLOOKUP(B36,'Ascendus Data'!$M:$M,'Ascendus Data'!$U:$U,0,0)</f>
        <v>16246.62</v>
      </c>
      <c r="J36" s="150">
        <f t="shared" si="1"/>
        <v>1.1499999891384505E-4</v>
      </c>
    </row>
    <row r="37" spans="2:10">
      <c r="B37" s="114">
        <v>256779413830</v>
      </c>
      <c r="C37" s="74">
        <v>4428.1605499999996</v>
      </c>
      <c r="D37" s="74">
        <v>89</v>
      </c>
      <c r="E37" s="74">
        <v>4339.1605499999996</v>
      </c>
      <c r="F37" s="74"/>
      <c r="G37" s="74">
        <v>4339.1605499999996</v>
      </c>
      <c r="H37" s="77">
        <f t="shared" si="0"/>
        <v>4339.1605499999996</v>
      </c>
      <c r="I37">
        <f>_xlfn.XLOOKUP(B37,'Ascendus Data'!$M:$M,'Ascendus Data'!$U:$U,0,0)</f>
        <v>4428.16</v>
      </c>
      <c r="J37" s="150">
        <f t="shared" si="1"/>
        <v>5.4999999974825187E-4</v>
      </c>
    </row>
    <row r="38" spans="2:10">
      <c r="B38" s="114">
        <v>256779413838</v>
      </c>
      <c r="C38" s="74">
        <v>3623.353118</v>
      </c>
      <c r="D38" s="74">
        <v>72</v>
      </c>
      <c r="E38" s="74">
        <v>3551.353118</v>
      </c>
      <c r="F38" s="74"/>
      <c r="G38" s="74">
        <v>3551.353118</v>
      </c>
      <c r="H38" s="77">
        <f t="shared" si="0"/>
        <v>3551.353118</v>
      </c>
      <c r="I38">
        <f>_xlfn.XLOOKUP(B38,'Ascendus Data'!$M:$M,'Ascendus Data'!$U:$U,0,0)</f>
        <v>3623.35</v>
      </c>
      <c r="J38" s="150">
        <f t="shared" si="1"/>
        <v>3.1180000000858854E-3</v>
      </c>
    </row>
    <row r="39" spans="2:10">
      <c r="B39" s="114">
        <v>256779413906</v>
      </c>
      <c r="C39" s="74">
        <v>64154.158243999998</v>
      </c>
      <c r="D39" s="74">
        <v>6415</v>
      </c>
      <c r="E39" s="74">
        <v>57739.158243999998</v>
      </c>
      <c r="F39" s="74"/>
      <c r="G39" s="74">
        <v>57739.158243999998</v>
      </c>
      <c r="H39" s="77">
        <f t="shared" si="0"/>
        <v>57739.158243999998</v>
      </c>
      <c r="I39">
        <f>_xlfn.XLOOKUP(B39,'Ascendus Data'!$M:$M,'Ascendus Data'!$U:$U,0,0)</f>
        <v>64154.16</v>
      </c>
      <c r="J39" s="150">
        <f t="shared" si="1"/>
        <v>-1.7560000051162206E-3</v>
      </c>
    </row>
    <row r="40" spans="2:10">
      <c r="B40" s="114">
        <v>256779414249</v>
      </c>
      <c r="C40" s="74">
        <v>161435.48821587319</v>
      </c>
      <c r="D40" s="74">
        <v>16144</v>
      </c>
      <c r="E40" s="74">
        <v>145291.48821587319</v>
      </c>
      <c r="F40" s="74"/>
      <c r="G40" s="74">
        <v>145291.48821587319</v>
      </c>
      <c r="H40" s="77">
        <f t="shared" si="0"/>
        <v>145291.48821587319</v>
      </c>
      <c r="I40">
        <f>_xlfn.XLOOKUP(B40,'Ascendus Data'!$M:$M,'Ascendus Data'!$U:$U,0,0)</f>
        <v>173786.51</v>
      </c>
      <c r="J40" s="150">
        <f t="shared" si="1"/>
        <v>-12351.021784126817</v>
      </c>
    </row>
    <row r="41" spans="2:10">
      <c r="B41" s="114">
        <v>256779414282</v>
      </c>
      <c r="C41" s="74">
        <v>4274.5389999999998</v>
      </c>
      <c r="D41" s="74">
        <v>85</v>
      </c>
      <c r="E41" s="74">
        <v>4189.5389999999998</v>
      </c>
      <c r="F41" s="74"/>
      <c r="G41" s="74">
        <v>4189.5389999999998</v>
      </c>
      <c r="H41" s="77">
        <f t="shared" si="0"/>
        <v>4189.5389999999998</v>
      </c>
      <c r="I41">
        <f>_xlfn.XLOOKUP(B41,'Ascendus Data'!$M:$M,'Ascendus Data'!$U:$U,0,0)</f>
        <v>4274.54</v>
      </c>
      <c r="J41" s="150">
        <f t="shared" si="1"/>
        <v>-1.0000000002037268E-3</v>
      </c>
    </row>
    <row r="42" spans="2:10">
      <c r="B42" s="114">
        <v>256779414296</v>
      </c>
      <c r="C42" s="74">
        <v>178678.29492339998</v>
      </c>
      <c r="D42" s="74">
        <v>3574</v>
      </c>
      <c r="E42" s="74">
        <v>175104.29492339998</v>
      </c>
      <c r="F42" s="74"/>
      <c r="G42" s="74">
        <v>175104.29492339998</v>
      </c>
      <c r="H42" s="77">
        <f t="shared" si="0"/>
        <v>175104.29492339998</v>
      </c>
      <c r="I42">
        <f>_xlfn.XLOOKUP(B42,'Ascendus Data'!$M:$M,'Ascendus Data'!$U:$U,0,0)</f>
        <v>178678.29</v>
      </c>
      <c r="J42" s="150">
        <f t="shared" si="1"/>
        <v>4.9233999743591994E-3</v>
      </c>
    </row>
    <row r="43" spans="2:10">
      <c r="B43" s="114">
        <v>256779414785</v>
      </c>
      <c r="C43" s="74">
        <v>280576.32586829999</v>
      </c>
      <c r="D43" s="74">
        <v>5613</v>
      </c>
      <c r="E43" s="74">
        <v>274963.32586829999</v>
      </c>
      <c r="F43" s="74"/>
      <c r="G43" s="74"/>
      <c r="H43" s="77">
        <f t="shared" si="0"/>
        <v>0</v>
      </c>
      <c r="I43">
        <f>_xlfn.XLOOKUP(B43,'Ascendus Data'!$M:$M,'Ascendus Data'!$U:$U,0,0)</f>
        <v>280576.33</v>
      </c>
      <c r="J43" s="150">
        <f t="shared" si="1"/>
        <v>-4.1317000286653638E-3</v>
      </c>
    </row>
    <row r="44" spans="2:10">
      <c r="B44" s="114">
        <v>256779414809</v>
      </c>
      <c r="C44" s="74">
        <v>170320.88690819999</v>
      </c>
      <c r="D44" s="74">
        <v>3406</v>
      </c>
      <c r="E44" s="74">
        <v>166914.88690819999</v>
      </c>
      <c r="F44" s="74"/>
      <c r="G44" s="74"/>
      <c r="H44" s="77">
        <f t="shared" si="0"/>
        <v>0</v>
      </c>
      <c r="I44">
        <f>_xlfn.XLOOKUP(B44,'Ascendus Data'!$M:$M,'Ascendus Data'!$U:$U,0,0)</f>
        <v>170320.89</v>
      </c>
      <c r="J44" s="150">
        <f t="shared" si="1"/>
        <v>-3.0918000265955925E-3</v>
      </c>
    </row>
    <row r="45" spans="2:10">
      <c r="B45" s="114">
        <v>256779414851</v>
      </c>
      <c r="C45" s="74">
        <v>12003.973518600002</v>
      </c>
      <c r="D45" s="74">
        <v>240</v>
      </c>
      <c r="E45" s="74">
        <v>11763.973518600002</v>
      </c>
      <c r="F45" s="74"/>
      <c r="G45" s="74"/>
      <c r="H45" s="77">
        <f t="shared" si="0"/>
        <v>0</v>
      </c>
      <c r="I45">
        <f>_xlfn.XLOOKUP(B45,'Ascendus Data'!$M:$M,'Ascendus Data'!$U:$U,0,0)</f>
        <v>12003.97</v>
      </c>
      <c r="J45" s="150">
        <f t="shared" si="1"/>
        <v>3.5186000022804365E-3</v>
      </c>
    </row>
    <row r="46" spans="2:10">
      <c r="B46" s="114">
        <v>256779414866</v>
      </c>
      <c r="C46" s="74">
        <v>317431.0529901</v>
      </c>
      <c r="D46" s="74">
        <v>6349</v>
      </c>
      <c r="E46" s="74">
        <v>311082.0529901</v>
      </c>
      <c r="F46" s="74"/>
      <c r="G46" s="74"/>
      <c r="H46" s="77">
        <f t="shared" si="0"/>
        <v>0</v>
      </c>
      <c r="I46">
        <f>_xlfn.XLOOKUP(B46,'Ascendus Data'!$M:$M,'Ascendus Data'!$U:$U,0,0)</f>
        <v>317431.05</v>
      </c>
      <c r="J46" s="150">
        <f t="shared" si="1"/>
        <v>2.9901000089012086E-3</v>
      </c>
    </row>
    <row r="47" spans="2:10">
      <c r="B47" s="114">
        <v>256779414998</v>
      </c>
      <c r="C47" s="74">
        <v>150701.5540611</v>
      </c>
      <c r="D47" s="74">
        <v>3013</v>
      </c>
      <c r="E47" s="74">
        <v>147688.5540611</v>
      </c>
      <c r="F47" s="74"/>
      <c r="G47" s="74"/>
      <c r="H47" s="77">
        <f t="shared" si="0"/>
        <v>0</v>
      </c>
      <c r="I47">
        <f>_xlfn.XLOOKUP(B47,'Ascendus Data'!$M:$M,'Ascendus Data'!$U:$U,0,0)</f>
        <v>150701.54999999999</v>
      </c>
      <c r="J47" s="150">
        <f t="shared" si="1"/>
        <v>4.0611000149510801E-3</v>
      </c>
    </row>
    <row r="48" spans="2:10">
      <c r="B48" s="114">
        <v>256779415031</v>
      </c>
      <c r="C48" s="74">
        <v>1211.7494403000001</v>
      </c>
      <c r="D48" s="74">
        <v>24</v>
      </c>
      <c r="E48" s="74">
        <v>1187.7494403000001</v>
      </c>
      <c r="F48" s="74"/>
      <c r="G48" s="74"/>
      <c r="H48" s="77">
        <f t="shared" si="0"/>
        <v>0</v>
      </c>
      <c r="I48">
        <f>_xlfn.XLOOKUP(B48,'Ascendus Data'!$M:$M,'Ascendus Data'!$U:$U,0,0)</f>
        <v>1211.75</v>
      </c>
      <c r="J48" s="150">
        <f t="shared" si="1"/>
        <v>-5.5969999993976671E-4</v>
      </c>
    </row>
    <row r="49" spans="2:10">
      <c r="B49" s="114">
        <v>256779415205</v>
      </c>
      <c r="C49" s="74">
        <v>440340.630534</v>
      </c>
      <c r="D49" s="74">
        <v>44034</v>
      </c>
      <c r="E49" s="74">
        <v>396306.630534</v>
      </c>
      <c r="F49" s="74">
        <v>144316.00431359999</v>
      </c>
      <c r="G49" s="74">
        <v>251990.62622040001</v>
      </c>
      <c r="H49" s="77">
        <f t="shared" si="0"/>
        <v>396306.630534</v>
      </c>
      <c r="I49">
        <f>_xlfn.XLOOKUP(B49,'Ascendus Data'!$M:$M,'Ascendus Data'!$U:$U,0,0)</f>
        <v>440340.63</v>
      </c>
      <c r="J49" s="150">
        <f t="shared" si="1"/>
        <v>5.3399999160319567E-4</v>
      </c>
    </row>
    <row r="50" spans="2:10">
      <c r="B50" s="114">
        <v>256779415254</v>
      </c>
      <c r="C50" s="74">
        <v>8847.7489296000003</v>
      </c>
      <c r="D50" s="74">
        <v>177</v>
      </c>
      <c r="E50" s="74">
        <v>8670.7489296000003</v>
      </c>
      <c r="F50" s="74"/>
      <c r="G50" s="74"/>
      <c r="H50" s="77">
        <f t="shared" si="0"/>
        <v>0</v>
      </c>
      <c r="I50">
        <f>_xlfn.XLOOKUP(B50,'Ascendus Data'!$M:$M,'Ascendus Data'!$U:$U,0,0)</f>
        <v>8847.75</v>
      </c>
      <c r="J50" s="150">
        <f t="shared" si="1"/>
        <v>-1.070399999662186E-3</v>
      </c>
    </row>
    <row r="51" spans="2:10">
      <c r="B51" s="114">
        <v>256779415267</v>
      </c>
      <c r="C51" s="74">
        <v>7238.6763939000002</v>
      </c>
      <c r="D51" s="74">
        <v>145</v>
      </c>
      <c r="E51" s="74">
        <v>7093.6763939000002</v>
      </c>
      <c r="F51" s="74"/>
      <c r="G51" s="74">
        <v>7093.6763939000002</v>
      </c>
      <c r="H51" s="77">
        <f t="shared" si="0"/>
        <v>7093.6763939000002</v>
      </c>
      <c r="I51">
        <f>_xlfn.XLOOKUP(B51,'Ascendus Data'!$M:$M,'Ascendus Data'!$U:$U,0,0)</f>
        <v>7238.68</v>
      </c>
      <c r="J51" s="150">
        <f t="shared" si="1"/>
        <v>-3.6061000000700005E-3</v>
      </c>
    </row>
    <row r="52" spans="2:10">
      <c r="B52" s="114">
        <v>256779415417</v>
      </c>
      <c r="C52" s="74">
        <v>38668.481252099999</v>
      </c>
      <c r="D52" s="74">
        <v>773</v>
      </c>
      <c r="E52" s="74">
        <v>37895.481252099999</v>
      </c>
      <c r="F52" s="74"/>
      <c r="G52" s="74">
        <v>37895.481252099999</v>
      </c>
      <c r="H52" s="77">
        <f t="shared" si="0"/>
        <v>37895.481252099999</v>
      </c>
      <c r="I52">
        <f>_xlfn.XLOOKUP(B52,'Ascendus Data'!$M:$M,'Ascendus Data'!$U:$U,0,0)</f>
        <v>38668.480000000003</v>
      </c>
      <c r="J52" s="150">
        <f t="shared" si="1"/>
        <v>1.2520999953267165E-3</v>
      </c>
    </row>
    <row r="53" spans="2:10">
      <c r="B53" s="114">
        <v>256779415941</v>
      </c>
      <c r="C53" s="74">
        <v>30687.619076100003</v>
      </c>
      <c r="D53" s="74">
        <v>614</v>
      </c>
      <c r="E53" s="74">
        <v>30073.619076100003</v>
      </c>
      <c r="F53" s="74"/>
      <c r="G53" s="74">
        <v>30073.619076100003</v>
      </c>
      <c r="H53" s="77">
        <f t="shared" si="0"/>
        <v>30073.619076100003</v>
      </c>
      <c r="I53">
        <f>_xlfn.XLOOKUP(B53,'Ascendus Data'!$M:$M,'Ascendus Data'!$U:$U,0,0)</f>
        <v>30687.62</v>
      </c>
      <c r="J53" s="150">
        <f t="shared" si="1"/>
        <v>-9.2389999554143287E-4</v>
      </c>
    </row>
    <row r="54" spans="2:10">
      <c r="B54" s="114">
        <v>256779416093</v>
      </c>
      <c r="C54" s="74">
        <v>421765.24420359998</v>
      </c>
      <c r="D54" s="74">
        <v>42177</v>
      </c>
      <c r="E54" s="74">
        <v>379588.24420359998</v>
      </c>
      <c r="F54" s="74">
        <v>246362.73404159996</v>
      </c>
      <c r="G54" s="74">
        <v>133225.51016200002</v>
      </c>
      <c r="H54" s="77">
        <f t="shared" si="0"/>
        <v>379588.24420359998</v>
      </c>
      <c r="I54">
        <f>_xlfn.XLOOKUP(B54,'Ascendus Data'!$M:$M,'Ascendus Data'!$U:$U,0,0)</f>
        <v>421765.24</v>
      </c>
      <c r="J54" s="150">
        <f t="shared" si="1"/>
        <v>4.203599994070828E-3</v>
      </c>
    </row>
    <row r="55" spans="2:10">
      <c r="B55" s="114">
        <v>256779416122</v>
      </c>
      <c r="C55" s="74">
        <v>60221.083999999995</v>
      </c>
      <c r="D55" s="74">
        <v>1204</v>
      </c>
      <c r="E55" s="74">
        <v>59017.083999999995</v>
      </c>
      <c r="F55" s="74"/>
      <c r="G55" s="74"/>
      <c r="H55" s="77">
        <f t="shared" si="0"/>
        <v>0</v>
      </c>
      <c r="I55">
        <f>_xlfn.XLOOKUP(B55,'Ascendus Data'!$M:$M,'Ascendus Data'!$U:$U,0,0)</f>
        <v>60221.08</v>
      </c>
      <c r="J55" s="150">
        <f t="shared" si="1"/>
        <v>3.9999999935389496E-3</v>
      </c>
    </row>
    <row r="56" spans="2:10">
      <c r="B56" s="114">
        <v>256779416130</v>
      </c>
      <c r="C56" s="74">
        <v>27828.162916400001</v>
      </c>
      <c r="D56" s="74">
        <v>557</v>
      </c>
      <c r="E56" s="74">
        <v>27271.162916400001</v>
      </c>
      <c r="F56" s="74"/>
      <c r="G56" s="74">
        <v>27271.162916400001</v>
      </c>
      <c r="H56" s="77">
        <f t="shared" si="0"/>
        <v>27271.162916400001</v>
      </c>
      <c r="I56">
        <f>_xlfn.XLOOKUP(B56,'Ascendus Data'!$M:$M,'Ascendus Data'!$U:$U,0,0)</f>
        <v>27828.16</v>
      </c>
      <c r="J56" s="150">
        <f t="shared" si="1"/>
        <v>2.9164000006858259E-3</v>
      </c>
    </row>
    <row r="57" spans="2:10">
      <c r="B57" s="114">
        <v>256779416154</v>
      </c>
      <c r="C57" s="74">
        <v>98384.905533199999</v>
      </c>
      <c r="D57" s="74">
        <v>1967</v>
      </c>
      <c r="E57" s="74">
        <v>96417.905533199999</v>
      </c>
      <c r="F57" s="74"/>
      <c r="G57" s="74">
        <v>96417.905533199999</v>
      </c>
      <c r="H57" s="77">
        <f t="shared" si="0"/>
        <v>96417.905533199999</v>
      </c>
      <c r="I57">
        <f>_xlfn.XLOOKUP(B57,'Ascendus Data'!$M:$M,'Ascendus Data'!$U:$U,0,0)</f>
        <v>98384.91</v>
      </c>
      <c r="J57" s="150">
        <f t="shared" si="1"/>
        <v>-4.4668000045930967E-3</v>
      </c>
    </row>
    <row r="58" spans="2:10">
      <c r="B58" s="114">
        <v>256779416155</v>
      </c>
      <c r="C58" s="74">
        <v>301105.42</v>
      </c>
      <c r="D58" s="74">
        <v>6022</v>
      </c>
      <c r="E58" s="74">
        <v>295083.42</v>
      </c>
      <c r="F58" s="74"/>
      <c r="G58" s="74">
        <v>295083.42</v>
      </c>
      <c r="H58" s="77">
        <f t="shared" si="0"/>
        <v>295083.42</v>
      </c>
      <c r="I58">
        <f>_xlfn.XLOOKUP(B58,'Ascendus Data'!$M:$M,'Ascendus Data'!$U:$U,0,0)</f>
        <v>301105.42</v>
      </c>
      <c r="J58" s="150">
        <f t="shared" si="1"/>
        <v>0</v>
      </c>
    </row>
    <row r="59" spans="2:10">
      <c r="B59" s="114">
        <v>256779416193</v>
      </c>
      <c r="C59" s="74">
        <v>139776.57716879999</v>
      </c>
      <c r="D59" s="74">
        <v>2796</v>
      </c>
      <c r="E59" s="74">
        <v>136980.57716879999</v>
      </c>
      <c r="F59" s="74"/>
      <c r="G59" s="74">
        <v>136980.57716879999</v>
      </c>
      <c r="H59" s="77">
        <f t="shared" si="0"/>
        <v>136980.57716879999</v>
      </c>
      <c r="I59">
        <f>_xlfn.XLOOKUP(B59,'Ascendus Data'!$M:$M,'Ascendus Data'!$U:$U,0,0)</f>
        <v>139776.57999999999</v>
      </c>
      <c r="J59" s="150">
        <f t="shared" si="1"/>
        <v>-2.8311999922152609E-3</v>
      </c>
    </row>
    <row r="60" spans="2:10">
      <c r="B60" s="114">
        <v>256779416437</v>
      </c>
      <c r="C60" s="74">
        <v>12970.761192400001</v>
      </c>
      <c r="D60" s="74">
        <v>259</v>
      </c>
      <c r="E60" s="74">
        <v>12711.761192400001</v>
      </c>
      <c r="F60" s="74"/>
      <c r="G60" s="74">
        <v>12711.761192400001</v>
      </c>
      <c r="H60" s="77">
        <f t="shared" si="0"/>
        <v>12711.761192400001</v>
      </c>
      <c r="I60">
        <f>_xlfn.XLOOKUP(B60,'Ascendus Data'!$M:$M,'Ascendus Data'!$U:$U,0,0)</f>
        <v>12970.76</v>
      </c>
      <c r="J60" s="150">
        <f t="shared" si="1"/>
        <v>1.1924000009457814E-3</v>
      </c>
    </row>
    <row r="61" spans="2:10">
      <c r="B61" s="114">
        <v>256779416450</v>
      </c>
      <c r="C61" s="74">
        <v>10612.675603199999</v>
      </c>
      <c r="D61" s="74">
        <v>212</v>
      </c>
      <c r="E61" s="74">
        <v>10400.675603199999</v>
      </c>
      <c r="F61" s="74"/>
      <c r="G61" s="74">
        <v>10400.675603199999</v>
      </c>
      <c r="H61" s="77">
        <f t="shared" si="0"/>
        <v>10400.675603199999</v>
      </c>
      <c r="I61">
        <f>_xlfn.XLOOKUP(B61,'Ascendus Data'!$M:$M,'Ascendus Data'!$U:$U,0,0)</f>
        <v>10612.68</v>
      </c>
      <c r="J61" s="150">
        <f t="shared" si="1"/>
        <v>-4.3968000009044772E-3</v>
      </c>
    </row>
    <row r="62" spans="2:10">
      <c r="B62" s="114">
        <v>256779416500</v>
      </c>
      <c r="C62" s="74">
        <v>81476.545748400007</v>
      </c>
      <c r="D62" s="74">
        <v>1630</v>
      </c>
      <c r="E62" s="74">
        <v>79846.545748400007</v>
      </c>
      <c r="F62" s="74"/>
      <c r="G62" s="74">
        <v>79846.545748400007</v>
      </c>
      <c r="H62" s="77">
        <f t="shared" si="0"/>
        <v>79846.545748400007</v>
      </c>
      <c r="I62">
        <f>_xlfn.XLOOKUP(B62,'Ascendus Data'!$M:$M,'Ascendus Data'!$U:$U,0,0)</f>
        <v>81476.55</v>
      </c>
      <c r="J62" s="150">
        <f t="shared" si="1"/>
        <v>-4.251599995768629E-3</v>
      </c>
    </row>
    <row r="63" spans="2:10">
      <c r="B63" s="114">
        <v>256779416579</v>
      </c>
      <c r="C63" s="74">
        <v>23228.132399999999</v>
      </c>
      <c r="D63" s="74">
        <v>465</v>
      </c>
      <c r="E63" s="74">
        <v>22763.132399999999</v>
      </c>
      <c r="F63" s="74"/>
      <c r="G63" s="74">
        <v>22763.132399999999</v>
      </c>
      <c r="H63" s="77">
        <f t="shared" si="0"/>
        <v>22763.132399999999</v>
      </c>
      <c r="I63">
        <f>_xlfn.XLOOKUP(B63,'Ascendus Data'!$M:$M,'Ascendus Data'!$U:$U,0,0)</f>
        <v>23228.13</v>
      </c>
      <c r="J63" s="150">
        <f t="shared" si="1"/>
        <v>2.3999999975785613E-3</v>
      </c>
    </row>
    <row r="64" spans="2:10">
      <c r="B64" s="114">
        <v>256779416810</v>
      </c>
      <c r="C64" s="74">
        <v>1769.6395683999999</v>
      </c>
      <c r="D64" s="74">
        <v>35</v>
      </c>
      <c r="E64" s="74">
        <v>1734.6395683999999</v>
      </c>
      <c r="F64" s="74">
        <v>0</v>
      </c>
      <c r="G64" s="74">
        <v>1734.6395683999999</v>
      </c>
      <c r="H64" s="77">
        <f t="shared" si="0"/>
        <v>1734.6395683999999</v>
      </c>
      <c r="I64">
        <f>_xlfn.XLOOKUP(B64,'Ascendus Data'!$M:$M,'Ascendus Data'!$U:$U,0,0)</f>
        <v>1769.64</v>
      </c>
      <c r="J64" s="150">
        <f t="shared" si="1"/>
        <v>-4.3160000018360734E-4</v>
      </c>
    </row>
    <row r="65" spans="2:10">
      <c r="B65" s="114">
        <v>256779416825</v>
      </c>
      <c r="C65" s="74">
        <v>331215.962</v>
      </c>
      <c r="D65" s="74">
        <v>6624</v>
      </c>
      <c r="E65" s="74">
        <v>324591.962</v>
      </c>
      <c r="F65" s="74">
        <v>0</v>
      </c>
      <c r="G65" s="74">
        <v>324591.962</v>
      </c>
      <c r="H65" s="77">
        <f t="shared" si="0"/>
        <v>324591.962</v>
      </c>
      <c r="I65">
        <f>_xlfn.XLOOKUP(B65,'Ascendus Data'!$M:$M,'Ascendus Data'!$U:$U,0,0)</f>
        <v>331215.96000000002</v>
      </c>
      <c r="J65" s="150">
        <f t="shared" si="1"/>
        <v>1.9999999785795808E-3</v>
      </c>
    </row>
    <row r="66" spans="2:10">
      <c r="B66" s="114">
        <v>256779416855</v>
      </c>
      <c r="C66" s="74">
        <v>8128.1257376000003</v>
      </c>
      <c r="D66" s="74">
        <v>163</v>
      </c>
      <c r="E66" s="74">
        <v>7965.1257376000003</v>
      </c>
      <c r="F66" s="74">
        <v>0</v>
      </c>
      <c r="G66" s="74">
        <v>7965.1257376000003</v>
      </c>
      <c r="H66" s="77">
        <f t="shared" si="0"/>
        <v>7965.1257376000003</v>
      </c>
      <c r="I66">
        <f>_xlfn.XLOOKUP(B66,'Ascendus Data'!$M:$M,'Ascendus Data'!$U:$U,0,0)</f>
        <v>11844.63</v>
      </c>
      <c r="J66" s="150">
        <f t="shared" si="1"/>
        <v>-3716.5042623999989</v>
      </c>
    </row>
    <row r="67" spans="2:10">
      <c r="B67" s="114">
        <v>256779417091</v>
      </c>
      <c r="C67" s="74">
        <v>139872.4033524</v>
      </c>
      <c r="D67" s="74">
        <v>13987</v>
      </c>
      <c r="E67" s="74">
        <v>125885.4033524</v>
      </c>
      <c r="F67" s="74">
        <v>0</v>
      </c>
      <c r="G67" s="74">
        <v>125885.4033524</v>
      </c>
      <c r="H67" s="77">
        <f t="shared" si="0"/>
        <v>125885.4033524</v>
      </c>
      <c r="I67">
        <f>_xlfn.XLOOKUP(B67,'Ascendus Data'!$M:$M,'Ascendus Data'!$U:$U,0,0)</f>
        <v>139872.4</v>
      </c>
      <c r="J67" s="150">
        <f t="shared" si="1"/>
        <v>3.3524000027682632E-3</v>
      </c>
    </row>
    <row r="68" spans="2:10">
      <c r="B68" s="114">
        <v>256779417139</v>
      </c>
      <c r="C68" s="74">
        <v>2191.3588231999997</v>
      </c>
      <c r="D68" s="74">
        <v>44</v>
      </c>
      <c r="E68" s="74">
        <v>2147.3588231999997</v>
      </c>
      <c r="F68" s="74">
        <v>0</v>
      </c>
      <c r="G68" s="74">
        <v>2147.3588231999997</v>
      </c>
      <c r="H68" s="77">
        <f t="shared" si="0"/>
        <v>2147.3588231999997</v>
      </c>
      <c r="I68">
        <f>_xlfn.XLOOKUP(B68,'Ascendus Data'!$M:$M,'Ascendus Data'!$U:$U,0,0)</f>
        <v>2191.36</v>
      </c>
      <c r="J68" s="150">
        <f t="shared" si="1"/>
        <v>-1.176800000393996E-3</v>
      </c>
    </row>
    <row r="69" spans="2:10">
      <c r="B69" s="114">
        <v>256779417140</v>
      </c>
      <c r="C69" s="74">
        <v>1793.1686216999999</v>
      </c>
      <c r="D69" s="74">
        <v>36</v>
      </c>
      <c r="E69" s="74">
        <v>1757.1686216999999</v>
      </c>
      <c r="F69" s="74">
        <v>0</v>
      </c>
      <c r="G69" s="74">
        <v>1757.1686216999999</v>
      </c>
      <c r="H69" s="77">
        <f t="shared" ref="H69:H127" si="2">SUM(F69:G69)</f>
        <v>1757.1686216999999</v>
      </c>
      <c r="I69">
        <f>_xlfn.XLOOKUP(B69,'Ascendus Data'!$M:$M,'Ascendus Data'!$U:$U,0,0)</f>
        <v>1793.17</v>
      </c>
      <c r="J69" s="150">
        <f t="shared" ref="J69:J127" si="3">C69-I69</f>
        <v>-1.3783000001694745E-3</v>
      </c>
    </row>
    <row r="70" spans="2:10">
      <c r="B70" s="114">
        <v>256779417191</v>
      </c>
      <c r="C70" s="74">
        <v>777.12725040000009</v>
      </c>
      <c r="D70" s="74">
        <v>16</v>
      </c>
      <c r="E70" s="74">
        <v>761.12725040000009</v>
      </c>
      <c r="F70" s="74">
        <v>0</v>
      </c>
      <c r="G70" s="74">
        <v>761.12725040000009</v>
      </c>
      <c r="H70" s="77">
        <f t="shared" si="2"/>
        <v>761.12725040000009</v>
      </c>
      <c r="I70">
        <f>_xlfn.XLOOKUP(B70,'Ascendus Data'!$M:$M,'Ascendus Data'!$U:$U,0,0)</f>
        <v>777.13</v>
      </c>
      <c r="J70" s="150">
        <f t="shared" si="3"/>
        <v>-2.749599999901875E-3</v>
      </c>
    </row>
    <row r="71" spans="2:10">
      <c r="B71" s="114">
        <v>256779417235</v>
      </c>
      <c r="C71" s="74">
        <v>36055.903960000003</v>
      </c>
      <c r="D71" s="74">
        <v>721</v>
      </c>
      <c r="E71" s="74">
        <v>35334.903960000003</v>
      </c>
      <c r="F71" s="74">
        <v>0</v>
      </c>
      <c r="G71" s="74">
        <v>35334.903960000003</v>
      </c>
      <c r="H71" s="77">
        <f t="shared" si="2"/>
        <v>35334.903960000003</v>
      </c>
      <c r="I71">
        <f>_xlfn.XLOOKUP(B71,'Ascendus Data'!$M:$M,'Ascendus Data'!$U:$U,0,0)</f>
        <v>36055.9</v>
      </c>
      <c r="J71" s="150">
        <f t="shared" si="3"/>
        <v>3.9600000018253922E-3</v>
      </c>
    </row>
    <row r="72" spans="2:10">
      <c r="B72" s="114">
        <v>256779417267</v>
      </c>
      <c r="C72" s="74">
        <v>14411.859864400001</v>
      </c>
      <c r="D72" s="74">
        <v>288</v>
      </c>
      <c r="E72" s="74">
        <v>14123.859864400001</v>
      </c>
      <c r="F72" s="74">
        <v>0</v>
      </c>
      <c r="G72" s="74">
        <v>14123.859864400001</v>
      </c>
      <c r="H72" s="77">
        <f t="shared" si="2"/>
        <v>14123.859864400001</v>
      </c>
      <c r="I72">
        <f>_xlfn.XLOOKUP(B72,'Ascendus Data'!$M:$M,'Ascendus Data'!$U:$U,0,0)</f>
        <v>14411.86</v>
      </c>
      <c r="J72" s="150">
        <f t="shared" si="3"/>
        <v>-1.3559999933931977E-4</v>
      </c>
    </row>
    <row r="73" spans="2:10">
      <c r="B73" s="114">
        <v>256779417297</v>
      </c>
      <c r="C73" s="74">
        <v>12048.9729544</v>
      </c>
      <c r="D73" s="74">
        <v>241</v>
      </c>
      <c r="E73" s="74">
        <v>11807.9729544</v>
      </c>
      <c r="F73" s="74">
        <v>0</v>
      </c>
      <c r="G73" s="74">
        <v>11807.9729544</v>
      </c>
      <c r="H73" s="77">
        <f t="shared" si="2"/>
        <v>11807.9729544</v>
      </c>
      <c r="I73">
        <f>_xlfn.XLOOKUP(B73,'Ascendus Data'!$M:$M,'Ascendus Data'!$U:$U,0,0)</f>
        <v>12048.97</v>
      </c>
      <c r="J73" s="150">
        <f t="shared" si="3"/>
        <v>2.9544000008172588E-3</v>
      </c>
    </row>
    <row r="74" spans="2:10">
      <c r="B74" s="114">
        <v>256779417777</v>
      </c>
      <c r="C74" s="74">
        <v>4405.4713722000006</v>
      </c>
      <c r="D74" s="74">
        <v>88</v>
      </c>
      <c r="E74" s="74">
        <v>4317.4713722000006</v>
      </c>
      <c r="F74" s="74">
        <v>0</v>
      </c>
      <c r="G74" s="74">
        <v>4317.4713722000006</v>
      </c>
      <c r="H74" s="77">
        <f t="shared" si="2"/>
        <v>4317.4713722000006</v>
      </c>
      <c r="I74">
        <f>_xlfn.XLOOKUP(B74,'Ascendus Data'!$M:$M,'Ascendus Data'!$U:$U,0,0)</f>
        <v>4405.47</v>
      </c>
      <c r="J74" s="150">
        <f t="shared" si="3"/>
        <v>1.3722000003326684E-3</v>
      </c>
    </row>
    <row r="75" spans="2:10">
      <c r="B75" s="114">
        <v>256779417914</v>
      </c>
      <c r="C75" s="74">
        <v>30866.769499999999</v>
      </c>
      <c r="D75" s="74">
        <v>617</v>
      </c>
      <c r="E75" s="74">
        <v>30249.769499999999</v>
      </c>
      <c r="F75" s="74">
        <v>0</v>
      </c>
      <c r="G75" s="74">
        <v>30249.769499999999</v>
      </c>
      <c r="H75" s="77">
        <f t="shared" si="2"/>
        <v>30249.769499999999</v>
      </c>
      <c r="I75">
        <f>_xlfn.XLOOKUP(B75,'Ascendus Data'!$M:$M,'Ascendus Data'!$U:$U,0,0)</f>
        <v>30866.77</v>
      </c>
      <c r="J75" s="150">
        <f t="shared" si="3"/>
        <v>-5.0000000192085281E-4</v>
      </c>
    </row>
    <row r="76" spans="2:10">
      <c r="B76" s="114">
        <v>256779418638</v>
      </c>
      <c r="C76" s="74">
        <v>30866.769499999999</v>
      </c>
      <c r="D76" s="74">
        <v>617</v>
      </c>
      <c r="E76" s="74">
        <v>30249.769499999999</v>
      </c>
      <c r="F76" s="74">
        <v>0</v>
      </c>
      <c r="G76" s="74">
        <v>30249.769499999999</v>
      </c>
      <c r="H76" s="77">
        <f t="shared" si="2"/>
        <v>30249.769499999999</v>
      </c>
      <c r="I76">
        <f>_xlfn.XLOOKUP(B76,'Ascendus Data'!$M:$M,'Ascendus Data'!$U:$U,0,0)</f>
        <v>30866.77</v>
      </c>
      <c r="J76" s="150">
        <f t="shared" si="3"/>
        <v>-5.0000000192085281E-4</v>
      </c>
    </row>
    <row r="77" spans="2:10">
      <c r="B77" s="114">
        <v>256779418877</v>
      </c>
      <c r="C77" s="74">
        <v>32371.166977599998</v>
      </c>
      <c r="D77" s="74">
        <v>3237</v>
      </c>
      <c r="E77" s="74">
        <v>29134.166977599998</v>
      </c>
      <c r="F77" s="74">
        <v>0</v>
      </c>
      <c r="G77" s="74">
        <v>29134.166977599998</v>
      </c>
      <c r="H77" s="77">
        <f t="shared" si="2"/>
        <v>29134.166977599998</v>
      </c>
      <c r="I77">
        <f>_xlfn.XLOOKUP(B77,'Ascendus Data'!$M:$M,'Ascendus Data'!$U:$U,0,0)</f>
        <v>32371.17</v>
      </c>
      <c r="J77" s="150">
        <f t="shared" si="3"/>
        <v>-3.022400000190828E-3</v>
      </c>
    </row>
    <row r="78" spans="2:10">
      <c r="B78" s="114">
        <v>256779419216</v>
      </c>
      <c r="C78" s="74">
        <v>2391.0521063000001</v>
      </c>
      <c r="D78" s="74">
        <v>48</v>
      </c>
      <c r="E78" s="74">
        <v>2343.0521063000001</v>
      </c>
      <c r="F78" s="74">
        <v>0</v>
      </c>
      <c r="G78" s="74">
        <v>2343.0521063000001</v>
      </c>
      <c r="H78" s="77">
        <f t="shared" si="2"/>
        <v>2343.0521063000001</v>
      </c>
      <c r="I78">
        <f>_xlfn.XLOOKUP(B78,'Ascendus Data'!$M:$M,'Ascendus Data'!$U:$U,0,0)</f>
        <v>2391.0500000000002</v>
      </c>
      <c r="J78" s="150">
        <f t="shared" si="3"/>
        <v>2.1062999999230669E-3</v>
      </c>
    </row>
    <row r="79" spans="2:10">
      <c r="B79" s="114">
        <v>256779419240</v>
      </c>
      <c r="C79" s="74">
        <v>991.79820529999995</v>
      </c>
      <c r="D79" s="74">
        <v>20</v>
      </c>
      <c r="E79" s="74">
        <v>971.79820529999995</v>
      </c>
      <c r="F79" s="74">
        <v>0</v>
      </c>
      <c r="G79" s="74">
        <v>971.79820529999995</v>
      </c>
      <c r="H79" s="77">
        <f t="shared" si="2"/>
        <v>971.79820529999995</v>
      </c>
      <c r="I79">
        <f>_xlfn.XLOOKUP(B79,'Ascendus Data'!$M:$M,'Ascendus Data'!$U:$U,0,0)</f>
        <v>991.8</v>
      </c>
      <c r="J79" s="150">
        <f t="shared" si="3"/>
        <v>-1.7947000000049229E-3</v>
      </c>
    </row>
    <row r="80" spans="2:10">
      <c r="B80" s="114">
        <v>256779419798</v>
      </c>
      <c r="C80" s="74">
        <v>31045.049000000003</v>
      </c>
      <c r="D80" s="74">
        <v>621</v>
      </c>
      <c r="E80" s="74">
        <v>30424.049000000003</v>
      </c>
      <c r="F80" s="74">
        <v>0</v>
      </c>
      <c r="G80" s="74">
        <v>30424.049000000003</v>
      </c>
      <c r="H80" s="77">
        <f t="shared" si="2"/>
        <v>30424.049000000003</v>
      </c>
      <c r="I80">
        <f>_xlfn.XLOOKUP(B80,'Ascendus Data'!$M:$M,'Ascendus Data'!$U:$U,0,0)</f>
        <v>31045.05</v>
      </c>
      <c r="J80" s="150">
        <f t="shared" si="3"/>
        <v>-9.9999999656574801E-4</v>
      </c>
    </row>
    <row r="81" spans="2:10">
      <c r="B81" s="114">
        <v>256779419830</v>
      </c>
      <c r="C81" s="74">
        <v>991.66756520000001</v>
      </c>
      <c r="D81" s="74">
        <v>20</v>
      </c>
      <c r="E81" s="74">
        <v>971.66756520000001</v>
      </c>
      <c r="F81" s="74">
        <v>0</v>
      </c>
      <c r="G81" s="74">
        <v>971.66756520000001</v>
      </c>
      <c r="H81" s="77">
        <f t="shared" si="2"/>
        <v>971.66756520000001</v>
      </c>
      <c r="I81">
        <f>_xlfn.XLOOKUP(B81,'Ascendus Data'!$M:$M,'Ascendus Data'!$U:$U,0,0)</f>
        <v>991.67</v>
      </c>
      <c r="J81" s="150">
        <f t="shared" si="3"/>
        <v>-2.4347999999463354E-3</v>
      </c>
    </row>
    <row r="82" spans="2:10">
      <c r="B82" s="114">
        <v>256779440012</v>
      </c>
      <c r="C82" s="74">
        <v>33172.062258400001</v>
      </c>
      <c r="D82" s="74">
        <v>3318</v>
      </c>
      <c r="E82" s="74">
        <v>29854.062258400001</v>
      </c>
      <c r="F82" s="74"/>
      <c r="G82" s="74"/>
      <c r="H82" s="77">
        <f t="shared" si="2"/>
        <v>0</v>
      </c>
      <c r="I82">
        <f>_xlfn.XLOOKUP(B82,'Ascendus Data'!$M:$M,'Ascendus Data'!$U:$U,0,0)</f>
        <v>16586.03</v>
      </c>
      <c r="J82" s="150">
        <f t="shared" si="3"/>
        <v>16586.032258400002</v>
      </c>
    </row>
    <row r="83" spans="2:10">
      <c r="B83" s="114">
        <v>256779440046</v>
      </c>
      <c r="C83" s="74">
        <v>9074.3140000000003</v>
      </c>
      <c r="D83" s="74">
        <v>182</v>
      </c>
      <c r="E83" s="74">
        <v>8892.3140000000003</v>
      </c>
      <c r="F83" s="74"/>
      <c r="G83" s="74"/>
      <c r="H83" s="77">
        <f t="shared" si="2"/>
        <v>0</v>
      </c>
      <c r="I83">
        <f>_xlfn.XLOOKUP(B83,'Ascendus Data'!$M:$M,'Ascendus Data'!$U:$U,0,0)</f>
        <v>4537.16</v>
      </c>
      <c r="J83" s="150">
        <f t="shared" si="3"/>
        <v>4537.1540000000005</v>
      </c>
    </row>
    <row r="84" spans="2:10">
      <c r="B84" s="114">
        <v>256779440106</v>
      </c>
      <c r="C84" s="74">
        <v>63520.197999999997</v>
      </c>
      <c r="D84" s="74">
        <v>1270</v>
      </c>
      <c r="E84" s="74">
        <v>62250.197999999997</v>
      </c>
      <c r="F84" s="74"/>
      <c r="G84" s="74"/>
      <c r="H84" s="77">
        <f t="shared" si="2"/>
        <v>0</v>
      </c>
      <c r="I84">
        <f>_xlfn.XLOOKUP(B84,'Ascendus Data'!$M:$M,'Ascendus Data'!$U:$U,0,0)</f>
        <v>63520.2</v>
      </c>
      <c r="J84" s="150">
        <f t="shared" si="3"/>
        <v>-2.0000000004074536E-3</v>
      </c>
    </row>
    <row r="85" spans="2:10">
      <c r="B85" s="114">
        <v>256779440152</v>
      </c>
      <c r="C85" s="74">
        <v>22338.2387738</v>
      </c>
      <c r="D85" s="74">
        <v>447</v>
      </c>
      <c r="E85" s="74">
        <v>21891.2387738</v>
      </c>
      <c r="F85" s="74"/>
      <c r="G85" s="74"/>
      <c r="H85" s="77">
        <f t="shared" si="2"/>
        <v>0</v>
      </c>
      <c r="I85">
        <f>_xlfn.XLOOKUP(B85,'Ascendus Data'!$M:$M,'Ascendus Data'!$U:$U,0,0)</f>
        <v>22338.240000000002</v>
      </c>
      <c r="J85" s="150">
        <f t="shared" si="3"/>
        <v>-1.2262000018381514E-3</v>
      </c>
    </row>
    <row r="86" spans="2:10">
      <c r="B86" s="114">
        <v>256779440242</v>
      </c>
      <c r="C86" s="74">
        <v>79999.152224000005</v>
      </c>
      <c r="D86" s="74">
        <v>8000</v>
      </c>
      <c r="E86" s="74">
        <v>71999.152224000005</v>
      </c>
      <c r="F86" s="74"/>
      <c r="G86" s="74"/>
      <c r="H86" s="77">
        <f t="shared" si="2"/>
        <v>0</v>
      </c>
      <c r="I86">
        <f>_xlfn.XLOOKUP(B86,'Ascendus Data'!$M:$M,'Ascendus Data'!$U:$U,0,0)</f>
        <v>79999.149999999994</v>
      </c>
      <c r="J86" s="150">
        <f t="shared" si="3"/>
        <v>2.2240000107558444E-3</v>
      </c>
    </row>
    <row r="87" spans="2:10">
      <c r="B87" s="114">
        <v>256779451324</v>
      </c>
      <c r="C87" s="74">
        <v>34739.304512000002</v>
      </c>
      <c r="D87" s="74">
        <v>3474</v>
      </c>
      <c r="E87" s="74">
        <v>31265.304512000002</v>
      </c>
      <c r="F87" s="74"/>
      <c r="G87" s="74"/>
      <c r="H87" s="77">
        <f t="shared" si="2"/>
        <v>0</v>
      </c>
      <c r="I87">
        <f>_xlfn.XLOOKUP(B87,'Ascendus Data'!$M:$M,'Ascendus Data'!$U:$U,0,0)</f>
        <v>34739.300000000003</v>
      </c>
      <c r="J87" s="150">
        <f t="shared" si="3"/>
        <v>4.5119999995222315E-3</v>
      </c>
    </row>
    <row r="88" spans="2:10">
      <c r="B88" s="114">
        <v>256779451520</v>
      </c>
      <c r="C88" s="74">
        <v>5514.0606079999998</v>
      </c>
      <c r="D88" s="74">
        <v>111</v>
      </c>
      <c r="E88" s="74">
        <v>5403.0606079999998</v>
      </c>
      <c r="F88" s="74"/>
      <c r="G88" s="74"/>
      <c r="H88" s="77">
        <f t="shared" si="2"/>
        <v>0</v>
      </c>
      <c r="I88">
        <f>_xlfn.XLOOKUP(B88,'Ascendus Data'!$M:$M,'Ascendus Data'!$U:$U,0,0)</f>
        <v>5514.06</v>
      </c>
      <c r="J88" s="150">
        <f t="shared" si="3"/>
        <v>6.0799999937444227E-4</v>
      </c>
    </row>
    <row r="89" spans="2:10">
      <c r="B89" s="114" t="s">
        <v>18</v>
      </c>
      <c r="C89" s="74">
        <v>84138.422912000009</v>
      </c>
      <c r="D89" s="74">
        <v>8414</v>
      </c>
      <c r="E89" s="74">
        <v>75724.422912000009</v>
      </c>
      <c r="F89" s="74"/>
      <c r="G89" s="74">
        <v>75724.422912000009</v>
      </c>
      <c r="H89" s="77">
        <f t="shared" si="2"/>
        <v>75724.422912000009</v>
      </c>
      <c r="I89">
        <f>_xlfn.XLOOKUP(B89,'Ascendus Data'!$M:$M,'Ascendus Data'!$U:$U,0,0)</f>
        <v>84138.42</v>
      </c>
      <c r="J89" s="150">
        <f t="shared" si="3"/>
        <v>2.9120000108378008E-3</v>
      </c>
    </row>
    <row r="90" spans="2:10">
      <c r="B90" s="114" t="s">
        <v>21</v>
      </c>
      <c r="C90" s="74">
        <v>11561.3256</v>
      </c>
      <c r="D90" s="74">
        <v>231</v>
      </c>
      <c r="E90" s="74">
        <v>11330.3256</v>
      </c>
      <c r="F90" s="74"/>
      <c r="G90" s="74">
        <v>11330.33</v>
      </c>
      <c r="H90" s="77">
        <f t="shared" si="2"/>
        <v>11330.33</v>
      </c>
      <c r="I90">
        <f>_xlfn.XLOOKUP(B90,'Ascendus Data'!$M:$M,'Ascendus Data'!$U:$U,0,0)</f>
        <v>11561.33</v>
      </c>
      <c r="J90" s="150">
        <f t="shared" si="3"/>
        <v>-4.3999999998050043E-3</v>
      </c>
    </row>
    <row r="91" spans="2:10">
      <c r="B91" s="114" t="s">
        <v>24</v>
      </c>
      <c r="C91" s="74">
        <v>41373.780204000002</v>
      </c>
      <c r="D91" s="74">
        <v>827</v>
      </c>
      <c r="E91" s="74">
        <v>40546.780204000002</v>
      </c>
      <c r="F91" s="74"/>
      <c r="G91" s="74"/>
      <c r="H91" s="77">
        <f t="shared" si="2"/>
        <v>0</v>
      </c>
      <c r="I91">
        <f>_xlfn.XLOOKUP(B91,'Ascendus Data'!$M:$M,'Ascendus Data'!$U:$U,0,0)</f>
        <v>41373.78</v>
      </c>
      <c r="J91" s="150">
        <f t="shared" si="3"/>
        <v>2.0400000357767567E-4</v>
      </c>
    </row>
    <row r="92" spans="2:10">
      <c r="B92" s="114" t="s">
        <v>27</v>
      </c>
      <c r="C92" s="74">
        <v>37837.065600000002</v>
      </c>
      <c r="D92" s="74">
        <v>757</v>
      </c>
      <c r="E92" s="74">
        <v>37080.065600000002</v>
      </c>
      <c r="F92" s="74"/>
      <c r="G92" s="74"/>
      <c r="H92" s="77">
        <f t="shared" si="2"/>
        <v>0</v>
      </c>
      <c r="I92">
        <f>_xlfn.XLOOKUP(B92,'Ascendus Data'!$M:$M,'Ascendus Data'!$U:$U,0,0)</f>
        <v>37837.07</v>
      </c>
      <c r="J92" s="150">
        <f t="shared" si="3"/>
        <v>-4.3999999979860149E-3</v>
      </c>
    </row>
    <row r="93" spans="2:10">
      <c r="B93" s="114" t="s">
        <v>29</v>
      </c>
      <c r="C93" s="74">
        <v>41373.780204000002</v>
      </c>
      <c r="D93" s="74">
        <v>827</v>
      </c>
      <c r="E93" s="74">
        <v>40546.780204000002</v>
      </c>
      <c r="F93" s="74"/>
      <c r="G93" s="74"/>
      <c r="H93" s="77">
        <f t="shared" si="2"/>
        <v>0</v>
      </c>
      <c r="I93">
        <f>_xlfn.XLOOKUP(B93,'Ascendus Data'!$M:$M,'Ascendus Data'!$U:$U,0,0)</f>
        <v>41373.78</v>
      </c>
      <c r="J93" s="150">
        <f t="shared" si="3"/>
        <v>2.0400000357767567E-4</v>
      </c>
    </row>
    <row r="94" spans="2:10">
      <c r="B94" s="114" t="s">
        <v>31</v>
      </c>
      <c r="C94" s="74">
        <v>11000</v>
      </c>
      <c r="D94" s="74">
        <v>220</v>
      </c>
      <c r="E94" s="74">
        <v>10780</v>
      </c>
      <c r="F94" s="74"/>
      <c r="G94" s="74">
        <v>10780</v>
      </c>
      <c r="H94" s="77">
        <f t="shared" si="2"/>
        <v>10780</v>
      </c>
      <c r="I94">
        <f>_xlfn.XLOOKUP(B94,'Ascendus Data'!$M:$M,'Ascendus Data'!$U:$U,0,0)</f>
        <v>11000</v>
      </c>
      <c r="J94" s="150">
        <f t="shared" si="3"/>
        <v>0</v>
      </c>
    </row>
    <row r="95" spans="2:10">
      <c r="B95" s="114" t="s">
        <v>35</v>
      </c>
      <c r="C95" s="74">
        <v>131000.32934400001</v>
      </c>
      <c r="D95" s="74">
        <v>13100</v>
      </c>
      <c r="E95" s="74">
        <v>117900.32934400001</v>
      </c>
      <c r="F95" s="74"/>
      <c r="G95" s="74">
        <v>117900.32934400001</v>
      </c>
      <c r="H95" s="77">
        <f t="shared" si="2"/>
        <v>117900.32934400001</v>
      </c>
      <c r="I95">
        <f>_xlfn.XLOOKUP(B95,'Ascendus Data'!$M:$M,'Ascendus Data'!$U:$U,0,0)</f>
        <v>131000.33</v>
      </c>
      <c r="J95" s="150">
        <f t="shared" si="3"/>
        <v>-6.559999892488122E-4</v>
      </c>
    </row>
    <row r="96" spans="2:10">
      <c r="B96" s="114" t="s">
        <v>36</v>
      </c>
      <c r="C96" s="74">
        <v>18498.120960000004</v>
      </c>
      <c r="D96" s="74">
        <v>370</v>
      </c>
      <c r="E96" s="74">
        <v>18128.120960000004</v>
      </c>
      <c r="F96" s="74"/>
      <c r="G96" s="74">
        <v>18128.12</v>
      </c>
      <c r="H96" s="77">
        <f t="shared" si="2"/>
        <v>18128.12</v>
      </c>
      <c r="I96">
        <f>_xlfn.XLOOKUP(B96,'Ascendus Data'!$M:$M,'Ascendus Data'!$U:$U,0,0)</f>
        <v>18498.12</v>
      </c>
      <c r="J96" s="150">
        <f t="shared" si="3"/>
        <v>9.6000000485219061E-4</v>
      </c>
    </row>
    <row r="97" spans="2:10">
      <c r="B97" s="114" t="s">
        <v>38</v>
      </c>
      <c r="C97" s="74">
        <v>66198.048326400007</v>
      </c>
      <c r="D97" s="74">
        <v>1324</v>
      </c>
      <c r="E97" s="74">
        <v>64874.048326400007</v>
      </c>
      <c r="F97" s="74"/>
      <c r="G97" s="74"/>
      <c r="H97" s="77">
        <f t="shared" si="2"/>
        <v>0</v>
      </c>
      <c r="I97">
        <f>_xlfn.XLOOKUP(B97,'Ascendus Data'!$M:$M,'Ascendus Data'!$U:$U,0,0)</f>
        <v>66198.05</v>
      </c>
      <c r="J97" s="150">
        <f t="shared" si="3"/>
        <v>-1.6735999961383641E-3</v>
      </c>
    </row>
    <row r="98" spans="2:10">
      <c r="B98" s="114" t="s">
        <v>39</v>
      </c>
      <c r="C98" s="74">
        <v>41620.77216</v>
      </c>
      <c r="D98" s="74">
        <v>832</v>
      </c>
      <c r="E98" s="74">
        <v>40788.77216</v>
      </c>
      <c r="F98" s="74"/>
      <c r="G98" s="74"/>
      <c r="H98" s="77">
        <f t="shared" si="2"/>
        <v>0</v>
      </c>
      <c r="I98">
        <f>_xlfn.XLOOKUP(B98,'Ascendus Data'!$M:$M,'Ascendus Data'!$U:$U,0,0)</f>
        <v>41620.769999999997</v>
      </c>
      <c r="J98" s="150">
        <f t="shared" si="3"/>
        <v>2.1600000036414713E-3</v>
      </c>
    </row>
    <row r="99" spans="2:10">
      <c r="B99" s="114" t="s">
        <v>40</v>
      </c>
      <c r="C99" s="74">
        <v>24824.268122400001</v>
      </c>
      <c r="D99" s="74">
        <v>496</v>
      </c>
      <c r="E99" s="74">
        <v>24328.268122400001</v>
      </c>
      <c r="F99" s="74"/>
      <c r="G99" s="74"/>
      <c r="H99" s="77">
        <f t="shared" si="2"/>
        <v>0</v>
      </c>
      <c r="I99">
        <f>_xlfn.XLOOKUP(B99,'Ascendus Data'!$M:$M,'Ascendus Data'!$U:$U,0,0)</f>
        <v>24824.27</v>
      </c>
      <c r="J99" s="150">
        <f t="shared" si="3"/>
        <v>-1.8775999997160397E-3</v>
      </c>
    </row>
    <row r="100" spans="2:10">
      <c r="B100" s="114" t="s">
        <v>42</v>
      </c>
      <c r="C100" s="74">
        <v>7094.4498000000003</v>
      </c>
      <c r="D100" s="74">
        <v>142</v>
      </c>
      <c r="E100" s="74">
        <v>6952.4498000000003</v>
      </c>
      <c r="F100" s="74"/>
      <c r="G100" s="74"/>
      <c r="H100" s="77">
        <f t="shared" si="2"/>
        <v>0</v>
      </c>
      <c r="I100">
        <f>_xlfn.XLOOKUP(B100,'Ascendus Data'!$M:$M,'Ascendus Data'!$U:$U,0,0)</f>
        <v>7094.45</v>
      </c>
      <c r="J100" s="150">
        <f t="shared" si="3"/>
        <v>-1.9999999949504854E-4</v>
      </c>
    </row>
    <row r="101" spans="2:10">
      <c r="B101" s="114" t="s">
        <v>43</v>
      </c>
      <c r="C101" s="74">
        <v>13200</v>
      </c>
      <c r="D101" s="74">
        <v>264</v>
      </c>
      <c r="E101" s="74">
        <v>12936</v>
      </c>
      <c r="F101" s="74">
        <v>6468</v>
      </c>
      <c r="G101" s="74">
        <v>6468</v>
      </c>
      <c r="H101" s="77">
        <f t="shared" si="2"/>
        <v>12936</v>
      </c>
      <c r="I101">
        <f>_xlfn.XLOOKUP(B101,'Ascendus Data'!$M:$M,'Ascendus Data'!$U:$U,0,0)</f>
        <v>13200</v>
      </c>
      <c r="J101" s="150">
        <f t="shared" si="3"/>
        <v>0</v>
      </c>
    </row>
    <row r="102" spans="2:10">
      <c r="B102" s="114" t="s">
        <v>47</v>
      </c>
      <c r="C102" s="74">
        <v>262000.65868799994</v>
      </c>
      <c r="D102" s="74">
        <v>26200</v>
      </c>
      <c r="E102" s="74">
        <v>235800.65868799994</v>
      </c>
      <c r="F102" s="74"/>
      <c r="G102" s="74">
        <v>235800.65868799994</v>
      </c>
      <c r="H102" s="77">
        <f t="shared" si="2"/>
        <v>235800.65868799994</v>
      </c>
      <c r="I102">
        <f>_xlfn.XLOOKUP(B102,'Ascendus Data'!$M:$M,'Ascendus Data'!$U:$U,0,0)</f>
        <v>262000.66</v>
      </c>
      <c r="J102" s="150">
        <f t="shared" si="3"/>
        <v>-1.3120000658091158E-3</v>
      </c>
    </row>
    <row r="103" spans="2:10">
      <c r="B103" s="114" t="s">
        <v>48</v>
      </c>
      <c r="C103" s="74">
        <v>18498.120960000004</v>
      </c>
      <c r="D103" s="74">
        <v>370</v>
      </c>
      <c r="E103" s="74">
        <v>18128.120960000004</v>
      </c>
      <c r="F103" s="74"/>
      <c r="G103" s="74">
        <v>18128.12</v>
      </c>
      <c r="H103" s="77">
        <f t="shared" si="2"/>
        <v>18128.12</v>
      </c>
      <c r="I103">
        <f>_xlfn.XLOOKUP(B103,'Ascendus Data'!$M:$M,'Ascendus Data'!$U:$U,0,0)</f>
        <v>18498.12</v>
      </c>
      <c r="J103" s="150">
        <f t="shared" si="3"/>
        <v>9.6000000485219061E-4</v>
      </c>
    </row>
    <row r="104" spans="2:10">
      <c r="B104" s="114" t="s">
        <v>50</v>
      </c>
      <c r="C104" s="74">
        <v>66198.048326400007</v>
      </c>
      <c r="D104" s="74">
        <v>1324</v>
      </c>
      <c r="E104" s="74">
        <v>64874.048326400007</v>
      </c>
      <c r="F104" s="74"/>
      <c r="G104" s="74"/>
      <c r="H104" s="77">
        <f t="shared" si="2"/>
        <v>0</v>
      </c>
      <c r="I104">
        <f>_xlfn.XLOOKUP(B104,'Ascendus Data'!$M:$M,'Ascendus Data'!$U:$U,0,0)</f>
        <v>66198.05</v>
      </c>
      <c r="J104" s="150">
        <f t="shared" si="3"/>
        <v>-1.6735999961383641E-3</v>
      </c>
    </row>
    <row r="105" spans="2:10">
      <c r="B105" s="114" t="s">
        <v>51</v>
      </c>
      <c r="C105" s="74">
        <v>60539.304960000001</v>
      </c>
      <c r="D105" s="74">
        <v>1211</v>
      </c>
      <c r="E105" s="74">
        <v>59328.304960000001</v>
      </c>
      <c r="F105" s="74"/>
      <c r="G105" s="74"/>
      <c r="H105" s="77">
        <f t="shared" si="2"/>
        <v>0</v>
      </c>
      <c r="I105">
        <f>_xlfn.XLOOKUP(B105,'Ascendus Data'!$M:$M,'Ascendus Data'!$U:$U,0,0)</f>
        <v>60539.3</v>
      </c>
      <c r="J105" s="150">
        <f t="shared" si="3"/>
        <v>4.9599999983911403E-3</v>
      </c>
    </row>
    <row r="106" spans="2:10">
      <c r="B106" s="114" t="s">
        <v>52</v>
      </c>
      <c r="C106" s="74">
        <v>18918.532800000001</v>
      </c>
      <c r="D106" s="74">
        <v>378</v>
      </c>
      <c r="E106" s="74">
        <v>18540.532800000001</v>
      </c>
      <c r="F106" s="74"/>
      <c r="G106" s="74"/>
      <c r="H106" s="77">
        <f t="shared" si="2"/>
        <v>0</v>
      </c>
      <c r="I106">
        <f>_xlfn.XLOOKUP(B106,'Ascendus Data'!$M:$M,'Ascendus Data'!$U:$U,0,0)</f>
        <v>18918.53</v>
      </c>
      <c r="J106" s="150">
        <f t="shared" si="3"/>
        <v>2.8000000020256266E-3</v>
      </c>
    </row>
    <row r="107" spans="2:10">
      <c r="B107" s="114" t="s">
        <v>53</v>
      </c>
      <c r="C107" s="74">
        <v>66198.048326400007</v>
      </c>
      <c r="D107" s="74">
        <v>1324</v>
      </c>
      <c r="E107" s="74">
        <v>64874.048326400007</v>
      </c>
      <c r="F107" s="74"/>
      <c r="G107" s="74"/>
      <c r="H107" s="77">
        <f t="shared" si="2"/>
        <v>0</v>
      </c>
      <c r="I107">
        <f>_xlfn.XLOOKUP(B107,'Ascendus Data'!$M:$M,'Ascendus Data'!$U:$U,0,0)</f>
        <v>66198.05</v>
      </c>
      <c r="J107" s="150">
        <f t="shared" si="3"/>
        <v>-1.6735999961383641E-3</v>
      </c>
    </row>
    <row r="108" spans="2:10">
      <c r="B108" s="114" t="s">
        <v>56</v>
      </c>
      <c r="C108" s="74">
        <v>77748.162943999996</v>
      </c>
      <c r="D108" s="74">
        <v>7775</v>
      </c>
      <c r="E108" s="74">
        <v>69973.162943999996</v>
      </c>
      <c r="F108" s="74"/>
      <c r="G108" s="74">
        <v>69973.16</v>
      </c>
      <c r="H108" s="77">
        <f t="shared" si="2"/>
        <v>69973.16</v>
      </c>
      <c r="I108">
        <f>_xlfn.XLOOKUP(B108,'Ascendus Data'!$M:$M,'Ascendus Data'!$U:$U,0,0)</f>
        <v>77748.160000000003</v>
      </c>
      <c r="J108" s="150">
        <f t="shared" si="3"/>
        <v>2.9439999925671145E-3</v>
      </c>
    </row>
    <row r="109" spans="2:10">
      <c r="B109" s="114" t="s">
        <v>58</v>
      </c>
      <c r="C109" s="74">
        <v>14188.899600000001</v>
      </c>
      <c r="D109" s="74">
        <v>284</v>
      </c>
      <c r="E109" s="74">
        <v>13904.899600000001</v>
      </c>
      <c r="F109" s="74"/>
      <c r="G109" s="74"/>
      <c r="H109" s="77">
        <f t="shared" si="2"/>
        <v>0</v>
      </c>
      <c r="I109">
        <f>_xlfn.XLOOKUP(B109,'Ascendus Data'!$M:$M,'Ascendus Data'!$U:$U,0,0)</f>
        <v>14188.9</v>
      </c>
      <c r="J109" s="150">
        <f t="shared" si="3"/>
        <v>-3.9999999899009708E-4</v>
      </c>
    </row>
    <row r="110" spans="2:10">
      <c r="B110" s="114" t="s">
        <v>59</v>
      </c>
      <c r="C110" s="74">
        <v>49648.536244800001</v>
      </c>
      <c r="D110" s="74">
        <v>993</v>
      </c>
      <c r="E110" s="74">
        <v>48655.536244800001</v>
      </c>
      <c r="F110" s="74"/>
      <c r="G110" s="74"/>
      <c r="H110" s="77">
        <f t="shared" si="2"/>
        <v>0</v>
      </c>
      <c r="I110">
        <f>_xlfn.XLOOKUP(B110,'Ascendus Data'!$M:$M,'Ascendus Data'!$U:$U,0,0)</f>
        <v>49648.54</v>
      </c>
      <c r="J110" s="150">
        <f t="shared" si="3"/>
        <v>-3.7551999994320795E-3</v>
      </c>
    </row>
    <row r="111" spans="2:10">
      <c r="B111" s="114" t="s">
        <v>60</v>
      </c>
      <c r="C111" s="74">
        <v>22702.23936</v>
      </c>
      <c r="D111" s="74">
        <v>454</v>
      </c>
      <c r="E111" s="74">
        <v>22248.23936</v>
      </c>
      <c r="F111" s="74"/>
      <c r="G111" s="74"/>
      <c r="H111" s="77">
        <f t="shared" si="2"/>
        <v>0</v>
      </c>
      <c r="I111">
        <f>_xlfn.XLOOKUP(B111,'Ascendus Data'!$M:$M,'Ascendus Data'!$U:$U,0,0)</f>
        <v>22702.240000000002</v>
      </c>
      <c r="J111" s="150">
        <f t="shared" si="3"/>
        <v>-6.4000000202213414E-4</v>
      </c>
    </row>
    <row r="112" spans="2:10">
      <c r="B112" s="114" t="s">
        <v>63</v>
      </c>
      <c r="C112" s="74">
        <v>31951.29984</v>
      </c>
      <c r="D112" s="74">
        <v>3195</v>
      </c>
      <c r="E112" s="74">
        <v>28756.29984</v>
      </c>
      <c r="F112" s="74"/>
      <c r="G112" s="74">
        <v>28756.3</v>
      </c>
      <c r="H112" s="77">
        <f t="shared" si="2"/>
        <v>28756.3</v>
      </c>
      <c r="I112">
        <f>_xlfn.XLOOKUP(B112,'Ascendus Data'!$M:$M,'Ascendus Data'!$U:$U,0,0)</f>
        <v>31951.3</v>
      </c>
      <c r="J112" s="150">
        <f t="shared" si="3"/>
        <v>-1.5999999959603883E-4</v>
      </c>
    </row>
    <row r="113" spans="2:10">
      <c r="B113" s="114" t="s">
        <v>65</v>
      </c>
      <c r="C113" s="74">
        <v>4624.53024</v>
      </c>
      <c r="D113" s="74">
        <v>92</v>
      </c>
      <c r="E113" s="74">
        <v>4532.53024</v>
      </c>
      <c r="F113" s="74"/>
      <c r="G113" s="74">
        <v>4532.53</v>
      </c>
      <c r="H113" s="77">
        <f t="shared" si="2"/>
        <v>4532.53</v>
      </c>
      <c r="I113">
        <f>_xlfn.XLOOKUP(B113,'Ascendus Data'!$M:$M,'Ascendus Data'!$U:$U,0,0)</f>
        <v>4624.53</v>
      </c>
      <c r="J113" s="150">
        <f t="shared" si="3"/>
        <v>2.4000000030355295E-4</v>
      </c>
    </row>
    <row r="114" spans="2:10">
      <c r="B114" s="114" t="s">
        <v>67</v>
      </c>
      <c r="C114" s="74">
        <v>16549.512081600002</v>
      </c>
      <c r="D114" s="74">
        <v>331</v>
      </c>
      <c r="E114" s="74">
        <v>16218.512081600002</v>
      </c>
      <c r="F114" s="74"/>
      <c r="G114" s="74"/>
      <c r="H114" s="77">
        <f t="shared" si="2"/>
        <v>0</v>
      </c>
      <c r="I114">
        <f>_xlfn.XLOOKUP(B114,'Ascendus Data'!$M:$M,'Ascendus Data'!$U:$U,0,0)</f>
        <v>16549.509999999998</v>
      </c>
      <c r="J114" s="150">
        <f t="shared" si="3"/>
        <v>2.0816000032937154E-3</v>
      </c>
    </row>
    <row r="115" spans="2:10">
      <c r="B115" s="114" t="s">
        <v>68</v>
      </c>
      <c r="C115" s="74">
        <v>15134.826240000002</v>
      </c>
      <c r="D115" s="74">
        <v>303</v>
      </c>
      <c r="E115" s="74">
        <v>14831.826240000002</v>
      </c>
      <c r="F115" s="74"/>
      <c r="G115" s="74"/>
      <c r="H115" s="77">
        <f t="shared" si="2"/>
        <v>0</v>
      </c>
      <c r="I115">
        <f>_xlfn.XLOOKUP(B115,'Ascendus Data'!$M:$M,'Ascendus Data'!$U:$U,0,0)</f>
        <v>15134.83</v>
      </c>
      <c r="J115" s="150">
        <f t="shared" si="3"/>
        <v>-3.7599999977828702E-3</v>
      </c>
    </row>
    <row r="116" spans="2:10">
      <c r="B116" s="114" t="s">
        <v>69</v>
      </c>
      <c r="C116" s="74">
        <v>4729.6332000000002</v>
      </c>
      <c r="D116" s="74">
        <v>95</v>
      </c>
      <c r="E116" s="74">
        <v>4634.6332000000002</v>
      </c>
      <c r="F116" s="74"/>
      <c r="G116" s="74"/>
      <c r="H116" s="77">
        <f t="shared" si="2"/>
        <v>0</v>
      </c>
      <c r="I116">
        <f>_xlfn.XLOOKUP(B116,'Ascendus Data'!$M:$M,'Ascendus Data'!$U:$U,0,0)</f>
        <v>4729.63</v>
      </c>
      <c r="J116" s="150">
        <f t="shared" si="3"/>
        <v>3.200000000106229E-3</v>
      </c>
    </row>
    <row r="117" spans="2:10">
      <c r="B117" s="114" t="s">
        <v>70</v>
      </c>
      <c r="C117" s="74">
        <v>16549.512081600002</v>
      </c>
      <c r="D117" s="74">
        <v>331</v>
      </c>
      <c r="E117" s="74">
        <v>16218.512081600002</v>
      </c>
      <c r="F117" s="74"/>
      <c r="G117" s="74"/>
      <c r="H117" s="77">
        <f t="shared" si="2"/>
        <v>0</v>
      </c>
      <c r="I117">
        <f>_xlfn.XLOOKUP(B117,'Ascendus Data'!$M:$M,'Ascendus Data'!$U:$U,0,0)</f>
        <v>16549.509999999998</v>
      </c>
      <c r="J117" s="150">
        <f t="shared" si="3"/>
        <v>2.0816000032937154E-3</v>
      </c>
    </row>
    <row r="118" spans="2:10">
      <c r="B118" s="114" t="s">
        <v>73</v>
      </c>
      <c r="C118" s="74">
        <v>107902.20216799999</v>
      </c>
      <c r="D118" s="74">
        <v>10790</v>
      </c>
      <c r="E118" s="74">
        <v>97112.202167999989</v>
      </c>
      <c r="F118" s="74"/>
      <c r="G118" s="74">
        <v>97112.2</v>
      </c>
      <c r="H118" s="77">
        <f t="shared" si="2"/>
        <v>97112.2</v>
      </c>
      <c r="I118">
        <f>_xlfn.XLOOKUP(B118,'Ascendus Data'!$M:$M,'Ascendus Data'!$U:$U,0,0)</f>
        <v>107902.2</v>
      </c>
      <c r="J118" s="150">
        <f t="shared" si="3"/>
        <v>2.1679999917978421E-3</v>
      </c>
    </row>
    <row r="119" spans="2:10">
      <c r="B119" s="114" t="s">
        <v>76</v>
      </c>
      <c r="C119" s="74">
        <v>15765.444000000001</v>
      </c>
      <c r="D119" s="74">
        <v>315</v>
      </c>
      <c r="E119" s="74">
        <v>15450.444000000001</v>
      </c>
      <c r="F119" s="74"/>
      <c r="G119" s="74">
        <v>15450.44</v>
      </c>
      <c r="H119" s="77">
        <f t="shared" si="2"/>
        <v>15450.44</v>
      </c>
      <c r="I119">
        <f>_xlfn.XLOOKUP(B119,'Ascendus Data'!$M:$M,'Ascendus Data'!$U:$U,0,0)</f>
        <v>15765.44</v>
      </c>
      <c r="J119" s="150">
        <f t="shared" si="3"/>
        <v>4.0000000008149073E-3</v>
      </c>
    </row>
    <row r="120" spans="2:10">
      <c r="B120" s="114" t="s">
        <v>79</v>
      </c>
      <c r="C120" s="74">
        <v>2364.8166000000001</v>
      </c>
      <c r="D120" s="74">
        <v>47</v>
      </c>
      <c r="E120" s="74">
        <v>2317.8166000000001</v>
      </c>
      <c r="F120" s="74"/>
      <c r="G120" s="74"/>
      <c r="H120" s="77">
        <f t="shared" si="2"/>
        <v>0</v>
      </c>
      <c r="I120">
        <f>_xlfn.XLOOKUP(B120,'Ascendus Data'!$M:$M,'Ascendus Data'!$U:$U,0,0)</f>
        <v>2364.8200000000002</v>
      </c>
      <c r="J120" s="150">
        <f t="shared" si="3"/>
        <v>-3.4000000000560249E-3</v>
      </c>
    </row>
    <row r="121" spans="2:10">
      <c r="B121" s="114" t="s">
        <v>81</v>
      </c>
      <c r="C121" s="74">
        <v>15765.444000000001</v>
      </c>
      <c r="D121" s="74">
        <v>315</v>
      </c>
      <c r="E121" s="74">
        <v>15450.444000000001</v>
      </c>
      <c r="F121" s="74"/>
      <c r="G121" s="74"/>
      <c r="H121" s="77">
        <f t="shared" si="2"/>
        <v>0</v>
      </c>
      <c r="I121">
        <f>_xlfn.XLOOKUP(B121,'Ascendus Data'!$M:$M,'Ascendus Data'!$U:$U,0,0)</f>
        <v>15765.44</v>
      </c>
      <c r="J121" s="150">
        <f t="shared" si="3"/>
        <v>4.0000000008149073E-3</v>
      </c>
    </row>
    <row r="122" spans="2:10">
      <c r="B122" s="114" t="s">
        <v>82</v>
      </c>
      <c r="C122" s="74">
        <v>4624.53024</v>
      </c>
      <c r="D122" s="74">
        <v>92</v>
      </c>
      <c r="E122" s="74">
        <v>4532.53024</v>
      </c>
      <c r="F122" s="74"/>
      <c r="G122" s="74">
        <v>4532.53</v>
      </c>
      <c r="H122" s="77">
        <f t="shared" si="2"/>
        <v>4532.53</v>
      </c>
      <c r="I122">
        <f>_xlfn.XLOOKUP(B122,'Ascendus Data'!$M:$M,'Ascendus Data'!$U:$U,0,0)</f>
        <v>4624.53</v>
      </c>
      <c r="J122" s="150">
        <f t="shared" si="3"/>
        <v>2.4000000030355295E-4</v>
      </c>
    </row>
    <row r="123" spans="2:10">
      <c r="B123" s="114" t="s">
        <v>84</v>
      </c>
      <c r="C123" s="74">
        <v>22153.2515656</v>
      </c>
      <c r="D123" s="74">
        <v>443</v>
      </c>
      <c r="E123" s="74">
        <v>21710.2515656</v>
      </c>
      <c r="F123" s="74"/>
      <c r="G123" s="74"/>
      <c r="H123" s="77">
        <f t="shared" si="2"/>
        <v>0</v>
      </c>
      <c r="I123">
        <f>_xlfn.XLOOKUP(B123,'Ascendus Data'!$M:$M,'Ascendus Data'!$U:$U,0,0)</f>
        <v>22153.25</v>
      </c>
      <c r="J123" s="150">
        <f t="shared" si="3"/>
        <v>1.5655999995942693E-3</v>
      </c>
    </row>
    <row r="124" spans="2:10">
      <c r="B124" s="114" t="s">
        <v>86</v>
      </c>
      <c r="C124" s="74">
        <v>2801.8697419999999</v>
      </c>
      <c r="D124" s="74">
        <v>56</v>
      </c>
      <c r="E124" s="74">
        <v>2745.8697419999999</v>
      </c>
      <c r="F124" s="74"/>
      <c r="G124" s="74"/>
      <c r="H124" s="77">
        <f t="shared" si="2"/>
        <v>0</v>
      </c>
      <c r="I124">
        <f>_xlfn.XLOOKUP(B124,'Ascendus Data'!$M:$M,'Ascendus Data'!$U:$U,0,0)</f>
        <v>2801.87</v>
      </c>
      <c r="J124" s="150">
        <f t="shared" si="3"/>
        <v>-2.5800000003073364E-4</v>
      </c>
    </row>
    <row r="125" spans="2:10">
      <c r="B125" s="114" t="s">
        <v>87</v>
      </c>
      <c r="C125" s="74">
        <v>11351.119680000003</v>
      </c>
      <c r="D125" s="74">
        <v>227</v>
      </c>
      <c r="E125" s="74">
        <v>11124.119680000003</v>
      </c>
      <c r="F125" s="74"/>
      <c r="G125" s="74"/>
      <c r="H125" s="77">
        <f t="shared" si="2"/>
        <v>0</v>
      </c>
      <c r="I125">
        <f>_xlfn.XLOOKUP(B125,'Ascendus Data'!$M:$M,'Ascendus Data'!$U:$U,0,0)</f>
        <v>11351.12</v>
      </c>
      <c r="J125" s="150">
        <f t="shared" si="3"/>
        <v>-3.1999999737308826E-4</v>
      </c>
    </row>
    <row r="126" spans="2:10">
      <c r="B126" s="114" t="s">
        <v>88</v>
      </c>
      <c r="C126" s="74">
        <v>5603.7394839999997</v>
      </c>
      <c r="D126" s="74">
        <v>112</v>
      </c>
      <c r="E126" s="74">
        <v>5491.7394839999997</v>
      </c>
      <c r="F126" s="74"/>
      <c r="G126" s="74"/>
      <c r="H126" s="77">
        <f t="shared" si="2"/>
        <v>0</v>
      </c>
      <c r="I126">
        <f>_xlfn.XLOOKUP(B126,'Ascendus Data'!$M:$M,'Ascendus Data'!$U:$U,0,0)</f>
        <v>5603.74</v>
      </c>
      <c r="J126" s="150">
        <f t="shared" si="3"/>
        <v>-5.1600000006146729E-4</v>
      </c>
    </row>
    <row r="127" spans="2:10">
      <c r="B127" s="114" t="s">
        <v>90</v>
      </c>
      <c r="C127" s="74">
        <v>2801.8697419999999</v>
      </c>
      <c r="D127" s="74">
        <v>56</v>
      </c>
      <c r="E127" s="74">
        <v>2745.8697419999999</v>
      </c>
      <c r="F127" s="74"/>
      <c r="G127" s="74"/>
      <c r="H127" s="77">
        <f t="shared" si="2"/>
        <v>0</v>
      </c>
      <c r="I127">
        <f>_xlfn.XLOOKUP(B127,'Ascendus Data'!$M:$M,'Ascendus Data'!$U:$U,0,0)</f>
        <v>2801.87</v>
      </c>
      <c r="J127" s="150">
        <f t="shared" si="3"/>
        <v>-2.5800000003073364E-4</v>
      </c>
    </row>
  </sheetData>
  <autoFilter ref="B3:I127" xr:uid="{1A0D37C6-F727-4B1F-9E0B-F2E890143D3B}"/>
  <pageMargins left="0.7" right="0.7" top="0.75" bottom="0.75" header="0.3" footer="0.3"/>
  <ignoredErrors>
    <ignoredError sqref="H4:H1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Sheet5</vt:lpstr>
      <vt:lpstr>Sheet3</vt:lpstr>
      <vt:lpstr>Sheet4</vt:lpstr>
      <vt:lpstr>Payment Reco Updated</vt:lpstr>
      <vt:lpstr>Sheet8</vt:lpstr>
      <vt:lpstr>Ascendus Data</vt:lpstr>
      <vt:lpstr>Customer data</vt:lpstr>
      <vt:lpstr>Paym Updated</vt:lpstr>
      <vt:lpstr>Payment Reco</vt:lpstr>
      <vt:lpstr>TDS data</vt:lpstr>
      <vt:lpstr>Sheet2</vt:lpstr>
      <vt:lpstr>Duplicate CN in Ascenudes Books</vt:lpstr>
      <vt:lpstr>Difference in Invoice value  </vt:lpstr>
      <vt:lpstr>Credit Note in customers books</vt:lpstr>
      <vt:lpstr>Customer data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karan.vakharia</cp:lastModifiedBy>
  <cp:lastPrinted>2026-03-23T07:22:16Z</cp:lastPrinted>
  <dcterms:created xsi:type="dcterms:W3CDTF">2026-02-25T07:41:43Z</dcterms:created>
  <dcterms:modified xsi:type="dcterms:W3CDTF">2026-03-24T08:46:36Z</dcterms:modified>
</cp:coreProperties>
</file>