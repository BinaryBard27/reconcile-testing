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erver\2. Tax &amp; Assurance\Capital Land\19. BARNET INDIA PRIVATE LIMITED\Dump from Client\"/>
    </mc:Choice>
  </mc:AlternateContent>
  <xr:revisionPtr revIDLastSave="0" documentId="13_ncr:1_{7502116E-748A-45ED-887B-43D31AFDBACC}" xr6:coauthVersionLast="47" xr6:coauthVersionMax="47" xr10:uidLastSave="{00000000-0000-0000-0000-000000000000}"/>
  <bookViews>
    <workbookView xWindow="-110" yWindow="-110" windowWidth="21820" windowHeight="14020" xr2:uid="{218FA137-85FA-483A-9D1F-3DB354B49197}"/>
  </bookViews>
  <sheets>
    <sheet name="Summary-FINAL" sheetId="18" r:id="rId1"/>
  </sheets>
  <definedNames>
    <definedName name="_xlnm._FilterDatabase" localSheetId="0" hidden="1">'Summary-FINAL'!$A$5:$Q$192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92" i="18" l="1"/>
  <c r="O192" i="18"/>
  <c r="H189" i="18"/>
  <c r="H188" i="18"/>
  <c r="H187" i="18"/>
  <c r="H186" i="18"/>
  <c r="J186" i="18" s="1"/>
  <c r="K186" i="18" s="1"/>
  <c r="H185" i="18"/>
  <c r="J185" i="18" s="1"/>
  <c r="K185" i="18" s="1"/>
  <c r="H184" i="18"/>
  <c r="J184" i="18" l="1"/>
  <c r="K184" i="18" s="1"/>
  <c r="J188" i="18"/>
  <c r="K188" i="18" s="1"/>
  <c r="J187" i="18"/>
  <c r="K187" i="18" s="1"/>
  <c r="J189" i="18"/>
  <c r="K189" i="18" s="1"/>
  <c r="J183" i="18" l="1"/>
  <c r="K183" i="18" s="1"/>
  <c r="J179" i="18"/>
  <c r="J180" i="18"/>
  <c r="J177" i="18"/>
  <c r="K177" i="18" s="1"/>
  <c r="M177" i="18" s="1"/>
  <c r="K179" i="18" l="1"/>
  <c r="K180" i="18"/>
  <c r="J182" i="18"/>
  <c r="K182" i="18" s="1"/>
  <c r="J181" i="18"/>
  <c r="J178" i="18"/>
  <c r="K178" i="18" s="1"/>
  <c r="M178" i="18" s="1"/>
  <c r="J176" i="18"/>
  <c r="K176" i="18" s="1"/>
  <c r="M176" i="18" s="1"/>
  <c r="K181" i="18" l="1"/>
  <c r="J175" i="18" l="1"/>
  <c r="K175" i="18" s="1"/>
  <c r="M175" i="18" s="1"/>
  <c r="J174" i="18"/>
  <c r="K174" i="18" s="1"/>
  <c r="M174" i="18" s="1"/>
  <c r="J173" i="18"/>
  <c r="J172" i="18"/>
  <c r="K172" i="18" s="1"/>
  <c r="M172" i="18" s="1"/>
  <c r="J161" i="18"/>
  <c r="J162" i="18"/>
  <c r="K162" i="18" s="1"/>
  <c r="M162" i="18" s="1"/>
  <c r="J164" i="18"/>
  <c r="J166" i="18"/>
  <c r="K166" i="18" s="1"/>
  <c r="M166" i="18" s="1"/>
  <c r="J168" i="18"/>
  <c r="J170" i="18"/>
  <c r="K173" i="18" l="1"/>
  <c r="M173" i="18" s="1"/>
  <c r="J171" i="18"/>
  <c r="K171" i="18" s="1"/>
  <c r="M171" i="18" s="1"/>
  <c r="K170" i="18"/>
  <c r="M170" i="18" s="1"/>
  <c r="J163" i="18"/>
  <c r="K163" i="18" s="1"/>
  <c r="M163" i="18" s="1"/>
  <c r="J167" i="18"/>
  <c r="K167" i="18" s="1"/>
  <c r="M167" i="18" s="1"/>
  <c r="J169" i="18"/>
  <c r="K169" i="18" s="1"/>
  <c r="M169" i="18" s="1"/>
  <c r="J165" i="18"/>
  <c r="K165" i="18" s="1"/>
  <c r="M165" i="18" s="1"/>
  <c r="K168" i="18"/>
  <c r="M168" i="18" s="1"/>
  <c r="K164" i="18"/>
  <c r="M164" i="18" s="1"/>
  <c r="K161" i="18"/>
  <c r="M161" i="18" s="1"/>
  <c r="J159" i="18" l="1"/>
  <c r="J160" i="18"/>
  <c r="K160" i="18" s="1"/>
  <c r="M160" i="18" s="1"/>
  <c r="J158" i="18"/>
  <c r="K159" i="18" l="1"/>
  <c r="M159" i="18" s="1"/>
  <c r="K158" i="18"/>
  <c r="M158" i="18" s="1"/>
  <c r="J148" i="18"/>
  <c r="K148" i="18" s="1"/>
  <c r="M148" i="18" s="1"/>
  <c r="J152" i="18"/>
  <c r="K152" i="18" s="1"/>
  <c r="M152" i="18" s="1"/>
  <c r="J144" i="18"/>
  <c r="K144" i="18" s="1"/>
  <c r="M144" i="18" s="1"/>
  <c r="J143" i="18"/>
  <c r="J140" i="18"/>
  <c r="J139" i="18"/>
  <c r="K139" i="18" s="1"/>
  <c r="M139" i="18" s="1"/>
  <c r="J135" i="18"/>
  <c r="K135" i="18" s="1"/>
  <c r="J134" i="18"/>
  <c r="K134" i="18" s="1"/>
  <c r="J131" i="18"/>
  <c r="J130" i="18"/>
  <c r="K130" i="18" s="1"/>
  <c r="J127" i="18"/>
  <c r="K127" i="18" s="1"/>
  <c r="J126" i="18"/>
  <c r="K126" i="18" s="1"/>
  <c r="J123" i="18"/>
  <c r="J122" i="18"/>
  <c r="K122" i="18" s="1"/>
  <c r="J119" i="18"/>
  <c r="K119" i="18" s="1"/>
  <c r="J118" i="18"/>
  <c r="K118" i="18" s="1"/>
  <c r="J117" i="18"/>
  <c r="K117" i="18" s="1"/>
  <c r="M117" i="18" s="1"/>
  <c r="J116" i="18"/>
  <c r="K116" i="18" s="1"/>
  <c r="M116" i="18" s="1"/>
  <c r="J115" i="18"/>
  <c r="K115" i="18" s="1"/>
  <c r="M115" i="18" s="1"/>
  <c r="J114" i="18"/>
  <c r="K114" i="18" s="1"/>
  <c r="M114" i="18" s="1"/>
  <c r="J113" i="18"/>
  <c r="K113" i="18" s="1"/>
  <c r="M113" i="18" s="1"/>
  <c r="J112" i="18"/>
  <c r="K112" i="18" s="1"/>
  <c r="M112" i="18" s="1"/>
  <c r="J111" i="18"/>
  <c r="J110" i="18"/>
  <c r="J109" i="18"/>
  <c r="J106" i="18"/>
  <c r="J105" i="18"/>
  <c r="J101" i="18"/>
  <c r="J98" i="18"/>
  <c r="J97" i="18"/>
  <c r="J93" i="18"/>
  <c r="K93" i="18" s="1"/>
  <c r="M93" i="18" s="1"/>
  <c r="J90" i="18"/>
  <c r="J88" i="18"/>
  <c r="J86" i="18"/>
  <c r="J84" i="18"/>
  <c r="J82" i="18"/>
  <c r="J79" i="18"/>
  <c r="K79" i="18" s="1"/>
  <c r="J78" i="18"/>
  <c r="K78" i="18" s="1"/>
  <c r="J75" i="18"/>
  <c r="K75" i="18" s="1"/>
  <c r="J74" i="18"/>
  <c r="K74" i="18" s="1"/>
  <c r="J71" i="18"/>
  <c r="K71" i="18" s="1"/>
  <c r="J70" i="18"/>
  <c r="K70" i="18" s="1"/>
  <c r="J67" i="18"/>
  <c r="K67" i="18" s="1"/>
  <c r="J66" i="18"/>
  <c r="K66" i="18" s="1"/>
  <c r="J65" i="18"/>
  <c r="J63" i="18"/>
  <c r="K63" i="18" s="1"/>
  <c r="J62" i="18"/>
  <c r="K62" i="18" s="1"/>
  <c r="J61" i="18"/>
  <c r="J59" i="18"/>
  <c r="J58" i="18"/>
  <c r="K58" i="18" s="1"/>
  <c r="J56" i="18"/>
  <c r="J55" i="18"/>
  <c r="J54" i="18"/>
  <c r="J53" i="18"/>
  <c r="J51" i="18"/>
  <c r="K51" i="18" s="1"/>
  <c r="M51" i="18" s="1"/>
  <c r="J50" i="18"/>
  <c r="K50" i="18" s="1"/>
  <c r="J47" i="18"/>
  <c r="K47" i="18" s="1"/>
  <c r="M47" i="18" s="1"/>
  <c r="J45" i="18"/>
  <c r="J16" i="18"/>
  <c r="J157" i="18" l="1"/>
  <c r="K157" i="18" s="1"/>
  <c r="M157" i="18" s="1"/>
  <c r="J156" i="18"/>
  <c r="K156" i="18" s="1"/>
  <c r="J155" i="18"/>
  <c r="K155" i="18" s="1"/>
  <c r="M155" i="18" s="1"/>
  <c r="J151" i="18"/>
  <c r="K151" i="18" s="1"/>
  <c r="M151" i="18" s="1"/>
  <c r="J147" i="18"/>
  <c r="K147" i="18" s="1"/>
  <c r="M147" i="18" s="1"/>
  <c r="J154" i="18"/>
  <c r="K154" i="18" s="1"/>
  <c r="M154" i="18" s="1"/>
  <c r="J150" i="18"/>
  <c r="K150" i="18" s="1"/>
  <c r="M150" i="18" s="1"/>
  <c r="J146" i="18"/>
  <c r="K146" i="18" s="1"/>
  <c r="M146" i="18" s="1"/>
  <c r="J153" i="18"/>
  <c r="K153" i="18" s="1"/>
  <c r="M153" i="18" s="1"/>
  <c r="J149" i="18"/>
  <c r="K149" i="18" s="1"/>
  <c r="M149" i="18" s="1"/>
  <c r="J145" i="18"/>
  <c r="K145" i="18" s="1"/>
  <c r="K123" i="18"/>
  <c r="K55" i="18"/>
  <c r="M55" i="18" s="1"/>
  <c r="K101" i="18"/>
  <c r="M101" i="18" s="1"/>
  <c r="J32" i="18"/>
  <c r="K32" i="18" s="1"/>
  <c r="J83" i="18"/>
  <c r="K83" i="18" s="1"/>
  <c r="J94" i="18"/>
  <c r="K94" i="18" s="1"/>
  <c r="M94" i="18" s="1"/>
  <c r="J87" i="18"/>
  <c r="K87" i="18" s="1"/>
  <c r="J102" i="18"/>
  <c r="K102" i="18" s="1"/>
  <c r="M102" i="18" s="1"/>
  <c r="K140" i="18"/>
  <c r="M140" i="18" s="1"/>
  <c r="J52" i="18"/>
  <c r="K52" i="18" s="1"/>
  <c r="K59" i="18"/>
  <c r="K109" i="18"/>
  <c r="M109" i="18" s="1"/>
  <c r="K131" i="18"/>
  <c r="K53" i="18"/>
  <c r="M53" i="18" s="1"/>
  <c r="J81" i="18"/>
  <c r="K81" i="18" s="1"/>
  <c r="J85" i="18"/>
  <c r="K85" i="18" s="1"/>
  <c r="J89" i="18"/>
  <c r="K89" i="18" s="1"/>
  <c r="K143" i="18"/>
  <c r="M143" i="18" s="1"/>
  <c r="J7" i="18"/>
  <c r="K7" i="18" s="1"/>
  <c r="J12" i="18"/>
  <c r="K12" i="18" s="1"/>
  <c r="M12" i="18" s="1"/>
  <c r="J15" i="18"/>
  <c r="K15" i="18" s="1"/>
  <c r="J19" i="18"/>
  <c r="K19" i="18" s="1"/>
  <c r="M19" i="18" s="1"/>
  <c r="J24" i="18"/>
  <c r="K24" i="18" s="1"/>
  <c r="J27" i="18"/>
  <c r="K27" i="18" s="1"/>
  <c r="J35" i="18"/>
  <c r="K35" i="18" s="1"/>
  <c r="J40" i="18"/>
  <c r="K40" i="18" s="1"/>
  <c r="J8" i="18"/>
  <c r="J17" i="18"/>
  <c r="K17" i="18" s="1"/>
  <c r="J22" i="18"/>
  <c r="K22" i="18" s="1"/>
  <c r="J25" i="18"/>
  <c r="K25" i="18" s="1"/>
  <c r="J30" i="18"/>
  <c r="K30" i="18" s="1"/>
  <c r="J41" i="18"/>
  <c r="K41" i="18" s="1"/>
  <c r="J43" i="18"/>
  <c r="K43" i="18" s="1"/>
  <c r="J9" i="18"/>
  <c r="K9" i="18" s="1"/>
  <c r="J13" i="18"/>
  <c r="K13" i="18" s="1"/>
  <c r="J18" i="18"/>
  <c r="K18" i="18" s="1"/>
  <c r="J20" i="18"/>
  <c r="K20" i="18" s="1"/>
  <c r="J23" i="18"/>
  <c r="K23" i="18" s="1"/>
  <c r="J28" i="18"/>
  <c r="K28" i="18" s="1"/>
  <c r="J31" i="18"/>
  <c r="K31" i="18" s="1"/>
  <c r="J36" i="18"/>
  <c r="K36" i="18" s="1"/>
  <c r="J44" i="18"/>
  <c r="K44" i="18" s="1"/>
  <c r="C192" i="18"/>
  <c r="C4" i="18" s="1"/>
  <c r="E4" i="18" s="1"/>
  <c r="H192" i="18"/>
  <c r="J11" i="18"/>
  <c r="K11" i="18" s="1"/>
  <c r="M11" i="18" s="1"/>
  <c r="J14" i="18"/>
  <c r="K14" i="18" s="1"/>
  <c r="J21" i="18"/>
  <c r="K21" i="18" s="1"/>
  <c r="J26" i="18"/>
  <c r="K26" i="18" s="1"/>
  <c r="J29" i="18"/>
  <c r="K29" i="18" s="1"/>
  <c r="J34" i="18"/>
  <c r="K34" i="18" s="1"/>
  <c r="J37" i="18"/>
  <c r="K37" i="18" s="1"/>
  <c r="J39" i="18"/>
  <c r="K39" i="18" s="1"/>
  <c r="J10" i="18"/>
  <c r="K10" i="18" s="1"/>
  <c r="K16" i="18"/>
  <c r="J60" i="18"/>
  <c r="K60" i="18" s="1"/>
  <c r="J64" i="18"/>
  <c r="K64" i="18" s="1"/>
  <c r="J68" i="18"/>
  <c r="K68" i="18" s="1"/>
  <c r="J72" i="18"/>
  <c r="K72" i="18" s="1"/>
  <c r="J76" i="18"/>
  <c r="K76" i="18" s="1"/>
  <c r="J96" i="18"/>
  <c r="K96" i="18" s="1"/>
  <c r="M96" i="18" s="1"/>
  <c r="J99" i="18"/>
  <c r="K99" i="18" s="1"/>
  <c r="M99" i="18" s="1"/>
  <c r="J121" i="18"/>
  <c r="K121" i="18" s="1"/>
  <c r="J129" i="18"/>
  <c r="K129" i="18" s="1"/>
  <c r="J137" i="18"/>
  <c r="K137" i="18" s="1"/>
  <c r="J138" i="18"/>
  <c r="K138" i="18" s="1"/>
  <c r="M138" i="18" s="1"/>
  <c r="J33" i="18"/>
  <c r="K33" i="18" s="1"/>
  <c r="J38" i="18"/>
  <c r="K38" i="18" s="1"/>
  <c r="J42" i="18"/>
  <c r="K42" i="18" s="1"/>
  <c r="J46" i="18"/>
  <c r="K46" i="18" s="1"/>
  <c r="J49" i="18"/>
  <c r="K49" i="18" s="1"/>
  <c r="M49" i="18" s="1"/>
  <c r="K54" i="18"/>
  <c r="M54" i="18" s="1"/>
  <c r="J57" i="18"/>
  <c r="K57" i="18" s="1"/>
  <c r="K61" i="18"/>
  <c r="K65" i="18"/>
  <c r="K84" i="18"/>
  <c r="K88" i="18"/>
  <c r="K98" i="18"/>
  <c r="M98" i="18" s="1"/>
  <c r="J100" i="18"/>
  <c r="K100" i="18" s="1"/>
  <c r="M100" i="18" s="1"/>
  <c r="J103" i="18"/>
  <c r="K103" i="18" s="1"/>
  <c r="M103" i="18" s="1"/>
  <c r="K105" i="18"/>
  <c r="M105" i="18" s="1"/>
  <c r="K111" i="18"/>
  <c r="M111" i="18" s="1"/>
  <c r="J48" i="18"/>
  <c r="K48" i="18" s="1"/>
  <c r="M48" i="18" s="1"/>
  <c r="J69" i="18"/>
  <c r="K69" i="18" s="1"/>
  <c r="J73" i="18"/>
  <c r="K73" i="18" s="1"/>
  <c r="J77" i="18"/>
  <c r="K77" i="18" s="1"/>
  <c r="J91" i="18"/>
  <c r="K91" i="18" s="1"/>
  <c r="M91" i="18" s="1"/>
  <c r="J104" i="18"/>
  <c r="K104" i="18" s="1"/>
  <c r="M104" i="18" s="1"/>
  <c r="J107" i="18"/>
  <c r="K107" i="18" s="1"/>
  <c r="M107" i="18" s="1"/>
  <c r="J125" i="18"/>
  <c r="K125" i="18" s="1"/>
  <c r="J133" i="18"/>
  <c r="K133" i="18" s="1"/>
  <c r="J142" i="18"/>
  <c r="K142" i="18" s="1"/>
  <c r="M142" i="18" s="1"/>
  <c r="K45" i="18"/>
  <c r="K56" i="18"/>
  <c r="J80" i="18"/>
  <c r="K80" i="18" s="1"/>
  <c r="K82" i="18"/>
  <c r="K86" i="18"/>
  <c r="K90" i="18"/>
  <c r="M90" i="18" s="1"/>
  <c r="J92" i="18"/>
  <c r="K92" i="18" s="1"/>
  <c r="M92" i="18" s="1"/>
  <c r="J95" i="18"/>
  <c r="K95" i="18" s="1"/>
  <c r="M95" i="18" s="1"/>
  <c r="K97" i="18"/>
  <c r="M97" i="18" s="1"/>
  <c r="K106" i="18"/>
  <c r="M106" i="18" s="1"/>
  <c r="J108" i="18"/>
  <c r="K108" i="18" s="1"/>
  <c r="M108" i="18" s="1"/>
  <c r="K110" i="18"/>
  <c r="M110" i="18" s="1"/>
  <c r="J120" i="18"/>
  <c r="K120" i="18" s="1"/>
  <c r="J124" i="18"/>
  <c r="K124" i="18" s="1"/>
  <c r="J128" i="18"/>
  <c r="K128" i="18" s="1"/>
  <c r="J132" i="18"/>
  <c r="K132" i="18" s="1"/>
  <c r="J136" i="18"/>
  <c r="K136" i="18" s="1"/>
  <c r="J141" i="18"/>
  <c r="K141" i="18" s="1"/>
  <c r="M141" i="18" s="1"/>
  <c r="K8" i="18" l="1"/>
  <c r="J6" i="18"/>
  <c r="J192" i="18" s="1"/>
  <c r="K6" i="18" l="1"/>
  <c r="K192" i="18" l="1"/>
  <c r="M6" i="18"/>
  <c r="M192" i="18" s="1"/>
</calcChain>
</file>

<file path=xl/sharedStrings.xml><?xml version="1.0" encoding="utf-8"?>
<sst xmlns="http://schemas.openxmlformats.org/spreadsheetml/2006/main" count="759" uniqueCount="281">
  <si>
    <t>LCL Charges</t>
  </si>
  <si>
    <t>Sr.No.</t>
  </si>
  <si>
    <t>Particulars</t>
  </si>
  <si>
    <t>Storage Charges 1st Aug to 31st Aug 2024</t>
  </si>
  <si>
    <t>Bill Amt in USD</t>
  </si>
  <si>
    <t>Inbound Handling Charges</t>
  </si>
  <si>
    <t>Lolo Charges</t>
  </si>
  <si>
    <t>August, 2024</t>
  </si>
  <si>
    <t>Outbound Handling Charges</t>
  </si>
  <si>
    <t>Storage Charges 1st Sep to 30th Sep 2024</t>
  </si>
  <si>
    <t>September, 2024</t>
  </si>
  <si>
    <t>CY Movement Charges</t>
  </si>
  <si>
    <t>VAS Activity Charges</t>
  </si>
  <si>
    <t>Storage Charges 1st Oct to 31st Oct 2024</t>
  </si>
  <si>
    <t>October, 2024</t>
  </si>
  <si>
    <t>Storage Charges 1st Nov to 30th Nov 2024</t>
  </si>
  <si>
    <t>November, 2024</t>
  </si>
  <si>
    <t>Storage Charges 1st Dec to 31st Dec 2024</t>
  </si>
  <si>
    <t>December, 2024</t>
  </si>
  <si>
    <t>Storage Charges 1st Jan to 31st Jan 2025</t>
  </si>
  <si>
    <t>January, 2025</t>
  </si>
  <si>
    <t>Transportation Inbound</t>
  </si>
  <si>
    <t>CY Destuff Charges</t>
  </si>
  <si>
    <t>Empty Movement Charges</t>
  </si>
  <si>
    <t>Loose Unloading Charges</t>
  </si>
  <si>
    <t>Loose Loading Charges</t>
  </si>
  <si>
    <t>6779IV124000167</t>
  </si>
  <si>
    <t>6779IV124000168</t>
  </si>
  <si>
    <t>6779IV124000169</t>
  </si>
  <si>
    <t>6779IV124000170</t>
  </si>
  <si>
    <t>6779IV124000171</t>
  </si>
  <si>
    <t>6779IV124000172</t>
  </si>
  <si>
    <t>6779IV124000173</t>
  </si>
  <si>
    <t>6779IV124000174</t>
  </si>
  <si>
    <t>6779IV124000175</t>
  </si>
  <si>
    <t>6779IV124000176</t>
  </si>
  <si>
    <t>6779IV124000177</t>
  </si>
  <si>
    <t>6779IV124000178</t>
  </si>
  <si>
    <t>6779IV124000179</t>
  </si>
  <si>
    <t>6779IV124000180</t>
  </si>
  <si>
    <t>6779IV124000181</t>
  </si>
  <si>
    <t>6779IV124000182</t>
  </si>
  <si>
    <t>6779IV124000183</t>
  </si>
  <si>
    <t>6779IV124000184</t>
  </si>
  <si>
    <t>6779IV124000185</t>
  </si>
  <si>
    <t>6779IV124000186</t>
  </si>
  <si>
    <t>6779IV124000187</t>
  </si>
  <si>
    <t>6779IV124000188</t>
  </si>
  <si>
    <t>6779IV124000189</t>
  </si>
  <si>
    <t>6779IV124000190</t>
  </si>
  <si>
    <t>6779IV124000191</t>
  </si>
  <si>
    <t>6779IV124000192</t>
  </si>
  <si>
    <t>6779IV124000193</t>
  </si>
  <si>
    <t>6779IV124000194</t>
  </si>
  <si>
    <t>6779IV124000195</t>
  </si>
  <si>
    <t>6779IV124000196</t>
  </si>
  <si>
    <t>6779IV124000197</t>
  </si>
  <si>
    <t>6779IV124000198</t>
  </si>
  <si>
    <t>6779IV124000199</t>
  </si>
  <si>
    <t>6779IV124000200</t>
  </si>
  <si>
    <t>6779IV124000201</t>
  </si>
  <si>
    <t>6779IV124000202</t>
  </si>
  <si>
    <t>6779IV124000203</t>
  </si>
  <si>
    <t>6779IV124000204</t>
  </si>
  <si>
    <t>6779IV124000205</t>
  </si>
  <si>
    <t>INV NO</t>
  </si>
  <si>
    <t>TDS</t>
  </si>
  <si>
    <t>ASCENDAS PANVEL FTWZ PRIVATE LIMITED</t>
  </si>
  <si>
    <t>AMOUNT PAID</t>
  </si>
  <si>
    <t>HDFCN52025032433793860</t>
  </si>
  <si>
    <t>HDFCN52025032433793867</t>
  </si>
  <si>
    <t>HDFCN52025032433793875</t>
  </si>
  <si>
    <t>HDFCN52025032433793886</t>
  </si>
  <si>
    <t>HDFCN52025032433791993</t>
  </si>
  <si>
    <t>HDFCN52025032433791996</t>
  </si>
  <si>
    <t>Storage Charges Feb, 25</t>
  </si>
  <si>
    <t>February, 2025</t>
  </si>
  <si>
    <t>256779410800</t>
  </si>
  <si>
    <t>Inbound Handling charges for Mar 2025</t>
  </si>
  <si>
    <t>March, 2025</t>
  </si>
  <si>
    <t>256779410039</t>
  </si>
  <si>
    <t>LCL charges for Mar 2025</t>
  </si>
  <si>
    <t>256779410040</t>
  </si>
  <si>
    <t>LOLO charges for Mar 2025</t>
  </si>
  <si>
    <t>256779410041</t>
  </si>
  <si>
    <t>Empty Cont. Outbound charges for Mar 2025</t>
  </si>
  <si>
    <t>256779410042</t>
  </si>
  <si>
    <t>Cy-WH Destuff charges for Mar 2025</t>
  </si>
  <si>
    <t>256779410102</t>
  </si>
  <si>
    <t>Inbound Handling charges for Mar 2025 Exch. Rate 8</t>
  </si>
  <si>
    <t>256779410103</t>
  </si>
  <si>
    <t>Gate in charges for Mar 2025 Exch. Rate 87.01</t>
  </si>
  <si>
    <t>256779410104</t>
  </si>
  <si>
    <t>VAS Activity -1 -15 Mar 25, Ex Rate. 87.01</t>
  </si>
  <si>
    <t>256779410183</t>
  </si>
  <si>
    <t>Storage Charges Mar, 25</t>
  </si>
  <si>
    <t>256779412122</t>
  </si>
  <si>
    <t>VAS Activity - Feb 25, Ex Rate.87.40</t>
  </si>
  <si>
    <t>256779412037</t>
  </si>
  <si>
    <t>EX.RATE</t>
  </si>
  <si>
    <t>Outbound Handling Charges Aug 2024</t>
  </si>
  <si>
    <t>256779411261</t>
  </si>
  <si>
    <t>Lolo Charges Aug 2024</t>
  </si>
  <si>
    <t>256779411258</t>
  </si>
  <si>
    <t>256779411259</t>
  </si>
  <si>
    <t>256779411260</t>
  </si>
  <si>
    <t>LCL Charges August 2024</t>
  </si>
  <si>
    <t>Inbound Handling for August 24</t>
  </si>
  <si>
    <t>Lolo Charges for Aug 2024</t>
  </si>
  <si>
    <t>256779411010</t>
  </si>
  <si>
    <t>256779411007</t>
  </si>
  <si>
    <t>256779411008</t>
  </si>
  <si>
    <t>256779411009</t>
  </si>
  <si>
    <t>Outbound Handling charges for 31 MAR 25</t>
  </si>
  <si>
    <t>LOLO charges for 31 Mar 25</t>
  </si>
  <si>
    <t>256779412630</t>
  </si>
  <si>
    <t>256779412598</t>
  </si>
  <si>
    <t>Inbound Handling charges for 1 Mar 2025</t>
  </si>
  <si>
    <t>Cy-WH Destuff charges for 31Mar 2025</t>
  </si>
  <si>
    <t>256779412875</t>
  </si>
  <si>
    <t>256779412903</t>
  </si>
  <si>
    <t>Transportation In Chgs - 01 - 15 April25</t>
  </si>
  <si>
    <t>CY WH Destuff chgs - 01 - 15 April25</t>
  </si>
  <si>
    <t>Empty Cont Out - 01 - 15 Apr 25</t>
  </si>
  <si>
    <t>LCL Chgs - 01 - 15 Apr 25</t>
  </si>
  <si>
    <t>Inbound chgs - 01 - 15 Apr 25</t>
  </si>
  <si>
    <t>LOLO chgs - 01 - 15 Apr 25</t>
  </si>
  <si>
    <t>April, 2025</t>
  </si>
  <si>
    <t>Outbound chgs - 01 - 15 Apr 25</t>
  </si>
  <si>
    <t>LCL charges for 31 Mar 2025</t>
  </si>
  <si>
    <t>Transportation Inbound charges MAR25</t>
  </si>
  <si>
    <t>Date</t>
  </si>
  <si>
    <t>VAS - 16-30 April 25, Ex.Rate-85.05</t>
  </si>
  <si>
    <t>85.98370</t>
  </si>
  <si>
    <t>VAS 1-15 April-25,Ex.Rate-85.69</t>
  </si>
  <si>
    <t>Weighment-16-30 April25, Ex.Rate-85.05</t>
  </si>
  <si>
    <t>86.92182</t>
  </si>
  <si>
    <t>Outbound Handling charges for Feb 2025</t>
  </si>
  <si>
    <t>CY-Movement Charges for Feb 2025</t>
  </si>
  <si>
    <t>LOLO Charges for Feb 2025</t>
  </si>
  <si>
    <t>86.69126</t>
  </si>
  <si>
    <t>Outbound chgs - 16 - 30 Apr 25 ( SB1157033 )</t>
  </si>
  <si>
    <t>Outbound chgs - 01 - 15 MAY 25 ( SB1502152 )</t>
  </si>
  <si>
    <t>Storage Chgs - 01 - 31 Apr 25</t>
  </si>
  <si>
    <t>VAS -1-15 May 25, Ex.rate 85.43</t>
  </si>
  <si>
    <t>Weighment &amp; Misc, 1-15 May 25</t>
  </si>
  <si>
    <t>May,2025</t>
  </si>
  <si>
    <t>Outstanding</t>
  </si>
  <si>
    <t>REMARK</t>
  </si>
  <si>
    <t>Not Approved</t>
  </si>
  <si>
    <t>Empty Lolo Chgs - 01 - 31 Apr 25</t>
  </si>
  <si>
    <t>LCL Chgs - 16 - 30 Apr 25 ( BOEX5000091 / BOEX5000096 )</t>
  </si>
  <si>
    <t>Inbound chgs -16 - 30 Apr 25 ( BOEX5000091 / BOEX5000096 )</t>
  </si>
  <si>
    <t>LOLO chgs - 16 - 30 Apr 25 ( BOEX5000091 / BOEX5000096 )</t>
  </si>
  <si>
    <t>On Account Payment</t>
  </si>
  <si>
    <t>Unit storage -1-31 May 25</t>
  </si>
  <si>
    <t>85.49078</t>
  </si>
  <si>
    <t>HDFCN52025061495304800</t>
  </si>
  <si>
    <t>HDFCN52025051435275414</t>
  </si>
  <si>
    <t>HDFCN52025031215974606</t>
  </si>
  <si>
    <t>HDFCN52025031215976413</t>
  </si>
  <si>
    <t>HDFCN52025031215974609</t>
  </si>
  <si>
    <t>HDFCN52025060575568983</t>
  </si>
  <si>
    <t>Scanning  Chgs - 16 - 31 May 25 ( BOE2315452 )</t>
  </si>
  <si>
    <t>Transportation In Chgs - 16-31 MAY 25 ( BOE2030748 )</t>
  </si>
  <si>
    <t>CY - WH destuff Chgs - 16-31 MAY 25 ( BOE2030748 )</t>
  </si>
  <si>
    <t>Inbound chgs - 16-31 MAY 25 ( BOE2030748 )</t>
  </si>
  <si>
    <t>Loose chgs - 16-31 MAY 25 ( BOE2030748 )</t>
  </si>
  <si>
    <t>LOLO chgs - 16-31 MAY 25 ( BOE2030748 )</t>
  </si>
  <si>
    <t>HDFCN52025062512710909</t>
  </si>
  <si>
    <t>HDFCN52025060575565670</t>
  </si>
  <si>
    <t>05/06/25</t>
  </si>
  <si>
    <t>TDS AMOUNT</t>
  </si>
  <si>
    <t>Transportation In Chgs - 01 - 15 JUN 25</t>
  </si>
  <si>
    <t>CY - WH destuff Chgs - 01 - 15 JUN 25</t>
  </si>
  <si>
    <t>Inbound chgs - 01 - 15 JUN 25</t>
  </si>
  <si>
    <t>LOLO chgs - 01 - 15 JUN 25</t>
  </si>
  <si>
    <t>Outbound chgs - 01 - 15 Jun 25</t>
  </si>
  <si>
    <t>Loose chgs - 01 - 15 Jun 25</t>
  </si>
  <si>
    <t>LOLO chgs - 01 - 15 Jun 25</t>
  </si>
  <si>
    <t>June,2025</t>
  </si>
  <si>
    <t>256779414785</t>
  </si>
  <si>
    <t>256779414809</t>
  </si>
  <si>
    <t>86.00067</t>
  </si>
  <si>
    <t>Transportation Out chgs - 16 - 30 Jun 25 WH 09</t>
  </si>
  <si>
    <t>CY - CY chgs - 16 - 30 Jun 25 WH 09</t>
  </si>
  <si>
    <t>Empty Cont In chgs - 16 - 30 Jun 25 WH 09</t>
  </si>
  <si>
    <t>Outbound chgs - 16 - 30 Jun 25 WH 09</t>
  </si>
  <si>
    <t>Loose chgs - 16 - 30 Jun 25 WH 09</t>
  </si>
  <si>
    <t>LOLO chgs - 16 - 30 Jun 25 WH 09</t>
  </si>
  <si>
    <t>PORT SSR Chgs June 25</t>
  </si>
  <si>
    <t>Detention Chgs - 16 - 30 JUN 25</t>
  </si>
  <si>
    <t>Transportation In Chgs - 16 - 30 JUN 25 WH09</t>
  </si>
  <si>
    <t>CY - WH destuff Chgs - 16 - 30 JUN 25 WH09</t>
  </si>
  <si>
    <t>Inbound chgs - 16 - 30 JUN 25 WH09</t>
  </si>
  <si>
    <t>LOLO chgs - 16 - 30 JUN 25 WH09</t>
  </si>
  <si>
    <t>Empty Cont Out chgs - 16 - 30 JUN 25 WH09</t>
  </si>
  <si>
    <t>Unit Storage - 1-30 June 25</t>
  </si>
  <si>
    <t>HDFCN52025072369906032</t>
  </si>
  <si>
    <t>PORT SSR Chgs Apr  to June 25</t>
  </si>
  <si>
    <t>Weighment- 16-30 June 25</t>
  </si>
  <si>
    <t>Approved</t>
  </si>
  <si>
    <t>Transportation In Chgs - 01 -15 MAY 25</t>
  </si>
  <si>
    <t>Inbound chgs - 01-15 MAY 25</t>
  </si>
  <si>
    <t>LOLO chgs - 01-15 MAY 25</t>
  </si>
  <si>
    <t>Unit Storage - 1-31 July 25</t>
  </si>
  <si>
    <t>Transportation In Chgs - 16 - 31 Jul 25</t>
  </si>
  <si>
    <t>Empty Lolo Chgs - 01 - 31 JUL 25</t>
  </si>
  <si>
    <t>Cy - WH destuff - 16 - 31 JUL 25</t>
  </si>
  <si>
    <t>Inbound chgs - 16 - 31 JUL 25</t>
  </si>
  <si>
    <t>Lolo chgs - 16 - 31 JUL 25</t>
  </si>
  <si>
    <t>Transportation In Chgs - 16 - 31 JUL 25</t>
  </si>
  <si>
    <t>Outbound chgs - 16 - 31 Jul 25</t>
  </si>
  <si>
    <t>Lolo chgs - 16 - 31 Jul 25</t>
  </si>
  <si>
    <t>VAS 16-31 July 25</t>
  </si>
  <si>
    <t>Weighment - 16-31 July 25</t>
  </si>
  <si>
    <t>PORT SSR Chgs July 25</t>
  </si>
  <si>
    <t>July,25</t>
  </si>
  <si>
    <t>86.03012</t>
  </si>
  <si>
    <t>VAS - 16-30 June 25</t>
  </si>
  <si>
    <t>Empty Cont Out Chgs - 16 - 31 Jul 25</t>
  </si>
  <si>
    <t>HDFCN52025082227307462</t>
  </si>
  <si>
    <t>HDFCN52025082733046460</t>
  </si>
  <si>
    <t>Weighment-Aug 25- 1-15</t>
  </si>
  <si>
    <t>Transportation In Chgs - 01 - 15 AUG 25 Invista ( WH 09 )</t>
  </si>
  <si>
    <t>Outbound chgs - 01 - 15 Aug 25 WH 09</t>
  </si>
  <si>
    <t>August, 2025</t>
  </si>
  <si>
    <t>HDFCN52025090553870975</t>
  </si>
  <si>
    <t>VAS -16-31 Aug 25</t>
  </si>
  <si>
    <t>WEIGHMENT -16-31 Aug 25</t>
  </si>
  <si>
    <t>Detention Chgs - 01 - 31 AUG 25</t>
  </si>
  <si>
    <t>PORT SSR Chgs Aug 25</t>
  </si>
  <si>
    <t>Cy - WH destuff - 16 - 31 AUG 25 ( WH 09 )</t>
  </si>
  <si>
    <t>Inbound chgs - 16 - 31 AUG 25 ( WH 09 )</t>
  </si>
  <si>
    <t>Lolo chgs - 16 - 31 AUG 25 ( WH 09 )</t>
  </si>
  <si>
    <t>Outbound chgs - 16 - 31 Aug 25 WH 09</t>
  </si>
  <si>
    <t>Lolo chgs - 16 - 31 Aug 25 WH 09</t>
  </si>
  <si>
    <t>Unit-Storage-1-31 Aug 25</t>
  </si>
  <si>
    <t>87.51433</t>
  </si>
  <si>
    <t>AMOUNT DEDUCTED</t>
  </si>
  <si>
    <t>INVOICE AMT</t>
  </si>
  <si>
    <t>AMT PAYABLE</t>
  </si>
  <si>
    <t>VAS Activity - Feb 25, Ex Rate. 87.40</t>
  </si>
  <si>
    <t>HDFCN52025100308494407</t>
  </si>
  <si>
    <t>HDFCN52025100205721894</t>
  </si>
  <si>
    <t>Transportation In Chgs - 16 - 30 SEP 25 ( WH 09 )</t>
  </si>
  <si>
    <t>September, 2025</t>
  </si>
  <si>
    <t>88.19077</t>
  </si>
  <si>
    <t>Transportation In Chgs - 01 - 15 OCT 25 ( WH 09 )</t>
  </si>
  <si>
    <t>October, 2025</t>
  </si>
  <si>
    <t>Month- service Received</t>
  </si>
  <si>
    <t>MONTH-INV Received &amp;BOOKED</t>
  </si>
  <si>
    <t>88.00339</t>
  </si>
  <si>
    <t>PORT SSR Chgs Oct 25</t>
  </si>
  <si>
    <t>Bond Stamp Paper Chgs Oct 25</t>
  </si>
  <si>
    <t>Unit Storage - 1-31 Oct 2025</t>
  </si>
  <si>
    <t>HDFCH00646925098</t>
  </si>
  <si>
    <t>HDFCH00676798572</t>
  </si>
  <si>
    <t>Transportation In Chgs - 16 - 30 Nov 25 ( CY - Longstanding )</t>
  </si>
  <si>
    <t>Bond Stamp Paper Chgs Nov 25</t>
  </si>
  <si>
    <t>November, 2025</t>
  </si>
  <si>
    <t>88.70014</t>
  </si>
  <si>
    <t>Unit Storage - 1-30 Nov 2025</t>
  </si>
  <si>
    <t>Scanning  Chgs - 16 - 30 Nov 25</t>
  </si>
  <si>
    <t>90.74314</t>
  </si>
  <si>
    <t>Transportation IN Chgs - 01 - 15 DEC 25 ( WH 09 )</t>
  </si>
  <si>
    <t>December, 2025</t>
  </si>
  <si>
    <t>PORT SSR Chgs Dec 25</t>
  </si>
  <si>
    <t>Unit Storage - 1-31 DEC 2025</t>
  </si>
  <si>
    <t>HDFCH00806112854</t>
  </si>
  <si>
    <t>HDFCH00806112855</t>
  </si>
  <si>
    <t>LCL Chgs - 16 - 31 JAN 26 ( WH 09 )</t>
  </si>
  <si>
    <t>Inbound chgs - 16 - 31 JAN 26 ( WH 09 )</t>
  </si>
  <si>
    <t>Loose chgs - 16 - 31 JAN 26 ( WH 09 )</t>
  </si>
  <si>
    <t>Unit Storage 1-31 Jan 2026</t>
  </si>
  <si>
    <t>January, 2026</t>
  </si>
  <si>
    <t>90.33520</t>
  </si>
  <si>
    <t>UTR NO/REMARK</t>
  </si>
  <si>
    <t>CREDIT NOTE AWAITED</t>
  </si>
  <si>
    <t>BARNET INDIA PVT LTD</t>
  </si>
  <si>
    <t>LEDGER: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</si>
</sst>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(* #,##0.00_);_(* \(#,##0.00\);_(* &quot;-&quot;??_);_(@_)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/>
  </cellStyleXfs>
  <cellXfs count="55">
    <xf numFmtId="0" fontId="0" fillId="0" borderId="0" xfId="0"/>
    <xf numFmtId="0" fontId="0" fillId="0" borderId="1" xfId="0" applyBorder="1"/>
    <xf numFmtId="164" fontId="0" fillId="0" borderId="0" xfId="1" applyFont="1"/>
    <xf numFmtId="0" fontId="2" fillId="0" borderId="0" xfId="0" applyFont="1"/>
    <xf numFmtId="164" fontId="2" fillId="0" borderId="0" xfId="0" applyNumberFormat="1" applyFont="1"/>
    <xf numFmtId="9" fontId="0" fillId="0" borderId="1" xfId="0" applyNumberFormat="1" applyBorder="1"/>
    <xf numFmtId="43" fontId="0" fillId="0" borderId="1" xfId="0" applyNumberFormat="1" applyBorder="1"/>
    <xf numFmtId="14" fontId="0" fillId="0" borderId="1" xfId="0" applyNumberFormat="1" applyBorder="1"/>
    <xf numFmtId="0" fontId="3" fillId="0" borderId="0" xfId="0" applyFont="1"/>
    <xf numFmtId="164" fontId="3" fillId="0" borderId="1" xfId="0" applyNumberFormat="1" applyFont="1" applyBorder="1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164" fontId="3" fillId="0" borderId="1" xfId="1" applyFont="1" applyFill="1" applyBorder="1"/>
    <xf numFmtId="14" fontId="3" fillId="0" borderId="1" xfId="0" applyNumberFormat="1" applyFont="1" applyBorder="1"/>
    <xf numFmtId="164" fontId="5" fillId="0" borderId="1" xfId="1" applyFont="1" applyFill="1" applyBorder="1" applyAlignment="1">
      <alignment vertical="center"/>
    </xf>
    <xf numFmtId="0" fontId="0" fillId="2" borderId="1" xfId="0" applyFill="1" applyBorder="1"/>
    <xf numFmtId="164" fontId="0" fillId="2" borderId="1" xfId="1" applyFont="1" applyFill="1" applyBorder="1"/>
    <xf numFmtId="0" fontId="3" fillId="2" borderId="1" xfId="0" applyFont="1" applyFill="1" applyBorder="1"/>
    <xf numFmtId="43" fontId="0" fillId="2" borderId="1" xfId="0" applyNumberFormat="1" applyFill="1" applyBorder="1"/>
    <xf numFmtId="0" fontId="4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7" fontId="0" fillId="0" borderId="1" xfId="0" applyNumberFormat="1" applyBorder="1"/>
    <xf numFmtId="0" fontId="2" fillId="3" borderId="1" xfId="0" applyFont="1" applyFill="1" applyBorder="1"/>
    <xf numFmtId="164" fontId="3" fillId="0" borderId="0" xfId="0" applyNumberFormat="1" applyFont="1"/>
    <xf numFmtId="164" fontId="3" fillId="0" borderId="1" xfId="1" applyFont="1" applyFill="1" applyBorder="1" applyAlignment="1">
      <alignment horizontal="right" vertical="center"/>
    </xf>
    <xf numFmtId="1" fontId="3" fillId="0" borderId="1" xfId="2" applyNumberFormat="1" applyFont="1" applyFill="1" applyBorder="1" applyAlignment="1">
      <alignment horizontal="center" vertical="center"/>
    </xf>
    <xf numFmtId="2" fontId="3" fillId="0" borderId="0" xfId="0" applyNumberFormat="1" applyFont="1"/>
    <xf numFmtId="0" fontId="4" fillId="4" borderId="1" xfId="0" applyFont="1" applyFill="1" applyBorder="1" applyAlignment="1">
      <alignment horizontal="center"/>
    </xf>
    <xf numFmtId="0" fontId="3" fillId="0" borderId="1" xfId="0" applyFont="1" applyBorder="1"/>
    <xf numFmtId="9" fontId="3" fillId="0" borderId="1" xfId="0" applyNumberFormat="1" applyFont="1" applyBorder="1"/>
    <xf numFmtId="43" fontId="3" fillId="0" borderId="1" xfId="0" applyNumberFormat="1" applyFont="1" applyBorder="1"/>
    <xf numFmtId="0" fontId="3" fillId="0" borderId="1" xfId="0" quotePrefix="1" applyFont="1" applyBorder="1" applyAlignment="1">
      <alignment horizontal="center"/>
    </xf>
    <xf numFmtId="0" fontId="5" fillId="0" borderId="1" xfId="0" applyFont="1" applyBorder="1" applyAlignment="1">
      <alignment vertical="center"/>
    </xf>
    <xf numFmtId="43" fontId="5" fillId="0" borderId="1" xfId="0" applyNumberFormat="1" applyFont="1" applyBorder="1" applyAlignment="1">
      <alignment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4" fontId="6" fillId="0" borderId="1" xfId="0" applyNumberFormat="1" applyFont="1" applyBorder="1" applyAlignment="1">
      <alignment horizontal="right" vertical="center"/>
    </xf>
    <xf numFmtId="17" fontId="3" fillId="0" borderId="1" xfId="0" applyNumberFormat="1" applyFont="1" applyBorder="1"/>
    <xf numFmtId="15" fontId="3" fillId="0" borderId="1" xfId="0" applyNumberFormat="1" applyFont="1" applyBorder="1"/>
    <xf numFmtId="0" fontId="3" fillId="0" borderId="1" xfId="0" applyFont="1" applyBorder="1" applyAlignment="1">
      <alignment horizontal="left" vertical="center"/>
    </xf>
    <xf numFmtId="0" fontId="6" fillId="0" borderId="1" xfId="0" applyFont="1" applyBorder="1"/>
    <xf numFmtId="4" fontId="3" fillId="0" borderId="1" xfId="0" applyNumberFormat="1" applyFont="1" applyBorder="1"/>
    <xf numFmtId="4" fontId="3" fillId="0" borderId="1" xfId="0" applyNumberFormat="1" applyFont="1" applyBorder="1" applyAlignment="1">
      <alignment horizontal="right" vertical="center"/>
    </xf>
    <xf numFmtId="0" fontId="3" fillId="0" borderId="2" xfId="0" applyFont="1" applyBorder="1"/>
    <xf numFmtId="0" fontId="6" fillId="0" borderId="1" xfId="3" applyBorder="1" applyAlignment="1">
      <alignment horizontal="left" vertical="center"/>
    </xf>
    <xf numFmtId="1" fontId="6" fillId="0" borderId="1" xfId="3" applyNumberFormat="1" applyBorder="1" applyAlignment="1">
      <alignment horizontal="center" vertical="center"/>
    </xf>
    <xf numFmtId="43" fontId="3" fillId="0" borderId="1" xfId="0" applyNumberFormat="1" applyFont="1" applyBorder="1" applyAlignment="1">
      <alignment horizontal="center"/>
    </xf>
    <xf numFmtId="164" fontId="3" fillId="0" borderId="1" xfId="1" applyFont="1" applyFill="1" applyBorder="1" applyAlignment="1">
      <alignment horizontal="center" vertical="center"/>
    </xf>
    <xf numFmtId="0" fontId="2" fillId="5" borderId="1" xfId="0" applyFont="1" applyFill="1" applyBorder="1"/>
    <xf numFmtId="43" fontId="3" fillId="0" borderId="0" xfId="0" applyNumberFormat="1" applyFont="1"/>
  </cellXfs>
  <cellStyles count="4">
    <cellStyle name="Comma" xfId="1" builtinId="3"/>
    <cellStyle name="Comma 2" xfId="2" xr:uid="{392429A8-8122-4F3F-9D9A-1623B03BB593}"/>
    <cellStyle name="Normal" xfId="0" builtinId="0"/>
    <cellStyle name="Normal 3" xfId="3" xr:uid="{F711AE93-E2C2-49B8-A493-A7642E4F4696}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72089-C308-4BAE-832F-4F3038B8730E}">
  <dimension ref="A2:Q195"/>
  <sheetViews>
    <sheetView tabSelected="1" topLeftCell="D1" zoomScale="85" zoomScaleNormal="85" workbookViewId="0">
      <pane ySplit="5" topLeftCell="A165" activePane="bottomLeft" state="frozen"/>
      <selection pane="bottomLeft" activeCell="J192" sqref="J192"/>
    </sheetView>
  </sheetViews>
  <sheetFormatPr defaultRowHeight="14"/>
  <cols>
    <col min="1" max="1" width="7.25" customWidth="1"/>
    <col min="2" max="2" width="53.6640625" bestFit="1" customWidth="1"/>
    <col min="3" max="3" width="15.6640625" style="2" bestFit="1" customWidth="1"/>
    <col min="4" max="4" width="20.33203125" bestFit="1" customWidth="1"/>
    <col min="5" max="5" width="15.33203125" style="8" bestFit="1" customWidth="1"/>
    <col min="6" max="6" width="15.4140625" style="8" bestFit="1" customWidth="1"/>
    <col min="7" max="7" width="15.4140625" style="8" customWidth="1"/>
    <col min="8" max="8" width="15.4140625" style="8" bestFit="1" customWidth="1"/>
    <col min="10" max="10" width="12.1640625" bestFit="1" customWidth="1"/>
    <col min="11" max="11" width="15.9140625" bestFit="1" customWidth="1"/>
    <col min="12" max="12" width="15.9140625" customWidth="1"/>
    <col min="13" max="13" width="24.1640625" bestFit="1" customWidth="1"/>
    <col min="14" max="14" width="10.08203125" bestFit="1" customWidth="1"/>
    <col min="15" max="15" width="24.1640625" bestFit="1" customWidth="1"/>
    <col min="16" max="16" width="27.5" bestFit="1" customWidth="1"/>
    <col min="17" max="17" width="19.75" bestFit="1" customWidth="1"/>
  </cols>
  <sheetData>
    <row r="2" spans="1:17">
      <c r="B2" t="s">
        <v>279</v>
      </c>
    </row>
    <row r="3" spans="1:17" ht="14" customHeight="1">
      <c r="A3" t="s">
        <v>280</v>
      </c>
      <c r="B3" t="s">
        <v>67</v>
      </c>
      <c r="H3" s="28"/>
    </row>
    <row r="4" spans="1:17" hidden="1">
      <c r="C4" s="4">
        <f>SUBTOTAL(9,C6:C1048576)</f>
        <v>142302.02498519828</v>
      </c>
      <c r="D4">
        <v>87.585800000000006</v>
      </c>
      <c r="E4" s="25">
        <f>C4*87.4782</f>
        <v>12448325.002060173</v>
      </c>
    </row>
    <row r="5" spans="1:17" s="3" customFormat="1">
      <c r="A5" s="21" t="s">
        <v>1</v>
      </c>
      <c r="B5" s="21" t="s">
        <v>2</v>
      </c>
      <c r="C5" s="21" t="s">
        <v>4</v>
      </c>
      <c r="D5" s="21" t="s">
        <v>250</v>
      </c>
      <c r="E5" s="21" t="s">
        <v>131</v>
      </c>
      <c r="F5" s="21" t="s">
        <v>65</v>
      </c>
      <c r="G5" s="21" t="s">
        <v>99</v>
      </c>
      <c r="H5" s="29" t="s">
        <v>240</v>
      </c>
      <c r="I5" s="21" t="s">
        <v>66</v>
      </c>
      <c r="J5" s="21" t="s">
        <v>172</v>
      </c>
      <c r="K5" s="21" t="s">
        <v>241</v>
      </c>
      <c r="L5" s="21" t="s">
        <v>239</v>
      </c>
      <c r="M5" s="21" t="s">
        <v>68</v>
      </c>
      <c r="N5" s="21" t="s">
        <v>131</v>
      </c>
      <c r="O5" s="22" t="s">
        <v>277</v>
      </c>
      <c r="P5" s="24" t="s">
        <v>251</v>
      </c>
      <c r="Q5" s="53" t="s">
        <v>148</v>
      </c>
    </row>
    <row r="6" spans="1:17" s="8" customFormat="1">
      <c r="A6" s="30">
        <v>1</v>
      </c>
      <c r="B6" s="30" t="s">
        <v>3</v>
      </c>
      <c r="C6" s="14">
        <v>960.64</v>
      </c>
      <c r="D6" s="30" t="s">
        <v>7</v>
      </c>
      <c r="E6" s="15">
        <v>45698</v>
      </c>
      <c r="F6" s="30" t="s">
        <v>26</v>
      </c>
      <c r="G6" s="30">
        <v>87.585800000000006</v>
      </c>
      <c r="H6" s="9">
        <v>84138.422912000009</v>
      </c>
      <c r="I6" s="31">
        <v>0.1</v>
      </c>
      <c r="J6" s="32">
        <f>ROUND(H6*I6,0)</f>
        <v>8414</v>
      </c>
      <c r="K6" s="32">
        <f>H6-J6</f>
        <v>75724.422912000009</v>
      </c>
      <c r="L6" s="32"/>
      <c r="M6" s="32">
        <f>K6</f>
        <v>75724.422912000009</v>
      </c>
      <c r="N6" s="15">
        <v>45861</v>
      </c>
      <c r="O6" s="30" t="s">
        <v>198</v>
      </c>
      <c r="P6" s="42">
        <v>45717</v>
      </c>
      <c r="Q6" s="30"/>
    </row>
    <row r="7" spans="1:17" s="8" customFormat="1">
      <c r="A7" s="30">
        <v>2</v>
      </c>
      <c r="B7" s="30" t="s">
        <v>0</v>
      </c>
      <c r="C7" s="14">
        <v>132</v>
      </c>
      <c r="D7" s="30" t="s">
        <v>7</v>
      </c>
      <c r="E7" s="15">
        <v>45698</v>
      </c>
      <c r="F7" s="30" t="s">
        <v>27</v>
      </c>
      <c r="G7" s="30">
        <v>87.585800000000006</v>
      </c>
      <c r="H7" s="9">
        <v>11561.3256</v>
      </c>
      <c r="I7" s="31">
        <v>0.02</v>
      </c>
      <c r="J7" s="32">
        <f t="shared" ref="J7:J70" si="0">ROUND(H7*I7,0)</f>
        <v>231</v>
      </c>
      <c r="K7" s="32">
        <f t="shared" ref="K7:K44" si="1">H7-J7</f>
        <v>11330.3256</v>
      </c>
      <c r="L7" s="32"/>
      <c r="M7" s="30">
        <v>11330.33</v>
      </c>
      <c r="N7" s="15">
        <v>45740</v>
      </c>
      <c r="O7" s="8" t="s">
        <v>69</v>
      </c>
      <c r="P7" s="42">
        <v>45717</v>
      </c>
      <c r="Q7" s="30"/>
    </row>
    <row r="8" spans="1:17" s="8" customFormat="1">
      <c r="A8" s="30">
        <v>3</v>
      </c>
      <c r="B8" s="30" t="s">
        <v>5</v>
      </c>
      <c r="C8" s="14">
        <v>472.38</v>
      </c>
      <c r="D8" s="30" t="s">
        <v>7</v>
      </c>
      <c r="E8" s="15">
        <v>45698</v>
      </c>
      <c r="F8" s="30" t="s">
        <v>28</v>
      </c>
      <c r="G8" s="30">
        <v>87.585800000000006</v>
      </c>
      <c r="H8" s="9">
        <v>41373.780204000002</v>
      </c>
      <c r="I8" s="31">
        <v>0.02</v>
      </c>
      <c r="J8" s="32">
        <f t="shared" si="0"/>
        <v>827</v>
      </c>
      <c r="K8" s="32">
        <f t="shared" si="1"/>
        <v>40546.780204000002</v>
      </c>
      <c r="L8" s="32"/>
      <c r="M8" s="30"/>
      <c r="N8" s="30"/>
      <c r="O8" s="30" t="s">
        <v>149</v>
      </c>
      <c r="P8" s="42">
        <v>45717</v>
      </c>
      <c r="Q8" s="30"/>
    </row>
    <row r="9" spans="1:17" s="8" customFormat="1">
      <c r="A9" s="30">
        <v>4</v>
      </c>
      <c r="B9" s="30" t="s">
        <v>6</v>
      </c>
      <c r="C9" s="14">
        <v>432</v>
      </c>
      <c r="D9" s="30" t="s">
        <v>7</v>
      </c>
      <c r="E9" s="15">
        <v>45698</v>
      </c>
      <c r="F9" s="30" t="s">
        <v>29</v>
      </c>
      <c r="G9" s="30">
        <v>87.585800000000006</v>
      </c>
      <c r="H9" s="9">
        <v>37837.065600000002</v>
      </c>
      <c r="I9" s="31">
        <v>0.02</v>
      </c>
      <c r="J9" s="32">
        <f t="shared" si="0"/>
        <v>757</v>
      </c>
      <c r="K9" s="32">
        <f t="shared" si="1"/>
        <v>37080.065600000002</v>
      </c>
      <c r="L9" s="32"/>
      <c r="M9" s="30"/>
      <c r="N9" s="30"/>
      <c r="O9" s="30" t="s">
        <v>149</v>
      </c>
      <c r="P9" s="42">
        <v>45717</v>
      </c>
      <c r="Q9" s="30"/>
    </row>
    <row r="10" spans="1:17" s="8" customFormat="1">
      <c r="A10" s="30">
        <v>5</v>
      </c>
      <c r="B10" s="30" t="s">
        <v>8</v>
      </c>
      <c r="C10" s="14">
        <v>472.38</v>
      </c>
      <c r="D10" s="30" t="s">
        <v>7</v>
      </c>
      <c r="E10" s="15">
        <v>45698</v>
      </c>
      <c r="F10" s="30" t="s">
        <v>30</v>
      </c>
      <c r="G10" s="30">
        <v>87.585800000000006</v>
      </c>
      <c r="H10" s="9">
        <v>41373.780204000002</v>
      </c>
      <c r="I10" s="31">
        <v>0.02</v>
      </c>
      <c r="J10" s="32">
        <f t="shared" si="0"/>
        <v>827</v>
      </c>
      <c r="K10" s="32">
        <f t="shared" si="1"/>
        <v>40546.780204000002</v>
      </c>
      <c r="L10" s="32"/>
      <c r="M10" s="30"/>
      <c r="N10" s="30"/>
      <c r="O10" s="30" t="s">
        <v>149</v>
      </c>
      <c r="P10" s="42">
        <v>45717</v>
      </c>
      <c r="Q10" s="30"/>
    </row>
    <row r="11" spans="1:17" s="8" customFormat="1">
      <c r="A11" s="30">
        <v>6</v>
      </c>
      <c r="B11" s="30" t="s">
        <v>12</v>
      </c>
      <c r="C11" s="14">
        <v>125.5911346359798</v>
      </c>
      <c r="D11" s="30" t="s">
        <v>7</v>
      </c>
      <c r="E11" s="15">
        <v>45698</v>
      </c>
      <c r="F11" s="30" t="s">
        <v>31</v>
      </c>
      <c r="G11" s="30">
        <v>87.585800000000006</v>
      </c>
      <c r="H11" s="9">
        <v>11000</v>
      </c>
      <c r="I11" s="31">
        <v>0.02</v>
      </c>
      <c r="J11" s="32">
        <f t="shared" si="0"/>
        <v>220</v>
      </c>
      <c r="K11" s="32">
        <f t="shared" si="1"/>
        <v>10780</v>
      </c>
      <c r="L11" s="32"/>
      <c r="M11" s="32">
        <f>K11</f>
        <v>10780</v>
      </c>
      <c r="N11" s="15">
        <v>45822</v>
      </c>
      <c r="O11" s="8" t="s">
        <v>157</v>
      </c>
      <c r="P11" s="42">
        <v>45717</v>
      </c>
      <c r="Q11" s="30"/>
    </row>
    <row r="12" spans="1:17" s="8" customFormat="1">
      <c r="A12" s="30">
        <v>7</v>
      </c>
      <c r="B12" s="30" t="s">
        <v>9</v>
      </c>
      <c r="C12" s="14">
        <v>1495.68</v>
      </c>
      <c r="D12" s="30" t="s">
        <v>10</v>
      </c>
      <c r="E12" s="15">
        <v>45698</v>
      </c>
      <c r="F12" s="30" t="s">
        <v>32</v>
      </c>
      <c r="G12" s="30">
        <v>87.585800000000006</v>
      </c>
      <c r="H12" s="9">
        <v>131000.32934400001</v>
      </c>
      <c r="I12" s="31">
        <v>0.1</v>
      </c>
      <c r="J12" s="32">
        <f t="shared" si="0"/>
        <v>13100</v>
      </c>
      <c r="K12" s="32">
        <f t="shared" si="1"/>
        <v>117900.32934400001</v>
      </c>
      <c r="L12" s="32"/>
      <c r="M12" s="32">
        <f>K12</f>
        <v>117900.32934400001</v>
      </c>
      <c r="N12" s="15">
        <v>45861</v>
      </c>
      <c r="O12" s="30" t="s">
        <v>198</v>
      </c>
      <c r="P12" s="42">
        <v>45717</v>
      </c>
      <c r="Q12" s="30"/>
    </row>
    <row r="13" spans="1:17" s="8" customFormat="1">
      <c r="A13" s="30">
        <v>8</v>
      </c>
      <c r="B13" s="30" t="s">
        <v>0</v>
      </c>
      <c r="C13" s="14">
        <v>211.20000000000002</v>
      </c>
      <c r="D13" s="30" t="s">
        <v>10</v>
      </c>
      <c r="E13" s="15">
        <v>45698</v>
      </c>
      <c r="F13" s="30" t="s">
        <v>33</v>
      </c>
      <c r="G13" s="30">
        <v>87.585800000000006</v>
      </c>
      <c r="H13" s="9">
        <v>18498.120960000004</v>
      </c>
      <c r="I13" s="31">
        <v>0.02</v>
      </c>
      <c r="J13" s="32">
        <f t="shared" si="0"/>
        <v>370</v>
      </c>
      <c r="K13" s="32">
        <f t="shared" si="1"/>
        <v>18128.120960000004</v>
      </c>
      <c r="L13" s="32"/>
      <c r="M13" s="30">
        <v>18128.12</v>
      </c>
      <c r="N13" s="15">
        <v>45740</v>
      </c>
      <c r="O13" s="8" t="s">
        <v>70</v>
      </c>
      <c r="P13" s="42">
        <v>45717</v>
      </c>
      <c r="Q13" s="30"/>
    </row>
    <row r="14" spans="1:17" s="8" customFormat="1">
      <c r="A14" s="30">
        <v>9</v>
      </c>
      <c r="B14" s="30" t="s">
        <v>5</v>
      </c>
      <c r="C14" s="14">
        <v>755.80799999999999</v>
      </c>
      <c r="D14" s="30" t="s">
        <v>10</v>
      </c>
      <c r="E14" s="15">
        <v>45698</v>
      </c>
      <c r="F14" s="30" t="s">
        <v>34</v>
      </c>
      <c r="G14" s="30">
        <v>87.585800000000006</v>
      </c>
      <c r="H14" s="9">
        <v>66198.048326400007</v>
      </c>
      <c r="I14" s="31">
        <v>0.02</v>
      </c>
      <c r="J14" s="32">
        <f t="shared" si="0"/>
        <v>1324</v>
      </c>
      <c r="K14" s="32">
        <f t="shared" si="1"/>
        <v>64874.048326400007</v>
      </c>
      <c r="L14" s="32"/>
      <c r="M14" s="30"/>
      <c r="N14" s="30"/>
      <c r="O14" s="30" t="s">
        <v>149</v>
      </c>
      <c r="P14" s="42">
        <v>45717</v>
      </c>
      <c r="Q14" s="30"/>
    </row>
    <row r="15" spans="1:17" s="8" customFormat="1">
      <c r="A15" s="30">
        <v>10</v>
      </c>
      <c r="B15" s="30" t="s">
        <v>6</v>
      </c>
      <c r="C15" s="14">
        <v>475.2</v>
      </c>
      <c r="D15" s="30" t="s">
        <v>10</v>
      </c>
      <c r="E15" s="15">
        <v>45698</v>
      </c>
      <c r="F15" s="30" t="s">
        <v>35</v>
      </c>
      <c r="G15" s="30">
        <v>87.585800000000006</v>
      </c>
      <c r="H15" s="9">
        <v>41620.77216</v>
      </c>
      <c r="I15" s="31">
        <v>0.02</v>
      </c>
      <c r="J15" s="32">
        <f t="shared" si="0"/>
        <v>832</v>
      </c>
      <c r="K15" s="32">
        <f t="shared" si="1"/>
        <v>40788.77216</v>
      </c>
      <c r="L15" s="32"/>
      <c r="M15" s="30"/>
      <c r="N15" s="30"/>
      <c r="O15" s="30" t="s">
        <v>149</v>
      </c>
      <c r="P15" s="42">
        <v>45717</v>
      </c>
      <c r="Q15" s="30"/>
    </row>
    <row r="16" spans="1:17" s="8" customFormat="1">
      <c r="A16" s="30">
        <v>11</v>
      </c>
      <c r="B16" s="30" t="s">
        <v>8</v>
      </c>
      <c r="C16" s="14">
        <v>283.428</v>
      </c>
      <c r="D16" s="30" t="s">
        <v>10</v>
      </c>
      <c r="E16" s="15">
        <v>45698</v>
      </c>
      <c r="F16" s="30" t="s">
        <v>36</v>
      </c>
      <c r="G16" s="30">
        <v>87.585800000000006</v>
      </c>
      <c r="H16" s="9">
        <v>24824.268122400001</v>
      </c>
      <c r="I16" s="31">
        <v>0.02</v>
      </c>
      <c r="J16" s="32">
        <f t="shared" si="0"/>
        <v>496</v>
      </c>
      <c r="K16" s="32">
        <f t="shared" si="1"/>
        <v>24328.268122400001</v>
      </c>
      <c r="L16" s="32"/>
      <c r="M16" s="30"/>
      <c r="N16" s="30"/>
      <c r="O16" s="30" t="s">
        <v>149</v>
      </c>
      <c r="P16" s="42">
        <v>45717</v>
      </c>
      <c r="Q16" s="30"/>
    </row>
    <row r="17" spans="1:17" s="8" customFormat="1">
      <c r="A17" s="30">
        <v>12</v>
      </c>
      <c r="B17" s="30" t="s">
        <v>11</v>
      </c>
      <c r="C17" s="14">
        <v>81</v>
      </c>
      <c r="D17" s="30" t="s">
        <v>10</v>
      </c>
      <c r="E17" s="15">
        <v>45698</v>
      </c>
      <c r="F17" s="30" t="s">
        <v>37</v>
      </c>
      <c r="G17" s="30">
        <v>87.585800000000006</v>
      </c>
      <c r="H17" s="9">
        <v>7094.4498000000003</v>
      </c>
      <c r="I17" s="31">
        <v>0.02</v>
      </c>
      <c r="J17" s="32">
        <f t="shared" si="0"/>
        <v>142</v>
      </c>
      <c r="K17" s="32">
        <f t="shared" si="1"/>
        <v>6952.4498000000003</v>
      </c>
      <c r="L17" s="32"/>
      <c r="M17" s="30"/>
      <c r="N17" s="30"/>
      <c r="O17" s="30" t="s">
        <v>149</v>
      </c>
      <c r="P17" s="42">
        <v>45717</v>
      </c>
      <c r="Q17" s="30"/>
    </row>
    <row r="18" spans="1:17" s="8" customFormat="1">
      <c r="A18" s="30">
        <v>13</v>
      </c>
      <c r="B18" s="30" t="s">
        <v>12</v>
      </c>
      <c r="C18" s="14">
        <v>150.70936156317575</v>
      </c>
      <c r="D18" s="30" t="s">
        <v>10</v>
      </c>
      <c r="E18" s="15">
        <v>45698</v>
      </c>
      <c r="F18" s="30" t="s">
        <v>38</v>
      </c>
      <c r="G18" s="30">
        <v>87.585800000000006</v>
      </c>
      <c r="H18" s="9">
        <v>13200</v>
      </c>
      <c r="I18" s="31">
        <v>0.02</v>
      </c>
      <c r="J18" s="32">
        <f t="shared" si="0"/>
        <v>264</v>
      </c>
      <c r="K18" s="32">
        <f t="shared" si="1"/>
        <v>12936</v>
      </c>
      <c r="L18" s="32">
        <v>6468</v>
      </c>
      <c r="M18" s="32">
        <v>6468</v>
      </c>
      <c r="N18" s="15">
        <v>45822</v>
      </c>
      <c r="O18" s="8" t="s">
        <v>157</v>
      </c>
      <c r="P18" s="42">
        <v>45717</v>
      </c>
      <c r="Q18" s="30" t="s">
        <v>278</v>
      </c>
    </row>
    <row r="19" spans="1:17" s="8" customFormat="1">
      <c r="A19" s="30">
        <v>14</v>
      </c>
      <c r="B19" s="30" t="s">
        <v>13</v>
      </c>
      <c r="C19" s="14">
        <v>2991.3599999999992</v>
      </c>
      <c r="D19" s="30" t="s">
        <v>14</v>
      </c>
      <c r="E19" s="15">
        <v>45698</v>
      </c>
      <c r="F19" s="30" t="s">
        <v>39</v>
      </c>
      <c r="G19" s="30">
        <v>87.585800000000006</v>
      </c>
      <c r="H19" s="9">
        <v>262000.65868799994</v>
      </c>
      <c r="I19" s="31">
        <v>0.1</v>
      </c>
      <c r="J19" s="32">
        <f t="shared" si="0"/>
        <v>26200</v>
      </c>
      <c r="K19" s="32">
        <f t="shared" si="1"/>
        <v>235800.65868799994</v>
      </c>
      <c r="L19" s="32"/>
      <c r="M19" s="32">
        <f>K19</f>
        <v>235800.65868799994</v>
      </c>
      <c r="N19" s="15">
        <v>45861</v>
      </c>
      <c r="O19" s="30" t="s">
        <v>198</v>
      </c>
      <c r="P19" s="42">
        <v>45717</v>
      </c>
      <c r="Q19" s="30"/>
    </row>
    <row r="20" spans="1:17" s="8" customFormat="1">
      <c r="A20" s="30">
        <v>15</v>
      </c>
      <c r="B20" s="30" t="s">
        <v>0</v>
      </c>
      <c r="C20" s="14">
        <v>211.20000000000002</v>
      </c>
      <c r="D20" s="30" t="s">
        <v>14</v>
      </c>
      <c r="E20" s="15">
        <v>45698</v>
      </c>
      <c r="F20" s="30" t="s">
        <v>40</v>
      </c>
      <c r="G20" s="30">
        <v>87.585800000000006</v>
      </c>
      <c r="H20" s="9">
        <v>18498.120960000004</v>
      </c>
      <c r="I20" s="31">
        <v>0.02</v>
      </c>
      <c r="J20" s="32">
        <f t="shared" si="0"/>
        <v>370</v>
      </c>
      <c r="K20" s="32">
        <f t="shared" si="1"/>
        <v>18128.120960000004</v>
      </c>
      <c r="L20" s="32"/>
      <c r="M20" s="30">
        <v>18128.12</v>
      </c>
      <c r="N20" s="15">
        <v>45740</v>
      </c>
      <c r="O20" s="8" t="s">
        <v>72</v>
      </c>
      <c r="P20" s="42">
        <v>45717</v>
      </c>
      <c r="Q20" s="30"/>
    </row>
    <row r="21" spans="1:17" s="8" customFormat="1">
      <c r="A21" s="30">
        <v>16</v>
      </c>
      <c r="B21" s="30" t="s">
        <v>5</v>
      </c>
      <c r="C21" s="14">
        <v>755.80799999999999</v>
      </c>
      <c r="D21" s="30" t="s">
        <v>14</v>
      </c>
      <c r="E21" s="15">
        <v>45698</v>
      </c>
      <c r="F21" s="30" t="s">
        <v>41</v>
      </c>
      <c r="G21" s="30">
        <v>87.585800000000006</v>
      </c>
      <c r="H21" s="9">
        <v>66198.048326400007</v>
      </c>
      <c r="I21" s="31">
        <v>0.02</v>
      </c>
      <c r="J21" s="32">
        <f t="shared" si="0"/>
        <v>1324</v>
      </c>
      <c r="K21" s="32">
        <f t="shared" si="1"/>
        <v>64874.048326400007</v>
      </c>
      <c r="L21" s="32"/>
      <c r="M21" s="30"/>
      <c r="N21" s="30"/>
      <c r="O21" s="30" t="s">
        <v>149</v>
      </c>
      <c r="P21" s="42">
        <v>45717</v>
      </c>
      <c r="Q21" s="30"/>
    </row>
    <row r="22" spans="1:17" s="8" customFormat="1">
      <c r="A22" s="30">
        <v>17</v>
      </c>
      <c r="B22" s="30" t="s">
        <v>6</v>
      </c>
      <c r="C22" s="14">
        <v>691.19999999999993</v>
      </c>
      <c r="D22" s="30" t="s">
        <v>14</v>
      </c>
      <c r="E22" s="15">
        <v>45698</v>
      </c>
      <c r="F22" s="30" t="s">
        <v>42</v>
      </c>
      <c r="G22" s="30">
        <v>87.585800000000006</v>
      </c>
      <c r="H22" s="9">
        <v>60539.304960000001</v>
      </c>
      <c r="I22" s="31">
        <v>0.02</v>
      </c>
      <c r="J22" s="32">
        <f t="shared" si="0"/>
        <v>1211</v>
      </c>
      <c r="K22" s="32">
        <f t="shared" si="1"/>
        <v>59328.304960000001</v>
      </c>
      <c r="L22" s="32"/>
      <c r="M22" s="30"/>
      <c r="N22" s="30"/>
      <c r="O22" s="30" t="s">
        <v>149</v>
      </c>
      <c r="P22" s="42">
        <v>45717</v>
      </c>
      <c r="Q22" s="30"/>
    </row>
    <row r="23" spans="1:17" s="8" customFormat="1">
      <c r="A23" s="30">
        <v>18</v>
      </c>
      <c r="B23" s="30" t="s">
        <v>11</v>
      </c>
      <c r="C23" s="14">
        <v>216</v>
      </c>
      <c r="D23" s="30" t="s">
        <v>14</v>
      </c>
      <c r="E23" s="15">
        <v>45698</v>
      </c>
      <c r="F23" s="30" t="s">
        <v>43</v>
      </c>
      <c r="G23" s="30">
        <v>87.585800000000006</v>
      </c>
      <c r="H23" s="9">
        <v>18918.532800000001</v>
      </c>
      <c r="I23" s="31">
        <v>0.02</v>
      </c>
      <c r="J23" s="32">
        <f t="shared" si="0"/>
        <v>378</v>
      </c>
      <c r="K23" s="32">
        <f t="shared" si="1"/>
        <v>18540.532800000001</v>
      </c>
      <c r="L23" s="32"/>
      <c r="M23" s="30"/>
      <c r="N23" s="30"/>
      <c r="O23" s="30" t="s">
        <v>149</v>
      </c>
      <c r="P23" s="42">
        <v>45717</v>
      </c>
      <c r="Q23" s="30"/>
    </row>
    <row r="24" spans="1:17" s="8" customFormat="1">
      <c r="A24" s="30">
        <v>19</v>
      </c>
      <c r="B24" s="30" t="s">
        <v>8</v>
      </c>
      <c r="C24" s="14">
        <v>755.80799999999999</v>
      </c>
      <c r="D24" s="30" t="s">
        <v>14</v>
      </c>
      <c r="E24" s="15">
        <v>45698</v>
      </c>
      <c r="F24" s="30" t="s">
        <v>44</v>
      </c>
      <c r="G24" s="30">
        <v>87.585800000000006</v>
      </c>
      <c r="H24" s="9">
        <v>66198.048326400007</v>
      </c>
      <c r="I24" s="31">
        <v>0.02</v>
      </c>
      <c r="J24" s="32">
        <f t="shared" si="0"/>
        <v>1324</v>
      </c>
      <c r="K24" s="32">
        <f t="shared" si="1"/>
        <v>64874.048326400007</v>
      </c>
      <c r="L24" s="32"/>
      <c r="M24" s="30"/>
      <c r="N24" s="30"/>
      <c r="O24" s="30" t="s">
        <v>149</v>
      </c>
      <c r="P24" s="42">
        <v>45717</v>
      </c>
      <c r="Q24" s="30"/>
    </row>
    <row r="25" spans="1:17" s="8" customFormat="1">
      <c r="A25" s="30">
        <v>20</v>
      </c>
      <c r="B25" s="30" t="s">
        <v>15</v>
      </c>
      <c r="C25" s="14">
        <v>887.67999999999984</v>
      </c>
      <c r="D25" s="30" t="s">
        <v>16</v>
      </c>
      <c r="E25" s="15">
        <v>45698</v>
      </c>
      <c r="F25" s="30" t="s">
        <v>45</v>
      </c>
      <c r="G25" s="30">
        <v>87.585800000000006</v>
      </c>
      <c r="H25" s="9">
        <v>77748.162943999996</v>
      </c>
      <c r="I25" s="31">
        <v>0.1</v>
      </c>
      <c r="J25" s="32">
        <f t="shared" si="0"/>
        <v>7775</v>
      </c>
      <c r="K25" s="32">
        <f t="shared" si="1"/>
        <v>69973.162943999996</v>
      </c>
      <c r="L25" s="32"/>
      <c r="M25" s="32">
        <v>69973.16</v>
      </c>
      <c r="N25" s="15">
        <v>45728</v>
      </c>
      <c r="O25" s="8" t="s">
        <v>159</v>
      </c>
      <c r="P25" s="42">
        <v>45717</v>
      </c>
      <c r="Q25" s="30"/>
    </row>
    <row r="26" spans="1:17" s="8" customFormat="1">
      <c r="A26" s="30">
        <v>21</v>
      </c>
      <c r="B26" s="30" t="s">
        <v>11</v>
      </c>
      <c r="C26" s="14">
        <v>162</v>
      </c>
      <c r="D26" s="30" t="s">
        <v>16</v>
      </c>
      <c r="E26" s="15">
        <v>45698</v>
      </c>
      <c r="F26" s="30" t="s">
        <v>46</v>
      </c>
      <c r="G26" s="30">
        <v>87.585800000000006</v>
      </c>
      <c r="H26" s="9">
        <v>14188.899600000001</v>
      </c>
      <c r="I26" s="31">
        <v>0.02</v>
      </c>
      <c r="J26" s="32">
        <f t="shared" si="0"/>
        <v>284</v>
      </c>
      <c r="K26" s="32">
        <f t="shared" si="1"/>
        <v>13904.899600000001</v>
      </c>
      <c r="L26" s="32"/>
      <c r="M26" s="30"/>
      <c r="N26" s="30"/>
      <c r="O26" s="30" t="s">
        <v>149</v>
      </c>
      <c r="P26" s="42">
        <v>45717</v>
      </c>
      <c r="Q26" s="30"/>
    </row>
    <row r="27" spans="1:17" s="8" customFormat="1">
      <c r="A27" s="30">
        <v>22</v>
      </c>
      <c r="B27" s="30" t="s">
        <v>8</v>
      </c>
      <c r="C27" s="14">
        <v>566.85599999999999</v>
      </c>
      <c r="D27" s="30" t="s">
        <v>16</v>
      </c>
      <c r="E27" s="15">
        <v>45698</v>
      </c>
      <c r="F27" s="30" t="s">
        <v>47</v>
      </c>
      <c r="G27" s="30">
        <v>87.585800000000006</v>
      </c>
      <c r="H27" s="9">
        <v>49648.536244800001</v>
      </c>
      <c r="I27" s="31">
        <v>0.02</v>
      </c>
      <c r="J27" s="32">
        <f t="shared" si="0"/>
        <v>993</v>
      </c>
      <c r="K27" s="32">
        <f t="shared" si="1"/>
        <v>48655.536244800001</v>
      </c>
      <c r="L27" s="32"/>
      <c r="M27" s="30"/>
      <c r="N27" s="30"/>
      <c r="O27" s="30" t="s">
        <v>149</v>
      </c>
      <c r="P27" s="42">
        <v>45717</v>
      </c>
      <c r="Q27" s="30"/>
    </row>
    <row r="28" spans="1:17" s="8" customFormat="1">
      <c r="A28" s="30">
        <v>23</v>
      </c>
      <c r="B28" s="30" t="s">
        <v>6</v>
      </c>
      <c r="C28" s="14">
        <v>259.2</v>
      </c>
      <c r="D28" s="30" t="s">
        <v>16</v>
      </c>
      <c r="E28" s="15">
        <v>45698</v>
      </c>
      <c r="F28" s="30" t="s">
        <v>48</v>
      </c>
      <c r="G28" s="30">
        <v>87.585800000000006</v>
      </c>
      <c r="H28" s="9">
        <v>22702.23936</v>
      </c>
      <c r="I28" s="31">
        <v>0.02</v>
      </c>
      <c r="J28" s="32">
        <f t="shared" si="0"/>
        <v>454</v>
      </c>
      <c r="K28" s="32">
        <f t="shared" si="1"/>
        <v>22248.23936</v>
      </c>
      <c r="L28" s="32"/>
      <c r="M28" s="30"/>
      <c r="N28" s="30"/>
      <c r="O28" s="30" t="s">
        <v>149</v>
      </c>
      <c r="P28" s="42">
        <v>45717</v>
      </c>
      <c r="Q28" s="30"/>
    </row>
    <row r="29" spans="1:17" s="8" customFormat="1">
      <c r="A29" s="30">
        <v>24</v>
      </c>
      <c r="B29" s="30" t="s">
        <v>17</v>
      </c>
      <c r="C29" s="14">
        <v>364.79999999999995</v>
      </c>
      <c r="D29" s="30" t="s">
        <v>18</v>
      </c>
      <c r="E29" s="15">
        <v>45698</v>
      </c>
      <c r="F29" s="30" t="s">
        <v>49</v>
      </c>
      <c r="G29" s="30">
        <v>87.585800000000006</v>
      </c>
      <c r="H29" s="9">
        <v>31951.29984</v>
      </c>
      <c r="I29" s="31">
        <v>0.1</v>
      </c>
      <c r="J29" s="32">
        <f t="shared" si="0"/>
        <v>3195</v>
      </c>
      <c r="K29" s="32">
        <f t="shared" si="1"/>
        <v>28756.29984</v>
      </c>
      <c r="L29" s="32"/>
      <c r="M29" s="32">
        <v>28756.3</v>
      </c>
      <c r="N29" s="15">
        <v>45728</v>
      </c>
      <c r="O29" s="8" t="s">
        <v>160</v>
      </c>
      <c r="P29" s="42">
        <v>45717</v>
      </c>
      <c r="Q29" s="30"/>
    </row>
    <row r="30" spans="1:17" s="8" customFormat="1">
      <c r="A30" s="30">
        <v>25</v>
      </c>
      <c r="B30" s="30" t="s">
        <v>0</v>
      </c>
      <c r="C30" s="14">
        <v>52.8</v>
      </c>
      <c r="D30" s="30" t="s">
        <v>18</v>
      </c>
      <c r="E30" s="15">
        <v>45698</v>
      </c>
      <c r="F30" s="30" t="s">
        <v>50</v>
      </c>
      <c r="G30" s="30">
        <v>87.585800000000006</v>
      </c>
      <c r="H30" s="9">
        <v>4624.53024</v>
      </c>
      <c r="I30" s="31">
        <v>0.02</v>
      </c>
      <c r="J30" s="32">
        <f t="shared" si="0"/>
        <v>92</v>
      </c>
      <c r="K30" s="32">
        <f t="shared" si="1"/>
        <v>4532.53024</v>
      </c>
      <c r="L30" s="32"/>
      <c r="M30" s="30">
        <v>4532.53</v>
      </c>
      <c r="N30" s="15">
        <v>45740</v>
      </c>
      <c r="O30" s="8" t="s">
        <v>71</v>
      </c>
      <c r="P30" s="42">
        <v>45717</v>
      </c>
      <c r="Q30" s="30"/>
    </row>
    <row r="31" spans="1:17" s="8" customFormat="1">
      <c r="A31" s="30">
        <v>26</v>
      </c>
      <c r="B31" s="30" t="s">
        <v>5</v>
      </c>
      <c r="C31" s="14">
        <v>188.952</v>
      </c>
      <c r="D31" s="30" t="s">
        <v>18</v>
      </c>
      <c r="E31" s="15">
        <v>45698</v>
      </c>
      <c r="F31" s="30" t="s">
        <v>51</v>
      </c>
      <c r="G31" s="30">
        <v>87.585800000000006</v>
      </c>
      <c r="H31" s="9">
        <v>16549.512081600002</v>
      </c>
      <c r="I31" s="31">
        <v>0.02</v>
      </c>
      <c r="J31" s="32">
        <f t="shared" si="0"/>
        <v>331</v>
      </c>
      <c r="K31" s="32">
        <f t="shared" si="1"/>
        <v>16218.512081600002</v>
      </c>
      <c r="L31" s="32"/>
      <c r="M31" s="30"/>
      <c r="N31" s="30"/>
      <c r="O31" s="30" t="s">
        <v>149</v>
      </c>
      <c r="P31" s="42">
        <v>45717</v>
      </c>
      <c r="Q31" s="30"/>
    </row>
    <row r="32" spans="1:17" s="8" customFormat="1">
      <c r="A32" s="30">
        <v>27</v>
      </c>
      <c r="B32" s="30" t="s">
        <v>6</v>
      </c>
      <c r="C32" s="14">
        <v>172.8</v>
      </c>
      <c r="D32" s="30" t="s">
        <v>18</v>
      </c>
      <c r="E32" s="15">
        <v>45698</v>
      </c>
      <c r="F32" s="30" t="s">
        <v>52</v>
      </c>
      <c r="G32" s="30">
        <v>87.585800000000006</v>
      </c>
      <c r="H32" s="9">
        <v>15134.826240000002</v>
      </c>
      <c r="I32" s="31">
        <v>0.02</v>
      </c>
      <c r="J32" s="32">
        <f t="shared" si="0"/>
        <v>303</v>
      </c>
      <c r="K32" s="32">
        <f t="shared" si="1"/>
        <v>14831.826240000002</v>
      </c>
      <c r="L32" s="32"/>
      <c r="M32" s="30"/>
      <c r="N32" s="30"/>
      <c r="O32" s="30" t="s">
        <v>149</v>
      </c>
      <c r="P32" s="42">
        <v>45717</v>
      </c>
      <c r="Q32" s="30"/>
    </row>
    <row r="33" spans="1:17" s="8" customFormat="1">
      <c r="A33" s="30">
        <v>28</v>
      </c>
      <c r="B33" s="30" t="s">
        <v>11</v>
      </c>
      <c r="C33" s="14">
        <v>54</v>
      </c>
      <c r="D33" s="30" t="s">
        <v>18</v>
      </c>
      <c r="E33" s="15">
        <v>45698</v>
      </c>
      <c r="F33" s="30" t="s">
        <v>53</v>
      </c>
      <c r="G33" s="30">
        <v>87.585800000000006</v>
      </c>
      <c r="H33" s="9">
        <v>4729.6332000000002</v>
      </c>
      <c r="I33" s="31">
        <v>0.02</v>
      </c>
      <c r="J33" s="32">
        <f t="shared" si="0"/>
        <v>95</v>
      </c>
      <c r="K33" s="32">
        <f t="shared" si="1"/>
        <v>4634.6332000000002</v>
      </c>
      <c r="L33" s="32"/>
      <c r="M33" s="30"/>
      <c r="N33" s="30"/>
      <c r="O33" s="30" t="s">
        <v>149</v>
      </c>
      <c r="P33" s="42">
        <v>45717</v>
      </c>
      <c r="Q33" s="30"/>
    </row>
    <row r="34" spans="1:17" s="8" customFormat="1">
      <c r="A34" s="30">
        <v>29</v>
      </c>
      <c r="B34" s="30" t="s">
        <v>8</v>
      </c>
      <c r="C34" s="14">
        <v>188.952</v>
      </c>
      <c r="D34" s="30" t="s">
        <v>18</v>
      </c>
      <c r="E34" s="15">
        <v>45698</v>
      </c>
      <c r="F34" s="30" t="s">
        <v>54</v>
      </c>
      <c r="G34" s="30">
        <v>87.585800000000006</v>
      </c>
      <c r="H34" s="9">
        <v>16549.512081600002</v>
      </c>
      <c r="I34" s="31">
        <v>0.02</v>
      </c>
      <c r="J34" s="32">
        <f t="shared" si="0"/>
        <v>331</v>
      </c>
      <c r="K34" s="32">
        <f t="shared" si="1"/>
        <v>16218.512081600002</v>
      </c>
      <c r="L34" s="32"/>
      <c r="M34" s="30"/>
      <c r="N34" s="30"/>
      <c r="O34" s="30" t="s">
        <v>149</v>
      </c>
      <c r="P34" s="42">
        <v>45717</v>
      </c>
      <c r="Q34" s="30"/>
    </row>
    <row r="35" spans="1:17" s="8" customFormat="1">
      <c r="A35" s="30">
        <v>30</v>
      </c>
      <c r="B35" s="30" t="s">
        <v>19</v>
      </c>
      <c r="C35" s="14">
        <v>1231.9599999999998</v>
      </c>
      <c r="D35" s="30" t="s">
        <v>20</v>
      </c>
      <c r="E35" s="15">
        <v>45698</v>
      </c>
      <c r="F35" s="30" t="s">
        <v>55</v>
      </c>
      <c r="G35" s="30">
        <v>87.585800000000006</v>
      </c>
      <c r="H35" s="9">
        <v>107902.20216799999</v>
      </c>
      <c r="I35" s="31">
        <v>0.1</v>
      </c>
      <c r="J35" s="32">
        <f t="shared" si="0"/>
        <v>10790</v>
      </c>
      <c r="K35" s="32">
        <f t="shared" si="1"/>
        <v>97112.202167999989</v>
      </c>
      <c r="L35" s="32"/>
      <c r="M35" s="32">
        <v>97112.2</v>
      </c>
      <c r="N35" s="15">
        <v>45728</v>
      </c>
      <c r="O35" s="8" t="s">
        <v>161</v>
      </c>
      <c r="P35" s="42">
        <v>45717</v>
      </c>
      <c r="Q35" s="30"/>
    </row>
    <row r="36" spans="1:17" s="8" customFormat="1">
      <c r="A36" s="30">
        <v>31</v>
      </c>
      <c r="B36" s="30" t="s">
        <v>21</v>
      </c>
      <c r="C36" s="14">
        <v>180</v>
      </c>
      <c r="D36" s="30" t="s">
        <v>20</v>
      </c>
      <c r="E36" s="15">
        <v>45698</v>
      </c>
      <c r="F36" s="30" t="s">
        <v>56</v>
      </c>
      <c r="G36" s="30">
        <v>87.585800000000006</v>
      </c>
      <c r="H36" s="9">
        <v>15765.444000000001</v>
      </c>
      <c r="I36" s="31">
        <v>0.02</v>
      </c>
      <c r="J36" s="32">
        <f t="shared" si="0"/>
        <v>315</v>
      </c>
      <c r="K36" s="32">
        <f t="shared" si="1"/>
        <v>15450.444000000001</v>
      </c>
      <c r="L36" s="32"/>
      <c r="M36" s="30">
        <v>15450.44</v>
      </c>
      <c r="N36" s="15">
        <v>45740</v>
      </c>
      <c r="O36" s="8" t="s">
        <v>74</v>
      </c>
      <c r="P36" s="42">
        <v>45717</v>
      </c>
      <c r="Q36" s="30"/>
    </row>
    <row r="37" spans="1:17" s="8" customFormat="1">
      <c r="A37" s="30">
        <v>32</v>
      </c>
      <c r="B37" s="30" t="s">
        <v>22</v>
      </c>
      <c r="C37" s="14">
        <v>27</v>
      </c>
      <c r="D37" s="30" t="s">
        <v>20</v>
      </c>
      <c r="E37" s="15">
        <v>45698</v>
      </c>
      <c r="F37" s="30" t="s">
        <v>57</v>
      </c>
      <c r="G37" s="30">
        <v>87.585800000000006</v>
      </c>
      <c r="H37" s="9">
        <v>2364.8166000000001</v>
      </c>
      <c r="I37" s="31">
        <v>0.02</v>
      </c>
      <c r="J37" s="32">
        <f t="shared" si="0"/>
        <v>47</v>
      </c>
      <c r="K37" s="32">
        <f t="shared" si="1"/>
        <v>2317.8166000000001</v>
      </c>
      <c r="L37" s="32"/>
      <c r="M37" s="30"/>
      <c r="N37" s="30"/>
      <c r="O37" s="30" t="s">
        <v>149</v>
      </c>
      <c r="P37" s="42">
        <v>45717</v>
      </c>
      <c r="Q37" s="30"/>
    </row>
    <row r="38" spans="1:17" s="8" customFormat="1">
      <c r="A38" s="30">
        <v>33</v>
      </c>
      <c r="B38" s="30" t="s">
        <v>23</v>
      </c>
      <c r="C38" s="14">
        <v>180</v>
      </c>
      <c r="D38" s="30" t="s">
        <v>20</v>
      </c>
      <c r="E38" s="15">
        <v>45698</v>
      </c>
      <c r="F38" s="30" t="s">
        <v>58</v>
      </c>
      <c r="G38" s="30">
        <v>87.585800000000006</v>
      </c>
      <c r="H38" s="9">
        <v>15765.444000000001</v>
      </c>
      <c r="I38" s="31">
        <v>0.02</v>
      </c>
      <c r="J38" s="32">
        <f t="shared" si="0"/>
        <v>315</v>
      </c>
      <c r="K38" s="32">
        <f t="shared" si="1"/>
        <v>15450.444000000001</v>
      </c>
      <c r="L38" s="32"/>
      <c r="M38" s="30"/>
      <c r="N38" s="30"/>
      <c r="O38" s="30" t="s">
        <v>149</v>
      </c>
      <c r="P38" s="42">
        <v>45717</v>
      </c>
      <c r="Q38" s="30"/>
    </row>
    <row r="39" spans="1:17" s="8" customFormat="1">
      <c r="A39" s="30">
        <v>34</v>
      </c>
      <c r="B39" s="30" t="s">
        <v>0</v>
      </c>
      <c r="C39" s="14">
        <v>52.8</v>
      </c>
      <c r="D39" s="30" t="s">
        <v>20</v>
      </c>
      <c r="E39" s="15">
        <v>45698</v>
      </c>
      <c r="F39" s="30" t="s">
        <v>59</v>
      </c>
      <c r="G39" s="30">
        <v>87.585800000000006</v>
      </c>
      <c r="H39" s="9">
        <v>4624.53024</v>
      </c>
      <c r="I39" s="31">
        <v>0.02</v>
      </c>
      <c r="J39" s="32">
        <f t="shared" si="0"/>
        <v>92</v>
      </c>
      <c r="K39" s="32">
        <f t="shared" si="1"/>
        <v>4532.53024</v>
      </c>
      <c r="L39" s="32"/>
      <c r="M39" s="30">
        <v>4532.53</v>
      </c>
      <c r="N39" s="15">
        <v>45740</v>
      </c>
      <c r="O39" s="8" t="s">
        <v>73</v>
      </c>
      <c r="P39" s="42">
        <v>45717</v>
      </c>
      <c r="Q39" s="30"/>
    </row>
    <row r="40" spans="1:17" s="8" customFormat="1">
      <c r="A40" s="30">
        <v>35</v>
      </c>
      <c r="B40" s="30" t="s">
        <v>5</v>
      </c>
      <c r="C40" s="14">
        <v>252.93199999999999</v>
      </c>
      <c r="D40" s="30" t="s">
        <v>20</v>
      </c>
      <c r="E40" s="15">
        <v>45698</v>
      </c>
      <c r="F40" s="30" t="s">
        <v>60</v>
      </c>
      <c r="G40" s="30">
        <v>87.585800000000006</v>
      </c>
      <c r="H40" s="9">
        <v>22153.2515656</v>
      </c>
      <c r="I40" s="31">
        <v>0.02</v>
      </c>
      <c r="J40" s="32">
        <f t="shared" si="0"/>
        <v>443</v>
      </c>
      <c r="K40" s="32">
        <f t="shared" si="1"/>
        <v>21710.2515656</v>
      </c>
      <c r="L40" s="32"/>
      <c r="M40" s="30"/>
      <c r="N40" s="30"/>
      <c r="O40" s="30" t="s">
        <v>149</v>
      </c>
      <c r="P40" s="42">
        <v>45717</v>
      </c>
      <c r="Q40" s="30"/>
    </row>
    <row r="41" spans="1:17" s="8" customFormat="1">
      <c r="A41" s="30">
        <v>36</v>
      </c>
      <c r="B41" s="30" t="s">
        <v>24</v>
      </c>
      <c r="C41" s="14">
        <v>31.99</v>
      </c>
      <c r="D41" s="30" t="s">
        <v>20</v>
      </c>
      <c r="E41" s="15">
        <v>45698</v>
      </c>
      <c r="F41" s="30" t="s">
        <v>61</v>
      </c>
      <c r="G41" s="30">
        <v>87.585800000000006</v>
      </c>
      <c r="H41" s="9">
        <v>2801.8697419999999</v>
      </c>
      <c r="I41" s="31">
        <v>0.02</v>
      </c>
      <c r="J41" s="32">
        <f t="shared" si="0"/>
        <v>56</v>
      </c>
      <c r="K41" s="32">
        <f t="shared" si="1"/>
        <v>2745.8697419999999</v>
      </c>
      <c r="L41" s="32"/>
      <c r="M41" s="30"/>
      <c r="N41" s="30"/>
      <c r="O41" s="30" t="s">
        <v>149</v>
      </c>
      <c r="P41" s="42">
        <v>45717</v>
      </c>
      <c r="Q41" s="30"/>
    </row>
    <row r="42" spans="1:17" s="8" customFormat="1">
      <c r="A42" s="30">
        <v>37</v>
      </c>
      <c r="B42" s="30" t="s">
        <v>6</v>
      </c>
      <c r="C42" s="14">
        <v>129.60000000000002</v>
      </c>
      <c r="D42" s="30" t="s">
        <v>20</v>
      </c>
      <c r="E42" s="15">
        <v>45698</v>
      </c>
      <c r="F42" s="30" t="s">
        <v>62</v>
      </c>
      <c r="G42" s="30">
        <v>87.585800000000006</v>
      </c>
      <c r="H42" s="9">
        <v>11351.119680000003</v>
      </c>
      <c r="I42" s="31">
        <v>0.02</v>
      </c>
      <c r="J42" s="32">
        <f t="shared" si="0"/>
        <v>227</v>
      </c>
      <c r="K42" s="32">
        <f t="shared" si="1"/>
        <v>11124.119680000003</v>
      </c>
      <c r="L42" s="32"/>
      <c r="M42" s="30"/>
      <c r="N42" s="30"/>
      <c r="O42" s="30" t="s">
        <v>149</v>
      </c>
      <c r="P42" s="42">
        <v>45717</v>
      </c>
      <c r="Q42" s="30"/>
    </row>
    <row r="43" spans="1:17" s="8" customFormat="1">
      <c r="A43" s="30">
        <v>38</v>
      </c>
      <c r="B43" s="30" t="s">
        <v>8</v>
      </c>
      <c r="C43" s="14">
        <v>63.98</v>
      </c>
      <c r="D43" s="30" t="s">
        <v>20</v>
      </c>
      <c r="E43" s="15">
        <v>45698</v>
      </c>
      <c r="F43" s="30" t="s">
        <v>63</v>
      </c>
      <c r="G43" s="30">
        <v>87.585800000000006</v>
      </c>
      <c r="H43" s="9">
        <v>5603.7394839999997</v>
      </c>
      <c r="I43" s="31">
        <v>0.02</v>
      </c>
      <c r="J43" s="32">
        <f t="shared" si="0"/>
        <v>112</v>
      </c>
      <c r="K43" s="32">
        <f t="shared" si="1"/>
        <v>5491.7394839999997</v>
      </c>
      <c r="L43" s="32"/>
      <c r="M43" s="30"/>
      <c r="N43" s="30"/>
      <c r="O43" s="30" t="s">
        <v>149</v>
      </c>
      <c r="P43" s="42">
        <v>45717</v>
      </c>
      <c r="Q43" s="30"/>
    </row>
    <row r="44" spans="1:17" s="8" customFormat="1">
      <c r="A44" s="30">
        <v>39</v>
      </c>
      <c r="B44" s="30" t="s">
        <v>25</v>
      </c>
      <c r="C44" s="14">
        <v>31.99</v>
      </c>
      <c r="D44" s="30" t="s">
        <v>20</v>
      </c>
      <c r="E44" s="15">
        <v>45698</v>
      </c>
      <c r="F44" s="30" t="s">
        <v>64</v>
      </c>
      <c r="G44" s="30">
        <v>87.585800000000006</v>
      </c>
      <c r="H44" s="9">
        <v>2801.8697419999999</v>
      </c>
      <c r="I44" s="31">
        <v>0.02</v>
      </c>
      <c r="J44" s="32">
        <f t="shared" si="0"/>
        <v>56</v>
      </c>
      <c r="K44" s="32">
        <f t="shared" si="1"/>
        <v>2745.8697419999999</v>
      </c>
      <c r="L44" s="32"/>
      <c r="M44" s="30"/>
      <c r="N44" s="30"/>
      <c r="O44" s="30" t="s">
        <v>149</v>
      </c>
      <c r="P44" s="42">
        <v>45717</v>
      </c>
      <c r="Q44" s="30"/>
    </row>
    <row r="45" spans="1:17" s="8" customFormat="1">
      <c r="A45" s="30">
        <v>40</v>
      </c>
      <c r="B45" s="30" t="s">
        <v>75</v>
      </c>
      <c r="C45" s="14">
        <v>364.8</v>
      </c>
      <c r="D45" s="30" t="s">
        <v>76</v>
      </c>
      <c r="E45" s="15">
        <v>45751</v>
      </c>
      <c r="F45" s="33" t="s">
        <v>77</v>
      </c>
      <c r="G45" s="34">
        <v>86.921819999999997</v>
      </c>
      <c r="H45" s="9">
        <v>31709.079935999998</v>
      </c>
      <c r="I45" s="31">
        <v>0.1</v>
      </c>
      <c r="J45" s="32">
        <f t="shared" si="0"/>
        <v>3171</v>
      </c>
      <c r="K45" s="32">
        <f>H45-J45</f>
        <v>28538.079935999998</v>
      </c>
      <c r="L45" s="32"/>
      <c r="M45" s="16">
        <v>28538.079935999998</v>
      </c>
      <c r="N45" s="15">
        <v>45791</v>
      </c>
      <c r="O45" s="8" t="s">
        <v>158</v>
      </c>
      <c r="P45" s="42">
        <v>45717</v>
      </c>
      <c r="Q45" s="30"/>
    </row>
    <row r="46" spans="1:17" s="8" customFormat="1">
      <c r="A46" s="30">
        <v>41</v>
      </c>
      <c r="B46" s="30" t="s">
        <v>97</v>
      </c>
      <c r="C46" s="14">
        <v>25.17</v>
      </c>
      <c r="D46" s="30" t="s">
        <v>76</v>
      </c>
      <c r="E46" s="15">
        <v>45763</v>
      </c>
      <c r="F46" s="33" t="s">
        <v>98</v>
      </c>
      <c r="G46" s="34">
        <v>86.921819999999997</v>
      </c>
      <c r="H46" s="9">
        <v>2187.8222094000002</v>
      </c>
      <c r="I46" s="31">
        <v>0.02</v>
      </c>
      <c r="J46" s="32">
        <f t="shared" si="0"/>
        <v>44</v>
      </c>
      <c r="K46" s="32">
        <f>H46-J46</f>
        <v>2143.8222094000002</v>
      </c>
      <c r="L46" s="32"/>
      <c r="M46" s="34"/>
      <c r="N46" s="30"/>
      <c r="O46" s="30" t="s">
        <v>149</v>
      </c>
      <c r="P46" s="42">
        <v>45717</v>
      </c>
      <c r="Q46" s="30"/>
    </row>
    <row r="47" spans="1:17" s="8" customFormat="1">
      <c r="A47" s="30">
        <v>42</v>
      </c>
      <c r="B47" s="30" t="s">
        <v>78</v>
      </c>
      <c r="C47" s="14">
        <v>283.43</v>
      </c>
      <c r="D47" s="30" t="s">
        <v>79</v>
      </c>
      <c r="E47" s="15">
        <v>45750</v>
      </c>
      <c r="F47" s="33" t="s">
        <v>80</v>
      </c>
      <c r="G47" s="34">
        <v>86.921819999999997</v>
      </c>
      <c r="H47" s="9">
        <v>24636.251442599998</v>
      </c>
      <c r="I47" s="31">
        <v>0.02</v>
      </c>
      <c r="J47" s="32">
        <f t="shared" si="0"/>
        <v>493</v>
      </c>
      <c r="K47" s="32">
        <f>H47-J47</f>
        <v>24143.251442599998</v>
      </c>
      <c r="L47" s="32"/>
      <c r="M47" s="35">
        <f>K47</f>
        <v>24143.251442599998</v>
      </c>
      <c r="N47" s="15">
        <v>45791</v>
      </c>
      <c r="O47" s="8" t="s">
        <v>158</v>
      </c>
      <c r="P47" s="42">
        <v>45717</v>
      </c>
      <c r="Q47" s="30"/>
    </row>
    <row r="48" spans="1:17" s="8" customFormat="1">
      <c r="A48" s="30">
        <v>43</v>
      </c>
      <c r="B48" s="30" t="s">
        <v>81</v>
      </c>
      <c r="C48" s="14">
        <v>79.2</v>
      </c>
      <c r="D48" s="30" t="s">
        <v>79</v>
      </c>
      <c r="E48" s="15">
        <v>45750</v>
      </c>
      <c r="F48" s="33" t="s">
        <v>82</v>
      </c>
      <c r="G48" s="34">
        <v>86.921819999999997</v>
      </c>
      <c r="H48" s="9">
        <v>6884.2081440000002</v>
      </c>
      <c r="I48" s="31">
        <v>0.02</v>
      </c>
      <c r="J48" s="32">
        <f t="shared" si="0"/>
        <v>138</v>
      </c>
      <c r="K48" s="32">
        <f t="shared" ref="K48:K81" si="2">H48-J48</f>
        <v>6746.2081440000002</v>
      </c>
      <c r="L48" s="32"/>
      <c r="M48" s="35">
        <f>K48</f>
        <v>6746.2081440000002</v>
      </c>
      <c r="N48" s="15">
        <v>45791</v>
      </c>
      <c r="O48" s="8" t="s">
        <v>158</v>
      </c>
      <c r="P48" s="42">
        <v>45717</v>
      </c>
      <c r="Q48" s="30"/>
    </row>
    <row r="49" spans="1:17" s="8" customFormat="1">
      <c r="A49" s="30">
        <v>44</v>
      </c>
      <c r="B49" s="30" t="s">
        <v>83</v>
      </c>
      <c r="C49" s="14">
        <v>129.6</v>
      </c>
      <c r="D49" s="30" t="s">
        <v>79</v>
      </c>
      <c r="E49" s="15">
        <v>45750</v>
      </c>
      <c r="F49" s="33" t="s">
        <v>84</v>
      </c>
      <c r="G49" s="34">
        <v>86.921819999999997</v>
      </c>
      <c r="H49" s="9">
        <v>11265.067872</v>
      </c>
      <c r="I49" s="31">
        <v>0.02</v>
      </c>
      <c r="J49" s="32">
        <f t="shared" si="0"/>
        <v>225</v>
      </c>
      <c r="K49" s="32">
        <f t="shared" si="2"/>
        <v>11040.067872</v>
      </c>
      <c r="L49" s="32"/>
      <c r="M49" s="35">
        <f>K49</f>
        <v>11040.067872</v>
      </c>
      <c r="N49" s="15">
        <v>45791</v>
      </c>
      <c r="O49" s="8" t="s">
        <v>158</v>
      </c>
      <c r="P49" s="42">
        <v>45717</v>
      </c>
      <c r="Q49" s="30"/>
    </row>
    <row r="50" spans="1:17" s="8" customFormat="1">
      <c r="A50" s="30">
        <v>45</v>
      </c>
      <c r="B50" s="30" t="s">
        <v>85</v>
      </c>
      <c r="C50" s="14">
        <v>270</v>
      </c>
      <c r="D50" s="30" t="s">
        <v>79</v>
      </c>
      <c r="E50" s="15">
        <v>45750</v>
      </c>
      <c r="F50" s="33" t="s">
        <v>86</v>
      </c>
      <c r="G50" s="34">
        <v>86.921819999999997</v>
      </c>
      <c r="H50" s="9">
        <v>23468.8914</v>
      </c>
      <c r="I50" s="31">
        <v>0.02</v>
      </c>
      <c r="J50" s="32">
        <f t="shared" si="0"/>
        <v>469</v>
      </c>
      <c r="K50" s="32">
        <f t="shared" si="2"/>
        <v>22999.8914</v>
      </c>
      <c r="L50" s="32"/>
      <c r="M50" s="34"/>
      <c r="N50" s="30"/>
      <c r="O50" s="30" t="s">
        <v>149</v>
      </c>
      <c r="P50" s="42">
        <v>45717</v>
      </c>
      <c r="Q50" s="30"/>
    </row>
    <row r="51" spans="1:17" s="8" customFormat="1">
      <c r="A51" s="30">
        <v>46</v>
      </c>
      <c r="B51" s="30" t="s">
        <v>87</v>
      </c>
      <c r="C51" s="14">
        <v>283.43</v>
      </c>
      <c r="D51" s="30" t="s">
        <v>79</v>
      </c>
      <c r="E51" s="15">
        <v>45750</v>
      </c>
      <c r="F51" s="33" t="s">
        <v>88</v>
      </c>
      <c r="G51" s="34">
        <v>86.921819999999997</v>
      </c>
      <c r="H51" s="9">
        <v>24636.251442599998</v>
      </c>
      <c r="I51" s="31">
        <v>0.02</v>
      </c>
      <c r="J51" s="32">
        <f t="shared" si="0"/>
        <v>493</v>
      </c>
      <c r="K51" s="32">
        <f t="shared" si="2"/>
        <v>24143.251442599998</v>
      </c>
      <c r="L51" s="32"/>
      <c r="M51" s="35">
        <f>K51</f>
        <v>24143.251442599998</v>
      </c>
      <c r="N51" s="15">
        <v>45791</v>
      </c>
      <c r="O51" s="8" t="s">
        <v>158</v>
      </c>
      <c r="P51" s="42">
        <v>45717</v>
      </c>
      <c r="Q51" s="30"/>
    </row>
    <row r="52" spans="1:17" s="8" customFormat="1">
      <c r="A52" s="30">
        <v>47</v>
      </c>
      <c r="B52" s="30" t="s">
        <v>89</v>
      </c>
      <c r="C52" s="14">
        <v>81</v>
      </c>
      <c r="D52" s="30" t="s">
        <v>79</v>
      </c>
      <c r="E52" s="15">
        <v>45750</v>
      </c>
      <c r="F52" s="33" t="s">
        <v>90</v>
      </c>
      <c r="G52" s="34">
        <v>86.921819999999997</v>
      </c>
      <c r="H52" s="9">
        <v>7040.6674199999998</v>
      </c>
      <c r="I52" s="31">
        <v>0.02</v>
      </c>
      <c r="J52" s="32">
        <f t="shared" si="0"/>
        <v>141</v>
      </c>
      <c r="K52" s="32">
        <f t="shared" si="2"/>
        <v>6899.6674199999998</v>
      </c>
      <c r="L52" s="32"/>
      <c r="M52" s="34"/>
      <c r="N52" s="30"/>
      <c r="O52" s="30" t="s">
        <v>149</v>
      </c>
      <c r="P52" s="42">
        <v>45717</v>
      </c>
      <c r="Q52" s="30"/>
    </row>
    <row r="53" spans="1:17" s="8" customFormat="1">
      <c r="A53" s="30">
        <v>48</v>
      </c>
      <c r="B53" s="30" t="s">
        <v>91</v>
      </c>
      <c r="C53" s="14">
        <v>129.6</v>
      </c>
      <c r="D53" s="30" t="s">
        <v>79</v>
      </c>
      <c r="E53" s="15">
        <v>45750</v>
      </c>
      <c r="F53" s="33" t="s">
        <v>92</v>
      </c>
      <c r="G53" s="34">
        <v>86.921819999999997</v>
      </c>
      <c r="H53" s="9">
        <v>11265.067872</v>
      </c>
      <c r="I53" s="31">
        <v>0.02</v>
      </c>
      <c r="J53" s="32">
        <f t="shared" si="0"/>
        <v>225</v>
      </c>
      <c r="K53" s="32">
        <f t="shared" si="2"/>
        <v>11040.067872</v>
      </c>
      <c r="L53" s="32"/>
      <c r="M53" s="35">
        <f>K53</f>
        <v>11040.067872</v>
      </c>
      <c r="N53" s="15">
        <v>45791</v>
      </c>
      <c r="O53" s="8" t="s">
        <v>158</v>
      </c>
      <c r="P53" s="42">
        <v>45717</v>
      </c>
      <c r="Q53" s="30"/>
    </row>
    <row r="54" spans="1:17" s="8" customFormat="1">
      <c r="A54" s="30">
        <v>49</v>
      </c>
      <c r="B54" s="30" t="s">
        <v>93</v>
      </c>
      <c r="C54" s="14">
        <v>75.849999999999994</v>
      </c>
      <c r="D54" s="30" t="s">
        <v>79</v>
      </c>
      <c r="E54" s="15">
        <v>45750</v>
      </c>
      <c r="F54" s="33" t="s">
        <v>94</v>
      </c>
      <c r="G54" s="34">
        <v>86.921819999999997</v>
      </c>
      <c r="H54" s="9">
        <v>6593.0200469999991</v>
      </c>
      <c r="I54" s="31">
        <v>0.02</v>
      </c>
      <c r="J54" s="32">
        <f t="shared" si="0"/>
        <v>132</v>
      </c>
      <c r="K54" s="32">
        <f t="shared" si="2"/>
        <v>6461.0200469999991</v>
      </c>
      <c r="L54" s="32"/>
      <c r="M54" s="35">
        <f>K54</f>
        <v>6461.0200469999991</v>
      </c>
      <c r="N54" s="15">
        <v>45791</v>
      </c>
      <c r="O54" s="8" t="s">
        <v>158</v>
      </c>
      <c r="P54" s="42">
        <v>45717</v>
      </c>
      <c r="Q54" s="30"/>
    </row>
    <row r="55" spans="1:17" s="8" customFormat="1">
      <c r="A55" s="30">
        <v>50</v>
      </c>
      <c r="B55" s="30" t="s">
        <v>95</v>
      </c>
      <c r="C55" s="14">
        <v>583.67999999999995</v>
      </c>
      <c r="D55" s="30" t="s">
        <v>79</v>
      </c>
      <c r="E55" s="15">
        <v>45763</v>
      </c>
      <c r="F55" s="33" t="s">
        <v>96</v>
      </c>
      <c r="G55" s="34">
        <v>86.921819999999997</v>
      </c>
      <c r="H55" s="9">
        <v>50734.527897599997</v>
      </c>
      <c r="I55" s="31">
        <v>0.1</v>
      </c>
      <c r="J55" s="32">
        <f t="shared" si="0"/>
        <v>5073</v>
      </c>
      <c r="K55" s="32">
        <f t="shared" si="2"/>
        <v>45661.527897599997</v>
      </c>
      <c r="L55" s="32"/>
      <c r="M55" s="35">
        <f>K55</f>
        <v>45661.527897599997</v>
      </c>
      <c r="N55" s="15">
        <v>45861</v>
      </c>
      <c r="O55" s="30" t="s">
        <v>198</v>
      </c>
      <c r="P55" s="42">
        <v>45717</v>
      </c>
      <c r="Q55" s="30"/>
    </row>
    <row r="56" spans="1:17" s="8" customFormat="1">
      <c r="A56" s="30">
        <v>51</v>
      </c>
      <c r="B56" s="30" t="s">
        <v>100</v>
      </c>
      <c r="C56" s="14">
        <v>188.95</v>
      </c>
      <c r="D56" s="30" t="s">
        <v>7</v>
      </c>
      <c r="E56" s="15">
        <v>45763</v>
      </c>
      <c r="F56" s="33" t="s">
        <v>101</v>
      </c>
      <c r="G56" s="34">
        <v>86.921819999999997</v>
      </c>
      <c r="H56" s="9">
        <v>16423.877888999999</v>
      </c>
      <c r="I56" s="31">
        <v>0.02</v>
      </c>
      <c r="J56" s="32">
        <f t="shared" si="0"/>
        <v>328</v>
      </c>
      <c r="K56" s="32">
        <f t="shared" si="2"/>
        <v>16095.877888999999</v>
      </c>
      <c r="L56" s="32"/>
      <c r="M56" s="34"/>
      <c r="N56" s="30"/>
      <c r="O56" s="30" t="s">
        <v>149</v>
      </c>
      <c r="P56" s="42">
        <v>45717</v>
      </c>
      <c r="Q56" s="30"/>
    </row>
    <row r="57" spans="1:17" s="8" customFormat="1">
      <c r="A57" s="30">
        <v>52</v>
      </c>
      <c r="B57" s="30" t="s">
        <v>102</v>
      </c>
      <c r="C57" s="14">
        <v>86.4</v>
      </c>
      <c r="D57" s="30" t="s">
        <v>7</v>
      </c>
      <c r="E57" s="15">
        <v>45763</v>
      </c>
      <c r="F57" s="33" t="s">
        <v>101</v>
      </c>
      <c r="G57" s="34">
        <v>86.921819999999997</v>
      </c>
      <c r="H57" s="9">
        <v>7510.0452480000004</v>
      </c>
      <c r="I57" s="31">
        <v>0.02</v>
      </c>
      <c r="J57" s="32">
        <f t="shared" si="0"/>
        <v>150</v>
      </c>
      <c r="K57" s="32">
        <f t="shared" si="2"/>
        <v>7360.0452480000004</v>
      </c>
      <c r="L57" s="32"/>
      <c r="M57" s="34"/>
      <c r="N57" s="30"/>
      <c r="O57" s="30" t="s">
        <v>149</v>
      </c>
      <c r="P57" s="42">
        <v>45717</v>
      </c>
      <c r="Q57" s="30"/>
    </row>
    <row r="58" spans="1:17" s="8" customFormat="1">
      <c r="A58" s="30">
        <v>53</v>
      </c>
      <c r="B58" s="30" t="s">
        <v>100</v>
      </c>
      <c r="C58" s="14">
        <v>94.48</v>
      </c>
      <c r="D58" s="30" t="s">
        <v>7</v>
      </c>
      <c r="E58" s="15">
        <v>45763</v>
      </c>
      <c r="F58" s="33" t="s">
        <v>103</v>
      </c>
      <c r="G58" s="34">
        <v>86.921819999999997</v>
      </c>
      <c r="H58" s="9">
        <v>8212.3735536000004</v>
      </c>
      <c r="I58" s="31">
        <v>0.02</v>
      </c>
      <c r="J58" s="32">
        <f t="shared" si="0"/>
        <v>164</v>
      </c>
      <c r="K58" s="32">
        <f t="shared" si="2"/>
        <v>8048.3735536000004</v>
      </c>
      <c r="L58" s="32"/>
      <c r="M58" s="34"/>
      <c r="N58" s="30"/>
      <c r="O58" s="30" t="s">
        <v>149</v>
      </c>
      <c r="P58" s="42">
        <v>45717</v>
      </c>
      <c r="Q58" s="30"/>
    </row>
    <row r="59" spans="1:17" s="8" customFormat="1">
      <c r="A59" s="30">
        <v>54</v>
      </c>
      <c r="B59" s="30" t="s">
        <v>102</v>
      </c>
      <c r="C59" s="14">
        <v>43.2</v>
      </c>
      <c r="D59" s="30" t="s">
        <v>7</v>
      </c>
      <c r="E59" s="15">
        <v>45763</v>
      </c>
      <c r="F59" s="33" t="s">
        <v>103</v>
      </c>
      <c r="G59" s="34">
        <v>86.921819999999997</v>
      </c>
      <c r="H59" s="9">
        <v>3755.0226240000002</v>
      </c>
      <c r="I59" s="31">
        <v>0.02</v>
      </c>
      <c r="J59" s="32">
        <f t="shared" si="0"/>
        <v>75</v>
      </c>
      <c r="K59" s="32">
        <f t="shared" si="2"/>
        <v>3680.0226240000002</v>
      </c>
      <c r="L59" s="32"/>
      <c r="M59" s="34"/>
      <c r="N59" s="30"/>
      <c r="O59" s="30" t="s">
        <v>149</v>
      </c>
      <c r="P59" s="42">
        <v>45717</v>
      </c>
      <c r="Q59" s="30"/>
    </row>
    <row r="60" spans="1:17" s="8" customFormat="1">
      <c r="A60" s="30">
        <v>55</v>
      </c>
      <c r="B60" s="30" t="s">
        <v>100</v>
      </c>
      <c r="C60" s="14">
        <v>94.48</v>
      </c>
      <c r="D60" s="30" t="s">
        <v>7</v>
      </c>
      <c r="E60" s="15">
        <v>45763</v>
      </c>
      <c r="F60" s="33" t="s">
        <v>104</v>
      </c>
      <c r="G60" s="34">
        <v>86.921819999999997</v>
      </c>
      <c r="H60" s="9">
        <v>8212.3735536000004</v>
      </c>
      <c r="I60" s="31">
        <v>0.02</v>
      </c>
      <c r="J60" s="32">
        <f t="shared" si="0"/>
        <v>164</v>
      </c>
      <c r="K60" s="32">
        <f t="shared" si="2"/>
        <v>8048.3735536000004</v>
      </c>
      <c r="L60" s="32"/>
      <c r="M60" s="34"/>
      <c r="N60" s="30"/>
      <c r="O60" s="30" t="s">
        <v>149</v>
      </c>
      <c r="P60" s="42">
        <v>45717</v>
      </c>
      <c r="Q60" s="30"/>
    </row>
    <row r="61" spans="1:17" s="8" customFormat="1">
      <c r="A61" s="30">
        <v>56</v>
      </c>
      <c r="B61" s="30" t="s">
        <v>102</v>
      </c>
      <c r="C61" s="14">
        <v>43.2</v>
      </c>
      <c r="D61" s="30" t="s">
        <v>7</v>
      </c>
      <c r="E61" s="15">
        <v>45763</v>
      </c>
      <c r="F61" s="33" t="s">
        <v>104</v>
      </c>
      <c r="G61" s="34">
        <v>86.921819999999997</v>
      </c>
      <c r="H61" s="9">
        <v>3755.0226240000002</v>
      </c>
      <c r="I61" s="31">
        <v>0.02</v>
      </c>
      <c r="J61" s="32">
        <f t="shared" si="0"/>
        <v>75</v>
      </c>
      <c r="K61" s="32">
        <f t="shared" si="2"/>
        <v>3680.0226240000002</v>
      </c>
      <c r="L61" s="32"/>
      <c r="M61" s="34"/>
      <c r="N61" s="30"/>
      <c r="O61" s="30" t="s">
        <v>149</v>
      </c>
      <c r="P61" s="42">
        <v>45717</v>
      </c>
      <c r="Q61" s="30"/>
    </row>
    <row r="62" spans="1:17" s="8" customFormat="1">
      <c r="A62" s="30">
        <v>57</v>
      </c>
      <c r="B62" s="30" t="s">
        <v>100</v>
      </c>
      <c r="C62" s="14">
        <v>94.48</v>
      </c>
      <c r="D62" s="30" t="s">
        <v>7</v>
      </c>
      <c r="E62" s="15">
        <v>45763</v>
      </c>
      <c r="F62" s="33" t="s">
        <v>105</v>
      </c>
      <c r="G62" s="34">
        <v>86.921819999999997</v>
      </c>
      <c r="H62" s="9">
        <v>8212.3735536000004</v>
      </c>
      <c r="I62" s="31">
        <v>0.02</v>
      </c>
      <c r="J62" s="32">
        <f t="shared" si="0"/>
        <v>164</v>
      </c>
      <c r="K62" s="32">
        <f t="shared" si="2"/>
        <v>8048.3735536000004</v>
      </c>
      <c r="L62" s="32"/>
      <c r="M62" s="34"/>
      <c r="N62" s="30"/>
      <c r="O62" s="30" t="s">
        <v>149</v>
      </c>
      <c r="P62" s="42">
        <v>45717</v>
      </c>
      <c r="Q62" s="30"/>
    </row>
    <row r="63" spans="1:17" s="8" customFormat="1">
      <c r="A63" s="30">
        <v>58</v>
      </c>
      <c r="B63" s="30" t="s">
        <v>102</v>
      </c>
      <c r="C63" s="14">
        <v>43.2</v>
      </c>
      <c r="D63" s="30" t="s">
        <v>7</v>
      </c>
      <c r="E63" s="15">
        <v>45763</v>
      </c>
      <c r="F63" s="33" t="s">
        <v>105</v>
      </c>
      <c r="G63" s="34">
        <v>86.921819999999997</v>
      </c>
      <c r="H63" s="9">
        <v>3755.0226240000002</v>
      </c>
      <c r="I63" s="31">
        <v>0.02</v>
      </c>
      <c r="J63" s="32">
        <f t="shared" si="0"/>
        <v>75</v>
      </c>
      <c r="K63" s="32">
        <f t="shared" si="2"/>
        <v>3680.0226240000002</v>
      </c>
      <c r="L63" s="32"/>
      <c r="M63" s="34"/>
      <c r="N63" s="30"/>
      <c r="O63" s="30" t="s">
        <v>149</v>
      </c>
      <c r="P63" s="42">
        <v>45717</v>
      </c>
      <c r="Q63" s="30"/>
    </row>
    <row r="64" spans="1:17" s="8" customFormat="1">
      <c r="A64" s="30">
        <v>59</v>
      </c>
      <c r="B64" s="30" t="s">
        <v>106</v>
      </c>
      <c r="C64" s="14">
        <v>26.4</v>
      </c>
      <c r="D64" s="30" t="s">
        <v>7</v>
      </c>
      <c r="E64" s="15">
        <v>45762</v>
      </c>
      <c r="F64" s="33" t="s">
        <v>109</v>
      </c>
      <c r="G64" s="34">
        <v>86.921819999999997</v>
      </c>
      <c r="H64" s="9">
        <v>2294.7360479999998</v>
      </c>
      <c r="I64" s="31">
        <v>0.02</v>
      </c>
      <c r="J64" s="32">
        <f t="shared" si="0"/>
        <v>46</v>
      </c>
      <c r="K64" s="32">
        <f t="shared" si="2"/>
        <v>2248.7360479999998</v>
      </c>
      <c r="L64" s="32"/>
      <c r="M64" s="34"/>
      <c r="N64" s="30"/>
      <c r="O64" s="30" t="s">
        <v>149</v>
      </c>
      <c r="P64" s="42">
        <v>45717</v>
      </c>
      <c r="Q64" s="30"/>
    </row>
    <row r="65" spans="1:17" s="8" customFormat="1">
      <c r="A65" s="30">
        <v>60</v>
      </c>
      <c r="B65" s="30" t="s">
        <v>107</v>
      </c>
      <c r="C65" s="14">
        <v>94.48</v>
      </c>
      <c r="D65" s="30" t="s">
        <v>7</v>
      </c>
      <c r="E65" s="15">
        <v>45762</v>
      </c>
      <c r="F65" s="33" t="s">
        <v>109</v>
      </c>
      <c r="G65" s="34">
        <v>86.921819999999997</v>
      </c>
      <c r="H65" s="9">
        <v>8212.3735536000004</v>
      </c>
      <c r="I65" s="31">
        <v>0.02</v>
      </c>
      <c r="J65" s="32">
        <f t="shared" si="0"/>
        <v>164</v>
      </c>
      <c r="K65" s="32">
        <f t="shared" si="2"/>
        <v>8048.3735536000004</v>
      </c>
      <c r="L65" s="32"/>
      <c r="M65" s="34"/>
      <c r="N65" s="30"/>
      <c r="O65" s="30" t="s">
        <v>149</v>
      </c>
      <c r="P65" s="42">
        <v>45717</v>
      </c>
      <c r="Q65" s="30"/>
    </row>
    <row r="66" spans="1:17" s="8" customFormat="1">
      <c r="A66" s="30">
        <v>61</v>
      </c>
      <c r="B66" s="30" t="s">
        <v>108</v>
      </c>
      <c r="C66" s="14">
        <v>43.2</v>
      </c>
      <c r="D66" s="30" t="s">
        <v>7</v>
      </c>
      <c r="E66" s="15">
        <v>45762</v>
      </c>
      <c r="F66" s="33" t="s">
        <v>109</v>
      </c>
      <c r="G66" s="34">
        <v>86.921819999999997</v>
      </c>
      <c r="H66" s="9">
        <v>3755.0226240000002</v>
      </c>
      <c r="I66" s="31">
        <v>0.02</v>
      </c>
      <c r="J66" s="32">
        <f t="shared" si="0"/>
        <v>75</v>
      </c>
      <c r="K66" s="32">
        <f t="shared" si="2"/>
        <v>3680.0226240000002</v>
      </c>
      <c r="L66" s="32"/>
      <c r="M66" s="34"/>
      <c r="N66" s="30"/>
      <c r="O66" s="30" t="s">
        <v>149</v>
      </c>
      <c r="P66" s="42">
        <v>45717</v>
      </c>
      <c r="Q66" s="30"/>
    </row>
    <row r="67" spans="1:17" s="8" customFormat="1">
      <c r="A67" s="30">
        <v>62</v>
      </c>
      <c r="B67" s="30" t="s">
        <v>106</v>
      </c>
      <c r="C67" s="14">
        <v>26.4</v>
      </c>
      <c r="D67" s="30" t="s">
        <v>7</v>
      </c>
      <c r="E67" s="15">
        <v>45762</v>
      </c>
      <c r="F67" s="33" t="s">
        <v>110</v>
      </c>
      <c r="G67" s="34">
        <v>86.921819999999997</v>
      </c>
      <c r="H67" s="9">
        <v>2294.7360479999998</v>
      </c>
      <c r="I67" s="31">
        <v>0.02</v>
      </c>
      <c r="J67" s="32">
        <f t="shared" si="0"/>
        <v>46</v>
      </c>
      <c r="K67" s="32">
        <f t="shared" si="2"/>
        <v>2248.7360479999998</v>
      </c>
      <c r="L67" s="32"/>
      <c r="M67" s="34"/>
      <c r="N67" s="30"/>
      <c r="O67" s="30" t="s">
        <v>149</v>
      </c>
      <c r="P67" s="42">
        <v>45717</v>
      </c>
      <c r="Q67" s="30"/>
    </row>
    <row r="68" spans="1:17" s="8" customFormat="1">
      <c r="A68" s="30">
        <v>63</v>
      </c>
      <c r="B68" s="30" t="s">
        <v>107</v>
      </c>
      <c r="C68" s="14">
        <v>94.48</v>
      </c>
      <c r="D68" s="30" t="s">
        <v>7</v>
      </c>
      <c r="E68" s="15">
        <v>45762</v>
      </c>
      <c r="F68" s="33" t="s">
        <v>110</v>
      </c>
      <c r="G68" s="34">
        <v>86.921819999999997</v>
      </c>
      <c r="H68" s="9">
        <v>8212.3735536000004</v>
      </c>
      <c r="I68" s="31">
        <v>0.02</v>
      </c>
      <c r="J68" s="32">
        <f t="shared" si="0"/>
        <v>164</v>
      </c>
      <c r="K68" s="32">
        <f t="shared" si="2"/>
        <v>8048.3735536000004</v>
      </c>
      <c r="L68" s="32"/>
      <c r="M68" s="34"/>
      <c r="N68" s="30"/>
      <c r="O68" s="30" t="s">
        <v>149</v>
      </c>
      <c r="P68" s="42">
        <v>45717</v>
      </c>
      <c r="Q68" s="30"/>
    </row>
    <row r="69" spans="1:17" s="8" customFormat="1">
      <c r="A69" s="30">
        <v>64</v>
      </c>
      <c r="B69" s="30" t="s">
        <v>108</v>
      </c>
      <c r="C69" s="14">
        <v>43.2</v>
      </c>
      <c r="D69" s="30" t="s">
        <v>7</v>
      </c>
      <c r="E69" s="15">
        <v>45762</v>
      </c>
      <c r="F69" s="33" t="s">
        <v>110</v>
      </c>
      <c r="G69" s="34">
        <v>86.921819999999997</v>
      </c>
      <c r="H69" s="9">
        <v>3755.0226240000002</v>
      </c>
      <c r="I69" s="31">
        <v>0.02</v>
      </c>
      <c r="J69" s="32">
        <f t="shared" si="0"/>
        <v>75</v>
      </c>
      <c r="K69" s="32">
        <f t="shared" si="2"/>
        <v>3680.0226240000002</v>
      </c>
      <c r="L69" s="32"/>
      <c r="M69" s="34"/>
      <c r="N69" s="30"/>
      <c r="O69" s="30" t="s">
        <v>149</v>
      </c>
      <c r="P69" s="42">
        <v>45717</v>
      </c>
      <c r="Q69" s="30"/>
    </row>
    <row r="70" spans="1:17" s="8" customFormat="1">
      <c r="A70" s="30">
        <v>65</v>
      </c>
      <c r="B70" s="30" t="s">
        <v>106</v>
      </c>
      <c r="C70" s="14">
        <v>52.8</v>
      </c>
      <c r="D70" s="30" t="s">
        <v>7</v>
      </c>
      <c r="E70" s="15">
        <v>45762</v>
      </c>
      <c r="F70" s="33" t="s">
        <v>111</v>
      </c>
      <c r="G70" s="34">
        <v>86.921819999999997</v>
      </c>
      <c r="H70" s="9">
        <v>4589.4720959999995</v>
      </c>
      <c r="I70" s="31">
        <v>0.02</v>
      </c>
      <c r="J70" s="32">
        <f t="shared" si="0"/>
        <v>92</v>
      </c>
      <c r="K70" s="32">
        <f t="shared" si="2"/>
        <v>4497.4720959999995</v>
      </c>
      <c r="L70" s="32"/>
      <c r="M70" s="34"/>
      <c r="N70" s="30"/>
      <c r="O70" s="30" t="s">
        <v>149</v>
      </c>
      <c r="P70" s="42">
        <v>45717</v>
      </c>
      <c r="Q70" s="30"/>
    </row>
    <row r="71" spans="1:17" s="8" customFormat="1">
      <c r="A71" s="30">
        <v>66</v>
      </c>
      <c r="B71" s="30" t="s">
        <v>107</v>
      </c>
      <c r="C71" s="14">
        <v>188.95</v>
      </c>
      <c r="D71" s="30" t="s">
        <v>7</v>
      </c>
      <c r="E71" s="15">
        <v>45762</v>
      </c>
      <c r="F71" s="33" t="s">
        <v>111</v>
      </c>
      <c r="G71" s="34">
        <v>86.921819999999997</v>
      </c>
      <c r="H71" s="9">
        <v>16423.877888999999</v>
      </c>
      <c r="I71" s="31">
        <v>0.02</v>
      </c>
      <c r="J71" s="32">
        <f t="shared" ref="J71:J134" si="3">ROUND(H71*I71,0)</f>
        <v>328</v>
      </c>
      <c r="K71" s="32">
        <f t="shared" si="2"/>
        <v>16095.877888999999</v>
      </c>
      <c r="L71" s="32"/>
      <c r="M71" s="34"/>
      <c r="N71" s="30"/>
      <c r="O71" s="30" t="s">
        <v>149</v>
      </c>
      <c r="P71" s="42">
        <v>45717</v>
      </c>
      <c r="Q71" s="30"/>
    </row>
    <row r="72" spans="1:17" s="8" customFormat="1">
      <c r="A72" s="30">
        <v>67</v>
      </c>
      <c r="B72" s="30" t="s">
        <v>108</v>
      </c>
      <c r="C72" s="14">
        <v>86.4</v>
      </c>
      <c r="D72" s="30" t="s">
        <v>7</v>
      </c>
      <c r="E72" s="15">
        <v>45762</v>
      </c>
      <c r="F72" s="33" t="s">
        <v>111</v>
      </c>
      <c r="G72" s="34">
        <v>86.921819999999997</v>
      </c>
      <c r="H72" s="9">
        <v>7510.0452480000004</v>
      </c>
      <c r="I72" s="31">
        <v>0.02</v>
      </c>
      <c r="J72" s="32">
        <f t="shared" si="3"/>
        <v>150</v>
      </c>
      <c r="K72" s="32">
        <f t="shared" si="2"/>
        <v>7360.0452480000004</v>
      </c>
      <c r="L72" s="32"/>
      <c r="M72" s="34"/>
      <c r="N72" s="30"/>
      <c r="O72" s="30" t="s">
        <v>149</v>
      </c>
      <c r="P72" s="42">
        <v>45717</v>
      </c>
      <c r="Q72" s="30"/>
    </row>
    <row r="73" spans="1:17" s="8" customFormat="1">
      <c r="A73" s="30">
        <v>68</v>
      </c>
      <c r="B73" s="30" t="s">
        <v>106</v>
      </c>
      <c r="C73" s="14">
        <v>26.4</v>
      </c>
      <c r="D73" s="30" t="s">
        <v>7</v>
      </c>
      <c r="E73" s="15">
        <v>45762</v>
      </c>
      <c r="F73" s="33" t="s">
        <v>112</v>
      </c>
      <c r="G73" s="34">
        <v>86.921819999999997</v>
      </c>
      <c r="H73" s="9">
        <v>2294.7360479999998</v>
      </c>
      <c r="I73" s="31">
        <v>0.02</v>
      </c>
      <c r="J73" s="32">
        <f t="shared" si="3"/>
        <v>46</v>
      </c>
      <c r="K73" s="32">
        <f t="shared" si="2"/>
        <v>2248.7360479999998</v>
      </c>
      <c r="L73" s="32"/>
      <c r="M73" s="34"/>
      <c r="N73" s="30"/>
      <c r="O73" s="30" t="s">
        <v>149</v>
      </c>
      <c r="P73" s="42">
        <v>45717</v>
      </c>
      <c r="Q73" s="30"/>
    </row>
    <row r="74" spans="1:17" s="8" customFormat="1">
      <c r="A74" s="30">
        <v>69</v>
      </c>
      <c r="B74" s="30" t="s">
        <v>107</v>
      </c>
      <c r="C74" s="14">
        <v>94.48</v>
      </c>
      <c r="D74" s="30" t="s">
        <v>7</v>
      </c>
      <c r="E74" s="15">
        <v>45762</v>
      </c>
      <c r="F74" s="33" t="s">
        <v>112</v>
      </c>
      <c r="G74" s="34">
        <v>86.921819999999997</v>
      </c>
      <c r="H74" s="9">
        <v>8212.3735536000004</v>
      </c>
      <c r="I74" s="31">
        <v>0.02</v>
      </c>
      <c r="J74" s="32">
        <f t="shared" si="3"/>
        <v>164</v>
      </c>
      <c r="K74" s="32">
        <f t="shared" si="2"/>
        <v>8048.3735536000004</v>
      </c>
      <c r="L74" s="32"/>
      <c r="M74" s="34"/>
      <c r="N74" s="30"/>
      <c r="O74" s="30" t="s">
        <v>149</v>
      </c>
      <c r="P74" s="42">
        <v>45717</v>
      </c>
      <c r="Q74" s="30"/>
    </row>
    <row r="75" spans="1:17" s="8" customFormat="1">
      <c r="A75" s="30">
        <v>70</v>
      </c>
      <c r="B75" s="30" t="s">
        <v>108</v>
      </c>
      <c r="C75" s="14">
        <v>43.2</v>
      </c>
      <c r="D75" s="30" t="s">
        <v>7</v>
      </c>
      <c r="E75" s="15">
        <v>45762</v>
      </c>
      <c r="F75" s="33" t="s">
        <v>112</v>
      </c>
      <c r="G75" s="34">
        <v>86.921819999999997</v>
      </c>
      <c r="H75" s="9">
        <v>3755.0226240000002</v>
      </c>
      <c r="I75" s="31">
        <v>0.02</v>
      </c>
      <c r="J75" s="32">
        <f t="shared" si="3"/>
        <v>75</v>
      </c>
      <c r="K75" s="32">
        <f t="shared" si="2"/>
        <v>3680.0226240000002</v>
      </c>
      <c r="L75" s="32"/>
      <c r="M75" s="34"/>
      <c r="N75" s="30"/>
      <c r="O75" s="30" t="s">
        <v>149</v>
      </c>
      <c r="P75" s="42">
        <v>45717</v>
      </c>
      <c r="Q75" s="30"/>
    </row>
    <row r="76" spans="1:17" s="8" customFormat="1">
      <c r="A76" s="30">
        <v>71</v>
      </c>
      <c r="B76" s="30" t="s">
        <v>113</v>
      </c>
      <c r="C76" s="14">
        <v>359.66</v>
      </c>
      <c r="D76" s="30" t="s">
        <v>79</v>
      </c>
      <c r="E76" s="15">
        <v>45769</v>
      </c>
      <c r="F76" s="33" t="s">
        <v>115</v>
      </c>
      <c r="G76" s="34">
        <v>86.921819999999997</v>
      </c>
      <c r="H76" s="9">
        <v>31262.3017812</v>
      </c>
      <c r="I76" s="31">
        <v>0.02</v>
      </c>
      <c r="J76" s="32">
        <f t="shared" si="3"/>
        <v>625</v>
      </c>
      <c r="K76" s="32">
        <f t="shared" si="2"/>
        <v>30637.3017812</v>
      </c>
      <c r="L76" s="32"/>
      <c r="M76" s="34"/>
      <c r="N76" s="30"/>
      <c r="O76" s="30" t="s">
        <v>149</v>
      </c>
      <c r="P76" s="42">
        <v>45717</v>
      </c>
      <c r="Q76" s="30"/>
    </row>
    <row r="77" spans="1:17" s="8" customFormat="1">
      <c r="A77" s="30">
        <v>72</v>
      </c>
      <c r="B77" s="43" t="s">
        <v>114</v>
      </c>
      <c r="C77" s="14">
        <v>172.8</v>
      </c>
      <c r="D77" s="30" t="s">
        <v>79</v>
      </c>
      <c r="E77" s="15">
        <v>45769</v>
      </c>
      <c r="F77" s="33" t="s">
        <v>115</v>
      </c>
      <c r="G77" s="34">
        <v>86.921819999999997</v>
      </c>
      <c r="H77" s="9">
        <v>15020.090496000001</v>
      </c>
      <c r="I77" s="31">
        <v>0.02</v>
      </c>
      <c r="J77" s="32">
        <f t="shared" si="3"/>
        <v>300</v>
      </c>
      <c r="K77" s="32">
        <f t="shared" si="2"/>
        <v>14720.090496000001</v>
      </c>
      <c r="L77" s="32"/>
      <c r="M77" s="34"/>
      <c r="N77" s="30"/>
      <c r="O77" s="30" t="s">
        <v>149</v>
      </c>
      <c r="P77" s="42">
        <v>45717</v>
      </c>
      <c r="Q77" s="30"/>
    </row>
    <row r="78" spans="1:17" s="8" customFormat="1">
      <c r="A78" s="30">
        <v>73</v>
      </c>
      <c r="B78" s="30" t="s">
        <v>117</v>
      </c>
      <c r="C78" s="14">
        <v>359.66</v>
      </c>
      <c r="D78" s="30" t="s">
        <v>79</v>
      </c>
      <c r="E78" s="15">
        <v>45769</v>
      </c>
      <c r="F78" s="33" t="s">
        <v>116</v>
      </c>
      <c r="G78" s="34">
        <v>86.921819999999997</v>
      </c>
      <c r="H78" s="9">
        <v>31262.3017812</v>
      </c>
      <c r="I78" s="31">
        <v>0.02</v>
      </c>
      <c r="J78" s="32">
        <f t="shared" si="3"/>
        <v>625</v>
      </c>
      <c r="K78" s="32">
        <f t="shared" si="2"/>
        <v>30637.3017812</v>
      </c>
      <c r="L78" s="32"/>
      <c r="M78" s="34"/>
      <c r="N78" s="30"/>
      <c r="O78" s="30" t="s">
        <v>149</v>
      </c>
      <c r="P78" s="42">
        <v>45717</v>
      </c>
      <c r="Q78" s="30"/>
    </row>
    <row r="79" spans="1:17" s="8" customFormat="1">
      <c r="A79" s="30">
        <v>74</v>
      </c>
      <c r="B79" s="30" t="s">
        <v>118</v>
      </c>
      <c r="C79" s="14">
        <v>108</v>
      </c>
      <c r="D79" s="30" t="s">
        <v>79</v>
      </c>
      <c r="E79" s="15">
        <v>45769</v>
      </c>
      <c r="F79" s="33" t="s">
        <v>116</v>
      </c>
      <c r="G79" s="34">
        <v>86.921819999999997</v>
      </c>
      <c r="H79" s="9">
        <v>9387.5565599999991</v>
      </c>
      <c r="I79" s="31">
        <v>0.02</v>
      </c>
      <c r="J79" s="32">
        <f t="shared" si="3"/>
        <v>188</v>
      </c>
      <c r="K79" s="32">
        <f t="shared" si="2"/>
        <v>9199.5565599999991</v>
      </c>
      <c r="L79" s="32"/>
      <c r="M79" s="34"/>
      <c r="N79" s="30"/>
      <c r="O79" s="30" t="s">
        <v>149</v>
      </c>
      <c r="P79" s="42">
        <v>45717</v>
      </c>
      <c r="Q79" s="30"/>
    </row>
    <row r="80" spans="1:17" s="8" customFormat="1">
      <c r="A80" s="30">
        <v>75</v>
      </c>
      <c r="B80" s="30" t="s">
        <v>129</v>
      </c>
      <c r="C80" s="14">
        <v>172.8</v>
      </c>
      <c r="D80" s="30" t="s">
        <v>79</v>
      </c>
      <c r="E80" s="15">
        <v>45769</v>
      </c>
      <c r="F80" s="33" t="s">
        <v>116</v>
      </c>
      <c r="G80" s="34">
        <v>86.921819999999997</v>
      </c>
      <c r="H80" s="9">
        <v>15020.090496000001</v>
      </c>
      <c r="I80" s="31">
        <v>0.02</v>
      </c>
      <c r="J80" s="32">
        <f t="shared" si="3"/>
        <v>300</v>
      </c>
      <c r="K80" s="32">
        <f t="shared" si="2"/>
        <v>14720.090496000001</v>
      </c>
      <c r="L80" s="32"/>
      <c r="M80" s="34"/>
      <c r="N80" s="30"/>
      <c r="O80" s="30" t="s">
        <v>149</v>
      </c>
      <c r="P80" s="42">
        <v>45778</v>
      </c>
      <c r="Q80" s="30"/>
    </row>
    <row r="81" spans="1:17" s="8" customFormat="1">
      <c r="A81" s="30">
        <v>76</v>
      </c>
      <c r="B81" s="30" t="s">
        <v>130</v>
      </c>
      <c r="C81" s="14">
        <v>720</v>
      </c>
      <c r="D81" s="30" t="s">
        <v>79</v>
      </c>
      <c r="E81" s="15">
        <v>45769</v>
      </c>
      <c r="F81" s="33" t="s">
        <v>116</v>
      </c>
      <c r="G81" s="34">
        <v>86.921819999999997</v>
      </c>
      <c r="H81" s="9">
        <v>62583.710399999996</v>
      </c>
      <c r="I81" s="31">
        <v>0.02</v>
      </c>
      <c r="J81" s="32">
        <f t="shared" si="3"/>
        <v>1252</v>
      </c>
      <c r="K81" s="32">
        <f t="shared" si="2"/>
        <v>61331.710399999996</v>
      </c>
      <c r="L81" s="32"/>
      <c r="M81" s="34"/>
      <c r="N81" s="30"/>
      <c r="O81" s="30" t="s">
        <v>149</v>
      </c>
      <c r="P81" s="42">
        <v>45778</v>
      </c>
      <c r="Q81" s="30"/>
    </row>
    <row r="82" spans="1:17" s="8" customFormat="1">
      <c r="A82" s="30">
        <v>77</v>
      </c>
      <c r="B82" s="30" t="s">
        <v>121</v>
      </c>
      <c r="C82" s="14">
        <v>180</v>
      </c>
      <c r="D82" s="30" t="s">
        <v>127</v>
      </c>
      <c r="E82" s="15">
        <v>45770</v>
      </c>
      <c r="F82" s="33" t="s">
        <v>119</v>
      </c>
      <c r="G82" s="32">
        <v>86.921827690613824</v>
      </c>
      <c r="H82" s="9">
        <v>15645.928984310489</v>
      </c>
      <c r="I82" s="31">
        <v>0.02</v>
      </c>
      <c r="J82" s="32">
        <f t="shared" si="3"/>
        <v>313</v>
      </c>
      <c r="K82" s="32">
        <f>H82-J82</f>
        <v>15332.928984310489</v>
      </c>
      <c r="L82" s="32"/>
      <c r="M82" s="32"/>
      <c r="N82" s="30"/>
      <c r="O82" s="30" t="s">
        <v>149</v>
      </c>
      <c r="P82" s="42">
        <v>45748</v>
      </c>
      <c r="Q82" s="30"/>
    </row>
    <row r="83" spans="1:17" s="8" customFormat="1">
      <c r="A83" s="30">
        <v>78</v>
      </c>
      <c r="B83" s="30" t="s">
        <v>122</v>
      </c>
      <c r="C83" s="14">
        <v>27</v>
      </c>
      <c r="D83" s="30" t="s">
        <v>127</v>
      </c>
      <c r="E83" s="15">
        <v>45770</v>
      </c>
      <c r="F83" s="33" t="s">
        <v>119</v>
      </c>
      <c r="G83" s="32">
        <v>86.921827690613824</v>
      </c>
      <c r="H83" s="9">
        <v>2346.8893476465732</v>
      </c>
      <c r="I83" s="31">
        <v>0.02</v>
      </c>
      <c r="J83" s="32">
        <f t="shared" si="3"/>
        <v>47</v>
      </c>
      <c r="K83" s="32">
        <f t="shared" ref="K83:K139" si="4">H83-J83</f>
        <v>2299.8893476465732</v>
      </c>
      <c r="L83" s="32"/>
      <c r="M83" s="32"/>
      <c r="N83" s="30"/>
      <c r="O83" s="30" t="s">
        <v>149</v>
      </c>
      <c r="P83" s="42">
        <v>45748</v>
      </c>
      <c r="Q83" s="30"/>
    </row>
    <row r="84" spans="1:17" s="8" customFormat="1">
      <c r="A84" s="30">
        <v>79</v>
      </c>
      <c r="B84" s="30" t="s">
        <v>123</v>
      </c>
      <c r="C84" s="14">
        <v>90</v>
      </c>
      <c r="D84" s="30" t="s">
        <v>127</v>
      </c>
      <c r="E84" s="15">
        <v>45770</v>
      </c>
      <c r="F84" s="33" t="s">
        <v>119</v>
      </c>
      <c r="G84" s="32">
        <v>86.921827690613824</v>
      </c>
      <c r="H84" s="9">
        <v>7822.9644921552444</v>
      </c>
      <c r="I84" s="31">
        <v>0.02</v>
      </c>
      <c r="J84" s="32">
        <f t="shared" si="3"/>
        <v>156</v>
      </c>
      <c r="K84" s="32">
        <f t="shared" si="4"/>
        <v>7666.9644921552444</v>
      </c>
      <c r="L84" s="32"/>
      <c r="M84" s="32"/>
      <c r="N84" s="30"/>
      <c r="O84" s="30" t="s">
        <v>149</v>
      </c>
      <c r="P84" s="42">
        <v>45748</v>
      </c>
      <c r="Q84" s="30"/>
    </row>
    <row r="85" spans="1:17" s="8" customFormat="1">
      <c r="A85" s="30">
        <v>80</v>
      </c>
      <c r="B85" s="30" t="s">
        <v>124</v>
      </c>
      <c r="C85" s="14">
        <v>26.4</v>
      </c>
      <c r="D85" s="30" t="s">
        <v>127</v>
      </c>
      <c r="E85" s="15">
        <v>45770</v>
      </c>
      <c r="F85" s="33" t="s">
        <v>119</v>
      </c>
      <c r="G85" s="32">
        <v>86.921827690613824</v>
      </c>
      <c r="H85" s="9">
        <v>2294.736251032205</v>
      </c>
      <c r="I85" s="31">
        <v>0.02</v>
      </c>
      <c r="J85" s="32">
        <f t="shared" si="3"/>
        <v>46</v>
      </c>
      <c r="K85" s="32">
        <f t="shared" si="4"/>
        <v>2248.736251032205</v>
      </c>
      <c r="L85" s="32"/>
      <c r="M85" s="32"/>
      <c r="N85" s="30"/>
      <c r="O85" s="30" t="s">
        <v>149</v>
      </c>
      <c r="P85" s="42">
        <v>45748</v>
      </c>
      <c r="Q85" s="30"/>
    </row>
    <row r="86" spans="1:17" s="8" customFormat="1">
      <c r="A86" s="30">
        <v>81</v>
      </c>
      <c r="B86" s="30" t="s">
        <v>125</v>
      </c>
      <c r="C86" s="14">
        <v>171.48</v>
      </c>
      <c r="D86" s="30" t="s">
        <v>127</v>
      </c>
      <c r="E86" s="15">
        <v>45770</v>
      </c>
      <c r="F86" s="33" t="s">
        <v>119</v>
      </c>
      <c r="G86" s="32">
        <v>86.921827690613824</v>
      </c>
      <c r="H86" s="9">
        <v>14905.355012386457</v>
      </c>
      <c r="I86" s="31">
        <v>0.02</v>
      </c>
      <c r="J86" s="32">
        <f t="shared" si="3"/>
        <v>298</v>
      </c>
      <c r="K86" s="32">
        <f t="shared" si="4"/>
        <v>14607.355012386457</v>
      </c>
      <c r="L86" s="32"/>
      <c r="M86" s="32"/>
      <c r="N86" s="30"/>
      <c r="O86" s="30" t="s">
        <v>149</v>
      </c>
      <c r="P86" s="42">
        <v>45748</v>
      </c>
      <c r="Q86" s="30"/>
    </row>
    <row r="87" spans="1:17" s="8" customFormat="1">
      <c r="A87" s="30">
        <v>82</v>
      </c>
      <c r="B87" s="30" t="s">
        <v>126</v>
      </c>
      <c r="C87" s="14">
        <v>86.4</v>
      </c>
      <c r="D87" s="30" t="s">
        <v>127</v>
      </c>
      <c r="E87" s="15">
        <v>45770</v>
      </c>
      <c r="F87" s="33" t="s">
        <v>119</v>
      </c>
      <c r="G87" s="32">
        <v>86.921827690613824</v>
      </c>
      <c r="H87" s="9">
        <v>7510.0459124690351</v>
      </c>
      <c r="I87" s="31">
        <v>0.02</v>
      </c>
      <c r="J87" s="32">
        <f t="shared" si="3"/>
        <v>150</v>
      </c>
      <c r="K87" s="32">
        <f t="shared" si="4"/>
        <v>7360.0459124690351</v>
      </c>
      <c r="L87" s="32"/>
      <c r="M87" s="32"/>
      <c r="N87" s="30"/>
      <c r="O87" s="30" t="s">
        <v>149</v>
      </c>
      <c r="P87" s="42">
        <v>45748</v>
      </c>
      <c r="Q87" s="30"/>
    </row>
    <row r="88" spans="1:17" s="8" customFormat="1">
      <c r="A88" s="30">
        <v>83</v>
      </c>
      <c r="B88" s="30" t="s">
        <v>128</v>
      </c>
      <c r="C88" s="14">
        <v>110.6</v>
      </c>
      <c r="D88" s="30" t="s">
        <v>127</v>
      </c>
      <c r="E88" s="15">
        <v>45770</v>
      </c>
      <c r="F88" s="33" t="s">
        <v>120</v>
      </c>
      <c r="G88" s="32">
        <v>86.972691807542247</v>
      </c>
      <c r="H88" s="9">
        <v>9619.1797139141727</v>
      </c>
      <c r="I88" s="31">
        <v>0.02</v>
      </c>
      <c r="J88" s="32">
        <f t="shared" si="3"/>
        <v>192</v>
      </c>
      <c r="K88" s="32">
        <f t="shared" si="4"/>
        <v>9427.1797139141727</v>
      </c>
      <c r="L88" s="32"/>
      <c r="M88" s="32"/>
      <c r="N88" s="30"/>
      <c r="O88" s="30" t="s">
        <v>149</v>
      </c>
      <c r="P88" s="42">
        <v>45748</v>
      </c>
      <c r="Q88" s="30"/>
    </row>
    <row r="89" spans="1:17" s="8" customFormat="1">
      <c r="A89" s="30">
        <v>84</v>
      </c>
      <c r="B89" s="30" t="s">
        <v>126</v>
      </c>
      <c r="C89" s="14">
        <v>43.2</v>
      </c>
      <c r="D89" s="30" t="s">
        <v>127</v>
      </c>
      <c r="E89" s="15">
        <v>45770</v>
      </c>
      <c r="F89" s="33" t="s">
        <v>120</v>
      </c>
      <c r="G89" s="32">
        <v>86.972691807542247</v>
      </c>
      <c r="H89" s="9">
        <v>3757.2202860858251</v>
      </c>
      <c r="I89" s="31">
        <v>0.02</v>
      </c>
      <c r="J89" s="32">
        <f t="shared" si="3"/>
        <v>75</v>
      </c>
      <c r="K89" s="32">
        <f t="shared" si="4"/>
        <v>3682.2202860858251</v>
      </c>
      <c r="L89" s="32"/>
      <c r="M89" s="32"/>
      <c r="N89" s="30"/>
      <c r="O89" s="30" t="s">
        <v>149</v>
      </c>
      <c r="P89" s="42">
        <v>45748</v>
      </c>
      <c r="Q89" s="30"/>
    </row>
    <row r="90" spans="1:17" s="8" customFormat="1">
      <c r="A90" s="30">
        <v>85</v>
      </c>
      <c r="B90" s="44" t="s">
        <v>132</v>
      </c>
      <c r="C90" s="14">
        <v>51.73</v>
      </c>
      <c r="D90" s="30" t="s">
        <v>127</v>
      </c>
      <c r="E90" s="15">
        <v>45787</v>
      </c>
      <c r="F90" s="36">
        <v>256779413234</v>
      </c>
      <c r="G90" s="26" t="s">
        <v>133</v>
      </c>
      <c r="H90" s="9">
        <v>4447.9368009999998</v>
      </c>
      <c r="I90" s="31">
        <v>0.02</v>
      </c>
      <c r="J90" s="32">
        <f t="shared" si="3"/>
        <v>89</v>
      </c>
      <c r="K90" s="32">
        <f t="shared" si="4"/>
        <v>4358.9368009999998</v>
      </c>
      <c r="L90" s="32"/>
      <c r="M90" s="9">
        <f>K90</f>
        <v>4358.9368009999998</v>
      </c>
      <c r="N90" s="15">
        <v>45821</v>
      </c>
      <c r="O90" s="8" t="s">
        <v>157</v>
      </c>
      <c r="P90" s="42">
        <v>45778</v>
      </c>
      <c r="Q90" s="30"/>
    </row>
    <row r="91" spans="1:17" s="8" customFormat="1">
      <c r="A91" s="30">
        <v>86</v>
      </c>
      <c r="B91" s="44" t="s">
        <v>134</v>
      </c>
      <c r="C91" s="14">
        <v>25.67</v>
      </c>
      <c r="D91" s="30" t="s">
        <v>127</v>
      </c>
      <c r="E91" s="15">
        <v>45771</v>
      </c>
      <c r="F91" s="36">
        <v>256779412766</v>
      </c>
      <c r="G91" s="26" t="s">
        <v>136</v>
      </c>
      <c r="H91" s="9">
        <v>2231.2831194</v>
      </c>
      <c r="I91" s="31">
        <v>0.02</v>
      </c>
      <c r="J91" s="32">
        <f t="shared" si="3"/>
        <v>45</v>
      </c>
      <c r="K91" s="32">
        <f t="shared" si="4"/>
        <v>2186.2831194</v>
      </c>
      <c r="L91" s="32"/>
      <c r="M91" s="32">
        <f>K91</f>
        <v>2186.2831194</v>
      </c>
      <c r="N91" s="15">
        <v>45813</v>
      </c>
      <c r="O91" s="45" t="s">
        <v>162</v>
      </c>
      <c r="P91" s="42">
        <v>45778</v>
      </c>
      <c r="Q91" s="30"/>
    </row>
    <row r="92" spans="1:17" s="8" customFormat="1">
      <c r="A92" s="30">
        <v>87</v>
      </c>
      <c r="B92" s="44" t="s">
        <v>135</v>
      </c>
      <c r="C92" s="14">
        <v>42.33</v>
      </c>
      <c r="D92" s="30" t="s">
        <v>127</v>
      </c>
      <c r="E92" s="15">
        <v>45787</v>
      </c>
      <c r="F92" s="36">
        <v>256779413248</v>
      </c>
      <c r="G92" s="26" t="s">
        <v>133</v>
      </c>
      <c r="H92" s="9">
        <v>3639.6900209999999</v>
      </c>
      <c r="I92" s="31">
        <v>0.02</v>
      </c>
      <c r="J92" s="32">
        <f t="shared" si="3"/>
        <v>73</v>
      </c>
      <c r="K92" s="32">
        <f t="shared" si="4"/>
        <v>3566.6900209999999</v>
      </c>
      <c r="L92" s="32"/>
      <c r="M92" s="32">
        <f t="shared" ref="M92:M111" si="5">K92</f>
        <v>3566.6900209999999</v>
      </c>
      <c r="N92" s="15">
        <v>45813</v>
      </c>
      <c r="O92" s="45" t="s">
        <v>162</v>
      </c>
      <c r="P92" s="42">
        <v>45778</v>
      </c>
      <c r="Q92" s="30"/>
    </row>
    <row r="93" spans="1:17" s="8" customFormat="1">
      <c r="A93" s="30">
        <v>88</v>
      </c>
      <c r="B93" s="44" t="s">
        <v>137</v>
      </c>
      <c r="C93" s="14">
        <v>94.48</v>
      </c>
      <c r="D93" s="30" t="s">
        <v>76</v>
      </c>
      <c r="E93" s="15">
        <v>45736</v>
      </c>
      <c r="F93" s="36">
        <v>246779413959</v>
      </c>
      <c r="G93" s="37" t="s">
        <v>140</v>
      </c>
      <c r="H93" s="9">
        <v>8190.5902448000006</v>
      </c>
      <c r="I93" s="31">
        <v>0.02</v>
      </c>
      <c r="J93" s="32">
        <f t="shared" si="3"/>
        <v>164</v>
      </c>
      <c r="K93" s="32">
        <f t="shared" si="4"/>
        <v>8026.5902448000006</v>
      </c>
      <c r="L93" s="32"/>
      <c r="M93" s="32">
        <f t="shared" si="5"/>
        <v>8026.5902448000006</v>
      </c>
      <c r="N93" s="15">
        <v>45813</v>
      </c>
      <c r="O93" s="45" t="s">
        <v>162</v>
      </c>
      <c r="P93" s="42">
        <v>45778</v>
      </c>
      <c r="Q93" s="30"/>
    </row>
    <row r="94" spans="1:17" s="8" customFormat="1">
      <c r="A94" s="30">
        <v>89</v>
      </c>
      <c r="B94" s="44" t="s">
        <v>138</v>
      </c>
      <c r="C94" s="14">
        <v>27</v>
      </c>
      <c r="D94" s="30" t="s">
        <v>76</v>
      </c>
      <c r="E94" s="15">
        <v>45736</v>
      </c>
      <c r="F94" s="36">
        <v>246779413959</v>
      </c>
      <c r="G94" s="37" t="s">
        <v>140</v>
      </c>
      <c r="H94" s="9">
        <v>2340.6640200000002</v>
      </c>
      <c r="I94" s="31">
        <v>0.02</v>
      </c>
      <c r="J94" s="32">
        <f t="shared" si="3"/>
        <v>47</v>
      </c>
      <c r="K94" s="32">
        <f t="shared" si="4"/>
        <v>2293.6640200000002</v>
      </c>
      <c r="L94" s="32"/>
      <c r="M94" s="32">
        <f t="shared" si="5"/>
        <v>2293.6640200000002</v>
      </c>
      <c r="N94" s="15">
        <v>45813</v>
      </c>
      <c r="O94" s="45" t="s">
        <v>162</v>
      </c>
      <c r="P94" s="42">
        <v>45778</v>
      </c>
      <c r="Q94" s="30"/>
    </row>
    <row r="95" spans="1:17" s="8" customFormat="1">
      <c r="A95" s="30">
        <v>90</v>
      </c>
      <c r="B95" s="44" t="s">
        <v>139</v>
      </c>
      <c r="C95" s="14">
        <v>43.2</v>
      </c>
      <c r="D95" s="30" t="s">
        <v>76</v>
      </c>
      <c r="E95" s="15">
        <v>45736</v>
      </c>
      <c r="F95" s="36">
        <v>246779413959</v>
      </c>
      <c r="G95" s="37" t="s">
        <v>140</v>
      </c>
      <c r="H95" s="9">
        <v>3745.0624320000002</v>
      </c>
      <c r="I95" s="31">
        <v>0.02</v>
      </c>
      <c r="J95" s="32">
        <f t="shared" si="3"/>
        <v>75</v>
      </c>
      <c r="K95" s="32">
        <f t="shared" si="4"/>
        <v>3670.0624320000002</v>
      </c>
      <c r="L95" s="32"/>
      <c r="M95" s="32">
        <f t="shared" si="5"/>
        <v>3670.0624320000002</v>
      </c>
      <c r="N95" s="15">
        <v>45813</v>
      </c>
      <c r="O95" s="45" t="s">
        <v>162</v>
      </c>
      <c r="P95" s="42">
        <v>45778</v>
      </c>
      <c r="Q95" s="30"/>
    </row>
    <row r="96" spans="1:17" s="8" customFormat="1">
      <c r="A96" s="30">
        <v>91</v>
      </c>
      <c r="B96" s="44" t="s">
        <v>137</v>
      </c>
      <c r="C96" s="14">
        <v>94.48</v>
      </c>
      <c r="D96" s="30" t="s">
        <v>76</v>
      </c>
      <c r="E96" s="15">
        <v>45736</v>
      </c>
      <c r="F96" s="36">
        <v>246779413960</v>
      </c>
      <c r="G96" s="37" t="s">
        <v>140</v>
      </c>
      <c r="H96" s="9">
        <v>8190.5902448000006</v>
      </c>
      <c r="I96" s="31">
        <v>0.02</v>
      </c>
      <c r="J96" s="32">
        <f t="shared" si="3"/>
        <v>164</v>
      </c>
      <c r="K96" s="32">
        <f t="shared" si="4"/>
        <v>8026.5902448000006</v>
      </c>
      <c r="L96" s="32"/>
      <c r="M96" s="32">
        <f t="shared" si="5"/>
        <v>8026.5902448000006</v>
      </c>
      <c r="N96" s="15">
        <v>45813</v>
      </c>
      <c r="O96" s="45" t="s">
        <v>162</v>
      </c>
      <c r="P96" s="42">
        <v>45778</v>
      </c>
      <c r="Q96" s="30"/>
    </row>
    <row r="97" spans="1:17" s="8" customFormat="1">
      <c r="A97" s="30">
        <v>92</v>
      </c>
      <c r="B97" s="44" t="s">
        <v>138</v>
      </c>
      <c r="C97" s="14">
        <v>27</v>
      </c>
      <c r="D97" s="30" t="s">
        <v>76</v>
      </c>
      <c r="E97" s="15">
        <v>45736</v>
      </c>
      <c r="F97" s="36">
        <v>246779413960</v>
      </c>
      <c r="G97" s="37" t="s">
        <v>140</v>
      </c>
      <c r="H97" s="9">
        <v>2340.6640200000002</v>
      </c>
      <c r="I97" s="31">
        <v>0.02</v>
      </c>
      <c r="J97" s="32">
        <f t="shared" si="3"/>
        <v>47</v>
      </c>
      <c r="K97" s="32">
        <f t="shared" si="4"/>
        <v>2293.6640200000002</v>
      </c>
      <c r="L97" s="32"/>
      <c r="M97" s="32">
        <f t="shared" si="5"/>
        <v>2293.6640200000002</v>
      </c>
      <c r="N97" s="15">
        <v>45813</v>
      </c>
      <c r="O97" s="45" t="s">
        <v>162</v>
      </c>
      <c r="P97" s="42">
        <v>45778</v>
      </c>
      <c r="Q97" s="30"/>
    </row>
    <row r="98" spans="1:17" s="8" customFormat="1">
      <c r="A98" s="30">
        <v>93</v>
      </c>
      <c r="B98" s="44" t="s">
        <v>139</v>
      </c>
      <c r="C98" s="14">
        <v>43.2</v>
      </c>
      <c r="D98" s="30" t="s">
        <v>76</v>
      </c>
      <c r="E98" s="15">
        <v>45736</v>
      </c>
      <c r="F98" s="36">
        <v>246779413960</v>
      </c>
      <c r="G98" s="37" t="s">
        <v>140</v>
      </c>
      <c r="H98" s="9">
        <v>3745.0624320000002</v>
      </c>
      <c r="I98" s="31">
        <v>0.02</v>
      </c>
      <c r="J98" s="32">
        <f t="shared" si="3"/>
        <v>75</v>
      </c>
      <c r="K98" s="32">
        <f t="shared" si="4"/>
        <v>3670.0624320000002</v>
      </c>
      <c r="L98" s="32"/>
      <c r="M98" s="32">
        <f t="shared" si="5"/>
        <v>3670.0624320000002</v>
      </c>
      <c r="N98" s="15">
        <v>45813</v>
      </c>
      <c r="O98" s="45" t="s">
        <v>162</v>
      </c>
      <c r="P98" s="42">
        <v>45778</v>
      </c>
      <c r="Q98" s="30"/>
    </row>
    <row r="99" spans="1:17" s="8" customFormat="1">
      <c r="A99" s="30">
        <v>94</v>
      </c>
      <c r="B99" s="44" t="s">
        <v>137</v>
      </c>
      <c r="C99" s="14">
        <v>188.95</v>
      </c>
      <c r="D99" s="30" t="s">
        <v>76</v>
      </c>
      <c r="E99" s="15">
        <v>45736</v>
      </c>
      <c r="F99" s="36">
        <v>246779413963</v>
      </c>
      <c r="G99" s="37" t="s">
        <v>140</v>
      </c>
      <c r="H99" s="9">
        <v>16380.313576999999</v>
      </c>
      <c r="I99" s="31">
        <v>0.02</v>
      </c>
      <c r="J99" s="32">
        <f t="shared" si="3"/>
        <v>328</v>
      </c>
      <c r="K99" s="32">
        <f t="shared" si="4"/>
        <v>16052.313576999999</v>
      </c>
      <c r="L99" s="32"/>
      <c r="M99" s="32">
        <f t="shared" si="5"/>
        <v>16052.313576999999</v>
      </c>
      <c r="N99" s="15">
        <v>45813</v>
      </c>
      <c r="O99" s="45" t="s">
        <v>162</v>
      </c>
      <c r="P99" s="42">
        <v>45778</v>
      </c>
      <c r="Q99" s="30"/>
    </row>
    <row r="100" spans="1:17" s="8" customFormat="1">
      <c r="A100" s="30">
        <v>95</v>
      </c>
      <c r="B100" s="44" t="s">
        <v>138</v>
      </c>
      <c r="C100" s="14">
        <v>54</v>
      </c>
      <c r="D100" s="30" t="s">
        <v>76</v>
      </c>
      <c r="E100" s="15">
        <v>45736</v>
      </c>
      <c r="F100" s="36">
        <v>246779413963</v>
      </c>
      <c r="G100" s="37" t="s">
        <v>140</v>
      </c>
      <c r="H100" s="9">
        <v>4681.3280400000003</v>
      </c>
      <c r="I100" s="31">
        <v>0.02</v>
      </c>
      <c r="J100" s="32">
        <f t="shared" si="3"/>
        <v>94</v>
      </c>
      <c r="K100" s="32">
        <f t="shared" si="4"/>
        <v>4587.3280400000003</v>
      </c>
      <c r="L100" s="32"/>
      <c r="M100" s="32">
        <f t="shared" si="5"/>
        <v>4587.3280400000003</v>
      </c>
      <c r="N100" s="15">
        <v>45813</v>
      </c>
      <c r="O100" s="45" t="s">
        <v>162</v>
      </c>
      <c r="P100" s="42">
        <v>45778</v>
      </c>
      <c r="Q100" s="30"/>
    </row>
    <row r="101" spans="1:17" s="8" customFormat="1">
      <c r="A101" s="30">
        <v>96</v>
      </c>
      <c r="B101" s="44" t="s">
        <v>139</v>
      </c>
      <c r="C101" s="14">
        <v>86.4</v>
      </c>
      <c r="D101" s="30" t="s">
        <v>76</v>
      </c>
      <c r="E101" s="15">
        <v>45736</v>
      </c>
      <c r="F101" s="36">
        <v>246779413963</v>
      </c>
      <c r="G101" s="37" t="s">
        <v>140</v>
      </c>
      <c r="H101" s="9">
        <v>7490.1248640000003</v>
      </c>
      <c r="I101" s="31">
        <v>0.02</v>
      </c>
      <c r="J101" s="32">
        <f t="shared" si="3"/>
        <v>150</v>
      </c>
      <c r="K101" s="32">
        <f t="shared" si="4"/>
        <v>7340.1248640000003</v>
      </c>
      <c r="L101" s="32"/>
      <c r="M101" s="32">
        <f t="shared" si="5"/>
        <v>7340.1248640000003</v>
      </c>
      <c r="N101" s="15">
        <v>45813</v>
      </c>
      <c r="O101" s="45" t="s">
        <v>162</v>
      </c>
      <c r="P101" s="42">
        <v>45778</v>
      </c>
      <c r="Q101" s="30"/>
    </row>
    <row r="102" spans="1:17" s="8" customFormat="1">
      <c r="A102" s="30">
        <v>97</v>
      </c>
      <c r="B102" s="44" t="s">
        <v>141</v>
      </c>
      <c r="C102" s="14">
        <v>188.95</v>
      </c>
      <c r="D102" s="30" t="s">
        <v>127</v>
      </c>
      <c r="E102" s="15">
        <v>45793</v>
      </c>
      <c r="F102" s="36">
        <v>256779413331</v>
      </c>
      <c r="G102" s="37" t="s">
        <v>133</v>
      </c>
      <c r="H102" s="9">
        <v>16246.620115</v>
      </c>
      <c r="I102" s="31">
        <v>0.02</v>
      </c>
      <c r="J102" s="32">
        <f t="shared" si="3"/>
        <v>325</v>
      </c>
      <c r="K102" s="32">
        <f t="shared" si="4"/>
        <v>15921.620115</v>
      </c>
      <c r="L102" s="32"/>
      <c r="M102" s="32">
        <f t="shared" si="5"/>
        <v>15921.620115</v>
      </c>
      <c r="N102" s="15">
        <v>45813</v>
      </c>
      <c r="O102" s="45" t="s">
        <v>162</v>
      </c>
      <c r="P102" s="42">
        <v>45778</v>
      </c>
      <c r="Q102" s="30"/>
    </row>
    <row r="103" spans="1:17" s="8" customFormat="1">
      <c r="A103" s="30">
        <v>98</v>
      </c>
      <c r="B103" s="44" t="s">
        <v>142</v>
      </c>
      <c r="C103" s="14">
        <v>188.95</v>
      </c>
      <c r="D103" s="30" t="s">
        <v>127</v>
      </c>
      <c r="E103" s="15">
        <v>45797</v>
      </c>
      <c r="F103" s="36">
        <v>256779413466</v>
      </c>
      <c r="G103" s="37" t="s">
        <v>133</v>
      </c>
      <c r="H103" s="9">
        <v>16246.620115</v>
      </c>
      <c r="I103" s="31">
        <v>0.02</v>
      </c>
      <c r="J103" s="32">
        <f t="shared" si="3"/>
        <v>325</v>
      </c>
      <c r="K103" s="32">
        <f t="shared" si="4"/>
        <v>15921.620115</v>
      </c>
      <c r="L103" s="32"/>
      <c r="M103" s="32">
        <f t="shared" si="5"/>
        <v>15921.620115</v>
      </c>
      <c r="N103" s="15">
        <v>45813</v>
      </c>
      <c r="O103" s="45" t="s">
        <v>162</v>
      </c>
      <c r="P103" s="42">
        <v>45778</v>
      </c>
      <c r="Q103" s="30"/>
    </row>
    <row r="104" spans="1:17" s="8" customFormat="1">
      <c r="A104" s="30">
        <v>99</v>
      </c>
      <c r="B104" s="44" t="s">
        <v>143</v>
      </c>
      <c r="C104" s="14">
        <v>746.12</v>
      </c>
      <c r="D104" s="30" t="s">
        <v>127</v>
      </c>
      <c r="E104" s="15">
        <v>45805</v>
      </c>
      <c r="F104" s="36">
        <v>256779413906</v>
      </c>
      <c r="G104" s="37" t="s">
        <v>133</v>
      </c>
      <c r="H104" s="9">
        <v>64154.158243999998</v>
      </c>
      <c r="I104" s="31">
        <v>0.1</v>
      </c>
      <c r="J104" s="32">
        <f t="shared" si="3"/>
        <v>6415</v>
      </c>
      <c r="K104" s="32">
        <f t="shared" si="4"/>
        <v>57739.158243999998</v>
      </c>
      <c r="L104" s="32"/>
      <c r="M104" s="32">
        <f t="shared" si="5"/>
        <v>57739.158243999998</v>
      </c>
      <c r="N104" s="15">
        <v>45813</v>
      </c>
      <c r="O104" s="45" t="s">
        <v>162</v>
      </c>
      <c r="P104" s="42">
        <v>45778</v>
      </c>
      <c r="Q104" s="30"/>
    </row>
    <row r="105" spans="1:17" s="8" customFormat="1">
      <c r="A105" s="30">
        <v>100</v>
      </c>
      <c r="B105" s="44" t="s">
        <v>144</v>
      </c>
      <c r="C105" s="14">
        <v>51.5</v>
      </c>
      <c r="D105" s="30" t="s">
        <v>146</v>
      </c>
      <c r="E105" s="15">
        <v>45797</v>
      </c>
      <c r="F105" s="36">
        <v>256779413830</v>
      </c>
      <c r="G105" s="37">
        <v>85.983699999999999</v>
      </c>
      <c r="H105" s="9">
        <v>4428.1605499999996</v>
      </c>
      <c r="I105" s="31">
        <v>0.02</v>
      </c>
      <c r="J105" s="32">
        <f t="shared" si="3"/>
        <v>89</v>
      </c>
      <c r="K105" s="32">
        <f t="shared" si="4"/>
        <v>4339.1605499999996</v>
      </c>
      <c r="L105" s="32"/>
      <c r="M105" s="32">
        <f t="shared" si="5"/>
        <v>4339.1605499999996</v>
      </c>
      <c r="N105" s="15">
        <v>45813</v>
      </c>
      <c r="O105" s="45" t="s">
        <v>162</v>
      </c>
      <c r="P105" s="42">
        <v>45778</v>
      </c>
      <c r="Q105" s="30"/>
    </row>
    <row r="106" spans="1:17" s="8" customFormat="1">
      <c r="A106" s="30">
        <v>101</v>
      </c>
      <c r="B106" s="44" t="s">
        <v>145</v>
      </c>
      <c r="C106" s="14">
        <v>42.14</v>
      </c>
      <c r="D106" s="30" t="s">
        <v>146</v>
      </c>
      <c r="E106" s="15">
        <v>45797</v>
      </c>
      <c r="F106" s="36">
        <v>256779413838</v>
      </c>
      <c r="G106" s="37">
        <v>85.983699999999999</v>
      </c>
      <c r="H106" s="9">
        <v>3623.353118</v>
      </c>
      <c r="I106" s="31">
        <v>0.02</v>
      </c>
      <c r="J106" s="32">
        <f t="shared" si="3"/>
        <v>72</v>
      </c>
      <c r="K106" s="32">
        <f t="shared" si="4"/>
        <v>3551.353118</v>
      </c>
      <c r="L106" s="32"/>
      <c r="M106" s="32">
        <f t="shared" si="5"/>
        <v>3551.353118</v>
      </c>
      <c r="N106" s="15">
        <v>45813</v>
      </c>
      <c r="O106" s="45" t="s">
        <v>162</v>
      </c>
      <c r="P106" s="42">
        <v>45778</v>
      </c>
      <c r="Q106" s="30"/>
    </row>
    <row r="107" spans="1:17" s="8" customFormat="1">
      <c r="A107" s="30">
        <v>102</v>
      </c>
      <c r="B107" s="40" t="s">
        <v>150</v>
      </c>
      <c r="C107" s="14">
        <v>49.95</v>
      </c>
      <c r="D107" s="30" t="s">
        <v>127</v>
      </c>
      <c r="E107" s="15">
        <v>45793</v>
      </c>
      <c r="F107" s="38">
        <v>256779413262</v>
      </c>
      <c r="G107" s="39">
        <v>85.983699999999999</v>
      </c>
      <c r="H107" s="9">
        <v>4294.8858150000005</v>
      </c>
      <c r="I107" s="31">
        <v>0.02</v>
      </c>
      <c r="J107" s="32">
        <f t="shared" si="3"/>
        <v>86</v>
      </c>
      <c r="K107" s="32">
        <f t="shared" si="4"/>
        <v>4208.8858150000005</v>
      </c>
      <c r="L107" s="32"/>
      <c r="M107" s="32">
        <f t="shared" si="5"/>
        <v>4208.8858150000005</v>
      </c>
      <c r="N107" s="15">
        <v>45822</v>
      </c>
      <c r="O107" s="30" t="s">
        <v>157</v>
      </c>
      <c r="P107" s="42">
        <v>45778</v>
      </c>
      <c r="Q107" s="30"/>
    </row>
    <row r="108" spans="1:17" s="8" customFormat="1">
      <c r="A108" s="30">
        <v>103</v>
      </c>
      <c r="B108" s="40" t="s">
        <v>151</v>
      </c>
      <c r="C108" s="14">
        <v>105.6</v>
      </c>
      <c r="D108" s="30" t="s">
        <v>127</v>
      </c>
      <c r="E108" s="15">
        <v>45793</v>
      </c>
      <c r="F108" s="38">
        <v>256779413294</v>
      </c>
      <c r="G108" s="39">
        <v>85.983699999999999</v>
      </c>
      <c r="H108" s="9">
        <v>9079.8787199999988</v>
      </c>
      <c r="I108" s="31">
        <v>0.02</v>
      </c>
      <c r="J108" s="32">
        <f t="shared" si="3"/>
        <v>182</v>
      </c>
      <c r="K108" s="32">
        <f t="shared" si="4"/>
        <v>8897.8787199999988</v>
      </c>
      <c r="L108" s="32"/>
      <c r="M108" s="32">
        <f t="shared" si="5"/>
        <v>8897.8787199999988</v>
      </c>
      <c r="N108" s="15">
        <v>45822</v>
      </c>
      <c r="O108" s="30" t="s">
        <v>157</v>
      </c>
      <c r="P108" s="42">
        <v>45778</v>
      </c>
      <c r="Q108" s="30"/>
    </row>
    <row r="109" spans="1:17" s="8" customFormat="1">
      <c r="A109" s="30">
        <v>104</v>
      </c>
      <c r="B109" s="40" t="s">
        <v>152</v>
      </c>
      <c r="C109" s="14">
        <v>377.9</v>
      </c>
      <c r="D109" s="30" t="s">
        <v>127</v>
      </c>
      <c r="E109" s="15">
        <v>45793</v>
      </c>
      <c r="F109" s="38">
        <v>256779413294</v>
      </c>
      <c r="G109" s="39">
        <v>85.983699999999999</v>
      </c>
      <c r="H109" s="9">
        <v>32493.240229999999</v>
      </c>
      <c r="I109" s="31">
        <v>0.02</v>
      </c>
      <c r="J109" s="32">
        <f t="shared" si="3"/>
        <v>650</v>
      </c>
      <c r="K109" s="32">
        <f t="shared" si="4"/>
        <v>31843.240229999999</v>
      </c>
      <c r="L109" s="32"/>
      <c r="M109" s="32">
        <f t="shared" si="5"/>
        <v>31843.240229999999</v>
      </c>
      <c r="N109" s="15">
        <v>45822</v>
      </c>
      <c r="O109" s="30" t="s">
        <v>157</v>
      </c>
      <c r="P109" s="42">
        <v>45778</v>
      </c>
      <c r="Q109" s="30"/>
    </row>
    <row r="110" spans="1:17" s="8" customFormat="1">
      <c r="A110" s="30">
        <v>105</v>
      </c>
      <c r="B110" s="40" t="s">
        <v>153</v>
      </c>
      <c r="C110" s="14">
        <v>172.8</v>
      </c>
      <c r="D110" s="30" t="s">
        <v>127</v>
      </c>
      <c r="E110" s="15">
        <v>45793</v>
      </c>
      <c r="F110" s="38">
        <v>256779413294</v>
      </c>
      <c r="G110" s="39">
        <v>85.983699999999999</v>
      </c>
      <c r="H110" s="9">
        <v>14857.98336</v>
      </c>
      <c r="I110" s="31">
        <v>0.02</v>
      </c>
      <c r="J110" s="32">
        <f t="shared" si="3"/>
        <v>297</v>
      </c>
      <c r="K110" s="32">
        <f t="shared" si="4"/>
        <v>14560.98336</v>
      </c>
      <c r="L110" s="32"/>
      <c r="M110" s="32">
        <f t="shared" si="5"/>
        <v>14560.98336</v>
      </c>
      <c r="N110" s="15">
        <v>45822</v>
      </c>
      <c r="O110" s="30" t="s">
        <v>157</v>
      </c>
      <c r="P110" s="42">
        <v>45778</v>
      </c>
      <c r="Q110" s="30"/>
    </row>
    <row r="111" spans="1:17" s="8" customFormat="1">
      <c r="A111" s="30">
        <v>106</v>
      </c>
      <c r="B111" s="44" t="s">
        <v>155</v>
      </c>
      <c r="C111" s="46">
        <v>1888.3379964000001</v>
      </c>
      <c r="D111" s="30" t="s">
        <v>146</v>
      </c>
      <c r="E111" s="15">
        <v>45815</v>
      </c>
      <c r="F111" s="36">
        <v>256779414249</v>
      </c>
      <c r="G111" s="37" t="s">
        <v>156</v>
      </c>
      <c r="H111" s="9">
        <v>161435.48821587319</v>
      </c>
      <c r="I111" s="31">
        <v>0.1</v>
      </c>
      <c r="J111" s="32">
        <f t="shared" si="3"/>
        <v>16144</v>
      </c>
      <c r="K111" s="32">
        <f t="shared" si="4"/>
        <v>145291.48821587319</v>
      </c>
      <c r="L111" s="32"/>
      <c r="M111" s="32">
        <f t="shared" si="5"/>
        <v>145291.48821587319</v>
      </c>
      <c r="N111" s="15">
        <v>45822</v>
      </c>
      <c r="O111" s="30" t="s">
        <v>157</v>
      </c>
      <c r="P111" s="42">
        <v>45809</v>
      </c>
      <c r="Q111" s="30"/>
    </row>
    <row r="112" spans="1:17" s="8" customFormat="1">
      <c r="A112" s="30">
        <v>107</v>
      </c>
      <c r="B112" s="44" t="s">
        <v>163</v>
      </c>
      <c r="C112" s="47">
        <v>50</v>
      </c>
      <c r="D112" s="30" t="s">
        <v>146</v>
      </c>
      <c r="E112" s="15">
        <v>45812</v>
      </c>
      <c r="F112" s="27">
        <v>256779414282</v>
      </c>
      <c r="G112" s="37">
        <v>85.490780000000001</v>
      </c>
      <c r="H112" s="9">
        <v>4274.5389999999998</v>
      </c>
      <c r="I112" s="31">
        <v>0.02</v>
      </c>
      <c r="J112" s="32">
        <f t="shared" si="3"/>
        <v>85</v>
      </c>
      <c r="K112" s="32">
        <f t="shared" si="4"/>
        <v>4189.5389999999998</v>
      </c>
      <c r="L112" s="32"/>
      <c r="M112" s="32">
        <f>K112</f>
        <v>4189.5389999999998</v>
      </c>
      <c r="N112" s="15">
        <v>45833</v>
      </c>
      <c r="O112" s="30" t="s">
        <v>169</v>
      </c>
      <c r="P112" s="42">
        <v>45809</v>
      </c>
      <c r="Q112" s="30"/>
    </row>
    <row r="113" spans="1:17" s="8" customFormat="1">
      <c r="A113" s="30">
        <v>108</v>
      </c>
      <c r="B113" s="44" t="s">
        <v>164</v>
      </c>
      <c r="C113" s="47">
        <v>1080</v>
      </c>
      <c r="D113" s="30" t="s">
        <v>146</v>
      </c>
      <c r="E113" s="15">
        <v>45812</v>
      </c>
      <c r="F113" s="27">
        <v>256779414296</v>
      </c>
      <c r="G113" s="37">
        <v>85.490780000000001</v>
      </c>
      <c r="H113" s="9">
        <v>92330.042400000006</v>
      </c>
      <c r="I113" s="31">
        <v>0.02</v>
      </c>
      <c r="J113" s="32">
        <f t="shared" si="3"/>
        <v>1847</v>
      </c>
      <c r="K113" s="32">
        <f t="shared" si="4"/>
        <v>90483.042400000006</v>
      </c>
      <c r="L113" s="32"/>
      <c r="M113" s="32">
        <f t="shared" ref="M113:M117" si="6">K113</f>
        <v>90483.042400000006</v>
      </c>
      <c r="N113" s="15">
        <v>45833</v>
      </c>
      <c r="O113" s="30" t="s">
        <v>169</v>
      </c>
      <c r="P113" s="42">
        <v>45809</v>
      </c>
      <c r="Q113" s="30"/>
    </row>
    <row r="114" spans="1:17" s="8" customFormat="1">
      <c r="A114" s="30">
        <v>109</v>
      </c>
      <c r="B114" s="44" t="s">
        <v>165</v>
      </c>
      <c r="C114" s="47">
        <v>162</v>
      </c>
      <c r="D114" s="30" t="s">
        <v>146</v>
      </c>
      <c r="E114" s="15">
        <v>45812</v>
      </c>
      <c r="F114" s="27">
        <v>256779414296</v>
      </c>
      <c r="G114" s="37">
        <v>85.490780000000001</v>
      </c>
      <c r="H114" s="9">
        <v>13849.506359999999</v>
      </c>
      <c r="I114" s="31">
        <v>0.02</v>
      </c>
      <c r="J114" s="32">
        <f t="shared" si="3"/>
        <v>277</v>
      </c>
      <c r="K114" s="32">
        <f t="shared" si="4"/>
        <v>13572.506359999999</v>
      </c>
      <c r="L114" s="32"/>
      <c r="M114" s="32">
        <f t="shared" si="6"/>
        <v>13572.506359999999</v>
      </c>
      <c r="N114" s="15">
        <v>45833</v>
      </c>
      <c r="O114" s="30" t="s">
        <v>169</v>
      </c>
      <c r="P114" s="42">
        <v>45809</v>
      </c>
      <c r="Q114" s="30"/>
    </row>
    <row r="115" spans="1:17" s="8" customFormat="1">
      <c r="A115" s="30">
        <v>110</v>
      </c>
      <c r="B115" s="44" t="s">
        <v>166</v>
      </c>
      <c r="C115" s="47">
        <v>550.20000000000005</v>
      </c>
      <c r="D115" s="30" t="s">
        <v>146</v>
      </c>
      <c r="E115" s="15">
        <v>45812</v>
      </c>
      <c r="F115" s="27">
        <v>256779414296</v>
      </c>
      <c r="G115" s="37">
        <v>85.490780000000001</v>
      </c>
      <c r="H115" s="9">
        <v>47037.027156000004</v>
      </c>
      <c r="I115" s="31">
        <v>0.02</v>
      </c>
      <c r="J115" s="32">
        <f t="shared" si="3"/>
        <v>941</v>
      </c>
      <c r="K115" s="32">
        <f t="shared" si="4"/>
        <v>46096.027156000004</v>
      </c>
      <c r="L115" s="32"/>
      <c r="M115" s="32">
        <f t="shared" si="6"/>
        <v>46096.027156000004</v>
      </c>
      <c r="N115" s="15">
        <v>45833</v>
      </c>
      <c r="O115" s="30" t="s">
        <v>169</v>
      </c>
      <c r="P115" s="42">
        <v>45809</v>
      </c>
      <c r="Q115" s="30"/>
    </row>
    <row r="116" spans="1:17" s="8" customFormat="1">
      <c r="A116" s="30">
        <v>111</v>
      </c>
      <c r="B116" s="44" t="s">
        <v>167</v>
      </c>
      <c r="C116" s="47">
        <v>38.630000000000003</v>
      </c>
      <c r="D116" s="30" t="s">
        <v>146</v>
      </c>
      <c r="E116" s="15">
        <v>45812</v>
      </c>
      <c r="F116" s="27">
        <v>256779414296</v>
      </c>
      <c r="G116" s="37">
        <v>85.490780000000001</v>
      </c>
      <c r="H116" s="9">
        <v>3302.5088314000004</v>
      </c>
      <c r="I116" s="31">
        <v>0.02</v>
      </c>
      <c r="J116" s="32">
        <f t="shared" si="3"/>
        <v>66</v>
      </c>
      <c r="K116" s="32">
        <f t="shared" si="4"/>
        <v>3236.5088314000004</v>
      </c>
      <c r="L116" s="32"/>
      <c r="M116" s="32">
        <f t="shared" si="6"/>
        <v>3236.5088314000004</v>
      </c>
      <c r="N116" s="15">
        <v>45833</v>
      </c>
      <c r="O116" s="30" t="s">
        <v>169</v>
      </c>
      <c r="P116" s="42">
        <v>45809</v>
      </c>
      <c r="Q116" s="30"/>
    </row>
    <row r="117" spans="1:17" s="8" customFormat="1">
      <c r="A117" s="30">
        <v>112</v>
      </c>
      <c r="B117" s="44" t="s">
        <v>168</v>
      </c>
      <c r="C117" s="47">
        <v>259.2</v>
      </c>
      <c r="D117" s="30" t="s">
        <v>146</v>
      </c>
      <c r="E117" s="15">
        <v>45812</v>
      </c>
      <c r="F117" s="27">
        <v>256779414296</v>
      </c>
      <c r="G117" s="37">
        <v>85.490780000000001</v>
      </c>
      <c r="H117" s="9">
        <v>22159.210176000001</v>
      </c>
      <c r="I117" s="31">
        <v>0.02</v>
      </c>
      <c r="J117" s="32">
        <f t="shared" si="3"/>
        <v>443</v>
      </c>
      <c r="K117" s="32">
        <f t="shared" si="4"/>
        <v>21716.210176000001</v>
      </c>
      <c r="L117" s="32"/>
      <c r="M117" s="32">
        <f t="shared" si="6"/>
        <v>21716.210176000001</v>
      </c>
      <c r="N117" s="15">
        <v>45833</v>
      </c>
      <c r="O117" s="30" t="s">
        <v>169</v>
      </c>
      <c r="P117" s="42">
        <v>45809</v>
      </c>
      <c r="Q117" s="30"/>
    </row>
    <row r="118" spans="1:17" s="8" customFormat="1">
      <c r="A118" s="30">
        <v>113</v>
      </c>
      <c r="B118" s="44" t="s">
        <v>173</v>
      </c>
      <c r="C118" s="47">
        <v>1440</v>
      </c>
      <c r="D118" s="42" t="s">
        <v>180</v>
      </c>
      <c r="E118" s="15">
        <v>45842</v>
      </c>
      <c r="F118" s="27" t="s">
        <v>181</v>
      </c>
      <c r="G118" s="37" t="s">
        <v>183</v>
      </c>
      <c r="H118" s="9">
        <v>123840.9648</v>
      </c>
      <c r="I118" s="31">
        <v>0.02</v>
      </c>
      <c r="J118" s="32">
        <f t="shared" si="3"/>
        <v>2477</v>
      </c>
      <c r="K118" s="32">
        <f t="shared" si="4"/>
        <v>121363.9648</v>
      </c>
      <c r="L118" s="32"/>
      <c r="M118" s="32"/>
      <c r="N118" s="15"/>
      <c r="O118" s="30" t="s">
        <v>149</v>
      </c>
      <c r="P118" s="42">
        <v>45839</v>
      </c>
      <c r="Q118" s="30"/>
    </row>
    <row r="119" spans="1:17" s="8" customFormat="1">
      <c r="A119" s="30">
        <v>114</v>
      </c>
      <c r="B119" s="44" t="s">
        <v>174</v>
      </c>
      <c r="C119" s="47">
        <v>216</v>
      </c>
      <c r="D119" s="42" t="s">
        <v>180</v>
      </c>
      <c r="E119" s="15">
        <v>45842</v>
      </c>
      <c r="F119" s="27" t="s">
        <v>181</v>
      </c>
      <c r="G119" s="37" t="s">
        <v>183</v>
      </c>
      <c r="H119" s="9">
        <v>18576.14472</v>
      </c>
      <c r="I119" s="31">
        <v>0.02</v>
      </c>
      <c r="J119" s="32">
        <f t="shared" si="3"/>
        <v>372</v>
      </c>
      <c r="K119" s="32">
        <f t="shared" si="4"/>
        <v>18204.14472</v>
      </c>
      <c r="L119" s="32"/>
      <c r="M119" s="32"/>
      <c r="N119" s="15"/>
      <c r="O119" s="30" t="s">
        <v>149</v>
      </c>
      <c r="P119" s="42">
        <v>45839</v>
      </c>
      <c r="Q119" s="30"/>
    </row>
    <row r="120" spans="1:17" s="8" customFormat="1">
      <c r="A120" s="30">
        <v>115</v>
      </c>
      <c r="B120" s="44" t="s">
        <v>175</v>
      </c>
      <c r="C120" s="47">
        <v>1088.0899999999999</v>
      </c>
      <c r="D120" s="42" t="s">
        <v>180</v>
      </c>
      <c r="E120" s="15">
        <v>45842</v>
      </c>
      <c r="F120" s="27" t="s">
        <v>181</v>
      </c>
      <c r="G120" s="37" t="s">
        <v>183</v>
      </c>
      <c r="H120" s="9">
        <v>93576.469020299992</v>
      </c>
      <c r="I120" s="31">
        <v>0.02</v>
      </c>
      <c r="J120" s="32">
        <f t="shared" si="3"/>
        <v>1872</v>
      </c>
      <c r="K120" s="32">
        <f t="shared" si="4"/>
        <v>91704.469020299992</v>
      </c>
      <c r="L120" s="32"/>
      <c r="M120" s="32"/>
      <c r="N120" s="15"/>
      <c r="O120" s="30" t="s">
        <v>149</v>
      </c>
      <c r="P120" s="42">
        <v>45839</v>
      </c>
      <c r="Q120" s="30"/>
    </row>
    <row r="121" spans="1:17" s="8" customFormat="1">
      <c r="A121" s="30">
        <v>116</v>
      </c>
      <c r="B121" s="44" t="s">
        <v>176</v>
      </c>
      <c r="C121" s="47">
        <v>518.4</v>
      </c>
      <c r="D121" s="42" t="s">
        <v>180</v>
      </c>
      <c r="E121" s="15">
        <v>45842</v>
      </c>
      <c r="F121" s="27" t="s">
        <v>181</v>
      </c>
      <c r="G121" s="37" t="s">
        <v>183</v>
      </c>
      <c r="H121" s="9">
        <v>44582.747327999998</v>
      </c>
      <c r="I121" s="31">
        <v>0.02</v>
      </c>
      <c r="J121" s="32">
        <f t="shared" si="3"/>
        <v>892</v>
      </c>
      <c r="K121" s="32">
        <f t="shared" si="4"/>
        <v>43690.747327999998</v>
      </c>
      <c r="L121" s="32"/>
      <c r="M121" s="32"/>
      <c r="N121" s="15"/>
      <c r="O121" s="30" t="s">
        <v>149</v>
      </c>
      <c r="P121" s="42">
        <v>45839</v>
      </c>
      <c r="Q121" s="30"/>
    </row>
    <row r="122" spans="1:17" s="8" customFormat="1">
      <c r="A122" s="30">
        <v>117</v>
      </c>
      <c r="B122" s="44" t="s">
        <v>177</v>
      </c>
      <c r="C122" s="47">
        <v>1350.66</v>
      </c>
      <c r="D122" s="42" t="s">
        <v>180</v>
      </c>
      <c r="E122" s="15">
        <v>45842</v>
      </c>
      <c r="F122" s="27" t="s">
        <v>182</v>
      </c>
      <c r="G122" s="37" t="s">
        <v>183</v>
      </c>
      <c r="H122" s="9">
        <v>116157.6649422</v>
      </c>
      <c r="I122" s="31">
        <v>0.02</v>
      </c>
      <c r="J122" s="32">
        <f t="shared" si="3"/>
        <v>2323</v>
      </c>
      <c r="K122" s="32">
        <f t="shared" si="4"/>
        <v>113834.6649422</v>
      </c>
      <c r="L122" s="32"/>
      <c r="M122" s="32"/>
      <c r="N122" s="15"/>
      <c r="O122" s="30" t="s">
        <v>149</v>
      </c>
      <c r="P122" s="42">
        <v>45839</v>
      </c>
      <c r="Q122" s="30"/>
    </row>
    <row r="123" spans="1:17" s="8" customFormat="1">
      <c r="A123" s="30">
        <v>118</v>
      </c>
      <c r="B123" s="44" t="s">
        <v>178</v>
      </c>
      <c r="C123" s="47">
        <v>25</v>
      </c>
      <c r="D123" s="42" t="s">
        <v>180</v>
      </c>
      <c r="E123" s="15">
        <v>45842</v>
      </c>
      <c r="F123" s="27" t="s">
        <v>182</v>
      </c>
      <c r="G123" s="37" t="s">
        <v>183</v>
      </c>
      <c r="H123" s="9">
        <v>2150.0167499999998</v>
      </c>
      <c r="I123" s="31">
        <v>0.02</v>
      </c>
      <c r="J123" s="32">
        <f t="shared" si="3"/>
        <v>43</v>
      </c>
      <c r="K123" s="32">
        <f t="shared" si="4"/>
        <v>2107.0167499999998</v>
      </c>
      <c r="L123" s="32"/>
      <c r="M123" s="32"/>
      <c r="N123" s="15"/>
      <c r="O123" s="30" t="s">
        <v>149</v>
      </c>
      <c r="P123" s="42">
        <v>45839</v>
      </c>
      <c r="Q123" s="30"/>
    </row>
    <row r="124" spans="1:17" s="8" customFormat="1">
      <c r="A124" s="30">
        <v>119</v>
      </c>
      <c r="B124" s="44" t="s">
        <v>179</v>
      </c>
      <c r="C124" s="47">
        <v>604.79999999999995</v>
      </c>
      <c r="D124" s="42" t="s">
        <v>180</v>
      </c>
      <c r="E124" s="15">
        <v>45842</v>
      </c>
      <c r="F124" s="27" t="s">
        <v>182</v>
      </c>
      <c r="G124" s="37" t="s">
        <v>183</v>
      </c>
      <c r="H124" s="9">
        <v>52013.205215999995</v>
      </c>
      <c r="I124" s="31">
        <v>0.02</v>
      </c>
      <c r="J124" s="32">
        <f t="shared" si="3"/>
        <v>1040</v>
      </c>
      <c r="K124" s="32">
        <f t="shared" si="4"/>
        <v>50973.205215999995</v>
      </c>
      <c r="L124" s="32"/>
      <c r="M124" s="32"/>
      <c r="N124" s="15"/>
      <c r="O124" s="30" t="s">
        <v>149</v>
      </c>
      <c r="P124" s="42">
        <v>45839</v>
      </c>
      <c r="Q124" s="30"/>
    </row>
    <row r="125" spans="1:17" s="8" customFormat="1">
      <c r="A125" s="30">
        <v>120</v>
      </c>
      <c r="B125" s="40" t="s">
        <v>184</v>
      </c>
      <c r="C125" s="39">
        <v>720</v>
      </c>
      <c r="D125" s="42" t="s">
        <v>180</v>
      </c>
      <c r="E125" s="15">
        <v>45842</v>
      </c>
      <c r="F125" s="27">
        <v>256779414998</v>
      </c>
      <c r="G125" s="37" t="s">
        <v>183</v>
      </c>
      <c r="H125" s="9">
        <v>61920.482400000001</v>
      </c>
      <c r="I125" s="31">
        <v>0.02</v>
      </c>
      <c r="J125" s="32">
        <f t="shared" si="3"/>
        <v>1238</v>
      </c>
      <c r="K125" s="32">
        <f t="shared" si="4"/>
        <v>60682.482400000001</v>
      </c>
      <c r="L125" s="32"/>
      <c r="M125" s="32"/>
      <c r="N125" s="15"/>
      <c r="O125" s="30" t="s">
        <v>149</v>
      </c>
      <c r="P125" s="42">
        <v>45839</v>
      </c>
      <c r="Q125" s="30"/>
    </row>
    <row r="126" spans="1:17" s="8" customFormat="1">
      <c r="A126" s="30">
        <v>121</v>
      </c>
      <c r="B126" s="40" t="s">
        <v>185</v>
      </c>
      <c r="C126" s="39">
        <v>108</v>
      </c>
      <c r="D126" s="42" t="s">
        <v>180</v>
      </c>
      <c r="E126" s="15">
        <v>45842</v>
      </c>
      <c r="F126" s="27">
        <v>256779414998</v>
      </c>
      <c r="G126" s="37" t="s">
        <v>183</v>
      </c>
      <c r="H126" s="9">
        <v>9288.0723600000001</v>
      </c>
      <c r="I126" s="31">
        <v>0.02</v>
      </c>
      <c r="J126" s="32">
        <f t="shared" si="3"/>
        <v>186</v>
      </c>
      <c r="K126" s="32">
        <f t="shared" si="4"/>
        <v>9102.0723600000001</v>
      </c>
      <c r="L126" s="32"/>
      <c r="M126" s="32"/>
      <c r="N126" s="15"/>
      <c r="O126" s="30" t="s">
        <v>149</v>
      </c>
      <c r="P126" s="42">
        <v>45839</v>
      </c>
      <c r="Q126" s="30"/>
    </row>
    <row r="127" spans="1:17" s="8" customFormat="1">
      <c r="A127" s="30">
        <v>122</v>
      </c>
      <c r="B127" s="40" t="s">
        <v>186</v>
      </c>
      <c r="C127" s="39">
        <v>360</v>
      </c>
      <c r="D127" s="42" t="s">
        <v>180</v>
      </c>
      <c r="E127" s="15">
        <v>45842</v>
      </c>
      <c r="F127" s="27">
        <v>256779414998</v>
      </c>
      <c r="G127" s="37" t="s">
        <v>183</v>
      </c>
      <c r="H127" s="9">
        <v>30960.2412</v>
      </c>
      <c r="I127" s="31">
        <v>0.02</v>
      </c>
      <c r="J127" s="32">
        <f t="shared" si="3"/>
        <v>619</v>
      </c>
      <c r="K127" s="32">
        <f t="shared" si="4"/>
        <v>30341.2412</v>
      </c>
      <c r="L127" s="32"/>
      <c r="M127" s="32"/>
      <c r="N127" s="15"/>
      <c r="O127" s="30" t="s">
        <v>149</v>
      </c>
      <c r="P127" s="42">
        <v>45839</v>
      </c>
      <c r="Q127" s="30"/>
    </row>
    <row r="128" spans="1:17" s="8" customFormat="1">
      <c r="A128" s="30">
        <v>123</v>
      </c>
      <c r="B128" s="40" t="s">
        <v>187</v>
      </c>
      <c r="C128" s="39">
        <v>377.9</v>
      </c>
      <c r="D128" s="42" t="s">
        <v>180</v>
      </c>
      <c r="E128" s="15">
        <v>45842</v>
      </c>
      <c r="F128" s="27">
        <v>256779414998</v>
      </c>
      <c r="G128" s="37" t="s">
        <v>183</v>
      </c>
      <c r="H128" s="9">
        <v>32499.653192999998</v>
      </c>
      <c r="I128" s="31">
        <v>0.02</v>
      </c>
      <c r="J128" s="32">
        <f t="shared" si="3"/>
        <v>650</v>
      </c>
      <c r="K128" s="32">
        <f t="shared" si="4"/>
        <v>31849.653192999998</v>
      </c>
      <c r="L128" s="32"/>
      <c r="M128" s="32"/>
      <c r="N128" s="15"/>
      <c r="O128" s="30" t="s">
        <v>149</v>
      </c>
      <c r="P128" s="42">
        <v>45839</v>
      </c>
      <c r="Q128" s="30"/>
    </row>
    <row r="129" spans="1:17" s="8" customFormat="1">
      <c r="A129" s="30">
        <v>124</v>
      </c>
      <c r="B129" s="40" t="s">
        <v>188</v>
      </c>
      <c r="C129" s="39">
        <v>13.63</v>
      </c>
      <c r="D129" s="42" t="s">
        <v>180</v>
      </c>
      <c r="E129" s="15">
        <v>45842</v>
      </c>
      <c r="F129" s="27">
        <v>256779414998</v>
      </c>
      <c r="G129" s="37" t="s">
        <v>183</v>
      </c>
      <c r="H129" s="9">
        <v>1172.1891321000001</v>
      </c>
      <c r="I129" s="31">
        <v>0.02</v>
      </c>
      <c r="J129" s="32">
        <f t="shared" si="3"/>
        <v>23</v>
      </c>
      <c r="K129" s="32">
        <f t="shared" si="4"/>
        <v>1149.1891321000001</v>
      </c>
      <c r="L129" s="32"/>
      <c r="M129" s="32"/>
      <c r="N129" s="15"/>
      <c r="O129" s="30" t="s">
        <v>149</v>
      </c>
      <c r="P129" s="42">
        <v>45839</v>
      </c>
      <c r="Q129" s="30"/>
    </row>
    <row r="130" spans="1:17" s="8" customFormat="1">
      <c r="A130" s="30">
        <v>125</v>
      </c>
      <c r="B130" s="40" t="s">
        <v>189</v>
      </c>
      <c r="C130" s="39">
        <v>172.8</v>
      </c>
      <c r="D130" s="42" t="s">
        <v>180</v>
      </c>
      <c r="E130" s="15">
        <v>45842</v>
      </c>
      <c r="F130" s="27">
        <v>256779414998</v>
      </c>
      <c r="G130" s="37" t="s">
        <v>183</v>
      </c>
      <c r="H130" s="9">
        <v>14860.915776000002</v>
      </c>
      <c r="I130" s="31">
        <v>0.02</v>
      </c>
      <c r="J130" s="32">
        <f t="shared" si="3"/>
        <v>297</v>
      </c>
      <c r="K130" s="32">
        <f t="shared" si="4"/>
        <v>14563.915776000002</v>
      </c>
      <c r="L130" s="32"/>
      <c r="M130" s="32"/>
      <c r="N130" s="15"/>
      <c r="O130" s="30" t="s">
        <v>149</v>
      </c>
      <c r="P130" s="42">
        <v>45839</v>
      </c>
      <c r="Q130" s="30"/>
    </row>
    <row r="131" spans="1:17" s="8" customFormat="1">
      <c r="A131" s="30">
        <v>126</v>
      </c>
      <c r="B131" s="40" t="s">
        <v>190</v>
      </c>
      <c r="C131" s="39">
        <v>14.09</v>
      </c>
      <c r="D131" s="42" t="s">
        <v>180</v>
      </c>
      <c r="E131" s="15">
        <v>45842</v>
      </c>
      <c r="F131" s="27">
        <v>256779415031</v>
      </c>
      <c r="G131" s="37" t="s">
        <v>183</v>
      </c>
      <c r="H131" s="9">
        <v>1211.7494403000001</v>
      </c>
      <c r="I131" s="31">
        <v>0.02</v>
      </c>
      <c r="J131" s="32">
        <f t="shared" si="3"/>
        <v>24</v>
      </c>
      <c r="K131" s="32">
        <f t="shared" si="4"/>
        <v>1187.7494403000001</v>
      </c>
      <c r="L131" s="32"/>
      <c r="M131" s="32"/>
      <c r="N131" s="15"/>
      <c r="O131" s="30" t="s">
        <v>149</v>
      </c>
      <c r="P131" s="42">
        <v>45839</v>
      </c>
      <c r="Q131" s="30"/>
    </row>
    <row r="132" spans="1:17" s="8" customFormat="1">
      <c r="A132" s="30">
        <v>127</v>
      </c>
      <c r="B132" s="40" t="s">
        <v>191</v>
      </c>
      <c r="C132" s="39">
        <v>139.58000000000001</v>
      </c>
      <c r="D132" s="42" t="s">
        <v>180</v>
      </c>
      <c r="E132" s="15">
        <v>45842</v>
      </c>
      <c r="F132" s="27">
        <v>256779414851</v>
      </c>
      <c r="G132" s="37" t="s">
        <v>183</v>
      </c>
      <c r="H132" s="9">
        <v>12003.973518600002</v>
      </c>
      <c r="I132" s="31">
        <v>0.02</v>
      </c>
      <c r="J132" s="32">
        <f t="shared" si="3"/>
        <v>240</v>
      </c>
      <c r="K132" s="32">
        <f t="shared" si="4"/>
        <v>11763.973518600002</v>
      </c>
      <c r="L132" s="32"/>
      <c r="M132" s="32"/>
      <c r="N132" s="15"/>
      <c r="O132" s="30" t="s">
        <v>149</v>
      </c>
      <c r="P132" s="42">
        <v>45839</v>
      </c>
      <c r="Q132" s="30"/>
    </row>
    <row r="133" spans="1:17" s="8" customFormat="1">
      <c r="A133" s="30">
        <v>128</v>
      </c>
      <c r="B133" s="40" t="s">
        <v>192</v>
      </c>
      <c r="C133" s="41">
        <v>1620</v>
      </c>
      <c r="D133" s="42" t="s">
        <v>180</v>
      </c>
      <c r="E133" s="15">
        <v>45842</v>
      </c>
      <c r="F133" s="27">
        <v>256779414866</v>
      </c>
      <c r="G133" s="37" t="s">
        <v>183</v>
      </c>
      <c r="H133" s="9">
        <v>139321.08540000001</v>
      </c>
      <c r="I133" s="31">
        <v>0.02</v>
      </c>
      <c r="J133" s="32">
        <f t="shared" si="3"/>
        <v>2786</v>
      </c>
      <c r="K133" s="32">
        <f t="shared" si="4"/>
        <v>136535.08540000001</v>
      </c>
      <c r="L133" s="32"/>
      <c r="M133" s="32"/>
      <c r="N133" s="15"/>
      <c r="O133" s="30" t="s">
        <v>149</v>
      </c>
      <c r="P133" s="42">
        <v>45839</v>
      </c>
      <c r="Q133" s="30"/>
    </row>
    <row r="134" spans="1:17" s="8" customFormat="1">
      <c r="A134" s="30">
        <v>129</v>
      </c>
      <c r="B134" s="40" t="s">
        <v>193</v>
      </c>
      <c r="C134" s="39">
        <v>243</v>
      </c>
      <c r="D134" s="42" t="s">
        <v>180</v>
      </c>
      <c r="E134" s="15">
        <v>45842</v>
      </c>
      <c r="F134" s="27">
        <v>256779414866</v>
      </c>
      <c r="G134" s="37" t="s">
        <v>183</v>
      </c>
      <c r="H134" s="9">
        <v>20898.162810000002</v>
      </c>
      <c r="I134" s="31">
        <v>0.02</v>
      </c>
      <c r="J134" s="32">
        <f t="shared" si="3"/>
        <v>418</v>
      </c>
      <c r="K134" s="32">
        <f t="shared" si="4"/>
        <v>20480.162810000002</v>
      </c>
      <c r="L134" s="32"/>
      <c r="M134" s="32"/>
      <c r="N134" s="15"/>
      <c r="O134" s="30" t="s">
        <v>149</v>
      </c>
      <c r="P134" s="42">
        <v>45839</v>
      </c>
      <c r="Q134" s="30"/>
    </row>
    <row r="135" spans="1:17" s="8" customFormat="1">
      <c r="A135" s="30">
        <v>130</v>
      </c>
      <c r="B135" s="40" t="s">
        <v>194</v>
      </c>
      <c r="C135" s="39">
        <v>809.23</v>
      </c>
      <c r="D135" s="42" t="s">
        <v>180</v>
      </c>
      <c r="E135" s="15">
        <v>45842</v>
      </c>
      <c r="F135" s="27">
        <v>256779414866</v>
      </c>
      <c r="G135" s="37" t="s">
        <v>183</v>
      </c>
      <c r="H135" s="9">
        <v>69594.322184100005</v>
      </c>
      <c r="I135" s="31">
        <v>0.02</v>
      </c>
      <c r="J135" s="32">
        <f t="shared" ref="J135:J157" si="7">ROUND(H135*I135,0)</f>
        <v>1392</v>
      </c>
      <c r="K135" s="32">
        <f t="shared" si="4"/>
        <v>68202.322184100005</v>
      </c>
      <c r="L135" s="32"/>
      <c r="M135" s="32"/>
      <c r="N135" s="15"/>
      <c r="O135" s="30" t="s">
        <v>149</v>
      </c>
      <c r="P135" s="42">
        <v>45839</v>
      </c>
      <c r="Q135" s="30"/>
    </row>
    <row r="136" spans="1:17" s="8" customFormat="1">
      <c r="A136" s="30">
        <v>131</v>
      </c>
      <c r="B136" s="40" t="s">
        <v>195</v>
      </c>
      <c r="C136" s="39">
        <v>388.8</v>
      </c>
      <c r="D136" s="42" t="s">
        <v>180</v>
      </c>
      <c r="E136" s="15">
        <v>45842</v>
      </c>
      <c r="F136" s="27">
        <v>256779414866</v>
      </c>
      <c r="G136" s="37" t="s">
        <v>183</v>
      </c>
      <c r="H136" s="9">
        <v>33437.060495999998</v>
      </c>
      <c r="I136" s="31">
        <v>0.02</v>
      </c>
      <c r="J136" s="32">
        <f t="shared" si="7"/>
        <v>669</v>
      </c>
      <c r="K136" s="32">
        <f t="shared" si="4"/>
        <v>32768.060495999998</v>
      </c>
      <c r="L136" s="32"/>
      <c r="M136" s="32"/>
      <c r="N136" s="15"/>
      <c r="O136" s="30" t="s">
        <v>149</v>
      </c>
      <c r="P136" s="42">
        <v>45839</v>
      </c>
      <c r="Q136" s="30"/>
    </row>
    <row r="137" spans="1:17" s="8" customFormat="1">
      <c r="A137" s="30">
        <v>132</v>
      </c>
      <c r="B137" s="40" t="s">
        <v>196</v>
      </c>
      <c r="C137" s="39">
        <v>630</v>
      </c>
      <c r="D137" s="42" t="s">
        <v>180</v>
      </c>
      <c r="E137" s="15">
        <v>45842</v>
      </c>
      <c r="F137" s="27">
        <v>256779414866</v>
      </c>
      <c r="G137" s="37" t="s">
        <v>183</v>
      </c>
      <c r="H137" s="9">
        <v>54180.422099999996</v>
      </c>
      <c r="I137" s="31">
        <v>0.02</v>
      </c>
      <c r="J137" s="32">
        <f t="shared" si="7"/>
        <v>1084</v>
      </c>
      <c r="K137" s="32">
        <f t="shared" si="4"/>
        <v>53096.422099999996</v>
      </c>
      <c r="L137" s="32"/>
      <c r="M137" s="32"/>
      <c r="N137" s="15"/>
      <c r="O137" s="48" t="s">
        <v>149</v>
      </c>
      <c r="P137" s="42">
        <v>45839</v>
      </c>
      <c r="Q137" s="30"/>
    </row>
    <row r="138" spans="1:17" s="8" customFormat="1">
      <c r="A138" s="30">
        <v>133</v>
      </c>
      <c r="B138" s="44" t="s">
        <v>197</v>
      </c>
      <c r="C138" s="47">
        <v>5120.2</v>
      </c>
      <c r="D138" s="42" t="s">
        <v>180</v>
      </c>
      <c r="E138" s="15">
        <v>45842</v>
      </c>
      <c r="F138" s="36">
        <v>256779415205</v>
      </c>
      <c r="G138" s="37" t="s">
        <v>183</v>
      </c>
      <c r="H138" s="9">
        <v>440340.630534</v>
      </c>
      <c r="I138" s="31">
        <v>0.1</v>
      </c>
      <c r="J138" s="32">
        <f t="shared" si="7"/>
        <v>44034</v>
      </c>
      <c r="K138" s="32">
        <f t="shared" si="4"/>
        <v>396306.630534</v>
      </c>
      <c r="L138" s="32">
        <v>144316.00431359999</v>
      </c>
      <c r="M138" s="32">
        <f>K138-L138</f>
        <v>251990.62622040001</v>
      </c>
      <c r="N138" s="15">
        <v>45993</v>
      </c>
      <c r="O138" s="30" t="s">
        <v>256</v>
      </c>
      <c r="P138" s="42">
        <v>45839</v>
      </c>
      <c r="Q138" s="30" t="s">
        <v>278</v>
      </c>
    </row>
    <row r="139" spans="1:17" s="8" customFormat="1">
      <c r="A139" s="30">
        <v>134</v>
      </c>
      <c r="B139" s="44" t="s">
        <v>199</v>
      </c>
      <c r="C139" s="47">
        <v>449.63</v>
      </c>
      <c r="D139" s="42" t="s">
        <v>180</v>
      </c>
      <c r="E139" s="15">
        <v>45856</v>
      </c>
      <c r="F139" s="36">
        <v>256779415417</v>
      </c>
      <c r="G139" s="37" t="s">
        <v>183</v>
      </c>
      <c r="H139" s="9">
        <v>38668.481252099999</v>
      </c>
      <c r="I139" s="31">
        <v>0.02</v>
      </c>
      <c r="J139" s="32">
        <f t="shared" si="7"/>
        <v>773</v>
      </c>
      <c r="K139" s="32">
        <f t="shared" si="4"/>
        <v>37895.481252099999</v>
      </c>
      <c r="L139" s="32"/>
      <c r="M139" s="32">
        <f>K139</f>
        <v>37895.481252099999</v>
      </c>
      <c r="N139" s="15">
        <v>45891</v>
      </c>
      <c r="O139" s="8" t="s">
        <v>221</v>
      </c>
      <c r="P139" s="42">
        <v>45839</v>
      </c>
      <c r="Q139" s="30"/>
    </row>
    <row r="140" spans="1:17" s="8" customFormat="1">
      <c r="A140" s="30">
        <v>135</v>
      </c>
      <c r="B140" s="44" t="s">
        <v>200</v>
      </c>
      <c r="C140" s="47">
        <v>84.17</v>
      </c>
      <c r="D140" s="42" t="s">
        <v>180</v>
      </c>
      <c r="E140" s="15">
        <v>45842</v>
      </c>
      <c r="F140" s="36">
        <v>256779415267</v>
      </c>
      <c r="G140" s="37" t="s">
        <v>183</v>
      </c>
      <c r="H140" s="9">
        <v>7238.6763939000002</v>
      </c>
      <c r="I140" s="31">
        <v>0.02</v>
      </c>
      <c r="J140" s="32">
        <f t="shared" si="7"/>
        <v>145</v>
      </c>
      <c r="K140" s="32">
        <f t="shared" ref="K140:K157" si="8">H140-J140</f>
        <v>7093.6763939000002</v>
      </c>
      <c r="L140" s="32"/>
      <c r="M140" s="32">
        <f>K140</f>
        <v>7093.6763939000002</v>
      </c>
      <c r="N140" s="15">
        <v>45891</v>
      </c>
      <c r="O140" s="8" t="s">
        <v>221</v>
      </c>
      <c r="P140" s="42">
        <v>45839</v>
      </c>
      <c r="Q140" s="30"/>
    </row>
    <row r="141" spans="1:17" s="8" customFormat="1">
      <c r="A141" s="30">
        <v>136</v>
      </c>
      <c r="B141" s="44" t="s">
        <v>202</v>
      </c>
      <c r="C141" s="47">
        <v>180</v>
      </c>
      <c r="D141" s="42" t="s">
        <v>146</v>
      </c>
      <c r="E141" s="15">
        <v>45863</v>
      </c>
      <c r="F141" s="36">
        <v>256779415941</v>
      </c>
      <c r="G141" s="37" t="s">
        <v>183</v>
      </c>
      <c r="H141" s="9">
        <v>15480.1206</v>
      </c>
      <c r="I141" s="31">
        <v>0.02</v>
      </c>
      <c r="J141" s="32">
        <f t="shared" si="7"/>
        <v>310</v>
      </c>
      <c r="K141" s="32">
        <f t="shared" si="8"/>
        <v>15170.1206</v>
      </c>
      <c r="L141" s="32"/>
      <c r="M141" s="32">
        <f>K141-L141</f>
        <v>15170.1206</v>
      </c>
      <c r="N141" s="15">
        <v>45993</v>
      </c>
      <c r="O141" s="30" t="s">
        <v>256</v>
      </c>
      <c r="P141" s="42">
        <v>45839</v>
      </c>
      <c r="Q141" s="30"/>
    </row>
    <row r="142" spans="1:17" s="8" customFormat="1">
      <c r="A142" s="30">
        <v>137</v>
      </c>
      <c r="B142" s="44" t="s">
        <v>203</v>
      </c>
      <c r="C142" s="47">
        <v>133.63</v>
      </c>
      <c r="D142" s="42" t="s">
        <v>146</v>
      </c>
      <c r="E142" s="15">
        <v>45863</v>
      </c>
      <c r="F142" s="36">
        <v>256779415941</v>
      </c>
      <c r="G142" s="37" t="s">
        <v>183</v>
      </c>
      <c r="H142" s="9">
        <v>11492.269532099999</v>
      </c>
      <c r="I142" s="31">
        <v>0.02</v>
      </c>
      <c r="J142" s="32">
        <f t="shared" si="7"/>
        <v>230</v>
      </c>
      <c r="K142" s="32">
        <f t="shared" si="8"/>
        <v>11262.269532099999</v>
      </c>
      <c r="L142" s="32"/>
      <c r="M142" s="32">
        <f>K142-L142</f>
        <v>11262.269532099999</v>
      </c>
      <c r="N142" s="15">
        <v>46006</v>
      </c>
      <c r="O142" s="30" t="s">
        <v>257</v>
      </c>
      <c r="P142" s="42">
        <v>45839</v>
      </c>
      <c r="Q142" s="30"/>
    </row>
    <row r="143" spans="1:17" s="8" customFormat="1">
      <c r="A143" s="30">
        <v>138</v>
      </c>
      <c r="B143" s="44" t="s">
        <v>204</v>
      </c>
      <c r="C143" s="47">
        <v>43.2</v>
      </c>
      <c r="D143" s="42" t="s">
        <v>146</v>
      </c>
      <c r="E143" s="15">
        <v>45863</v>
      </c>
      <c r="F143" s="36">
        <v>256779415941</v>
      </c>
      <c r="G143" s="37" t="s">
        <v>183</v>
      </c>
      <c r="H143" s="9">
        <v>3715.2289440000004</v>
      </c>
      <c r="I143" s="31">
        <v>0.02</v>
      </c>
      <c r="J143" s="32">
        <f t="shared" si="7"/>
        <v>74</v>
      </c>
      <c r="K143" s="32">
        <f t="shared" si="8"/>
        <v>3641.2289440000004</v>
      </c>
      <c r="L143" s="32"/>
      <c r="M143" s="32">
        <f>K143-L143</f>
        <v>3641.2289440000004</v>
      </c>
      <c r="N143" s="15">
        <v>46006</v>
      </c>
      <c r="O143" s="30" t="s">
        <v>257</v>
      </c>
      <c r="P143" s="42">
        <v>45839</v>
      </c>
      <c r="Q143" s="30"/>
    </row>
    <row r="144" spans="1:17" s="8" customFormat="1">
      <c r="A144" s="30">
        <v>139</v>
      </c>
      <c r="B144" s="44" t="s">
        <v>205</v>
      </c>
      <c r="C144" s="47">
        <v>4902.53</v>
      </c>
      <c r="D144" s="42" t="s">
        <v>217</v>
      </c>
      <c r="E144" s="15">
        <v>45877</v>
      </c>
      <c r="F144" s="36">
        <v>256779416093</v>
      </c>
      <c r="G144" s="37" t="s">
        <v>218</v>
      </c>
      <c r="H144" s="9">
        <v>421765.24420359998</v>
      </c>
      <c r="I144" s="31">
        <v>0.1</v>
      </c>
      <c r="J144" s="32">
        <f t="shared" si="7"/>
        <v>42177</v>
      </c>
      <c r="K144" s="32">
        <f t="shared" si="8"/>
        <v>379588.24420359998</v>
      </c>
      <c r="L144" s="32">
        <v>246362.73404159996</v>
      </c>
      <c r="M144" s="32">
        <f>K144-L144</f>
        <v>133225.51016200002</v>
      </c>
      <c r="N144" s="15">
        <v>45932</v>
      </c>
      <c r="O144" s="8" t="s">
        <v>244</v>
      </c>
      <c r="P144" s="42">
        <v>45870</v>
      </c>
      <c r="Q144" s="30" t="s">
        <v>278</v>
      </c>
    </row>
    <row r="145" spans="1:17" s="8" customFormat="1">
      <c r="A145" s="30">
        <v>140</v>
      </c>
      <c r="B145" s="44" t="s">
        <v>206</v>
      </c>
      <c r="C145" s="47">
        <v>700</v>
      </c>
      <c r="D145" s="42" t="s">
        <v>217</v>
      </c>
      <c r="E145" s="15">
        <v>45877</v>
      </c>
      <c r="F145" s="36">
        <v>256779416122</v>
      </c>
      <c r="G145" s="37" t="s">
        <v>218</v>
      </c>
      <c r="H145" s="9">
        <v>60221.083999999995</v>
      </c>
      <c r="I145" s="31">
        <v>0.02</v>
      </c>
      <c r="J145" s="32">
        <f t="shared" si="7"/>
        <v>1204</v>
      </c>
      <c r="K145" s="32">
        <f t="shared" si="8"/>
        <v>59017.083999999995</v>
      </c>
      <c r="L145" s="32"/>
      <c r="M145" s="32"/>
      <c r="N145" s="15"/>
      <c r="O145" s="30" t="s">
        <v>149</v>
      </c>
      <c r="P145" s="42">
        <v>45870</v>
      </c>
      <c r="Q145" s="30"/>
    </row>
    <row r="146" spans="1:17" s="8" customFormat="1">
      <c r="A146" s="30">
        <v>141</v>
      </c>
      <c r="B146" s="44" t="s">
        <v>207</v>
      </c>
      <c r="C146" s="47">
        <v>323.47000000000003</v>
      </c>
      <c r="D146" s="42" t="s">
        <v>217</v>
      </c>
      <c r="E146" s="15">
        <v>45877</v>
      </c>
      <c r="F146" s="36">
        <v>256779416130</v>
      </c>
      <c r="G146" s="37" t="s">
        <v>218</v>
      </c>
      <c r="H146" s="9">
        <v>27828.162916400001</v>
      </c>
      <c r="I146" s="31">
        <v>0.02</v>
      </c>
      <c r="J146" s="32">
        <f t="shared" si="7"/>
        <v>557</v>
      </c>
      <c r="K146" s="32">
        <f t="shared" si="8"/>
        <v>27271.162916400001</v>
      </c>
      <c r="L146" s="32"/>
      <c r="M146" s="32">
        <f>K146</f>
        <v>27271.162916400001</v>
      </c>
      <c r="N146" s="15">
        <v>45896</v>
      </c>
      <c r="O146" s="8" t="s">
        <v>222</v>
      </c>
      <c r="P146" s="42">
        <v>45870</v>
      </c>
      <c r="Q146" s="30"/>
    </row>
    <row r="147" spans="1:17" s="8" customFormat="1">
      <c r="A147" s="30">
        <v>142</v>
      </c>
      <c r="B147" s="44" t="s">
        <v>208</v>
      </c>
      <c r="C147" s="47">
        <v>189</v>
      </c>
      <c r="D147" s="42" t="s">
        <v>217</v>
      </c>
      <c r="E147" s="15">
        <v>45877</v>
      </c>
      <c r="F147" s="36">
        <v>256779416154</v>
      </c>
      <c r="G147" s="37" t="s">
        <v>218</v>
      </c>
      <c r="H147" s="9">
        <v>16259.69268</v>
      </c>
      <c r="I147" s="31">
        <v>0.02</v>
      </c>
      <c r="J147" s="32">
        <f t="shared" si="7"/>
        <v>325</v>
      </c>
      <c r="K147" s="32">
        <f t="shared" si="8"/>
        <v>15934.69268</v>
      </c>
      <c r="L147" s="32"/>
      <c r="M147" s="32">
        <f>K147</f>
        <v>15934.69268</v>
      </c>
      <c r="N147" s="15">
        <v>45891</v>
      </c>
      <c r="O147" s="8" t="s">
        <v>221</v>
      </c>
      <c r="P147" s="42">
        <v>45870</v>
      </c>
      <c r="Q147" s="30"/>
    </row>
    <row r="148" spans="1:17" s="8" customFormat="1">
      <c r="A148" s="30">
        <v>143</v>
      </c>
      <c r="B148" s="44" t="s">
        <v>209</v>
      </c>
      <c r="C148" s="47">
        <v>652.21</v>
      </c>
      <c r="D148" s="42" t="s">
        <v>217</v>
      </c>
      <c r="E148" s="15">
        <v>45877</v>
      </c>
      <c r="F148" s="36">
        <v>256779416154</v>
      </c>
      <c r="G148" s="37" t="s">
        <v>218</v>
      </c>
      <c r="H148" s="9">
        <v>56109.704565200002</v>
      </c>
      <c r="I148" s="31">
        <v>0.02</v>
      </c>
      <c r="J148" s="32">
        <f t="shared" si="7"/>
        <v>1122</v>
      </c>
      <c r="K148" s="32">
        <f t="shared" si="8"/>
        <v>54987.704565200002</v>
      </c>
      <c r="L148" s="32"/>
      <c r="M148" s="32">
        <f>K148</f>
        <v>54987.704565200002</v>
      </c>
      <c r="N148" s="15">
        <v>45905</v>
      </c>
      <c r="O148" s="30" t="s">
        <v>227</v>
      </c>
      <c r="P148" s="42">
        <v>45870</v>
      </c>
      <c r="Q148" s="30"/>
    </row>
    <row r="149" spans="1:17" s="8" customFormat="1">
      <c r="A149" s="30">
        <v>144</v>
      </c>
      <c r="B149" s="44" t="s">
        <v>210</v>
      </c>
      <c r="C149" s="47">
        <v>302.39999999999998</v>
      </c>
      <c r="D149" s="42" t="s">
        <v>217</v>
      </c>
      <c r="E149" s="15">
        <v>45877</v>
      </c>
      <c r="F149" s="36">
        <v>256779416154</v>
      </c>
      <c r="G149" s="37" t="s">
        <v>218</v>
      </c>
      <c r="H149" s="9">
        <v>26015.508287999997</v>
      </c>
      <c r="I149" s="31">
        <v>0.02</v>
      </c>
      <c r="J149" s="32">
        <f t="shared" si="7"/>
        <v>520</v>
      </c>
      <c r="K149" s="32">
        <f t="shared" si="8"/>
        <v>25495.508287999997</v>
      </c>
      <c r="L149" s="32"/>
      <c r="M149" s="32">
        <f>K149</f>
        <v>25495.508287999997</v>
      </c>
      <c r="N149" s="15">
        <v>45905</v>
      </c>
      <c r="O149" s="30" t="s">
        <v>227</v>
      </c>
      <c r="P149" s="42">
        <v>45870</v>
      </c>
      <c r="Q149" s="30"/>
    </row>
    <row r="150" spans="1:17" s="8" customFormat="1">
      <c r="A150" s="30">
        <v>145</v>
      </c>
      <c r="B150" s="44" t="s">
        <v>211</v>
      </c>
      <c r="C150" s="47">
        <v>3500</v>
      </c>
      <c r="D150" s="42" t="s">
        <v>217</v>
      </c>
      <c r="E150" s="15">
        <v>45877</v>
      </c>
      <c r="F150" s="36">
        <v>256779416155</v>
      </c>
      <c r="G150" s="37" t="s">
        <v>218</v>
      </c>
      <c r="H150" s="9">
        <v>301105.42</v>
      </c>
      <c r="I150" s="31">
        <v>0.02</v>
      </c>
      <c r="J150" s="32">
        <f t="shared" si="7"/>
        <v>6022</v>
      </c>
      <c r="K150" s="32">
        <f t="shared" si="8"/>
        <v>295083.42</v>
      </c>
      <c r="L150" s="32"/>
      <c r="M150" s="32">
        <f t="shared" ref="M150:M151" si="9">K150</f>
        <v>295083.42</v>
      </c>
      <c r="N150" s="15">
        <v>45891</v>
      </c>
      <c r="O150" s="8" t="s">
        <v>221</v>
      </c>
      <c r="P150" s="42">
        <v>45870</v>
      </c>
      <c r="Q150" s="30"/>
    </row>
    <row r="151" spans="1:17" s="8" customFormat="1">
      <c r="A151" s="30">
        <v>146</v>
      </c>
      <c r="B151" s="44" t="s">
        <v>212</v>
      </c>
      <c r="C151" s="47">
        <v>1106.3399999999999</v>
      </c>
      <c r="D151" s="42" t="s">
        <v>217</v>
      </c>
      <c r="E151" s="15">
        <v>45877</v>
      </c>
      <c r="F151" s="36">
        <v>256779416193</v>
      </c>
      <c r="G151" s="37" t="s">
        <v>218</v>
      </c>
      <c r="H151" s="9">
        <v>95178.562960799987</v>
      </c>
      <c r="I151" s="31">
        <v>0.02</v>
      </c>
      <c r="J151" s="32">
        <f t="shared" si="7"/>
        <v>1904</v>
      </c>
      <c r="K151" s="32">
        <f t="shared" si="8"/>
        <v>93274.562960799987</v>
      </c>
      <c r="L151" s="32"/>
      <c r="M151" s="32">
        <f t="shared" si="9"/>
        <v>93274.562960799987</v>
      </c>
      <c r="N151" s="15">
        <v>45891</v>
      </c>
      <c r="O151" s="8" t="s">
        <v>221</v>
      </c>
      <c r="P151" s="42">
        <v>45870</v>
      </c>
      <c r="Q151" s="30"/>
    </row>
    <row r="152" spans="1:17" s="8" customFormat="1">
      <c r="A152" s="30">
        <v>147</v>
      </c>
      <c r="B152" s="44" t="s">
        <v>213</v>
      </c>
      <c r="C152" s="47">
        <v>518.4</v>
      </c>
      <c r="D152" s="42" t="s">
        <v>217</v>
      </c>
      <c r="E152" s="15">
        <v>45877</v>
      </c>
      <c r="F152" s="36">
        <v>256779416193</v>
      </c>
      <c r="G152" s="37" t="s">
        <v>218</v>
      </c>
      <c r="H152" s="9">
        <v>44598.014207999993</v>
      </c>
      <c r="I152" s="31">
        <v>0.02</v>
      </c>
      <c r="J152" s="32">
        <f t="shared" si="7"/>
        <v>892</v>
      </c>
      <c r="K152" s="32">
        <f t="shared" si="8"/>
        <v>43706.014207999993</v>
      </c>
      <c r="L152" s="32"/>
      <c r="M152" s="32">
        <f>K152</f>
        <v>43706.014207999993</v>
      </c>
      <c r="N152" s="15">
        <v>45905</v>
      </c>
      <c r="O152" s="30" t="s">
        <v>227</v>
      </c>
      <c r="P152" s="42">
        <v>45870</v>
      </c>
      <c r="Q152" s="30"/>
    </row>
    <row r="153" spans="1:17" s="8" customFormat="1">
      <c r="A153" s="30">
        <v>148</v>
      </c>
      <c r="B153" s="44" t="s">
        <v>214</v>
      </c>
      <c r="C153" s="47">
        <v>150.77000000000001</v>
      </c>
      <c r="D153" s="42" t="s">
        <v>217</v>
      </c>
      <c r="E153" s="15">
        <v>45877</v>
      </c>
      <c r="F153" s="36">
        <v>256779416437</v>
      </c>
      <c r="G153" s="37" t="s">
        <v>218</v>
      </c>
      <c r="H153" s="9">
        <v>12970.761192400001</v>
      </c>
      <c r="I153" s="31">
        <v>0.02</v>
      </c>
      <c r="J153" s="32">
        <f t="shared" si="7"/>
        <v>259</v>
      </c>
      <c r="K153" s="32">
        <f t="shared" si="8"/>
        <v>12711.761192400001</v>
      </c>
      <c r="L153" s="32"/>
      <c r="M153" s="32">
        <f t="shared" ref="M153:M154" si="10">K153</f>
        <v>12711.761192400001</v>
      </c>
      <c r="N153" s="15">
        <v>45891</v>
      </c>
      <c r="O153" s="8" t="s">
        <v>221</v>
      </c>
      <c r="P153" s="42">
        <v>45870</v>
      </c>
      <c r="Q153" s="30"/>
    </row>
    <row r="154" spans="1:17" s="8" customFormat="1">
      <c r="A154" s="30">
        <v>149</v>
      </c>
      <c r="B154" s="44" t="s">
        <v>215</v>
      </c>
      <c r="C154" s="47">
        <v>123.36</v>
      </c>
      <c r="D154" s="42" t="s">
        <v>217</v>
      </c>
      <c r="E154" s="15">
        <v>45877</v>
      </c>
      <c r="F154" s="36">
        <v>256779416450</v>
      </c>
      <c r="G154" s="37" t="s">
        <v>218</v>
      </c>
      <c r="H154" s="9">
        <v>10612.675603199999</v>
      </c>
      <c r="I154" s="31">
        <v>0.02</v>
      </c>
      <c r="J154" s="32">
        <f t="shared" si="7"/>
        <v>212</v>
      </c>
      <c r="K154" s="32">
        <f t="shared" si="8"/>
        <v>10400.675603199999</v>
      </c>
      <c r="L154" s="32"/>
      <c r="M154" s="32">
        <f t="shared" si="10"/>
        <v>10400.675603199999</v>
      </c>
      <c r="N154" s="15">
        <v>45891</v>
      </c>
      <c r="O154" s="8" t="s">
        <v>221</v>
      </c>
      <c r="P154" s="42">
        <v>45870</v>
      </c>
      <c r="Q154" s="30"/>
    </row>
    <row r="155" spans="1:17" s="8" customFormat="1">
      <c r="A155" s="30">
        <v>150</v>
      </c>
      <c r="B155" s="44" t="s">
        <v>216</v>
      </c>
      <c r="C155" s="47">
        <v>947.07</v>
      </c>
      <c r="D155" s="42" t="s">
        <v>217</v>
      </c>
      <c r="E155" s="15">
        <v>45877</v>
      </c>
      <c r="F155" s="36">
        <v>256779416500</v>
      </c>
      <c r="G155" s="37" t="s">
        <v>218</v>
      </c>
      <c r="H155" s="9">
        <v>81476.545748400007</v>
      </c>
      <c r="I155" s="31">
        <v>0.02</v>
      </c>
      <c r="J155" s="32">
        <f t="shared" si="7"/>
        <v>1630</v>
      </c>
      <c r="K155" s="32">
        <f t="shared" si="8"/>
        <v>79846.545748400007</v>
      </c>
      <c r="L155" s="32"/>
      <c r="M155" s="32">
        <f>K155</f>
        <v>79846.545748400007</v>
      </c>
      <c r="N155" s="15">
        <v>45896</v>
      </c>
      <c r="O155" s="30" t="s">
        <v>222</v>
      </c>
      <c r="P155" s="42">
        <v>45870</v>
      </c>
      <c r="Q155" s="30"/>
    </row>
    <row r="156" spans="1:17" s="8" customFormat="1">
      <c r="A156" s="30">
        <v>151</v>
      </c>
      <c r="B156" s="49" t="s">
        <v>219</v>
      </c>
      <c r="C156" s="47">
        <v>102.88</v>
      </c>
      <c r="D156" s="42" t="s">
        <v>180</v>
      </c>
      <c r="E156" s="15">
        <v>45842</v>
      </c>
      <c r="F156" s="50">
        <v>256779415254</v>
      </c>
      <c r="G156" s="37" t="s">
        <v>183</v>
      </c>
      <c r="H156" s="9">
        <v>8847.7489296000003</v>
      </c>
      <c r="I156" s="31">
        <v>0.02</v>
      </c>
      <c r="J156" s="32">
        <f t="shared" si="7"/>
        <v>177</v>
      </c>
      <c r="K156" s="32">
        <f t="shared" si="8"/>
        <v>8670.7489296000003</v>
      </c>
      <c r="L156" s="32"/>
      <c r="M156" s="32"/>
      <c r="N156" s="15"/>
      <c r="O156" s="30" t="s">
        <v>149</v>
      </c>
      <c r="P156" s="42">
        <v>45870</v>
      </c>
      <c r="Q156" s="30"/>
    </row>
    <row r="157" spans="1:17" s="8" customFormat="1">
      <c r="A157" s="30">
        <v>152</v>
      </c>
      <c r="B157" s="49" t="s">
        <v>220</v>
      </c>
      <c r="C157" s="47">
        <v>270</v>
      </c>
      <c r="D157" s="42" t="s">
        <v>217</v>
      </c>
      <c r="E157" s="15">
        <v>45888</v>
      </c>
      <c r="F157" s="50">
        <v>256779416579</v>
      </c>
      <c r="G157" s="37" t="s">
        <v>218</v>
      </c>
      <c r="H157" s="9">
        <v>23228.132399999999</v>
      </c>
      <c r="I157" s="31">
        <v>0.02</v>
      </c>
      <c r="J157" s="32">
        <f t="shared" si="7"/>
        <v>465</v>
      </c>
      <c r="K157" s="32">
        <f t="shared" si="8"/>
        <v>22763.132399999999</v>
      </c>
      <c r="L157" s="32"/>
      <c r="M157" s="32">
        <f>K157</f>
        <v>22763.132399999999</v>
      </c>
      <c r="N157" s="15">
        <v>45891</v>
      </c>
      <c r="O157" s="30" t="s">
        <v>221</v>
      </c>
      <c r="P157" s="42">
        <v>45870</v>
      </c>
      <c r="Q157" s="30"/>
    </row>
    <row r="158" spans="1:17" s="8" customFormat="1">
      <c r="A158" s="30">
        <v>153</v>
      </c>
      <c r="B158" s="44" t="s">
        <v>223</v>
      </c>
      <c r="C158" s="47">
        <v>20.57</v>
      </c>
      <c r="D158" s="42" t="s">
        <v>226</v>
      </c>
      <c r="E158" s="15">
        <v>45889</v>
      </c>
      <c r="F158" s="36">
        <v>256779416810</v>
      </c>
      <c r="G158" s="37" t="s">
        <v>218</v>
      </c>
      <c r="H158" s="9">
        <v>1769.6395683999999</v>
      </c>
      <c r="I158" s="31">
        <v>0.02</v>
      </c>
      <c r="J158" s="32">
        <f t="shared" ref="J158:J160" si="11">ROUND(H158*I158,0)</f>
        <v>35</v>
      </c>
      <c r="K158" s="32">
        <f t="shared" ref="K158:K160" si="12">H158-J158</f>
        <v>1734.6395683999999</v>
      </c>
      <c r="L158" s="32">
        <v>0</v>
      </c>
      <c r="M158" s="32">
        <f t="shared" ref="M158:M171" si="13">K158-L158</f>
        <v>1734.6395683999999</v>
      </c>
      <c r="N158" s="15">
        <v>45932</v>
      </c>
      <c r="O158" s="30" t="s">
        <v>244</v>
      </c>
      <c r="P158" s="42">
        <v>45870</v>
      </c>
      <c r="Q158" s="30"/>
    </row>
    <row r="159" spans="1:17" s="8" customFormat="1">
      <c r="A159" s="30">
        <v>154</v>
      </c>
      <c r="B159" s="44" t="s">
        <v>224</v>
      </c>
      <c r="C159" s="47">
        <v>3850</v>
      </c>
      <c r="D159" s="42" t="s">
        <v>226</v>
      </c>
      <c r="E159" s="15">
        <v>45889</v>
      </c>
      <c r="F159" s="36">
        <v>256779416825</v>
      </c>
      <c r="G159" s="37" t="s">
        <v>218</v>
      </c>
      <c r="H159" s="9">
        <v>331215.962</v>
      </c>
      <c r="I159" s="31">
        <v>0.02</v>
      </c>
      <c r="J159" s="32">
        <f t="shared" si="11"/>
        <v>6624</v>
      </c>
      <c r="K159" s="32">
        <f t="shared" si="12"/>
        <v>324591.962</v>
      </c>
      <c r="L159" s="32">
        <v>0</v>
      </c>
      <c r="M159" s="32">
        <f t="shared" si="13"/>
        <v>324591.962</v>
      </c>
      <c r="N159" s="15">
        <v>45933</v>
      </c>
      <c r="O159" s="30" t="s">
        <v>243</v>
      </c>
      <c r="P159" s="42">
        <v>45870</v>
      </c>
      <c r="Q159" s="30"/>
    </row>
    <row r="160" spans="1:17" s="8" customFormat="1">
      <c r="A160" s="30">
        <v>155</v>
      </c>
      <c r="B160" s="44" t="s">
        <v>225</v>
      </c>
      <c r="C160" s="47">
        <v>94.48</v>
      </c>
      <c r="D160" s="42" t="s">
        <v>226</v>
      </c>
      <c r="E160" s="15">
        <v>45889</v>
      </c>
      <c r="F160" s="36">
        <v>256779416855</v>
      </c>
      <c r="G160" s="37" t="s">
        <v>218</v>
      </c>
      <c r="H160" s="9">
        <v>8128.1257376000003</v>
      </c>
      <c r="I160" s="31">
        <v>0.02</v>
      </c>
      <c r="J160" s="32">
        <f t="shared" si="11"/>
        <v>163</v>
      </c>
      <c r="K160" s="32">
        <f t="shared" si="12"/>
        <v>7965.1257376000003</v>
      </c>
      <c r="L160" s="32">
        <v>0</v>
      </c>
      <c r="M160" s="32">
        <f t="shared" si="13"/>
        <v>7965.1257376000003</v>
      </c>
      <c r="N160" s="15">
        <v>45932</v>
      </c>
      <c r="O160" s="30" t="s">
        <v>244</v>
      </c>
      <c r="P160" s="42">
        <v>45870</v>
      </c>
      <c r="Q160" s="30"/>
    </row>
    <row r="161" spans="1:17" s="8" customFormat="1">
      <c r="A161" s="30">
        <v>156</v>
      </c>
      <c r="B161" s="44" t="s">
        <v>228</v>
      </c>
      <c r="C161" s="47">
        <v>25.04</v>
      </c>
      <c r="D161" s="42" t="s">
        <v>226</v>
      </c>
      <c r="E161" s="15">
        <v>45904</v>
      </c>
      <c r="F161" s="36">
        <v>256779417139</v>
      </c>
      <c r="G161" s="37" t="s">
        <v>238</v>
      </c>
      <c r="H161" s="9">
        <v>2191.3588231999997</v>
      </c>
      <c r="I161" s="31">
        <v>0.02</v>
      </c>
      <c r="J161" s="32">
        <f t="shared" ref="J161:J170" si="14">ROUND(H161*I161,0)</f>
        <v>44</v>
      </c>
      <c r="K161" s="32">
        <f t="shared" ref="K161:K170" si="15">H161-J161</f>
        <v>2147.3588231999997</v>
      </c>
      <c r="L161" s="32">
        <v>0</v>
      </c>
      <c r="M161" s="32">
        <f t="shared" si="13"/>
        <v>2147.3588231999997</v>
      </c>
      <c r="N161" s="15">
        <v>45932</v>
      </c>
      <c r="O161" s="30" t="s">
        <v>244</v>
      </c>
      <c r="P161" s="42">
        <v>45901</v>
      </c>
      <c r="Q161" s="30"/>
    </row>
    <row r="162" spans="1:17" s="8" customFormat="1">
      <c r="A162" s="30">
        <v>157</v>
      </c>
      <c r="B162" s="44" t="s">
        <v>229</v>
      </c>
      <c r="C162" s="47">
        <v>20.49</v>
      </c>
      <c r="D162" s="42" t="s">
        <v>226</v>
      </c>
      <c r="E162" s="15">
        <v>45904</v>
      </c>
      <c r="F162" s="36">
        <v>256779417140</v>
      </c>
      <c r="G162" s="37" t="s">
        <v>238</v>
      </c>
      <c r="H162" s="9">
        <v>1793.1686216999999</v>
      </c>
      <c r="I162" s="31">
        <v>0.02</v>
      </c>
      <c r="J162" s="32">
        <f t="shared" si="14"/>
        <v>36</v>
      </c>
      <c r="K162" s="32">
        <f t="shared" si="15"/>
        <v>1757.1686216999999</v>
      </c>
      <c r="L162" s="32">
        <v>0</v>
      </c>
      <c r="M162" s="32">
        <f t="shared" si="13"/>
        <v>1757.1686216999999</v>
      </c>
      <c r="N162" s="15">
        <v>45932</v>
      </c>
      <c r="O162" s="30" t="s">
        <v>244</v>
      </c>
      <c r="P162" s="42">
        <v>45901</v>
      </c>
      <c r="Q162" s="30"/>
    </row>
    <row r="163" spans="1:17" s="8" customFormat="1">
      <c r="A163" s="30">
        <v>158</v>
      </c>
      <c r="B163" s="44" t="s">
        <v>230</v>
      </c>
      <c r="C163" s="47">
        <v>8.8800000000000008</v>
      </c>
      <c r="D163" s="42" t="s">
        <v>226</v>
      </c>
      <c r="E163" s="15">
        <v>45904</v>
      </c>
      <c r="F163" s="36">
        <v>256779417191</v>
      </c>
      <c r="G163" s="37" t="s">
        <v>238</v>
      </c>
      <c r="H163" s="9">
        <v>777.12725040000009</v>
      </c>
      <c r="I163" s="31">
        <v>0.02</v>
      </c>
      <c r="J163" s="32">
        <f t="shared" si="14"/>
        <v>16</v>
      </c>
      <c r="K163" s="32">
        <f t="shared" si="15"/>
        <v>761.12725040000009</v>
      </c>
      <c r="L163" s="32">
        <v>0</v>
      </c>
      <c r="M163" s="32">
        <f t="shared" si="13"/>
        <v>761.12725040000009</v>
      </c>
      <c r="N163" s="15">
        <v>45932</v>
      </c>
      <c r="O163" s="30" t="s">
        <v>244</v>
      </c>
      <c r="P163" s="42">
        <v>45901</v>
      </c>
      <c r="Q163" s="30"/>
    </row>
    <row r="164" spans="1:17" s="8" customFormat="1">
      <c r="A164" s="30">
        <v>159</v>
      </c>
      <c r="B164" s="44" t="s">
        <v>231</v>
      </c>
      <c r="C164" s="47">
        <v>412</v>
      </c>
      <c r="D164" s="42" t="s">
        <v>226</v>
      </c>
      <c r="E164" s="15">
        <v>45904</v>
      </c>
      <c r="F164" s="36">
        <v>256779417235</v>
      </c>
      <c r="G164" s="37" t="s">
        <v>238</v>
      </c>
      <c r="H164" s="9">
        <v>36055.903960000003</v>
      </c>
      <c r="I164" s="31">
        <v>0.02</v>
      </c>
      <c r="J164" s="32">
        <f t="shared" si="14"/>
        <v>721</v>
      </c>
      <c r="K164" s="32">
        <f t="shared" si="15"/>
        <v>35334.903960000003</v>
      </c>
      <c r="L164" s="32">
        <v>0</v>
      </c>
      <c r="M164" s="32">
        <f t="shared" si="13"/>
        <v>35334.903960000003</v>
      </c>
      <c r="N164" s="15">
        <v>45932</v>
      </c>
      <c r="O164" s="30" t="s">
        <v>244</v>
      </c>
      <c r="P164" s="42">
        <v>45901</v>
      </c>
      <c r="Q164" s="30"/>
    </row>
    <row r="165" spans="1:17" s="8" customFormat="1">
      <c r="A165" s="30">
        <v>160</v>
      </c>
      <c r="B165" s="44" t="s">
        <v>232</v>
      </c>
      <c r="C165" s="47">
        <v>27</v>
      </c>
      <c r="D165" s="42" t="s">
        <v>226</v>
      </c>
      <c r="E165" s="15">
        <v>45904</v>
      </c>
      <c r="F165" s="36">
        <v>256779417267</v>
      </c>
      <c r="G165" s="37" t="s">
        <v>238</v>
      </c>
      <c r="H165" s="9">
        <v>2362.8869100000002</v>
      </c>
      <c r="I165" s="31">
        <v>0.02</v>
      </c>
      <c r="J165" s="32">
        <f t="shared" si="14"/>
        <v>47</v>
      </c>
      <c r="K165" s="32">
        <f t="shared" si="15"/>
        <v>2315.8869100000002</v>
      </c>
      <c r="L165" s="32">
        <v>0</v>
      </c>
      <c r="M165" s="32">
        <f t="shared" si="13"/>
        <v>2315.8869100000002</v>
      </c>
      <c r="N165" s="15">
        <v>45932</v>
      </c>
      <c r="O165" s="30" t="s">
        <v>244</v>
      </c>
      <c r="P165" s="42">
        <v>45901</v>
      </c>
      <c r="Q165" s="30"/>
    </row>
    <row r="166" spans="1:17" s="8" customFormat="1">
      <c r="A166" s="30">
        <v>161</v>
      </c>
      <c r="B166" s="44" t="s">
        <v>233</v>
      </c>
      <c r="C166" s="47">
        <v>94.48</v>
      </c>
      <c r="D166" s="42" t="s">
        <v>226</v>
      </c>
      <c r="E166" s="15">
        <v>45904</v>
      </c>
      <c r="F166" s="36">
        <v>256779417267</v>
      </c>
      <c r="G166" s="37" t="s">
        <v>238</v>
      </c>
      <c r="H166" s="9">
        <v>8268.3538984000006</v>
      </c>
      <c r="I166" s="31">
        <v>0.02</v>
      </c>
      <c r="J166" s="32">
        <f t="shared" si="14"/>
        <v>165</v>
      </c>
      <c r="K166" s="32">
        <f t="shared" si="15"/>
        <v>8103.3538984000006</v>
      </c>
      <c r="L166" s="32">
        <v>0</v>
      </c>
      <c r="M166" s="32">
        <f t="shared" si="13"/>
        <v>8103.3538984000006</v>
      </c>
      <c r="N166" s="15">
        <v>45932</v>
      </c>
      <c r="O166" s="30" t="s">
        <v>244</v>
      </c>
      <c r="P166" s="42">
        <v>45901</v>
      </c>
      <c r="Q166" s="30"/>
    </row>
    <row r="167" spans="1:17" s="8" customFormat="1">
      <c r="A167" s="30">
        <v>162</v>
      </c>
      <c r="B167" s="44" t="s">
        <v>234</v>
      </c>
      <c r="C167" s="47">
        <v>43.2</v>
      </c>
      <c r="D167" s="42" t="s">
        <v>226</v>
      </c>
      <c r="E167" s="15">
        <v>45904</v>
      </c>
      <c r="F167" s="36">
        <v>256779417267</v>
      </c>
      <c r="G167" s="37" t="s">
        <v>238</v>
      </c>
      <c r="H167" s="9">
        <v>3780.6190560000005</v>
      </c>
      <c r="I167" s="31">
        <v>0.02</v>
      </c>
      <c r="J167" s="32">
        <f t="shared" si="14"/>
        <v>76</v>
      </c>
      <c r="K167" s="32">
        <f t="shared" si="15"/>
        <v>3704.6190560000005</v>
      </c>
      <c r="L167" s="32">
        <v>0</v>
      </c>
      <c r="M167" s="32">
        <f t="shared" si="13"/>
        <v>3704.6190560000005</v>
      </c>
      <c r="N167" s="15">
        <v>45932</v>
      </c>
      <c r="O167" s="30" t="s">
        <v>244</v>
      </c>
      <c r="P167" s="42">
        <v>45901</v>
      </c>
      <c r="Q167" s="30"/>
    </row>
    <row r="168" spans="1:17" s="8" customFormat="1">
      <c r="A168" s="30">
        <v>163</v>
      </c>
      <c r="B168" s="44" t="s">
        <v>235</v>
      </c>
      <c r="C168" s="47">
        <v>94.48</v>
      </c>
      <c r="D168" s="42" t="s">
        <v>226</v>
      </c>
      <c r="E168" s="15">
        <v>45904</v>
      </c>
      <c r="F168" s="36">
        <v>256779417297</v>
      </c>
      <c r="G168" s="37" t="s">
        <v>238</v>
      </c>
      <c r="H168" s="9">
        <v>8268.3538984000006</v>
      </c>
      <c r="I168" s="31">
        <v>0.02</v>
      </c>
      <c r="J168" s="32">
        <f t="shared" si="14"/>
        <v>165</v>
      </c>
      <c r="K168" s="32">
        <f t="shared" si="15"/>
        <v>8103.3538984000006</v>
      </c>
      <c r="L168" s="32">
        <v>0</v>
      </c>
      <c r="M168" s="32">
        <f t="shared" si="13"/>
        <v>8103.3538984000006</v>
      </c>
      <c r="N168" s="15">
        <v>45932</v>
      </c>
      <c r="O168" s="30" t="s">
        <v>244</v>
      </c>
      <c r="P168" s="42">
        <v>45901</v>
      </c>
      <c r="Q168" s="30"/>
    </row>
    <row r="169" spans="1:17" s="8" customFormat="1">
      <c r="A169" s="30">
        <v>164</v>
      </c>
      <c r="B169" s="44" t="s">
        <v>236</v>
      </c>
      <c r="C169" s="47">
        <v>43.2</v>
      </c>
      <c r="D169" s="42" t="s">
        <v>226</v>
      </c>
      <c r="E169" s="15">
        <v>45904</v>
      </c>
      <c r="F169" s="36">
        <v>256779417297</v>
      </c>
      <c r="G169" s="37" t="s">
        <v>238</v>
      </c>
      <c r="H169" s="9">
        <v>3780.6190560000005</v>
      </c>
      <c r="I169" s="31">
        <v>0.02</v>
      </c>
      <c r="J169" s="32">
        <f t="shared" si="14"/>
        <v>76</v>
      </c>
      <c r="K169" s="32">
        <f t="shared" si="15"/>
        <v>3704.6190560000005</v>
      </c>
      <c r="L169" s="32">
        <v>0</v>
      </c>
      <c r="M169" s="32">
        <f t="shared" si="13"/>
        <v>3704.6190560000005</v>
      </c>
      <c r="N169" s="15">
        <v>45932</v>
      </c>
      <c r="O169" s="30" t="s">
        <v>244</v>
      </c>
      <c r="P169" s="42">
        <v>45901</v>
      </c>
      <c r="Q169" s="30"/>
    </row>
    <row r="170" spans="1:17" s="8" customFormat="1">
      <c r="A170" s="30">
        <v>165</v>
      </c>
      <c r="B170" s="44" t="s">
        <v>237</v>
      </c>
      <c r="C170" s="47">
        <v>1598.28</v>
      </c>
      <c r="D170" s="42" t="s">
        <v>226</v>
      </c>
      <c r="E170" s="15">
        <v>45904</v>
      </c>
      <c r="F170" s="36">
        <v>256779417091</v>
      </c>
      <c r="G170" s="37" t="s">
        <v>238</v>
      </c>
      <c r="H170" s="9">
        <v>139872.4033524</v>
      </c>
      <c r="I170" s="31">
        <v>0.1</v>
      </c>
      <c r="J170" s="32">
        <f t="shared" si="14"/>
        <v>13987</v>
      </c>
      <c r="K170" s="32">
        <f t="shared" si="15"/>
        <v>125885.4033524</v>
      </c>
      <c r="L170" s="32">
        <v>0</v>
      </c>
      <c r="M170" s="51">
        <f t="shared" si="13"/>
        <v>125885.4033524</v>
      </c>
      <c r="N170" s="15">
        <v>45932</v>
      </c>
      <c r="O170" s="30" t="s">
        <v>244</v>
      </c>
      <c r="P170" s="42">
        <v>45901</v>
      </c>
      <c r="Q170" s="30"/>
    </row>
    <row r="171" spans="1:17" s="8" customFormat="1">
      <c r="A171" s="30">
        <v>166</v>
      </c>
      <c r="B171" s="44" t="s">
        <v>242</v>
      </c>
      <c r="C171" s="47">
        <v>50.34</v>
      </c>
      <c r="D171" s="42" t="s">
        <v>76</v>
      </c>
      <c r="E171" s="15">
        <v>45917</v>
      </c>
      <c r="F171" s="36">
        <v>256779417777</v>
      </c>
      <c r="G171" s="37" t="s">
        <v>238</v>
      </c>
      <c r="H171" s="9">
        <v>4405.4713722000006</v>
      </c>
      <c r="I171" s="31">
        <v>0.02</v>
      </c>
      <c r="J171" s="32">
        <f t="shared" ref="J171" si="16">ROUND(H171*I171,0)</f>
        <v>88</v>
      </c>
      <c r="K171" s="32">
        <f t="shared" ref="K171" si="17">H171-J171</f>
        <v>4317.4713722000006</v>
      </c>
      <c r="L171" s="32">
        <v>0</v>
      </c>
      <c r="M171" s="32">
        <f t="shared" si="13"/>
        <v>4317.4713722000006</v>
      </c>
      <c r="N171" s="15">
        <v>45932</v>
      </c>
      <c r="O171" s="48" t="s">
        <v>244</v>
      </c>
      <c r="P171" s="42">
        <v>45901</v>
      </c>
      <c r="Q171" s="30"/>
    </row>
    <row r="172" spans="1:17" s="8" customFormat="1">
      <c r="A172" s="30">
        <v>167</v>
      </c>
      <c r="B172" s="44" t="s">
        <v>245</v>
      </c>
      <c r="C172" s="47">
        <v>350</v>
      </c>
      <c r="D172" s="42" t="s">
        <v>246</v>
      </c>
      <c r="E172" s="15">
        <v>45935</v>
      </c>
      <c r="F172" s="36">
        <v>256779417914</v>
      </c>
      <c r="G172" s="37" t="s">
        <v>247</v>
      </c>
      <c r="H172" s="9">
        <v>30866.769499999999</v>
      </c>
      <c r="I172" s="31">
        <v>0.02</v>
      </c>
      <c r="J172" s="32">
        <f t="shared" ref="J172" si="18">ROUND(H172*I172,0)</f>
        <v>617</v>
      </c>
      <c r="K172" s="32">
        <f t="shared" ref="K172" si="19">H172-J172</f>
        <v>30249.769499999999</v>
      </c>
      <c r="L172" s="32">
        <v>0</v>
      </c>
      <c r="M172" s="32">
        <f t="shared" ref="M172:M178" si="20">K172-L172</f>
        <v>30249.769499999999</v>
      </c>
      <c r="N172" s="15">
        <v>45993</v>
      </c>
      <c r="O172" s="30" t="s">
        <v>256</v>
      </c>
      <c r="P172" s="42">
        <v>45931</v>
      </c>
      <c r="Q172" s="30"/>
    </row>
    <row r="173" spans="1:17" s="8" customFormat="1">
      <c r="A173" s="30">
        <v>168</v>
      </c>
      <c r="B173" s="44" t="s">
        <v>248</v>
      </c>
      <c r="C173" s="47">
        <v>350</v>
      </c>
      <c r="D173" s="42" t="s">
        <v>249</v>
      </c>
      <c r="E173" s="15">
        <v>45950</v>
      </c>
      <c r="F173" s="36">
        <v>256779418638</v>
      </c>
      <c r="G173" s="37" t="s">
        <v>247</v>
      </c>
      <c r="H173" s="9">
        <v>30866.769499999999</v>
      </c>
      <c r="I173" s="31">
        <v>0.02</v>
      </c>
      <c r="J173" s="32">
        <f t="shared" ref="J173:J176" si="21">ROUND(H173*I173,0)</f>
        <v>617</v>
      </c>
      <c r="K173" s="32">
        <f t="shared" ref="K173:K176" si="22">H173-J173</f>
        <v>30249.769499999999</v>
      </c>
      <c r="L173" s="32">
        <v>0</v>
      </c>
      <c r="M173" s="32">
        <f t="shared" si="20"/>
        <v>30249.769499999999</v>
      </c>
      <c r="N173" s="15">
        <v>45993</v>
      </c>
      <c r="O173" s="30" t="s">
        <v>256</v>
      </c>
      <c r="P173" s="42">
        <v>45931</v>
      </c>
      <c r="Q173" s="30"/>
    </row>
    <row r="174" spans="1:17" s="8" customFormat="1">
      <c r="A174" s="30">
        <v>169</v>
      </c>
      <c r="B174" s="44" t="s">
        <v>253</v>
      </c>
      <c r="C174" s="52">
        <v>27.17</v>
      </c>
      <c r="D174" s="42" t="s">
        <v>249</v>
      </c>
      <c r="E174" s="15">
        <v>45966</v>
      </c>
      <c r="F174" s="36">
        <v>256779419216</v>
      </c>
      <c r="G174" s="37" t="s">
        <v>252</v>
      </c>
      <c r="H174" s="9">
        <v>2391.0521063000001</v>
      </c>
      <c r="I174" s="31">
        <v>0.02</v>
      </c>
      <c r="J174" s="32">
        <f t="shared" si="21"/>
        <v>48</v>
      </c>
      <c r="K174" s="32">
        <f t="shared" si="22"/>
        <v>2343.0521063000001</v>
      </c>
      <c r="L174" s="32">
        <v>0</v>
      </c>
      <c r="M174" s="32">
        <f t="shared" si="20"/>
        <v>2343.0521063000001</v>
      </c>
      <c r="N174" s="15">
        <v>45993</v>
      </c>
      <c r="O174" s="30" t="s">
        <v>256</v>
      </c>
      <c r="P174" s="42">
        <v>45962</v>
      </c>
      <c r="Q174" s="30"/>
    </row>
    <row r="175" spans="1:17" s="8" customFormat="1">
      <c r="A175" s="30">
        <v>170</v>
      </c>
      <c r="B175" s="44" t="s">
        <v>254</v>
      </c>
      <c r="C175" s="52">
        <v>11.27</v>
      </c>
      <c r="D175" s="42" t="s">
        <v>249</v>
      </c>
      <c r="E175" s="15">
        <v>45966</v>
      </c>
      <c r="F175" s="36">
        <v>256779419240</v>
      </c>
      <c r="G175" s="37" t="s">
        <v>252</v>
      </c>
      <c r="H175" s="9">
        <v>991.79820529999995</v>
      </c>
      <c r="I175" s="31">
        <v>0.02</v>
      </c>
      <c r="J175" s="32">
        <f t="shared" si="21"/>
        <v>20</v>
      </c>
      <c r="K175" s="32">
        <f t="shared" si="22"/>
        <v>971.79820529999995</v>
      </c>
      <c r="L175" s="32">
        <v>0</v>
      </c>
      <c r="M175" s="32">
        <f t="shared" si="20"/>
        <v>971.79820529999995</v>
      </c>
      <c r="N175" s="15">
        <v>45993</v>
      </c>
      <c r="O175" s="30" t="s">
        <v>256</v>
      </c>
      <c r="P175" s="42">
        <v>45962</v>
      </c>
      <c r="Q175" s="30"/>
    </row>
    <row r="176" spans="1:17" s="8" customFormat="1">
      <c r="A176" s="30">
        <v>171</v>
      </c>
      <c r="B176" s="44" t="s">
        <v>255</v>
      </c>
      <c r="C176" s="47">
        <v>367.84</v>
      </c>
      <c r="D176" s="42" t="s">
        <v>249</v>
      </c>
      <c r="E176" s="15">
        <v>45966</v>
      </c>
      <c r="F176" s="36">
        <v>256779418877</v>
      </c>
      <c r="G176" s="37" t="s">
        <v>252</v>
      </c>
      <c r="H176" s="9">
        <v>32371.166977599998</v>
      </c>
      <c r="I176" s="31">
        <v>0.1</v>
      </c>
      <c r="J176" s="32">
        <f t="shared" si="21"/>
        <v>3237</v>
      </c>
      <c r="K176" s="32">
        <f t="shared" si="22"/>
        <v>29134.166977599998</v>
      </c>
      <c r="L176" s="32">
        <v>0</v>
      </c>
      <c r="M176" s="32">
        <f t="shared" si="20"/>
        <v>29134.166977599998</v>
      </c>
      <c r="N176" s="15">
        <v>45993</v>
      </c>
      <c r="O176" s="30" t="s">
        <v>256</v>
      </c>
      <c r="P176" s="42">
        <v>45962</v>
      </c>
      <c r="Q176" s="30"/>
    </row>
    <row r="177" spans="1:17" s="8" customFormat="1">
      <c r="A177" s="30">
        <v>172</v>
      </c>
      <c r="B177" s="44" t="s">
        <v>258</v>
      </c>
      <c r="C177" s="47">
        <v>350</v>
      </c>
      <c r="D177" s="42" t="s">
        <v>260</v>
      </c>
      <c r="E177" s="15">
        <v>45996</v>
      </c>
      <c r="F177" s="36">
        <v>256779419798</v>
      </c>
      <c r="G177" s="26" t="s">
        <v>261</v>
      </c>
      <c r="H177" s="9">
        <v>31045.049000000003</v>
      </c>
      <c r="I177" s="31">
        <v>0.02</v>
      </c>
      <c r="J177" s="32">
        <f t="shared" ref="J177:J181" si="23">ROUND(H177*I177,0)</f>
        <v>621</v>
      </c>
      <c r="K177" s="32">
        <f t="shared" ref="K177:K181" si="24">H177-J177</f>
        <v>30424.049000000003</v>
      </c>
      <c r="L177" s="32">
        <v>0</v>
      </c>
      <c r="M177" s="32">
        <f t="shared" si="20"/>
        <v>30424.049000000003</v>
      </c>
      <c r="N177" s="15">
        <v>46067</v>
      </c>
      <c r="O177" s="8" t="s">
        <v>270</v>
      </c>
      <c r="P177" s="42">
        <v>45992</v>
      </c>
      <c r="Q177" s="30"/>
    </row>
    <row r="178" spans="1:17" s="8" customFormat="1">
      <c r="A178" s="30">
        <v>173</v>
      </c>
      <c r="B178" s="44" t="s">
        <v>259</v>
      </c>
      <c r="C178" s="47">
        <v>11.18</v>
      </c>
      <c r="D178" s="42" t="s">
        <v>260</v>
      </c>
      <c r="E178" s="15">
        <v>45999</v>
      </c>
      <c r="F178" s="36">
        <v>256779419830</v>
      </c>
      <c r="G178" s="26" t="s">
        <v>261</v>
      </c>
      <c r="H178" s="9">
        <v>991.66756520000001</v>
      </c>
      <c r="I178" s="31">
        <v>0.02</v>
      </c>
      <c r="J178" s="32">
        <f t="shared" si="23"/>
        <v>20</v>
      </c>
      <c r="K178" s="32">
        <f t="shared" si="24"/>
        <v>971.66756520000001</v>
      </c>
      <c r="L178" s="32">
        <v>0</v>
      </c>
      <c r="M178" s="32">
        <f t="shared" si="20"/>
        <v>971.66756520000001</v>
      </c>
      <c r="N178" s="15">
        <v>46067</v>
      </c>
      <c r="O178" s="8" t="s">
        <v>269</v>
      </c>
      <c r="P178" s="42">
        <v>45992</v>
      </c>
      <c r="Q178" s="30"/>
    </row>
    <row r="179" spans="1:17" s="8" customFormat="1">
      <c r="A179" s="30">
        <v>174</v>
      </c>
      <c r="B179" s="44" t="s">
        <v>262</v>
      </c>
      <c r="C179" s="47">
        <v>182.78</v>
      </c>
      <c r="D179" s="42" t="s">
        <v>260</v>
      </c>
      <c r="E179" s="15">
        <v>46024</v>
      </c>
      <c r="F179" s="36">
        <v>256779440012</v>
      </c>
      <c r="G179" s="37" t="s">
        <v>264</v>
      </c>
      <c r="H179" s="9">
        <v>16586.031129200001</v>
      </c>
      <c r="I179" s="31">
        <v>0.1</v>
      </c>
      <c r="J179" s="32">
        <f t="shared" si="23"/>
        <v>1659</v>
      </c>
      <c r="K179" s="32">
        <f t="shared" si="24"/>
        <v>14927.031129200001</v>
      </c>
      <c r="L179" s="32"/>
      <c r="M179" s="32"/>
      <c r="N179" s="15"/>
      <c r="O179" s="30" t="s">
        <v>149</v>
      </c>
      <c r="P179" s="42">
        <v>46023</v>
      </c>
      <c r="Q179" s="30"/>
    </row>
    <row r="180" spans="1:17" s="8" customFormat="1">
      <c r="A180" s="30">
        <v>175</v>
      </c>
      <c r="B180" s="44" t="s">
        <v>263</v>
      </c>
      <c r="C180" s="47">
        <v>50</v>
      </c>
      <c r="D180" s="42" t="s">
        <v>260</v>
      </c>
      <c r="E180" s="15">
        <v>46024</v>
      </c>
      <c r="F180" s="36">
        <v>256779440046</v>
      </c>
      <c r="G180" s="37" t="s">
        <v>264</v>
      </c>
      <c r="H180" s="9">
        <v>4537.1570000000002</v>
      </c>
      <c r="I180" s="31">
        <v>0.02</v>
      </c>
      <c r="J180" s="32">
        <f t="shared" si="23"/>
        <v>91</v>
      </c>
      <c r="K180" s="32">
        <f t="shared" si="24"/>
        <v>4446.1570000000002</v>
      </c>
      <c r="L180" s="32"/>
      <c r="M180" s="32"/>
      <c r="N180" s="15"/>
      <c r="O180" s="30" t="s">
        <v>149</v>
      </c>
      <c r="P180" s="42">
        <v>46023</v>
      </c>
      <c r="Q180" s="30"/>
    </row>
    <row r="181" spans="1:17" s="8" customFormat="1">
      <c r="A181" s="30">
        <v>176</v>
      </c>
      <c r="B181" s="44" t="s">
        <v>265</v>
      </c>
      <c r="C181" s="47">
        <v>700</v>
      </c>
      <c r="D181" s="42" t="s">
        <v>266</v>
      </c>
      <c r="E181" s="15">
        <v>46027</v>
      </c>
      <c r="F181" s="36">
        <v>256779440106</v>
      </c>
      <c r="G181" s="37" t="s">
        <v>264</v>
      </c>
      <c r="H181" s="9">
        <v>63520.197999999997</v>
      </c>
      <c r="I181" s="31">
        <v>0.02</v>
      </c>
      <c r="J181" s="32">
        <f t="shared" si="23"/>
        <v>1270</v>
      </c>
      <c r="K181" s="32">
        <f t="shared" si="24"/>
        <v>62250.197999999997</v>
      </c>
      <c r="L181" s="32"/>
      <c r="M181" s="32"/>
      <c r="N181" s="15"/>
      <c r="O181" s="30" t="s">
        <v>149</v>
      </c>
      <c r="P181" s="42">
        <v>46023</v>
      </c>
      <c r="Q181" s="30"/>
    </row>
    <row r="182" spans="1:17" s="8" customFormat="1">
      <c r="A182" s="30">
        <v>177</v>
      </c>
      <c r="B182" s="44" t="s">
        <v>267</v>
      </c>
      <c r="C182" s="47">
        <v>246.17</v>
      </c>
      <c r="D182" s="42" t="s">
        <v>266</v>
      </c>
      <c r="E182" s="15">
        <v>46028</v>
      </c>
      <c r="F182" s="36">
        <v>256779440152</v>
      </c>
      <c r="G182" s="37" t="s">
        <v>264</v>
      </c>
      <c r="H182" s="9">
        <v>22338.2387738</v>
      </c>
      <c r="I182" s="31">
        <v>0.02</v>
      </c>
      <c r="J182" s="32">
        <f t="shared" ref="J182" si="25">ROUND(H182*I182,0)</f>
        <v>447</v>
      </c>
      <c r="K182" s="32">
        <f t="shared" ref="K182" si="26">H182-J182</f>
        <v>21891.2387738</v>
      </c>
      <c r="L182" s="32"/>
      <c r="M182" s="32"/>
      <c r="N182" s="15"/>
      <c r="O182" s="30" t="s">
        <v>149</v>
      </c>
      <c r="P182" s="42">
        <v>46023</v>
      </c>
      <c r="Q182" s="30"/>
    </row>
    <row r="183" spans="1:17" s="8" customFormat="1">
      <c r="A183" s="30">
        <v>178</v>
      </c>
      <c r="B183" s="44" t="s">
        <v>268</v>
      </c>
      <c r="C183" s="47">
        <v>881.6</v>
      </c>
      <c r="D183" s="42" t="s">
        <v>266</v>
      </c>
      <c r="E183" s="15">
        <v>46028</v>
      </c>
      <c r="F183" s="36">
        <v>256779440242</v>
      </c>
      <c r="G183" s="37" t="s">
        <v>264</v>
      </c>
      <c r="H183" s="9">
        <v>79999.152224000005</v>
      </c>
      <c r="I183" s="31">
        <v>0.1</v>
      </c>
      <c r="J183" s="32">
        <f t="shared" ref="J183:J189" si="27">ROUND(H183*I183,0)</f>
        <v>8000</v>
      </c>
      <c r="K183" s="32">
        <f t="shared" ref="K183:K189" si="28">H183-J183</f>
        <v>71999.152224000005</v>
      </c>
      <c r="L183" s="32"/>
      <c r="M183" s="32"/>
      <c r="N183" s="15"/>
      <c r="O183" s="30" t="s">
        <v>149</v>
      </c>
      <c r="P183" s="42">
        <v>46023</v>
      </c>
      <c r="Q183" s="30"/>
    </row>
    <row r="184" spans="1:17" s="8" customFormat="1">
      <c r="A184" s="30">
        <v>179</v>
      </c>
      <c r="B184" s="11" t="s">
        <v>262</v>
      </c>
      <c r="C184" s="12">
        <v>182.78</v>
      </c>
      <c r="D184" s="23" t="s">
        <v>260</v>
      </c>
      <c r="E184" s="15">
        <v>46024</v>
      </c>
      <c r="F184" s="10">
        <v>256779440012</v>
      </c>
      <c r="G184" s="13" t="s">
        <v>264</v>
      </c>
      <c r="H184" s="9">
        <f t="shared" ref="H184:H189" si="29">C184*G184</f>
        <v>16586.031129200001</v>
      </c>
      <c r="I184" s="5">
        <v>0.1</v>
      </c>
      <c r="J184" s="6">
        <f t="shared" si="27"/>
        <v>1659</v>
      </c>
      <c r="K184" s="6">
        <f t="shared" si="28"/>
        <v>14927.031129200001</v>
      </c>
      <c r="L184" s="6"/>
      <c r="M184" s="6"/>
      <c r="N184" s="7"/>
      <c r="O184" s="1" t="s">
        <v>149</v>
      </c>
      <c r="P184" s="23">
        <v>46054</v>
      </c>
      <c r="Q184" s="30"/>
    </row>
    <row r="185" spans="1:17" s="8" customFormat="1">
      <c r="A185" s="30">
        <v>180</v>
      </c>
      <c r="B185" s="11" t="s">
        <v>263</v>
      </c>
      <c r="C185" s="12">
        <v>50</v>
      </c>
      <c r="D185" s="23" t="s">
        <v>260</v>
      </c>
      <c r="E185" s="15">
        <v>46024</v>
      </c>
      <c r="F185" s="10">
        <v>256779440046</v>
      </c>
      <c r="G185" s="13" t="s">
        <v>264</v>
      </c>
      <c r="H185" s="9">
        <f t="shared" si="29"/>
        <v>4537.1570000000002</v>
      </c>
      <c r="I185" s="5">
        <v>0.02</v>
      </c>
      <c r="J185" s="6">
        <f t="shared" si="27"/>
        <v>91</v>
      </c>
      <c r="K185" s="6">
        <f t="shared" si="28"/>
        <v>4446.1570000000002</v>
      </c>
      <c r="L185" s="6"/>
      <c r="M185" s="6"/>
      <c r="N185" s="7"/>
      <c r="O185" s="1" t="s">
        <v>201</v>
      </c>
      <c r="P185" s="23">
        <v>46054</v>
      </c>
      <c r="Q185" s="30"/>
    </row>
    <row r="186" spans="1:17" s="8" customFormat="1">
      <c r="A186" s="30">
        <v>181</v>
      </c>
      <c r="B186" s="11" t="s">
        <v>271</v>
      </c>
      <c r="C186" s="12">
        <v>26.4</v>
      </c>
      <c r="D186" s="23" t="s">
        <v>275</v>
      </c>
      <c r="E186" s="15">
        <v>46064</v>
      </c>
      <c r="F186" s="10">
        <v>256779451520</v>
      </c>
      <c r="G186" s="13" t="s">
        <v>276</v>
      </c>
      <c r="H186" s="9">
        <f t="shared" si="29"/>
        <v>2384.8492799999999</v>
      </c>
      <c r="I186" s="5">
        <v>0.02</v>
      </c>
      <c r="J186" s="6">
        <f t="shared" si="27"/>
        <v>48</v>
      </c>
      <c r="K186" s="6">
        <f t="shared" si="28"/>
        <v>2336.8492799999999</v>
      </c>
      <c r="L186" s="6"/>
      <c r="M186" s="6"/>
      <c r="N186" s="7"/>
      <c r="O186" s="1" t="s">
        <v>149</v>
      </c>
      <c r="P186" s="23">
        <v>46054</v>
      </c>
      <c r="Q186" s="30"/>
    </row>
    <row r="187" spans="1:17" s="8" customFormat="1">
      <c r="A187" s="30">
        <v>182</v>
      </c>
      <c r="B187" s="11" t="s">
        <v>272</v>
      </c>
      <c r="C187" s="12">
        <v>23.09</v>
      </c>
      <c r="D187" s="23" t="s">
        <v>275</v>
      </c>
      <c r="E187" s="15">
        <v>46064</v>
      </c>
      <c r="F187" s="10">
        <v>256779451520</v>
      </c>
      <c r="G187" s="13" t="s">
        <v>276</v>
      </c>
      <c r="H187" s="9">
        <f t="shared" si="29"/>
        <v>2085.8397679999998</v>
      </c>
      <c r="I187" s="5">
        <v>0.02</v>
      </c>
      <c r="J187" s="6">
        <f t="shared" si="27"/>
        <v>42</v>
      </c>
      <c r="K187" s="6">
        <f t="shared" si="28"/>
        <v>2043.8397679999998</v>
      </c>
      <c r="L187" s="6"/>
      <c r="M187" s="6"/>
      <c r="N187" s="7"/>
      <c r="O187" s="1" t="s">
        <v>149</v>
      </c>
      <c r="P187" s="23">
        <v>46054</v>
      </c>
      <c r="Q187" s="30"/>
    </row>
    <row r="188" spans="1:17" s="8" customFormat="1">
      <c r="A188" s="30">
        <v>183</v>
      </c>
      <c r="B188" s="11" t="s">
        <v>273</v>
      </c>
      <c r="C188" s="12">
        <v>11.55</v>
      </c>
      <c r="D188" s="23" t="s">
        <v>275</v>
      </c>
      <c r="E188" s="15">
        <v>46064</v>
      </c>
      <c r="F188" s="10">
        <v>256779451520</v>
      </c>
      <c r="G188" s="13" t="s">
        <v>276</v>
      </c>
      <c r="H188" s="9">
        <f t="shared" si="29"/>
        <v>1043.37156</v>
      </c>
      <c r="I188" s="5">
        <v>0.02</v>
      </c>
      <c r="J188" s="6">
        <f t="shared" si="27"/>
        <v>21</v>
      </c>
      <c r="K188" s="6">
        <f t="shared" si="28"/>
        <v>1022.37156</v>
      </c>
      <c r="L188" s="6"/>
      <c r="M188" s="6"/>
      <c r="N188" s="7"/>
      <c r="O188" s="1" t="s">
        <v>149</v>
      </c>
      <c r="P188" s="23">
        <v>46054</v>
      </c>
      <c r="Q188" s="30"/>
    </row>
    <row r="189" spans="1:17" s="8" customFormat="1">
      <c r="A189" s="30">
        <v>184</v>
      </c>
      <c r="B189" s="11" t="s">
        <v>274</v>
      </c>
      <c r="C189" s="12">
        <v>384.56</v>
      </c>
      <c r="D189" s="23" t="s">
        <v>275</v>
      </c>
      <c r="E189" s="15">
        <v>46065</v>
      </c>
      <c r="F189" s="10">
        <v>256779451324</v>
      </c>
      <c r="G189" s="13" t="s">
        <v>276</v>
      </c>
      <c r="H189" s="9">
        <f t="shared" si="29"/>
        <v>34739.304512000002</v>
      </c>
      <c r="I189" s="5">
        <v>0.1</v>
      </c>
      <c r="J189" s="6">
        <f t="shared" si="27"/>
        <v>3474</v>
      </c>
      <c r="K189" s="6">
        <f t="shared" si="28"/>
        <v>31265.304512000002</v>
      </c>
      <c r="L189" s="6"/>
      <c r="M189" s="6"/>
      <c r="N189" s="7"/>
      <c r="O189" s="1" t="s">
        <v>149</v>
      </c>
      <c r="P189" s="23">
        <v>46054</v>
      </c>
      <c r="Q189" s="30"/>
    </row>
    <row r="190" spans="1:17" s="8" customFormat="1">
      <c r="A190" s="30">
        <v>185</v>
      </c>
      <c r="B190" s="11" t="s">
        <v>154</v>
      </c>
      <c r="C190" s="47"/>
      <c r="D190" s="42"/>
      <c r="E190" s="15"/>
      <c r="F190" s="36"/>
      <c r="G190" s="37"/>
      <c r="H190" s="9"/>
      <c r="I190" s="31"/>
      <c r="J190" s="32"/>
      <c r="K190" s="32"/>
      <c r="L190" s="32"/>
      <c r="M190" s="32"/>
      <c r="N190" s="15"/>
      <c r="O190" s="30"/>
      <c r="P190" s="42"/>
      <c r="Q190" s="30"/>
    </row>
    <row r="191" spans="1:17" s="8" customFormat="1">
      <c r="A191" s="30"/>
      <c r="B191" s="44" t="s">
        <v>154</v>
      </c>
      <c r="C191" s="14"/>
      <c r="D191" s="30"/>
      <c r="E191" s="15"/>
      <c r="F191" s="36"/>
      <c r="G191" s="37"/>
      <c r="H191" s="9"/>
      <c r="I191" s="31"/>
      <c r="J191" s="32"/>
      <c r="K191" s="32"/>
      <c r="L191" s="32"/>
      <c r="M191" s="32">
        <v>341000</v>
      </c>
      <c r="N191" s="30" t="s">
        <v>171</v>
      </c>
      <c r="O191" s="30" t="s">
        <v>170</v>
      </c>
      <c r="P191" s="42"/>
      <c r="Q191" s="30"/>
    </row>
    <row r="192" spans="1:17">
      <c r="A192" s="17"/>
      <c r="B192" s="17"/>
      <c r="C192" s="18">
        <f>SUM(C6:C191)</f>
        <v>71151.01249259914</v>
      </c>
      <c r="D192" s="17"/>
      <c r="E192" s="19"/>
      <c r="F192" s="19"/>
      <c r="G192" s="19"/>
      <c r="H192" s="18">
        <f>SUM(H6:H191)</f>
        <v>6170225.9838202726</v>
      </c>
      <c r="I192" s="17"/>
      <c r="J192" s="18">
        <f>SUM(J6:J191)</f>
        <v>298205</v>
      </c>
      <c r="K192" s="18">
        <f>SUM(K6:K191)</f>
        <v>5872020.9838202726</v>
      </c>
      <c r="L192" s="18">
        <f>SUM(L6:L191)</f>
        <v>397146.73835519992</v>
      </c>
      <c r="M192" s="18">
        <f>SUM(M6:M191)</f>
        <v>3557557.5078460737</v>
      </c>
      <c r="N192" s="17"/>
      <c r="O192" s="20">
        <f>K192-L192-M192</f>
        <v>1917316.7376189991</v>
      </c>
      <c r="P192" s="1" t="s">
        <v>147</v>
      </c>
      <c r="Q192" s="1"/>
    </row>
    <row r="193" spans="8:8">
      <c r="H193" s="54"/>
    </row>
    <row r="194" spans="8:8">
      <c r="H194" s="54"/>
    </row>
    <row r="195" spans="8:8">
      <c r="H195" s="54"/>
    </row>
  </sheetData>
  <conditionalFormatting sqref="F90">
    <cfRule type="duplicateValues" dxfId="32" priority="34"/>
    <cfRule type="duplicateValues" dxfId="31" priority="33"/>
  </conditionalFormatting>
  <conditionalFormatting sqref="F91">
    <cfRule type="duplicateValues" dxfId="30" priority="32"/>
  </conditionalFormatting>
  <conditionalFormatting sqref="F91:F92">
    <cfRule type="duplicateValues" dxfId="29" priority="31"/>
  </conditionalFormatting>
  <conditionalFormatting sqref="F92">
    <cfRule type="duplicateValues" dxfId="28" priority="30"/>
  </conditionalFormatting>
  <conditionalFormatting sqref="F111">
    <cfRule type="duplicateValues" dxfId="27" priority="526"/>
  </conditionalFormatting>
  <conditionalFormatting sqref="F112">
    <cfRule type="duplicateValues" dxfId="26" priority="27"/>
  </conditionalFormatting>
  <conditionalFormatting sqref="F138">
    <cfRule type="duplicateValues" dxfId="25" priority="26"/>
    <cfRule type="duplicateValues" dxfId="24" priority="25"/>
  </conditionalFormatting>
  <conditionalFormatting sqref="F139:F140">
    <cfRule type="duplicateValues" dxfId="23" priority="24"/>
  </conditionalFormatting>
  <conditionalFormatting sqref="F144:F146 F153:F155">
    <cfRule type="duplicateValues" dxfId="22" priority="23"/>
  </conditionalFormatting>
  <conditionalFormatting sqref="F156">
    <cfRule type="duplicateValues" dxfId="21" priority="22"/>
  </conditionalFormatting>
  <conditionalFormatting sqref="F157">
    <cfRule type="duplicateValues" dxfId="20" priority="528"/>
    <cfRule type="duplicateValues" dxfId="19" priority="527"/>
  </conditionalFormatting>
  <conditionalFormatting sqref="F158:F160">
    <cfRule type="duplicateValues" dxfId="18" priority="529"/>
  </conditionalFormatting>
  <conditionalFormatting sqref="F161:F164 F170">
    <cfRule type="duplicateValues" dxfId="17" priority="530"/>
  </conditionalFormatting>
  <conditionalFormatting sqref="F171">
    <cfRule type="duplicateValues" dxfId="16" priority="534"/>
  </conditionalFormatting>
  <conditionalFormatting sqref="F172">
    <cfRule type="duplicateValues" dxfId="15" priority="15"/>
  </conditionalFormatting>
  <conditionalFormatting sqref="F173">
    <cfRule type="duplicateValues" dxfId="14" priority="14"/>
    <cfRule type="duplicateValues" dxfId="13" priority="13"/>
  </conditionalFormatting>
  <conditionalFormatting sqref="F174:F175">
    <cfRule type="duplicateValues" dxfId="12" priority="12"/>
  </conditionalFormatting>
  <conditionalFormatting sqref="F176">
    <cfRule type="duplicateValues" dxfId="11" priority="11"/>
    <cfRule type="duplicateValues" dxfId="10" priority="10"/>
  </conditionalFormatting>
  <conditionalFormatting sqref="F177:F178">
    <cfRule type="duplicateValues" dxfId="9" priority="9"/>
  </conditionalFormatting>
  <conditionalFormatting sqref="F179:F180">
    <cfRule type="duplicateValues" dxfId="8" priority="8"/>
    <cfRule type="duplicateValues" dxfId="7" priority="7"/>
  </conditionalFormatting>
  <conditionalFormatting sqref="F181">
    <cfRule type="duplicateValues" dxfId="6" priority="6"/>
  </conditionalFormatting>
  <conditionalFormatting sqref="F182">
    <cfRule type="duplicateValues" dxfId="5" priority="5"/>
  </conditionalFormatting>
  <conditionalFormatting sqref="F183 F190">
    <cfRule type="duplicateValues" dxfId="4" priority="4"/>
  </conditionalFormatting>
  <conditionalFormatting sqref="F184:F185">
    <cfRule type="duplicateValues" dxfId="3" priority="3"/>
    <cfRule type="duplicateValues" dxfId="2" priority="2"/>
  </conditionalFormatting>
  <conditionalFormatting sqref="F189">
    <cfRule type="duplicateValues" dxfId="1" priority="1"/>
  </conditionalFormatting>
  <conditionalFormatting sqref="F191 F104:F106 F102">
    <cfRule type="duplicateValues" dxfId="0" priority="29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Summary-FINAL</vt:lpstr>
    </vt:vector>
  </TitlesOfParts>
  <Company>CapitaLand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 Sushil\IND</dc:creator>
  <cp:lastModifiedBy>Neuroy Gonsalves</cp:lastModifiedBy>
  <dcterms:created xsi:type="dcterms:W3CDTF">2025-02-07T10:37:01Z</dcterms:created>
  <dcterms:modified xsi:type="dcterms:W3CDTF">2026-02-26T09:02:35Z</dcterms:modified>
</cp:coreProperties>
</file>