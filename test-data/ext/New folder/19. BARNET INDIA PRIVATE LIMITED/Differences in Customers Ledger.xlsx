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19. BARNET INDIA PRIVATE LIMITED\"/>
    </mc:Choice>
  </mc:AlternateContent>
  <xr:revisionPtr revIDLastSave="0" documentId="13_ncr:1_{A2C5B8A8-7441-49FE-BE64-4D1D03059BBF}" xr6:coauthVersionLast="47" xr6:coauthVersionMax="47" xr10:uidLastSave="{00000000-0000-0000-0000-000000000000}"/>
  <bookViews>
    <workbookView xWindow="-110" yWindow="-110" windowWidth="21820" windowHeight="14020" activeTab="1" xr2:uid="{F14164F8-F535-46BE-A10E-0AADB35A0A33}"/>
  </bookViews>
  <sheets>
    <sheet name="Credit Note to be Discussed" sheetId="2" r:id="rId1"/>
    <sheet name="Difference In Invoice Value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" i="2" l="1"/>
  <c r="J5" i="1" a="1"/>
  <c r="J5" i="1" s="1"/>
  <c r="L5" i="1" s="1"/>
  <c r="J4" i="1" a="1"/>
  <c r="M4" i="1" s="1"/>
  <c r="J3" i="1" a="1"/>
  <c r="J3" i="1" s="1"/>
  <c r="L3" i="1" s="1"/>
  <c r="J2" i="1" a="1"/>
  <c r="J2" i="1" s="1"/>
  <c r="L2" i="1" s="1"/>
  <c r="M3" i="1" l="1"/>
  <c r="M2" i="1"/>
  <c r="M5" i="1"/>
  <c r="J4" i="1"/>
  <c r="L4" i="1" s="1"/>
  <c r="L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<sst xmlns="http://schemas.openxmlformats.org/spreadsheetml/2006/main" count="64" uniqueCount="49">
  <si>
    <t>Document Number</t>
  </si>
  <si>
    <t>Document Type</t>
  </si>
  <si>
    <t>Document Date</t>
  </si>
  <si>
    <t>Reference</t>
  </si>
  <si>
    <t>Document Currency Key</t>
  </si>
  <si>
    <t>Document Currency Value</t>
  </si>
  <si>
    <t>Company Code Currency Key</t>
  </si>
  <si>
    <t>Company Code Currency Value</t>
  </si>
  <si>
    <t>Text</t>
  </si>
  <si>
    <t>Gross Amount</t>
  </si>
  <si>
    <t>TDS</t>
  </si>
  <si>
    <t>Difference</t>
  </si>
  <si>
    <t>Rate</t>
  </si>
  <si>
    <t>Remarks</t>
  </si>
  <si>
    <t>DR</t>
  </si>
  <si>
    <t>USD</t>
  </si>
  <si>
    <t>INR</t>
  </si>
  <si>
    <t>Outbound chgs - 01 - 15 Aug 25</t>
  </si>
  <si>
    <t>Unit storage -1-31 May 25</t>
  </si>
  <si>
    <t>Unit Storage - 1-30 Nov 2025</t>
  </si>
  <si>
    <t>Duplicate Invoice In customers Books</t>
  </si>
  <si>
    <t>Scanning  Chgs - 16 - 30 Nov 25</t>
  </si>
  <si>
    <t>Sr.No.</t>
  </si>
  <si>
    <t>Particulars</t>
  </si>
  <si>
    <t>Bill Amt in USD</t>
  </si>
  <si>
    <t>Month- service Received</t>
  </si>
  <si>
    <t>Date</t>
  </si>
  <si>
    <t>INV NO</t>
  </si>
  <si>
    <t>EX.RATE</t>
  </si>
  <si>
    <t>INVOICE AMT</t>
  </si>
  <si>
    <t>TDS AMOUNT</t>
  </si>
  <si>
    <t>AMT PAYABLE</t>
  </si>
  <si>
    <t>AMOUNT DEDUCTED/Credit note</t>
  </si>
  <si>
    <t>AMOUNT PAID</t>
  </si>
  <si>
    <t>UTR NO/REMARK</t>
  </si>
  <si>
    <t>MONTH-INV Received &amp;BOOKED</t>
  </si>
  <si>
    <t>REMARK</t>
  </si>
  <si>
    <t>VAS Activity Charges</t>
  </si>
  <si>
    <t>September, 2024</t>
  </si>
  <si>
    <t>6779IV124000179</t>
  </si>
  <si>
    <t>HDFCN52025061495304800</t>
  </si>
  <si>
    <t>CREDIT NOTE AWAITED</t>
  </si>
  <si>
    <t>Unit Storage - 1-30 June 25</t>
  </si>
  <si>
    <t>June,2025</t>
  </si>
  <si>
    <t>HDFCH00646925098</t>
  </si>
  <si>
    <t>Unit Storage - 1-31 July 25</t>
  </si>
  <si>
    <t>July,25</t>
  </si>
  <si>
    <t>HDFCN52025100205721894</t>
  </si>
  <si>
    <t>Under reporting of invoice Value in Customer's 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</si>
</sst>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43" fontId="0" fillId="2" borderId="1" xfId="1" applyFont="1" applyFill="1" applyBorder="1" applyAlignment="1">
      <alignment horizontal="left" vertical="center"/>
    </xf>
    <xf numFmtId="164" fontId="0" fillId="2" borderId="1" xfId="1" applyNumberFormat="1" applyFont="1" applyFill="1" applyBorder="1" applyAlignment="1">
      <alignment horizontal="left" vertical="center"/>
    </xf>
    <xf numFmtId="9" fontId="0" fillId="2" borderId="1" xfId="2" applyFont="1" applyFill="1" applyBorder="1" applyAlignment="1">
      <alignment horizontal="left" vertical="center"/>
    </xf>
    <xf numFmtId="43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43" fontId="3" fillId="3" borderId="1" xfId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wrapText="1"/>
    </xf>
    <xf numFmtId="43" fontId="4" fillId="0" borderId="1" xfId="1" applyFont="1" applyFill="1" applyBorder="1" applyAlignment="1">
      <alignment wrapText="1"/>
    </xf>
    <xf numFmtId="14" fontId="4" fillId="0" borderId="1" xfId="0" applyNumberFormat="1" applyFont="1" applyBorder="1" applyAlignment="1">
      <alignment wrapText="1"/>
    </xf>
    <xf numFmtId="43" fontId="4" fillId="0" borderId="1" xfId="1" applyFont="1" applyBorder="1" applyAlignment="1">
      <alignment wrapText="1"/>
    </xf>
    <xf numFmtId="165" fontId="4" fillId="0" borderId="1" xfId="0" applyNumberFormat="1" applyFont="1" applyBorder="1" applyAlignment="1">
      <alignment wrapText="1"/>
    </xf>
    <xf numFmtId="9" fontId="4" fillId="0" borderId="1" xfId="0" applyNumberFormat="1" applyFont="1" applyBorder="1" applyAlignment="1">
      <alignment wrapText="1"/>
    </xf>
    <xf numFmtId="43" fontId="4" fillId="0" borderId="1" xfId="0" applyNumberFormat="1" applyFont="1" applyBorder="1" applyAlignment="1">
      <alignment wrapText="1"/>
    </xf>
    <xf numFmtId="17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43" fontId="4" fillId="0" borderId="1" xfId="1" applyFont="1" applyBorder="1" applyAlignment="1">
      <alignment horizontal="right" vertical="center" wrapText="1"/>
    </xf>
    <xf numFmtId="43" fontId="2" fillId="0" borderId="0" xfId="0" applyNumberFormat="1" applyFont="1"/>
    <xf numFmtId="9" fontId="0" fillId="2" borderId="1" xfId="2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orking%20-%20Barn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heet5"/>
      <sheetName val="Sheet3"/>
      <sheetName val="Sheet4"/>
      <sheetName val="Sheet1"/>
      <sheetName val="Payment Reco"/>
      <sheetName val="TDS data"/>
      <sheetName val="Sheet2"/>
      <sheetName val="Duplicate CN in Ascenudes Books"/>
      <sheetName val="Difference in Invoice value  "/>
      <sheetName val="Credit Note in customers books"/>
      <sheetName val="Ascendus Data"/>
      <sheetName val="Customer data"/>
      <sheetName val="Customer data V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INV NO</v>
          </cell>
          <cell r="C3" t="str">
            <v xml:space="preserve"> INVOICE AMT</v>
          </cell>
          <cell r="D3" t="str">
            <v xml:space="preserve"> TDS AMOUNT</v>
          </cell>
          <cell r="E3" t="str">
            <v xml:space="preserve"> AMT PAYABLE</v>
          </cell>
        </row>
        <row r="4">
          <cell r="B4">
            <v>246779413959</v>
          </cell>
          <cell r="C4">
            <v>14276.316696800002</v>
          </cell>
          <cell r="D4">
            <v>286</v>
          </cell>
          <cell r="E4">
            <v>13990.316696800002</v>
          </cell>
        </row>
        <row r="5">
          <cell r="B5">
            <v>246779413960</v>
          </cell>
          <cell r="C5">
            <v>14276.316696800002</v>
          </cell>
          <cell r="D5">
            <v>286</v>
          </cell>
          <cell r="E5">
            <v>13990.316696800002</v>
          </cell>
        </row>
        <row r="6">
          <cell r="B6">
            <v>246779413963</v>
          </cell>
          <cell r="C6">
            <v>28551.766481000002</v>
          </cell>
          <cell r="D6">
            <v>572</v>
          </cell>
          <cell r="E6">
            <v>27979.766481000002</v>
          </cell>
        </row>
        <row r="7">
          <cell r="B7">
            <v>256779410039</v>
          </cell>
          <cell r="C7">
            <v>24636.251442599998</v>
          </cell>
          <cell r="D7">
            <v>493</v>
          </cell>
          <cell r="E7">
            <v>24143.251442599998</v>
          </cell>
        </row>
        <row r="8">
          <cell r="B8">
            <v>256779410040</v>
          </cell>
          <cell r="C8">
            <v>6884.2081440000002</v>
          </cell>
          <cell r="D8">
            <v>138</v>
          </cell>
          <cell r="E8">
            <v>6746.2081440000002</v>
          </cell>
        </row>
        <row r="9">
          <cell r="B9">
            <v>256779410041</v>
          </cell>
          <cell r="C9">
            <v>11265.067872</v>
          </cell>
          <cell r="D9">
            <v>225</v>
          </cell>
          <cell r="E9">
            <v>11040.067872</v>
          </cell>
        </row>
        <row r="10">
          <cell r="B10">
            <v>256779410042</v>
          </cell>
          <cell r="C10">
            <v>23468.8914</v>
          </cell>
          <cell r="D10">
            <v>469</v>
          </cell>
          <cell r="E10">
            <v>22999.8914</v>
          </cell>
        </row>
        <row r="11">
          <cell r="B11">
            <v>256779410102</v>
          </cell>
          <cell r="C11">
            <v>24636.251442599998</v>
          </cell>
          <cell r="D11">
            <v>493</v>
          </cell>
          <cell r="E11">
            <v>24143.251442599998</v>
          </cell>
        </row>
        <row r="12">
          <cell r="B12">
            <v>256779410103</v>
          </cell>
          <cell r="C12">
            <v>7040.6674199999998</v>
          </cell>
          <cell r="D12">
            <v>141</v>
          </cell>
          <cell r="E12">
            <v>6899.6674199999998</v>
          </cell>
        </row>
        <row r="13">
          <cell r="B13">
            <v>256779410104</v>
          </cell>
          <cell r="C13">
            <v>11265.067872</v>
          </cell>
          <cell r="D13">
            <v>225</v>
          </cell>
          <cell r="E13">
            <v>11040.067872</v>
          </cell>
        </row>
        <row r="14">
          <cell r="B14">
            <v>256779410183</v>
          </cell>
          <cell r="C14">
            <v>6593.0200469999991</v>
          </cell>
          <cell r="D14">
            <v>132</v>
          </cell>
          <cell r="E14">
            <v>6461.0200469999991</v>
          </cell>
        </row>
        <row r="15">
          <cell r="B15">
            <v>256779410800</v>
          </cell>
          <cell r="C15">
            <v>31709.079935999998</v>
          </cell>
          <cell r="D15">
            <v>3171</v>
          </cell>
          <cell r="E15">
            <v>28538.079935999998</v>
          </cell>
        </row>
        <row r="16">
          <cell r="B16">
            <v>256779411007</v>
          </cell>
          <cell r="C16">
            <v>14262.132225600002</v>
          </cell>
          <cell r="D16">
            <v>285</v>
          </cell>
          <cell r="E16">
            <v>13977.132225600002</v>
          </cell>
        </row>
        <row r="17">
          <cell r="B17">
            <v>256779411008</v>
          </cell>
          <cell r="C17">
            <v>28523.395233000003</v>
          </cell>
          <cell r="D17">
            <v>570</v>
          </cell>
          <cell r="E17">
            <v>27953.395233000003</v>
          </cell>
        </row>
        <row r="18">
          <cell r="B18">
            <v>256779411009</v>
          </cell>
          <cell r="C18">
            <v>14262.132225600002</v>
          </cell>
          <cell r="D18">
            <v>285</v>
          </cell>
          <cell r="E18">
            <v>13977.132225600002</v>
          </cell>
        </row>
        <row r="19">
          <cell r="B19">
            <v>256779411010</v>
          </cell>
          <cell r="C19">
            <v>14262.132225600002</v>
          </cell>
          <cell r="D19">
            <v>285</v>
          </cell>
          <cell r="E19">
            <v>13977.132225600002</v>
          </cell>
        </row>
        <row r="20">
          <cell r="B20">
            <v>256779411258</v>
          </cell>
          <cell r="C20">
            <v>11967.3961776</v>
          </cell>
          <cell r="D20">
            <v>239</v>
          </cell>
          <cell r="E20">
            <v>11728.3961776</v>
          </cell>
        </row>
        <row r="21">
          <cell r="B21">
            <v>256779411259</v>
          </cell>
          <cell r="C21">
            <v>11967.3961776</v>
          </cell>
          <cell r="D21">
            <v>239</v>
          </cell>
          <cell r="E21">
            <v>11728.3961776</v>
          </cell>
        </row>
        <row r="22">
          <cell r="B22">
            <v>256779411260</v>
          </cell>
          <cell r="C22">
            <v>11967.3961776</v>
          </cell>
          <cell r="D22">
            <v>239</v>
          </cell>
          <cell r="E22">
            <v>11728.3961776</v>
          </cell>
        </row>
        <row r="23">
          <cell r="B23">
            <v>256779411261</v>
          </cell>
          <cell r="C23">
            <v>23933.923136999998</v>
          </cell>
          <cell r="D23">
            <v>478</v>
          </cell>
          <cell r="E23">
            <v>23455.923136999998</v>
          </cell>
        </row>
        <row r="24">
          <cell r="B24">
            <v>256779412037</v>
          </cell>
          <cell r="C24">
            <v>2187.8222094000002</v>
          </cell>
          <cell r="D24">
            <v>44</v>
          </cell>
          <cell r="E24">
            <v>2143.8222094000002</v>
          </cell>
        </row>
        <row r="25">
          <cell r="B25">
            <v>256779412122</v>
          </cell>
          <cell r="C25">
            <v>50734.527897599997</v>
          </cell>
          <cell r="D25">
            <v>5073</v>
          </cell>
          <cell r="E25">
            <v>45661.527897599997</v>
          </cell>
        </row>
        <row r="26">
          <cell r="B26">
            <v>256779412598</v>
          </cell>
          <cell r="C26">
            <v>118253.6592372</v>
          </cell>
          <cell r="D26">
            <v>2365</v>
          </cell>
          <cell r="E26">
            <v>115888.6592372</v>
          </cell>
        </row>
        <row r="27">
          <cell r="B27">
            <v>256779412630</v>
          </cell>
          <cell r="C27">
            <v>46282.392277200001</v>
          </cell>
          <cell r="D27">
            <v>925</v>
          </cell>
          <cell r="E27">
            <v>45357.392277200001</v>
          </cell>
        </row>
        <row r="28">
          <cell r="B28">
            <v>256779412766</v>
          </cell>
          <cell r="C28">
            <v>2231.2831194</v>
          </cell>
          <cell r="D28">
            <v>45</v>
          </cell>
          <cell r="E28">
            <v>2186.2831194</v>
          </cell>
        </row>
        <row r="29">
          <cell r="B29">
            <v>256779412875</v>
          </cell>
          <cell r="C29">
            <v>50525.919999999998</v>
          </cell>
          <cell r="D29">
            <v>1010</v>
          </cell>
          <cell r="E29">
            <v>49515.92</v>
          </cell>
        </row>
        <row r="30">
          <cell r="B30">
            <v>256779412903</v>
          </cell>
          <cell r="C30">
            <v>13376.399999999998</v>
          </cell>
          <cell r="D30">
            <v>267</v>
          </cell>
          <cell r="E30">
            <v>13109.399999999998</v>
          </cell>
        </row>
        <row r="31">
          <cell r="B31">
            <v>256779413234</v>
          </cell>
          <cell r="C31">
            <v>4447.9368009999998</v>
          </cell>
          <cell r="D31">
            <v>89</v>
          </cell>
          <cell r="E31">
            <v>4358.9368009999998</v>
          </cell>
        </row>
        <row r="32">
          <cell r="B32">
            <v>256779413248</v>
          </cell>
          <cell r="C32">
            <v>3639.6900209999999</v>
          </cell>
          <cell r="D32">
            <v>73</v>
          </cell>
          <cell r="E32">
            <v>3566.6900209999999</v>
          </cell>
        </row>
        <row r="33">
          <cell r="B33">
            <v>256779413262</v>
          </cell>
          <cell r="C33">
            <v>4294.8858150000005</v>
          </cell>
          <cell r="D33">
            <v>86</v>
          </cell>
          <cell r="E33">
            <v>4208.8858150000005</v>
          </cell>
        </row>
        <row r="34">
          <cell r="B34">
            <v>256779413294</v>
          </cell>
          <cell r="C34">
            <v>56431.102309999995</v>
          </cell>
          <cell r="D34">
            <v>1129</v>
          </cell>
          <cell r="E34">
            <v>55302.102309999995</v>
          </cell>
        </row>
        <row r="35">
          <cell r="B35">
            <v>256779413331</v>
          </cell>
          <cell r="C35">
            <v>16246.620115</v>
          </cell>
          <cell r="D35">
            <v>325</v>
          </cell>
          <cell r="E35">
            <v>15921.620115</v>
          </cell>
        </row>
        <row r="36">
          <cell r="B36">
            <v>256779413466</v>
          </cell>
          <cell r="C36">
            <v>16246.620115</v>
          </cell>
          <cell r="D36">
            <v>325</v>
          </cell>
          <cell r="E36">
            <v>15921.620115</v>
          </cell>
        </row>
        <row r="37">
          <cell r="B37">
            <v>256779413830</v>
          </cell>
          <cell r="C37">
            <v>4428.1605499999996</v>
          </cell>
          <cell r="D37">
            <v>89</v>
          </cell>
          <cell r="E37">
            <v>4339.1605499999996</v>
          </cell>
        </row>
        <row r="38">
          <cell r="B38">
            <v>256779413838</v>
          </cell>
          <cell r="C38">
            <v>3623.353118</v>
          </cell>
          <cell r="D38">
            <v>72</v>
          </cell>
          <cell r="E38">
            <v>3551.353118</v>
          </cell>
        </row>
        <row r="39">
          <cell r="B39">
            <v>256779413906</v>
          </cell>
          <cell r="C39">
            <v>64154.158243999998</v>
          </cell>
          <cell r="D39">
            <v>6415</v>
          </cell>
          <cell r="E39">
            <v>57739.158243999998</v>
          </cell>
        </row>
        <row r="40">
          <cell r="B40">
            <v>256779414249</v>
          </cell>
          <cell r="C40">
            <v>161435.48821587319</v>
          </cell>
          <cell r="D40">
            <v>16144</v>
          </cell>
          <cell r="E40">
            <v>145291.48821587319</v>
          </cell>
        </row>
        <row r="41">
          <cell r="B41">
            <v>256779414282</v>
          </cell>
          <cell r="C41">
            <v>4274.5389999999998</v>
          </cell>
          <cell r="D41">
            <v>85</v>
          </cell>
          <cell r="E41">
            <v>4189.5389999999998</v>
          </cell>
        </row>
        <row r="42">
          <cell r="B42">
            <v>256779414296</v>
          </cell>
          <cell r="C42">
            <v>178678.29492339998</v>
          </cell>
          <cell r="D42">
            <v>3574</v>
          </cell>
          <cell r="E42">
            <v>175104.29492339998</v>
          </cell>
        </row>
        <row r="43">
          <cell r="B43">
            <v>256779414785</v>
          </cell>
          <cell r="C43">
            <v>280576.32586829999</v>
          </cell>
          <cell r="D43">
            <v>5613</v>
          </cell>
          <cell r="E43">
            <v>274963.32586829999</v>
          </cell>
        </row>
        <row r="44">
          <cell r="B44">
            <v>256779414809</v>
          </cell>
          <cell r="C44">
            <v>170320.88690819999</v>
          </cell>
          <cell r="D44">
            <v>3406</v>
          </cell>
          <cell r="E44">
            <v>166914.88690819999</v>
          </cell>
        </row>
        <row r="45">
          <cell r="B45">
            <v>256779414851</v>
          </cell>
          <cell r="C45">
            <v>12003.973518600002</v>
          </cell>
          <cell r="D45">
            <v>240</v>
          </cell>
          <cell r="E45">
            <v>11763.973518600002</v>
          </cell>
        </row>
        <row r="46">
          <cell r="B46">
            <v>256779414866</v>
          </cell>
          <cell r="C46">
            <v>317431.0529901</v>
          </cell>
          <cell r="D46">
            <v>6349</v>
          </cell>
          <cell r="E46">
            <v>311082.0529901</v>
          </cell>
        </row>
        <row r="47">
          <cell r="B47">
            <v>256779414998</v>
          </cell>
          <cell r="C47">
            <v>150701.5540611</v>
          </cell>
          <cell r="D47">
            <v>3013</v>
          </cell>
          <cell r="E47">
            <v>147688.5540611</v>
          </cell>
        </row>
        <row r="48">
          <cell r="B48">
            <v>256779415031</v>
          </cell>
          <cell r="C48">
            <v>1211.7494403000001</v>
          </cell>
          <cell r="D48">
            <v>24</v>
          </cell>
          <cell r="E48">
            <v>1187.7494403000001</v>
          </cell>
        </row>
        <row r="49">
          <cell r="B49">
            <v>256779415205</v>
          </cell>
          <cell r="C49">
            <v>440340.630534</v>
          </cell>
          <cell r="D49">
            <v>44034</v>
          </cell>
          <cell r="E49">
            <v>396306.630534</v>
          </cell>
        </row>
        <row r="50">
          <cell r="B50">
            <v>256779415254</v>
          </cell>
          <cell r="C50">
            <v>8847.7489296000003</v>
          </cell>
          <cell r="D50">
            <v>177</v>
          </cell>
          <cell r="E50">
            <v>8670.7489296000003</v>
          </cell>
        </row>
        <row r="51">
          <cell r="B51">
            <v>256779415267</v>
          </cell>
          <cell r="C51">
            <v>7238.6763939000002</v>
          </cell>
          <cell r="D51">
            <v>145</v>
          </cell>
          <cell r="E51">
            <v>7093.6763939000002</v>
          </cell>
        </row>
        <row r="52">
          <cell r="B52">
            <v>256779415417</v>
          </cell>
          <cell r="C52">
            <v>38668.481252099999</v>
          </cell>
          <cell r="D52">
            <v>773</v>
          </cell>
          <cell r="E52">
            <v>37895.481252099999</v>
          </cell>
        </row>
        <row r="53">
          <cell r="B53">
            <v>256779415941</v>
          </cell>
          <cell r="C53">
            <v>30687.619076100003</v>
          </cell>
          <cell r="D53">
            <v>614</v>
          </cell>
          <cell r="E53">
            <v>30073.619076100003</v>
          </cell>
        </row>
        <row r="54">
          <cell r="B54">
            <v>256779416093</v>
          </cell>
          <cell r="C54">
            <v>421765.24420359998</v>
          </cell>
          <cell r="D54">
            <v>42177</v>
          </cell>
          <cell r="E54">
            <v>379588.24420359998</v>
          </cell>
        </row>
        <row r="55">
          <cell r="B55">
            <v>256779416122</v>
          </cell>
          <cell r="C55">
            <v>60221.083999999995</v>
          </cell>
          <cell r="D55">
            <v>1204</v>
          </cell>
          <cell r="E55">
            <v>59017.083999999995</v>
          </cell>
        </row>
        <row r="56">
          <cell r="B56">
            <v>256779416130</v>
          </cell>
          <cell r="C56">
            <v>27828.162916400001</v>
          </cell>
          <cell r="D56">
            <v>557</v>
          </cell>
          <cell r="E56">
            <v>27271.162916400001</v>
          </cell>
        </row>
        <row r="57">
          <cell r="B57">
            <v>256779416154</v>
          </cell>
          <cell r="C57">
            <v>98384.905533199999</v>
          </cell>
          <cell r="D57">
            <v>1967</v>
          </cell>
          <cell r="E57">
            <v>96417.905533199999</v>
          </cell>
        </row>
        <row r="58">
          <cell r="B58">
            <v>256779416155</v>
          </cell>
          <cell r="C58">
            <v>301105.42</v>
          </cell>
          <cell r="D58">
            <v>6022</v>
          </cell>
          <cell r="E58">
            <v>295083.42</v>
          </cell>
        </row>
        <row r="59">
          <cell r="B59">
            <v>256779416193</v>
          </cell>
          <cell r="C59">
            <v>139776.57716879999</v>
          </cell>
          <cell r="D59">
            <v>2796</v>
          </cell>
          <cell r="E59">
            <v>136980.57716879999</v>
          </cell>
        </row>
        <row r="60">
          <cell r="B60">
            <v>256779416437</v>
          </cell>
          <cell r="C60">
            <v>12970.761192400001</v>
          </cell>
          <cell r="D60">
            <v>259</v>
          </cell>
          <cell r="E60">
            <v>12711.761192400001</v>
          </cell>
        </row>
        <row r="61">
          <cell r="B61">
            <v>256779416450</v>
          </cell>
          <cell r="C61">
            <v>10612.675603199999</v>
          </cell>
          <cell r="D61">
            <v>212</v>
          </cell>
          <cell r="E61">
            <v>10400.675603199999</v>
          </cell>
        </row>
        <row r="62">
          <cell r="B62">
            <v>256779416500</v>
          </cell>
          <cell r="C62">
            <v>81476.545748400007</v>
          </cell>
          <cell r="D62">
            <v>1630</v>
          </cell>
          <cell r="E62">
            <v>79846.545748400007</v>
          </cell>
        </row>
        <row r="63">
          <cell r="B63">
            <v>256779416579</v>
          </cell>
          <cell r="C63">
            <v>23228.132399999999</v>
          </cell>
          <cell r="D63">
            <v>465</v>
          </cell>
          <cell r="E63">
            <v>22763.132399999999</v>
          </cell>
        </row>
        <row r="64">
          <cell r="B64">
            <v>256779416810</v>
          </cell>
          <cell r="C64">
            <v>1769.6395683999999</v>
          </cell>
          <cell r="D64">
            <v>35</v>
          </cell>
          <cell r="E64">
            <v>1734.6395683999999</v>
          </cell>
        </row>
        <row r="65">
          <cell r="B65">
            <v>256779416825</v>
          </cell>
          <cell r="C65">
            <v>331215.962</v>
          </cell>
          <cell r="D65">
            <v>6624</v>
          </cell>
          <cell r="E65">
            <v>324591.962</v>
          </cell>
        </row>
        <row r="66">
          <cell r="B66">
            <v>256779416855</v>
          </cell>
          <cell r="C66">
            <v>8128.1257376000003</v>
          </cell>
          <cell r="D66">
            <v>163</v>
          </cell>
          <cell r="E66">
            <v>7965.1257376000003</v>
          </cell>
        </row>
        <row r="67">
          <cell r="B67">
            <v>256779417091</v>
          </cell>
          <cell r="C67">
            <v>139872.4033524</v>
          </cell>
          <cell r="D67">
            <v>13987</v>
          </cell>
          <cell r="E67">
            <v>125885.4033524</v>
          </cell>
        </row>
        <row r="68">
          <cell r="B68">
            <v>256779417139</v>
          </cell>
          <cell r="C68">
            <v>2191.3588231999997</v>
          </cell>
          <cell r="D68">
            <v>44</v>
          </cell>
          <cell r="E68">
            <v>2147.3588231999997</v>
          </cell>
        </row>
        <row r="69">
          <cell r="B69">
            <v>256779417140</v>
          </cell>
          <cell r="C69">
            <v>1793.1686216999999</v>
          </cell>
          <cell r="D69">
            <v>36</v>
          </cell>
          <cell r="E69">
            <v>1757.1686216999999</v>
          </cell>
        </row>
        <row r="70">
          <cell r="B70">
            <v>256779417191</v>
          </cell>
          <cell r="C70">
            <v>777.12725040000009</v>
          </cell>
          <cell r="D70">
            <v>16</v>
          </cell>
          <cell r="E70">
            <v>761.12725040000009</v>
          </cell>
        </row>
        <row r="71">
          <cell r="B71">
            <v>256779417235</v>
          </cell>
          <cell r="C71">
            <v>36055.903960000003</v>
          </cell>
          <cell r="D71">
            <v>721</v>
          </cell>
          <cell r="E71">
            <v>35334.903960000003</v>
          </cell>
        </row>
        <row r="72">
          <cell r="B72">
            <v>256779417267</v>
          </cell>
          <cell r="C72">
            <v>14411.859864400001</v>
          </cell>
          <cell r="D72">
            <v>288</v>
          </cell>
          <cell r="E72">
            <v>14123.859864400001</v>
          </cell>
        </row>
        <row r="73">
          <cell r="B73">
            <v>256779417297</v>
          </cell>
          <cell r="C73">
            <v>12048.9729544</v>
          </cell>
          <cell r="D73">
            <v>241</v>
          </cell>
          <cell r="E73">
            <v>11807.9729544</v>
          </cell>
        </row>
        <row r="74">
          <cell r="B74">
            <v>256779417777</v>
          </cell>
          <cell r="C74">
            <v>4405.4713722000006</v>
          </cell>
          <cell r="D74">
            <v>88</v>
          </cell>
          <cell r="E74">
            <v>4317.4713722000006</v>
          </cell>
        </row>
        <row r="75">
          <cell r="B75">
            <v>256779417914</v>
          </cell>
          <cell r="C75">
            <v>30866.769499999999</v>
          </cell>
          <cell r="D75">
            <v>617</v>
          </cell>
          <cell r="E75">
            <v>30249.769499999999</v>
          </cell>
        </row>
        <row r="76">
          <cell r="B76">
            <v>256779418638</v>
          </cell>
          <cell r="C76">
            <v>30866.769499999999</v>
          </cell>
          <cell r="D76">
            <v>617</v>
          </cell>
          <cell r="E76">
            <v>30249.769499999999</v>
          </cell>
        </row>
        <row r="77">
          <cell r="B77">
            <v>256779418877</v>
          </cell>
          <cell r="C77">
            <v>32371.166977599998</v>
          </cell>
          <cell r="D77">
            <v>3237</v>
          </cell>
          <cell r="E77">
            <v>29134.166977599998</v>
          </cell>
        </row>
        <row r="78">
          <cell r="B78">
            <v>256779419216</v>
          </cell>
          <cell r="C78">
            <v>2391.0521063000001</v>
          </cell>
          <cell r="D78">
            <v>48</v>
          </cell>
          <cell r="E78">
            <v>2343.0521063000001</v>
          </cell>
        </row>
        <row r="79">
          <cell r="B79">
            <v>256779419240</v>
          </cell>
          <cell r="C79">
            <v>991.79820529999995</v>
          </cell>
          <cell r="D79">
            <v>20</v>
          </cell>
          <cell r="E79">
            <v>971.79820529999995</v>
          </cell>
        </row>
        <row r="80">
          <cell r="B80">
            <v>256779419798</v>
          </cell>
          <cell r="C80">
            <v>31045.049000000003</v>
          </cell>
          <cell r="D80">
            <v>621</v>
          </cell>
          <cell r="E80">
            <v>30424.049000000003</v>
          </cell>
        </row>
        <row r="81">
          <cell r="B81">
            <v>256779419830</v>
          </cell>
          <cell r="C81">
            <v>991.66756520000001</v>
          </cell>
          <cell r="D81">
            <v>20</v>
          </cell>
          <cell r="E81">
            <v>971.66756520000001</v>
          </cell>
        </row>
        <row r="82">
          <cell r="B82">
            <v>256779440012</v>
          </cell>
          <cell r="C82">
            <v>33172.062258400001</v>
          </cell>
          <cell r="D82">
            <v>3318</v>
          </cell>
          <cell r="E82">
            <v>29854.062258400001</v>
          </cell>
        </row>
        <row r="83">
          <cell r="B83">
            <v>256779440046</v>
          </cell>
          <cell r="C83">
            <v>9074.3140000000003</v>
          </cell>
          <cell r="D83">
            <v>182</v>
          </cell>
          <cell r="E83">
            <v>8892.3140000000003</v>
          </cell>
        </row>
        <row r="84">
          <cell r="B84">
            <v>256779440106</v>
          </cell>
          <cell r="C84">
            <v>63520.197999999997</v>
          </cell>
          <cell r="D84">
            <v>1270</v>
          </cell>
          <cell r="E84">
            <v>62250.197999999997</v>
          </cell>
        </row>
        <row r="85">
          <cell r="B85">
            <v>256779440152</v>
          </cell>
          <cell r="C85">
            <v>22338.2387738</v>
          </cell>
          <cell r="D85">
            <v>447</v>
          </cell>
          <cell r="E85">
            <v>21891.2387738</v>
          </cell>
        </row>
        <row r="86">
          <cell r="B86">
            <v>256779440242</v>
          </cell>
          <cell r="C86">
            <v>79999.152224000005</v>
          </cell>
          <cell r="D86">
            <v>8000</v>
          </cell>
          <cell r="E86">
            <v>71999.152224000005</v>
          </cell>
        </row>
        <row r="87">
          <cell r="B87">
            <v>256779451324</v>
          </cell>
          <cell r="C87">
            <v>34739.304512000002</v>
          </cell>
          <cell r="D87">
            <v>3474</v>
          </cell>
          <cell r="E87">
            <v>31265.304512000002</v>
          </cell>
        </row>
        <row r="88">
          <cell r="B88">
            <v>256779451520</v>
          </cell>
          <cell r="C88">
            <v>5514.0606079999998</v>
          </cell>
          <cell r="D88">
            <v>111</v>
          </cell>
          <cell r="E88">
            <v>5403.0606079999998</v>
          </cell>
        </row>
        <row r="89">
          <cell r="B89" t="str">
            <v>6779IV124000167</v>
          </cell>
          <cell r="C89">
            <v>84138.422912000009</v>
          </cell>
          <cell r="D89">
            <v>8414</v>
          </cell>
          <cell r="E89">
            <v>75724.422912000009</v>
          </cell>
        </row>
        <row r="90">
          <cell r="B90" t="str">
            <v>6779IV124000168</v>
          </cell>
          <cell r="C90">
            <v>11561.3256</v>
          </cell>
          <cell r="D90">
            <v>231</v>
          </cell>
          <cell r="E90">
            <v>11330.3256</v>
          </cell>
        </row>
        <row r="91">
          <cell r="B91" t="str">
            <v>6779IV124000169</v>
          </cell>
          <cell r="C91">
            <v>41373.780204000002</v>
          </cell>
          <cell r="D91">
            <v>827</v>
          </cell>
          <cell r="E91">
            <v>40546.780204000002</v>
          </cell>
        </row>
        <row r="92">
          <cell r="B92" t="str">
            <v>6779IV124000170</v>
          </cell>
          <cell r="C92">
            <v>37837.065600000002</v>
          </cell>
          <cell r="D92">
            <v>757</v>
          </cell>
          <cell r="E92">
            <v>37080.065600000002</v>
          </cell>
        </row>
        <row r="93">
          <cell r="B93" t="str">
            <v>6779IV124000171</v>
          </cell>
          <cell r="C93">
            <v>41373.780204000002</v>
          </cell>
          <cell r="D93">
            <v>827</v>
          </cell>
          <cell r="E93">
            <v>40546.780204000002</v>
          </cell>
        </row>
        <row r="94">
          <cell r="B94" t="str">
            <v>6779IV124000172</v>
          </cell>
          <cell r="C94">
            <v>11000</v>
          </cell>
          <cell r="D94">
            <v>220</v>
          </cell>
          <cell r="E94">
            <v>10780</v>
          </cell>
        </row>
        <row r="95">
          <cell r="B95" t="str">
            <v>6779IV124000173</v>
          </cell>
          <cell r="C95">
            <v>131000.32934400001</v>
          </cell>
          <cell r="D95">
            <v>13100</v>
          </cell>
          <cell r="E95">
            <v>117900.32934400001</v>
          </cell>
        </row>
        <row r="96">
          <cell r="B96" t="str">
            <v>6779IV124000174</v>
          </cell>
          <cell r="C96">
            <v>18498.120960000004</v>
          </cell>
          <cell r="D96">
            <v>370</v>
          </cell>
          <cell r="E96">
            <v>18128.120960000004</v>
          </cell>
        </row>
        <row r="97">
          <cell r="B97" t="str">
            <v>6779IV124000175</v>
          </cell>
          <cell r="C97">
            <v>66198.048326400007</v>
          </cell>
          <cell r="D97">
            <v>1324</v>
          </cell>
          <cell r="E97">
            <v>64874.048326400007</v>
          </cell>
        </row>
        <row r="98">
          <cell r="B98" t="str">
            <v>6779IV124000176</v>
          </cell>
          <cell r="C98">
            <v>41620.77216</v>
          </cell>
          <cell r="D98">
            <v>832</v>
          </cell>
          <cell r="E98">
            <v>40788.77216</v>
          </cell>
        </row>
        <row r="99">
          <cell r="B99" t="str">
            <v>6779IV124000177</v>
          </cell>
          <cell r="C99">
            <v>24824.268122400001</v>
          </cell>
          <cell r="D99">
            <v>496</v>
          </cell>
          <cell r="E99">
            <v>24328.268122400001</v>
          </cell>
        </row>
        <row r="100">
          <cell r="B100" t="str">
            <v>6779IV124000178</v>
          </cell>
          <cell r="C100">
            <v>7094.4498000000003</v>
          </cell>
          <cell r="D100">
            <v>142</v>
          </cell>
          <cell r="E100">
            <v>6952.4498000000003</v>
          </cell>
        </row>
        <row r="101">
          <cell r="B101" t="str">
            <v>6779IV124000179</v>
          </cell>
          <cell r="C101">
            <v>13200</v>
          </cell>
          <cell r="D101">
            <v>264</v>
          </cell>
          <cell r="E101">
            <v>12936</v>
          </cell>
        </row>
        <row r="102">
          <cell r="B102" t="str">
            <v>6779IV124000180</v>
          </cell>
          <cell r="C102">
            <v>262000.65868799994</v>
          </cell>
          <cell r="D102">
            <v>26200</v>
          </cell>
          <cell r="E102">
            <v>235800.65868799994</v>
          </cell>
        </row>
        <row r="103">
          <cell r="B103" t="str">
            <v>6779IV124000181</v>
          </cell>
          <cell r="C103">
            <v>18498.120960000004</v>
          </cell>
          <cell r="D103">
            <v>370</v>
          </cell>
          <cell r="E103">
            <v>18128.120960000004</v>
          </cell>
        </row>
        <row r="104">
          <cell r="B104" t="str">
            <v>6779IV124000182</v>
          </cell>
          <cell r="C104">
            <v>66198.048326400007</v>
          </cell>
          <cell r="D104">
            <v>1324</v>
          </cell>
          <cell r="E104">
            <v>64874.048326400007</v>
          </cell>
        </row>
        <row r="105">
          <cell r="B105" t="str">
            <v>6779IV124000183</v>
          </cell>
          <cell r="C105">
            <v>60539.304960000001</v>
          </cell>
          <cell r="D105">
            <v>1211</v>
          </cell>
          <cell r="E105">
            <v>59328.304960000001</v>
          </cell>
        </row>
        <row r="106">
          <cell r="B106" t="str">
            <v>6779IV124000184</v>
          </cell>
          <cell r="C106">
            <v>18918.532800000001</v>
          </cell>
          <cell r="D106">
            <v>378</v>
          </cell>
          <cell r="E106">
            <v>18540.532800000001</v>
          </cell>
        </row>
        <row r="107">
          <cell r="B107" t="str">
            <v>6779IV124000185</v>
          </cell>
          <cell r="C107">
            <v>66198.048326400007</v>
          </cell>
          <cell r="D107">
            <v>1324</v>
          </cell>
          <cell r="E107">
            <v>64874.048326400007</v>
          </cell>
        </row>
        <row r="108">
          <cell r="B108" t="str">
            <v>6779IV124000186</v>
          </cell>
          <cell r="C108">
            <v>77748.162943999996</v>
          </cell>
          <cell r="D108">
            <v>7775</v>
          </cell>
          <cell r="E108">
            <v>69973.162943999996</v>
          </cell>
        </row>
        <row r="109">
          <cell r="B109" t="str">
            <v>6779IV124000187</v>
          </cell>
          <cell r="C109">
            <v>14188.899600000001</v>
          </cell>
          <cell r="D109">
            <v>284</v>
          </cell>
          <cell r="E109">
            <v>13904.899600000001</v>
          </cell>
        </row>
        <row r="110">
          <cell r="B110" t="str">
            <v>6779IV124000188</v>
          </cell>
          <cell r="C110">
            <v>49648.536244800001</v>
          </cell>
          <cell r="D110">
            <v>993</v>
          </cell>
          <cell r="E110">
            <v>48655.536244800001</v>
          </cell>
        </row>
        <row r="111">
          <cell r="B111" t="str">
            <v>6779IV124000189</v>
          </cell>
          <cell r="C111">
            <v>22702.23936</v>
          </cell>
          <cell r="D111">
            <v>454</v>
          </cell>
          <cell r="E111">
            <v>22248.23936</v>
          </cell>
        </row>
        <row r="112">
          <cell r="B112" t="str">
            <v>6779IV124000190</v>
          </cell>
          <cell r="C112">
            <v>31951.29984</v>
          </cell>
          <cell r="D112">
            <v>3195</v>
          </cell>
          <cell r="E112">
            <v>28756.29984</v>
          </cell>
        </row>
        <row r="113">
          <cell r="B113" t="str">
            <v>6779IV124000191</v>
          </cell>
          <cell r="C113">
            <v>4624.53024</v>
          </cell>
          <cell r="D113">
            <v>92</v>
          </cell>
          <cell r="E113">
            <v>4532.53024</v>
          </cell>
        </row>
        <row r="114">
          <cell r="B114" t="str">
            <v>6779IV124000192</v>
          </cell>
          <cell r="C114">
            <v>16549.512081600002</v>
          </cell>
          <cell r="D114">
            <v>331</v>
          </cell>
          <cell r="E114">
            <v>16218.512081600002</v>
          </cell>
        </row>
        <row r="115">
          <cell r="B115" t="str">
            <v>6779IV124000193</v>
          </cell>
          <cell r="C115">
            <v>15134.826240000002</v>
          </cell>
          <cell r="D115">
            <v>303</v>
          </cell>
          <cell r="E115">
            <v>14831.826240000002</v>
          </cell>
        </row>
        <row r="116">
          <cell r="B116" t="str">
            <v>6779IV124000194</v>
          </cell>
          <cell r="C116">
            <v>4729.6332000000002</v>
          </cell>
          <cell r="D116">
            <v>95</v>
          </cell>
          <cell r="E116">
            <v>4634.6332000000002</v>
          </cell>
        </row>
        <row r="117">
          <cell r="B117" t="str">
            <v>6779IV124000195</v>
          </cell>
          <cell r="C117">
            <v>16549.512081600002</v>
          </cell>
          <cell r="D117">
            <v>331</v>
          </cell>
          <cell r="E117">
            <v>16218.512081600002</v>
          </cell>
        </row>
        <row r="118">
          <cell r="B118" t="str">
            <v>6779IV124000196</v>
          </cell>
          <cell r="C118">
            <v>107902.20216799999</v>
          </cell>
          <cell r="D118">
            <v>10790</v>
          </cell>
          <cell r="E118">
            <v>97112.202167999989</v>
          </cell>
        </row>
        <row r="119">
          <cell r="B119" t="str">
            <v>6779IV124000197</v>
          </cell>
          <cell r="C119">
            <v>15765.444000000001</v>
          </cell>
          <cell r="D119">
            <v>315</v>
          </cell>
          <cell r="E119">
            <v>15450.444000000001</v>
          </cell>
        </row>
        <row r="120">
          <cell r="B120" t="str">
            <v>6779IV124000198</v>
          </cell>
          <cell r="C120">
            <v>2364.8166000000001</v>
          </cell>
          <cell r="D120">
            <v>47</v>
          </cell>
          <cell r="E120">
            <v>2317.8166000000001</v>
          </cell>
        </row>
        <row r="121">
          <cell r="B121" t="str">
            <v>6779IV124000199</v>
          </cell>
          <cell r="C121">
            <v>15765.444000000001</v>
          </cell>
          <cell r="D121">
            <v>315</v>
          </cell>
          <cell r="E121">
            <v>15450.444000000001</v>
          </cell>
        </row>
        <row r="122">
          <cell r="B122" t="str">
            <v>6779IV124000200</v>
          </cell>
          <cell r="C122">
            <v>4624.53024</v>
          </cell>
          <cell r="D122">
            <v>92</v>
          </cell>
          <cell r="E122">
            <v>4532.53024</v>
          </cell>
        </row>
        <row r="123">
          <cell r="B123" t="str">
            <v>6779IV124000201</v>
          </cell>
          <cell r="C123">
            <v>22153.2515656</v>
          </cell>
          <cell r="D123">
            <v>443</v>
          </cell>
          <cell r="E123">
            <v>21710.2515656</v>
          </cell>
        </row>
        <row r="124">
          <cell r="B124" t="str">
            <v>6779IV124000202</v>
          </cell>
          <cell r="C124">
            <v>2801.8697419999999</v>
          </cell>
          <cell r="D124">
            <v>56</v>
          </cell>
          <cell r="E124">
            <v>2745.8697419999999</v>
          </cell>
        </row>
        <row r="125">
          <cell r="B125" t="str">
            <v>6779IV124000203</v>
          </cell>
          <cell r="C125">
            <v>11351.119680000003</v>
          </cell>
          <cell r="D125">
            <v>227</v>
          </cell>
          <cell r="E125">
            <v>11124.119680000003</v>
          </cell>
        </row>
        <row r="126">
          <cell r="B126" t="str">
            <v>6779IV124000204</v>
          </cell>
          <cell r="C126">
            <v>5603.7394839999997</v>
          </cell>
          <cell r="D126">
            <v>112</v>
          </cell>
          <cell r="E126">
            <v>5491.7394839999997</v>
          </cell>
        </row>
        <row r="127">
          <cell r="B127" t="str">
            <v>6779IV124000205</v>
          </cell>
          <cell r="C127">
            <v>2801.8697419999999</v>
          </cell>
          <cell r="D127">
            <v>56</v>
          </cell>
          <cell r="E127">
            <v>2745.8697419999999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25EC4-8991-4884-9C5A-A0ADB64CBE10}">
  <dimension ref="A1:R5"/>
  <sheetViews>
    <sheetView workbookViewId="0">
      <selection activeCell="L5" sqref="L5"/>
    </sheetView>
  </sheetViews>
  <sheetFormatPr defaultRowHeight="14.5" x14ac:dyDescent="0.35"/>
  <cols>
    <col min="1" max="1" width="5.90625" bestFit="1" customWidth="1"/>
    <col min="2" max="2" width="23.1796875" bestFit="1" customWidth="1"/>
    <col min="3" max="3" width="7.90625" customWidth="1"/>
    <col min="4" max="4" width="15.81640625" customWidth="1"/>
    <col min="5" max="5" width="10.08984375" bestFit="1" customWidth="1"/>
    <col min="6" max="6" width="15.54296875" bestFit="1" customWidth="1"/>
    <col min="7" max="7" width="8.6328125" bestFit="1" customWidth="1"/>
    <col min="8" max="8" width="12.1796875" bestFit="1" customWidth="1"/>
    <col min="9" max="9" width="4.26953125" bestFit="1" customWidth="1"/>
    <col min="10" max="10" width="9.7265625" bestFit="1" customWidth="1"/>
    <col min="11" max="11" width="11.1796875" bestFit="1" customWidth="1"/>
    <col min="12" max="12" width="11.453125" customWidth="1"/>
    <col min="13" max="13" width="11.81640625" customWidth="1"/>
    <col min="14" max="14" width="11.1796875" bestFit="1" customWidth="1"/>
    <col min="15" max="15" width="10.08984375" bestFit="1" customWidth="1"/>
    <col min="16" max="16" width="23.90625" bestFit="1" customWidth="1"/>
    <col min="17" max="17" width="28.36328125" hidden="1" customWidth="1"/>
    <col min="18" max="18" width="20.54296875" bestFit="1" customWidth="1"/>
  </cols>
  <sheetData>
    <row r="1" spans="1:18" s="13" customFormat="1" ht="43.5" x14ac:dyDescent="0.35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8" t="s">
        <v>28</v>
      </c>
      <c r="H1" s="9" t="s">
        <v>29</v>
      </c>
      <c r="I1" s="7" t="s">
        <v>10</v>
      </c>
      <c r="J1" s="7" t="s">
        <v>30</v>
      </c>
      <c r="K1" s="7" t="s">
        <v>31</v>
      </c>
      <c r="L1" s="7" t="s">
        <v>32</v>
      </c>
      <c r="M1" s="7" t="s">
        <v>33</v>
      </c>
      <c r="N1" s="7"/>
      <c r="O1" s="7" t="s">
        <v>26</v>
      </c>
      <c r="P1" s="10" t="s">
        <v>34</v>
      </c>
      <c r="Q1" s="11" t="s">
        <v>35</v>
      </c>
      <c r="R1" s="12" t="s">
        <v>36</v>
      </c>
    </row>
    <row r="2" spans="1:18" x14ac:dyDescent="0.35">
      <c r="A2" s="14">
        <v>13</v>
      </c>
      <c r="B2" s="14" t="s">
        <v>37</v>
      </c>
      <c r="C2" s="15">
        <v>150.70936156317575</v>
      </c>
      <c r="D2" s="14" t="s">
        <v>38</v>
      </c>
      <c r="E2" s="16">
        <v>45698</v>
      </c>
      <c r="F2" s="14" t="s">
        <v>39</v>
      </c>
      <c r="G2" s="17">
        <v>87.585800000000006</v>
      </c>
      <c r="H2" s="18">
        <v>13200</v>
      </c>
      <c r="I2" s="19">
        <v>0.02</v>
      </c>
      <c r="J2" s="20">
        <v>264</v>
      </c>
      <c r="K2" s="20">
        <v>12936</v>
      </c>
      <c r="L2" s="20">
        <v>6468</v>
      </c>
      <c r="M2" s="20">
        <v>6468</v>
      </c>
      <c r="N2" s="20">
        <v>12936</v>
      </c>
      <c r="O2" s="16">
        <v>45822</v>
      </c>
      <c r="P2" s="14" t="s">
        <v>40</v>
      </c>
      <c r="Q2" s="21">
        <v>45717</v>
      </c>
      <c r="R2" s="14" t="s">
        <v>41</v>
      </c>
    </row>
    <row r="3" spans="1:18" x14ac:dyDescent="0.35">
      <c r="A3" s="14">
        <v>133</v>
      </c>
      <c r="B3" s="22" t="s">
        <v>42</v>
      </c>
      <c r="C3" s="23">
        <v>5120.2</v>
      </c>
      <c r="D3" s="21" t="s">
        <v>43</v>
      </c>
      <c r="E3" s="16">
        <v>45842</v>
      </c>
      <c r="F3" s="24">
        <v>256779415205</v>
      </c>
      <c r="G3" s="25">
        <v>86.00067</v>
      </c>
      <c r="H3" s="18">
        <v>440340.630534</v>
      </c>
      <c r="I3" s="19">
        <v>0.1</v>
      </c>
      <c r="J3" s="20">
        <v>44034</v>
      </c>
      <c r="K3" s="20">
        <v>396306.630534</v>
      </c>
      <c r="L3" s="20">
        <v>144316.00431359999</v>
      </c>
      <c r="M3" s="20">
        <v>251990.62622040001</v>
      </c>
      <c r="N3" s="20">
        <v>396306.630534</v>
      </c>
      <c r="O3" s="16">
        <v>45993</v>
      </c>
      <c r="P3" s="14" t="s">
        <v>44</v>
      </c>
      <c r="Q3" s="21">
        <v>45839</v>
      </c>
      <c r="R3" s="14" t="s">
        <v>41</v>
      </c>
    </row>
    <row r="4" spans="1:18" x14ac:dyDescent="0.35">
      <c r="A4" s="14">
        <v>139</v>
      </c>
      <c r="B4" s="22" t="s">
        <v>45</v>
      </c>
      <c r="C4" s="23">
        <v>4902.53</v>
      </c>
      <c r="D4" s="21" t="s">
        <v>46</v>
      </c>
      <c r="E4" s="16">
        <v>45877</v>
      </c>
      <c r="F4" s="24">
        <v>256779416093</v>
      </c>
      <c r="G4" s="25">
        <v>86.030119999999997</v>
      </c>
      <c r="H4" s="18">
        <v>421765.24420359998</v>
      </c>
      <c r="I4" s="19">
        <v>0.1</v>
      </c>
      <c r="J4" s="20">
        <v>42177</v>
      </c>
      <c r="K4" s="20">
        <v>379588.24420359998</v>
      </c>
      <c r="L4" s="20">
        <v>246362.73404159996</v>
      </c>
      <c r="M4" s="20">
        <v>133225.51016200002</v>
      </c>
      <c r="N4" s="20">
        <v>379588.24420359998</v>
      </c>
      <c r="O4" s="16">
        <v>45932</v>
      </c>
      <c r="P4" s="14" t="s">
        <v>47</v>
      </c>
      <c r="Q4" s="21">
        <v>45870</v>
      </c>
      <c r="R4" s="14" t="s">
        <v>41</v>
      </c>
    </row>
    <row r="5" spans="1:18" x14ac:dyDescent="0.35">
      <c r="L5" s="26">
        <f>SUM(L2:L4)</f>
        <v>397146.73835519992</v>
      </c>
    </row>
  </sheetData>
  <conditionalFormatting sqref="P1:P4">
    <cfRule type="duplicateValues" dxfId="4" priority="5"/>
  </conditionalFormatting>
  <conditionalFormatting sqref="F2:F4">
    <cfRule type="duplicateValues" dxfId="3" priority="4"/>
  </conditionalFormatting>
  <conditionalFormatting sqref="F3">
    <cfRule type="duplicateValues" dxfId="2" priority="2"/>
    <cfRule type="duplicateValues" dxfId="1" priority="3"/>
  </conditionalFormatting>
  <conditionalFormatting sqref="F4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DF39-04F7-495E-8EA1-19AB83F8DA09}">
  <dimension ref="A1:N6"/>
  <sheetViews>
    <sheetView tabSelected="1" workbookViewId="0">
      <selection activeCell="J5" sqref="J5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2.90625" bestFit="1" customWidth="1"/>
    <col min="5" max="6" width="8.26953125" bestFit="1" customWidth="1"/>
    <col min="9" max="9" width="27" bestFit="1" customWidth="1"/>
    <col min="10" max="10" width="13.7265625" bestFit="1" customWidth="1"/>
    <col min="11" max="11" width="9.7265625" bestFit="1" customWidth="1"/>
    <col min="12" max="12" width="10.36328125" bestFit="1" customWidth="1"/>
    <col min="13" max="13" width="4.54296875" bestFit="1" customWidth="1"/>
    <col min="14" max="14" width="32.08984375" style="28" bestFit="1" customWidth="1"/>
  </cols>
  <sheetData>
    <row r="1" spans="1:14" ht="58" x14ac:dyDescent="0.3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27" t="s">
        <v>13</v>
      </c>
    </row>
    <row r="2" spans="1:14" s="37" customFormat="1" ht="29" x14ac:dyDescent="0.35">
      <c r="A2" s="29">
        <v>1800012193</v>
      </c>
      <c r="B2" s="29" t="s">
        <v>14</v>
      </c>
      <c r="C2" s="30">
        <v>45889</v>
      </c>
      <c r="D2" s="31">
        <v>256779416855</v>
      </c>
      <c r="E2" s="29" t="s">
        <v>15</v>
      </c>
      <c r="F2" s="32">
        <v>137.68</v>
      </c>
      <c r="G2" s="29" t="s">
        <v>16</v>
      </c>
      <c r="H2" s="32">
        <v>11844.63</v>
      </c>
      <c r="I2" s="29" t="s">
        <v>17</v>
      </c>
      <c r="J2" s="33" cm="1">
        <f t="array" ref="J2:K2">VLOOKUP(D2,'[1]Customer data Vlookup'!$B:$E,{2,3},0)</f>
        <v>8128.1257376000003</v>
      </c>
      <c r="K2" s="33">
        <v>163</v>
      </c>
      <c r="L2" s="34">
        <f>J2-H2</f>
        <v>-3716.5042623999989</v>
      </c>
      <c r="M2" s="35">
        <f>K2/H2</f>
        <v>1.3761510490407891E-2</v>
      </c>
      <c r="N2" s="36" t="s">
        <v>48</v>
      </c>
    </row>
    <row r="3" spans="1:14" s="37" customFormat="1" ht="29" x14ac:dyDescent="0.35">
      <c r="A3" s="29">
        <v>1800009485</v>
      </c>
      <c r="B3" s="29" t="s">
        <v>14</v>
      </c>
      <c r="C3" s="30">
        <v>45815</v>
      </c>
      <c r="D3" s="31">
        <v>256779414249</v>
      </c>
      <c r="E3" s="29" t="s">
        <v>15</v>
      </c>
      <c r="F3" s="32">
        <v>2032.81</v>
      </c>
      <c r="G3" s="29" t="s">
        <v>16</v>
      </c>
      <c r="H3" s="32">
        <v>173786.51</v>
      </c>
      <c r="I3" s="29" t="s">
        <v>18</v>
      </c>
      <c r="J3" s="33" cm="1">
        <f t="array" ref="J3:K3">VLOOKUP(D3,'[1]Customer data Vlookup'!$B:$E,{2,3},0)</f>
        <v>161435.48821587319</v>
      </c>
      <c r="K3" s="33">
        <v>16144</v>
      </c>
      <c r="L3" s="34">
        <f t="shared" ref="L3:L5" si="0">J3-H3</f>
        <v>-12351.021784126817</v>
      </c>
      <c r="M3" s="35">
        <f t="shared" ref="M3:M5" si="1">K3/H3</f>
        <v>9.2895587810584379E-2</v>
      </c>
      <c r="N3" s="36" t="s">
        <v>48</v>
      </c>
    </row>
    <row r="4" spans="1:14" s="37" customFormat="1" x14ac:dyDescent="0.35">
      <c r="A4" s="29">
        <v>1800015679</v>
      </c>
      <c r="B4" s="29" t="s">
        <v>14</v>
      </c>
      <c r="C4" s="30">
        <v>46024</v>
      </c>
      <c r="D4" s="31">
        <v>256779440012</v>
      </c>
      <c r="E4" s="29" t="s">
        <v>15</v>
      </c>
      <c r="F4" s="32">
        <v>182.78</v>
      </c>
      <c r="G4" s="29" t="s">
        <v>16</v>
      </c>
      <c r="H4" s="32">
        <v>16586.03</v>
      </c>
      <c r="I4" s="29" t="s">
        <v>19</v>
      </c>
      <c r="J4" s="33" cm="1">
        <f t="array" ref="J4:K4">VLOOKUP(D4,'[1]Customer data Vlookup'!$B:$E,{2,3},0)</f>
        <v>33172.062258400001</v>
      </c>
      <c r="K4" s="33">
        <v>3318</v>
      </c>
      <c r="L4" s="34">
        <f t="shared" si="0"/>
        <v>16586.032258400002</v>
      </c>
      <c r="M4" s="35">
        <f t="shared" si="1"/>
        <v>0.20004787161243529</v>
      </c>
      <c r="N4" s="36" t="s">
        <v>20</v>
      </c>
    </row>
    <row r="5" spans="1:14" s="37" customFormat="1" x14ac:dyDescent="0.35">
      <c r="A5" s="29">
        <v>1800015717</v>
      </c>
      <c r="B5" s="29" t="s">
        <v>14</v>
      </c>
      <c r="C5" s="30">
        <v>46024</v>
      </c>
      <c r="D5" s="31">
        <v>256779440046</v>
      </c>
      <c r="E5" s="29" t="s">
        <v>15</v>
      </c>
      <c r="F5" s="32">
        <v>50</v>
      </c>
      <c r="G5" s="29" t="s">
        <v>16</v>
      </c>
      <c r="H5" s="32">
        <v>4537.16</v>
      </c>
      <c r="I5" s="29" t="s">
        <v>21</v>
      </c>
      <c r="J5" s="33" cm="1">
        <f t="array" ref="J5:K5">VLOOKUP(D5,'[1]Customer data Vlookup'!$B:$E,{2,3},0)</f>
        <v>9074.3140000000003</v>
      </c>
      <c r="K5" s="33">
        <v>182</v>
      </c>
      <c r="L5" s="34">
        <f t="shared" si="0"/>
        <v>4537.1540000000005</v>
      </c>
      <c r="M5" s="35">
        <f t="shared" si="1"/>
        <v>4.0113198564740937E-2</v>
      </c>
      <c r="N5" s="36" t="s">
        <v>20</v>
      </c>
    </row>
    <row r="6" spans="1:14" x14ac:dyDescent="0.35">
      <c r="L6" s="6">
        <f>SUM(L2:L5)</f>
        <v>5055.660211873188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 Note to be Discussed</vt:lpstr>
      <vt:lpstr>Difference In Invoice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2026-02-26T12:34:58Z</dcterms:created>
  <dcterms:modified xsi:type="dcterms:W3CDTF">2026-02-26T13:19:58Z</dcterms:modified>
</cp:coreProperties>
</file>