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19. BARNET INDIA PRIVATE LIMITED\"/>
    </mc:Choice>
  </mc:AlternateContent>
  <xr:revisionPtr revIDLastSave="0" documentId="13_ncr:1_{C087BD51-067D-4B06-8AA1-9C9610388D18}" xr6:coauthVersionLast="47" xr6:coauthVersionMax="47" xr10:uidLastSave="{00000000-0000-0000-0000-000000000000}"/>
  <bookViews>
    <workbookView xWindow="-110" yWindow="-110" windowWidth="21820" windowHeight="14020" xr2:uid="{08CFC468-C01E-4E8D-9ECE-339AEB549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3" i="1" l="1"/>
  <c r="R22" i="1"/>
  <c r="R24" i="1" s="1"/>
  <c r="R18" i="1"/>
  <c r="R17" i="1"/>
  <c r="R7" i="1"/>
  <c r="R19" i="1" l="1"/>
  <c r="N14" i="1"/>
  <c r="R13" i="1" l="1"/>
  <c r="R12" i="1"/>
  <c r="R11" i="1"/>
  <c r="R10" i="1"/>
  <c r="R9" i="1"/>
  <c r="R8" i="1"/>
  <c r="R3" i="1"/>
  <c r="R2" i="1"/>
  <c r="R14" i="1" l="1"/>
  <c r="R4" i="1"/>
</calcChain>
</file>

<file path=xl/sharedStrings.xml><?xml version="1.0" encoding="utf-8"?>
<sst xmlns="http://schemas.openxmlformats.org/spreadsheetml/2006/main" count="197" uniqueCount="40">
  <si>
    <t>Company Code</t>
  </si>
  <si>
    <t>Customer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</si>
  <si>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</si>
  <si>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</si>
  <si>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</si>
  <si>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</si>
  <si>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</si>
  <si>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</si>
  <si>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</si>
  <si>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</si>
  <si>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</si>
  <si>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</si>
  <si>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</si>
  <si>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</si>
  <si>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</si>
  <si>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</si>
  <si>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6779</t>
  </si>
  <si>
    <t>DZ</t>
  </si>
  <si>
    <t>212100</t>
  </si>
  <si>
    <t>USD</t>
  </si>
  <si>
    <t xml:space="preserve">Payment </t>
  </si>
  <si>
    <t>DR</t>
  </si>
  <si>
    <t>Invoice</t>
  </si>
  <si>
    <t>INR</t>
  </si>
  <si>
    <t>Company Code Currency Value</t>
  </si>
  <si>
    <t>Company Code Currency Key</t>
  </si>
  <si>
    <t>100222397</t>
  </si>
  <si>
    <t>BARNET INDIA PRIVATE LIMITED</t>
  </si>
  <si>
    <t>HDFCN52025100308494407</t>
  </si>
  <si>
    <t>Customer Account: Name 2</t>
  </si>
  <si>
    <t>NA</t>
  </si>
  <si>
    <t>HDFCN52025061495304800</t>
  </si>
  <si>
    <t>6779IV124000172</t>
  </si>
  <si>
    <t>6779IV124000179</t>
  </si>
  <si>
    <t>XB</t>
  </si>
  <si>
    <t>6779IV125000009</t>
  </si>
  <si>
    <t>HDFCH00806112855</t>
  </si>
  <si>
    <t>H2PMXC728CY0</t>
  </si>
  <si>
    <t>Credit Note By Customer, clarification to be sought from customer</t>
  </si>
  <si>
    <t>Difference in amount recorded by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</si>
</sst>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0" fontId="0" fillId="0" borderId="0" xfId="0" applyBorder="1" applyAlignment="1">
      <alignment vertical="top"/>
    </xf>
    <xf numFmtId="43" fontId="0" fillId="0" borderId="1" xfId="1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right" vertical="top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/>
    <xf numFmtId="0" fontId="0" fillId="0" borderId="0" xfId="0" applyAlignment="1">
      <alignment vertical="top" wrapText="1"/>
    </xf>
    <xf numFmtId="43" fontId="0" fillId="0" borderId="1" xfId="0" applyNumberFormat="1" applyBorder="1" applyAlignment="1">
      <alignment vertical="top"/>
    </xf>
    <xf numFmtId="43" fontId="0" fillId="0" borderId="0" xfId="1" applyFont="1" applyAlignment="1">
      <alignment vertical="top"/>
    </xf>
    <xf numFmtId="0" fontId="0" fillId="2" borderId="1" xfId="0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3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U24"/>
  <sheetViews>
    <sheetView tabSelected="1" zoomScale="89" zoomScaleNormal="89" workbookViewId="0">
      <selection activeCell="A13" sqref="A13"/>
    </sheetView>
  </sheetViews>
  <sheetFormatPr defaultColWidth="8.81640625" defaultRowHeight="12.5"/>
  <cols>
    <col min="1" max="1" width="13.6328125" style="2" bestFit="1" customWidth="1"/>
    <col min="2" max="2" width="10.08984375" style="2" bestFit="1" customWidth="1"/>
    <col min="3" max="3" width="29.7265625" style="2" bestFit="1" customWidth="1"/>
    <col min="4" max="4" width="11.453125" style="2" bestFit="1" customWidth="1"/>
    <col min="5" max="5" width="16.26953125" style="2" bestFit="1" customWidth="1"/>
    <col min="6" max="6" width="14" style="2" bestFit="1" customWidth="1"/>
    <col min="7" max="7" width="13.6328125" style="2" bestFit="1" customWidth="1"/>
    <col min="8" max="8" width="10.26953125" style="2" bestFit="1" customWidth="1"/>
    <col min="9" max="9" width="25" style="2" bestFit="1" customWidth="1"/>
    <col min="10" max="10" width="13.26953125" style="2" bestFit="1" customWidth="1"/>
    <col min="11" max="11" width="11.1796875" style="2" bestFit="1" customWidth="1"/>
    <col min="12" max="12" width="21" style="2" bestFit="1" customWidth="1"/>
    <col min="13" max="13" width="23.54296875" style="2" bestFit="1" customWidth="1"/>
    <col min="14" max="14" width="26.6328125" style="2" bestFit="1" customWidth="1"/>
    <col min="15" max="15" width="28.08984375" style="2" bestFit="1" customWidth="1"/>
    <col min="16" max="16" width="27.08984375" style="2" bestFit="1" customWidth="1"/>
    <col min="17" max="17" width="11.1796875" style="2" bestFit="1" customWidth="1"/>
    <col min="18" max="18" width="17.26953125" style="2" bestFit="1" customWidth="1"/>
    <col min="19" max="19" width="22.54296875" style="2" bestFit="1" customWidth="1"/>
    <col min="20" max="20" width="4.36328125" style="2" bestFit="1" customWidth="1"/>
    <col min="21" max="21" width="27.90625" style="2" bestFit="1" customWidth="1"/>
    <col min="22" max="24" width="14.7265625" style="2" bestFit="1" customWidth="1"/>
    <col min="25" max="25" width="19.1796875" style="2" bestFit="1" customWidth="1"/>
    <col min="26" max="26" width="12.1796875" style="2" bestFit="1" customWidth="1"/>
    <col min="27" max="27" width="17.6328125" style="2" bestFit="1" customWidth="1"/>
    <col min="28" max="28" width="13.54296875" style="2" bestFit="1" customWidth="1"/>
    <col min="29" max="29" width="6.54296875" style="2" bestFit="1" customWidth="1"/>
    <col min="30" max="30" width="11.453125" style="2" bestFit="1" customWidth="1"/>
    <col min="31" max="31" width="10.26953125" style="2" bestFit="1" customWidth="1"/>
    <col min="32" max="32" width="4.81640625" style="2" bestFit="1" customWidth="1"/>
    <col min="33" max="33" width="7.54296875" style="2" bestFit="1" customWidth="1"/>
    <col min="34" max="34" width="6.54296875" style="2" bestFit="1" customWidth="1"/>
    <col min="35" max="35" width="7.54296875" style="2" bestFit="1" customWidth="1"/>
    <col min="36" max="36" width="5.54296875" style="2" bestFit="1" customWidth="1"/>
    <col min="37" max="37" width="3.54296875" style="2" bestFit="1" customWidth="1"/>
    <col min="38" max="38" width="4.81640625" style="2" bestFit="1" customWidth="1"/>
    <col min="39" max="16384" width="8.81640625" style="2"/>
  </cols>
  <sheetData>
    <row r="1" spans="1:21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25</v>
      </c>
      <c r="P1" s="1" t="s">
        <v>24</v>
      </c>
      <c r="Q1" s="1" t="s">
        <v>13</v>
      </c>
      <c r="R1" s="1" t="s">
        <v>14</v>
      </c>
      <c r="S1" s="1" t="s">
        <v>15</v>
      </c>
    </row>
    <row r="2" spans="1:21">
      <c r="A2" s="3" t="s">
        <v>16</v>
      </c>
      <c r="B2" s="3" t="s">
        <v>26</v>
      </c>
      <c r="C2" s="3" t="s">
        <v>27</v>
      </c>
      <c r="D2" s="4">
        <v>45972</v>
      </c>
      <c r="E2" s="3">
        <v>1400001627</v>
      </c>
      <c r="F2" s="3" t="s">
        <v>17</v>
      </c>
      <c r="G2" s="4">
        <v>45972</v>
      </c>
      <c r="H2" s="4">
        <v>45972</v>
      </c>
      <c r="I2" s="3" t="s">
        <v>28</v>
      </c>
      <c r="J2" s="3" t="s">
        <v>18</v>
      </c>
      <c r="K2" s="3"/>
      <c r="L2" s="3"/>
      <c r="M2" s="11" t="s">
        <v>23</v>
      </c>
      <c r="N2" s="12">
        <v>-324591.96000000002</v>
      </c>
      <c r="O2" s="13" t="s">
        <v>23</v>
      </c>
      <c r="P2" s="12">
        <v>-324591.96000000002</v>
      </c>
      <c r="Q2" s="3"/>
      <c r="R2" s="16">
        <f>P2</f>
        <v>-324591.96000000002</v>
      </c>
      <c r="S2" s="5" t="s">
        <v>20</v>
      </c>
    </row>
    <row r="3" spans="1:21">
      <c r="A3" s="3" t="s">
        <v>16</v>
      </c>
      <c r="B3" s="3" t="s">
        <v>26</v>
      </c>
      <c r="C3" s="3" t="s">
        <v>27</v>
      </c>
      <c r="D3" s="4">
        <v>45889</v>
      </c>
      <c r="E3" s="3">
        <v>1800012229</v>
      </c>
      <c r="F3" s="3" t="s">
        <v>21</v>
      </c>
      <c r="G3" s="4">
        <v>45889</v>
      </c>
      <c r="H3" s="4">
        <v>45891</v>
      </c>
      <c r="I3" s="3" t="s">
        <v>30</v>
      </c>
      <c r="J3" s="3" t="s">
        <v>18</v>
      </c>
      <c r="K3" s="3"/>
      <c r="L3" s="3">
        <v>256779416825</v>
      </c>
      <c r="M3" s="11" t="s">
        <v>19</v>
      </c>
      <c r="N3" s="12">
        <v>3850</v>
      </c>
      <c r="O3" s="13" t="s">
        <v>23</v>
      </c>
      <c r="P3" s="12">
        <v>331215.96000000002</v>
      </c>
      <c r="Q3" s="14">
        <v>6624</v>
      </c>
      <c r="R3" s="16">
        <f>P3-Q3</f>
        <v>324591.96000000002</v>
      </c>
      <c r="S3" s="5" t="s">
        <v>22</v>
      </c>
    </row>
    <row r="4" spans="1:2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7"/>
      <c r="M4" s="6"/>
      <c r="N4" s="8"/>
      <c r="O4" s="8"/>
      <c r="P4" s="8"/>
      <c r="Q4" s="6"/>
      <c r="R4" s="8">
        <f>SUM(R2:R3)</f>
        <v>0</v>
      </c>
      <c r="S4" s="6"/>
    </row>
    <row r="6" spans="1:21" s="9" customFormat="1">
      <c r="A6" s="1" t="s">
        <v>0</v>
      </c>
      <c r="B6" s="1" t="s">
        <v>1</v>
      </c>
      <c r="C6" s="1" t="s">
        <v>29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25</v>
      </c>
      <c r="P6" s="1" t="s">
        <v>24</v>
      </c>
      <c r="Q6" s="1" t="s">
        <v>13</v>
      </c>
      <c r="R6" s="1" t="s">
        <v>14</v>
      </c>
      <c r="S6" s="1" t="s">
        <v>15</v>
      </c>
    </row>
    <row r="7" spans="1:21" s="15" customFormat="1">
      <c r="A7" s="3" t="s">
        <v>16</v>
      </c>
      <c r="B7" s="3" t="s">
        <v>26</v>
      </c>
      <c r="C7" s="3" t="s">
        <v>27</v>
      </c>
      <c r="D7" s="4">
        <v>45931</v>
      </c>
      <c r="E7" s="3">
        <v>1400001329</v>
      </c>
      <c r="F7" s="3" t="s">
        <v>17</v>
      </c>
      <c r="G7" s="4">
        <v>45931</v>
      </c>
      <c r="H7" s="4">
        <v>45931</v>
      </c>
      <c r="I7" s="3" t="s">
        <v>31</v>
      </c>
      <c r="J7" s="3" t="s">
        <v>18</v>
      </c>
      <c r="K7" s="3"/>
      <c r="L7" s="3"/>
      <c r="M7" s="11" t="s">
        <v>23</v>
      </c>
      <c r="N7" s="12">
        <v>-226409</v>
      </c>
      <c r="O7" s="13" t="s">
        <v>23</v>
      </c>
      <c r="P7" s="12">
        <v>-226409</v>
      </c>
      <c r="Q7" s="3"/>
      <c r="R7" s="16">
        <f>P7-Q7</f>
        <v>-226409</v>
      </c>
      <c r="S7" s="5" t="s">
        <v>20</v>
      </c>
    </row>
    <row r="8" spans="1:21" s="15" customFormat="1">
      <c r="A8" s="3" t="s">
        <v>16</v>
      </c>
      <c r="B8" s="3" t="s">
        <v>26</v>
      </c>
      <c r="C8" s="3" t="s">
        <v>27</v>
      </c>
      <c r="D8" s="4">
        <v>45733</v>
      </c>
      <c r="E8" s="3">
        <v>7000000181</v>
      </c>
      <c r="F8" s="3" t="s">
        <v>34</v>
      </c>
      <c r="G8" s="4">
        <v>45733</v>
      </c>
      <c r="H8" s="4">
        <v>45733</v>
      </c>
      <c r="I8" s="3" t="s">
        <v>35</v>
      </c>
      <c r="J8" s="3" t="s">
        <v>18</v>
      </c>
      <c r="K8" s="3"/>
      <c r="L8" s="3" t="s">
        <v>32</v>
      </c>
      <c r="M8" s="11" t="s">
        <v>23</v>
      </c>
      <c r="N8" s="12">
        <v>11000</v>
      </c>
      <c r="O8" s="13" t="s">
        <v>23</v>
      </c>
      <c r="P8" s="12">
        <v>11000</v>
      </c>
      <c r="Q8" s="10">
        <v>220</v>
      </c>
      <c r="R8" s="16">
        <f t="shared" ref="R8:R13" si="0">P8-Q8</f>
        <v>10780</v>
      </c>
      <c r="S8" s="5" t="s">
        <v>22</v>
      </c>
    </row>
    <row r="9" spans="1:21" s="15" customFormat="1">
      <c r="A9" s="3" t="s">
        <v>16</v>
      </c>
      <c r="B9" s="3" t="s">
        <v>26</v>
      </c>
      <c r="C9" s="3" t="s">
        <v>27</v>
      </c>
      <c r="D9" s="4">
        <v>45733</v>
      </c>
      <c r="E9" s="3">
        <v>7000000181</v>
      </c>
      <c r="F9" s="3" t="s">
        <v>34</v>
      </c>
      <c r="G9" s="4">
        <v>45733</v>
      </c>
      <c r="H9" s="4">
        <v>45733</v>
      </c>
      <c r="I9" s="3" t="s">
        <v>35</v>
      </c>
      <c r="J9" s="3" t="s">
        <v>18</v>
      </c>
      <c r="K9" s="3"/>
      <c r="L9" s="3" t="s">
        <v>33</v>
      </c>
      <c r="M9" s="11" t="s">
        <v>23</v>
      </c>
      <c r="N9" s="12">
        <v>13200</v>
      </c>
      <c r="O9" s="13" t="s">
        <v>23</v>
      </c>
      <c r="P9" s="12">
        <v>6732</v>
      </c>
      <c r="Q9" s="10">
        <v>264</v>
      </c>
      <c r="R9" s="16">
        <f t="shared" si="0"/>
        <v>6468</v>
      </c>
      <c r="S9" s="16" t="s">
        <v>38</v>
      </c>
      <c r="U9" s="15">
        <v>6468</v>
      </c>
    </row>
    <row r="10" spans="1:21" s="15" customFormat="1">
      <c r="A10" s="3" t="s">
        <v>16</v>
      </c>
      <c r="B10" s="3" t="s">
        <v>26</v>
      </c>
      <c r="C10" s="3" t="s">
        <v>27</v>
      </c>
      <c r="D10" s="4">
        <v>45787</v>
      </c>
      <c r="E10" s="3">
        <v>1800008351</v>
      </c>
      <c r="F10" s="3" t="s">
        <v>21</v>
      </c>
      <c r="G10" s="4">
        <v>45787</v>
      </c>
      <c r="H10" s="4">
        <v>45792</v>
      </c>
      <c r="I10" s="3" t="s">
        <v>30</v>
      </c>
      <c r="J10" s="3" t="s">
        <v>18</v>
      </c>
      <c r="K10" s="3"/>
      <c r="L10" s="3">
        <v>256779413234</v>
      </c>
      <c r="M10" s="11" t="s">
        <v>19</v>
      </c>
      <c r="N10" s="12">
        <v>51.73</v>
      </c>
      <c r="O10" s="13" t="s">
        <v>23</v>
      </c>
      <c r="P10" s="12">
        <v>4447.9399999999996</v>
      </c>
      <c r="Q10" s="10">
        <v>89</v>
      </c>
      <c r="R10" s="16">
        <f t="shared" si="0"/>
        <v>4358.9399999999996</v>
      </c>
      <c r="S10" s="5" t="s">
        <v>22</v>
      </c>
    </row>
    <row r="11" spans="1:21" s="15" customFormat="1">
      <c r="A11" s="3" t="s">
        <v>16</v>
      </c>
      <c r="B11" s="3" t="s">
        <v>26</v>
      </c>
      <c r="C11" s="3" t="s">
        <v>27</v>
      </c>
      <c r="D11" s="4">
        <v>45793</v>
      </c>
      <c r="E11" s="3">
        <v>1800008494</v>
      </c>
      <c r="F11" s="3" t="s">
        <v>21</v>
      </c>
      <c r="G11" s="4">
        <v>45793</v>
      </c>
      <c r="H11" s="4">
        <v>45800</v>
      </c>
      <c r="I11" s="3" t="s">
        <v>30</v>
      </c>
      <c r="J11" s="3" t="s">
        <v>18</v>
      </c>
      <c r="K11" s="3"/>
      <c r="L11" s="3">
        <v>256779413262</v>
      </c>
      <c r="M11" s="11" t="s">
        <v>19</v>
      </c>
      <c r="N11" s="12">
        <v>49.95</v>
      </c>
      <c r="O11" s="13" t="s">
        <v>23</v>
      </c>
      <c r="P11" s="12">
        <v>4294.8900000000003</v>
      </c>
      <c r="Q11" s="10">
        <v>86</v>
      </c>
      <c r="R11" s="16">
        <f t="shared" si="0"/>
        <v>4208.8900000000003</v>
      </c>
      <c r="S11" s="5" t="s">
        <v>22</v>
      </c>
    </row>
    <row r="12" spans="1:21" s="15" customFormat="1">
      <c r="A12" s="3" t="s">
        <v>16</v>
      </c>
      <c r="B12" s="3" t="s">
        <v>26</v>
      </c>
      <c r="C12" s="3" t="s">
        <v>27</v>
      </c>
      <c r="D12" s="4">
        <v>45793</v>
      </c>
      <c r="E12" s="3">
        <v>1800008530</v>
      </c>
      <c r="F12" s="3" t="s">
        <v>21</v>
      </c>
      <c r="G12" s="4">
        <v>45793</v>
      </c>
      <c r="H12" s="4">
        <v>45800</v>
      </c>
      <c r="I12" s="3" t="s">
        <v>30</v>
      </c>
      <c r="J12" s="3" t="s">
        <v>18</v>
      </c>
      <c r="K12" s="3"/>
      <c r="L12" s="3">
        <v>256779413294</v>
      </c>
      <c r="M12" s="11" t="s">
        <v>19</v>
      </c>
      <c r="N12" s="12">
        <v>656.3</v>
      </c>
      <c r="O12" s="13" t="s">
        <v>23</v>
      </c>
      <c r="P12" s="12">
        <v>56431.1</v>
      </c>
      <c r="Q12" s="10">
        <v>1129</v>
      </c>
      <c r="R12" s="16">
        <f t="shared" si="0"/>
        <v>55302.1</v>
      </c>
      <c r="S12" s="5" t="s">
        <v>22</v>
      </c>
      <c r="T12" s="17"/>
    </row>
    <row r="13" spans="1:21" s="15" customFormat="1">
      <c r="A13" s="3" t="s">
        <v>16</v>
      </c>
      <c r="B13" s="3" t="s">
        <v>26</v>
      </c>
      <c r="C13" s="3" t="s">
        <v>27</v>
      </c>
      <c r="D13" s="4">
        <v>45815</v>
      </c>
      <c r="E13" s="3">
        <v>1800009485</v>
      </c>
      <c r="F13" s="3" t="s">
        <v>21</v>
      </c>
      <c r="G13" s="4">
        <v>45815</v>
      </c>
      <c r="H13" s="4">
        <v>45817</v>
      </c>
      <c r="I13" s="3" t="s">
        <v>30</v>
      </c>
      <c r="J13" s="3" t="s">
        <v>18</v>
      </c>
      <c r="K13" s="3"/>
      <c r="L13" s="3">
        <v>256779414249</v>
      </c>
      <c r="M13" s="11" t="s">
        <v>19</v>
      </c>
      <c r="N13" s="12">
        <v>2032.81</v>
      </c>
      <c r="O13" s="13" t="s">
        <v>23</v>
      </c>
      <c r="P13" s="12">
        <v>161435.07</v>
      </c>
      <c r="Q13" s="10">
        <v>16144</v>
      </c>
      <c r="R13" s="16">
        <f t="shared" si="0"/>
        <v>145291.07</v>
      </c>
      <c r="S13" s="6" t="s">
        <v>39</v>
      </c>
      <c r="U13" s="15">
        <v>12351.0217841268</v>
      </c>
    </row>
    <row r="14" spans="1:2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 t="s">
        <v>14</v>
      </c>
      <c r="M14" s="6" t="s">
        <v>19</v>
      </c>
      <c r="N14" s="8">
        <f>SUM(N11:N13)</f>
        <v>2739.06</v>
      </c>
      <c r="O14" s="8"/>
      <c r="P14" s="8"/>
      <c r="Q14" s="6"/>
      <c r="R14" s="8">
        <f>SUM(R7:R13)</f>
        <v>0</v>
      </c>
      <c r="S14" s="6"/>
    </row>
    <row r="15" spans="1:21">
      <c r="R15" s="16"/>
      <c r="S15" s="16"/>
    </row>
    <row r="16" spans="1:21">
      <c r="A16" s="1" t="s">
        <v>0</v>
      </c>
      <c r="B16" s="1" t="s">
        <v>1</v>
      </c>
      <c r="C16" s="1" t="s">
        <v>29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1" t="s">
        <v>9</v>
      </c>
      <c r="L16" s="1" t="s">
        <v>10</v>
      </c>
      <c r="M16" s="1" t="s">
        <v>11</v>
      </c>
      <c r="N16" s="1" t="s">
        <v>12</v>
      </c>
      <c r="O16" s="1" t="s">
        <v>25</v>
      </c>
      <c r="P16" s="1" t="s">
        <v>24</v>
      </c>
      <c r="Q16" s="1" t="s">
        <v>13</v>
      </c>
      <c r="R16" s="1" t="s">
        <v>14</v>
      </c>
      <c r="S16" s="1" t="s">
        <v>15</v>
      </c>
    </row>
    <row r="17" spans="1:19" ht="14">
      <c r="A17" s="3" t="s">
        <v>16</v>
      </c>
      <c r="B17" s="3" t="s">
        <v>26</v>
      </c>
      <c r="C17" s="3" t="s">
        <v>27</v>
      </c>
      <c r="D17" s="4">
        <v>46070</v>
      </c>
      <c r="E17" s="3">
        <v>1400002720</v>
      </c>
      <c r="F17" s="3" t="s">
        <v>17</v>
      </c>
      <c r="G17" s="4">
        <v>46070</v>
      </c>
      <c r="H17" s="4">
        <v>46070</v>
      </c>
      <c r="I17" s="20" t="s">
        <v>36</v>
      </c>
      <c r="J17" s="3" t="s">
        <v>18</v>
      </c>
      <c r="K17" s="3"/>
      <c r="L17" s="3"/>
      <c r="M17" s="11" t="s">
        <v>23</v>
      </c>
      <c r="N17" s="12">
        <v>-30424.05</v>
      </c>
      <c r="O17" s="13" t="s">
        <v>23</v>
      </c>
      <c r="P17" s="12">
        <v>-30424.05</v>
      </c>
      <c r="Q17" s="3"/>
      <c r="R17" s="16">
        <f>P17-Q17</f>
        <v>-30424.05</v>
      </c>
      <c r="S17" s="5" t="s">
        <v>20</v>
      </c>
    </row>
    <row r="18" spans="1:19">
      <c r="A18" s="3" t="s">
        <v>16</v>
      </c>
      <c r="B18" s="3" t="s">
        <v>26</v>
      </c>
      <c r="C18" s="3" t="s">
        <v>27</v>
      </c>
      <c r="D18" s="4">
        <v>45996</v>
      </c>
      <c r="E18" s="3">
        <v>1800015349</v>
      </c>
      <c r="F18" s="3" t="s">
        <v>21</v>
      </c>
      <c r="G18" s="4">
        <v>45996</v>
      </c>
      <c r="H18" s="4">
        <v>46000</v>
      </c>
      <c r="I18" s="3" t="s">
        <v>30</v>
      </c>
      <c r="J18" s="3" t="s">
        <v>18</v>
      </c>
      <c r="K18" s="3"/>
      <c r="L18" s="3">
        <v>256779419798</v>
      </c>
      <c r="M18" s="11" t="s">
        <v>19</v>
      </c>
      <c r="N18" s="12">
        <v>350</v>
      </c>
      <c r="O18" s="13" t="s">
        <v>23</v>
      </c>
      <c r="P18" s="12">
        <v>31045.05</v>
      </c>
      <c r="Q18" s="14">
        <v>621</v>
      </c>
      <c r="R18" s="16">
        <f>P18-Q18</f>
        <v>30424.05</v>
      </c>
      <c r="S18" s="5" t="s">
        <v>22</v>
      </c>
    </row>
    <row r="19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6"/>
      <c r="N19" s="8"/>
      <c r="O19" s="8"/>
      <c r="P19" s="8"/>
      <c r="Q19" s="6"/>
      <c r="R19" s="8">
        <f>SUM(R17:R18)</f>
        <v>0</v>
      </c>
      <c r="S19" s="6"/>
    </row>
    <row r="21" spans="1:19">
      <c r="A21" s="18" t="s">
        <v>0</v>
      </c>
      <c r="B21" s="18" t="s">
        <v>1</v>
      </c>
      <c r="C21" s="18" t="s">
        <v>29</v>
      </c>
      <c r="D21" s="18" t="s">
        <v>2</v>
      </c>
      <c r="E21" s="18" t="s">
        <v>3</v>
      </c>
      <c r="F21" s="18" t="s">
        <v>4</v>
      </c>
      <c r="G21" s="18" t="s">
        <v>5</v>
      </c>
      <c r="H21" s="18" t="s">
        <v>6</v>
      </c>
      <c r="I21" s="18" t="s">
        <v>7</v>
      </c>
      <c r="J21" s="18" t="s">
        <v>8</v>
      </c>
      <c r="K21" s="18" t="s">
        <v>9</v>
      </c>
      <c r="L21" s="18" t="s">
        <v>10</v>
      </c>
      <c r="M21" s="18" t="s">
        <v>11</v>
      </c>
      <c r="N21" s="18" t="s">
        <v>12</v>
      </c>
      <c r="O21" s="18" t="s">
        <v>25</v>
      </c>
      <c r="P21" s="18" t="s">
        <v>24</v>
      </c>
      <c r="Q21" s="18" t="s">
        <v>13</v>
      </c>
      <c r="R21" s="18" t="s">
        <v>14</v>
      </c>
      <c r="S21" s="18" t="s">
        <v>15</v>
      </c>
    </row>
    <row r="22" spans="1:19">
      <c r="A22" s="3" t="s">
        <v>16</v>
      </c>
      <c r="B22" s="3" t="s">
        <v>26</v>
      </c>
      <c r="C22" s="3" t="s">
        <v>27</v>
      </c>
      <c r="D22" s="4">
        <v>46070</v>
      </c>
      <c r="E22" s="3">
        <v>1400002721</v>
      </c>
      <c r="F22" s="3" t="s">
        <v>17</v>
      </c>
      <c r="G22" s="4">
        <v>46070</v>
      </c>
      <c r="H22" s="4">
        <v>46070</v>
      </c>
      <c r="I22" s="3" t="s">
        <v>37</v>
      </c>
      <c r="J22" s="3" t="s">
        <v>18</v>
      </c>
      <c r="K22" s="3"/>
      <c r="L22" s="19"/>
      <c r="M22" s="11" t="s">
        <v>23</v>
      </c>
      <c r="N22" s="12">
        <v>-971.67</v>
      </c>
      <c r="O22" s="13" t="s">
        <v>23</v>
      </c>
      <c r="P22" s="12">
        <v>-971.67</v>
      </c>
      <c r="Q22" s="3"/>
      <c r="R22" s="16">
        <f>P22-Q22</f>
        <v>-971.67</v>
      </c>
      <c r="S22" s="5" t="s">
        <v>20</v>
      </c>
    </row>
    <row r="23" spans="1:19">
      <c r="A23" s="3" t="s">
        <v>16</v>
      </c>
      <c r="B23" s="3" t="s">
        <v>26</v>
      </c>
      <c r="C23" s="3" t="s">
        <v>27</v>
      </c>
      <c r="D23" s="4">
        <v>45999</v>
      </c>
      <c r="E23" s="3">
        <v>1800015381</v>
      </c>
      <c r="F23" s="3" t="s">
        <v>21</v>
      </c>
      <c r="G23" s="4">
        <v>45999</v>
      </c>
      <c r="H23" s="4">
        <v>46000</v>
      </c>
      <c r="I23" s="3" t="s">
        <v>30</v>
      </c>
      <c r="J23" s="3" t="s">
        <v>18</v>
      </c>
      <c r="K23" s="3"/>
      <c r="L23" s="19">
        <v>256779419830</v>
      </c>
      <c r="M23" s="11" t="s">
        <v>19</v>
      </c>
      <c r="N23" s="12">
        <v>11.18</v>
      </c>
      <c r="O23" s="13" t="s">
        <v>23</v>
      </c>
      <c r="P23" s="12">
        <v>991.67</v>
      </c>
      <c r="Q23" s="14">
        <v>20</v>
      </c>
      <c r="R23" s="16">
        <f>P23-Q23</f>
        <v>971.67</v>
      </c>
      <c r="S23" s="5" t="s">
        <v>22</v>
      </c>
    </row>
    <row r="24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  <c r="M24" s="6"/>
      <c r="N24" s="8"/>
      <c r="O24" s="8"/>
      <c r="P24" s="8"/>
      <c r="Q24" s="6"/>
      <c r="R24" s="8">
        <f>SUM(R22:R23)</f>
        <v>0</v>
      </c>
      <c r="S24" s="6"/>
    </row>
  </sheetData>
  <phoneticPr fontId="2" type="noConversion"/>
  <conditionalFormatting sqref="I17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Neuroy Gonsalves</cp:lastModifiedBy>
  <dcterms:created xsi:type="dcterms:W3CDTF">2026-01-19T10:42:57Z</dcterms:created>
  <dcterms:modified xsi:type="dcterms:W3CDTF">2026-03-26T08:34:58Z</dcterms:modified>
</cp:coreProperties>
</file>