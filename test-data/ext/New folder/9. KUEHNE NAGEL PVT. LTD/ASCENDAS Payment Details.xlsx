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bmcserver\E\Server\2. Tax &amp; Assurance\Capital Land\9. KUEHNE NAGEL PVT. LTD\"/>
    </mc:Choice>
  </mc:AlternateContent>
  <xr:revisionPtr revIDLastSave="0" documentId="13_ncr:1_{B5ECA208-2C54-488C-9D41-7E3138DB1F05}" xr6:coauthVersionLast="47" xr6:coauthVersionMax="47" xr10:uidLastSave="{00000000-0000-0000-0000-000000000000}"/>
  <bookViews>
    <workbookView xWindow="-110" yWindow="-110" windowWidth="21820" windowHeight="14020" activeTab="1" xr2:uid="{A4B8CC05-F133-490C-9D37-D6188EB8DB5D}"/>
  </bookViews>
  <sheets>
    <sheet name="Sheet1" sheetId="5" r:id="rId1"/>
    <sheet name="Jan'26" sheetId="7" r:id="rId2"/>
    <sheet name="Dec'25" sheetId="6" r:id="rId3"/>
    <sheet name="Nov'25" sheetId="3" r:id="rId4"/>
    <sheet name="Oct'25" sheetId="2" r:id="rId5"/>
    <sheet name="Jul'25" sheetId="1" r:id="rId6"/>
    <sheet name="Jun'25" sheetId="4" r:id="rId7"/>
  </sheets>
  <definedNames>
    <definedName name="_xlnm._FilterDatabase" localSheetId="2" hidden="1">'Dec''25'!$A$1:$F$21</definedName>
    <definedName name="_xlnm._FilterDatabase" localSheetId="1" hidden="1">'Jan''26'!$A$1:$F$21</definedName>
    <definedName name="_xlnm._FilterDatabase" localSheetId="5" hidden="1">'Jul''25'!$A$1:$F$65</definedName>
    <definedName name="_xlnm._FilterDatabase" localSheetId="6" hidden="1">'Jun''25'!$A$1:$I$114</definedName>
    <definedName name="_xlnm._FilterDatabase" localSheetId="3" hidden="1">'Nov''25'!$A$2:$F$49</definedName>
    <definedName name="_xlnm._FilterDatabase" localSheetId="4" hidden="1">'Oct''25'!$A$2:$F$79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7" i="5" l="1"/>
  <c r="G6" i="5"/>
  <c r="G5" i="5"/>
  <c r="G4" i="5"/>
  <c r="G3" i="5"/>
  <c r="G2" i="5"/>
  <c r="F66" i="1"/>
  <c r="E9" i="5"/>
  <c r="F22" i="6"/>
  <c r="C9" i="5"/>
  <c r="B9" i="5"/>
  <c r="D7" i="5"/>
  <c r="F7" i="5" s="1"/>
  <c r="E27" i="7"/>
  <c r="D27" i="7"/>
  <c r="F27" i="7" l="1"/>
  <c r="D6" i="5" l="1"/>
  <c r="F6" i="5" s="1"/>
  <c r="D5" i="5"/>
  <c r="D4" i="5"/>
  <c r="D3" i="5"/>
  <c r="D2" i="5"/>
  <c r="F4" i="5" l="1"/>
  <c r="D9" i="5"/>
  <c r="F3" i="5"/>
  <c r="F5" i="5"/>
  <c r="F2" i="5"/>
  <c r="E24" i="6"/>
  <c r="D24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" i="6"/>
  <c r="F65" i="1"/>
  <c r="E3" i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2" i="1"/>
  <c r="F9" i="5" l="1"/>
  <c r="F24" i="6"/>
  <c r="E68" i="1"/>
  <c r="F2" i="1"/>
  <c r="F68" i="1" l="1"/>
  <c r="H114" i="4" l="1"/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2" i="4"/>
  <c r="F114" i="4"/>
  <c r="G114" i="4" l="1"/>
  <c r="D81" i="2" l="1"/>
  <c r="D51" i="3"/>
  <c r="E51" i="3"/>
  <c r="F48" i="3"/>
  <c r="F46" i="3"/>
  <c r="F42" i="3"/>
  <c r="F40" i="3"/>
  <c r="F37" i="3"/>
  <c r="F36" i="3"/>
  <c r="F34" i="3"/>
  <c r="F31" i="3"/>
  <c r="F28" i="3"/>
  <c r="F26" i="3"/>
  <c r="F22" i="3"/>
  <c r="F21" i="3"/>
  <c r="F19" i="3"/>
  <c r="F14" i="3"/>
  <c r="F11" i="3"/>
  <c r="F8" i="3"/>
  <c r="F6" i="3"/>
  <c r="F4" i="3"/>
  <c r="F3" i="3"/>
  <c r="F5" i="3" l="1"/>
  <c r="F9" i="3"/>
  <c r="F16" i="3"/>
  <c r="F27" i="3"/>
  <c r="F17" i="3"/>
  <c r="F23" i="3"/>
  <c r="F43" i="3"/>
  <c r="F29" i="3"/>
  <c r="F15" i="3"/>
  <c r="F24" i="3"/>
  <c r="F30" i="3"/>
  <c r="F49" i="3"/>
  <c r="F20" i="3"/>
  <c r="F32" i="3"/>
  <c r="F38" i="3"/>
  <c r="F44" i="3"/>
  <c r="F7" i="3"/>
  <c r="F12" i="3"/>
  <c r="F13" i="3"/>
  <c r="F18" i="3"/>
  <c r="F25" i="3"/>
  <c r="F35" i="3"/>
  <c r="F41" i="3"/>
  <c r="F47" i="3"/>
  <c r="F10" i="3"/>
  <c r="F33" i="3"/>
  <c r="F39" i="3"/>
  <c r="F45" i="3"/>
  <c r="F51" i="3" l="1"/>
  <c r="F79" i="2"/>
  <c r="F78" i="2"/>
  <c r="F77" i="2"/>
  <c r="F76" i="2"/>
  <c r="F75" i="2"/>
  <c r="F74" i="2"/>
  <c r="F73" i="2"/>
  <c r="F72" i="2"/>
  <c r="F71" i="2"/>
  <c r="E70" i="2"/>
  <c r="F70" i="2" s="1"/>
  <c r="F69" i="2"/>
  <c r="F68" i="2"/>
  <c r="F67" i="2"/>
  <c r="F66" i="2"/>
  <c r="F65" i="2"/>
  <c r="F64" i="2"/>
  <c r="F63" i="2"/>
  <c r="F62" i="2"/>
  <c r="F61" i="2"/>
  <c r="F60" i="2"/>
  <c r="E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E13" i="2"/>
  <c r="E12" i="2"/>
  <c r="F12" i="2" s="1"/>
  <c r="E11" i="2"/>
  <c r="F10" i="2"/>
  <c r="F9" i="2"/>
  <c r="F8" i="2"/>
  <c r="F7" i="2"/>
  <c r="F6" i="2"/>
  <c r="F5" i="2"/>
  <c r="F4" i="2"/>
  <c r="F3" i="2"/>
  <c r="F11" i="2" l="1"/>
  <c r="E81" i="2"/>
  <c r="F59" i="2"/>
  <c r="F13" i="2"/>
  <c r="F81" i="2" l="1"/>
  <c r="D68" i="1" l="1"/>
</calcChain>
</file>

<file path=xl/sharedStrings.xml><?xml version="1.0" encoding="utf-8"?>
<sst xmlns="http://schemas.openxmlformats.org/spreadsheetml/2006/main" count="518" uniqueCount="43">
  <si>
    <t>Customer name</t>
  </si>
  <si>
    <t>Invoice No</t>
  </si>
  <si>
    <t>Document date</t>
  </si>
  <si>
    <t>Currency</t>
  </si>
  <si>
    <t>Exchange rate</t>
  </si>
  <si>
    <t>KUEHNE+NAGEL PVT. LTD.</t>
  </si>
  <si>
    <t>USD</t>
  </si>
  <si>
    <t>Kuehne Nagel Outstanding - Statement 11.10.2025</t>
  </si>
  <si>
    <t>GST Custom Inv.No.</t>
  </si>
  <si>
    <t>TDS Deduction</t>
  </si>
  <si>
    <t>86.30366</t>
  </si>
  <si>
    <t>86.69126</t>
  </si>
  <si>
    <t>86.92182</t>
  </si>
  <si>
    <t>85.98370</t>
  </si>
  <si>
    <t>86.00067</t>
  </si>
  <si>
    <t>86.03012</t>
  </si>
  <si>
    <t>87.51433</t>
  </si>
  <si>
    <t>Bills Sent Total</t>
  </si>
  <si>
    <t>Kuehne Nagel Outstanding - Statement 11.11.2025</t>
  </si>
  <si>
    <t>TDS</t>
  </si>
  <si>
    <t>Invoice No.</t>
  </si>
  <si>
    <t>Customer code</t>
  </si>
  <si>
    <t xml:space="preserve">Total </t>
  </si>
  <si>
    <t>USD Amount</t>
  </si>
  <si>
    <t>USD Net Payable</t>
  </si>
  <si>
    <t>Jun'25</t>
  </si>
  <si>
    <t>Jul'25</t>
  </si>
  <si>
    <t>Oct'25</t>
  </si>
  <si>
    <t>Nov'25</t>
  </si>
  <si>
    <t>Month</t>
  </si>
  <si>
    <t>Balance</t>
  </si>
  <si>
    <t>Invoice Date</t>
  </si>
  <si>
    <t xml:space="preserve"> Total USD</t>
  </si>
  <si>
    <t>Dec'25</t>
  </si>
  <si>
    <t>Amount (USD)</t>
  </si>
  <si>
    <t>Jan'26</t>
  </si>
  <si>
    <t>Net USD</t>
  </si>
  <si>
    <t>Paid USD</t>
  </si>
  <si>
    <t>Excess Paid</t>
  </si>
  <si>
    <t>Total</t>
  </si>
  <si>
    <t>Pending TDS of Jul'25 deducted</t>
  </si>
  <si>
    <t>TDS not considered so deducted in Dec'25</t>
  </si>
  <si>
    <t>Excess Paid will be deducted in Feb'26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</si>
</sst>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[$-409]d\-mmm\-yy;@"/>
    <numFmt numFmtId="167" formatCode="_(* #,##0_);_(* \(#,##0\);_(* &quot;-&quot;??_);_(@_)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top"/>
    </xf>
    <xf numFmtId="4" fontId="2" fillId="0" borderId="0" xfId="0" applyNumberFormat="1" applyFont="1"/>
    <xf numFmtId="1" fontId="2" fillId="0" borderId="1" xfId="0" applyNumberFormat="1" applyFont="1" applyBorder="1"/>
    <xf numFmtId="165" fontId="2" fillId="0" borderId="1" xfId="0" applyNumberFormat="1" applyFont="1" applyBorder="1"/>
    <xf numFmtId="0" fontId="2" fillId="0" borderId="1" xfId="0" applyFont="1" applyBorder="1"/>
    <xf numFmtId="0" fontId="2" fillId="0" borderId="0" xfId="0" applyFont="1"/>
    <xf numFmtId="1" fontId="0" fillId="0" borderId="1" xfId="0" applyNumberFormat="1" applyBorder="1"/>
    <xf numFmtId="165" fontId="0" fillId="0" borderId="1" xfId="0" applyNumberFormat="1" applyBorder="1"/>
    <xf numFmtId="0" fontId="0" fillId="0" borderId="1" xfId="0" applyBorder="1"/>
    <xf numFmtId="164" fontId="0" fillId="0" borderId="1" xfId="1" applyFont="1" applyBorder="1"/>
    <xf numFmtId="164" fontId="0" fillId="0" borderId="1" xfId="0" applyNumberFormat="1" applyBorder="1"/>
    <xf numFmtId="9" fontId="0" fillId="0" borderId="0" xfId="2" applyFont="1"/>
    <xf numFmtId="164" fontId="0" fillId="0" borderId="0" xfId="0" applyNumberFormat="1"/>
    <xf numFmtId="164" fontId="2" fillId="0" borderId="1" xfId="1" applyFont="1" applyBorder="1"/>
    <xf numFmtId="1" fontId="0" fillId="0" borderId="0" xfId="0" applyNumberFormat="1"/>
    <xf numFmtId="165" fontId="0" fillId="0" borderId="0" xfId="0" applyNumberFormat="1"/>
    <xf numFmtId="164" fontId="0" fillId="0" borderId="2" xfId="1" applyFont="1" applyFill="1" applyBorder="1"/>
    <xf numFmtId="164" fontId="2" fillId="2" borderId="1" xfId="1" applyFont="1" applyFill="1" applyBorder="1"/>
    <xf numFmtId="1" fontId="2" fillId="0" borderId="0" xfId="0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0" xfId="0" applyNumberFormat="1" applyFont="1"/>
    <xf numFmtId="1" fontId="2" fillId="0" borderId="0" xfId="0" applyNumberFormat="1" applyFont="1"/>
    <xf numFmtId="1" fontId="0" fillId="0" borderId="3" xfId="0" applyNumberFormat="1" applyBorder="1"/>
    <xf numFmtId="165" fontId="0" fillId="0" borderId="3" xfId="0" applyNumberFormat="1" applyBorder="1"/>
    <xf numFmtId="0" fontId="0" fillId="0" borderId="3" xfId="0" applyBorder="1"/>
    <xf numFmtId="164" fontId="0" fillId="0" borderId="3" xfId="1" applyFont="1" applyBorder="1"/>
    <xf numFmtId="1" fontId="2" fillId="0" borderId="1" xfId="0" applyNumberFormat="1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right" vertical="center"/>
    </xf>
    <xf numFmtId="14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right" vertical="center"/>
    </xf>
    <xf numFmtId="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vertical="center"/>
    </xf>
    <xf numFmtId="4" fontId="3" fillId="4" borderId="1" xfId="0" applyNumberFormat="1" applyFont="1" applyFill="1" applyBorder="1" applyAlignment="1">
      <alignment vertical="center"/>
    </xf>
    <xf numFmtId="2" fontId="0" fillId="0" borderId="0" xfId="0" applyNumberFormat="1" applyAlignment="1">
      <alignment vertical="top"/>
    </xf>
    <xf numFmtId="1" fontId="2" fillId="0" borderId="1" xfId="0" applyNumberFormat="1" applyFont="1" applyBorder="1" applyAlignment="1">
      <alignment horizontal="center" vertical="center"/>
    </xf>
    <xf numFmtId="0" fontId="0" fillId="5" borderId="1" xfId="0" applyFill="1" applyBorder="1" applyAlignment="1">
      <alignment vertical="top"/>
    </xf>
    <xf numFmtId="0" fontId="0" fillId="5" borderId="1" xfId="0" applyFill="1" applyBorder="1" applyAlignment="1">
      <alignment vertical="top" wrapText="1"/>
    </xf>
    <xf numFmtId="2" fontId="0" fillId="0" borderId="1" xfId="0" applyNumberFormat="1" applyBorder="1"/>
    <xf numFmtId="0" fontId="2" fillId="5" borderId="1" xfId="0" applyFont="1" applyFill="1" applyBorder="1" applyAlignment="1">
      <alignment vertical="top"/>
    </xf>
    <xf numFmtId="2" fontId="2" fillId="0" borderId="1" xfId="0" applyNumberFormat="1" applyFont="1" applyBorder="1"/>
    <xf numFmtId="1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164" fontId="0" fillId="2" borderId="1" xfId="1" applyFont="1" applyFill="1" applyBorder="1"/>
    <xf numFmtId="0" fontId="2" fillId="0" borderId="0" xfId="0" applyFont="1" applyAlignment="1">
      <alignment horizontal="left"/>
    </xf>
    <xf numFmtId="0" fontId="3" fillId="4" borderId="1" xfId="0" applyFont="1" applyFill="1" applyBorder="1" applyAlignment="1">
      <alignment vertical="center"/>
    </xf>
    <xf numFmtId="4" fontId="0" fillId="0" borderId="1" xfId="0" applyNumberFormat="1" applyFill="1" applyBorder="1" applyAlignment="1">
      <alignment horizontal="center" vertical="center"/>
    </xf>
    <xf numFmtId="4" fontId="2" fillId="2" borderId="1" xfId="0" applyNumberFormat="1" applyFont="1" applyFill="1" applyBorder="1"/>
    <xf numFmtId="1" fontId="2" fillId="0" borderId="4" xfId="0" applyNumberFormat="1" applyFont="1" applyBorder="1" applyAlignment="1">
      <alignment horizontal="left"/>
    </xf>
    <xf numFmtId="1" fontId="2" fillId="0" borderId="5" xfId="0" applyNumberFormat="1" applyFont="1" applyBorder="1" applyAlignment="1">
      <alignment horizontal="left"/>
    </xf>
    <xf numFmtId="1" fontId="2" fillId="0" borderId="0" xfId="0" applyNumberFormat="1" applyFont="1" applyAlignment="1">
      <alignment horizontal="center"/>
    </xf>
    <xf numFmtId="1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167" fontId="0" fillId="0" borderId="1" xfId="1" applyNumberFormat="1" applyFont="1" applyBorder="1"/>
    <xf numFmtId="167" fontId="2" fillId="0" borderId="1" xfId="1" applyNumberFormat="1" applyFont="1" applyBorder="1"/>
    <xf numFmtId="43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01B02-5EF1-4303-9FE3-5803D19006E6}">
  <dimension ref="A1:G9"/>
  <sheetViews>
    <sheetView workbookViewId="0">
      <selection activeCell="G3" sqref="G3"/>
    </sheetView>
  </sheetViews>
  <sheetFormatPr defaultRowHeight="14.5"/>
  <cols>
    <col min="1" max="1" width="7.26953125" bestFit="1" customWidth="1"/>
    <col min="2" max="2" width="12.90625" bestFit="1" customWidth="1"/>
    <col min="3" max="3" width="9.1796875" bestFit="1" customWidth="1"/>
    <col min="4" max="5" width="11.7265625" bestFit="1" customWidth="1"/>
    <col min="6" max="6" width="10.26953125" bestFit="1" customWidth="1"/>
    <col min="7" max="7" width="12.1796875" bestFit="1" customWidth="1"/>
  </cols>
  <sheetData>
    <row r="1" spans="1:7">
      <c r="A1" s="27" t="s">
        <v>29</v>
      </c>
      <c r="B1" s="27" t="s">
        <v>34</v>
      </c>
      <c r="C1" s="27" t="s">
        <v>19</v>
      </c>
      <c r="D1" s="27" t="s">
        <v>36</v>
      </c>
      <c r="E1" s="10" t="s">
        <v>37</v>
      </c>
      <c r="F1" s="10" t="s">
        <v>38</v>
      </c>
    </row>
    <row r="2" spans="1:7">
      <c r="A2" s="14" t="s">
        <v>25</v>
      </c>
      <c r="B2" s="64">
        <v>20587.699999999993</v>
      </c>
      <c r="C2" s="64">
        <v>411.7540000000003</v>
      </c>
      <c r="D2" s="64">
        <f t="shared" ref="D2:D7" si="0">B2-C2</f>
        <v>20175.945999999993</v>
      </c>
      <c r="E2" s="64">
        <v>20175.95</v>
      </c>
      <c r="F2" s="64">
        <f t="shared" ref="F2:F7" si="1">D2-E2</f>
        <v>-4.0000000080908649E-3</v>
      </c>
      <c r="G2" s="66">
        <f>D2*87</f>
        <v>1755307.3019999994</v>
      </c>
    </row>
    <row r="3" spans="1:7">
      <c r="A3" s="14" t="s">
        <v>26</v>
      </c>
      <c r="B3" s="64">
        <v>27220.71</v>
      </c>
      <c r="C3" s="64">
        <v>544.41423999999995</v>
      </c>
      <c r="D3" s="64">
        <f t="shared" si="0"/>
        <v>26676.295760000001</v>
      </c>
      <c r="E3" s="64">
        <v>27632.466000000044</v>
      </c>
      <c r="F3" s="64">
        <f t="shared" si="1"/>
        <v>-956.17024000004312</v>
      </c>
      <c r="G3" s="66">
        <f t="shared" ref="G3:G7" si="2">D3*87</f>
        <v>2320837.7311200001</v>
      </c>
    </row>
    <row r="4" spans="1:7">
      <c r="A4" s="14" t="s">
        <v>27</v>
      </c>
      <c r="B4" s="64">
        <v>19897.619999999995</v>
      </c>
      <c r="C4" s="64">
        <v>397.94760000000008</v>
      </c>
      <c r="D4" s="64">
        <f t="shared" si="0"/>
        <v>19499.672399999996</v>
      </c>
      <c r="E4" s="64">
        <v>19499.669999999998</v>
      </c>
      <c r="F4" s="64">
        <f t="shared" si="1"/>
        <v>2.3999999975785613E-3</v>
      </c>
      <c r="G4" s="66">
        <f t="shared" si="2"/>
        <v>1696471.4987999997</v>
      </c>
    </row>
    <row r="5" spans="1:7">
      <c r="A5" s="14" t="s">
        <v>28</v>
      </c>
      <c r="B5" s="64">
        <v>21965.250000000004</v>
      </c>
      <c r="C5" s="64">
        <v>439.30999999999995</v>
      </c>
      <c r="D5" s="64">
        <f t="shared" si="0"/>
        <v>21525.940000000002</v>
      </c>
      <c r="E5" s="64">
        <v>21525.94</v>
      </c>
      <c r="F5" s="64">
        <f t="shared" si="1"/>
        <v>0</v>
      </c>
      <c r="G5" s="66">
        <f t="shared" si="2"/>
        <v>1872756.7800000003</v>
      </c>
    </row>
    <row r="6" spans="1:7">
      <c r="A6" s="14" t="s">
        <v>33</v>
      </c>
      <c r="B6" s="64">
        <v>8746.5700000000015</v>
      </c>
      <c r="C6" s="64">
        <v>174.94</v>
      </c>
      <c r="D6" s="64">
        <f t="shared" si="0"/>
        <v>8571.630000000001</v>
      </c>
      <c r="E6" s="64">
        <v>8027.22</v>
      </c>
      <c r="F6" s="64">
        <f t="shared" si="1"/>
        <v>544.41000000000076</v>
      </c>
      <c r="G6" s="66">
        <f t="shared" si="2"/>
        <v>745731.81</v>
      </c>
    </row>
    <row r="7" spans="1:7">
      <c r="A7" s="14" t="s">
        <v>35</v>
      </c>
      <c r="B7" s="64">
        <v>21223.979999999996</v>
      </c>
      <c r="C7" s="64">
        <v>424.5</v>
      </c>
      <c r="D7" s="64">
        <f t="shared" si="0"/>
        <v>20799.479999999996</v>
      </c>
      <c r="E7" s="64">
        <v>20799.48</v>
      </c>
      <c r="F7" s="64">
        <f t="shared" si="1"/>
        <v>0</v>
      </c>
      <c r="G7" s="66">
        <f t="shared" si="2"/>
        <v>1809554.7599999995</v>
      </c>
    </row>
    <row r="8" spans="1:7">
      <c r="A8" s="14"/>
      <c r="B8" s="64"/>
      <c r="C8" s="64"/>
      <c r="D8" s="64"/>
      <c r="E8" s="64"/>
      <c r="F8" s="64"/>
    </row>
    <row r="9" spans="1:7">
      <c r="A9" s="10" t="s">
        <v>30</v>
      </c>
      <c r="B9" s="65">
        <f>SUM(B2:B8)</f>
        <v>119641.82999999999</v>
      </c>
      <c r="C9" s="65">
        <f t="shared" ref="C9:F9" si="3">SUM(C2:C8)</f>
        <v>2392.8658400000004</v>
      </c>
      <c r="D9" s="65">
        <f t="shared" si="3"/>
        <v>117248.96415999999</v>
      </c>
      <c r="E9" s="65">
        <f>SUM(E2:E8)</f>
        <v>117660.72600000004</v>
      </c>
      <c r="F9" s="65">
        <f t="shared" si="3"/>
        <v>-411.76184000005287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70E6E-3704-4CAF-BB1F-E5FDAC439D3A}">
  <dimension ref="A1:F29"/>
  <sheetViews>
    <sheetView tabSelected="1" workbookViewId="0">
      <pane ySplit="1" topLeftCell="A4" activePane="bottomLeft" state="frozen"/>
      <selection pane="bottomLeft" activeCell="I18" sqref="I18"/>
    </sheetView>
  </sheetViews>
  <sheetFormatPr defaultRowHeight="14.5"/>
  <cols>
    <col min="1" max="1" width="16.90625" bestFit="1" customWidth="1"/>
    <col min="2" max="3" width="16.90625" customWidth="1"/>
    <col min="4" max="4" width="11.54296875" bestFit="1" customWidth="1"/>
    <col min="5" max="5" width="11.54296875" customWidth="1"/>
    <col min="6" max="6" width="19.453125" bestFit="1" customWidth="1"/>
  </cols>
  <sheetData>
    <row r="1" spans="1:6">
      <c r="A1" s="46" t="s">
        <v>8</v>
      </c>
      <c r="B1" s="46" t="s">
        <v>31</v>
      </c>
      <c r="C1" s="47" t="s">
        <v>3</v>
      </c>
      <c r="D1" s="46" t="s">
        <v>32</v>
      </c>
      <c r="E1" s="49" t="s">
        <v>19</v>
      </c>
      <c r="F1" s="35" t="s">
        <v>24</v>
      </c>
    </row>
    <row r="2" spans="1:6">
      <c r="A2" s="12">
        <v>256779414741</v>
      </c>
      <c r="B2" s="13">
        <v>45827</v>
      </c>
      <c r="C2" s="12" t="s">
        <v>6</v>
      </c>
      <c r="D2" s="48">
        <v>579.79</v>
      </c>
      <c r="E2" s="48">
        <v>11.6</v>
      </c>
      <c r="F2" s="48">
        <v>568.18999999999994</v>
      </c>
    </row>
    <row r="3" spans="1:6">
      <c r="A3" s="12">
        <v>256779415328</v>
      </c>
      <c r="B3" s="13">
        <v>45848</v>
      </c>
      <c r="C3" s="12" t="s">
        <v>6</v>
      </c>
      <c r="D3" s="48">
        <v>22.5</v>
      </c>
      <c r="E3" s="48">
        <v>0.45</v>
      </c>
      <c r="F3" s="48">
        <v>22.05</v>
      </c>
    </row>
    <row r="4" spans="1:6">
      <c r="A4" s="12">
        <v>256779415332</v>
      </c>
      <c r="B4" s="13">
        <v>45848</v>
      </c>
      <c r="C4" s="12" t="s">
        <v>6</v>
      </c>
      <c r="D4" s="48">
        <v>2.5</v>
      </c>
      <c r="E4" s="48">
        <v>0.05</v>
      </c>
      <c r="F4" s="48">
        <v>2.4500000000000002</v>
      </c>
    </row>
    <row r="5" spans="1:6">
      <c r="A5" s="12">
        <v>256779415769</v>
      </c>
      <c r="B5" s="13">
        <v>45857</v>
      </c>
      <c r="C5" s="12" t="s">
        <v>6</v>
      </c>
      <c r="D5" s="48">
        <v>234.91</v>
      </c>
      <c r="E5" s="48">
        <v>4.7</v>
      </c>
      <c r="F5" s="48">
        <v>230.21</v>
      </c>
    </row>
    <row r="6" spans="1:6">
      <c r="A6" s="12">
        <v>256779416028</v>
      </c>
      <c r="B6" s="13">
        <v>45870</v>
      </c>
      <c r="C6" s="12" t="s">
        <v>6</v>
      </c>
      <c r="D6" s="48">
        <v>2324.77</v>
      </c>
      <c r="E6" s="48">
        <v>46.5</v>
      </c>
      <c r="F6" s="48">
        <v>2278.27</v>
      </c>
    </row>
    <row r="7" spans="1:6">
      <c r="A7" s="12">
        <v>256779416029</v>
      </c>
      <c r="B7" s="13">
        <v>45870</v>
      </c>
      <c r="C7" s="12" t="s">
        <v>6</v>
      </c>
      <c r="D7" s="48">
        <v>92.99</v>
      </c>
      <c r="E7" s="48">
        <v>1.86</v>
      </c>
      <c r="F7" s="48">
        <v>91.13</v>
      </c>
    </row>
    <row r="8" spans="1:6">
      <c r="A8" s="12">
        <v>256779416030</v>
      </c>
      <c r="B8" s="13">
        <v>45870</v>
      </c>
      <c r="C8" s="12" t="s">
        <v>6</v>
      </c>
      <c r="D8" s="48">
        <v>51.14</v>
      </c>
      <c r="E8" s="48">
        <v>1.02</v>
      </c>
      <c r="F8" s="48">
        <v>50.12</v>
      </c>
    </row>
    <row r="9" spans="1:6">
      <c r="A9" s="12">
        <v>256779416909</v>
      </c>
      <c r="B9" s="13">
        <v>45904</v>
      </c>
      <c r="C9" s="12" t="s">
        <v>6</v>
      </c>
      <c r="D9" s="48">
        <v>989.55</v>
      </c>
      <c r="E9" s="48">
        <v>19.79</v>
      </c>
      <c r="F9" s="48">
        <v>969.76</v>
      </c>
    </row>
    <row r="10" spans="1:6">
      <c r="A10" s="12">
        <v>256779417348</v>
      </c>
      <c r="B10" s="13">
        <v>45904</v>
      </c>
      <c r="C10" s="12" t="s">
        <v>6</v>
      </c>
      <c r="D10" s="48">
        <v>2285.34</v>
      </c>
      <c r="E10" s="48">
        <v>45.71</v>
      </c>
      <c r="F10" s="48">
        <v>2239.63</v>
      </c>
    </row>
    <row r="11" spans="1:6">
      <c r="A11" s="12">
        <v>256779417349</v>
      </c>
      <c r="B11" s="13">
        <v>45904</v>
      </c>
      <c r="C11" s="12" t="s">
        <v>6</v>
      </c>
      <c r="D11" s="48">
        <v>91.41</v>
      </c>
      <c r="E11" s="48">
        <v>1.83</v>
      </c>
      <c r="F11" s="48">
        <v>89.58</v>
      </c>
    </row>
    <row r="12" spans="1:6">
      <c r="A12" s="12">
        <v>256779417875</v>
      </c>
      <c r="B12" s="13">
        <v>45935</v>
      </c>
      <c r="C12" s="12" t="s">
        <v>6</v>
      </c>
      <c r="D12" s="48">
        <v>2267.81</v>
      </c>
      <c r="E12" s="48">
        <v>45.36</v>
      </c>
      <c r="F12" s="48">
        <v>2222.4499999999998</v>
      </c>
    </row>
    <row r="13" spans="1:6">
      <c r="A13" s="12">
        <v>256779417876</v>
      </c>
      <c r="B13" s="13">
        <v>45935</v>
      </c>
      <c r="C13" s="12" t="s">
        <v>6</v>
      </c>
      <c r="D13" s="48">
        <v>90.71</v>
      </c>
      <c r="E13" s="48">
        <v>1.81</v>
      </c>
      <c r="F13" s="48">
        <v>88.899999999999991</v>
      </c>
    </row>
    <row r="14" spans="1:6">
      <c r="A14" s="12">
        <v>256779417877</v>
      </c>
      <c r="B14" s="13">
        <v>45935</v>
      </c>
      <c r="C14" s="12" t="s">
        <v>6</v>
      </c>
      <c r="D14" s="48">
        <v>49.89</v>
      </c>
      <c r="E14" s="48">
        <v>1</v>
      </c>
      <c r="F14" s="48">
        <v>48.89</v>
      </c>
    </row>
    <row r="15" spans="1:6">
      <c r="A15" s="12">
        <v>256779418006</v>
      </c>
      <c r="B15" s="13">
        <v>45936</v>
      </c>
      <c r="C15" s="12" t="s">
        <v>6</v>
      </c>
      <c r="D15" s="48">
        <v>4667.07</v>
      </c>
      <c r="E15" s="48">
        <v>93.34</v>
      </c>
      <c r="F15" s="48">
        <v>4573.7299999999996</v>
      </c>
    </row>
    <row r="16" spans="1:6">
      <c r="A16" s="12">
        <v>256779418176</v>
      </c>
      <c r="B16" s="13">
        <v>45937</v>
      </c>
      <c r="C16" s="12" t="s">
        <v>6</v>
      </c>
      <c r="D16" s="48">
        <v>639.04999999999995</v>
      </c>
      <c r="E16" s="48">
        <v>12.78</v>
      </c>
      <c r="F16" s="48">
        <v>626.27</v>
      </c>
    </row>
    <row r="17" spans="1:6">
      <c r="A17" s="12">
        <v>256779418777</v>
      </c>
      <c r="B17" s="13">
        <v>45966</v>
      </c>
      <c r="C17" s="12" t="s">
        <v>6</v>
      </c>
      <c r="D17" s="48">
        <v>2272.64</v>
      </c>
      <c r="E17" s="48">
        <v>45.45</v>
      </c>
      <c r="F17" s="48">
        <v>2227.19</v>
      </c>
    </row>
    <row r="18" spans="1:6">
      <c r="A18" s="12">
        <v>256779418779</v>
      </c>
      <c r="B18" s="13">
        <v>45966</v>
      </c>
      <c r="C18" s="12" t="s">
        <v>6</v>
      </c>
      <c r="D18" s="48">
        <v>50</v>
      </c>
      <c r="E18" s="48">
        <v>1</v>
      </c>
      <c r="F18" s="48">
        <v>49</v>
      </c>
    </row>
    <row r="19" spans="1:6">
      <c r="A19" s="12">
        <v>256779418892</v>
      </c>
      <c r="B19" s="13">
        <v>45966</v>
      </c>
      <c r="C19" s="12" t="s">
        <v>6</v>
      </c>
      <c r="D19" s="48">
        <v>1683.97</v>
      </c>
      <c r="E19" s="48">
        <v>33.68</v>
      </c>
      <c r="F19" s="48">
        <v>1650.29</v>
      </c>
    </row>
    <row r="20" spans="1:6">
      <c r="A20" s="12">
        <v>256779418904</v>
      </c>
      <c r="B20" s="13">
        <v>45966</v>
      </c>
      <c r="C20" s="12" t="s">
        <v>6</v>
      </c>
      <c r="D20" s="48">
        <v>1273.92</v>
      </c>
      <c r="E20" s="48">
        <v>25.48</v>
      </c>
      <c r="F20" s="48">
        <v>1248.44</v>
      </c>
    </row>
    <row r="21" spans="1:6">
      <c r="A21" s="12">
        <v>256779419122</v>
      </c>
      <c r="B21" s="13">
        <v>45964</v>
      </c>
      <c r="C21" s="12" t="s">
        <v>6</v>
      </c>
      <c r="D21" s="48">
        <v>670.42</v>
      </c>
      <c r="E21" s="48">
        <v>13.41</v>
      </c>
      <c r="F21" s="48">
        <v>657.01</v>
      </c>
    </row>
    <row r="22" spans="1:6">
      <c r="A22" s="12">
        <v>256779419165</v>
      </c>
      <c r="B22" s="13">
        <v>45966</v>
      </c>
      <c r="C22" s="12" t="s">
        <v>6</v>
      </c>
      <c r="D22" s="48">
        <v>191.57</v>
      </c>
      <c r="E22" s="48">
        <v>3.83</v>
      </c>
      <c r="F22" s="48">
        <v>187.73999999999998</v>
      </c>
    </row>
    <row r="23" spans="1:6">
      <c r="A23" s="12">
        <v>256779419192</v>
      </c>
      <c r="B23" s="13">
        <v>45966</v>
      </c>
      <c r="C23" s="12" t="s">
        <v>6</v>
      </c>
      <c r="D23" s="48">
        <v>171.87</v>
      </c>
      <c r="E23" s="48">
        <v>3.44</v>
      </c>
      <c r="F23" s="48">
        <v>168.43</v>
      </c>
    </row>
    <row r="24" spans="1:6">
      <c r="A24" s="12">
        <v>256779419531</v>
      </c>
      <c r="B24" s="13">
        <v>45981</v>
      </c>
      <c r="C24" s="12" t="s">
        <v>6</v>
      </c>
      <c r="D24" s="48">
        <v>417.77</v>
      </c>
      <c r="E24" s="48">
        <v>8.36</v>
      </c>
      <c r="F24" s="48">
        <v>409.40999999999997</v>
      </c>
    </row>
    <row r="25" spans="1:6">
      <c r="A25" s="12">
        <v>256779419620</v>
      </c>
      <c r="B25" s="13">
        <v>45981</v>
      </c>
      <c r="C25" s="12" t="s">
        <v>6</v>
      </c>
      <c r="D25" s="48">
        <v>102.39</v>
      </c>
      <c r="E25" s="48">
        <v>2.0499999999999998</v>
      </c>
      <c r="F25" s="48">
        <v>100.34</v>
      </c>
    </row>
    <row r="26" spans="1:6">
      <c r="A26" s="12"/>
      <c r="B26" s="12"/>
      <c r="C26" s="12"/>
      <c r="D26" s="48"/>
      <c r="E26" s="48"/>
      <c r="F26" s="48"/>
    </row>
    <row r="27" spans="1:6">
      <c r="A27" s="8" t="s">
        <v>39</v>
      </c>
      <c r="B27" s="8"/>
      <c r="C27" s="8"/>
      <c r="D27" s="50">
        <f>SUM(D2:D26)</f>
        <v>21223.979999999996</v>
      </c>
      <c r="E27" s="50">
        <f>SUM(E2:E26)</f>
        <v>424.5</v>
      </c>
      <c r="F27" s="50">
        <f>SUM(F2:F26)</f>
        <v>20799.48</v>
      </c>
    </row>
    <row r="29" spans="1:6">
      <c r="A29" s="11"/>
      <c r="B29" s="21"/>
      <c r="D29" s="11"/>
      <c r="F29" s="7"/>
    </row>
  </sheetData>
  <autoFilter ref="A1:F21" xr:uid="{6E3FD71D-28AB-4280-A020-680DFA36CF38}"/>
  <conditionalFormatting sqref="A29">
    <cfRule type="duplicateValues" dxfId="3" priority="2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FD71D-28AB-4280-A020-680DFA36CF38}">
  <dimension ref="A1:G24"/>
  <sheetViews>
    <sheetView workbookViewId="0">
      <pane ySplit="1" topLeftCell="A8" activePane="bottomLeft" state="frozen"/>
      <selection pane="bottomLeft" activeCell="A22" sqref="A22:B22"/>
    </sheetView>
  </sheetViews>
  <sheetFormatPr defaultRowHeight="14.5"/>
  <cols>
    <col min="1" max="1" width="19.7265625" bestFit="1" customWidth="1"/>
    <col min="2" max="2" width="13.36328125" bestFit="1" customWidth="1"/>
    <col min="3" max="3" width="10.54296875" bestFit="1" customWidth="1"/>
    <col min="4" max="4" width="11.6328125" bestFit="1" customWidth="1"/>
    <col min="5" max="5" width="6.36328125" bestFit="1" customWidth="1"/>
    <col min="6" max="6" width="21.26953125" bestFit="1" customWidth="1"/>
    <col min="8" max="8" width="11.453125" bestFit="1" customWidth="1"/>
  </cols>
  <sheetData>
    <row r="1" spans="1:7">
      <c r="A1" s="46" t="s">
        <v>8</v>
      </c>
      <c r="B1" s="46" t="s">
        <v>31</v>
      </c>
      <c r="C1" s="47" t="s">
        <v>3</v>
      </c>
      <c r="D1" s="46" t="s">
        <v>32</v>
      </c>
      <c r="E1" s="49" t="s">
        <v>19</v>
      </c>
      <c r="F1" s="35" t="s">
        <v>24</v>
      </c>
    </row>
    <row r="2" spans="1:7">
      <c r="A2" s="12">
        <v>246779411730</v>
      </c>
      <c r="B2" s="13">
        <v>45733</v>
      </c>
      <c r="C2" s="12" t="s">
        <v>6</v>
      </c>
      <c r="D2" s="48">
        <v>11.42</v>
      </c>
      <c r="E2" s="48">
        <v>0.23</v>
      </c>
      <c r="F2" s="48">
        <f>D2-E2</f>
        <v>11.19</v>
      </c>
      <c r="G2" s="17"/>
    </row>
    <row r="3" spans="1:7">
      <c r="A3" s="12">
        <v>246779411789</v>
      </c>
      <c r="B3" s="13">
        <v>45733</v>
      </c>
      <c r="C3" s="12" t="s">
        <v>6</v>
      </c>
      <c r="D3" s="48">
        <v>428.11</v>
      </c>
      <c r="E3" s="48">
        <v>8.56</v>
      </c>
      <c r="F3" s="48">
        <f t="shared" ref="F3:F22" si="0">D3-E3</f>
        <v>419.55</v>
      </c>
      <c r="G3" s="17"/>
    </row>
    <row r="4" spans="1:7">
      <c r="A4" s="12">
        <v>256779412776</v>
      </c>
      <c r="B4" s="13">
        <v>45771</v>
      </c>
      <c r="C4" s="12" t="s">
        <v>6</v>
      </c>
      <c r="D4" s="48">
        <v>632.46</v>
      </c>
      <c r="E4" s="48">
        <v>12.65</v>
      </c>
      <c r="F4" s="48">
        <f t="shared" si="0"/>
        <v>619.81000000000006</v>
      </c>
      <c r="G4" s="17"/>
    </row>
    <row r="5" spans="1:7">
      <c r="A5" s="12">
        <v>256779413240</v>
      </c>
      <c r="B5" s="13">
        <v>45787</v>
      </c>
      <c r="C5" s="12" t="s">
        <v>6</v>
      </c>
      <c r="D5" s="48">
        <v>424.03</v>
      </c>
      <c r="E5" s="48">
        <v>8.48</v>
      </c>
      <c r="F5" s="48">
        <f t="shared" si="0"/>
        <v>415.54999999999995</v>
      </c>
      <c r="G5" s="17"/>
    </row>
    <row r="6" spans="1:7">
      <c r="A6" s="12">
        <v>256779413250</v>
      </c>
      <c r="B6" s="13">
        <v>45787</v>
      </c>
      <c r="C6" s="12" t="s">
        <v>6</v>
      </c>
      <c r="D6" s="48">
        <v>423.28</v>
      </c>
      <c r="E6" s="48">
        <v>8.4700000000000006</v>
      </c>
      <c r="F6" s="48">
        <f t="shared" si="0"/>
        <v>414.80999999999995</v>
      </c>
      <c r="G6" s="17"/>
    </row>
    <row r="7" spans="1:7">
      <c r="A7" s="12">
        <v>256779413908</v>
      </c>
      <c r="B7" s="13">
        <v>45805</v>
      </c>
      <c r="C7" s="12" t="s">
        <v>6</v>
      </c>
      <c r="D7" s="48">
        <v>3200.83</v>
      </c>
      <c r="E7" s="48">
        <v>64.02</v>
      </c>
      <c r="F7" s="48">
        <f t="shared" si="0"/>
        <v>3136.81</v>
      </c>
      <c r="G7" s="17"/>
    </row>
    <row r="8" spans="1:7">
      <c r="A8" s="12">
        <v>256779413931</v>
      </c>
      <c r="B8" s="13">
        <v>45810</v>
      </c>
      <c r="C8" s="12" t="s">
        <v>6</v>
      </c>
      <c r="D8" s="48">
        <v>395.23</v>
      </c>
      <c r="E8" s="48">
        <v>7.9</v>
      </c>
      <c r="F8" s="48">
        <f t="shared" si="0"/>
        <v>387.33000000000004</v>
      </c>
      <c r="G8" s="17"/>
    </row>
    <row r="9" spans="1:7">
      <c r="A9" s="12">
        <v>256779414431</v>
      </c>
      <c r="B9" s="13">
        <v>45826</v>
      </c>
      <c r="C9" s="12" t="s">
        <v>6</v>
      </c>
      <c r="D9" s="48">
        <v>52.38</v>
      </c>
      <c r="E9" s="48">
        <v>1.05</v>
      </c>
      <c r="F9" s="48">
        <f t="shared" si="0"/>
        <v>51.330000000000005</v>
      </c>
      <c r="G9" s="17"/>
    </row>
    <row r="10" spans="1:7">
      <c r="A10" s="12">
        <v>256779415319</v>
      </c>
      <c r="B10" s="13">
        <v>45848</v>
      </c>
      <c r="C10" s="12" t="s">
        <v>6</v>
      </c>
      <c r="D10" s="48">
        <v>140.16999999999999</v>
      </c>
      <c r="E10" s="48">
        <v>2.8</v>
      </c>
      <c r="F10" s="48">
        <f t="shared" si="0"/>
        <v>137.36999999999998</v>
      </c>
      <c r="G10" s="17"/>
    </row>
    <row r="11" spans="1:7">
      <c r="A11" s="12">
        <v>256779417280</v>
      </c>
      <c r="B11" s="13">
        <v>45904</v>
      </c>
      <c r="C11" s="12" t="s">
        <v>6</v>
      </c>
      <c r="D11" s="48">
        <v>249.98000000000002</v>
      </c>
      <c r="E11" s="48">
        <v>5</v>
      </c>
      <c r="F11" s="48">
        <f t="shared" si="0"/>
        <v>244.98000000000002</v>
      </c>
      <c r="G11" s="17"/>
    </row>
    <row r="12" spans="1:7">
      <c r="A12" s="12">
        <v>256779417317</v>
      </c>
      <c r="B12" s="13">
        <v>45904</v>
      </c>
      <c r="C12" s="12" t="s">
        <v>6</v>
      </c>
      <c r="D12" s="48">
        <v>170.85</v>
      </c>
      <c r="E12" s="48">
        <v>3.42</v>
      </c>
      <c r="F12" s="48">
        <f t="shared" si="0"/>
        <v>167.43</v>
      </c>
      <c r="G12" s="17"/>
    </row>
    <row r="13" spans="1:7">
      <c r="A13" s="12">
        <v>256779417892</v>
      </c>
      <c r="B13" s="13">
        <v>45935</v>
      </c>
      <c r="C13" s="12" t="s">
        <v>6</v>
      </c>
      <c r="D13" s="48">
        <v>58.45</v>
      </c>
      <c r="E13" s="48">
        <v>1.17</v>
      </c>
      <c r="F13" s="48">
        <f t="shared" si="0"/>
        <v>57.28</v>
      </c>
      <c r="G13" s="17"/>
    </row>
    <row r="14" spans="1:7">
      <c r="A14" s="12">
        <v>256779417931</v>
      </c>
      <c r="B14" s="13">
        <v>45935</v>
      </c>
      <c r="C14" s="12" t="s">
        <v>6</v>
      </c>
      <c r="D14" s="48">
        <v>288.84000000000003</v>
      </c>
      <c r="E14" s="48">
        <v>5.78</v>
      </c>
      <c r="F14" s="48">
        <f t="shared" si="0"/>
        <v>283.06000000000006</v>
      </c>
      <c r="G14" s="17"/>
    </row>
    <row r="15" spans="1:7">
      <c r="A15" s="12">
        <v>256779417971</v>
      </c>
      <c r="B15" s="13">
        <v>45935</v>
      </c>
      <c r="C15" s="12" t="s">
        <v>6</v>
      </c>
      <c r="D15" s="48">
        <v>94.81</v>
      </c>
      <c r="E15" s="48">
        <v>1.9</v>
      </c>
      <c r="F15" s="48">
        <f t="shared" si="0"/>
        <v>92.91</v>
      </c>
      <c r="G15" s="17"/>
    </row>
    <row r="16" spans="1:7">
      <c r="A16" s="12">
        <v>256779418391</v>
      </c>
      <c r="B16" s="13">
        <v>45935</v>
      </c>
      <c r="C16" s="12" t="s">
        <v>6</v>
      </c>
      <c r="D16" s="48">
        <v>38.51</v>
      </c>
      <c r="E16" s="48">
        <v>0.77</v>
      </c>
      <c r="F16" s="48">
        <f t="shared" si="0"/>
        <v>37.739999999999995</v>
      </c>
      <c r="G16" s="17"/>
    </row>
    <row r="17" spans="1:7">
      <c r="A17" s="12">
        <v>256779418424</v>
      </c>
      <c r="B17" s="13">
        <v>45948</v>
      </c>
      <c r="C17" s="12" t="s">
        <v>6</v>
      </c>
      <c r="D17" s="48">
        <v>1334.62</v>
      </c>
      <c r="E17" s="48">
        <v>26.69</v>
      </c>
      <c r="F17" s="48">
        <f t="shared" si="0"/>
        <v>1307.9299999999998</v>
      </c>
      <c r="G17" s="17"/>
    </row>
    <row r="18" spans="1:7">
      <c r="A18" s="12">
        <v>256779418433</v>
      </c>
      <c r="B18" s="13">
        <v>45948</v>
      </c>
      <c r="C18" s="12" t="s">
        <v>6</v>
      </c>
      <c r="D18" s="48">
        <v>351.43</v>
      </c>
      <c r="E18" s="48">
        <v>7.03</v>
      </c>
      <c r="F18" s="48">
        <f t="shared" si="0"/>
        <v>344.40000000000003</v>
      </c>
      <c r="G18" s="17"/>
    </row>
    <row r="19" spans="1:7">
      <c r="A19" s="12">
        <v>256779418480</v>
      </c>
      <c r="B19" s="13">
        <v>45951</v>
      </c>
      <c r="C19" s="12" t="s">
        <v>6</v>
      </c>
      <c r="D19" s="48">
        <v>13.59</v>
      </c>
      <c r="E19" s="48">
        <v>0.27</v>
      </c>
      <c r="F19" s="48">
        <f t="shared" si="0"/>
        <v>13.32</v>
      </c>
      <c r="G19" s="17"/>
    </row>
    <row r="20" spans="1:7">
      <c r="A20" s="12">
        <v>256779419211</v>
      </c>
      <c r="B20" s="13">
        <v>45966</v>
      </c>
      <c r="C20" s="12" t="s">
        <v>6</v>
      </c>
      <c r="D20" s="48">
        <v>28.18</v>
      </c>
      <c r="E20" s="48">
        <v>0.56000000000000005</v>
      </c>
      <c r="F20" s="48">
        <f t="shared" si="0"/>
        <v>27.62</v>
      </c>
      <c r="G20" s="17"/>
    </row>
    <row r="21" spans="1:7">
      <c r="A21" s="12">
        <v>256779419542</v>
      </c>
      <c r="B21" s="13">
        <v>45981</v>
      </c>
      <c r="C21" s="12" t="s">
        <v>6</v>
      </c>
      <c r="D21" s="48">
        <v>409.40000000000003</v>
      </c>
      <c r="E21" s="48">
        <v>8.19</v>
      </c>
      <c r="F21" s="48">
        <f t="shared" si="0"/>
        <v>401.21000000000004</v>
      </c>
      <c r="G21" s="17"/>
    </row>
    <row r="22" spans="1:7">
      <c r="A22" s="59" t="s">
        <v>40</v>
      </c>
      <c r="B22" s="60"/>
      <c r="C22" s="12" t="s">
        <v>6</v>
      </c>
      <c r="D22" s="48"/>
      <c r="E22" s="48">
        <v>544.41</v>
      </c>
      <c r="F22" s="48">
        <f t="shared" si="0"/>
        <v>-544.41</v>
      </c>
      <c r="G22" s="17"/>
    </row>
    <row r="23" spans="1:7">
      <c r="A23" s="12"/>
      <c r="B23" s="12"/>
      <c r="C23" s="12"/>
      <c r="D23" s="48"/>
      <c r="E23" s="48"/>
      <c r="F23" s="48"/>
    </row>
    <row r="24" spans="1:7">
      <c r="A24" s="8" t="s">
        <v>39</v>
      </c>
      <c r="B24" s="8"/>
      <c r="C24" s="8"/>
      <c r="D24" s="50">
        <f>SUM(D2:D23)</f>
        <v>8746.5700000000015</v>
      </c>
      <c r="E24" s="50">
        <f>SUM(E2:E23)</f>
        <v>719.35</v>
      </c>
      <c r="F24" s="50">
        <f>SUM(F2:F23)</f>
        <v>8027.2199999999993</v>
      </c>
    </row>
  </sheetData>
  <autoFilter ref="A1:F21" xr:uid="{6E3FD71D-28AB-4280-A020-680DFA36CF38}"/>
  <mergeCells count="1">
    <mergeCell ref="A22:B2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9CC26-311A-46A2-8F09-00DA6BA6AD1C}">
  <dimension ref="A1:F55"/>
  <sheetViews>
    <sheetView workbookViewId="0">
      <pane ySplit="2" topLeftCell="A33" activePane="bottomLeft" state="frozen"/>
      <selection pane="bottomLeft" activeCell="A53" sqref="A53:D53"/>
    </sheetView>
  </sheetViews>
  <sheetFormatPr defaultRowHeight="14.5"/>
  <cols>
    <col min="1" max="1" width="19.81640625" style="20" bestFit="1" customWidth="1"/>
    <col min="2" max="2" width="16" style="21" bestFit="1" customWidth="1"/>
    <col min="3" max="3" width="14.81640625" bestFit="1" customWidth="1"/>
    <col min="4" max="4" width="10.453125" bestFit="1" customWidth="1"/>
    <col min="5" max="5" width="8.6328125" bestFit="1" customWidth="1"/>
    <col min="6" max="6" width="15.1796875" bestFit="1" customWidth="1"/>
  </cols>
  <sheetData>
    <row r="1" spans="1:6">
      <c r="A1" s="61" t="s">
        <v>18</v>
      </c>
      <c r="B1" s="61"/>
      <c r="C1" s="61"/>
      <c r="D1" s="61"/>
      <c r="E1" s="24"/>
      <c r="F1" s="24"/>
    </row>
    <row r="2" spans="1:6" s="11" customFormat="1">
      <c r="A2" s="25" t="s">
        <v>8</v>
      </c>
      <c r="B2" s="26" t="s">
        <v>2</v>
      </c>
      <c r="C2" s="27" t="s">
        <v>4</v>
      </c>
      <c r="D2" s="35" t="s">
        <v>23</v>
      </c>
      <c r="E2" s="27" t="s">
        <v>19</v>
      </c>
      <c r="F2" s="35" t="s">
        <v>24</v>
      </c>
    </row>
    <row r="3" spans="1:6">
      <c r="A3" s="12">
        <v>256779411970</v>
      </c>
      <c r="B3" s="13">
        <v>45763</v>
      </c>
      <c r="C3" s="14" t="s">
        <v>12</v>
      </c>
      <c r="D3" s="15">
        <v>8.66</v>
      </c>
      <c r="E3" s="15">
        <v>0.17</v>
      </c>
      <c r="F3" s="15">
        <f t="shared" ref="F3:F49" si="0">D3-E3</f>
        <v>8.49</v>
      </c>
    </row>
    <row r="4" spans="1:6">
      <c r="A4" s="12">
        <v>256779414859</v>
      </c>
      <c r="B4" s="13">
        <v>45842</v>
      </c>
      <c r="C4" s="14" t="s">
        <v>14</v>
      </c>
      <c r="D4" s="15">
        <v>318.47000000000003</v>
      </c>
      <c r="E4" s="15">
        <v>6.37</v>
      </c>
      <c r="F4" s="15">
        <f t="shared" si="0"/>
        <v>312.10000000000002</v>
      </c>
    </row>
    <row r="5" spans="1:6">
      <c r="A5" s="12">
        <v>256779415289</v>
      </c>
      <c r="B5" s="13">
        <v>45848</v>
      </c>
      <c r="C5" s="14" t="s">
        <v>14</v>
      </c>
      <c r="D5" s="15">
        <v>250</v>
      </c>
      <c r="E5" s="15">
        <v>5</v>
      </c>
      <c r="F5" s="15">
        <f t="shared" si="0"/>
        <v>245</v>
      </c>
    </row>
    <row r="6" spans="1:6">
      <c r="A6" s="12">
        <v>256779415290</v>
      </c>
      <c r="B6" s="13">
        <v>45848</v>
      </c>
      <c r="C6" s="14" t="s">
        <v>14</v>
      </c>
      <c r="D6" s="15">
        <v>24</v>
      </c>
      <c r="E6" s="15">
        <v>0.48</v>
      </c>
      <c r="F6" s="15">
        <f t="shared" si="0"/>
        <v>23.52</v>
      </c>
    </row>
    <row r="7" spans="1:6">
      <c r="A7" s="12">
        <v>256779415301</v>
      </c>
      <c r="B7" s="13">
        <v>45848</v>
      </c>
      <c r="C7" s="14" t="s">
        <v>14</v>
      </c>
      <c r="D7" s="15">
        <v>30</v>
      </c>
      <c r="E7" s="15">
        <v>0.6</v>
      </c>
      <c r="F7" s="15">
        <f t="shared" si="0"/>
        <v>29.4</v>
      </c>
    </row>
    <row r="8" spans="1:6">
      <c r="A8" s="12">
        <v>256779415302</v>
      </c>
      <c r="B8" s="13">
        <v>45848</v>
      </c>
      <c r="C8" s="14" t="s">
        <v>14</v>
      </c>
      <c r="D8" s="15">
        <v>30</v>
      </c>
      <c r="E8" s="15">
        <v>0.6</v>
      </c>
      <c r="F8" s="15">
        <f t="shared" si="0"/>
        <v>29.4</v>
      </c>
    </row>
    <row r="9" spans="1:6">
      <c r="A9" s="12">
        <v>256779415309</v>
      </c>
      <c r="B9" s="13">
        <v>45848</v>
      </c>
      <c r="C9" s="14" t="s">
        <v>14</v>
      </c>
      <c r="D9" s="15">
        <v>30</v>
      </c>
      <c r="E9" s="15">
        <v>0.6</v>
      </c>
      <c r="F9" s="15">
        <f t="shared" si="0"/>
        <v>29.4</v>
      </c>
    </row>
    <row r="10" spans="1:6">
      <c r="A10" s="12">
        <v>256779415311</v>
      </c>
      <c r="B10" s="13">
        <v>45848</v>
      </c>
      <c r="C10" s="14" t="s">
        <v>14</v>
      </c>
      <c r="D10" s="15">
        <v>77.48</v>
      </c>
      <c r="E10" s="15">
        <v>1.55</v>
      </c>
      <c r="F10" s="15">
        <f t="shared" si="0"/>
        <v>75.930000000000007</v>
      </c>
    </row>
    <row r="11" spans="1:6">
      <c r="A11" s="12">
        <v>256779415312</v>
      </c>
      <c r="B11" s="13">
        <v>45848</v>
      </c>
      <c r="C11" s="14" t="s">
        <v>14</v>
      </c>
      <c r="D11" s="15">
        <v>200</v>
      </c>
      <c r="E11" s="15">
        <v>4</v>
      </c>
      <c r="F11" s="15">
        <f t="shared" si="0"/>
        <v>196</v>
      </c>
    </row>
    <row r="12" spans="1:6">
      <c r="A12" s="12">
        <v>256779415313</v>
      </c>
      <c r="B12" s="13">
        <v>45848</v>
      </c>
      <c r="C12" s="14" t="s">
        <v>14</v>
      </c>
      <c r="D12" s="15">
        <v>60</v>
      </c>
      <c r="E12" s="15">
        <v>1.2</v>
      </c>
      <c r="F12" s="15">
        <f t="shared" si="0"/>
        <v>58.8</v>
      </c>
    </row>
    <row r="13" spans="1:6">
      <c r="A13" s="12">
        <v>256779415320</v>
      </c>
      <c r="B13" s="13">
        <v>45848</v>
      </c>
      <c r="C13" s="14" t="s">
        <v>14</v>
      </c>
      <c r="D13" s="15">
        <v>12.5</v>
      </c>
      <c r="E13" s="15">
        <v>0.25</v>
      </c>
      <c r="F13" s="15">
        <f t="shared" si="0"/>
        <v>12.25</v>
      </c>
    </row>
    <row r="14" spans="1:6">
      <c r="A14" s="12">
        <v>256779415322</v>
      </c>
      <c r="B14" s="13">
        <v>45848</v>
      </c>
      <c r="C14" s="14" t="s">
        <v>14</v>
      </c>
      <c r="D14" s="15">
        <v>192</v>
      </c>
      <c r="E14" s="15">
        <v>3.84</v>
      </c>
      <c r="F14" s="15">
        <f t="shared" si="0"/>
        <v>188.16</v>
      </c>
    </row>
    <row r="15" spans="1:6">
      <c r="A15" s="12">
        <v>256779415323</v>
      </c>
      <c r="B15" s="13">
        <v>45848</v>
      </c>
      <c r="C15" s="14" t="s">
        <v>14</v>
      </c>
      <c r="D15" s="15">
        <v>211.75</v>
      </c>
      <c r="E15" s="15">
        <v>4.24</v>
      </c>
      <c r="F15" s="15">
        <f t="shared" si="0"/>
        <v>207.51</v>
      </c>
    </row>
    <row r="16" spans="1:6">
      <c r="A16" s="12">
        <v>256779415324</v>
      </c>
      <c r="B16" s="13">
        <v>45848</v>
      </c>
      <c r="C16" s="14" t="s">
        <v>14</v>
      </c>
      <c r="D16" s="15">
        <v>146.65</v>
      </c>
      <c r="E16" s="15">
        <v>2.93</v>
      </c>
      <c r="F16" s="15">
        <f t="shared" si="0"/>
        <v>143.72</v>
      </c>
    </row>
    <row r="17" spans="1:6">
      <c r="A17" s="12">
        <v>256779415325</v>
      </c>
      <c r="B17" s="13">
        <v>45848</v>
      </c>
      <c r="C17" s="14" t="s">
        <v>14</v>
      </c>
      <c r="D17" s="15">
        <v>192</v>
      </c>
      <c r="E17" s="15">
        <v>3.84</v>
      </c>
      <c r="F17" s="15">
        <f t="shared" si="0"/>
        <v>188.16</v>
      </c>
    </row>
    <row r="18" spans="1:6">
      <c r="A18" s="12">
        <v>256779415327</v>
      </c>
      <c r="B18" s="13">
        <v>45848</v>
      </c>
      <c r="C18" s="14" t="s">
        <v>14</v>
      </c>
      <c r="D18" s="15">
        <v>20</v>
      </c>
      <c r="E18" s="15">
        <v>0.4</v>
      </c>
      <c r="F18" s="15">
        <f t="shared" si="0"/>
        <v>19.600000000000001</v>
      </c>
    </row>
    <row r="19" spans="1:6">
      <c r="A19" s="12">
        <v>256779415329</v>
      </c>
      <c r="B19" s="13">
        <v>45848</v>
      </c>
      <c r="C19" s="14" t="s">
        <v>14</v>
      </c>
      <c r="D19" s="15">
        <v>27.5</v>
      </c>
      <c r="E19" s="15">
        <v>0.55000000000000004</v>
      </c>
      <c r="F19" s="15">
        <f t="shared" si="0"/>
        <v>26.95</v>
      </c>
    </row>
    <row r="20" spans="1:6">
      <c r="A20" s="12">
        <v>256779415330</v>
      </c>
      <c r="B20" s="13">
        <v>45848</v>
      </c>
      <c r="C20" s="14" t="s">
        <v>14</v>
      </c>
      <c r="D20" s="15">
        <v>22.5</v>
      </c>
      <c r="E20" s="15">
        <v>0.45</v>
      </c>
      <c r="F20" s="15">
        <f t="shared" si="0"/>
        <v>22.05</v>
      </c>
    </row>
    <row r="21" spans="1:6">
      <c r="A21" s="12">
        <v>256779415331</v>
      </c>
      <c r="B21" s="13">
        <v>45848</v>
      </c>
      <c r="C21" s="14" t="s">
        <v>14</v>
      </c>
      <c r="D21" s="15">
        <v>22.5</v>
      </c>
      <c r="E21" s="15">
        <v>0.45</v>
      </c>
      <c r="F21" s="15">
        <f t="shared" si="0"/>
        <v>22.05</v>
      </c>
    </row>
    <row r="22" spans="1:6">
      <c r="A22" s="12">
        <v>256779415351</v>
      </c>
      <c r="B22" s="13">
        <v>45848</v>
      </c>
      <c r="C22" s="14" t="s">
        <v>14</v>
      </c>
      <c r="D22" s="15">
        <v>17.03</v>
      </c>
      <c r="E22" s="15">
        <v>0.34</v>
      </c>
      <c r="F22" s="15">
        <f t="shared" si="0"/>
        <v>16.690000000000001</v>
      </c>
    </row>
    <row r="23" spans="1:6">
      <c r="A23" s="12">
        <v>256779415353</v>
      </c>
      <c r="B23" s="13">
        <v>45848</v>
      </c>
      <c r="C23" s="14" t="s">
        <v>14</v>
      </c>
      <c r="D23" s="15">
        <v>200</v>
      </c>
      <c r="E23" s="15">
        <v>4</v>
      </c>
      <c r="F23" s="15">
        <f t="shared" si="0"/>
        <v>196</v>
      </c>
    </row>
    <row r="24" spans="1:6">
      <c r="A24" s="12">
        <v>256779415354</v>
      </c>
      <c r="B24" s="13">
        <v>45848</v>
      </c>
      <c r="C24" s="14" t="s">
        <v>14</v>
      </c>
      <c r="D24" s="15">
        <v>60</v>
      </c>
      <c r="E24" s="15">
        <v>1.2</v>
      </c>
      <c r="F24" s="15">
        <f t="shared" si="0"/>
        <v>58.8</v>
      </c>
    </row>
    <row r="25" spans="1:6">
      <c r="A25" s="12">
        <v>256779415365</v>
      </c>
      <c r="B25" s="13">
        <v>45848</v>
      </c>
      <c r="C25" s="14" t="s">
        <v>14</v>
      </c>
      <c r="D25" s="15">
        <v>313</v>
      </c>
      <c r="E25" s="15">
        <v>6.26</v>
      </c>
      <c r="F25" s="15">
        <f t="shared" si="0"/>
        <v>306.74</v>
      </c>
    </row>
    <row r="26" spans="1:6">
      <c r="A26" s="12">
        <v>256779415366</v>
      </c>
      <c r="B26" s="13">
        <v>45848</v>
      </c>
      <c r="C26" s="14" t="s">
        <v>14</v>
      </c>
      <c r="D26" s="15">
        <v>192</v>
      </c>
      <c r="E26" s="15">
        <v>3.84</v>
      </c>
      <c r="F26" s="15">
        <f t="shared" si="0"/>
        <v>188.16</v>
      </c>
    </row>
    <row r="27" spans="1:6">
      <c r="A27" s="12">
        <v>256779415367</v>
      </c>
      <c r="B27" s="13">
        <v>45848</v>
      </c>
      <c r="C27" s="14" t="s">
        <v>14</v>
      </c>
      <c r="D27" s="15">
        <v>200</v>
      </c>
      <c r="E27" s="15">
        <v>4</v>
      </c>
      <c r="F27" s="15">
        <f t="shared" si="0"/>
        <v>196</v>
      </c>
    </row>
    <row r="28" spans="1:6">
      <c r="A28" s="12">
        <v>256779415368</v>
      </c>
      <c r="B28" s="13">
        <v>45848</v>
      </c>
      <c r="C28" s="14" t="s">
        <v>14</v>
      </c>
      <c r="D28" s="15">
        <v>60</v>
      </c>
      <c r="E28" s="15">
        <v>1.2</v>
      </c>
      <c r="F28" s="15">
        <f t="shared" si="0"/>
        <v>58.8</v>
      </c>
    </row>
    <row r="29" spans="1:6">
      <c r="A29" s="12">
        <v>256779415387</v>
      </c>
      <c r="B29" s="13">
        <v>45848</v>
      </c>
      <c r="C29" s="14" t="s">
        <v>14</v>
      </c>
      <c r="D29" s="15">
        <v>70.900000000000006</v>
      </c>
      <c r="E29" s="15">
        <v>1.42</v>
      </c>
      <c r="F29" s="15">
        <f t="shared" si="0"/>
        <v>69.48</v>
      </c>
    </row>
    <row r="30" spans="1:6">
      <c r="A30" s="12">
        <v>256779415426</v>
      </c>
      <c r="B30" s="13">
        <v>45856</v>
      </c>
      <c r="C30" s="14" t="s">
        <v>14</v>
      </c>
      <c r="D30" s="15">
        <v>464.73</v>
      </c>
      <c r="E30" s="15">
        <v>9.2899999999999991</v>
      </c>
      <c r="F30" s="15">
        <f t="shared" si="0"/>
        <v>455.44</v>
      </c>
    </row>
    <row r="31" spans="1:6">
      <c r="A31" s="12">
        <v>256779415442</v>
      </c>
      <c r="B31" s="13">
        <v>45856</v>
      </c>
      <c r="C31" s="14" t="s">
        <v>14</v>
      </c>
      <c r="D31" s="15">
        <v>1.59</v>
      </c>
      <c r="E31" s="15">
        <v>0.03</v>
      </c>
      <c r="F31" s="15">
        <f t="shared" si="0"/>
        <v>1.56</v>
      </c>
    </row>
    <row r="32" spans="1:6">
      <c r="A32" s="12">
        <v>256779415453</v>
      </c>
      <c r="B32" s="13">
        <v>45856</v>
      </c>
      <c r="C32" s="14" t="s">
        <v>14</v>
      </c>
      <c r="D32" s="15">
        <v>293.45999999999998</v>
      </c>
      <c r="E32" s="15">
        <v>5.87</v>
      </c>
      <c r="F32" s="15">
        <f t="shared" si="0"/>
        <v>287.58999999999997</v>
      </c>
    </row>
    <row r="33" spans="1:6">
      <c r="A33" s="12">
        <v>256779415474</v>
      </c>
      <c r="B33" s="13">
        <v>45856</v>
      </c>
      <c r="C33" s="14" t="s">
        <v>14</v>
      </c>
      <c r="D33" s="15">
        <v>608.41</v>
      </c>
      <c r="E33" s="15">
        <v>12.17</v>
      </c>
      <c r="F33" s="15">
        <f t="shared" si="0"/>
        <v>596.24</v>
      </c>
    </row>
    <row r="34" spans="1:6">
      <c r="A34" s="12">
        <v>256779415517</v>
      </c>
      <c r="B34" s="13">
        <v>45856</v>
      </c>
      <c r="C34" s="14" t="s">
        <v>14</v>
      </c>
      <c r="D34" s="15">
        <v>116.74</v>
      </c>
      <c r="E34" s="15">
        <v>2.33</v>
      </c>
      <c r="F34" s="15">
        <f t="shared" si="0"/>
        <v>114.41</v>
      </c>
    </row>
    <row r="35" spans="1:6">
      <c r="A35" s="12">
        <v>256779415989</v>
      </c>
      <c r="B35" s="13">
        <v>45863</v>
      </c>
      <c r="C35" s="14" t="s">
        <v>14</v>
      </c>
      <c r="D35" s="15">
        <v>299.83999999999997</v>
      </c>
      <c r="E35" s="15">
        <v>6</v>
      </c>
      <c r="F35" s="15">
        <f t="shared" si="0"/>
        <v>293.83999999999997</v>
      </c>
    </row>
    <row r="36" spans="1:6">
      <c r="A36" s="12">
        <v>256779416007</v>
      </c>
      <c r="B36" s="13">
        <v>45863</v>
      </c>
      <c r="C36" s="14" t="s">
        <v>14</v>
      </c>
      <c r="D36" s="15">
        <v>421.15</v>
      </c>
      <c r="E36" s="15">
        <v>8.42</v>
      </c>
      <c r="F36" s="15">
        <f t="shared" si="0"/>
        <v>412.72999999999996</v>
      </c>
    </row>
    <row r="37" spans="1:6">
      <c r="A37" s="12">
        <v>256779416096</v>
      </c>
      <c r="B37" s="13">
        <v>45877</v>
      </c>
      <c r="C37" s="14" t="s">
        <v>15</v>
      </c>
      <c r="D37" s="15">
        <v>7386.34</v>
      </c>
      <c r="E37" s="15">
        <v>147.72999999999999</v>
      </c>
      <c r="F37" s="15">
        <f t="shared" si="0"/>
        <v>7238.6100000000006</v>
      </c>
    </row>
    <row r="38" spans="1:6">
      <c r="A38" s="12">
        <v>256779417134</v>
      </c>
      <c r="B38" s="13">
        <v>45904</v>
      </c>
      <c r="C38" s="14" t="s">
        <v>16</v>
      </c>
      <c r="D38" s="15">
        <v>536.44000000000005</v>
      </c>
      <c r="E38" s="15">
        <v>10.73</v>
      </c>
      <c r="F38" s="15">
        <f t="shared" si="0"/>
        <v>525.71</v>
      </c>
    </row>
    <row r="39" spans="1:6">
      <c r="A39" s="12">
        <v>256779417137</v>
      </c>
      <c r="B39" s="13">
        <v>45904</v>
      </c>
      <c r="C39" s="14" t="s">
        <v>16</v>
      </c>
      <c r="D39" s="15">
        <v>409.79</v>
      </c>
      <c r="E39" s="15">
        <v>8.1999999999999993</v>
      </c>
      <c r="F39" s="15">
        <f t="shared" si="0"/>
        <v>401.59000000000003</v>
      </c>
    </row>
    <row r="40" spans="1:6">
      <c r="A40" s="12">
        <v>256779417158</v>
      </c>
      <c r="B40" s="13">
        <v>45904</v>
      </c>
      <c r="C40" s="14" t="s">
        <v>16</v>
      </c>
      <c r="D40" s="15">
        <v>110</v>
      </c>
      <c r="E40" s="15">
        <v>2.2000000000000002</v>
      </c>
      <c r="F40" s="15">
        <f t="shared" si="0"/>
        <v>107.8</v>
      </c>
    </row>
    <row r="41" spans="1:6">
      <c r="A41" s="12">
        <v>256779417200</v>
      </c>
      <c r="B41" s="13">
        <v>45904</v>
      </c>
      <c r="C41" s="14" t="s">
        <v>16</v>
      </c>
      <c r="D41" s="15">
        <v>100.74</v>
      </c>
      <c r="E41" s="15">
        <v>2.0099999999999998</v>
      </c>
      <c r="F41" s="15">
        <f t="shared" si="0"/>
        <v>98.72999999999999</v>
      </c>
    </row>
    <row r="42" spans="1:6">
      <c r="A42" s="12">
        <v>256779417238</v>
      </c>
      <c r="B42" s="13">
        <v>45904</v>
      </c>
      <c r="C42" s="14" t="s">
        <v>16</v>
      </c>
      <c r="D42" s="15">
        <v>608.78</v>
      </c>
      <c r="E42" s="15">
        <v>12.18</v>
      </c>
      <c r="F42" s="15">
        <f t="shared" si="0"/>
        <v>596.6</v>
      </c>
    </row>
    <row r="43" spans="1:6">
      <c r="A43" s="12">
        <v>256779417257</v>
      </c>
      <c r="B43" s="13">
        <v>45904</v>
      </c>
      <c r="C43" s="14" t="s">
        <v>16</v>
      </c>
      <c r="D43" s="15">
        <v>22.77</v>
      </c>
      <c r="E43" s="15">
        <v>0.46</v>
      </c>
      <c r="F43" s="15">
        <f t="shared" si="0"/>
        <v>22.31</v>
      </c>
    </row>
    <row r="44" spans="1:6">
      <c r="A44" s="12">
        <v>256779417517</v>
      </c>
      <c r="B44" s="13">
        <v>45918</v>
      </c>
      <c r="C44" s="14" t="s">
        <v>16</v>
      </c>
      <c r="D44" s="15">
        <v>4.68</v>
      </c>
      <c r="E44" s="15">
        <v>0.09</v>
      </c>
      <c r="F44" s="15">
        <f t="shared" si="0"/>
        <v>4.59</v>
      </c>
    </row>
    <row r="45" spans="1:6">
      <c r="A45" s="12">
        <v>256779417557</v>
      </c>
      <c r="B45" s="13">
        <v>45918</v>
      </c>
      <c r="C45" s="14" t="s">
        <v>16</v>
      </c>
      <c r="D45" s="15">
        <v>725.96</v>
      </c>
      <c r="E45" s="15">
        <v>14.52</v>
      </c>
      <c r="F45" s="15">
        <f t="shared" si="0"/>
        <v>711.44</v>
      </c>
    </row>
    <row r="46" spans="1:6">
      <c r="A46" s="51">
        <v>256779417580</v>
      </c>
      <c r="B46" s="52">
        <v>45918</v>
      </c>
      <c r="C46" s="53" t="s">
        <v>16</v>
      </c>
      <c r="D46" s="54">
        <v>184.38</v>
      </c>
      <c r="E46" s="54">
        <v>3.69</v>
      </c>
      <c r="F46" s="54">
        <f t="shared" si="0"/>
        <v>180.69</v>
      </c>
    </row>
    <row r="47" spans="1:6">
      <c r="A47" s="12">
        <v>256779417597</v>
      </c>
      <c r="B47" s="13">
        <v>45918</v>
      </c>
      <c r="C47" s="14" t="s">
        <v>16</v>
      </c>
      <c r="D47" s="15">
        <v>1055.04</v>
      </c>
      <c r="E47" s="15">
        <v>21.1</v>
      </c>
      <c r="F47" s="15">
        <f t="shared" si="0"/>
        <v>1033.94</v>
      </c>
    </row>
    <row r="48" spans="1:6">
      <c r="A48" s="12">
        <v>256779417744</v>
      </c>
      <c r="B48" s="13">
        <v>45922</v>
      </c>
      <c r="C48" s="14" t="s">
        <v>16</v>
      </c>
      <c r="D48" s="15">
        <v>870</v>
      </c>
      <c r="E48" s="15">
        <v>17.399999999999999</v>
      </c>
      <c r="F48" s="15">
        <f t="shared" si="0"/>
        <v>852.6</v>
      </c>
    </row>
    <row r="49" spans="1:6">
      <c r="A49" s="12">
        <v>256779417801</v>
      </c>
      <c r="B49" s="13">
        <v>45922</v>
      </c>
      <c r="C49" s="14" t="s">
        <v>16</v>
      </c>
      <c r="D49" s="15">
        <v>4755.47</v>
      </c>
      <c r="E49" s="15">
        <v>95.11</v>
      </c>
      <c r="F49" s="15">
        <f t="shared" si="0"/>
        <v>4660.3600000000006</v>
      </c>
    </row>
    <row r="50" spans="1:6">
      <c r="A50" s="12"/>
      <c r="B50" s="13"/>
      <c r="C50" s="14"/>
      <c r="D50" s="14"/>
      <c r="E50" s="14"/>
      <c r="F50" s="14"/>
    </row>
    <row r="51" spans="1:6" s="11" customFormat="1">
      <c r="A51" s="10" t="s">
        <v>17</v>
      </c>
      <c r="B51" s="9"/>
      <c r="C51" s="10"/>
      <c r="D51" s="19">
        <f>SUBTOTAL(9,D3:D49)</f>
        <v>21965.250000000004</v>
      </c>
      <c r="E51" s="19">
        <f>SUBTOTAL(9,E3:E49)</f>
        <v>439.30999999999995</v>
      </c>
      <c r="F51" s="19">
        <f>SUBTOTAL(9,F3:F49)</f>
        <v>21525.940000000002</v>
      </c>
    </row>
    <row r="53" spans="1:6">
      <c r="A53" s="11"/>
    </row>
    <row r="55" spans="1:6">
      <c r="D55" s="18"/>
    </row>
  </sheetData>
  <autoFilter ref="A2:F49" xr:uid="{808B0DE3-5BAF-46F9-AC23-B978635C2B30}"/>
  <mergeCells count="1">
    <mergeCell ref="A1:D1"/>
  </mergeCells>
  <conditionalFormatting sqref="A53">
    <cfRule type="duplicateValues" dxfId="2" priority="1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B3962-79DC-4C59-8827-27CBD1C849F3}">
  <dimension ref="A1:G85"/>
  <sheetViews>
    <sheetView workbookViewId="0">
      <pane ySplit="2" topLeftCell="A60" activePane="bottomLeft" state="frozen"/>
      <selection pane="bottomLeft" activeCell="F84" sqref="F84"/>
    </sheetView>
  </sheetViews>
  <sheetFormatPr defaultRowHeight="14.5"/>
  <cols>
    <col min="1" max="1" width="19.81640625" style="20" bestFit="1" customWidth="1"/>
    <col min="2" max="2" width="16" style="21" bestFit="1" customWidth="1"/>
    <col min="3" max="3" width="14.81640625" bestFit="1" customWidth="1"/>
    <col min="4" max="4" width="18.81640625" bestFit="1" customWidth="1"/>
    <col min="5" max="5" width="15.08984375" bestFit="1" customWidth="1"/>
    <col min="6" max="6" width="19.453125" bestFit="1" customWidth="1"/>
  </cols>
  <sheetData>
    <row r="1" spans="1:7">
      <c r="A1" s="61" t="s">
        <v>7</v>
      </c>
      <c r="B1" s="61"/>
      <c r="C1" s="61"/>
      <c r="D1" s="61"/>
    </row>
    <row r="2" spans="1:7" s="11" customFormat="1">
      <c r="A2" s="8" t="s">
        <v>8</v>
      </c>
      <c r="B2" s="9" t="s">
        <v>2</v>
      </c>
      <c r="C2" s="10" t="s">
        <v>4</v>
      </c>
      <c r="D2" s="35" t="s">
        <v>23</v>
      </c>
      <c r="E2" s="10" t="s">
        <v>9</v>
      </c>
      <c r="F2" s="35" t="s">
        <v>24</v>
      </c>
      <c r="G2"/>
    </row>
    <row r="3" spans="1:7">
      <c r="A3" s="12">
        <v>246779410311</v>
      </c>
      <c r="B3" s="13">
        <v>45708</v>
      </c>
      <c r="C3" s="14" t="s">
        <v>10</v>
      </c>
      <c r="D3" s="15">
        <v>95.24</v>
      </c>
      <c r="E3" s="16">
        <v>1.9000000000000057</v>
      </c>
      <c r="F3" s="16">
        <f t="shared" ref="F3:F34" si="0">D3-E3</f>
        <v>93.339999999999989</v>
      </c>
    </row>
    <row r="4" spans="1:7">
      <c r="A4" s="12">
        <v>246779413747</v>
      </c>
      <c r="B4" s="13">
        <v>45736</v>
      </c>
      <c r="C4" s="14" t="s">
        <v>11</v>
      </c>
      <c r="D4" s="15">
        <v>2.74</v>
      </c>
      <c r="E4" s="16">
        <v>4.9999999999999822E-2</v>
      </c>
      <c r="F4" s="16">
        <f t="shared" si="0"/>
        <v>2.6900000000000004</v>
      </c>
    </row>
    <row r="5" spans="1:7">
      <c r="A5" s="12">
        <v>256779413391</v>
      </c>
      <c r="B5" s="13">
        <v>45798</v>
      </c>
      <c r="C5" s="14" t="s">
        <v>13</v>
      </c>
      <c r="D5" s="15">
        <v>253.29</v>
      </c>
      <c r="E5" s="16">
        <v>5.0699999999999932</v>
      </c>
      <c r="F5" s="16">
        <f t="shared" si="0"/>
        <v>248.22</v>
      </c>
    </row>
    <row r="6" spans="1:7">
      <c r="A6" s="12">
        <v>256779413392</v>
      </c>
      <c r="B6" s="13">
        <v>45798</v>
      </c>
      <c r="C6" s="14" t="s">
        <v>13</v>
      </c>
      <c r="D6" s="15">
        <v>218.17</v>
      </c>
      <c r="E6" s="16">
        <v>4.3600000000000136</v>
      </c>
      <c r="F6" s="16">
        <f t="shared" si="0"/>
        <v>213.80999999999997</v>
      </c>
    </row>
    <row r="7" spans="1:7">
      <c r="A7" s="12">
        <v>256779415208</v>
      </c>
      <c r="B7" s="13">
        <v>45842</v>
      </c>
      <c r="C7" s="14" t="s">
        <v>14</v>
      </c>
      <c r="D7" s="15">
        <v>183.43</v>
      </c>
      <c r="E7" s="16">
        <v>3.6699999999999875</v>
      </c>
      <c r="F7" s="16">
        <f t="shared" si="0"/>
        <v>179.76000000000002</v>
      </c>
    </row>
    <row r="8" spans="1:7">
      <c r="A8" s="12">
        <v>256779415209</v>
      </c>
      <c r="B8" s="13">
        <v>45842</v>
      </c>
      <c r="C8" s="14" t="s">
        <v>14</v>
      </c>
      <c r="D8" s="15">
        <v>63.26</v>
      </c>
      <c r="E8" s="16">
        <v>1.2700000000000031</v>
      </c>
      <c r="F8" s="16">
        <f t="shared" si="0"/>
        <v>61.989999999999995</v>
      </c>
    </row>
    <row r="9" spans="1:7">
      <c r="A9" s="12">
        <v>256779415210</v>
      </c>
      <c r="B9" s="13">
        <v>45842</v>
      </c>
      <c r="C9" s="14" t="s">
        <v>14</v>
      </c>
      <c r="D9" s="15">
        <v>9629.6299999999992</v>
      </c>
      <c r="E9" s="16">
        <v>192.59000000000015</v>
      </c>
      <c r="F9" s="16">
        <f t="shared" si="0"/>
        <v>9437.0399999999991</v>
      </c>
    </row>
    <row r="10" spans="1:7">
      <c r="A10" s="12">
        <v>256779415270</v>
      </c>
      <c r="B10" s="13">
        <v>45842</v>
      </c>
      <c r="C10" s="14" t="s">
        <v>14</v>
      </c>
      <c r="D10" s="15">
        <v>420.86</v>
      </c>
      <c r="E10" s="16">
        <v>8.4200000000000159</v>
      </c>
      <c r="F10" s="16">
        <f t="shared" si="0"/>
        <v>412.44</v>
      </c>
    </row>
    <row r="11" spans="1:7">
      <c r="A11" s="8">
        <v>256779415291</v>
      </c>
      <c r="B11" s="13">
        <v>45848</v>
      </c>
      <c r="C11" s="14" t="s">
        <v>14</v>
      </c>
      <c r="D11" s="15">
        <v>24</v>
      </c>
      <c r="E11" s="16">
        <f>D11*2%</f>
        <v>0.48</v>
      </c>
      <c r="F11" s="16">
        <f t="shared" si="0"/>
        <v>23.52</v>
      </c>
    </row>
    <row r="12" spans="1:7">
      <c r="A12" s="12">
        <v>256779415292</v>
      </c>
      <c r="B12" s="13">
        <v>45848</v>
      </c>
      <c r="C12" s="14" t="s">
        <v>14</v>
      </c>
      <c r="D12" s="15">
        <v>24</v>
      </c>
      <c r="E12" s="16">
        <f>D12*2%</f>
        <v>0.48</v>
      </c>
      <c r="F12" s="16">
        <f t="shared" si="0"/>
        <v>23.52</v>
      </c>
    </row>
    <row r="13" spans="1:7">
      <c r="A13" s="8">
        <v>256779415293</v>
      </c>
      <c r="B13" s="13">
        <v>45848</v>
      </c>
      <c r="C13" s="14" t="s">
        <v>14</v>
      </c>
      <c r="D13" s="15">
        <v>24</v>
      </c>
      <c r="E13" s="16">
        <f>D13*2%</f>
        <v>0.48</v>
      </c>
      <c r="F13" s="16">
        <f t="shared" si="0"/>
        <v>23.52</v>
      </c>
    </row>
    <row r="14" spans="1:7">
      <c r="A14" s="12">
        <v>256779415294</v>
      </c>
      <c r="B14" s="13">
        <v>45848</v>
      </c>
      <c r="C14" s="14" t="s">
        <v>14</v>
      </c>
      <c r="D14" s="15">
        <v>24</v>
      </c>
      <c r="E14" s="16">
        <v>0.48000000000000043</v>
      </c>
      <c r="F14" s="16">
        <f t="shared" si="0"/>
        <v>23.52</v>
      </c>
    </row>
    <row r="15" spans="1:7">
      <c r="A15" s="12">
        <v>256779415295</v>
      </c>
      <c r="B15" s="13">
        <v>45848</v>
      </c>
      <c r="C15" s="14" t="s">
        <v>14</v>
      </c>
      <c r="D15" s="15">
        <v>24</v>
      </c>
      <c r="E15" s="16">
        <v>0.48000000000000043</v>
      </c>
      <c r="F15" s="16">
        <f t="shared" si="0"/>
        <v>23.52</v>
      </c>
    </row>
    <row r="16" spans="1:7">
      <c r="A16" s="12">
        <v>256779415297</v>
      </c>
      <c r="B16" s="13">
        <v>45848</v>
      </c>
      <c r="C16" s="14" t="s">
        <v>14</v>
      </c>
      <c r="D16" s="15">
        <v>24</v>
      </c>
      <c r="E16" s="16">
        <v>0.48000000000000043</v>
      </c>
      <c r="F16" s="16">
        <f t="shared" si="0"/>
        <v>23.52</v>
      </c>
    </row>
    <row r="17" spans="1:6">
      <c r="A17" s="12">
        <v>256779415298</v>
      </c>
      <c r="B17" s="13">
        <v>45848</v>
      </c>
      <c r="C17" s="14" t="s">
        <v>14</v>
      </c>
      <c r="D17" s="15">
        <v>24</v>
      </c>
      <c r="E17" s="16">
        <v>0.48000000000000043</v>
      </c>
      <c r="F17" s="16">
        <f t="shared" si="0"/>
        <v>23.52</v>
      </c>
    </row>
    <row r="18" spans="1:6">
      <c r="A18" s="12">
        <v>256779415299</v>
      </c>
      <c r="B18" s="13">
        <v>45848</v>
      </c>
      <c r="C18" s="14" t="s">
        <v>14</v>
      </c>
      <c r="D18" s="15">
        <v>24</v>
      </c>
      <c r="E18" s="16">
        <v>0.48000000000000043</v>
      </c>
      <c r="F18" s="16">
        <f t="shared" si="0"/>
        <v>23.52</v>
      </c>
    </row>
    <row r="19" spans="1:6">
      <c r="A19" s="12">
        <v>256779415300</v>
      </c>
      <c r="B19" s="13">
        <v>45848</v>
      </c>
      <c r="C19" s="14" t="s">
        <v>14</v>
      </c>
      <c r="D19" s="15">
        <v>24</v>
      </c>
      <c r="E19" s="16">
        <v>0.48000000000000043</v>
      </c>
      <c r="F19" s="16">
        <f t="shared" si="0"/>
        <v>23.52</v>
      </c>
    </row>
    <row r="20" spans="1:6">
      <c r="A20" s="12">
        <v>256779415310</v>
      </c>
      <c r="B20" s="13">
        <v>45848</v>
      </c>
      <c r="C20" s="14" t="s">
        <v>14</v>
      </c>
      <c r="D20" s="15">
        <v>30</v>
      </c>
      <c r="E20" s="16">
        <v>0.60000000000000142</v>
      </c>
      <c r="F20" s="16">
        <f t="shared" si="0"/>
        <v>29.4</v>
      </c>
    </row>
    <row r="21" spans="1:6">
      <c r="A21" s="12">
        <v>256779415314</v>
      </c>
      <c r="B21" s="13">
        <v>45848</v>
      </c>
      <c r="C21" s="14" t="s">
        <v>14</v>
      </c>
      <c r="D21" s="15">
        <v>179.14</v>
      </c>
      <c r="E21" s="16">
        <v>3.5800000000000125</v>
      </c>
      <c r="F21" s="16">
        <f t="shared" si="0"/>
        <v>175.55999999999997</v>
      </c>
    </row>
    <row r="22" spans="1:6">
      <c r="A22" s="12">
        <v>256779415315</v>
      </c>
      <c r="B22" s="13">
        <v>45848</v>
      </c>
      <c r="C22" s="14" t="s">
        <v>14</v>
      </c>
      <c r="D22" s="15">
        <v>120</v>
      </c>
      <c r="E22" s="16">
        <v>2.4000000000000057</v>
      </c>
      <c r="F22" s="16">
        <f t="shared" si="0"/>
        <v>117.6</v>
      </c>
    </row>
    <row r="23" spans="1:6">
      <c r="A23" s="12">
        <v>256779415316</v>
      </c>
      <c r="B23" s="13">
        <v>45848</v>
      </c>
      <c r="C23" s="14" t="s">
        <v>14</v>
      </c>
      <c r="D23" s="15">
        <v>60</v>
      </c>
      <c r="E23" s="16">
        <v>1.2000000000000028</v>
      </c>
      <c r="F23" s="16">
        <f t="shared" si="0"/>
        <v>58.8</v>
      </c>
    </row>
    <row r="24" spans="1:6">
      <c r="A24" s="12">
        <v>256779415317</v>
      </c>
      <c r="B24" s="13">
        <v>45848</v>
      </c>
      <c r="C24" s="14" t="s">
        <v>14</v>
      </c>
      <c r="D24" s="15">
        <v>200</v>
      </c>
      <c r="E24" s="16">
        <v>4</v>
      </c>
      <c r="F24" s="16">
        <f t="shared" si="0"/>
        <v>196</v>
      </c>
    </row>
    <row r="25" spans="1:6">
      <c r="A25" s="12">
        <v>256779415318</v>
      </c>
      <c r="B25" s="13">
        <v>45848</v>
      </c>
      <c r="C25" s="14" t="s">
        <v>14</v>
      </c>
      <c r="D25" s="15">
        <v>254.65</v>
      </c>
      <c r="E25" s="16">
        <v>5.0900000000000034</v>
      </c>
      <c r="F25" s="16">
        <f t="shared" si="0"/>
        <v>249.56</v>
      </c>
    </row>
    <row r="26" spans="1:6">
      <c r="A26" s="12">
        <v>256779415326</v>
      </c>
      <c r="B26" s="13">
        <v>45848</v>
      </c>
      <c r="C26" s="14" t="s">
        <v>14</v>
      </c>
      <c r="D26" s="15">
        <v>185.05</v>
      </c>
      <c r="E26" s="16">
        <v>3.6999999999999886</v>
      </c>
      <c r="F26" s="16">
        <f t="shared" si="0"/>
        <v>181.35000000000002</v>
      </c>
    </row>
    <row r="27" spans="1:6">
      <c r="A27" s="12">
        <v>256779415333</v>
      </c>
      <c r="B27" s="13">
        <v>45848</v>
      </c>
      <c r="C27" s="14" t="s">
        <v>14</v>
      </c>
      <c r="D27" s="15">
        <v>22.5</v>
      </c>
      <c r="E27" s="16">
        <v>0.44999999999999929</v>
      </c>
      <c r="F27" s="16">
        <f t="shared" si="0"/>
        <v>22.05</v>
      </c>
    </row>
    <row r="28" spans="1:6">
      <c r="A28" s="12">
        <v>256779415334</v>
      </c>
      <c r="B28" s="13">
        <v>45848</v>
      </c>
      <c r="C28" s="14" t="s">
        <v>14</v>
      </c>
      <c r="D28" s="15">
        <v>22.5</v>
      </c>
      <c r="E28" s="16">
        <v>0.44999999999999929</v>
      </c>
      <c r="F28" s="16">
        <f t="shared" si="0"/>
        <v>22.05</v>
      </c>
    </row>
    <row r="29" spans="1:6">
      <c r="A29" s="12">
        <v>256779415335</v>
      </c>
      <c r="B29" s="13">
        <v>45848</v>
      </c>
      <c r="C29" s="14" t="s">
        <v>14</v>
      </c>
      <c r="D29" s="15">
        <v>25</v>
      </c>
      <c r="E29" s="16">
        <v>0.5</v>
      </c>
      <c r="F29" s="16">
        <f t="shared" si="0"/>
        <v>24.5</v>
      </c>
    </row>
    <row r="30" spans="1:6">
      <c r="A30" s="12">
        <v>256779415336</v>
      </c>
      <c r="B30" s="13">
        <v>45848</v>
      </c>
      <c r="C30" s="14" t="s">
        <v>14</v>
      </c>
      <c r="D30" s="15">
        <v>5</v>
      </c>
      <c r="E30" s="16">
        <v>9.9999999999999645E-2</v>
      </c>
      <c r="F30" s="16">
        <f t="shared" si="0"/>
        <v>4.9000000000000004</v>
      </c>
    </row>
    <row r="31" spans="1:6">
      <c r="A31" s="12">
        <v>256779415337</v>
      </c>
      <c r="B31" s="13">
        <v>45848</v>
      </c>
      <c r="C31" s="14" t="s">
        <v>14</v>
      </c>
      <c r="D31" s="15">
        <v>17.5</v>
      </c>
      <c r="E31" s="16">
        <v>0.35000000000000142</v>
      </c>
      <c r="F31" s="16">
        <f t="shared" si="0"/>
        <v>17.149999999999999</v>
      </c>
    </row>
    <row r="32" spans="1:6">
      <c r="A32" s="12">
        <v>256779415338</v>
      </c>
      <c r="B32" s="13">
        <v>45848</v>
      </c>
      <c r="C32" s="14" t="s">
        <v>14</v>
      </c>
      <c r="D32" s="15">
        <v>12.5</v>
      </c>
      <c r="E32" s="16">
        <v>0.25</v>
      </c>
      <c r="F32" s="16">
        <f t="shared" si="0"/>
        <v>12.25</v>
      </c>
    </row>
    <row r="33" spans="1:6">
      <c r="A33" s="12">
        <v>256779415340</v>
      </c>
      <c r="B33" s="13">
        <v>45848</v>
      </c>
      <c r="C33" s="14" t="s">
        <v>14</v>
      </c>
      <c r="D33" s="15">
        <v>25.84</v>
      </c>
      <c r="E33" s="16">
        <v>0.51999999999999957</v>
      </c>
      <c r="F33" s="16">
        <f t="shared" si="0"/>
        <v>25.32</v>
      </c>
    </row>
    <row r="34" spans="1:6">
      <c r="A34" s="12">
        <v>256779415341</v>
      </c>
      <c r="B34" s="13">
        <v>45848</v>
      </c>
      <c r="C34" s="14" t="s">
        <v>14</v>
      </c>
      <c r="D34" s="15">
        <v>15</v>
      </c>
      <c r="E34" s="16">
        <v>0.30000000000000071</v>
      </c>
      <c r="F34" s="16">
        <f t="shared" si="0"/>
        <v>14.7</v>
      </c>
    </row>
    <row r="35" spans="1:6">
      <c r="A35" s="12">
        <v>256779415342</v>
      </c>
      <c r="B35" s="13">
        <v>45848</v>
      </c>
      <c r="C35" s="14" t="s">
        <v>14</v>
      </c>
      <c r="D35" s="15">
        <v>2.5</v>
      </c>
      <c r="E35" s="16">
        <v>4.9999999999999822E-2</v>
      </c>
      <c r="F35" s="16">
        <f t="shared" ref="F35:F66" si="1">D35-E35</f>
        <v>2.4500000000000002</v>
      </c>
    </row>
    <row r="36" spans="1:6">
      <c r="A36" s="12">
        <v>256779415343</v>
      </c>
      <c r="B36" s="13">
        <v>45848</v>
      </c>
      <c r="C36" s="14" t="s">
        <v>14</v>
      </c>
      <c r="D36" s="15">
        <v>1</v>
      </c>
      <c r="E36" s="16">
        <v>2.0000000000000018E-2</v>
      </c>
      <c r="F36" s="16">
        <f t="shared" si="1"/>
        <v>0.98</v>
      </c>
    </row>
    <row r="37" spans="1:6">
      <c r="A37" s="12">
        <v>256779415344</v>
      </c>
      <c r="B37" s="13">
        <v>45848</v>
      </c>
      <c r="C37" s="14" t="s">
        <v>14</v>
      </c>
      <c r="D37" s="15">
        <v>25</v>
      </c>
      <c r="E37" s="16">
        <v>0.5</v>
      </c>
      <c r="F37" s="16">
        <f t="shared" si="1"/>
        <v>24.5</v>
      </c>
    </row>
    <row r="38" spans="1:6">
      <c r="A38" s="12">
        <v>256779415345</v>
      </c>
      <c r="B38" s="13">
        <v>45848</v>
      </c>
      <c r="C38" s="14" t="s">
        <v>14</v>
      </c>
      <c r="D38" s="15">
        <v>25</v>
      </c>
      <c r="E38" s="16">
        <v>0.5</v>
      </c>
      <c r="F38" s="16">
        <f t="shared" si="1"/>
        <v>24.5</v>
      </c>
    </row>
    <row r="39" spans="1:6">
      <c r="A39" s="12">
        <v>256779415346</v>
      </c>
      <c r="B39" s="13">
        <v>45848</v>
      </c>
      <c r="C39" s="14" t="s">
        <v>14</v>
      </c>
      <c r="D39" s="15">
        <v>17.5</v>
      </c>
      <c r="E39" s="16">
        <v>0.35000000000000142</v>
      </c>
      <c r="F39" s="16">
        <f t="shared" si="1"/>
        <v>17.149999999999999</v>
      </c>
    </row>
    <row r="40" spans="1:6">
      <c r="A40" s="12">
        <v>256779415347</v>
      </c>
      <c r="B40" s="13">
        <v>45848</v>
      </c>
      <c r="C40" s="14" t="s">
        <v>14</v>
      </c>
      <c r="D40" s="15">
        <v>20</v>
      </c>
      <c r="E40" s="16">
        <v>0.39999999999999858</v>
      </c>
      <c r="F40" s="16">
        <f t="shared" si="1"/>
        <v>19.600000000000001</v>
      </c>
    </row>
    <row r="41" spans="1:6">
      <c r="A41" s="12">
        <v>256779415348</v>
      </c>
      <c r="B41" s="13">
        <v>45848</v>
      </c>
      <c r="C41" s="14" t="s">
        <v>14</v>
      </c>
      <c r="D41" s="15">
        <v>7.5</v>
      </c>
      <c r="E41" s="16">
        <v>0.15000000000000036</v>
      </c>
      <c r="F41" s="16">
        <f t="shared" si="1"/>
        <v>7.35</v>
      </c>
    </row>
    <row r="42" spans="1:6">
      <c r="A42" s="12">
        <v>256779415349</v>
      </c>
      <c r="B42" s="13">
        <v>45848</v>
      </c>
      <c r="C42" s="14" t="s">
        <v>14</v>
      </c>
      <c r="D42" s="15">
        <v>27.5</v>
      </c>
      <c r="E42" s="16">
        <v>0.55000000000000071</v>
      </c>
      <c r="F42" s="16">
        <f t="shared" si="1"/>
        <v>26.95</v>
      </c>
    </row>
    <row r="43" spans="1:6">
      <c r="A43" s="12">
        <v>256779415350</v>
      </c>
      <c r="B43" s="13">
        <v>45848</v>
      </c>
      <c r="C43" s="14" t="s">
        <v>14</v>
      </c>
      <c r="D43" s="15">
        <v>22.5</v>
      </c>
      <c r="E43" s="16">
        <v>0.44999999999999929</v>
      </c>
      <c r="F43" s="16">
        <f t="shared" si="1"/>
        <v>22.05</v>
      </c>
    </row>
    <row r="44" spans="1:6">
      <c r="A44" s="12">
        <v>256779415352</v>
      </c>
      <c r="B44" s="13">
        <v>45848</v>
      </c>
      <c r="C44" s="14" t="s">
        <v>14</v>
      </c>
      <c r="D44" s="15">
        <v>155.91999999999999</v>
      </c>
      <c r="E44" s="16">
        <v>3.1200000000000045</v>
      </c>
      <c r="F44" s="16">
        <f t="shared" si="1"/>
        <v>152.79999999999998</v>
      </c>
    </row>
    <row r="45" spans="1:6">
      <c r="A45" s="12">
        <v>256779415355</v>
      </c>
      <c r="B45" s="13">
        <v>45848</v>
      </c>
      <c r="C45" s="14" t="s">
        <v>14</v>
      </c>
      <c r="D45" s="15">
        <v>21.37</v>
      </c>
      <c r="E45" s="16">
        <v>0.42999999999999972</v>
      </c>
      <c r="F45" s="16">
        <f t="shared" si="1"/>
        <v>20.94</v>
      </c>
    </row>
    <row r="46" spans="1:6">
      <c r="A46" s="12">
        <v>256779415356</v>
      </c>
      <c r="B46" s="13">
        <v>45848</v>
      </c>
      <c r="C46" s="14" t="s">
        <v>14</v>
      </c>
      <c r="D46" s="15">
        <v>72</v>
      </c>
      <c r="E46" s="16">
        <v>1.4399999999999977</v>
      </c>
      <c r="F46" s="16">
        <f t="shared" si="1"/>
        <v>70.56</v>
      </c>
    </row>
    <row r="47" spans="1:6">
      <c r="A47" s="12">
        <v>256779415357</v>
      </c>
      <c r="B47" s="13">
        <v>45848</v>
      </c>
      <c r="C47" s="14" t="s">
        <v>14</v>
      </c>
      <c r="D47" s="15">
        <v>207.27</v>
      </c>
      <c r="E47" s="16">
        <v>4.1500000000000057</v>
      </c>
      <c r="F47" s="16">
        <f t="shared" si="1"/>
        <v>203.12</v>
      </c>
    </row>
    <row r="48" spans="1:6">
      <c r="A48" s="12">
        <v>256779415358</v>
      </c>
      <c r="B48" s="13">
        <v>45848</v>
      </c>
      <c r="C48" s="14" t="s">
        <v>14</v>
      </c>
      <c r="D48" s="15">
        <v>96</v>
      </c>
      <c r="E48" s="16">
        <v>1.9200000000000017</v>
      </c>
      <c r="F48" s="16">
        <f t="shared" si="1"/>
        <v>94.08</v>
      </c>
    </row>
    <row r="49" spans="1:6">
      <c r="A49" s="12">
        <v>256779415359</v>
      </c>
      <c r="B49" s="13">
        <v>45848</v>
      </c>
      <c r="C49" s="14" t="s">
        <v>14</v>
      </c>
      <c r="D49" s="15">
        <v>200</v>
      </c>
      <c r="E49" s="16">
        <v>4</v>
      </c>
      <c r="F49" s="16">
        <f t="shared" si="1"/>
        <v>196</v>
      </c>
    </row>
    <row r="50" spans="1:6">
      <c r="A50" s="12">
        <v>256779415360</v>
      </c>
      <c r="B50" s="13">
        <v>45848</v>
      </c>
      <c r="C50" s="14" t="s">
        <v>14</v>
      </c>
      <c r="D50" s="15">
        <v>60</v>
      </c>
      <c r="E50" s="16">
        <v>1.2000000000000028</v>
      </c>
      <c r="F50" s="16">
        <f t="shared" si="1"/>
        <v>58.8</v>
      </c>
    </row>
    <row r="51" spans="1:6">
      <c r="A51" s="12">
        <v>256779415361</v>
      </c>
      <c r="B51" s="13">
        <v>45848</v>
      </c>
      <c r="C51" s="14" t="s">
        <v>14</v>
      </c>
      <c r="D51" s="15">
        <v>67.5</v>
      </c>
      <c r="E51" s="16">
        <v>1.3499999999999943</v>
      </c>
      <c r="F51" s="16">
        <f t="shared" si="1"/>
        <v>66.150000000000006</v>
      </c>
    </row>
    <row r="52" spans="1:6">
      <c r="A52" s="12">
        <v>256779415362</v>
      </c>
      <c r="B52" s="13">
        <v>45848</v>
      </c>
      <c r="C52" s="14" t="s">
        <v>14</v>
      </c>
      <c r="D52" s="15">
        <v>3</v>
      </c>
      <c r="E52" s="16">
        <v>6.0000000000000053E-2</v>
      </c>
      <c r="F52" s="16">
        <f t="shared" si="1"/>
        <v>2.94</v>
      </c>
    </row>
    <row r="53" spans="1:6">
      <c r="A53" s="12">
        <v>256779415364</v>
      </c>
      <c r="B53" s="13">
        <v>45848</v>
      </c>
      <c r="C53" s="14" t="s">
        <v>14</v>
      </c>
      <c r="D53" s="15">
        <v>200</v>
      </c>
      <c r="E53" s="16">
        <v>4</v>
      </c>
      <c r="F53" s="16">
        <f t="shared" si="1"/>
        <v>196</v>
      </c>
    </row>
    <row r="54" spans="1:6">
      <c r="A54" s="12">
        <v>256779415369</v>
      </c>
      <c r="B54" s="13">
        <v>45848</v>
      </c>
      <c r="C54" s="14" t="s">
        <v>14</v>
      </c>
      <c r="D54" s="15">
        <v>3</v>
      </c>
      <c r="E54" s="16">
        <v>6.0000000000000053E-2</v>
      </c>
      <c r="F54" s="16">
        <f t="shared" si="1"/>
        <v>2.94</v>
      </c>
    </row>
    <row r="55" spans="1:6">
      <c r="A55" s="12">
        <v>256779415370</v>
      </c>
      <c r="B55" s="13">
        <v>45848</v>
      </c>
      <c r="C55" s="14" t="s">
        <v>14</v>
      </c>
      <c r="D55" s="15">
        <v>72</v>
      </c>
      <c r="E55" s="16">
        <v>1.4399999999999977</v>
      </c>
      <c r="F55" s="16">
        <f t="shared" si="1"/>
        <v>70.56</v>
      </c>
    </row>
    <row r="56" spans="1:6">
      <c r="A56" s="12">
        <v>256779415371</v>
      </c>
      <c r="B56" s="13">
        <v>45848</v>
      </c>
      <c r="C56" s="14" t="s">
        <v>14</v>
      </c>
      <c r="D56" s="15">
        <v>43.32</v>
      </c>
      <c r="E56" s="16">
        <v>0.86999999999999744</v>
      </c>
      <c r="F56" s="16">
        <f t="shared" si="1"/>
        <v>42.45</v>
      </c>
    </row>
    <row r="57" spans="1:6">
      <c r="A57" s="12">
        <v>256779415372</v>
      </c>
      <c r="B57" s="13">
        <v>45848</v>
      </c>
      <c r="C57" s="14" t="s">
        <v>14</v>
      </c>
      <c r="D57" s="15">
        <v>155.38</v>
      </c>
      <c r="E57" s="16">
        <v>3.1100000000000136</v>
      </c>
      <c r="F57" s="16">
        <f t="shared" si="1"/>
        <v>152.26999999999998</v>
      </c>
    </row>
    <row r="58" spans="1:6">
      <c r="A58" s="12">
        <v>256779415373</v>
      </c>
      <c r="B58" s="13">
        <v>45848</v>
      </c>
      <c r="C58" s="14" t="s">
        <v>14</v>
      </c>
      <c r="D58" s="15">
        <v>2.63</v>
      </c>
      <c r="E58" s="16">
        <v>4.9999999999999822E-2</v>
      </c>
      <c r="F58" s="16">
        <f t="shared" si="1"/>
        <v>2.58</v>
      </c>
    </row>
    <row r="59" spans="1:6">
      <c r="A59" s="8">
        <v>256779415374</v>
      </c>
      <c r="B59" s="13">
        <v>45848</v>
      </c>
      <c r="C59" s="14" t="s">
        <v>14</v>
      </c>
      <c r="D59" s="15">
        <v>469.38</v>
      </c>
      <c r="E59" s="16">
        <f>D59*2%</f>
        <v>9.3876000000000008</v>
      </c>
      <c r="F59" s="16">
        <f t="shared" si="1"/>
        <v>459.99239999999998</v>
      </c>
    </row>
    <row r="60" spans="1:6">
      <c r="A60" s="12">
        <v>256779415375</v>
      </c>
      <c r="B60" s="13">
        <v>45848</v>
      </c>
      <c r="C60" s="14" t="s">
        <v>14</v>
      </c>
      <c r="D60" s="15">
        <v>360</v>
      </c>
      <c r="E60" s="16">
        <v>7.1999999999999886</v>
      </c>
      <c r="F60" s="16">
        <f t="shared" si="1"/>
        <v>352.8</v>
      </c>
    </row>
    <row r="61" spans="1:6">
      <c r="A61" s="12">
        <v>256779415376</v>
      </c>
      <c r="B61" s="13">
        <v>45848</v>
      </c>
      <c r="C61" s="14" t="s">
        <v>14</v>
      </c>
      <c r="D61" s="15">
        <v>60</v>
      </c>
      <c r="E61" s="16">
        <v>1.2000000000000028</v>
      </c>
      <c r="F61" s="16">
        <f t="shared" si="1"/>
        <v>58.8</v>
      </c>
    </row>
    <row r="62" spans="1:6">
      <c r="A62" s="12">
        <v>256779415377</v>
      </c>
      <c r="B62" s="13">
        <v>45848</v>
      </c>
      <c r="C62" s="14" t="s">
        <v>14</v>
      </c>
      <c r="D62" s="15">
        <v>50</v>
      </c>
      <c r="E62" s="16">
        <v>1</v>
      </c>
      <c r="F62" s="16">
        <f t="shared" si="1"/>
        <v>49</v>
      </c>
    </row>
    <row r="63" spans="1:6">
      <c r="A63" s="12">
        <v>256779415378</v>
      </c>
      <c r="B63" s="13">
        <v>45848</v>
      </c>
      <c r="C63" s="14" t="s">
        <v>14</v>
      </c>
      <c r="D63" s="15">
        <v>120</v>
      </c>
      <c r="E63" s="16">
        <v>2.4000000000000057</v>
      </c>
      <c r="F63" s="16">
        <f t="shared" si="1"/>
        <v>117.6</v>
      </c>
    </row>
    <row r="64" spans="1:6">
      <c r="A64" s="12">
        <v>256779415379</v>
      </c>
      <c r="B64" s="13">
        <v>45848</v>
      </c>
      <c r="C64" s="14" t="s">
        <v>14</v>
      </c>
      <c r="D64" s="15">
        <v>233.11</v>
      </c>
      <c r="E64" s="16">
        <v>4.6599999999999966</v>
      </c>
      <c r="F64" s="16">
        <f t="shared" si="1"/>
        <v>228.45000000000002</v>
      </c>
    </row>
    <row r="65" spans="1:6">
      <c r="A65" s="12">
        <v>256779415380</v>
      </c>
      <c r="B65" s="13">
        <v>45848</v>
      </c>
      <c r="C65" s="14" t="s">
        <v>14</v>
      </c>
      <c r="D65" s="15">
        <v>200</v>
      </c>
      <c r="E65" s="16">
        <v>4</v>
      </c>
      <c r="F65" s="16">
        <f t="shared" si="1"/>
        <v>196</v>
      </c>
    </row>
    <row r="66" spans="1:6">
      <c r="A66" s="12">
        <v>256779415381</v>
      </c>
      <c r="B66" s="13">
        <v>45848</v>
      </c>
      <c r="C66" s="14" t="s">
        <v>14</v>
      </c>
      <c r="D66" s="15">
        <v>60</v>
      </c>
      <c r="E66" s="16">
        <v>1.2000000000000028</v>
      </c>
      <c r="F66" s="16">
        <f t="shared" si="1"/>
        <v>58.8</v>
      </c>
    </row>
    <row r="67" spans="1:6">
      <c r="A67" s="12">
        <v>256779415382</v>
      </c>
      <c r="B67" s="13">
        <v>45848</v>
      </c>
      <c r="C67" s="14" t="s">
        <v>14</v>
      </c>
      <c r="D67" s="15">
        <v>117.64</v>
      </c>
      <c r="E67" s="16">
        <v>2.3499999999999943</v>
      </c>
      <c r="F67" s="16">
        <f t="shared" ref="F67:F79" si="2">D67-E67</f>
        <v>115.29</v>
      </c>
    </row>
    <row r="68" spans="1:6">
      <c r="A68" s="12">
        <v>256779415383</v>
      </c>
      <c r="B68" s="13">
        <v>45848</v>
      </c>
      <c r="C68" s="14" t="s">
        <v>14</v>
      </c>
      <c r="D68" s="15">
        <v>155.80000000000001</v>
      </c>
      <c r="E68" s="16">
        <v>3.1200000000000045</v>
      </c>
      <c r="F68" s="16">
        <f t="shared" si="2"/>
        <v>152.68</v>
      </c>
    </row>
    <row r="69" spans="1:6">
      <c r="A69" s="12">
        <v>256779415384</v>
      </c>
      <c r="B69" s="13">
        <v>45848</v>
      </c>
      <c r="C69" s="14" t="s">
        <v>14</v>
      </c>
      <c r="D69" s="15">
        <v>350</v>
      </c>
      <c r="E69" s="16">
        <v>7</v>
      </c>
      <c r="F69" s="16">
        <f t="shared" si="2"/>
        <v>343</v>
      </c>
    </row>
    <row r="70" spans="1:6">
      <c r="A70" s="8">
        <v>256779415385</v>
      </c>
      <c r="B70" s="13">
        <v>45848</v>
      </c>
      <c r="C70" s="14" t="s">
        <v>14</v>
      </c>
      <c r="D70" s="15">
        <v>24</v>
      </c>
      <c r="E70" s="16">
        <f>D70*2%</f>
        <v>0.48</v>
      </c>
      <c r="F70" s="16">
        <f t="shared" si="2"/>
        <v>23.52</v>
      </c>
    </row>
    <row r="71" spans="1:6">
      <c r="A71" s="12">
        <v>256779415386</v>
      </c>
      <c r="B71" s="13">
        <v>45848</v>
      </c>
      <c r="C71" s="14" t="s">
        <v>14</v>
      </c>
      <c r="D71" s="15">
        <v>7.5</v>
      </c>
      <c r="E71" s="16">
        <v>0.15000000000000036</v>
      </c>
      <c r="F71" s="16">
        <f t="shared" si="2"/>
        <v>7.35</v>
      </c>
    </row>
    <row r="72" spans="1:6">
      <c r="A72" s="12">
        <v>256779415388</v>
      </c>
      <c r="B72" s="13">
        <v>45848</v>
      </c>
      <c r="C72" s="14" t="s">
        <v>14</v>
      </c>
      <c r="D72" s="15">
        <v>2261.63</v>
      </c>
      <c r="E72" s="16">
        <v>45.230000000000018</v>
      </c>
      <c r="F72" s="16">
        <f t="shared" si="2"/>
        <v>2216.4</v>
      </c>
    </row>
    <row r="73" spans="1:6">
      <c r="A73" s="12">
        <v>256779415389</v>
      </c>
      <c r="B73" s="13">
        <v>45848</v>
      </c>
      <c r="C73" s="14" t="s">
        <v>14</v>
      </c>
      <c r="D73" s="15">
        <v>170.62</v>
      </c>
      <c r="E73" s="16">
        <v>3.4099999999999966</v>
      </c>
      <c r="F73" s="16">
        <f t="shared" si="2"/>
        <v>167.21</v>
      </c>
    </row>
    <row r="74" spans="1:6">
      <c r="A74" s="12">
        <v>256779415390</v>
      </c>
      <c r="B74" s="13">
        <v>45848</v>
      </c>
      <c r="C74" s="14" t="s">
        <v>14</v>
      </c>
      <c r="D74" s="15">
        <v>110.96</v>
      </c>
      <c r="E74" s="16">
        <v>2.2199999999999989</v>
      </c>
      <c r="F74" s="16">
        <f t="shared" si="2"/>
        <v>108.74</v>
      </c>
    </row>
    <row r="75" spans="1:6">
      <c r="A75" s="12">
        <v>256779415391</v>
      </c>
      <c r="B75" s="13">
        <v>45848</v>
      </c>
      <c r="C75" s="14" t="s">
        <v>14</v>
      </c>
      <c r="D75" s="15">
        <v>820.07</v>
      </c>
      <c r="E75" s="16">
        <v>16.399999999999977</v>
      </c>
      <c r="F75" s="16">
        <f t="shared" si="2"/>
        <v>803.67000000000007</v>
      </c>
    </row>
    <row r="76" spans="1:6">
      <c r="A76" s="12">
        <v>256779415392</v>
      </c>
      <c r="B76" s="13">
        <v>45848</v>
      </c>
      <c r="C76" s="14" t="s">
        <v>14</v>
      </c>
      <c r="D76" s="15">
        <v>200</v>
      </c>
      <c r="E76" s="16">
        <v>4</v>
      </c>
      <c r="F76" s="16">
        <f t="shared" si="2"/>
        <v>196</v>
      </c>
    </row>
    <row r="77" spans="1:6">
      <c r="A77" s="12">
        <v>256779415393</v>
      </c>
      <c r="B77" s="13">
        <v>45848</v>
      </c>
      <c r="C77" s="14" t="s">
        <v>14</v>
      </c>
      <c r="D77" s="15">
        <v>60</v>
      </c>
      <c r="E77" s="16">
        <v>1.2000000000000028</v>
      </c>
      <c r="F77" s="16">
        <f t="shared" si="2"/>
        <v>58.8</v>
      </c>
    </row>
    <row r="78" spans="1:6">
      <c r="A78" s="12">
        <v>256779415394</v>
      </c>
      <c r="B78" s="13">
        <v>45848</v>
      </c>
      <c r="C78" s="14" t="s">
        <v>14</v>
      </c>
      <c r="D78" s="15">
        <v>96</v>
      </c>
      <c r="E78" s="16">
        <v>1.9200000000000017</v>
      </c>
      <c r="F78" s="16">
        <f t="shared" si="2"/>
        <v>94.08</v>
      </c>
    </row>
    <row r="79" spans="1:6">
      <c r="A79" s="12">
        <v>256779415395</v>
      </c>
      <c r="B79" s="13">
        <v>45848</v>
      </c>
      <c r="C79" s="14" t="s">
        <v>14</v>
      </c>
      <c r="D79" s="15">
        <v>205.72</v>
      </c>
      <c r="E79" s="16">
        <v>4.1100000000000136</v>
      </c>
      <c r="F79" s="16">
        <f t="shared" si="2"/>
        <v>201.60999999999999</v>
      </c>
    </row>
    <row r="80" spans="1:6">
      <c r="A80" s="30"/>
      <c r="B80" s="31"/>
      <c r="C80" s="32"/>
      <c r="D80" s="33"/>
      <c r="E80" s="32"/>
      <c r="F80" s="32"/>
    </row>
    <row r="81" spans="1:6" s="11" customFormat="1">
      <c r="A81" s="10" t="s">
        <v>39</v>
      </c>
      <c r="B81" s="9"/>
      <c r="C81" s="10"/>
      <c r="D81" s="23">
        <f t="shared" ref="D81:F81" si="3">SUBTOTAL(9,D3:D79)</f>
        <v>19897.619999999995</v>
      </c>
      <c r="E81" s="23">
        <f t="shared" si="3"/>
        <v>397.94760000000008</v>
      </c>
      <c r="F81" s="23">
        <f t="shared" si="3"/>
        <v>19499.672400000007</v>
      </c>
    </row>
    <row r="82" spans="1:6">
      <c r="D82" s="22"/>
    </row>
    <row r="83" spans="1:6">
      <c r="A83" s="11"/>
      <c r="D83" s="18"/>
      <c r="F83" s="28"/>
    </row>
    <row r="84" spans="1:6">
      <c r="A84" s="29"/>
      <c r="F84" s="18"/>
    </row>
    <row r="85" spans="1:6">
      <c r="A85" s="29"/>
      <c r="D85" s="18"/>
    </row>
  </sheetData>
  <autoFilter ref="A2:F79" xr:uid="{C53F14EF-E5C7-4709-9219-EF1208D162EB}"/>
  <mergeCells count="1">
    <mergeCell ref="A1:D1"/>
  </mergeCells>
  <conditionalFormatting sqref="A83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4D883-237A-4D8F-9C79-6E15C91D753F}">
  <dimension ref="A1:G70"/>
  <sheetViews>
    <sheetView workbookViewId="0">
      <pane ySplit="1" topLeftCell="A54" activePane="bottomLeft" state="frozen"/>
      <selection pane="bottomLeft" activeCell="A66" sqref="A66:B66"/>
    </sheetView>
  </sheetViews>
  <sheetFormatPr defaultRowHeight="14.5"/>
  <cols>
    <col min="1" max="1" width="36.6328125" bestFit="1" customWidth="1"/>
    <col min="2" max="2" width="13.90625" bestFit="1" customWidth="1"/>
    <col min="3" max="3" width="8.1796875" bestFit="1" customWidth="1"/>
    <col min="4" max="4" width="19.90625" bestFit="1" customWidth="1"/>
    <col min="5" max="6" width="19.90625" customWidth="1"/>
  </cols>
  <sheetData>
    <row r="1" spans="1:7" s="1" customFormat="1" ht="32" customHeight="1">
      <c r="A1" s="34" t="s">
        <v>1</v>
      </c>
      <c r="B1" s="34" t="s">
        <v>2</v>
      </c>
      <c r="C1" s="34" t="s">
        <v>3</v>
      </c>
      <c r="D1" s="35" t="s">
        <v>23</v>
      </c>
      <c r="E1" s="45" t="s">
        <v>19</v>
      </c>
      <c r="F1" s="35" t="s">
        <v>24</v>
      </c>
    </row>
    <row r="2" spans="1:7" s="6" customFormat="1">
      <c r="A2" s="3">
        <v>246779410010</v>
      </c>
      <c r="B2" s="4">
        <v>45708</v>
      </c>
      <c r="C2" s="2" t="s">
        <v>6</v>
      </c>
      <c r="D2" s="5">
        <v>2380.9499999999998</v>
      </c>
      <c r="E2" s="5">
        <f>D2*2%</f>
        <v>47.619</v>
      </c>
      <c r="F2" s="5">
        <f>D2-E2</f>
        <v>2333.3309999999997</v>
      </c>
      <c r="G2" s="44"/>
    </row>
    <row r="3" spans="1:7" s="6" customFormat="1">
      <c r="A3" s="3">
        <v>246779410030</v>
      </c>
      <c r="B3" s="4">
        <v>45708</v>
      </c>
      <c r="C3" s="2" t="s">
        <v>6</v>
      </c>
      <c r="D3" s="5">
        <v>2380.9499999999998</v>
      </c>
      <c r="E3" s="5">
        <f t="shared" ref="E3:E64" si="0">D3*2%</f>
        <v>47.619</v>
      </c>
      <c r="F3" s="5">
        <f t="shared" ref="F3:F66" si="1">D3-E3</f>
        <v>2333.3309999999997</v>
      </c>
    </row>
    <row r="4" spans="1:7" s="6" customFormat="1">
      <c r="A4" s="3">
        <v>246779410063</v>
      </c>
      <c r="B4" s="4">
        <v>45708</v>
      </c>
      <c r="C4" s="2" t="s">
        <v>6</v>
      </c>
      <c r="D4" s="5">
        <v>95.24</v>
      </c>
      <c r="E4" s="5">
        <f t="shared" si="0"/>
        <v>1.9047999999999998</v>
      </c>
      <c r="F4" s="5">
        <f t="shared" si="1"/>
        <v>93.3352</v>
      </c>
    </row>
    <row r="5" spans="1:7" s="6" customFormat="1">
      <c r="A5" s="3">
        <v>246779410064</v>
      </c>
      <c r="B5" s="4">
        <v>45708</v>
      </c>
      <c r="C5" s="2" t="s">
        <v>6</v>
      </c>
      <c r="D5" s="5">
        <v>52.38</v>
      </c>
      <c r="E5" s="5">
        <f t="shared" si="0"/>
        <v>1.0476000000000001</v>
      </c>
      <c r="F5" s="5">
        <f t="shared" si="1"/>
        <v>51.3324</v>
      </c>
    </row>
    <row r="6" spans="1:7" s="6" customFormat="1">
      <c r="A6" s="3">
        <v>246779410080</v>
      </c>
      <c r="B6" s="4">
        <v>45708</v>
      </c>
      <c r="C6" s="2" t="s">
        <v>6</v>
      </c>
      <c r="D6" s="5">
        <v>95.24</v>
      </c>
      <c r="E6" s="5">
        <f t="shared" si="0"/>
        <v>1.9047999999999998</v>
      </c>
      <c r="F6" s="5">
        <f t="shared" si="1"/>
        <v>93.3352</v>
      </c>
    </row>
    <row r="7" spans="1:7" s="6" customFormat="1">
      <c r="A7" s="3">
        <v>246779410081</v>
      </c>
      <c r="B7" s="4">
        <v>45707</v>
      </c>
      <c r="C7" s="2" t="s">
        <v>6</v>
      </c>
      <c r="D7" s="5">
        <v>52.38</v>
      </c>
      <c r="E7" s="5">
        <f t="shared" si="0"/>
        <v>1.0476000000000001</v>
      </c>
      <c r="F7" s="5">
        <f t="shared" si="1"/>
        <v>51.3324</v>
      </c>
    </row>
    <row r="8" spans="1:7" s="6" customFormat="1">
      <c r="A8" s="3">
        <v>246779410227</v>
      </c>
      <c r="B8" s="4">
        <v>45708</v>
      </c>
      <c r="C8" s="2" t="s">
        <v>6</v>
      </c>
      <c r="D8" s="5">
        <v>2286.2399999999998</v>
      </c>
      <c r="E8" s="5">
        <f t="shared" si="0"/>
        <v>45.724799999999995</v>
      </c>
      <c r="F8" s="5">
        <f t="shared" si="1"/>
        <v>2240.5151999999998</v>
      </c>
    </row>
    <row r="9" spans="1:7" s="6" customFormat="1">
      <c r="A9" s="3">
        <v>246779410260</v>
      </c>
      <c r="B9" s="4">
        <v>45708</v>
      </c>
      <c r="C9" s="2" t="s">
        <v>6</v>
      </c>
      <c r="D9" s="5">
        <v>91.45</v>
      </c>
      <c r="E9" s="5">
        <f t="shared" si="0"/>
        <v>1.8290000000000002</v>
      </c>
      <c r="F9" s="5">
        <f t="shared" si="1"/>
        <v>89.621000000000009</v>
      </c>
    </row>
    <row r="10" spans="1:7" s="6" customFormat="1">
      <c r="A10" s="3">
        <v>246779410261</v>
      </c>
      <c r="B10" s="4">
        <v>45708</v>
      </c>
      <c r="C10" s="2" t="s">
        <v>6</v>
      </c>
      <c r="D10" s="5">
        <v>50.3</v>
      </c>
      <c r="E10" s="5">
        <f t="shared" si="0"/>
        <v>1.006</v>
      </c>
      <c r="F10" s="5">
        <f t="shared" si="1"/>
        <v>49.293999999999997</v>
      </c>
    </row>
    <row r="11" spans="1:7" s="6" customFormat="1">
      <c r="A11" s="3">
        <v>246779410743</v>
      </c>
      <c r="B11" s="4">
        <v>45720</v>
      </c>
      <c r="C11" s="2" t="s">
        <v>6</v>
      </c>
      <c r="D11" s="5">
        <v>3</v>
      </c>
      <c r="E11" s="5">
        <f t="shared" si="0"/>
        <v>0.06</v>
      </c>
      <c r="F11" s="5">
        <f t="shared" si="1"/>
        <v>2.94</v>
      </c>
    </row>
    <row r="12" spans="1:7" s="6" customFormat="1">
      <c r="A12" s="3">
        <v>246779410882</v>
      </c>
      <c r="B12" s="4">
        <v>45722</v>
      </c>
      <c r="C12" s="2" t="s">
        <v>6</v>
      </c>
      <c r="D12" s="5">
        <v>2232.73</v>
      </c>
      <c r="E12" s="5">
        <f t="shared" si="0"/>
        <v>44.654600000000002</v>
      </c>
      <c r="F12" s="5">
        <f t="shared" si="1"/>
        <v>2188.0754000000002</v>
      </c>
    </row>
    <row r="13" spans="1:7" s="6" customFormat="1">
      <c r="A13" s="3">
        <v>246779411908</v>
      </c>
      <c r="B13" s="4">
        <v>45733</v>
      </c>
      <c r="C13" s="2" t="s">
        <v>6</v>
      </c>
      <c r="D13" s="5">
        <v>28.41</v>
      </c>
      <c r="E13" s="5">
        <f t="shared" si="0"/>
        <v>0.56820000000000004</v>
      </c>
      <c r="F13" s="5">
        <f t="shared" si="1"/>
        <v>27.841799999999999</v>
      </c>
    </row>
    <row r="14" spans="1:7" s="6" customFormat="1">
      <c r="A14" s="3">
        <v>246779411973</v>
      </c>
      <c r="B14" s="4">
        <v>45733</v>
      </c>
      <c r="C14" s="2" t="s">
        <v>6</v>
      </c>
      <c r="D14" s="5">
        <v>426.09</v>
      </c>
      <c r="E14" s="5">
        <f t="shared" si="0"/>
        <v>8.5217999999999989</v>
      </c>
      <c r="F14" s="5">
        <f t="shared" si="1"/>
        <v>417.56819999999999</v>
      </c>
    </row>
    <row r="15" spans="1:7" s="6" customFormat="1">
      <c r="A15" s="3">
        <v>246779412033</v>
      </c>
      <c r="B15" s="4">
        <v>45733</v>
      </c>
      <c r="C15" s="2" t="s">
        <v>6</v>
      </c>
      <c r="D15" s="5">
        <v>22.42</v>
      </c>
      <c r="E15" s="5">
        <f t="shared" si="0"/>
        <v>0.44840000000000002</v>
      </c>
      <c r="F15" s="5">
        <f t="shared" si="1"/>
        <v>21.971600000000002</v>
      </c>
    </row>
    <row r="16" spans="1:7" s="6" customFormat="1">
      <c r="A16" s="3">
        <v>246779412047</v>
      </c>
      <c r="B16" s="4">
        <v>45733</v>
      </c>
      <c r="C16" s="2" t="s">
        <v>6</v>
      </c>
      <c r="D16" s="5">
        <v>28.03</v>
      </c>
      <c r="E16" s="5">
        <f t="shared" si="0"/>
        <v>0.56059999999999999</v>
      </c>
      <c r="F16" s="5">
        <f t="shared" si="1"/>
        <v>27.4694</v>
      </c>
    </row>
    <row r="17" spans="1:6" s="6" customFormat="1">
      <c r="A17" s="3">
        <v>246779412994</v>
      </c>
      <c r="B17" s="4">
        <v>45735</v>
      </c>
      <c r="C17" s="2" t="s">
        <v>6</v>
      </c>
      <c r="D17" s="5">
        <v>2297.27</v>
      </c>
      <c r="E17" s="5">
        <f t="shared" si="0"/>
        <v>45.945399999999999</v>
      </c>
      <c r="F17" s="5">
        <f t="shared" si="1"/>
        <v>2251.3245999999999</v>
      </c>
    </row>
    <row r="18" spans="1:6" s="6" customFormat="1">
      <c r="A18" s="3">
        <v>246779413023</v>
      </c>
      <c r="B18" s="4">
        <v>45735</v>
      </c>
      <c r="C18" s="2" t="s">
        <v>6</v>
      </c>
      <c r="D18" s="5">
        <v>91.89</v>
      </c>
      <c r="E18" s="5">
        <f t="shared" si="0"/>
        <v>1.8378000000000001</v>
      </c>
      <c r="F18" s="5">
        <f t="shared" si="1"/>
        <v>90.052199999999999</v>
      </c>
    </row>
    <row r="19" spans="1:6" s="6" customFormat="1">
      <c r="A19" s="3">
        <v>246779413024</v>
      </c>
      <c r="B19" s="4">
        <v>45735</v>
      </c>
      <c r="C19" s="2" t="s">
        <v>6</v>
      </c>
      <c r="D19" s="5">
        <v>50.54</v>
      </c>
      <c r="E19" s="5">
        <f t="shared" si="0"/>
        <v>1.0107999999999999</v>
      </c>
      <c r="F19" s="5">
        <f t="shared" si="1"/>
        <v>49.529199999999996</v>
      </c>
    </row>
    <row r="20" spans="1:6" s="6" customFormat="1">
      <c r="A20" s="3">
        <v>246779413815</v>
      </c>
      <c r="B20" s="4">
        <v>45736</v>
      </c>
      <c r="C20" s="2" t="s">
        <v>6</v>
      </c>
      <c r="D20" s="5">
        <v>50</v>
      </c>
      <c r="E20" s="5">
        <f t="shared" si="0"/>
        <v>1</v>
      </c>
      <c r="F20" s="5">
        <f t="shared" si="1"/>
        <v>49</v>
      </c>
    </row>
    <row r="21" spans="1:6" s="6" customFormat="1">
      <c r="A21" s="3">
        <v>246779413889</v>
      </c>
      <c r="B21" s="4">
        <v>45736</v>
      </c>
      <c r="C21" s="2" t="s">
        <v>6</v>
      </c>
      <c r="D21" s="5">
        <v>42.5</v>
      </c>
      <c r="E21" s="5">
        <f t="shared" si="0"/>
        <v>0.85</v>
      </c>
      <c r="F21" s="5">
        <f t="shared" si="1"/>
        <v>41.65</v>
      </c>
    </row>
    <row r="22" spans="1:6" s="6" customFormat="1">
      <c r="A22" s="3">
        <v>246779413920</v>
      </c>
      <c r="B22" s="4">
        <v>45736</v>
      </c>
      <c r="C22" s="2" t="s">
        <v>6</v>
      </c>
      <c r="D22" s="5">
        <v>22.5</v>
      </c>
      <c r="E22" s="5">
        <f t="shared" si="0"/>
        <v>0.45</v>
      </c>
      <c r="F22" s="5">
        <f t="shared" si="1"/>
        <v>22.05</v>
      </c>
    </row>
    <row r="23" spans="1:6" s="6" customFormat="1">
      <c r="A23" s="3">
        <v>246779413936</v>
      </c>
      <c r="B23" s="4">
        <v>45736</v>
      </c>
      <c r="C23" s="2" t="s">
        <v>6</v>
      </c>
      <c r="D23" s="5">
        <v>27.5</v>
      </c>
      <c r="E23" s="5">
        <f t="shared" si="0"/>
        <v>0.55000000000000004</v>
      </c>
      <c r="F23" s="5">
        <f t="shared" si="1"/>
        <v>26.95</v>
      </c>
    </row>
    <row r="24" spans="1:6" s="6" customFormat="1">
      <c r="A24" s="3">
        <v>246779413941</v>
      </c>
      <c r="B24" s="4">
        <v>45736</v>
      </c>
      <c r="C24" s="2" t="s">
        <v>6</v>
      </c>
      <c r="D24" s="5">
        <v>30</v>
      </c>
      <c r="E24" s="5">
        <f t="shared" si="0"/>
        <v>0.6</v>
      </c>
      <c r="F24" s="5">
        <f t="shared" si="1"/>
        <v>29.4</v>
      </c>
    </row>
    <row r="25" spans="1:6" s="6" customFormat="1">
      <c r="A25" s="3">
        <v>246779414384</v>
      </c>
      <c r="B25" s="4">
        <v>45736</v>
      </c>
      <c r="C25" s="2" t="s">
        <v>6</v>
      </c>
      <c r="D25" s="5">
        <v>182.5</v>
      </c>
      <c r="E25" s="5">
        <f t="shared" si="0"/>
        <v>3.65</v>
      </c>
      <c r="F25" s="5">
        <f t="shared" si="1"/>
        <v>178.85</v>
      </c>
    </row>
    <row r="26" spans="1:6" s="6" customFormat="1">
      <c r="A26" s="3">
        <v>256779410196</v>
      </c>
      <c r="B26" s="4">
        <v>45750</v>
      </c>
      <c r="C26" s="2" t="s">
        <v>6</v>
      </c>
      <c r="D26" s="5">
        <v>246.52</v>
      </c>
      <c r="E26" s="5">
        <f t="shared" si="0"/>
        <v>4.9304000000000006</v>
      </c>
      <c r="F26" s="5">
        <f t="shared" si="1"/>
        <v>241.58960000000002</v>
      </c>
    </row>
    <row r="27" spans="1:6" s="6" customFormat="1">
      <c r="A27" s="3">
        <v>256779410303</v>
      </c>
      <c r="B27" s="4">
        <v>45750</v>
      </c>
      <c r="C27" s="2" t="s">
        <v>6</v>
      </c>
      <c r="D27" s="5">
        <v>91.45</v>
      </c>
      <c r="E27" s="5">
        <f t="shared" si="0"/>
        <v>1.8290000000000002</v>
      </c>
      <c r="F27" s="5">
        <f t="shared" si="1"/>
        <v>89.621000000000009</v>
      </c>
    </row>
    <row r="28" spans="1:6" s="6" customFormat="1">
      <c r="A28" s="3">
        <v>256779410304</v>
      </c>
      <c r="B28" s="4">
        <v>45750</v>
      </c>
      <c r="C28" s="2" t="s">
        <v>6</v>
      </c>
      <c r="D28" s="5">
        <v>50.3</v>
      </c>
      <c r="E28" s="5">
        <f t="shared" si="0"/>
        <v>1.006</v>
      </c>
      <c r="F28" s="5">
        <f t="shared" si="1"/>
        <v>49.293999999999997</v>
      </c>
    </row>
    <row r="29" spans="1:6" s="6" customFormat="1">
      <c r="A29" s="3">
        <v>256779410801</v>
      </c>
      <c r="B29" s="4">
        <v>45751</v>
      </c>
      <c r="C29" s="2" t="s">
        <v>6</v>
      </c>
      <c r="D29" s="5">
        <v>2829.48</v>
      </c>
      <c r="E29" s="5">
        <f t="shared" si="0"/>
        <v>56.589600000000004</v>
      </c>
      <c r="F29" s="5">
        <f t="shared" si="1"/>
        <v>2772.8904000000002</v>
      </c>
    </row>
    <row r="30" spans="1:6" s="6" customFormat="1">
      <c r="A30" s="3">
        <v>256779411969</v>
      </c>
      <c r="B30" s="4">
        <v>45763</v>
      </c>
      <c r="C30" s="2" t="s">
        <v>6</v>
      </c>
      <c r="D30" s="5">
        <v>79.08</v>
      </c>
      <c r="E30" s="5">
        <f t="shared" si="0"/>
        <v>1.5815999999999999</v>
      </c>
      <c r="F30" s="5">
        <f t="shared" si="1"/>
        <v>77.498400000000004</v>
      </c>
    </row>
    <row r="31" spans="1:6" s="6" customFormat="1">
      <c r="A31" s="3">
        <v>256779412053</v>
      </c>
      <c r="B31" s="4">
        <v>45763</v>
      </c>
      <c r="C31" s="2" t="s">
        <v>6</v>
      </c>
      <c r="D31" s="5">
        <v>985.93</v>
      </c>
      <c r="E31" s="5">
        <f t="shared" si="0"/>
        <v>19.718599999999999</v>
      </c>
      <c r="F31" s="5">
        <f t="shared" si="1"/>
        <v>966.21139999999991</v>
      </c>
    </row>
    <row r="32" spans="1:6" s="6" customFormat="1">
      <c r="A32" s="3">
        <v>256779412091</v>
      </c>
      <c r="B32" s="4">
        <v>45763</v>
      </c>
      <c r="C32" s="2" t="s">
        <v>6</v>
      </c>
      <c r="D32" s="5">
        <v>96.4</v>
      </c>
      <c r="E32" s="5">
        <f t="shared" si="0"/>
        <v>1.9280000000000002</v>
      </c>
      <c r="F32" s="5">
        <f t="shared" si="1"/>
        <v>94.472000000000008</v>
      </c>
    </row>
    <row r="33" spans="1:6" s="6" customFormat="1">
      <c r="A33" s="3">
        <v>256779412092</v>
      </c>
      <c r="B33" s="4">
        <v>45763</v>
      </c>
      <c r="C33" s="2" t="s">
        <v>6</v>
      </c>
      <c r="D33" s="5">
        <v>289.17</v>
      </c>
      <c r="E33" s="5">
        <f t="shared" si="0"/>
        <v>5.7834000000000003</v>
      </c>
      <c r="F33" s="5">
        <f t="shared" si="1"/>
        <v>283.38660000000004</v>
      </c>
    </row>
    <row r="34" spans="1:6" s="6" customFormat="1">
      <c r="A34" s="3">
        <v>256779412123</v>
      </c>
      <c r="B34" s="4">
        <v>45763</v>
      </c>
      <c r="C34" s="2" t="s">
        <v>6</v>
      </c>
      <c r="D34" s="5">
        <v>3318.21</v>
      </c>
      <c r="E34" s="5">
        <f t="shared" si="0"/>
        <v>66.364199999999997</v>
      </c>
      <c r="F34" s="5">
        <f t="shared" si="1"/>
        <v>3251.8458000000001</v>
      </c>
    </row>
    <row r="35" spans="1:6" s="6" customFormat="1">
      <c r="A35" s="3">
        <v>256779412155</v>
      </c>
      <c r="B35" s="4">
        <v>45768</v>
      </c>
      <c r="C35" s="2" t="s">
        <v>6</v>
      </c>
      <c r="D35" s="5">
        <v>2330.73</v>
      </c>
      <c r="E35" s="5">
        <f t="shared" si="0"/>
        <v>46.614600000000003</v>
      </c>
      <c r="F35" s="5">
        <f t="shared" si="1"/>
        <v>2284.1154000000001</v>
      </c>
    </row>
    <row r="36" spans="1:6" s="6" customFormat="1">
      <c r="A36" s="3">
        <v>256779412184</v>
      </c>
      <c r="B36" s="4">
        <v>45768</v>
      </c>
      <c r="C36" s="2" t="s">
        <v>6</v>
      </c>
      <c r="D36" s="5">
        <v>93.23</v>
      </c>
      <c r="E36" s="5">
        <f t="shared" si="0"/>
        <v>1.8646</v>
      </c>
      <c r="F36" s="5">
        <f t="shared" si="1"/>
        <v>91.365400000000008</v>
      </c>
    </row>
    <row r="37" spans="1:6" s="6" customFormat="1">
      <c r="A37" s="3">
        <v>256779412185</v>
      </c>
      <c r="B37" s="4">
        <v>45768</v>
      </c>
      <c r="C37" s="2" t="s">
        <v>6</v>
      </c>
      <c r="D37" s="5">
        <v>51.28</v>
      </c>
      <c r="E37" s="5">
        <f t="shared" si="0"/>
        <v>1.0256000000000001</v>
      </c>
      <c r="F37" s="5">
        <f t="shared" si="1"/>
        <v>50.254400000000004</v>
      </c>
    </row>
    <row r="38" spans="1:6" s="6" customFormat="1">
      <c r="A38" s="3">
        <v>256779412524</v>
      </c>
      <c r="B38" s="4">
        <v>45769</v>
      </c>
      <c r="C38" s="2" t="s">
        <v>6</v>
      </c>
      <c r="D38" s="5">
        <v>36.5</v>
      </c>
      <c r="E38" s="5">
        <f t="shared" si="0"/>
        <v>0.73</v>
      </c>
      <c r="F38" s="5">
        <f t="shared" si="1"/>
        <v>35.770000000000003</v>
      </c>
    </row>
    <row r="39" spans="1:6" s="6" customFormat="1">
      <c r="A39" s="3">
        <v>256779412529</v>
      </c>
      <c r="B39" s="4">
        <v>45769</v>
      </c>
      <c r="C39" s="2" t="s">
        <v>6</v>
      </c>
      <c r="D39" s="5">
        <v>29.57</v>
      </c>
      <c r="E39" s="5">
        <f t="shared" si="0"/>
        <v>0.59140000000000004</v>
      </c>
      <c r="F39" s="5">
        <f t="shared" si="1"/>
        <v>28.9786</v>
      </c>
    </row>
    <row r="40" spans="1:6" s="6" customFormat="1">
      <c r="A40" s="3">
        <v>256779412536</v>
      </c>
      <c r="B40" s="4">
        <v>45769</v>
      </c>
      <c r="C40" s="2" t="s">
        <v>6</v>
      </c>
      <c r="D40" s="5">
        <v>37.020000000000003</v>
      </c>
      <c r="E40" s="5">
        <f t="shared" si="0"/>
        <v>0.74040000000000006</v>
      </c>
      <c r="F40" s="5">
        <f t="shared" si="1"/>
        <v>36.279600000000002</v>
      </c>
    </row>
    <row r="41" spans="1:6" s="6" customFormat="1">
      <c r="A41" s="3">
        <v>256779412537</v>
      </c>
      <c r="B41" s="4">
        <v>45769</v>
      </c>
      <c r="C41" s="2" t="s">
        <v>6</v>
      </c>
      <c r="D41" s="5">
        <v>407.58</v>
      </c>
      <c r="E41" s="5">
        <f t="shared" si="0"/>
        <v>8.1516000000000002</v>
      </c>
      <c r="F41" s="5">
        <f t="shared" si="1"/>
        <v>399.42840000000001</v>
      </c>
    </row>
    <row r="42" spans="1:6" s="6" customFormat="1">
      <c r="A42" s="3">
        <v>256779412562</v>
      </c>
      <c r="B42" s="4">
        <v>45769</v>
      </c>
      <c r="C42" s="2" t="s">
        <v>6</v>
      </c>
      <c r="D42" s="5">
        <v>54.65</v>
      </c>
      <c r="E42" s="5">
        <f t="shared" si="0"/>
        <v>1.093</v>
      </c>
      <c r="F42" s="5">
        <f t="shared" si="1"/>
        <v>53.557000000000002</v>
      </c>
    </row>
    <row r="43" spans="1:6" s="6" customFormat="1">
      <c r="A43" s="3">
        <v>256779412563</v>
      </c>
      <c r="B43" s="4">
        <v>45769</v>
      </c>
      <c r="C43" s="2" t="s">
        <v>6</v>
      </c>
      <c r="D43" s="5">
        <v>27</v>
      </c>
      <c r="E43" s="5">
        <f t="shared" si="0"/>
        <v>0.54</v>
      </c>
      <c r="F43" s="5">
        <f t="shared" si="1"/>
        <v>26.46</v>
      </c>
    </row>
    <row r="44" spans="1:6" s="6" customFormat="1">
      <c r="A44" s="3">
        <v>256779412564</v>
      </c>
      <c r="B44" s="4">
        <v>45769</v>
      </c>
      <c r="C44" s="2" t="s">
        <v>6</v>
      </c>
      <c r="D44" s="5">
        <v>55.2</v>
      </c>
      <c r="E44" s="5">
        <f t="shared" si="0"/>
        <v>1.1040000000000001</v>
      </c>
      <c r="F44" s="5">
        <f t="shared" si="1"/>
        <v>54.096000000000004</v>
      </c>
    </row>
    <row r="45" spans="1:6" s="6" customFormat="1">
      <c r="A45" s="3">
        <v>256779412570</v>
      </c>
      <c r="B45" s="4">
        <v>45769</v>
      </c>
      <c r="C45" s="2" t="s">
        <v>6</v>
      </c>
      <c r="D45" s="5">
        <v>43.38</v>
      </c>
      <c r="E45" s="5">
        <f t="shared" si="0"/>
        <v>0.86760000000000004</v>
      </c>
      <c r="F45" s="5">
        <f t="shared" si="1"/>
        <v>42.5124</v>
      </c>
    </row>
    <row r="46" spans="1:6" s="6" customFormat="1">
      <c r="A46" s="3">
        <v>256779412576</v>
      </c>
      <c r="B46" s="4">
        <v>45769</v>
      </c>
      <c r="C46" s="2" t="s">
        <v>6</v>
      </c>
      <c r="D46" s="5">
        <v>46</v>
      </c>
      <c r="E46" s="5">
        <f t="shared" si="0"/>
        <v>0.92</v>
      </c>
      <c r="F46" s="5">
        <f t="shared" si="1"/>
        <v>45.08</v>
      </c>
    </row>
    <row r="47" spans="1:6" s="6" customFormat="1">
      <c r="A47" s="3">
        <v>256779412577</v>
      </c>
      <c r="B47" s="4">
        <v>45769</v>
      </c>
      <c r="C47" s="2" t="s">
        <v>6</v>
      </c>
      <c r="D47" s="5">
        <v>46</v>
      </c>
      <c r="E47" s="5">
        <f t="shared" si="0"/>
        <v>0.92</v>
      </c>
      <c r="F47" s="5">
        <f t="shared" si="1"/>
        <v>45.08</v>
      </c>
    </row>
    <row r="48" spans="1:6" s="6" customFormat="1">
      <c r="A48" s="3">
        <v>256779412579</v>
      </c>
      <c r="B48" s="4">
        <v>45769</v>
      </c>
      <c r="C48" s="2" t="s">
        <v>6</v>
      </c>
      <c r="D48" s="5">
        <v>57.6</v>
      </c>
      <c r="E48" s="5">
        <f t="shared" si="0"/>
        <v>1.1520000000000001</v>
      </c>
      <c r="F48" s="5">
        <f t="shared" si="1"/>
        <v>56.448</v>
      </c>
    </row>
    <row r="49" spans="1:6" s="6" customFormat="1">
      <c r="A49" s="3">
        <v>256779412580</v>
      </c>
      <c r="B49" s="4">
        <v>45769</v>
      </c>
      <c r="C49" s="2" t="s">
        <v>6</v>
      </c>
      <c r="D49" s="5">
        <v>40.5</v>
      </c>
      <c r="E49" s="5">
        <f t="shared" si="0"/>
        <v>0.81</v>
      </c>
      <c r="F49" s="5">
        <f t="shared" si="1"/>
        <v>39.69</v>
      </c>
    </row>
    <row r="50" spans="1:6" s="6" customFormat="1">
      <c r="A50" s="3">
        <v>256779412581</v>
      </c>
      <c r="B50" s="4">
        <v>45769</v>
      </c>
      <c r="C50" s="2" t="s">
        <v>6</v>
      </c>
      <c r="D50" s="5">
        <v>51.5</v>
      </c>
      <c r="E50" s="5">
        <f t="shared" si="0"/>
        <v>1.03</v>
      </c>
      <c r="F50" s="5">
        <f t="shared" si="1"/>
        <v>50.47</v>
      </c>
    </row>
    <row r="51" spans="1:6" s="6" customFormat="1">
      <c r="A51" s="3">
        <v>256779412583</v>
      </c>
      <c r="B51" s="4">
        <v>45769</v>
      </c>
      <c r="C51" s="2" t="s">
        <v>6</v>
      </c>
      <c r="D51" s="5">
        <v>50.72</v>
      </c>
      <c r="E51" s="5">
        <f t="shared" si="0"/>
        <v>1.0144</v>
      </c>
      <c r="F51" s="5">
        <f t="shared" si="1"/>
        <v>49.705599999999997</v>
      </c>
    </row>
    <row r="52" spans="1:6" s="6" customFormat="1">
      <c r="A52" s="3">
        <v>256779412585</v>
      </c>
      <c r="B52" s="4">
        <v>45769</v>
      </c>
      <c r="C52" s="2" t="s">
        <v>6</v>
      </c>
      <c r="D52" s="5">
        <v>48.75</v>
      </c>
      <c r="E52" s="5">
        <f t="shared" si="0"/>
        <v>0.97499999999999998</v>
      </c>
      <c r="F52" s="5">
        <f t="shared" si="1"/>
        <v>47.774999999999999</v>
      </c>
    </row>
    <row r="53" spans="1:6" s="6" customFormat="1">
      <c r="A53" s="3">
        <v>256779412586</v>
      </c>
      <c r="B53" s="4">
        <v>45769</v>
      </c>
      <c r="C53" s="2" t="s">
        <v>6</v>
      </c>
      <c r="D53" s="5">
        <v>51.5</v>
      </c>
      <c r="E53" s="5">
        <f t="shared" si="0"/>
        <v>1.03</v>
      </c>
      <c r="F53" s="5">
        <f t="shared" si="1"/>
        <v>50.47</v>
      </c>
    </row>
    <row r="54" spans="1:6" s="6" customFormat="1">
      <c r="A54" s="3">
        <v>256779413393</v>
      </c>
      <c r="B54" s="4">
        <v>45798</v>
      </c>
      <c r="C54" s="2" t="s">
        <v>6</v>
      </c>
      <c r="D54" s="5">
        <v>225.273</v>
      </c>
      <c r="E54" s="5">
        <f t="shared" si="0"/>
        <v>4.5054600000000002</v>
      </c>
      <c r="F54" s="5">
        <f t="shared" si="1"/>
        <v>220.76754</v>
      </c>
    </row>
    <row r="55" spans="1:6" s="6" customFormat="1">
      <c r="A55" s="3">
        <v>256779413394</v>
      </c>
      <c r="B55" s="4">
        <v>45798</v>
      </c>
      <c r="C55" s="2" t="s">
        <v>6</v>
      </c>
      <c r="D55" s="5">
        <v>213.80699999999999</v>
      </c>
      <c r="E55" s="5">
        <f t="shared" si="0"/>
        <v>4.2761399999999998</v>
      </c>
      <c r="F55" s="5">
        <f t="shared" si="1"/>
        <v>209.53085999999999</v>
      </c>
    </row>
    <row r="56" spans="1:6" s="6" customFormat="1">
      <c r="A56" s="3">
        <v>256779413395</v>
      </c>
      <c r="B56" s="4">
        <v>45798</v>
      </c>
      <c r="C56" s="2" t="s">
        <v>6</v>
      </c>
      <c r="D56" s="5">
        <v>264.98</v>
      </c>
      <c r="E56" s="5">
        <f t="shared" si="0"/>
        <v>5.2996000000000008</v>
      </c>
      <c r="F56" s="5">
        <f t="shared" si="1"/>
        <v>259.68040000000002</v>
      </c>
    </row>
    <row r="57" spans="1:6" s="6" customFormat="1">
      <c r="A57" s="3">
        <v>256779413396</v>
      </c>
      <c r="B57" s="4">
        <v>45798</v>
      </c>
      <c r="C57" s="2" t="s">
        <v>6</v>
      </c>
      <c r="D57" s="5">
        <v>218.17</v>
      </c>
      <c r="E57" s="5">
        <f t="shared" si="0"/>
        <v>4.3633999999999995</v>
      </c>
      <c r="F57" s="5">
        <f t="shared" si="1"/>
        <v>213.80659999999997</v>
      </c>
    </row>
    <row r="58" spans="1:6" s="6" customFormat="1">
      <c r="A58" s="3">
        <v>256779413397</v>
      </c>
      <c r="B58" s="4">
        <v>45798</v>
      </c>
      <c r="C58" s="2" t="s">
        <v>6</v>
      </c>
      <c r="D58" s="5">
        <v>225.273</v>
      </c>
      <c r="E58" s="5">
        <f t="shared" si="0"/>
        <v>4.5054600000000002</v>
      </c>
      <c r="F58" s="5">
        <f t="shared" si="1"/>
        <v>220.76754</v>
      </c>
    </row>
    <row r="59" spans="1:6" s="6" customFormat="1">
      <c r="A59" s="3">
        <v>256779413398</v>
      </c>
      <c r="B59" s="4">
        <v>45798</v>
      </c>
      <c r="C59" s="2" t="s">
        <v>6</v>
      </c>
      <c r="D59" s="5">
        <v>213.80699999999999</v>
      </c>
      <c r="E59" s="5">
        <f t="shared" si="0"/>
        <v>4.2761399999999998</v>
      </c>
      <c r="F59" s="5">
        <f t="shared" si="1"/>
        <v>209.53085999999999</v>
      </c>
    </row>
    <row r="60" spans="1:6" s="6" customFormat="1">
      <c r="A60" s="3">
        <v>256779413399</v>
      </c>
      <c r="B60" s="4">
        <v>45798</v>
      </c>
      <c r="C60" s="2" t="s">
        <v>6</v>
      </c>
      <c r="D60" s="5">
        <v>229.87</v>
      </c>
      <c r="E60" s="5">
        <f t="shared" si="0"/>
        <v>4.5974000000000004</v>
      </c>
      <c r="F60" s="5">
        <f t="shared" si="1"/>
        <v>225.27260000000001</v>
      </c>
    </row>
    <row r="61" spans="1:6" s="6" customFormat="1">
      <c r="A61" s="3">
        <v>256779413400</v>
      </c>
      <c r="B61" s="4">
        <v>45798</v>
      </c>
      <c r="C61" s="2" t="s">
        <v>6</v>
      </c>
      <c r="D61" s="5">
        <v>213.80699999999999</v>
      </c>
      <c r="E61" s="5">
        <f t="shared" si="0"/>
        <v>4.2761399999999998</v>
      </c>
      <c r="F61" s="5">
        <f t="shared" si="1"/>
        <v>209.53085999999999</v>
      </c>
    </row>
    <row r="62" spans="1:6" s="6" customFormat="1">
      <c r="A62" s="3">
        <v>256779413401</v>
      </c>
      <c r="B62" s="4">
        <v>45798</v>
      </c>
      <c r="C62" s="2" t="s">
        <v>6</v>
      </c>
      <c r="D62" s="5">
        <v>229.87</v>
      </c>
      <c r="E62" s="5">
        <f t="shared" si="0"/>
        <v>4.5974000000000004</v>
      </c>
      <c r="F62" s="5">
        <f t="shared" si="1"/>
        <v>225.27260000000001</v>
      </c>
    </row>
    <row r="63" spans="1:6" s="6" customFormat="1">
      <c r="A63" s="3">
        <v>256779413402</v>
      </c>
      <c r="B63" s="4">
        <v>45798</v>
      </c>
      <c r="C63" s="2" t="s">
        <v>6</v>
      </c>
      <c r="D63" s="5">
        <v>225.273</v>
      </c>
      <c r="E63" s="5">
        <f t="shared" si="0"/>
        <v>4.5054600000000002</v>
      </c>
      <c r="F63" s="5">
        <f t="shared" si="1"/>
        <v>220.76754</v>
      </c>
    </row>
    <row r="64" spans="1:6" s="6" customFormat="1">
      <c r="A64" s="3">
        <v>256779413403</v>
      </c>
      <c r="B64" s="4">
        <v>45798</v>
      </c>
      <c r="C64" s="2" t="s">
        <v>6</v>
      </c>
      <c r="D64" s="5">
        <v>394.822</v>
      </c>
      <c r="E64" s="5">
        <f t="shared" si="0"/>
        <v>7.8964400000000001</v>
      </c>
      <c r="F64" s="5">
        <f t="shared" si="1"/>
        <v>386.92556000000002</v>
      </c>
    </row>
    <row r="65" spans="1:6" s="6" customFormat="1">
      <c r="A65" s="62" t="s">
        <v>42</v>
      </c>
      <c r="B65" s="62"/>
      <c r="C65" s="2" t="s">
        <v>6</v>
      </c>
      <c r="D65" s="5">
        <v>411.75</v>
      </c>
      <c r="E65" s="5">
        <v>0</v>
      </c>
      <c r="F65" s="5">
        <f t="shared" si="1"/>
        <v>411.75</v>
      </c>
    </row>
    <row r="66" spans="1:6">
      <c r="A66" s="63" t="s">
        <v>41</v>
      </c>
      <c r="B66" s="63"/>
      <c r="C66" s="2" t="s">
        <v>6</v>
      </c>
      <c r="D66" s="57"/>
      <c r="E66" s="57">
        <v>-544.41</v>
      </c>
      <c r="F66" s="5">
        <f t="shared" si="1"/>
        <v>544.41</v>
      </c>
    </row>
    <row r="67" spans="1:6">
      <c r="A67" s="14"/>
      <c r="B67" s="14"/>
      <c r="C67" s="14"/>
      <c r="D67" s="14"/>
      <c r="E67" s="14"/>
      <c r="F67" s="14"/>
    </row>
    <row r="68" spans="1:6">
      <c r="A68" s="10" t="s">
        <v>39</v>
      </c>
      <c r="B68" s="14"/>
      <c r="C68" s="14"/>
      <c r="D68" s="58">
        <f>SUM(D2:D66)</f>
        <v>27632.462000000003</v>
      </c>
      <c r="E68" s="58">
        <f>SUM(E2:E66)</f>
        <v>4.2399999999815918E-3</v>
      </c>
      <c r="F68" s="58">
        <f>SUM(F2:F66)</f>
        <v>27632.457760000012</v>
      </c>
    </row>
    <row r="69" spans="1:6">
      <c r="A69" s="14"/>
      <c r="B69" s="14"/>
      <c r="C69" s="14"/>
      <c r="D69" s="14"/>
      <c r="E69" s="14"/>
      <c r="F69" s="14"/>
    </row>
    <row r="70" spans="1:6">
      <c r="A70" s="55"/>
      <c r="E70" s="7"/>
      <c r="F70" s="7"/>
    </row>
  </sheetData>
  <autoFilter ref="A1:F65" xr:uid="{3564D883-237A-4D8F-9C79-6E15C91D753F}"/>
  <mergeCells count="2">
    <mergeCell ref="A65:B65"/>
    <mergeCell ref="A66:B66"/>
  </mergeCells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379B8-C74E-44E1-8973-DE0F51643007}">
  <dimension ref="A1:H114"/>
  <sheetViews>
    <sheetView workbookViewId="0">
      <pane ySplit="1" topLeftCell="A93" activePane="bottomLeft" state="frozen"/>
      <selection pane="bottomLeft" activeCell="B111" sqref="B111"/>
    </sheetView>
  </sheetViews>
  <sheetFormatPr defaultRowHeight="14.5"/>
  <cols>
    <col min="1" max="1" width="14.6328125" bestFit="1" customWidth="1"/>
    <col min="2" max="2" width="18.1796875" bestFit="1" customWidth="1"/>
    <col min="3" max="3" width="18.08984375" bestFit="1" customWidth="1"/>
    <col min="4" max="4" width="22.81640625" bestFit="1" customWidth="1"/>
    <col min="5" max="5" width="12.90625" bestFit="1" customWidth="1"/>
    <col min="6" max="6" width="14.54296875" bestFit="1" customWidth="1"/>
    <col min="7" max="8" width="14.54296875" customWidth="1"/>
  </cols>
  <sheetData>
    <row r="1" spans="1:8">
      <c r="A1" s="35" t="s">
        <v>20</v>
      </c>
      <c r="B1" s="35" t="s">
        <v>2</v>
      </c>
      <c r="C1" s="35" t="s">
        <v>21</v>
      </c>
      <c r="D1" s="35" t="s">
        <v>0</v>
      </c>
      <c r="E1" s="36" t="s">
        <v>3</v>
      </c>
      <c r="F1" s="35" t="s">
        <v>23</v>
      </c>
      <c r="G1" s="35" t="s">
        <v>19</v>
      </c>
      <c r="H1" s="35" t="s">
        <v>24</v>
      </c>
    </row>
    <row r="2" spans="1:8">
      <c r="A2" s="37">
        <v>246779410098</v>
      </c>
      <c r="B2" s="38">
        <v>45708</v>
      </c>
      <c r="C2" s="39">
        <v>100222364</v>
      </c>
      <c r="D2" s="39" t="s">
        <v>5</v>
      </c>
      <c r="E2" s="39" t="s">
        <v>6</v>
      </c>
      <c r="F2" s="41">
        <v>2380.9499999999998</v>
      </c>
      <c r="G2" s="41">
        <f>F2*2%</f>
        <v>47.619</v>
      </c>
      <c r="H2" s="41">
        <v>-2333.33</v>
      </c>
    </row>
    <row r="3" spans="1:8">
      <c r="A3" s="37">
        <v>246779410131</v>
      </c>
      <c r="B3" s="38">
        <v>45708</v>
      </c>
      <c r="C3" s="39">
        <v>100222364</v>
      </c>
      <c r="D3" s="39" t="s">
        <v>5</v>
      </c>
      <c r="E3" s="39" t="s">
        <v>6</v>
      </c>
      <c r="F3" s="40">
        <v>95.24</v>
      </c>
      <c r="G3" s="41">
        <f t="shared" ref="G3:G66" si="0">F3*2%</f>
        <v>1.9047999999999998</v>
      </c>
      <c r="H3" s="41">
        <v>-93.34</v>
      </c>
    </row>
    <row r="4" spans="1:8">
      <c r="A4" s="37">
        <v>246779410132</v>
      </c>
      <c r="B4" s="38">
        <v>45708</v>
      </c>
      <c r="C4" s="39">
        <v>100222364</v>
      </c>
      <c r="D4" s="39" t="s">
        <v>5</v>
      </c>
      <c r="E4" s="39" t="s">
        <v>6</v>
      </c>
      <c r="F4" s="40">
        <v>52.38</v>
      </c>
      <c r="G4" s="41">
        <f t="shared" si="0"/>
        <v>1.0476000000000001</v>
      </c>
      <c r="H4" s="41">
        <v>-51.33</v>
      </c>
    </row>
    <row r="5" spans="1:8">
      <c r="A5" s="37">
        <v>246779410141</v>
      </c>
      <c r="B5" s="38">
        <v>45708</v>
      </c>
      <c r="C5" s="39">
        <v>100222364</v>
      </c>
      <c r="D5" s="39" t="s">
        <v>5</v>
      </c>
      <c r="E5" s="39" t="s">
        <v>6</v>
      </c>
      <c r="F5" s="41">
        <v>2380.9499999999998</v>
      </c>
      <c r="G5" s="41">
        <f t="shared" si="0"/>
        <v>47.619</v>
      </c>
      <c r="H5" s="41">
        <v>-2333.33</v>
      </c>
    </row>
    <row r="6" spans="1:8">
      <c r="A6" s="37">
        <v>246779410174</v>
      </c>
      <c r="B6" s="38">
        <v>45708</v>
      </c>
      <c r="C6" s="39">
        <v>100222364</v>
      </c>
      <c r="D6" s="39" t="s">
        <v>5</v>
      </c>
      <c r="E6" s="39" t="s">
        <v>6</v>
      </c>
      <c r="F6" s="40">
        <v>95.24</v>
      </c>
      <c r="G6" s="41">
        <f t="shared" si="0"/>
        <v>1.9047999999999998</v>
      </c>
      <c r="H6" s="41">
        <v>-93.34</v>
      </c>
    </row>
    <row r="7" spans="1:8">
      <c r="A7" s="37">
        <v>246779410175</v>
      </c>
      <c r="B7" s="38">
        <v>45708</v>
      </c>
      <c r="C7" s="39">
        <v>100222364</v>
      </c>
      <c r="D7" s="39" t="s">
        <v>5</v>
      </c>
      <c r="E7" s="39" t="s">
        <v>6</v>
      </c>
      <c r="F7" s="40">
        <v>52.38</v>
      </c>
      <c r="G7" s="41">
        <f t="shared" si="0"/>
        <v>1.0476000000000001</v>
      </c>
      <c r="H7" s="41">
        <v>-51.33</v>
      </c>
    </row>
    <row r="8" spans="1:8">
      <c r="A8" s="37">
        <v>246779410184</v>
      </c>
      <c r="B8" s="38">
        <v>45708</v>
      </c>
      <c r="C8" s="39">
        <v>100222364</v>
      </c>
      <c r="D8" s="39" t="s">
        <v>5</v>
      </c>
      <c r="E8" s="39" t="s">
        <v>6</v>
      </c>
      <c r="F8" s="41">
        <v>2333.1799999999998</v>
      </c>
      <c r="G8" s="41">
        <f t="shared" si="0"/>
        <v>46.663599999999995</v>
      </c>
      <c r="H8" s="41">
        <v>-2286.52</v>
      </c>
    </row>
    <row r="9" spans="1:8">
      <c r="A9" s="37">
        <v>246779410217</v>
      </c>
      <c r="B9" s="38">
        <v>45708</v>
      </c>
      <c r="C9" s="39">
        <v>100222364</v>
      </c>
      <c r="D9" s="39" t="s">
        <v>5</v>
      </c>
      <c r="E9" s="39" t="s">
        <v>6</v>
      </c>
      <c r="F9" s="40">
        <v>93.33</v>
      </c>
      <c r="G9" s="41">
        <f t="shared" si="0"/>
        <v>1.8666</v>
      </c>
      <c r="H9" s="41">
        <v>-91.46</v>
      </c>
    </row>
    <row r="10" spans="1:8">
      <c r="A10" s="37">
        <v>246779410218</v>
      </c>
      <c r="B10" s="38">
        <v>45708</v>
      </c>
      <c r="C10" s="39">
        <v>100222364</v>
      </c>
      <c r="D10" s="39" t="s">
        <v>5</v>
      </c>
      <c r="E10" s="39" t="s">
        <v>6</v>
      </c>
      <c r="F10" s="40">
        <v>51.33</v>
      </c>
      <c r="G10" s="41">
        <f t="shared" si="0"/>
        <v>1.0266</v>
      </c>
      <c r="H10" s="41">
        <v>-50.3</v>
      </c>
    </row>
    <row r="11" spans="1:8">
      <c r="A11" s="37">
        <v>246779410312</v>
      </c>
      <c r="B11" s="38">
        <v>45708</v>
      </c>
      <c r="C11" s="39">
        <v>100222364</v>
      </c>
      <c r="D11" s="39" t="s">
        <v>5</v>
      </c>
      <c r="E11" s="39" t="s">
        <v>6</v>
      </c>
      <c r="F11" s="40">
        <v>52.38</v>
      </c>
      <c r="G11" s="41">
        <f t="shared" si="0"/>
        <v>1.0476000000000001</v>
      </c>
      <c r="H11" s="41">
        <v>-51.33</v>
      </c>
    </row>
    <row r="12" spans="1:8">
      <c r="A12" s="37">
        <v>246779410315</v>
      </c>
      <c r="B12" s="38">
        <v>45708</v>
      </c>
      <c r="C12" s="39">
        <v>100222364</v>
      </c>
      <c r="D12" s="39" t="s">
        <v>5</v>
      </c>
      <c r="E12" s="39" t="s">
        <v>6</v>
      </c>
      <c r="F12" s="41">
        <v>2380.9499999999998</v>
      </c>
      <c r="G12" s="41">
        <f t="shared" si="0"/>
        <v>47.619</v>
      </c>
      <c r="H12" s="41">
        <v>-2333.33</v>
      </c>
    </row>
    <row r="13" spans="1:8">
      <c r="A13" s="37">
        <v>246779410389</v>
      </c>
      <c r="B13" s="38">
        <v>45719</v>
      </c>
      <c r="C13" s="39">
        <v>100222364</v>
      </c>
      <c r="D13" s="39" t="s">
        <v>5</v>
      </c>
      <c r="E13" s="39" t="s">
        <v>6</v>
      </c>
      <c r="F13" s="40">
        <v>542.08000000000004</v>
      </c>
      <c r="G13" s="41">
        <f t="shared" si="0"/>
        <v>10.841600000000001</v>
      </c>
      <c r="H13" s="41">
        <v>-531.24</v>
      </c>
    </row>
    <row r="14" spans="1:8">
      <c r="A14" s="37">
        <v>246779410413</v>
      </c>
      <c r="B14" s="38">
        <v>45719</v>
      </c>
      <c r="C14" s="39">
        <v>100222364</v>
      </c>
      <c r="D14" s="39" t="s">
        <v>5</v>
      </c>
      <c r="E14" s="39" t="s">
        <v>6</v>
      </c>
      <c r="F14" s="40">
        <v>694.12</v>
      </c>
      <c r="G14" s="41">
        <f t="shared" si="0"/>
        <v>13.882400000000001</v>
      </c>
      <c r="H14" s="41">
        <v>-680.24</v>
      </c>
    </row>
    <row r="15" spans="1:8">
      <c r="A15" s="37">
        <v>246779410436</v>
      </c>
      <c r="B15" s="38">
        <v>45719</v>
      </c>
      <c r="C15" s="39">
        <v>100222364</v>
      </c>
      <c r="D15" s="39" t="s">
        <v>5</v>
      </c>
      <c r="E15" s="39" t="s">
        <v>6</v>
      </c>
      <c r="F15" s="41">
        <v>1332.41</v>
      </c>
      <c r="G15" s="41">
        <f t="shared" si="0"/>
        <v>26.648200000000003</v>
      </c>
      <c r="H15" s="41">
        <v>-1305.76</v>
      </c>
    </row>
    <row r="16" spans="1:8">
      <c r="A16" s="37">
        <v>246779410826</v>
      </c>
      <c r="B16" s="38">
        <v>45720</v>
      </c>
      <c r="C16" s="39">
        <v>100222364</v>
      </c>
      <c r="D16" s="39" t="s">
        <v>5</v>
      </c>
      <c r="E16" s="39" t="s">
        <v>6</v>
      </c>
      <c r="F16" s="40">
        <v>3</v>
      </c>
      <c r="G16" s="41">
        <f t="shared" si="0"/>
        <v>0.06</v>
      </c>
      <c r="H16" s="41">
        <v>-2.94</v>
      </c>
    </row>
    <row r="17" spans="1:8">
      <c r="A17" s="37">
        <v>246779410904</v>
      </c>
      <c r="B17" s="38">
        <v>45722</v>
      </c>
      <c r="C17" s="39">
        <v>100222364</v>
      </c>
      <c r="D17" s="39" t="s">
        <v>5</v>
      </c>
      <c r="E17" s="39" t="s">
        <v>6</v>
      </c>
      <c r="F17" s="41">
        <v>1665.82</v>
      </c>
      <c r="G17" s="41">
        <f t="shared" si="0"/>
        <v>33.316400000000002</v>
      </c>
      <c r="H17" s="41">
        <v>-1632.5</v>
      </c>
    </row>
    <row r="18" spans="1:8">
      <c r="A18" s="37">
        <v>246779411312</v>
      </c>
      <c r="B18" s="38">
        <v>45729</v>
      </c>
      <c r="C18" s="39">
        <v>100222364</v>
      </c>
      <c r="D18" s="39" t="s">
        <v>5</v>
      </c>
      <c r="E18" s="39" t="s">
        <v>6</v>
      </c>
      <c r="F18" s="40">
        <v>27</v>
      </c>
      <c r="G18" s="41">
        <f t="shared" si="0"/>
        <v>0.54</v>
      </c>
      <c r="H18" s="41">
        <v>-26.46</v>
      </c>
    </row>
    <row r="19" spans="1:8">
      <c r="A19" s="37">
        <v>246779411407</v>
      </c>
      <c r="B19" s="38">
        <v>45730</v>
      </c>
      <c r="C19" s="39">
        <v>100222364</v>
      </c>
      <c r="D19" s="39" t="s">
        <v>5</v>
      </c>
      <c r="E19" s="39" t="s">
        <v>6</v>
      </c>
      <c r="F19" s="40">
        <v>57.23</v>
      </c>
      <c r="G19" s="41">
        <f t="shared" si="0"/>
        <v>1.1446000000000001</v>
      </c>
      <c r="H19" s="41">
        <v>-56.09</v>
      </c>
    </row>
    <row r="20" spans="1:8">
      <c r="A20" s="37">
        <v>246779411408</v>
      </c>
      <c r="B20" s="38">
        <v>45730</v>
      </c>
      <c r="C20" s="39">
        <v>100222364</v>
      </c>
      <c r="D20" s="39" t="s">
        <v>5</v>
      </c>
      <c r="E20" s="39" t="s">
        <v>6</v>
      </c>
      <c r="F20" s="40">
        <v>40.06</v>
      </c>
      <c r="G20" s="41">
        <f t="shared" si="0"/>
        <v>0.80120000000000002</v>
      </c>
      <c r="H20" s="41">
        <v>-39.26</v>
      </c>
    </row>
    <row r="21" spans="1:8">
      <c r="A21" s="37">
        <v>246779411409</v>
      </c>
      <c r="B21" s="38">
        <v>45730</v>
      </c>
      <c r="C21" s="39">
        <v>100222364</v>
      </c>
      <c r="D21" s="39" t="s">
        <v>5</v>
      </c>
      <c r="E21" s="39" t="s">
        <v>6</v>
      </c>
      <c r="F21" s="40">
        <v>249.55</v>
      </c>
      <c r="G21" s="41">
        <f t="shared" si="0"/>
        <v>4.9910000000000005</v>
      </c>
      <c r="H21" s="41">
        <v>-244.56</v>
      </c>
    </row>
    <row r="22" spans="1:8">
      <c r="A22" s="37">
        <v>246779411410</v>
      </c>
      <c r="B22" s="38">
        <v>45730</v>
      </c>
      <c r="C22" s="39">
        <v>100222364</v>
      </c>
      <c r="D22" s="39" t="s">
        <v>5</v>
      </c>
      <c r="E22" s="39" t="s">
        <v>6</v>
      </c>
      <c r="F22" s="40">
        <v>40.06</v>
      </c>
      <c r="G22" s="41">
        <f t="shared" si="0"/>
        <v>0.80120000000000002</v>
      </c>
      <c r="H22" s="41">
        <v>-39.26</v>
      </c>
    </row>
    <row r="23" spans="1:8">
      <c r="A23" s="37">
        <v>246779411411</v>
      </c>
      <c r="B23" s="38">
        <v>45730</v>
      </c>
      <c r="C23" s="39">
        <v>100222364</v>
      </c>
      <c r="D23" s="39" t="s">
        <v>5</v>
      </c>
      <c r="E23" s="39" t="s">
        <v>6</v>
      </c>
      <c r="F23" s="40">
        <v>45.79</v>
      </c>
      <c r="G23" s="41">
        <f t="shared" si="0"/>
        <v>0.91579999999999995</v>
      </c>
      <c r="H23" s="41">
        <v>-44.87</v>
      </c>
    </row>
    <row r="24" spans="1:8">
      <c r="A24" s="37">
        <v>246779411412</v>
      </c>
      <c r="B24" s="38">
        <v>45730</v>
      </c>
      <c r="C24" s="39">
        <v>100222364</v>
      </c>
      <c r="D24" s="39" t="s">
        <v>5</v>
      </c>
      <c r="E24" s="39" t="s">
        <v>6</v>
      </c>
      <c r="F24" s="40">
        <v>20.03</v>
      </c>
      <c r="G24" s="41">
        <f t="shared" si="0"/>
        <v>0.40060000000000001</v>
      </c>
      <c r="H24" s="41">
        <v>-19.63</v>
      </c>
    </row>
    <row r="25" spans="1:8">
      <c r="A25" s="37">
        <v>246779411413</v>
      </c>
      <c r="B25" s="38">
        <v>45730</v>
      </c>
      <c r="C25" s="39">
        <v>100222364</v>
      </c>
      <c r="D25" s="39" t="s">
        <v>5</v>
      </c>
      <c r="E25" s="39" t="s">
        <v>6</v>
      </c>
      <c r="F25" s="40">
        <v>40.06</v>
      </c>
      <c r="G25" s="41">
        <f t="shared" si="0"/>
        <v>0.80120000000000002</v>
      </c>
      <c r="H25" s="41">
        <v>-39.26</v>
      </c>
    </row>
    <row r="26" spans="1:8">
      <c r="A26" s="37">
        <v>246779411414</v>
      </c>
      <c r="B26" s="38">
        <v>45730</v>
      </c>
      <c r="C26" s="39">
        <v>100222364</v>
      </c>
      <c r="D26" s="39" t="s">
        <v>5</v>
      </c>
      <c r="E26" s="39" t="s">
        <v>6</v>
      </c>
      <c r="F26" s="40">
        <v>28.62</v>
      </c>
      <c r="G26" s="41">
        <f t="shared" si="0"/>
        <v>0.57240000000000002</v>
      </c>
      <c r="H26" s="41">
        <v>-28.05</v>
      </c>
    </row>
    <row r="27" spans="1:8">
      <c r="A27" s="37">
        <v>246779411415</v>
      </c>
      <c r="B27" s="38">
        <v>45730</v>
      </c>
      <c r="C27" s="39">
        <v>100222364</v>
      </c>
      <c r="D27" s="39" t="s">
        <v>5</v>
      </c>
      <c r="E27" s="39" t="s">
        <v>6</v>
      </c>
      <c r="F27" s="40">
        <v>22.89</v>
      </c>
      <c r="G27" s="41">
        <f t="shared" si="0"/>
        <v>0.45780000000000004</v>
      </c>
      <c r="H27" s="41">
        <v>-22.43</v>
      </c>
    </row>
    <row r="28" spans="1:8">
      <c r="A28" s="37">
        <v>246779411416</v>
      </c>
      <c r="B28" s="38">
        <v>45730</v>
      </c>
      <c r="C28" s="39">
        <v>100222364</v>
      </c>
      <c r="D28" s="39" t="s">
        <v>5</v>
      </c>
      <c r="E28" s="39" t="s">
        <v>6</v>
      </c>
      <c r="F28" s="40">
        <v>114.46</v>
      </c>
      <c r="G28" s="41">
        <f t="shared" si="0"/>
        <v>2.2892000000000001</v>
      </c>
      <c r="H28" s="41">
        <v>-112.17</v>
      </c>
    </row>
    <row r="29" spans="1:8">
      <c r="A29" s="37">
        <v>246779411417</v>
      </c>
      <c r="B29" s="38">
        <v>45730</v>
      </c>
      <c r="C29" s="39">
        <v>100222364</v>
      </c>
      <c r="D29" s="39" t="s">
        <v>5</v>
      </c>
      <c r="E29" s="39" t="s">
        <v>6</v>
      </c>
      <c r="F29" s="40">
        <v>68.680000000000007</v>
      </c>
      <c r="G29" s="41">
        <f t="shared" si="0"/>
        <v>1.3736000000000002</v>
      </c>
      <c r="H29" s="41">
        <v>-67.31</v>
      </c>
    </row>
    <row r="30" spans="1:8">
      <c r="A30" s="37">
        <v>246779411418</v>
      </c>
      <c r="B30" s="38">
        <v>45730</v>
      </c>
      <c r="C30" s="39">
        <v>100222364</v>
      </c>
      <c r="D30" s="39" t="s">
        <v>5</v>
      </c>
      <c r="E30" s="39" t="s">
        <v>6</v>
      </c>
      <c r="F30" s="40">
        <v>312.5</v>
      </c>
      <c r="G30" s="41">
        <f t="shared" si="0"/>
        <v>6.25</v>
      </c>
      <c r="H30" s="41">
        <v>-306.25</v>
      </c>
    </row>
    <row r="31" spans="1:8">
      <c r="A31" s="37">
        <v>246779411419</v>
      </c>
      <c r="B31" s="38">
        <v>45730</v>
      </c>
      <c r="C31" s="39">
        <v>100222364</v>
      </c>
      <c r="D31" s="39" t="s">
        <v>5</v>
      </c>
      <c r="E31" s="39" t="s">
        <v>6</v>
      </c>
      <c r="F31" s="40">
        <v>23.35</v>
      </c>
      <c r="G31" s="41">
        <f t="shared" si="0"/>
        <v>0.46700000000000003</v>
      </c>
      <c r="H31" s="41">
        <v>-22.88</v>
      </c>
    </row>
    <row r="32" spans="1:8">
      <c r="A32" s="37">
        <v>246779411593</v>
      </c>
      <c r="B32" s="38">
        <v>45733</v>
      </c>
      <c r="C32" s="39">
        <v>100222364</v>
      </c>
      <c r="D32" s="39" t="s">
        <v>5</v>
      </c>
      <c r="E32" s="39" t="s">
        <v>6</v>
      </c>
      <c r="F32" s="40">
        <v>40.1</v>
      </c>
      <c r="G32" s="41">
        <f t="shared" si="0"/>
        <v>0.80200000000000005</v>
      </c>
      <c r="H32" s="41">
        <v>-39.299999999999997</v>
      </c>
    </row>
    <row r="33" spans="1:8">
      <c r="A33" s="37">
        <v>246779411594</v>
      </c>
      <c r="B33" s="38">
        <v>45733</v>
      </c>
      <c r="C33" s="39">
        <v>100222364</v>
      </c>
      <c r="D33" s="39" t="s">
        <v>5</v>
      </c>
      <c r="E33" s="39" t="s">
        <v>6</v>
      </c>
      <c r="F33" s="40">
        <v>17.190000000000001</v>
      </c>
      <c r="G33" s="41">
        <f t="shared" si="0"/>
        <v>0.34380000000000005</v>
      </c>
      <c r="H33" s="41">
        <v>-16.850000000000001</v>
      </c>
    </row>
    <row r="34" spans="1:8">
      <c r="A34" s="37">
        <v>246779411595</v>
      </c>
      <c r="B34" s="38">
        <v>45733</v>
      </c>
      <c r="C34" s="39">
        <v>100222364</v>
      </c>
      <c r="D34" s="39" t="s">
        <v>5</v>
      </c>
      <c r="E34" s="39" t="s">
        <v>6</v>
      </c>
      <c r="F34" s="40">
        <v>51.56</v>
      </c>
      <c r="G34" s="41">
        <f t="shared" si="0"/>
        <v>1.0312000000000001</v>
      </c>
      <c r="H34" s="41">
        <v>-50.53</v>
      </c>
    </row>
    <row r="35" spans="1:8">
      <c r="A35" s="37">
        <v>246779411596</v>
      </c>
      <c r="B35" s="38">
        <v>45733</v>
      </c>
      <c r="C35" s="39">
        <v>100222364</v>
      </c>
      <c r="D35" s="39" t="s">
        <v>5</v>
      </c>
      <c r="E35" s="39" t="s">
        <v>6</v>
      </c>
      <c r="F35" s="40">
        <v>74.47</v>
      </c>
      <c r="G35" s="41">
        <f t="shared" si="0"/>
        <v>1.4894000000000001</v>
      </c>
      <c r="H35" s="41">
        <v>-72.98</v>
      </c>
    </row>
    <row r="36" spans="1:8">
      <c r="A36" s="37">
        <v>246779411597</v>
      </c>
      <c r="B36" s="38">
        <v>45733</v>
      </c>
      <c r="C36" s="39">
        <v>100222364</v>
      </c>
      <c r="D36" s="39" t="s">
        <v>5</v>
      </c>
      <c r="E36" s="39" t="s">
        <v>6</v>
      </c>
      <c r="F36" s="40">
        <v>57.29</v>
      </c>
      <c r="G36" s="41">
        <f t="shared" si="0"/>
        <v>1.1457999999999999</v>
      </c>
      <c r="H36" s="41">
        <v>-56.14</v>
      </c>
    </row>
    <row r="37" spans="1:8">
      <c r="A37" s="37">
        <v>246779411598</v>
      </c>
      <c r="B37" s="38">
        <v>45733</v>
      </c>
      <c r="C37" s="39">
        <v>100222364</v>
      </c>
      <c r="D37" s="39" t="s">
        <v>5</v>
      </c>
      <c r="E37" s="39" t="s">
        <v>6</v>
      </c>
      <c r="F37" s="40">
        <v>91.66</v>
      </c>
      <c r="G37" s="41">
        <f t="shared" si="0"/>
        <v>1.8331999999999999</v>
      </c>
      <c r="H37" s="41">
        <v>-89.83</v>
      </c>
    </row>
    <row r="38" spans="1:8">
      <c r="A38" s="37">
        <v>246779411599</v>
      </c>
      <c r="B38" s="38">
        <v>45733</v>
      </c>
      <c r="C38" s="39">
        <v>100222364</v>
      </c>
      <c r="D38" s="39" t="s">
        <v>5</v>
      </c>
      <c r="E38" s="39" t="s">
        <v>6</v>
      </c>
      <c r="F38" s="40">
        <v>37.950000000000003</v>
      </c>
      <c r="G38" s="41">
        <f t="shared" si="0"/>
        <v>0.75900000000000012</v>
      </c>
      <c r="H38" s="41">
        <v>-37.19</v>
      </c>
    </row>
    <row r="39" spans="1:8">
      <c r="A39" s="37">
        <v>246779411600</v>
      </c>
      <c r="B39" s="38">
        <v>45733</v>
      </c>
      <c r="C39" s="39">
        <v>100222364</v>
      </c>
      <c r="D39" s="39" t="s">
        <v>5</v>
      </c>
      <c r="E39" s="39" t="s">
        <v>6</v>
      </c>
      <c r="F39" s="40">
        <v>2.6</v>
      </c>
      <c r="G39" s="41">
        <f t="shared" si="0"/>
        <v>5.2000000000000005E-2</v>
      </c>
      <c r="H39" s="41">
        <v>-2.5499999999999998</v>
      </c>
    </row>
    <row r="40" spans="1:8">
      <c r="A40" s="37">
        <v>246779411601</v>
      </c>
      <c r="B40" s="38">
        <v>45733</v>
      </c>
      <c r="C40" s="39">
        <v>100222364</v>
      </c>
      <c r="D40" s="39" t="s">
        <v>5</v>
      </c>
      <c r="E40" s="39" t="s">
        <v>6</v>
      </c>
      <c r="F40" s="40">
        <v>23.39</v>
      </c>
      <c r="G40" s="41">
        <f t="shared" si="0"/>
        <v>0.46779999999999999</v>
      </c>
      <c r="H40" s="41">
        <v>-22.92</v>
      </c>
    </row>
    <row r="41" spans="1:8">
      <c r="A41" s="37">
        <v>246779411637</v>
      </c>
      <c r="B41" s="38">
        <v>45733</v>
      </c>
      <c r="C41" s="39">
        <v>100222364</v>
      </c>
      <c r="D41" s="39" t="s">
        <v>5</v>
      </c>
      <c r="E41" s="39" t="s">
        <v>6</v>
      </c>
      <c r="F41" s="40">
        <v>429.65</v>
      </c>
      <c r="G41" s="41">
        <f t="shared" si="0"/>
        <v>8.593</v>
      </c>
      <c r="H41" s="41">
        <v>-421.06</v>
      </c>
    </row>
    <row r="42" spans="1:8">
      <c r="A42" s="37">
        <v>246779411717</v>
      </c>
      <c r="B42" s="38">
        <v>45733</v>
      </c>
      <c r="C42" s="39">
        <v>100222364</v>
      </c>
      <c r="D42" s="39" t="s">
        <v>5</v>
      </c>
      <c r="E42" s="39" t="s">
        <v>6</v>
      </c>
      <c r="F42" s="40">
        <v>45.67</v>
      </c>
      <c r="G42" s="41">
        <f t="shared" si="0"/>
        <v>0.9134000000000001</v>
      </c>
      <c r="H42" s="41">
        <v>-44.76</v>
      </c>
    </row>
    <row r="43" spans="1:8">
      <c r="A43" s="37">
        <v>246779411718</v>
      </c>
      <c r="B43" s="38">
        <v>45733</v>
      </c>
      <c r="C43" s="39">
        <v>100222364</v>
      </c>
      <c r="D43" s="39" t="s">
        <v>5</v>
      </c>
      <c r="E43" s="39" t="s">
        <v>6</v>
      </c>
      <c r="F43" s="40">
        <v>22.95</v>
      </c>
      <c r="G43" s="41">
        <f t="shared" si="0"/>
        <v>0.45900000000000002</v>
      </c>
      <c r="H43" s="41">
        <v>-22.49</v>
      </c>
    </row>
    <row r="44" spans="1:8">
      <c r="A44" s="37">
        <v>246779411719</v>
      </c>
      <c r="B44" s="38">
        <v>45733</v>
      </c>
      <c r="C44" s="39">
        <v>100222364</v>
      </c>
      <c r="D44" s="39" t="s">
        <v>5</v>
      </c>
      <c r="E44" s="39" t="s">
        <v>6</v>
      </c>
      <c r="F44" s="40">
        <v>28.54</v>
      </c>
      <c r="G44" s="41">
        <f t="shared" si="0"/>
        <v>0.57079999999999997</v>
      </c>
      <c r="H44" s="41">
        <v>-27.97</v>
      </c>
    </row>
    <row r="45" spans="1:8">
      <c r="A45" s="37">
        <v>246779411720</v>
      </c>
      <c r="B45" s="38">
        <v>45733</v>
      </c>
      <c r="C45" s="39">
        <v>100222364</v>
      </c>
      <c r="D45" s="39" t="s">
        <v>5</v>
      </c>
      <c r="E45" s="39" t="s">
        <v>6</v>
      </c>
      <c r="F45" s="40">
        <v>17.12</v>
      </c>
      <c r="G45" s="41">
        <f t="shared" si="0"/>
        <v>0.34240000000000004</v>
      </c>
      <c r="H45" s="41">
        <v>-16.78</v>
      </c>
    </row>
    <row r="46" spans="1:8">
      <c r="A46" s="37">
        <v>246779411721</v>
      </c>
      <c r="B46" s="38">
        <v>45733</v>
      </c>
      <c r="C46" s="39">
        <v>100222364</v>
      </c>
      <c r="D46" s="39" t="s">
        <v>5</v>
      </c>
      <c r="E46" s="39" t="s">
        <v>6</v>
      </c>
      <c r="F46" s="40">
        <v>525.63</v>
      </c>
      <c r="G46" s="41">
        <f t="shared" si="0"/>
        <v>10.512600000000001</v>
      </c>
      <c r="H46" s="41">
        <v>-515.12</v>
      </c>
    </row>
    <row r="47" spans="1:8">
      <c r="A47" s="37">
        <v>246779411722</v>
      </c>
      <c r="B47" s="38">
        <v>45733</v>
      </c>
      <c r="C47" s="39">
        <v>100222364</v>
      </c>
      <c r="D47" s="39" t="s">
        <v>5</v>
      </c>
      <c r="E47" s="39" t="s">
        <v>6</v>
      </c>
      <c r="F47" s="40">
        <v>39.96</v>
      </c>
      <c r="G47" s="41">
        <f t="shared" si="0"/>
        <v>0.79920000000000002</v>
      </c>
      <c r="H47" s="41">
        <v>-39.159999999999997</v>
      </c>
    </row>
    <row r="48" spans="1:8">
      <c r="A48" s="37">
        <v>246779411723</v>
      </c>
      <c r="B48" s="38">
        <v>45733</v>
      </c>
      <c r="C48" s="39">
        <v>100222364</v>
      </c>
      <c r="D48" s="39" t="s">
        <v>5</v>
      </c>
      <c r="E48" s="39" t="s">
        <v>6</v>
      </c>
      <c r="F48" s="40">
        <v>45.67</v>
      </c>
      <c r="G48" s="41">
        <f t="shared" si="0"/>
        <v>0.9134000000000001</v>
      </c>
      <c r="H48" s="41">
        <v>-44.76</v>
      </c>
    </row>
    <row r="49" spans="1:8">
      <c r="A49" s="37">
        <v>246779411724</v>
      </c>
      <c r="B49" s="38">
        <v>45733</v>
      </c>
      <c r="C49" s="39">
        <v>100222364</v>
      </c>
      <c r="D49" s="39" t="s">
        <v>5</v>
      </c>
      <c r="E49" s="39" t="s">
        <v>6</v>
      </c>
      <c r="F49" s="40">
        <v>68.5</v>
      </c>
      <c r="G49" s="41">
        <f t="shared" si="0"/>
        <v>1.37</v>
      </c>
      <c r="H49" s="41">
        <v>-67.13</v>
      </c>
    </row>
    <row r="50" spans="1:8">
      <c r="A50" s="37">
        <v>246779411725</v>
      </c>
      <c r="B50" s="38">
        <v>45733</v>
      </c>
      <c r="C50" s="39">
        <v>100222364</v>
      </c>
      <c r="D50" s="39" t="s">
        <v>5</v>
      </c>
      <c r="E50" s="39" t="s">
        <v>6</v>
      </c>
      <c r="F50" s="40">
        <v>22.83</v>
      </c>
      <c r="G50" s="41">
        <f t="shared" si="0"/>
        <v>0.45659999999999995</v>
      </c>
      <c r="H50" s="41">
        <v>-22.37</v>
      </c>
    </row>
    <row r="51" spans="1:8">
      <c r="A51" s="37">
        <v>246779411726</v>
      </c>
      <c r="B51" s="38">
        <v>45733</v>
      </c>
      <c r="C51" s="39">
        <v>100222364</v>
      </c>
      <c r="D51" s="39" t="s">
        <v>5</v>
      </c>
      <c r="E51" s="39" t="s">
        <v>6</v>
      </c>
      <c r="F51" s="40">
        <v>28.54</v>
      </c>
      <c r="G51" s="41">
        <f t="shared" si="0"/>
        <v>0.57079999999999997</v>
      </c>
      <c r="H51" s="41">
        <v>-27.97</v>
      </c>
    </row>
    <row r="52" spans="1:8">
      <c r="A52" s="37">
        <v>246779411727</v>
      </c>
      <c r="B52" s="38">
        <v>45733</v>
      </c>
      <c r="C52" s="39">
        <v>100222364</v>
      </c>
      <c r="D52" s="39" t="s">
        <v>5</v>
      </c>
      <c r="E52" s="39" t="s">
        <v>6</v>
      </c>
      <c r="F52" s="40">
        <v>17.12</v>
      </c>
      <c r="G52" s="41">
        <f t="shared" si="0"/>
        <v>0.34240000000000004</v>
      </c>
      <c r="H52" s="41">
        <v>-16.78</v>
      </c>
    </row>
    <row r="53" spans="1:8">
      <c r="A53" s="37">
        <v>246779411728</v>
      </c>
      <c r="B53" s="38">
        <v>45733</v>
      </c>
      <c r="C53" s="39">
        <v>100222364</v>
      </c>
      <c r="D53" s="39" t="s">
        <v>5</v>
      </c>
      <c r="E53" s="39" t="s">
        <v>6</v>
      </c>
      <c r="F53" s="40">
        <v>11.42</v>
      </c>
      <c r="G53" s="41">
        <f t="shared" si="0"/>
        <v>0.22839999999999999</v>
      </c>
      <c r="H53" s="41">
        <v>-11.19</v>
      </c>
    </row>
    <row r="54" spans="1:8">
      <c r="A54" s="37">
        <v>246779411729</v>
      </c>
      <c r="B54" s="38">
        <v>45733</v>
      </c>
      <c r="C54" s="39">
        <v>100222364</v>
      </c>
      <c r="D54" s="39" t="s">
        <v>5</v>
      </c>
      <c r="E54" s="39" t="s">
        <v>6</v>
      </c>
      <c r="F54" s="40">
        <v>34.25</v>
      </c>
      <c r="G54" s="41">
        <f t="shared" si="0"/>
        <v>0.68500000000000005</v>
      </c>
      <c r="H54" s="41">
        <v>-33.56</v>
      </c>
    </row>
    <row r="55" spans="1:8">
      <c r="A55" s="37">
        <v>246779411731</v>
      </c>
      <c r="B55" s="38">
        <v>45733</v>
      </c>
      <c r="C55" s="39">
        <v>100222364</v>
      </c>
      <c r="D55" s="39" t="s">
        <v>5</v>
      </c>
      <c r="E55" s="39" t="s">
        <v>6</v>
      </c>
      <c r="F55" s="40">
        <v>22.83</v>
      </c>
      <c r="G55" s="41">
        <f t="shared" si="0"/>
        <v>0.45659999999999995</v>
      </c>
      <c r="H55" s="41">
        <v>-22.37</v>
      </c>
    </row>
    <row r="56" spans="1:8">
      <c r="A56" s="37">
        <v>246779411732</v>
      </c>
      <c r="B56" s="38">
        <v>45733</v>
      </c>
      <c r="C56" s="39">
        <v>100222364</v>
      </c>
      <c r="D56" s="39" t="s">
        <v>5</v>
      </c>
      <c r="E56" s="39" t="s">
        <v>6</v>
      </c>
      <c r="F56" s="40">
        <v>28.54</v>
      </c>
      <c r="G56" s="41">
        <f t="shared" si="0"/>
        <v>0.57079999999999997</v>
      </c>
      <c r="H56" s="41">
        <v>-27.97</v>
      </c>
    </row>
    <row r="57" spans="1:8">
      <c r="A57" s="37">
        <v>246779411733</v>
      </c>
      <c r="B57" s="38">
        <v>45733</v>
      </c>
      <c r="C57" s="39">
        <v>100222364</v>
      </c>
      <c r="D57" s="39" t="s">
        <v>5</v>
      </c>
      <c r="E57" s="39" t="s">
        <v>6</v>
      </c>
      <c r="F57" s="40">
        <v>17.12</v>
      </c>
      <c r="G57" s="41">
        <f t="shared" si="0"/>
        <v>0.34240000000000004</v>
      </c>
      <c r="H57" s="41">
        <v>-16.78</v>
      </c>
    </row>
    <row r="58" spans="1:8">
      <c r="A58" s="37">
        <v>246779411734</v>
      </c>
      <c r="B58" s="38">
        <v>45733</v>
      </c>
      <c r="C58" s="39">
        <v>100222364</v>
      </c>
      <c r="D58" s="39" t="s">
        <v>5</v>
      </c>
      <c r="E58" s="39" t="s">
        <v>6</v>
      </c>
      <c r="F58" s="40">
        <v>22.83</v>
      </c>
      <c r="G58" s="41">
        <f t="shared" si="0"/>
        <v>0.45659999999999995</v>
      </c>
      <c r="H58" s="41">
        <v>-22.37</v>
      </c>
    </row>
    <row r="59" spans="1:8">
      <c r="A59" s="37">
        <v>246779411735</v>
      </c>
      <c r="B59" s="38">
        <v>45733</v>
      </c>
      <c r="C59" s="39">
        <v>100222364</v>
      </c>
      <c r="D59" s="39" t="s">
        <v>5</v>
      </c>
      <c r="E59" s="39" t="s">
        <v>6</v>
      </c>
      <c r="F59" s="40">
        <v>479.25</v>
      </c>
      <c r="G59" s="41">
        <f t="shared" si="0"/>
        <v>9.5850000000000009</v>
      </c>
      <c r="H59" s="41">
        <v>-469.66</v>
      </c>
    </row>
    <row r="60" spans="1:8">
      <c r="A60" s="37">
        <v>246779411736</v>
      </c>
      <c r="B60" s="38">
        <v>45733</v>
      </c>
      <c r="C60" s="39">
        <v>100222364</v>
      </c>
      <c r="D60" s="39" t="s">
        <v>5</v>
      </c>
      <c r="E60" s="39" t="s">
        <v>6</v>
      </c>
      <c r="F60" s="40">
        <v>22.83</v>
      </c>
      <c r="G60" s="41">
        <f t="shared" si="0"/>
        <v>0.45659999999999995</v>
      </c>
      <c r="H60" s="41">
        <v>-22.37</v>
      </c>
    </row>
    <row r="61" spans="1:8">
      <c r="A61" s="37">
        <v>246779411737</v>
      </c>
      <c r="B61" s="38">
        <v>45733</v>
      </c>
      <c r="C61" s="39">
        <v>100222364</v>
      </c>
      <c r="D61" s="39" t="s">
        <v>5</v>
      </c>
      <c r="E61" s="39" t="s">
        <v>6</v>
      </c>
      <c r="F61" s="40">
        <v>28.54</v>
      </c>
      <c r="G61" s="41">
        <f t="shared" si="0"/>
        <v>0.57079999999999997</v>
      </c>
      <c r="H61" s="41">
        <v>-27.97</v>
      </c>
    </row>
    <row r="62" spans="1:8">
      <c r="A62" s="37">
        <v>246779411738</v>
      </c>
      <c r="B62" s="38">
        <v>45733</v>
      </c>
      <c r="C62" s="39">
        <v>100222364</v>
      </c>
      <c r="D62" s="39" t="s">
        <v>5</v>
      </c>
      <c r="E62" s="39" t="s">
        <v>6</v>
      </c>
      <c r="F62" s="40">
        <v>28.54</v>
      </c>
      <c r="G62" s="41">
        <f t="shared" si="0"/>
        <v>0.57079999999999997</v>
      </c>
      <c r="H62" s="41">
        <v>-27.97</v>
      </c>
    </row>
    <row r="63" spans="1:8">
      <c r="A63" s="37">
        <v>246779411739</v>
      </c>
      <c r="B63" s="38">
        <v>45733</v>
      </c>
      <c r="C63" s="39">
        <v>100222364</v>
      </c>
      <c r="D63" s="39" t="s">
        <v>5</v>
      </c>
      <c r="E63" s="39" t="s">
        <v>6</v>
      </c>
      <c r="F63" s="40">
        <v>34.25</v>
      </c>
      <c r="G63" s="41">
        <f t="shared" si="0"/>
        <v>0.68500000000000005</v>
      </c>
      <c r="H63" s="41">
        <v>-33.56</v>
      </c>
    </row>
    <row r="64" spans="1:8">
      <c r="A64" s="37">
        <v>246779411740</v>
      </c>
      <c r="B64" s="38">
        <v>45733</v>
      </c>
      <c r="C64" s="39">
        <v>100222364</v>
      </c>
      <c r="D64" s="39" t="s">
        <v>5</v>
      </c>
      <c r="E64" s="39" t="s">
        <v>6</v>
      </c>
      <c r="F64" s="40">
        <v>22.83</v>
      </c>
      <c r="G64" s="41">
        <f t="shared" si="0"/>
        <v>0.45659999999999995</v>
      </c>
      <c r="H64" s="41">
        <v>-22.37</v>
      </c>
    </row>
    <row r="65" spans="1:8">
      <c r="A65" s="37">
        <v>246779411741</v>
      </c>
      <c r="B65" s="38">
        <v>45733</v>
      </c>
      <c r="C65" s="39">
        <v>100222364</v>
      </c>
      <c r="D65" s="39" t="s">
        <v>5</v>
      </c>
      <c r="E65" s="39" t="s">
        <v>6</v>
      </c>
      <c r="F65" s="40">
        <v>240</v>
      </c>
      <c r="G65" s="41">
        <f t="shared" si="0"/>
        <v>4.8</v>
      </c>
      <c r="H65" s="41">
        <v>-235.2</v>
      </c>
    </row>
    <row r="66" spans="1:8">
      <c r="A66" s="37">
        <v>246779411742</v>
      </c>
      <c r="B66" s="38">
        <v>45733</v>
      </c>
      <c r="C66" s="39">
        <v>100222364</v>
      </c>
      <c r="D66" s="39" t="s">
        <v>5</v>
      </c>
      <c r="E66" s="39" t="s">
        <v>6</v>
      </c>
      <c r="F66" s="40">
        <v>23.27</v>
      </c>
      <c r="G66" s="41">
        <f t="shared" si="0"/>
        <v>0.46539999999999998</v>
      </c>
      <c r="H66" s="41">
        <v>-22.8</v>
      </c>
    </row>
    <row r="67" spans="1:8">
      <c r="A67" s="37">
        <v>246779411895</v>
      </c>
      <c r="B67" s="38">
        <v>45733</v>
      </c>
      <c r="C67" s="39">
        <v>100222364</v>
      </c>
      <c r="D67" s="39" t="s">
        <v>5</v>
      </c>
      <c r="E67" s="39" t="s">
        <v>6</v>
      </c>
      <c r="F67" s="40">
        <v>4.26</v>
      </c>
      <c r="G67" s="41">
        <f t="shared" ref="G67:G112" si="1">F67*2%</f>
        <v>8.5199999999999998E-2</v>
      </c>
      <c r="H67" s="41">
        <v>-4.17</v>
      </c>
    </row>
    <row r="68" spans="1:8">
      <c r="A68" s="37">
        <v>246779411896</v>
      </c>
      <c r="B68" s="38">
        <v>45733</v>
      </c>
      <c r="C68" s="39">
        <v>100222364</v>
      </c>
      <c r="D68" s="39" t="s">
        <v>5</v>
      </c>
      <c r="E68" s="39" t="s">
        <v>6</v>
      </c>
      <c r="F68" s="40">
        <v>39.770000000000003</v>
      </c>
      <c r="G68" s="41">
        <f t="shared" si="1"/>
        <v>0.79540000000000011</v>
      </c>
      <c r="H68" s="41">
        <v>-38.97</v>
      </c>
    </row>
    <row r="69" spans="1:8">
      <c r="A69" s="37">
        <v>246779411897</v>
      </c>
      <c r="B69" s="38">
        <v>45733</v>
      </c>
      <c r="C69" s="39">
        <v>100222364</v>
      </c>
      <c r="D69" s="39" t="s">
        <v>5</v>
      </c>
      <c r="E69" s="39" t="s">
        <v>6</v>
      </c>
      <c r="F69" s="40">
        <v>22.72</v>
      </c>
      <c r="G69" s="41">
        <f t="shared" si="1"/>
        <v>0.45439999999999997</v>
      </c>
      <c r="H69" s="41">
        <v>-22.27</v>
      </c>
    </row>
    <row r="70" spans="1:8">
      <c r="A70" s="37">
        <v>246779411898</v>
      </c>
      <c r="B70" s="38">
        <v>45733</v>
      </c>
      <c r="C70" s="39">
        <v>100222364</v>
      </c>
      <c r="D70" s="39" t="s">
        <v>5</v>
      </c>
      <c r="E70" s="39" t="s">
        <v>6</v>
      </c>
      <c r="F70" s="40">
        <v>7.1</v>
      </c>
      <c r="G70" s="41">
        <f t="shared" si="1"/>
        <v>0.14199999999999999</v>
      </c>
      <c r="H70" s="41">
        <v>-6.96</v>
      </c>
    </row>
    <row r="71" spans="1:8">
      <c r="A71" s="37">
        <v>246779411899</v>
      </c>
      <c r="B71" s="38">
        <v>45733</v>
      </c>
      <c r="C71" s="39">
        <v>100222364</v>
      </c>
      <c r="D71" s="39" t="s">
        <v>5</v>
      </c>
      <c r="E71" s="39" t="s">
        <v>6</v>
      </c>
      <c r="F71" s="40">
        <v>62.49</v>
      </c>
      <c r="G71" s="41">
        <f t="shared" si="1"/>
        <v>1.2498</v>
      </c>
      <c r="H71" s="41">
        <v>-61.24</v>
      </c>
    </row>
    <row r="72" spans="1:8">
      <c r="A72" s="37">
        <v>246779411900</v>
      </c>
      <c r="B72" s="38">
        <v>45733</v>
      </c>
      <c r="C72" s="39">
        <v>100222364</v>
      </c>
      <c r="D72" s="39" t="s">
        <v>5</v>
      </c>
      <c r="E72" s="39" t="s">
        <v>6</v>
      </c>
      <c r="F72" s="40">
        <v>73.849999999999994</v>
      </c>
      <c r="G72" s="41">
        <f t="shared" si="1"/>
        <v>1.4769999999999999</v>
      </c>
      <c r="H72" s="41">
        <v>-72.37</v>
      </c>
    </row>
    <row r="73" spans="1:8">
      <c r="A73" s="37">
        <v>246779411901</v>
      </c>
      <c r="B73" s="38">
        <v>45733</v>
      </c>
      <c r="C73" s="39">
        <v>100222364</v>
      </c>
      <c r="D73" s="39" t="s">
        <v>5</v>
      </c>
      <c r="E73" s="39" t="s">
        <v>6</v>
      </c>
      <c r="F73" s="40">
        <v>12.78</v>
      </c>
      <c r="G73" s="41">
        <f t="shared" si="1"/>
        <v>0.25559999999999999</v>
      </c>
      <c r="H73" s="41">
        <v>-12.52</v>
      </c>
    </row>
    <row r="74" spans="1:8">
      <c r="A74" s="37">
        <v>246779411902</v>
      </c>
      <c r="B74" s="38">
        <v>45733</v>
      </c>
      <c r="C74" s="39">
        <v>100222364</v>
      </c>
      <c r="D74" s="39" t="s">
        <v>5</v>
      </c>
      <c r="E74" s="39" t="s">
        <v>6</v>
      </c>
      <c r="F74" s="40">
        <v>2.13</v>
      </c>
      <c r="G74" s="41">
        <f t="shared" si="1"/>
        <v>4.2599999999999999E-2</v>
      </c>
      <c r="H74" s="41">
        <v>-2.09</v>
      </c>
    </row>
    <row r="75" spans="1:8">
      <c r="A75" s="37">
        <v>246779411903</v>
      </c>
      <c r="B75" s="38">
        <v>45733</v>
      </c>
      <c r="C75" s="39">
        <v>100222364</v>
      </c>
      <c r="D75" s="39" t="s">
        <v>5</v>
      </c>
      <c r="E75" s="39" t="s">
        <v>6</v>
      </c>
      <c r="F75" s="40">
        <v>3.55</v>
      </c>
      <c r="G75" s="41">
        <f t="shared" si="1"/>
        <v>7.0999999999999994E-2</v>
      </c>
      <c r="H75" s="41">
        <v>-3.48</v>
      </c>
    </row>
    <row r="76" spans="1:8">
      <c r="A76" s="37">
        <v>246779411904</v>
      </c>
      <c r="B76" s="38">
        <v>45733</v>
      </c>
      <c r="C76" s="39">
        <v>100222364</v>
      </c>
      <c r="D76" s="39" t="s">
        <v>5</v>
      </c>
      <c r="E76" s="39" t="s">
        <v>6</v>
      </c>
      <c r="F76" s="40">
        <v>58.94</v>
      </c>
      <c r="G76" s="41">
        <f t="shared" si="1"/>
        <v>1.1788000000000001</v>
      </c>
      <c r="H76" s="41">
        <v>-57.76</v>
      </c>
    </row>
    <row r="77" spans="1:8">
      <c r="A77" s="37">
        <v>246779411905</v>
      </c>
      <c r="B77" s="38">
        <v>45733</v>
      </c>
      <c r="C77" s="39">
        <v>100222364</v>
      </c>
      <c r="D77" s="39" t="s">
        <v>5</v>
      </c>
      <c r="E77" s="39" t="s">
        <v>6</v>
      </c>
      <c r="F77" s="40">
        <v>7.1</v>
      </c>
      <c r="G77" s="41">
        <f t="shared" si="1"/>
        <v>0.14199999999999999</v>
      </c>
      <c r="H77" s="41">
        <v>-6.96</v>
      </c>
    </row>
    <row r="78" spans="1:8">
      <c r="A78" s="37">
        <v>246779411906</v>
      </c>
      <c r="B78" s="38">
        <v>45733</v>
      </c>
      <c r="C78" s="39">
        <v>100222364</v>
      </c>
      <c r="D78" s="39" t="s">
        <v>5</v>
      </c>
      <c r="E78" s="39" t="s">
        <v>6</v>
      </c>
      <c r="F78" s="40">
        <v>34.090000000000003</v>
      </c>
      <c r="G78" s="41">
        <f t="shared" si="1"/>
        <v>0.68180000000000007</v>
      </c>
      <c r="H78" s="41">
        <v>-33.409999999999997</v>
      </c>
    </row>
    <row r="79" spans="1:8">
      <c r="A79" s="37">
        <v>246779411907</v>
      </c>
      <c r="B79" s="38">
        <v>45733</v>
      </c>
      <c r="C79" s="39">
        <v>100222364</v>
      </c>
      <c r="D79" s="39" t="s">
        <v>5</v>
      </c>
      <c r="E79" s="39" t="s">
        <v>6</v>
      </c>
      <c r="F79" s="40">
        <v>17.04</v>
      </c>
      <c r="G79" s="41">
        <f t="shared" si="1"/>
        <v>0.34079999999999999</v>
      </c>
      <c r="H79" s="41">
        <v>-16.7</v>
      </c>
    </row>
    <row r="80" spans="1:8">
      <c r="A80" s="37">
        <v>246779411909</v>
      </c>
      <c r="B80" s="38">
        <v>45733</v>
      </c>
      <c r="C80" s="39">
        <v>100222364</v>
      </c>
      <c r="D80" s="39" t="s">
        <v>5</v>
      </c>
      <c r="E80" s="39" t="s">
        <v>6</v>
      </c>
      <c r="F80" s="40">
        <v>28.41</v>
      </c>
      <c r="G80" s="41">
        <f t="shared" si="1"/>
        <v>0.56820000000000004</v>
      </c>
      <c r="H80" s="41">
        <v>-27.84</v>
      </c>
    </row>
    <row r="81" spans="1:8">
      <c r="A81" s="37">
        <v>246779411910</v>
      </c>
      <c r="B81" s="38">
        <v>45733</v>
      </c>
      <c r="C81" s="39">
        <v>100222364</v>
      </c>
      <c r="D81" s="39" t="s">
        <v>5</v>
      </c>
      <c r="E81" s="39" t="s">
        <v>6</v>
      </c>
      <c r="F81" s="40">
        <v>28.41</v>
      </c>
      <c r="G81" s="41">
        <f t="shared" si="1"/>
        <v>0.56820000000000004</v>
      </c>
      <c r="H81" s="41">
        <v>-27.84</v>
      </c>
    </row>
    <row r="82" spans="1:8">
      <c r="A82" s="37">
        <v>246779411911</v>
      </c>
      <c r="B82" s="38">
        <v>45733</v>
      </c>
      <c r="C82" s="39">
        <v>100222364</v>
      </c>
      <c r="D82" s="39" t="s">
        <v>5</v>
      </c>
      <c r="E82" s="39" t="s">
        <v>6</v>
      </c>
      <c r="F82" s="40">
        <v>29.83</v>
      </c>
      <c r="G82" s="41">
        <f t="shared" si="1"/>
        <v>0.59660000000000002</v>
      </c>
      <c r="H82" s="41">
        <v>-29.23</v>
      </c>
    </row>
    <row r="83" spans="1:8">
      <c r="A83" s="37">
        <v>246779411912</v>
      </c>
      <c r="B83" s="38">
        <v>45733</v>
      </c>
      <c r="C83" s="39">
        <v>100222364</v>
      </c>
      <c r="D83" s="39" t="s">
        <v>5</v>
      </c>
      <c r="E83" s="39" t="s">
        <v>6</v>
      </c>
      <c r="F83" s="40">
        <v>11.36</v>
      </c>
      <c r="G83" s="41">
        <f t="shared" si="1"/>
        <v>0.22719999999999999</v>
      </c>
      <c r="H83" s="41">
        <v>-11.13</v>
      </c>
    </row>
    <row r="84" spans="1:8">
      <c r="A84" s="37">
        <v>246779411913</v>
      </c>
      <c r="B84" s="38">
        <v>45733</v>
      </c>
      <c r="C84" s="39">
        <v>100222364</v>
      </c>
      <c r="D84" s="39" t="s">
        <v>5</v>
      </c>
      <c r="E84" s="39" t="s">
        <v>6</v>
      </c>
      <c r="F84" s="40">
        <v>28.41</v>
      </c>
      <c r="G84" s="41">
        <f t="shared" si="1"/>
        <v>0.56820000000000004</v>
      </c>
      <c r="H84" s="41">
        <v>-27.84</v>
      </c>
    </row>
    <row r="85" spans="1:8">
      <c r="A85" s="37">
        <v>246779411914</v>
      </c>
      <c r="B85" s="38">
        <v>45733</v>
      </c>
      <c r="C85" s="39">
        <v>100222364</v>
      </c>
      <c r="D85" s="39" t="s">
        <v>5</v>
      </c>
      <c r="E85" s="39" t="s">
        <v>6</v>
      </c>
      <c r="F85" s="40">
        <v>260</v>
      </c>
      <c r="G85" s="41">
        <f t="shared" si="1"/>
        <v>5.2</v>
      </c>
      <c r="H85" s="41">
        <v>-254.8</v>
      </c>
    </row>
    <row r="86" spans="1:8">
      <c r="A86" s="37">
        <v>246779411915</v>
      </c>
      <c r="B86" s="38">
        <v>45733</v>
      </c>
      <c r="C86" s="39">
        <v>100222364</v>
      </c>
      <c r="D86" s="39" t="s">
        <v>5</v>
      </c>
      <c r="E86" s="39" t="s">
        <v>6</v>
      </c>
      <c r="F86" s="40">
        <v>23.17</v>
      </c>
      <c r="G86" s="41">
        <f t="shared" si="1"/>
        <v>0.46340000000000003</v>
      </c>
      <c r="H86" s="41">
        <v>-22.71</v>
      </c>
    </row>
    <row r="87" spans="1:8">
      <c r="A87" s="37">
        <v>246779412028</v>
      </c>
      <c r="B87" s="38">
        <v>45733</v>
      </c>
      <c r="C87" s="39">
        <v>100222364</v>
      </c>
      <c r="D87" s="39" t="s">
        <v>5</v>
      </c>
      <c r="E87" s="39" t="s">
        <v>6</v>
      </c>
      <c r="F87" s="40">
        <v>28.03</v>
      </c>
      <c r="G87" s="41">
        <f t="shared" si="1"/>
        <v>0.56059999999999999</v>
      </c>
      <c r="H87" s="41">
        <v>-27.47</v>
      </c>
    </row>
    <row r="88" spans="1:8">
      <c r="A88" s="37">
        <v>246779412029</v>
      </c>
      <c r="B88" s="38">
        <v>45733</v>
      </c>
      <c r="C88" s="39">
        <v>100222364</v>
      </c>
      <c r="D88" s="39" t="s">
        <v>5</v>
      </c>
      <c r="E88" s="39" t="s">
        <v>6</v>
      </c>
      <c r="F88" s="40">
        <v>22.42</v>
      </c>
      <c r="G88" s="41">
        <f t="shared" si="1"/>
        <v>0.44840000000000002</v>
      </c>
      <c r="H88" s="41">
        <v>-21.97</v>
      </c>
    </row>
    <row r="89" spans="1:8">
      <c r="A89" s="37">
        <v>246779412030</v>
      </c>
      <c r="B89" s="38">
        <v>45733</v>
      </c>
      <c r="C89" s="39">
        <v>100222364</v>
      </c>
      <c r="D89" s="39" t="s">
        <v>5</v>
      </c>
      <c r="E89" s="39" t="s">
        <v>6</v>
      </c>
      <c r="F89" s="40">
        <v>16.82</v>
      </c>
      <c r="G89" s="41">
        <f t="shared" si="1"/>
        <v>0.33640000000000003</v>
      </c>
      <c r="H89" s="41">
        <v>-16.48</v>
      </c>
    </row>
    <row r="90" spans="1:8">
      <c r="A90" s="37">
        <v>246779412031</v>
      </c>
      <c r="B90" s="38">
        <v>45733</v>
      </c>
      <c r="C90" s="39">
        <v>100222364</v>
      </c>
      <c r="D90" s="39" t="s">
        <v>5</v>
      </c>
      <c r="E90" s="39" t="s">
        <v>6</v>
      </c>
      <c r="F90" s="40">
        <v>28.03</v>
      </c>
      <c r="G90" s="41">
        <f t="shared" si="1"/>
        <v>0.56059999999999999</v>
      </c>
      <c r="H90" s="41">
        <v>-27.47</v>
      </c>
    </row>
    <row r="91" spans="1:8">
      <c r="A91" s="37">
        <v>246779412032</v>
      </c>
      <c r="B91" s="38">
        <v>45733</v>
      </c>
      <c r="C91" s="39">
        <v>100222364</v>
      </c>
      <c r="D91" s="39" t="s">
        <v>5</v>
      </c>
      <c r="E91" s="39" t="s">
        <v>6</v>
      </c>
      <c r="F91" s="40">
        <v>33.64</v>
      </c>
      <c r="G91" s="41">
        <f t="shared" si="1"/>
        <v>0.67280000000000006</v>
      </c>
      <c r="H91" s="41">
        <v>-32.97</v>
      </c>
    </row>
    <row r="92" spans="1:8">
      <c r="A92" s="37">
        <v>246779412034</v>
      </c>
      <c r="B92" s="38">
        <v>45733</v>
      </c>
      <c r="C92" s="39">
        <v>100222364</v>
      </c>
      <c r="D92" s="39" t="s">
        <v>5</v>
      </c>
      <c r="E92" s="39" t="s">
        <v>6</v>
      </c>
      <c r="F92" s="40">
        <v>33.64</v>
      </c>
      <c r="G92" s="41">
        <f t="shared" si="1"/>
        <v>0.67280000000000006</v>
      </c>
      <c r="H92" s="41">
        <v>-32.97</v>
      </c>
    </row>
    <row r="93" spans="1:8">
      <c r="A93" s="37">
        <v>246779412035</v>
      </c>
      <c r="B93" s="38">
        <v>45733</v>
      </c>
      <c r="C93" s="39">
        <v>100222364</v>
      </c>
      <c r="D93" s="39" t="s">
        <v>5</v>
      </c>
      <c r="E93" s="39" t="s">
        <v>6</v>
      </c>
      <c r="F93" s="40">
        <v>72.88</v>
      </c>
      <c r="G93" s="41">
        <f t="shared" si="1"/>
        <v>1.4576</v>
      </c>
      <c r="H93" s="41">
        <v>-71.42</v>
      </c>
    </row>
    <row r="94" spans="1:8">
      <c r="A94" s="37">
        <v>246779412036</v>
      </c>
      <c r="B94" s="38">
        <v>45733</v>
      </c>
      <c r="C94" s="39">
        <v>100222364</v>
      </c>
      <c r="D94" s="39" t="s">
        <v>5</v>
      </c>
      <c r="E94" s="39" t="s">
        <v>6</v>
      </c>
      <c r="F94" s="40">
        <v>28.03</v>
      </c>
      <c r="G94" s="41">
        <f t="shared" si="1"/>
        <v>0.56059999999999999</v>
      </c>
      <c r="H94" s="41">
        <v>-27.47</v>
      </c>
    </row>
    <row r="95" spans="1:8">
      <c r="A95" s="37">
        <v>246779412037</v>
      </c>
      <c r="B95" s="38">
        <v>45733</v>
      </c>
      <c r="C95" s="39">
        <v>100222364</v>
      </c>
      <c r="D95" s="39" t="s">
        <v>5</v>
      </c>
      <c r="E95" s="39" t="s">
        <v>6</v>
      </c>
      <c r="F95" s="40">
        <v>44.85</v>
      </c>
      <c r="G95" s="41">
        <f t="shared" si="1"/>
        <v>0.89700000000000002</v>
      </c>
      <c r="H95" s="41">
        <v>-43.95</v>
      </c>
    </row>
    <row r="96" spans="1:8">
      <c r="A96" s="37">
        <v>246779412038</v>
      </c>
      <c r="B96" s="38">
        <v>45733</v>
      </c>
      <c r="C96" s="39">
        <v>100222364</v>
      </c>
      <c r="D96" s="39" t="s">
        <v>5</v>
      </c>
      <c r="E96" s="39" t="s">
        <v>6</v>
      </c>
      <c r="F96" s="40">
        <v>33.64</v>
      </c>
      <c r="G96" s="41">
        <f t="shared" si="1"/>
        <v>0.67280000000000006</v>
      </c>
      <c r="H96" s="41">
        <v>-32.97</v>
      </c>
    </row>
    <row r="97" spans="1:8">
      <c r="A97" s="37">
        <v>246779412039</v>
      </c>
      <c r="B97" s="38">
        <v>45733</v>
      </c>
      <c r="C97" s="39">
        <v>100222364</v>
      </c>
      <c r="D97" s="39" t="s">
        <v>5</v>
      </c>
      <c r="E97" s="39" t="s">
        <v>6</v>
      </c>
      <c r="F97" s="40">
        <v>56.06</v>
      </c>
      <c r="G97" s="41">
        <f t="shared" si="1"/>
        <v>1.1212</v>
      </c>
      <c r="H97" s="41">
        <v>-54.94</v>
      </c>
    </row>
    <row r="98" spans="1:8">
      <c r="A98" s="37">
        <v>246779412040</v>
      </c>
      <c r="B98" s="38">
        <v>45733</v>
      </c>
      <c r="C98" s="39">
        <v>100222364</v>
      </c>
      <c r="D98" s="39" t="s">
        <v>5</v>
      </c>
      <c r="E98" s="39" t="s">
        <v>6</v>
      </c>
      <c r="F98" s="40">
        <v>16.82</v>
      </c>
      <c r="G98" s="41">
        <f t="shared" si="1"/>
        <v>0.33640000000000003</v>
      </c>
      <c r="H98" s="41">
        <v>-16.48</v>
      </c>
    </row>
    <row r="99" spans="1:8">
      <c r="A99" s="37">
        <v>246779412041</v>
      </c>
      <c r="B99" s="38">
        <v>45733</v>
      </c>
      <c r="C99" s="39">
        <v>100222364</v>
      </c>
      <c r="D99" s="39" t="s">
        <v>5</v>
      </c>
      <c r="E99" s="39" t="s">
        <v>6</v>
      </c>
      <c r="F99" s="40">
        <v>33.64</v>
      </c>
      <c r="G99" s="41">
        <f t="shared" si="1"/>
        <v>0.67280000000000006</v>
      </c>
      <c r="H99" s="41">
        <v>-32.97</v>
      </c>
    </row>
    <row r="100" spans="1:8">
      <c r="A100" s="37">
        <v>246779412042</v>
      </c>
      <c r="B100" s="38">
        <v>45733</v>
      </c>
      <c r="C100" s="39">
        <v>100222364</v>
      </c>
      <c r="D100" s="39" t="s">
        <v>5</v>
      </c>
      <c r="E100" s="39" t="s">
        <v>6</v>
      </c>
      <c r="F100" s="40">
        <v>16.82</v>
      </c>
      <c r="G100" s="41">
        <f t="shared" si="1"/>
        <v>0.33640000000000003</v>
      </c>
      <c r="H100" s="41">
        <v>-16.48</v>
      </c>
    </row>
    <row r="101" spans="1:8">
      <c r="A101" s="37">
        <v>246779412043</v>
      </c>
      <c r="B101" s="38">
        <v>45733</v>
      </c>
      <c r="C101" s="39">
        <v>100222364</v>
      </c>
      <c r="D101" s="39" t="s">
        <v>5</v>
      </c>
      <c r="E101" s="39" t="s">
        <v>6</v>
      </c>
      <c r="F101" s="40">
        <v>16.82</v>
      </c>
      <c r="G101" s="41">
        <f t="shared" si="1"/>
        <v>0.33640000000000003</v>
      </c>
      <c r="H101" s="41">
        <v>-16.48</v>
      </c>
    </row>
    <row r="102" spans="1:8">
      <c r="A102" s="37">
        <v>246779412044</v>
      </c>
      <c r="B102" s="38">
        <v>45733</v>
      </c>
      <c r="C102" s="39">
        <v>100222364</v>
      </c>
      <c r="D102" s="39" t="s">
        <v>5</v>
      </c>
      <c r="E102" s="39" t="s">
        <v>6</v>
      </c>
      <c r="F102" s="40">
        <v>30.37</v>
      </c>
      <c r="G102" s="41">
        <f t="shared" si="1"/>
        <v>0.60740000000000005</v>
      </c>
      <c r="H102" s="41">
        <v>-29.76</v>
      </c>
    </row>
    <row r="103" spans="1:8">
      <c r="A103" s="37">
        <v>246779412045</v>
      </c>
      <c r="B103" s="38">
        <v>45733</v>
      </c>
      <c r="C103" s="39">
        <v>100222364</v>
      </c>
      <c r="D103" s="39" t="s">
        <v>5</v>
      </c>
      <c r="E103" s="39" t="s">
        <v>6</v>
      </c>
      <c r="F103" s="40">
        <v>230</v>
      </c>
      <c r="G103" s="41">
        <f t="shared" si="1"/>
        <v>4.6000000000000005</v>
      </c>
      <c r="H103" s="41">
        <v>-225.4</v>
      </c>
    </row>
    <row r="104" spans="1:8">
      <c r="A104" s="37">
        <v>246779412046</v>
      </c>
      <c r="B104" s="38">
        <v>45733</v>
      </c>
      <c r="C104" s="39">
        <v>100222364</v>
      </c>
      <c r="D104" s="39" t="s">
        <v>5</v>
      </c>
      <c r="E104" s="39" t="s">
        <v>6</v>
      </c>
      <c r="F104" s="40">
        <v>16.82</v>
      </c>
      <c r="G104" s="41">
        <f t="shared" si="1"/>
        <v>0.33640000000000003</v>
      </c>
      <c r="H104" s="41">
        <v>-16.48</v>
      </c>
    </row>
    <row r="105" spans="1:8">
      <c r="A105" s="37">
        <v>246779412048</v>
      </c>
      <c r="B105" s="38">
        <v>45733</v>
      </c>
      <c r="C105" s="39">
        <v>100222364</v>
      </c>
      <c r="D105" s="39" t="s">
        <v>5</v>
      </c>
      <c r="E105" s="39" t="s">
        <v>6</v>
      </c>
      <c r="F105" s="40">
        <v>22.78</v>
      </c>
      <c r="G105" s="41">
        <f t="shared" si="1"/>
        <v>0.4556</v>
      </c>
      <c r="H105" s="41">
        <v>-22.32</v>
      </c>
    </row>
    <row r="106" spans="1:8">
      <c r="A106" s="37">
        <v>246779412111</v>
      </c>
      <c r="B106" s="38">
        <v>45733</v>
      </c>
      <c r="C106" s="39">
        <v>100222364</v>
      </c>
      <c r="D106" s="39" t="s">
        <v>5</v>
      </c>
      <c r="E106" s="39" t="s">
        <v>6</v>
      </c>
      <c r="F106" s="40">
        <v>420.46</v>
      </c>
      <c r="G106" s="41">
        <f t="shared" si="1"/>
        <v>8.4092000000000002</v>
      </c>
      <c r="H106" s="41">
        <v>-412.05</v>
      </c>
    </row>
    <row r="107" spans="1:8">
      <c r="A107" s="37">
        <v>246779413202</v>
      </c>
      <c r="B107" s="38">
        <v>45735</v>
      </c>
      <c r="C107" s="39">
        <v>100222364</v>
      </c>
      <c r="D107" s="39" t="s">
        <v>5</v>
      </c>
      <c r="E107" s="39" t="s">
        <v>6</v>
      </c>
      <c r="F107" s="40">
        <v>39.06</v>
      </c>
      <c r="G107" s="41">
        <f t="shared" si="1"/>
        <v>0.78120000000000012</v>
      </c>
      <c r="H107" s="41">
        <v>-38.28</v>
      </c>
    </row>
    <row r="108" spans="1:8">
      <c r="A108" s="37">
        <v>246779413730</v>
      </c>
      <c r="B108" s="38">
        <v>45736</v>
      </c>
      <c r="C108" s="39">
        <v>100222364</v>
      </c>
      <c r="D108" s="39" t="s">
        <v>5</v>
      </c>
      <c r="E108" s="39" t="s">
        <v>6</v>
      </c>
      <c r="F108" s="40">
        <v>3.2</v>
      </c>
      <c r="G108" s="41">
        <f t="shared" si="1"/>
        <v>6.4000000000000001E-2</v>
      </c>
      <c r="H108" s="41">
        <v>-3.14</v>
      </c>
    </row>
    <row r="109" spans="1:8">
      <c r="A109" s="37">
        <v>246779414385</v>
      </c>
      <c r="B109" s="38">
        <v>45736</v>
      </c>
      <c r="C109" s="39">
        <v>100222364</v>
      </c>
      <c r="D109" s="39" t="s">
        <v>5</v>
      </c>
      <c r="E109" s="39" t="s">
        <v>6</v>
      </c>
      <c r="F109" s="40">
        <v>240</v>
      </c>
      <c r="G109" s="41">
        <f t="shared" si="1"/>
        <v>4.8</v>
      </c>
      <c r="H109" s="41">
        <v>-235.2</v>
      </c>
    </row>
    <row r="110" spans="1:8">
      <c r="A110" s="37">
        <v>246779414662</v>
      </c>
      <c r="B110" s="38">
        <v>45736</v>
      </c>
      <c r="C110" s="39">
        <v>100222364</v>
      </c>
      <c r="D110" s="39" t="s">
        <v>5</v>
      </c>
      <c r="E110" s="39" t="s">
        <v>6</v>
      </c>
      <c r="F110" s="40">
        <v>275</v>
      </c>
      <c r="G110" s="41">
        <f t="shared" si="1"/>
        <v>5.5</v>
      </c>
      <c r="H110" s="41">
        <v>-269.5</v>
      </c>
    </row>
    <row r="111" spans="1:8">
      <c r="A111" s="37">
        <v>246779414663</v>
      </c>
      <c r="B111" s="38">
        <v>45736</v>
      </c>
      <c r="C111" s="39">
        <v>100222364</v>
      </c>
      <c r="D111" s="39" t="s">
        <v>5</v>
      </c>
      <c r="E111" s="39" t="s">
        <v>6</v>
      </c>
      <c r="F111" s="40">
        <v>45</v>
      </c>
      <c r="G111" s="41">
        <f t="shared" si="1"/>
        <v>0.9</v>
      </c>
      <c r="H111" s="41">
        <v>-44.1</v>
      </c>
    </row>
    <row r="112" spans="1:8">
      <c r="A112" s="37">
        <v>256779411468</v>
      </c>
      <c r="B112" s="38">
        <v>45762</v>
      </c>
      <c r="C112" s="39">
        <v>100222364</v>
      </c>
      <c r="D112" s="39" t="s">
        <v>5</v>
      </c>
      <c r="E112" s="39" t="s">
        <v>6</v>
      </c>
      <c r="F112" s="40">
        <v>26.55</v>
      </c>
      <c r="G112" s="41">
        <f t="shared" si="1"/>
        <v>0.53100000000000003</v>
      </c>
      <c r="H112" s="41">
        <v>-26.02</v>
      </c>
    </row>
    <row r="113" spans="1:8">
      <c r="A113" s="37"/>
      <c r="B113" s="38"/>
      <c r="C113" s="39"/>
      <c r="D113" s="39"/>
      <c r="E113" s="39"/>
      <c r="F113" s="40"/>
      <c r="G113" s="40"/>
      <c r="H113" s="40"/>
    </row>
    <row r="114" spans="1:8">
      <c r="A114" s="42"/>
      <c r="B114" s="42"/>
      <c r="C114" s="42"/>
      <c r="D114" s="56" t="s">
        <v>22</v>
      </c>
      <c r="E114" s="42"/>
      <c r="F114" s="43">
        <f>SUM(F2:F112)</f>
        <v>20587.699999999993</v>
      </c>
      <c r="G114" s="43">
        <f>SUM(G2:G112)</f>
        <v>411.7540000000003</v>
      </c>
      <c r="H114" s="43">
        <f>SUM(H2:H112)</f>
        <v>-20175.909999999993</v>
      </c>
    </row>
  </sheetData>
  <autoFilter ref="A1:I114" xr:uid="{4F274987-E5F3-46E7-8824-A12C6A396FD8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Jan'26</vt:lpstr>
      <vt:lpstr>Dec'25</vt:lpstr>
      <vt:lpstr>Nov'25</vt:lpstr>
      <vt:lpstr>Oct'25</vt:lpstr>
      <vt:lpstr>Jul'25</vt:lpstr>
      <vt:lpstr>Jun'25</vt:lpstr>
    </vt:vector>
  </TitlesOfParts>
  <Company>KN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Vihol, Rajesh / Kuehne + Nagel / Amd ZF-KE</dc:creator>
  <cp:lastModifiedBy>Neuroy Gonsalves</cp:lastModifiedBy>
  <dcterms:created xsi:type="dcterms:W3CDTF">2025-11-19T14:51:11Z</dcterms:created>
  <dcterms:modified xsi:type="dcterms:W3CDTF">2026-02-05T14:49:22Z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828794a-ad25-45b2-b935-93f5b652d9d4_Enabled">
    <vt:lpwstr>true</vt:lpwstr>
  </property>
  <property fmtid="{D5CDD505-2E9C-101B-9397-08002B2CF9AE}" pid="3" name="MSIP_Label_0828794a-ad25-45b2-b935-93f5b652d9d4_SetDate">
    <vt:lpwstr>2025-11-19T14:59:05Z</vt:lpwstr>
  </property>
  <property fmtid="{D5CDD505-2E9C-101B-9397-08002B2CF9AE}" pid="4" name="MSIP_Label_0828794a-ad25-45b2-b935-93f5b652d9d4_Method">
    <vt:lpwstr>Standard</vt:lpwstr>
  </property>
  <property fmtid="{D5CDD505-2E9C-101B-9397-08002B2CF9AE}" pid="5" name="MSIP_Label_0828794a-ad25-45b2-b935-93f5b652d9d4_Name">
    <vt:lpwstr>External</vt:lpwstr>
  </property>
  <property fmtid="{D5CDD505-2E9C-101B-9397-08002B2CF9AE}" pid="6" name="MSIP_Label_0828794a-ad25-45b2-b935-93f5b652d9d4_SiteId">
    <vt:lpwstr>ea7a7580-e503-4446-9197-e4bd27841804</vt:lpwstr>
  </property>
  <property fmtid="{D5CDD505-2E9C-101B-9397-08002B2CF9AE}" pid="7" name="MSIP_Label_0828794a-ad25-45b2-b935-93f5b652d9d4_ActionId">
    <vt:lpwstr>d87708ca-a3ce-4b66-8d52-5abffc1c52d1</vt:lpwstr>
  </property>
  <property fmtid="{D5CDD505-2E9C-101B-9397-08002B2CF9AE}" pid="8" name="MSIP_Label_0828794a-ad25-45b2-b935-93f5b652d9d4_ContentBits">
    <vt:lpwstr>0</vt:lpwstr>
  </property>
  <property fmtid="{D5CDD505-2E9C-101B-9397-08002B2CF9AE}" pid="9" name="MSIP_Label_0828794a-ad25-45b2-b935-93f5b652d9d4_Tag">
    <vt:lpwstr>10, 3, 0, 1</vt:lpwstr>
  </property>
</Properties>
</file>