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9. KUEHNE NAGEL PVT. LTD\"/>
    </mc:Choice>
  </mc:AlternateContent>
  <xr:revisionPtr revIDLastSave="0" documentId="13_ncr:1_{01F469E9-5F5F-4115-99F4-5C1D8B724CD4}" xr6:coauthVersionLast="47" xr6:coauthVersionMax="47" xr10:uidLastSave="{00000000-0000-0000-0000-000000000000}"/>
  <bookViews>
    <workbookView xWindow="-110" yWindow="-110" windowWidth="21820" windowHeight="14020" tabRatio="937" activeTab="1" xr2:uid="{5925E2E0-1D62-459F-8D22-2B13EE12D4DD}"/>
  </bookViews>
  <sheets>
    <sheet name="Ascendus DATA" sheetId="8" r:id="rId1"/>
    <sheet name="Summary " sheetId="17" r:id="rId2"/>
    <sheet name="Corrections to be done by custo" sheetId="22" r:id="rId3"/>
    <sheet name="Biling Reco" sheetId="10" r:id="rId4"/>
    <sheet name="Payment Reco" sheetId="6" r:id="rId5"/>
    <sheet name="Pivot data" sheetId="5" r:id="rId6"/>
    <sheet name="Invoices not in customer's Book" sheetId="15" r:id="rId7"/>
    <sheet name="CN Not in Customer's Books" sheetId="14" r:id="rId8"/>
    <sheet name="Foreign Exchange difference" sheetId="18" r:id="rId9"/>
    <sheet name="Ascendus" sheetId="13" r:id="rId10"/>
    <sheet name="Sheet12" sheetId="12" state="hidden" r:id="rId11"/>
    <sheet name="Sheet4" sheetId="19" state="hidden" r:id="rId12"/>
    <sheet name="CUSTOMER DATA" sheetId="1" r:id="rId13"/>
    <sheet name="Customer TDS" sheetId="20" r:id="rId14"/>
    <sheet name="Customer P matching" sheetId="21" r:id="rId15"/>
    <sheet name="Pivot" sheetId="9" r:id="rId16"/>
    <sheet name="26AS Reco" sheetId="11" r:id="rId17"/>
  </sheets>
  <externalReferences>
    <externalReference r:id="rId18"/>
    <externalReference r:id="rId19"/>
    <externalReference r:id="rId20"/>
  </externalReferences>
  <definedNames>
    <definedName name="_xlnm._FilterDatabase" localSheetId="9" hidden="1">Ascendus!$A$1:$M$708</definedName>
    <definedName name="_xlnm._FilterDatabase" localSheetId="0" hidden="1">'Ascendus DATA'!$A$1:$K$707</definedName>
    <definedName name="_xlnm._FilterDatabase" localSheetId="12" hidden="1">'CUSTOMER DATA'!$A$2:$AB$751</definedName>
    <definedName name="_xlnm._FilterDatabase" localSheetId="13" hidden="1">'Customer TDS'!$A$2:$L$385</definedName>
    <definedName name="_xlnm._FilterDatabase" localSheetId="6" hidden="1">'Invoices not in customer''s Book'!$A$1:$M$141</definedName>
  </definedNames>
  <calcPr calcId="191029"/>
  <pivotCaches>
    <pivotCache cacheId="6" r:id="rId21"/>
    <pivotCache cacheId="7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7" l="1"/>
  <c r="B9" i="17"/>
  <c r="H20" i="15"/>
  <c r="H21" i="14"/>
  <c r="H18" i="15"/>
  <c r="AA751" i="1" l="1"/>
  <c r="AB751" i="1" s="1"/>
  <c r="X751" i="1"/>
  <c r="AA750" i="1"/>
  <c r="AB750" i="1" s="1"/>
  <c r="X750" i="1"/>
  <c r="Y750" i="1" s="1"/>
  <c r="AA749" i="1"/>
  <c r="AB749" i="1" s="1"/>
  <c r="X749" i="1"/>
  <c r="Y749" i="1" s="1"/>
  <c r="AA748" i="1"/>
  <c r="AB748" i="1" s="1"/>
  <c r="X748" i="1"/>
  <c r="Y748" i="1" s="1"/>
  <c r="AA747" i="1"/>
  <c r="AB747" i="1" s="1"/>
  <c r="X747" i="1"/>
  <c r="W747" i="1" s="1"/>
  <c r="AA746" i="1"/>
  <c r="AB746" i="1" s="1"/>
  <c r="X746" i="1"/>
  <c r="Y746" i="1" s="1"/>
  <c r="AA745" i="1"/>
  <c r="AB745" i="1" s="1"/>
  <c r="X745" i="1"/>
  <c r="Y745" i="1" s="1"/>
  <c r="AA744" i="1"/>
  <c r="AB744" i="1" s="1"/>
  <c r="X744" i="1"/>
  <c r="AA743" i="1"/>
  <c r="AB743" i="1" s="1"/>
  <c r="X743" i="1"/>
  <c r="W743" i="1" s="1"/>
  <c r="AA742" i="1"/>
  <c r="AB742" i="1" s="1"/>
  <c r="X742" i="1"/>
  <c r="Y742" i="1" s="1"/>
  <c r="AA741" i="1"/>
  <c r="AB741" i="1" s="1"/>
  <c r="X741" i="1"/>
  <c r="Y741" i="1" s="1"/>
  <c r="AA740" i="1"/>
  <c r="AB740" i="1" s="1"/>
  <c r="X740" i="1"/>
  <c r="Y740" i="1" s="1"/>
  <c r="AA739" i="1"/>
  <c r="AB739" i="1" s="1"/>
  <c r="X739" i="1"/>
  <c r="W739" i="1" s="1"/>
  <c r="AA738" i="1"/>
  <c r="AB738" i="1" s="1"/>
  <c r="X738" i="1"/>
  <c r="Y738" i="1" s="1"/>
  <c r="AA737" i="1"/>
  <c r="AB737" i="1" s="1"/>
  <c r="X737" i="1"/>
  <c r="Y737" i="1" s="1"/>
  <c r="AA736" i="1"/>
  <c r="AB736" i="1" s="1"/>
  <c r="X736" i="1"/>
  <c r="Y736" i="1" s="1"/>
  <c r="AA735" i="1"/>
  <c r="AB735" i="1" s="1"/>
  <c r="X735" i="1"/>
  <c r="W735" i="1" s="1"/>
  <c r="AA734" i="1"/>
  <c r="AB734" i="1" s="1"/>
  <c r="X734" i="1"/>
  <c r="Y734" i="1" s="1"/>
  <c r="AA733" i="1"/>
  <c r="AB733" i="1" s="1"/>
  <c r="X733" i="1"/>
  <c r="W733" i="1" s="1"/>
  <c r="AA732" i="1"/>
  <c r="AB732" i="1" s="1"/>
  <c r="X732" i="1"/>
  <c r="AA731" i="1"/>
  <c r="AB731" i="1" s="1"/>
  <c r="X731" i="1"/>
  <c r="Y731" i="1" s="1"/>
  <c r="AA730" i="1"/>
  <c r="AB730" i="1" s="1"/>
  <c r="X730" i="1"/>
  <c r="Y730" i="1" s="1"/>
  <c r="AA729" i="1"/>
  <c r="AB729" i="1" s="1"/>
  <c r="X729" i="1"/>
  <c r="Y729" i="1" s="1"/>
  <c r="AA728" i="1"/>
  <c r="AB728" i="1" s="1"/>
  <c r="X728" i="1"/>
  <c r="Y728" i="1" s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AB669" i="1"/>
  <c r="X669" i="1"/>
  <c r="Y669" i="1" s="1"/>
  <c r="AA668" i="1"/>
  <c r="AB668" i="1" s="1"/>
  <c r="X668" i="1"/>
  <c r="AA667" i="1"/>
  <c r="AB667" i="1" s="1"/>
  <c r="X667" i="1"/>
  <c r="Y667" i="1" s="1"/>
  <c r="AA666" i="1"/>
  <c r="AB666" i="1" s="1"/>
  <c r="X666" i="1"/>
  <c r="W666" i="1" s="1"/>
  <c r="AA665" i="1"/>
  <c r="AB665" i="1" s="1"/>
  <c r="X665" i="1"/>
  <c r="Y665" i="1" s="1"/>
  <c r="AA664" i="1"/>
  <c r="AB664" i="1" s="1"/>
  <c r="X664" i="1"/>
  <c r="Y664" i="1" s="1"/>
  <c r="AA663" i="1"/>
  <c r="AB663" i="1" s="1"/>
  <c r="X663" i="1"/>
  <c r="Y663" i="1" s="1"/>
  <c r="AA662" i="1"/>
  <c r="AB662" i="1" s="1"/>
  <c r="X662" i="1"/>
  <c r="W662" i="1" s="1"/>
  <c r="AA661" i="1"/>
  <c r="AB661" i="1" s="1"/>
  <c r="X661" i="1"/>
  <c r="Y661" i="1" s="1"/>
  <c r="AA660" i="1"/>
  <c r="AB660" i="1" s="1"/>
  <c r="X660" i="1"/>
  <c r="Y660" i="1" s="1"/>
  <c r="AA659" i="1"/>
  <c r="AB659" i="1" s="1"/>
  <c r="X659" i="1"/>
  <c r="Y659" i="1" s="1"/>
  <c r="AA658" i="1"/>
  <c r="AB658" i="1" s="1"/>
  <c r="X658" i="1"/>
  <c r="Y658" i="1" s="1"/>
  <c r="AA657" i="1"/>
  <c r="AB657" i="1" s="1"/>
  <c r="X657" i="1"/>
  <c r="Y657" i="1" s="1"/>
  <c r="AA656" i="1"/>
  <c r="AB656" i="1" s="1"/>
  <c r="X656" i="1"/>
  <c r="Y656" i="1" s="1"/>
  <c r="AA655" i="1"/>
  <c r="AB655" i="1" s="1"/>
  <c r="X655" i="1"/>
  <c r="W655" i="1" s="1"/>
  <c r="AA654" i="1"/>
  <c r="AB654" i="1" s="1"/>
  <c r="X654" i="1"/>
  <c r="W654" i="1" s="1"/>
  <c r="AA653" i="1"/>
  <c r="AB653" i="1" s="1"/>
  <c r="X653" i="1"/>
  <c r="Y653" i="1" s="1"/>
  <c r="AA652" i="1"/>
  <c r="AB652" i="1" s="1"/>
  <c r="X652" i="1"/>
  <c r="Y652" i="1" s="1"/>
  <c r="AA651" i="1"/>
  <c r="AB651" i="1" s="1"/>
  <c r="X651" i="1"/>
  <c r="Y651" i="1" s="1"/>
  <c r="AA650" i="1"/>
  <c r="AB650" i="1" s="1"/>
  <c r="X650" i="1"/>
  <c r="AA649" i="1"/>
  <c r="AB649" i="1" s="1"/>
  <c r="X649" i="1"/>
  <c r="W649" i="1" s="1"/>
  <c r="AA648" i="1"/>
  <c r="AB648" i="1" s="1"/>
  <c r="X648" i="1"/>
  <c r="Y648" i="1" s="1"/>
  <c r="AA647" i="1"/>
  <c r="AB647" i="1" s="1"/>
  <c r="X647" i="1"/>
  <c r="Y647" i="1" s="1"/>
  <c r="AA646" i="1"/>
  <c r="AB646" i="1" s="1"/>
  <c r="X646" i="1"/>
  <c r="Y646" i="1" s="1"/>
  <c r="AA645" i="1"/>
  <c r="AB645" i="1" s="1"/>
  <c r="X645" i="1"/>
  <c r="W645" i="1" s="1"/>
  <c r="AA644" i="1"/>
  <c r="AB644" i="1" s="1"/>
  <c r="X644" i="1"/>
  <c r="AA643" i="1"/>
  <c r="AB643" i="1" s="1"/>
  <c r="X643" i="1"/>
  <c r="Y643" i="1" s="1"/>
  <c r="AA642" i="1"/>
  <c r="AB642" i="1" s="1"/>
  <c r="X642" i="1"/>
  <c r="W642" i="1" s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AA598" i="1"/>
  <c r="AB598" i="1" s="1"/>
  <c r="X598" i="1"/>
  <c r="W598" i="1" s="1"/>
  <c r="AA597" i="1"/>
  <c r="AB597" i="1" s="1"/>
  <c r="X597" i="1"/>
  <c r="Y597" i="1" s="1"/>
  <c r="AA596" i="1"/>
  <c r="AB596" i="1" s="1"/>
  <c r="X596" i="1"/>
  <c r="Y596" i="1" s="1"/>
  <c r="AA595" i="1"/>
  <c r="AB595" i="1" s="1"/>
  <c r="X595" i="1"/>
  <c r="Y595" i="1" s="1"/>
  <c r="AA594" i="1"/>
  <c r="AB594" i="1" s="1"/>
  <c r="X594" i="1"/>
  <c r="W594" i="1" s="1"/>
  <c r="Y593" i="1"/>
  <c r="AA592" i="1"/>
  <c r="AB592" i="1" s="1"/>
  <c r="X592" i="1"/>
  <c r="Y592" i="1" s="1"/>
  <c r="AA591" i="1"/>
  <c r="AB591" i="1" s="1"/>
  <c r="X591" i="1"/>
  <c r="Y591" i="1" s="1"/>
  <c r="AA590" i="1"/>
  <c r="AB590" i="1" s="1"/>
  <c r="X590" i="1"/>
  <c r="AA589" i="1"/>
  <c r="AB589" i="1" s="1"/>
  <c r="X589" i="1"/>
  <c r="Y589" i="1" s="1"/>
  <c r="AA588" i="1"/>
  <c r="AB588" i="1" s="1"/>
  <c r="X588" i="1"/>
  <c r="Y588" i="1" s="1"/>
  <c r="AA587" i="1"/>
  <c r="AB587" i="1" s="1"/>
  <c r="X587" i="1"/>
  <c r="Y587" i="1" s="1"/>
  <c r="AA586" i="1"/>
  <c r="AB586" i="1" s="1"/>
  <c r="X586" i="1"/>
  <c r="W586" i="1" s="1"/>
  <c r="AA585" i="1"/>
  <c r="AB585" i="1" s="1"/>
  <c r="X585" i="1"/>
  <c r="W585" i="1" s="1"/>
  <c r="AA584" i="1"/>
  <c r="AB584" i="1" s="1"/>
  <c r="X584" i="1"/>
  <c r="W584" i="1" s="1"/>
  <c r="AA583" i="1"/>
  <c r="AB583" i="1" s="1"/>
  <c r="X583" i="1"/>
  <c r="Y583" i="1" s="1"/>
  <c r="AA582" i="1"/>
  <c r="AB582" i="1" s="1"/>
  <c r="X582" i="1"/>
  <c r="W582" i="1" s="1"/>
  <c r="AA581" i="1"/>
  <c r="AB581" i="1" s="1"/>
  <c r="X581" i="1"/>
  <c r="Y581" i="1" s="1"/>
  <c r="AA580" i="1"/>
  <c r="AB580" i="1" s="1"/>
  <c r="X580" i="1"/>
  <c r="Y580" i="1" s="1"/>
  <c r="AA579" i="1"/>
  <c r="AB579" i="1" s="1"/>
  <c r="X579" i="1"/>
  <c r="Y579" i="1" s="1"/>
  <c r="AA578" i="1"/>
  <c r="AB578" i="1" s="1"/>
  <c r="X578" i="1"/>
  <c r="W578" i="1" s="1"/>
  <c r="AA577" i="1"/>
  <c r="AB577" i="1" s="1"/>
  <c r="X577" i="1"/>
  <c r="Y577" i="1" s="1"/>
  <c r="AA576" i="1"/>
  <c r="AB576" i="1" s="1"/>
  <c r="X576" i="1"/>
  <c r="Y576" i="1" s="1"/>
  <c r="AA575" i="1"/>
  <c r="AB575" i="1" s="1"/>
  <c r="X575" i="1"/>
  <c r="Y575" i="1" s="1"/>
  <c r="AA574" i="1"/>
  <c r="AB574" i="1" s="1"/>
  <c r="X574" i="1"/>
  <c r="W574" i="1" s="1"/>
  <c r="AA573" i="1"/>
  <c r="AB573" i="1" s="1"/>
  <c r="X573" i="1"/>
  <c r="W573" i="1" s="1"/>
  <c r="AA572" i="1"/>
  <c r="AB572" i="1" s="1"/>
  <c r="X572" i="1"/>
  <c r="Y572" i="1" s="1"/>
  <c r="AA571" i="1"/>
  <c r="AB571" i="1" s="1"/>
  <c r="X571" i="1"/>
  <c r="AA570" i="1"/>
  <c r="AB570" i="1" s="1"/>
  <c r="X570" i="1"/>
  <c r="W570" i="1" s="1"/>
  <c r="AA569" i="1"/>
  <c r="AB569" i="1" s="1"/>
  <c r="X569" i="1"/>
  <c r="W569" i="1" s="1"/>
  <c r="AA568" i="1"/>
  <c r="AB568" i="1" s="1"/>
  <c r="X568" i="1"/>
  <c r="Y568" i="1" s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AA534" i="1"/>
  <c r="AB534" i="1" s="1"/>
  <c r="X534" i="1"/>
  <c r="Y534" i="1" s="1"/>
  <c r="AA533" i="1"/>
  <c r="AB533" i="1" s="1"/>
  <c r="X533" i="1"/>
  <c r="Y533" i="1" s="1"/>
  <c r="AA532" i="1"/>
  <c r="AB532" i="1" s="1"/>
  <c r="X532" i="1"/>
  <c r="Y532" i="1" s="1"/>
  <c r="AA531" i="1"/>
  <c r="AB531" i="1" s="1"/>
  <c r="X531" i="1"/>
  <c r="W531" i="1" s="1"/>
  <c r="AA530" i="1"/>
  <c r="AB530" i="1" s="1"/>
  <c r="X530" i="1"/>
  <c r="W530" i="1" s="1"/>
  <c r="AA529" i="1"/>
  <c r="AB529" i="1" s="1"/>
  <c r="X529" i="1"/>
  <c r="W529" i="1" s="1"/>
  <c r="AA528" i="1"/>
  <c r="AB528" i="1" s="1"/>
  <c r="X528" i="1"/>
  <c r="Y528" i="1" s="1"/>
  <c r="AA527" i="1"/>
  <c r="AB527" i="1" s="1"/>
  <c r="X527" i="1"/>
  <c r="Y527" i="1" s="1"/>
  <c r="AA526" i="1"/>
  <c r="AB526" i="1" s="1"/>
  <c r="X526" i="1"/>
  <c r="AA525" i="1"/>
  <c r="AB525" i="1" s="1"/>
  <c r="X525" i="1"/>
  <c r="Y525" i="1" s="1"/>
  <c r="AA524" i="1"/>
  <c r="AB524" i="1" s="1"/>
  <c r="X524" i="1"/>
  <c r="Y524" i="1" s="1"/>
  <c r="W524" i="1"/>
  <c r="AA523" i="1"/>
  <c r="AB523" i="1" s="1"/>
  <c r="X523" i="1"/>
  <c r="Y523" i="1" s="1"/>
  <c r="Y522" i="1"/>
  <c r="AA521" i="1"/>
  <c r="AB521" i="1" s="1"/>
  <c r="X521" i="1"/>
  <c r="Y521" i="1" s="1"/>
  <c r="AA520" i="1"/>
  <c r="AB520" i="1" s="1"/>
  <c r="X520" i="1"/>
  <c r="Y520" i="1" s="1"/>
  <c r="AA519" i="1"/>
  <c r="AB519" i="1" s="1"/>
  <c r="X519" i="1"/>
  <c r="Y519" i="1" s="1"/>
  <c r="AA518" i="1"/>
  <c r="AB518" i="1" s="1"/>
  <c r="X518" i="1"/>
  <c r="AA517" i="1"/>
  <c r="AB517" i="1" s="1"/>
  <c r="X517" i="1"/>
  <c r="Y517" i="1" s="1"/>
  <c r="AA516" i="1"/>
  <c r="AB516" i="1" s="1"/>
  <c r="X516" i="1"/>
  <c r="Y516" i="1" s="1"/>
  <c r="AA515" i="1"/>
  <c r="AB515" i="1" s="1"/>
  <c r="X515" i="1"/>
  <c r="Y515" i="1" s="1"/>
  <c r="AA514" i="1"/>
  <c r="AB514" i="1" s="1"/>
  <c r="X514" i="1"/>
  <c r="Y514" i="1" s="1"/>
  <c r="AA513" i="1"/>
  <c r="AB513" i="1" s="1"/>
  <c r="X513" i="1"/>
  <c r="Y513" i="1" s="1"/>
  <c r="AA512" i="1"/>
  <c r="AB512" i="1" s="1"/>
  <c r="X512" i="1"/>
  <c r="Y512" i="1" s="1"/>
  <c r="AA511" i="1"/>
  <c r="AB511" i="1" s="1"/>
  <c r="X511" i="1"/>
  <c r="W511" i="1" s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AA453" i="1"/>
  <c r="AB453" i="1" s="1"/>
  <c r="X453" i="1"/>
  <c r="Y453" i="1" s="1"/>
  <c r="AA452" i="1"/>
  <c r="AB452" i="1" s="1"/>
  <c r="X452" i="1"/>
  <c r="Y452" i="1" s="1"/>
  <c r="AA451" i="1"/>
  <c r="AB451" i="1" s="1"/>
  <c r="X451" i="1"/>
  <c r="Y451" i="1" s="1"/>
  <c r="AA450" i="1"/>
  <c r="AB450" i="1" s="1"/>
  <c r="X450" i="1"/>
  <c r="W450" i="1" s="1"/>
  <c r="AA449" i="1"/>
  <c r="AB449" i="1" s="1"/>
  <c r="X449" i="1"/>
  <c r="Y449" i="1" s="1"/>
  <c r="AA448" i="1"/>
  <c r="AB448" i="1" s="1"/>
  <c r="X448" i="1"/>
  <c r="Y448" i="1" s="1"/>
  <c r="AA447" i="1"/>
  <c r="AB447" i="1" s="1"/>
  <c r="X447" i="1"/>
  <c r="AA446" i="1"/>
  <c r="AB446" i="1" s="1"/>
  <c r="X446" i="1"/>
  <c r="W446" i="1" s="1"/>
  <c r="AA445" i="1"/>
  <c r="AB445" i="1" s="1"/>
  <c r="X445" i="1"/>
  <c r="Y445" i="1" s="1"/>
  <c r="AA444" i="1"/>
  <c r="AB444" i="1" s="1"/>
  <c r="X444" i="1"/>
  <c r="Y444" i="1" s="1"/>
  <c r="AA443" i="1"/>
  <c r="AB443" i="1" s="1"/>
  <c r="X443" i="1"/>
  <c r="Y443" i="1" s="1"/>
  <c r="AA442" i="1"/>
  <c r="AB442" i="1" s="1"/>
  <c r="X442" i="1"/>
  <c r="Y442" i="1" s="1"/>
  <c r="AA441" i="1"/>
  <c r="AB441" i="1" s="1"/>
  <c r="X441" i="1"/>
  <c r="Y441" i="1" s="1"/>
  <c r="AA440" i="1"/>
  <c r="AB440" i="1" s="1"/>
  <c r="X440" i="1"/>
  <c r="Y440" i="1" s="1"/>
  <c r="AA439" i="1"/>
  <c r="AB439" i="1" s="1"/>
  <c r="X439" i="1"/>
  <c r="Y439" i="1" s="1"/>
  <c r="AA438" i="1"/>
  <c r="AB438" i="1" s="1"/>
  <c r="X438" i="1"/>
  <c r="W438" i="1" s="1"/>
  <c r="AA437" i="1"/>
  <c r="AB437" i="1" s="1"/>
  <c r="X437" i="1"/>
  <c r="W437" i="1" s="1"/>
  <c r="AA436" i="1"/>
  <c r="AB436" i="1" s="1"/>
  <c r="X436" i="1"/>
  <c r="Y436" i="1" s="1"/>
  <c r="AA435" i="1"/>
  <c r="AB435" i="1" s="1"/>
  <c r="X435" i="1"/>
  <c r="W435" i="1" s="1"/>
  <c r="AA434" i="1"/>
  <c r="AB434" i="1" s="1"/>
  <c r="X434" i="1"/>
  <c r="W434" i="1" s="1"/>
  <c r="AA433" i="1"/>
  <c r="AB433" i="1" s="1"/>
  <c r="X433" i="1"/>
  <c r="W433" i="1" s="1"/>
  <c r="AA432" i="1"/>
  <c r="AB432" i="1" s="1"/>
  <c r="X432" i="1"/>
  <c r="Y432" i="1" s="1"/>
  <c r="AA431" i="1"/>
  <c r="AB431" i="1" s="1"/>
  <c r="X431" i="1"/>
  <c r="Y431" i="1" s="1"/>
  <c r="AA430" i="1"/>
  <c r="AB430" i="1" s="1"/>
  <c r="X430" i="1"/>
  <c r="W430" i="1" s="1"/>
  <c r="AA429" i="1"/>
  <c r="AB429" i="1" s="1"/>
  <c r="X429" i="1"/>
  <c r="Y429" i="1" s="1"/>
  <c r="AA428" i="1"/>
  <c r="AB428" i="1" s="1"/>
  <c r="X428" i="1"/>
  <c r="Y428" i="1" s="1"/>
  <c r="AA427" i="1"/>
  <c r="AB427" i="1" s="1"/>
  <c r="X427" i="1"/>
  <c r="Y427" i="1" s="1"/>
  <c r="AA426" i="1"/>
  <c r="AB426" i="1" s="1"/>
  <c r="X426" i="1"/>
  <c r="W426" i="1" s="1"/>
  <c r="AA425" i="1"/>
  <c r="AB425" i="1" s="1"/>
  <c r="X425" i="1"/>
  <c r="Y425" i="1" s="1"/>
  <c r="AA424" i="1"/>
  <c r="AB424" i="1" s="1"/>
  <c r="X424" i="1"/>
  <c r="Y424" i="1" s="1"/>
  <c r="AA423" i="1"/>
  <c r="AB423" i="1" s="1"/>
  <c r="X423" i="1"/>
  <c r="W423" i="1" s="1"/>
  <c r="AA422" i="1"/>
  <c r="AB422" i="1" s="1"/>
  <c r="X422" i="1"/>
  <c r="W422" i="1" s="1"/>
  <c r="AA421" i="1"/>
  <c r="AB421" i="1" s="1"/>
  <c r="X421" i="1"/>
  <c r="Y421" i="1" s="1"/>
  <c r="AA420" i="1"/>
  <c r="AB420" i="1" s="1"/>
  <c r="X420" i="1"/>
  <c r="W420" i="1" s="1"/>
  <c r="AA419" i="1"/>
  <c r="AB419" i="1" s="1"/>
  <c r="X419" i="1"/>
  <c r="Y419" i="1" s="1"/>
  <c r="AA418" i="1"/>
  <c r="AB418" i="1" s="1"/>
  <c r="X418" i="1"/>
  <c r="Y418" i="1" s="1"/>
  <c r="AA417" i="1"/>
  <c r="AB417" i="1" s="1"/>
  <c r="X417" i="1"/>
  <c r="W417" i="1" s="1"/>
  <c r="AA416" i="1"/>
  <c r="AB416" i="1" s="1"/>
  <c r="X416" i="1"/>
  <c r="Y416" i="1" s="1"/>
  <c r="AA415" i="1"/>
  <c r="AB415" i="1" s="1"/>
  <c r="X415" i="1"/>
  <c r="Y415" i="1" s="1"/>
  <c r="AA414" i="1"/>
  <c r="AB414" i="1" s="1"/>
  <c r="X414" i="1"/>
  <c r="W414" i="1" s="1"/>
  <c r="AA413" i="1"/>
  <c r="AB413" i="1" s="1"/>
  <c r="X413" i="1"/>
  <c r="Y413" i="1" s="1"/>
  <c r="AA412" i="1"/>
  <c r="AB412" i="1" s="1"/>
  <c r="X412" i="1"/>
  <c r="Y412" i="1" s="1"/>
  <c r="AA411" i="1"/>
  <c r="AB411" i="1" s="1"/>
  <c r="X411" i="1"/>
  <c r="AA410" i="1"/>
  <c r="AB410" i="1" s="1"/>
  <c r="X410" i="1"/>
  <c r="W410" i="1" s="1"/>
  <c r="AA409" i="1"/>
  <c r="AB409" i="1" s="1"/>
  <c r="X409" i="1"/>
  <c r="Y409" i="1" s="1"/>
  <c r="AA408" i="1"/>
  <c r="AB408" i="1" s="1"/>
  <c r="X408" i="1"/>
  <c r="Y408" i="1" s="1"/>
  <c r="AA407" i="1"/>
  <c r="AB407" i="1" s="1"/>
  <c r="X407" i="1"/>
  <c r="Y407" i="1" s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AA324" i="1"/>
  <c r="AB324" i="1" s="1"/>
  <c r="Y324" i="1"/>
  <c r="AA323" i="1"/>
  <c r="AB323" i="1" s="1"/>
  <c r="X323" i="1"/>
  <c r="Y323" i="1" s="1"/>
  <c r="AA322" i="1"/>
  <c r="AB322" i="1" s="1"/>
  <c r="X322" i="1"/>
  <c r="Y322" i="1" s="1"/>
  <c r="AA321" i="1"/>
  <c r="AB321" i="1" s="1"/>
  <c r="X321" i="1"/>
  <c r="W321" i="1" s="1"/>
  <c r="AA320" i="1"/>
  <c r="AB320" i="1" s="1"/>
  <c r="X320" i="1"/>
  <c r="W320" i="1" s="1"/>
  <c r="AA319" i="1"/>
  <c r="AB319" i="1" s="1"/>
  <c r="X319" i="1"/>
  <c r="Y319" i="1" s="1"/>
  <c r="AA318" i="1"/>
  <c r="AB318" i="1" s="1"/>
  <c r="X318" i="1"/>
  <c r="Y318" i="1" s="1"/>
  <c r="AA317" i="1"/>
  <c r="AB317" i="1" s="1"/>
  <c r="X317" i="1"/>
  <c r="Y317" i="1" s="1"/>
  <c r="AA316" i="1"/>
  <c r="AB316" i="1" s="1"/>
  <c r="X316" i="1"/>
  <c r="Y316" i="1" s="1"/>
  <c r="AA315" i="1"/>
  <c r="AB315" i="1" s="1"/>
  <c r="X315" i="1"/>
  <c r="Y315" i="1" s="1"/>
  <c r="AA314" i="1"/>
  <c r="AB314" i="1" s="1"/>
  <c r="X314" i="1"/>
  <c r="Y314" i="1" s="1"/>
  <c r="AA313" i="1"/>
  <c r="AB313" i="1" s="1"/>
  <c r="X313" i="1"/>
  <c r="Y313" i="1" s="1"/>
  <c r="AA312" i="1"/>
  <c r="AB312" i="1" s="1"/>
  <c r="X312" i="1"/>
  <c r="W312" i="1" s="1"/>
  <c r="AA311" i="1"/>
  <c r="AB311" i="1" s="1"/>
  <c r="X311" i="1"/>
  <c r="W311" i="1" s="1"/>
  <c r="AA310" i="1"/>
  <c r="AB310" i="1" s="1"/>
  <c r="X310" i="1"/>
  <c r="Y310" i="1" s="1"/>
  <c r="AA309" i="1"/>
  <c r="AB309" i="1" s="1"/>
  <c r="X309" i="1"/>
  <c r="AA308" i="1"/>
  <c r="AB308" i="1" s="1"/>
  <c r="X308" i="1"/>
  <c r="W308" i="1" s="1"/>
  <c r="AA307" i="1"/>
  <c r="AB307" i="1" s="1"/>
  <c r="X307" i="1"/>
  <c r="Y307" i="1" s="1"/>
  <c r="AA306" i="1"/>
  <c r="AB306" i="1" s="1"/>
  <c r="X306" i="1"/>
  <c r="Y306" i="1" s="1"/>
  <c r="W306" i="1"/>
  <c r="AA305" i="1"/>
  <c r="AB305" i="1" s="1"/>
  <c r="X305" i="1"/>
  <c r="Y305" i="1" s="1"/>
  <c r="AA304" i="1"/>
  <c r="AB304" i="1" s="1"/>
  <c r="X304" i="1"/>
  <c r="Y304" i="1" s="1"/>
  <c r="AA303" i="1"/>
  <c r="AB303" i="1" s="1"/>
  <c r="X303" i="1"/>
  <c r="Y303" i="1" s="1"/>
  <c r="AA302" i="1"/>
  <c r="AB302" i="1" s="1"/>
  <c r="X302" i="1"/>
  <c r="Y302" i="1" s="1"/>
  <c r="AA301" i="1"/>
  <c r="AB301" i="1" s="1"/>
  <c r="X301" i="1"/>
  <c r="Y301" i="1" s="1"/>
  <c r="AA300" i="1"/>
  <c r="AB300" i="1" s="1"/>
  <c r="X300" i="1"/>
  <c r="W300" i="1" s="1"/>
  <c r="AA299" i="1"/>
  <c r="AB299" i="1" s="1"/>
  <c r="X299" i="1"/>
  <c r="Y299" i="1" s="1"/>
  <c r="AA298" i="1"/>
  <c r="AB298" i="1" s="1"/>
  <c r="X298" i="1"/>
  <c r="Y298" i="1" s="1"/>
  <c r="AA297" i="1"/>
  <c r="AB297" i="1" s="1"/>
  <c r="X297" i="1"/>
  <c r="W297" i="1" s="1"/>
  <c r="AA296" i="1"/>
  <c r="AB296" i="1" s="1"/>
  <c r="X296" i="1"/>
  <c r="W296" i="1" s="1"/>
  <c r="AA295" i="1"/>
  <c r="AB295" i="1" s="1"/>
  <c r="X295" i="1"/>
  <c r="Y295" i="1" s="1"/>
  <c r="AA294" i="1"/>
  <c r="AB294" i="1" s="1"/>
  <c r="X294" i="1"/>
  <c r="Y294" i="1" s="1"/>
  <c r="AA293" i="1"/>
  <c r="AB293" i="1" s="1"/>
  <c r="X293" i="1"/>
  <c r="Y293" i="1" s="1"/>
  <c r="AA292" i="1"/>
  <c r="AB292" i="1" s="1"/>
  <c r="X292" i="1"/>
  <c r="Y292" i="1" s="1"/>
  <c r="AA291" i="1"/>
  <c r="AB291" i="1" s="1"/>
  <c r="X291" i="1"/>
  <c r="Y291" i="1" s="1"/>
  <c r="AA290" i="1"/>
  <c r="AB290" i="1" s="1"/>
  <c r="X290" i="1"/>
  <c r="Y290" i="1" s="1"/>
  <c r="AA289" i="1"/>
  <c r="AB289" i="1" s="1"/>
  <c r="X289" i="1"/>
  <c r="Y289" i="1" s="1"/>
  <c r="AA288" i="1"/>
  <c r="AB288" i="1" s="1"/>
  <c r="X288" i="1"/>
  <c r="W288" i="1" s="1"/>
  <c r="AA287" i="1"/>
  <c r="AB287" i="1" s="1"/>
  <c r="X287" i="1"/>
  <c r="Y287" i="1" s="1"/>
  <c r="AA286" i="1"/>
  <c r="AB286" i="1" s="1"/>
  <c r="X286" i="1"/>
  <c r="Y286" i="1" s="1"/>
  <c r="AA285" i="1"/>
  <c r="AB285" i="1" s="1"/>
  <c r="X285" i="1"/>
  <c r="W285" i="1" s="1"/>
  <c r="AA284" i="1"/>
  <c r="AB284" i="1" s="1"/>
  <c r="X284" i="1"/>
  <c r="W284" i="1" s="1"/>
  <c r="AA283" i="1"/>
  <c r="AB283" i="1" s="1"/>
  <c r="X283" i="1"/>
  <c r="Y283" i="1" s="1"/>
  <c r="AA282" i="1"/>
  <c r="AB282" i="1" s="1"/>
  <c r="X282" i="1"/>
  <c r="Y282" i="1" s="1"/>
  <c r="AA281" i="1"/>
  <c r="AB281" i="1" s="1"/>
  <c r="X281" i="1"/>
  <c r="Y281" i="1" s="1"/>
  <c r="AA280" i="1"/>
  <c r="AB280" i="1" s="1"/>
  <c r="X280" i="1"/>
  <c r="Y280" i="1" s="1"/>
  <c r="AA279" i="1"/>
  <c r="AB279" i="1" s="1"/>
  <c r="X279" i="1"/>
  <c r="Y279" i="1" s="1"/>
  <c r="AA278" i="1"/>
  <c r="AB278" i="1" s="1"/>
  <c r="X278" i="1"/>
  <c r="AA277" i="1"/>
  <c r="AB277" i="1" s="1"/>
  <c r="X277" i="1"/>
  <c r="Y277" i="1" s="1"/>
  <c r="AA276" i="1"/>
  <c r="AB276" i="1" s="1"/>
  <c r="X276" i="1"/>
  <c r="W276" i="1" s="1"/>
  <c r="AA275" i="1"/>
  <c r="AB275" i="1" s="1"/>
  <c r="X275" i="1"/>
  <c r="Y275" i="1" s="1"/>
  <c r="AA274" i="1"/>
  <c r="AB274" i="1" s="1"/>
  <c r="X274" i="1"/>
  <c r="Y274" i="1" s="1"/>
  <c r="AA273" i="1"/>
  <c r="AB273" i="1" s="1"/>
  <c r="X273" i="1"/>
  <c r="Y273" i="1" s="1"/>
  <c r="AA272" i="1"/>
  <c r="AB272" i="1" s="1"/>
  <c r="X272" i="1"/>
  <c r="W272" i="1" s="1"/>
  <c r="AA271" i="1"/>
  <c r="AB271" i="1" s="1"/>
  <c r="X271" i="1"/>
  <c r="Y271" i="1" s="1"/>
  <c r="AA270" i="1"/>
  <c r="AB270" i="1" s="1"/>
  <c r="X270" i="1"/>
  <c r="W270" i="1" s="1"/>
  <c r="AA269" i="1"/>
  <c r="AB269" i="1" s="1"/>
  <c r="X269" i="1"/>
  <c r="Y269" i="1" s="1"/>
  <c r="AA268" i="1"/>
  <c r="AB268" i="1" s="1"/>
  <c r="X268" i="1"/>
  <c r="W268" i="1" s="1"/>
  <c r="AA267" i="1"/>
  <c r="AB267" i="1" s="1"/>
  <c r="X267" i="1"/>
  <c r="Y267" i="1" s="1"/>
  <c r="AA266" i="1"/>
  <c r="AB266" i="1" s="1"/>
  <c r="X266" i="1"/>
  <c r="Y266" i="1" s="1"/>
  <c r="AA265" i="1"/>
  <c r="AB265" i="1" s="1"/>
  <c r="X265" i="1"/>
  <c r="W265" i="1" s="1"/>
  <c r="AA264" i="1"/>
  <c r="AB264" i="1" s="1"/>
  <c r="X264" i="1"/>
  <c r="W264" i="1" s="1"/>
  <c r="AA263" i="1"/>
  <c r="AB263" i="1" s="1"/>
  <c r="X263" i="1"/>
  <c r="Y263" i="1" s="1"/>
  <c r="AA262" i="1"/>
  <c r="AB262" i="1" s="1"/>
  <c r="X262" i="1"/>
  <c r="Y262" i="1" s="1"/>
  <c r="AA261" i="1"/>
  <c r="AB261" i="1" s="1"/>
  <c r="X261" i="1"/>
  <c r="W261" i="1" s="1"/>
  <c r="AA260" i="1"/>
  <c r="AB260" i="1" s="1"/>
  <c r="X260" i="1"/>
  <c r="W260" i="1" s="1"/>
  <c r="AA259" i="1"/>
  <c r="AB259" i="1" s="1"/>
  <c r="X259" i="1"/>
  <c r="Y259" i="1" s="1"/>
  <c r="W259" i="1"/>
  <c r="AA258" i="1"/>
  <c r="AB258" i="1" s="1"/>
  <c r="Y258" i="1"/>
  <c r="AA257" i="1"/>
  <c r="AB257" i="1" s="1"/>
  <c r="X257" i="1"/>
  <c r="Y257" i="1" s="1"/>
  <c r="AA256" i="1"/>
  <c r="AB256" i="1" s="1"/>
  <c r="Y256" i="1"/>
  <c r="AA255" i="1"/>
  <c r="AB255" i="1" s="1"/>
  <c r="Y255" i="1"/>
  <c r="AA254" i="1"/>
  <c r="AB254" i="1" s="1"/>
  <c r="X254" i="1"/>
  <c r="AA253" i="1"/>
  <c r="AB253" i="1" s="1"/>
  <c r="X253" i="1"/>
  <c r="Y253" i="1" s="1"/>
  <c r="AA252" i="1"/>
  <c r="AB252" i="1" s="1"/>
  <c r="X252" i="1"/>
  <c r="Y252" i="1" s="1"/>
  <c r="AA251" i="1"/>
  <c r="AB251" i="1" s="1"/>
  <c r="X251" i="1"/>
  <c r="Y251" i="1" s="1"/>
  <c r="AA250" i="1"/>
  <c r="AB250" i="1" s="1"/>
  <c r="X250" i="1"/>
  <c r="Y250" i="1" s="1"/>
  <c r="AA249" i="1"/>
  <c r="AB249" i="1" s="1"/>
  <c r="X249" i="1"/>
  <c r="Y249" i="1" s="1"/>
  <c r="AA248" i="1"/>
  <c r="AB248" i="1" s="1"/>
  <c r="X248" i="1"/>
  <c r="Y248" i="1" s="1"/>
  <c r="AA247" i="1"/>
  <c r="AB247" i="1" s="1"/>
  <c r="X247" i="1"/>
  <c r="W247" i="1" s="1"/>
  <c r="AA246" i="1"/>
  <c r="AB246" i="1" s="1"/>
  <c r="X246" i="1"/>
  <c r="AA245" i="1"/>
  <c r="AB245" i="1" s="1"/>
  <c r="X245" i="1"/>
  <c r="W245" i="1" s="1"/>
  <c r="AA244" i="1"/>
  <c r="AB244" i="1" s="1"/>
  <c r="X244" i="1"/>
  <c r="AA243" i="1"/>
  <c r="AB243" i="1" s="1"/>
  <c r="X243" i="1"/>
  <c r="Y243" i="1" s="1"/>
  <c r="AA242" i="1"/>
  <c r="AB242" i="1" s="1"/>
  <c r="X242" i="1"/>
  <c r="AA241" i="1"/>
  <c r="AB241" i="1" s="1"/>
  <c r="X241" i="1"/>
  <c r="W241" i="1" s="1"/>
  <c r="AA240" i="1"/>
  <c r="AB240" i="1" s="1"/>
  <c r="X240" i="1"/>
  <c r="Y240" i="1" s="1"/>
  <c r="AA239" i="1"/>
  <c r="AB239" i="1" s="1"/>
  <c r="X239" i="1"/>
  <c r="W239" i="1" s="1"/>
  <c r="Y238" i="1"/>
  <c r="Y237" i="1"/>
  <c r="Y236" i="1"/>
  <c r="Y235" i="1"/>
  <c r="AA234" i="1"/>
  <c r="AB234" i="1" s="1"/>
  <c r="X234" i="1"/>
  <c r="W234" i="1" s="1"/>
  <c r="AA233" i="1"/>
  <c r="AB233" i="1" s="1"/>
  <c r="X233" i="1"/>
  <c r="Y233" i="1" s="1"/>
  <c r="AA232" i="1"/>
  <c r="AB232" i="1" s="1"/>
  <c r="X232" i="1"/>
  <c r="Y232" i="1" s="1"/>
  <c r="AA231" i="1"/>
  <c r="AB231" i="1" s="1"/>
  <c r="X231" i="1"/>
  <c r="Y231" i="1" s="1"/>
  <c r="AA230" i="1"/>
  <c r="AB230" i="1" s="1"/>
  <c r="Y230" i="1"/>
  <c r="AA229" i="1"/>
  <c r="AB229" i="1" s="1"/>
  <c r="Y229" i="1"/>
  <c r="AA228" i="1"/>
  <c r="AB228" i="1" s="1"/>
  <c r="Y228" i="1"/>
  <c r="AA227" i="1"/>
  <c r="AB227" i="1" s="1"/>
  <c r="Y227" i="1"/>
  <c r="AA226" i="1"/>
  <c r="AB226" i="1" s="1"/>
  <c r="Y226" i="1"/>
  <c r="AA225" i="1"/>
  <c r="AB225" i="1" s="1"/>
  <c r="Y225" i="1"/>
  <c r="AA224" i="1"/>
  <c r="AB224" i="1" s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AA171" i="1"/>
  <c r="AB171" i="1" s="1"/>
  <c r="Y171" i="1"/>
  <c r="AA170" i="1"/>
  <c r="AB170" i="1" s="1"/>
  <c r="X170" i="1"/>
  <c r="AA169" i="1"/>
  <c r="AB169" i="1" s="1"/>
  <c r="X169" i="1"/>
  <c r="Y169" i="1" s="1"/>
  <c r="AA168" i="1"/>
  <c r="AB168" i="1" s="1"/>
  <c r="X168" i="1"/>
  <c r="Y168" i="1" s="1"/>
  <c r="AA167" i="1"/>
  <c r="AB167" i="1" s="1"/>
  <c r="X167" i="1"/>
  <c r="W167" i="1" s="1"/>
  <c r="AA166" i="1"/>
  <c r="AB166" i="1" s="1"/>
  <c r="X166" i="1"/>
  <c r="W166" i="1" s="1"/>
  <c r="AA165" i="1"/>
  <c r="AB165" i="1" s="1"/>
  <c r="X165" i="1"/>
  <c r="Y165" i="1" s="1"/>
  <c r="AA164" i="1"/>
  <c r="AB164" i="1" s="1"/>
  <c r="X164" i="1"/>
  <c r="Y164" i="1" s="1"/>
  <c r="AA163" i="1"/>
  <c r="AB163" i="1" s="1"/>
  <c r="X163" i="1"/>
  <c r="Y163" i="1" s="1"/>
  <c r="AA162" i="1"/>
  <c r="AB162" i="1" s="1"/>
  <c r="X162" i="1"/>
  <c r="AA161" i="1"/>
  <c r="AB161" i="1" s="1"/>
  <c r="X161" i="1"/>
  <c r="Y161" i="1" s="1"/>
  <c r="AA160" i="1"/>
  <c r="AB160" i="1" s="1"/>
  <c r="X160" i="1"/>
  <c r="Y160" i="1" s="1"/>
  <c r="AA159" i="1"/>
  <c r="AB159" i="1" s="1"/>
  <c r="X159" i="1"/>
  <c r="Y159" i="1" s="1"/>
  <c r="AA158" i="1"/>
  <c r="AB158" i="1" s="1"/>
  <c r="X158" i="1"/>
  <c r="W158" i="1" s="1"/>
  <c r="AA157" i="1"/>
  <c r="AB157" i="1" s="1"/>
  <c r="X157" i="1"/>
  <c r="Y157" i="1" s="1"/>
  <c r="AA156" i="1"/>
  <c r="AB156" i="1" s="1"/>
  <c r="X156" i="1"/>
  <c r="Y156" i="1" s="1"/>
  <c r="AA155" i="1"/>
  <c r="AB155" i="1" s="1"/>
  <c r="X155" i="1"/>
  <c r="Y155" i="1" s="1"/>
  <c r="AA154" i="1"/>
  <c r="AB154" i="1" s="1"/>
  <c r="X154" i="1"/>
  <c r="Y154" i="1" s="1"/>
  <c r="AA153" i="1"/>
  <c r="AB153" i="1" s="1"/>
  <c r="X153" i="1"/>
  <c r="Y153" i="1" s="1"/>
  <c r="AA152" i="1"/>
  <c r="AB152" i="1" s="1"/>
  <c r="X152" i="1"/>
  <c r="Y152" i="1" s="1"/>
  <c r="AA151" i="1"/>
  <c r="AB151" i="1" s="1"/>
  <c r="X151" i="1"/>
  <c r="Y151" i="1" s="1"/>
  <c r="AA150" i="1"/>
  <c r="AB150" i="1" s="1"/>
  <c r="X150" i="1"/>
  <c r="W150" i="1" s="1"/>
  <c r="AA149" i="1"/>
  <c r="AB149" i="1" s="1"/>
  <c r="X149" i="1"/>
  <c r="AA148" i="1"/>
  <c r="AB148" i="1" s="1"/>
  <c r="X148" i="1"/>
  <c r="Y148" i="1" s="1"/>
  <c r="AA147" i="1"/>
  <c r="AB147" i="1" s="1"/>
  <c r="X147" i="1"/>
  <c r="W147" i="1" s="1"/>
  <c r="AA146" i="1"/>
  <c r="AB146" i="1" s="1"/>
  <c r="X146" i="1"/>
  <c r="AA145" i="1"/>
  <c r="AB145" i="1" s="1"/>
  <c r="X145" i="1"/>
  <c r="Y145" i="1" s="1"/>
  <c r="AA144" i="1"/>
  <c r="AB144" i="1" s="1"/>
  <c r="X144" i="1"/>
  <c r="Y144" i="1" s="1"/>
  <c r="AA143" i="1"/>
  <c r="AB143" i="1" s="1"/>
  <c r="X143" i="1"/>
  <c r="W143" i="1" s="1"/>
  <c r="AA142" i="1"/>
  <c r="AB142" i="1" s="1"/>
  <c r="X142" i="1"/>
  <c r="W142" i="1" s="1"/>
  <c r="AA141" i="1"/>
  <c r="AB141" i="1" s="1"/>
  <c r="X141" i="1"/>
  <c r="Y141" i="1" s="1"/>
  <c r="AA140" i="1"/>
  <c r="AB140" i="1" s="1"/>
  <c r="X140" i="1"/>
  <c r="Y140" i="1" s="1"/>
  <c r="AA139" i="1"/>
  <c r="AB139" i="1" s="1"/>
  <c r="X139" i="1"/>
  <c r="Y139" i="1" s="1"/>
  <c r="AA138" i="1"/>
  <c r="AB138" i="1" s="1"/>
  <c r="X138" i="1"/>
  <c r="AA137" i="1"/>
  <c r="AB137" i="1" s="1"/>
  <c r="X137" i="1"/>
  <c r="Y137" i="1" s="1"/>
  <c r="AA136" i="1"/>
  <c r="AB136" i="1" s="1"/>
  <c r="X136" i="1"/>
  <c r="Y136" i="1" s="1"/>
  <c r="AA135" i="1"/>
  <c r="AB135" i="1" s="1"/>
  <c r="X135" i="1"/>
  <c r="Y135" i="1" s="1"/>
  <c r="AA134" i="1"/>
  <c r="AB134" i="1" s="1"/>
  <c r="X134" i="1"/>
  <c r="W134" i="1" s="1"/>
  <c r="AA133" i="1"/>
  <c r="AB133" i="1" s="1"/>
  <c r="X133" i="1"/>
  <c r="Y133" i="1" s="1"/>
  <c r="AA132" i="1"/>
  <c r="AB132" i="1" s="1"/>
  <c r="X132" i="1"/>
  <c r="W132" i="1" s="1"/>
  <c r="AA131" i="1"/>
  <c r="AB131" i="1" s="1"/>
  <c r="X131" i="1"/>
  <c r="Y131" i="1" s="1"/>
  <c r="AA130" i="1"/>
  <c r="AB130" i="1" s="1"/>
  <c r="X130" i="1"/>
  <c r="Y130" i="1" s="1"/>
  <c r="AA129" i="1"/>
  <c r="AB129" i="1" s="1"/>
  <c r="X129" i="1"/>
  <c r="Y129" i="1" s="1"/>
  <c r="AA128" i="1"/>
  <c r="AB128" i="1" s="1"/>
  <c r="X128" i="1"/>
  <c r="Y128" i="1" s="1"/>
  <c r="AA127" i="1"/>
  <c r="AB127" i="1" s="1"/>
  <c r="X127" i="1"/>
  <c r="Y127" i="1" s="1"/>
  <c r="AA126" i="1"/>
  <c r="AB126" i="1" s="1"/>
  <c r="X126" i="1"/>
  <c r="W126" i="1" s="1"/>
  <c r="AA125" i="1"/>
  <c r="AB125" i="1" s="1"/>
  <c r="X125" i="1"/>
  <c r="AA124" i="1"/>
  <c r="AB124" i="1" s="1"/>
  <c r="X124" i="1"/>
  <c r="Y124" i="1" s="1"/>
  <c r="AA123" i="1"/>
  <c r="AB123" i="1" s="1"/>
  <c r="X123" i="1"/>
  <c r="Y123" i="1" s="1"/>
  <c r="AA122" i="1"/>
  <c r="AB122" i="1" s="1"/>
  <c r="X122" i="1"/>
  <c r="AA121" i="1"/>
  <c r="AB121" i="1" s="1"/>
  <c r="X121" i="1"/>
  <c r="Y121" i="1" s="1"/>
  <c r="AA120" i="1"/>
  <c r="AB120" i="1" s="1"/>
  <c r="X120" i="1"/>
  <c r="Y120" i="1" s="1"/>
  <c r="Y119" i="1"/>
  <c r="AA118" i="1"/>
  <c r="AB118" i="1" s="1"/>
  <c r="X118" i="1"/>
  <c r="W118" i="1" s="1"/>
  <c r="AA117" i="1"/>
  <c r="AB117" i="1" s="1"/>
  <c r="X117" i="1"/>
  <c r="W117" i="1" s="1"/>
  <c r="AA116" i="1"/>
  <c r="AB116" i="1" s="1"/>
  <c r="X116" i="1"/>
  <c r="AA115" i="1"/>
  <c r="AB115" i="1" s="1"/>
  <c r="X115" i="1"/>
  <c r="Y115" i="1" s="1"/>
  <c r="AA114" i="1"/>
  <c r="AB114" i="1" s="1"/>
  <c r="X114" i="1"/>
  <c r="W114" i="1" s="1"/>
  <c r="AA113" i="1"/>
  <c r="AB113" i="1" s="1"/>
  <c r="X113" i="1"/>
  <c r="Y113" i="1" s="1"/>
  <c r="AA112" i="1"/>
  <c r="AB112" i="1" s="1"/>
  <c r="X112" i="1"/>
  <c r="Y112" i="1" s="1"/>
  <c r="AA111" i="1"/>
  <c r="AB111" i="1" s="1"/>
  <c r="X111" i="1"/>
  <c r="AA110" i="1"/>
  <c r="AB110" i="1" s="1"/>
  <c r="X110" i="1"/>
  <c r="Y110" i="1" s="1"/>
  <c r="AA109" i="1"/>
  <c r="AB109" i="1" s="1"/>
  <c r="X109" i="1"/>
  <c r="Y109" i="1" s="1"/>
  <c r="AA108" i="1"/>
  <c r="AB108" i="1" s="1"/>
  <c r="X108" i="1"/>
  <c r="W108" i="1" s="1"/>
  <c r="AA107" i="1"/>
  <c r="AB107" i="1" s="1"/>
  <c r="X107" i="1"/>
  <c r="W107" i="1" s="1"/>
  <c r="AA106" i="1"/>
  <c r="AB106" i="1" s="1"/>
  <c r="X106" i="1"/>
  <c r="AA105" i="1"/>
  <c r="AB105" i="1" s="1"/>
  <c r="Y105" i="1"/>
  <c r="W105" i="1"/>
  <c r="AA104" i="1"/>
  <c r="AB104" i="1" s="1"/>
  <c r="X104" i="1"/>
  <c r="Y104" i="1" s="1"/>
  <c r="AA103" i="1"/>
  <c r="AB103" i="1" s="1"/>
  <c r="X103" i="1"/>
  <c r="Y103" i="1" s="1"/>
  <c r="AA102" i="1"/>
  <c r="AB102" i="1" s="1"/>
  <c r="X102" i="1"/>
  <c r="Y102" i="1" s="1"/>
  <c r="AA101" i="1"/>
  <c r="AB101" i="1" s="1"/>
  <c r="X101" i="1"/>
  <c r="Y101" i="1" s="1"/>
  <c r="AA100" i="1"/>
  <c r="AB100" i="1" s="1"/>
  <c r="X100" i="1"/>
  <c r="Y100" i="1" s="1"/>
  <c r="AA99" i="1"/>
  <c r="AB99" i="1" s="1"/>
  <c r="X99" i="1"/>
  <c r="AA98" i="1"/>
  <c r="AB98" i="1" s="1"/>
  <c r="X98" i="1"/>
  <c r="Y98" i="1" s="1"/>
  <c r="AA97" i="1"/>
  <c r="AB97" i="1" s="1"/>
  <c r="X97" i="1"/>
  <c r="W97" i="1" s="1"/>
  <c r="AA96" i="1"/>
  <c r="AB96" i="1" s="1"/>
  <c r="X96" i="1"/>
  <c r="Y96" i="1" s="1"/>
  <c r="AA95" i="1"/>
  <c r="AB95" i="1" s="1"/>
  <c r="X95" i="1"/>
  <c r="Y95" i="1" s="1"/>
  <c r="AA94" i="1"/>
  <c r="X94" i="1"/>
  <c r="Y94" i="1" s="1"/>
  <c r="AA93" i="1"/>
  <c r="AB93" i="1" s="1"/>
  <c r="X93" i="1"/>
  <c r="Y93" i="1" s="1"/>
  <c r="AA92" i="1"/>
  <c r="AB92" i="1" s="1"/>
  <c r="X92" i="1"/>
  <c r="W92" i="1" s="1"/>
  <c r="AA91" i="1"/>
  <c r="AB91" i="1" s="1"/>
  <c r="X91" i="1"/>
  <c r="W91" i="1" s="1"/>
  <c r="AA90" i="1"/>
  <c r="AB90" i="1" s="1"/>
  <c r="X90" i="1"/>
  <c r="Y90" i="1" s="1"/>
  <c r="AA89" i="1"/>
  <c r="AB89" i="1" s="1"/>
  <c r="X89" i="1"/>
  <c r="W89" i="1" s="1"/>
  <c r="AA88" i="1"/>
  <c r="AB88" i="1" s="1"/>
  <c r="X88" i="1"/>
  <c r="Y88" i="1" s="1"/>
  <c r="AA87" i="1"/>
  <c r="AB87" i="1" s="1"/>
  <c r="X87" i="1"/>
  <c r="W87" i="1" s="1"/>
  <c r="AA86" i="1"/>
  <c r="AB86" i="1" s="1"/>
  <c r="X86" i="1"/>
  <c r="W86" i="1" s="1"/>
  <c r="AA85" i="1"/>
  <c r="AB85" i="1" s="1"/>
  <c r="X85" i="1"/>
  <c r="Y85" i="1" s="1"/>
  <c r="AA84" i="1"/>
  <c r="AB84" i="1" s="1"/>
  <c r="X84" i="1"/>
  <c r="Y84" i="1" s="1"/>
  <c r="AA83" i="1"/>
  <c r="AB83" i="1" s="1"/>
  <c r="X83" i="1"/>
  <c r="Y83" i="1" s="1"/>
  <c r="AA82" i="1"/>
  <c r="AB82" i="1" s="1"/>
  <c r="X82" i="1"/>
  <c r="Y82" i="1" s="1"/>
  <c r="AA81" i="1"/>
  <c r="AB81" i="1" s="1"/>
  <c r="X81" i="1"/>
  <c r="W81" i="1" s="1"/>
  <c r="AA80" i="1"/>
  <c r="AB80" i="1" s="1"/>
  <c r="X80" i="1"/>
  <c r="W80" i="1" s="1"/>
  <c r="AA79" i="1"/>
  <c r="AB79" i="1" s="1"/>
  <c r="X79" i="1"/>
  <c r="Y79" i="1" s="1"/>
  <c r="AA78" i="1"/>
  <c r="AB78" i="1" s="1"/>
  <c r="X78" i="1"/>
  <c r="Y78" i="1" s="1"/>
  <c r="AA77" i="1"/>
  <c r="AB77" i="1" s="1"/>
  <c r="X77" i="1"/>
  <c r="W77" i="1" s="1"/>
  <c r="AA76" i="1"/>
  <c r="AB76" i="1" s="1"/>
  <c r="X76" i="1"/>
  <c r="Y76" i="1" s="1"/>
  <c r="AA75" i="1"/>
  <c r="AB75" i="1" s="1"/>
  <c r="X75" i="1"/>
  <c r="Y75" i="1" s="1"/>
  <c r="AA74" i="1"/>
  <c r="AB74" i="1" s="1"/>
  <c r="X74" i="1"/>
  <c r="Y74" i="1" s="1"/>
  <c r="AA73" i="1"/>
  <c r="AB73" i="1" s="1"/>
  <c r="X73" i="1"/>
  <c r="AA72" i="1"/>
  <c r="AB72" i="1" s="1"/>
  <c r="X72" i="1"/>
  <c r="Y72" i="1" s="1"/>
  <c r="AA71" i="1"/>
  <c r="AB71" i="1" s="1"/>
  <c r="X71" i="1"/>
  <c r="Y71" i="1" s="1"/>
  <c r="AA70" i="1"/>
  <c r="AB70" i="1" s="1"/>
  <c r="X70" i="1"/>
  <c r="Y70" i="1" s="1"/>
  <c r="AA69" i="1"/>
  <c r="AB69" i="1" s="1"/>
  <c r="X69" i="1"/>
  <c r="W69" i="1" s="1"/>
  <c r="AA68" i="1"/>
  <c r="AB68" i="1" s="1"/>
  <c r="X68" i="1"/>
  <c r="Y68" i="1" s="1"/>
  <c r="AA67" i="1"/>
  <c r="AB67" i="1" s="1"/>
  <c r="X67" i="1"/>
  <c r="Y67" i="1" s="1"/>
  <c r="AA66" i="1"/>
  <c r="AB66" i="1" s="1"/>
  <c r="X66" i="1"/>
  <c r="Y66" i="1" s="1"/>
  <c r="AA65" i="1"/>
  <c r="AB65" i="1" s="1"/>
  <c r="X65" i="1"/>
  <c r="Y65" i="1" s="1"/>
  <c r="AA64" i="1"/>
  <c r="AB64" i="1" s="1"/>
  <c r="X64" i="1"/>
  <c r="Y64" i="1" s="1"/>
  <c r="AA63" i="1"/>
  <c r="AB63" i="1" s="1"/>
  <c r="X63" i="1"/>
  <c r="Y63" i="1" s="1"/>
  <c r="AA62" i="1"/>
  <c r="AB62" i="1" s="1"/>
  <c r="X62" i="1"/>
  <c r="Y62" i="1" s="1"/>
  <c r="AA61" i="1"/>
  <c r="AB61" i="1" s="1"/>
  <c r="X61" i="1"/>
  <c r="AA60" i="1"/>
  <c r="AB60" i="1" s="1"/>
  <c r="X60" i="1"/>
  <c r="Y60" i="1" s="1"/>
  <c r="AA59" i="1"/>
  <c r="AB59" i="1" s="1"/>
  <c r="X59" i="1"/>
  <c r="Y59" i="1" s="1"/>
  <c r="W59" i="1"/>
  <c r="AA58" i="1"/>
  <c r="AB58" i="1" s="1"/>
  <c r="X58" i="1"/>
  <c r="W58" i="1" s="1"/>
  <c r="AA57" i="1"/>
  <c r="AB57" i="1" s="1"/>
  <c r="X57" i="1"/>
  <c r="W57" i="1" s="1"/>
  <c r="AA56" i="1"/>
  <c r="AB56" i="1" s="1"/>
  <c r="X56" i="1"/>
  <c r="Y56" i="1" s="1"/>
  <c r="AA55" i="1"/>
  <c r="AB55" i="1" s="1"/>
  <c r="X55" i="1"/>
  <c r="W55" i="1" s="1"/>
  <c r="AA54" i="1"/>
  <c r="AB54" i="1" s="1"/>
  <c r="X54" i="1"/>
  <c r="Y54" i="1" s="1"/>
  <c r="AA53" i="1"/>
  <c r="AB53" i="1" s="1"/>
  <c r="X53" i="1"/>
  <c r="Y53" i="1" s="1"/>
  <c r="AA52" i="1"/>
  <c r="AB52" i="1" s="1"/>
  <c r="X52" i="1"/>
  <c r="W52" i="1" s="1"/>
  <c r="AA51" i="1"/>
  <c r="AB51" i="1" s="1"/>
  <c r="X51" i="1"/>
  <c r="Y51" i="1" s="1"/>
  <c r="AA50" i="1"/>
  <c r="AB50" i="1" s="1"/>
  <c r="X50" i="1"/>
  <c r="Y50" i="1" s="1"/>
  <c r="AA49" i="1"/>
  <c r="AB49" i="1" s="1"/>
  <c r="X49" i="1"/>
  <c r="AA48" i="1"/>
  <c r="AB48" i="1" s="1"/>
  <c r="X48" i="1"/>
  <c r="W48" i="1" s="1"/>
  <c r="AA47" i="1"/>
  <c r="AB47" i="1" s="1"/>
  <c r="X47" i="1"/>
  <c r="Y47" i="1" s="1"/>
  <c r="AA46" i="1"/>
  <c r="AB46" i="1" s="1"/>
  <c r="X46" i="1"/>
  <c r="Y46" i="1" s="1"/>
  <c r="AA45" i="1"/>
  <c r="AB45" i="1" s="1"/>
  <c r="X45" i="1"/>
  <c r="W45" i="1" s="1"/>
  <c r="AA44" i="1"/>
  <c r="AB44" i="1" s="1"/>
  <c r="X44" i="1"/>
  <c r="Y44" i="1" s="1"/>
  <c r="AA43" i="1"/>
  <c r="AB43" i="1" s="1"/>
  <c r="X43" i="1"/>
  <c r="Y43" i="1" s="1"/>
  <c r="W43" i="1"/>
  <c r="AA42" i="1"/>
  <c r="AB42" i="1" s="1"/>
  <c r="X42" i="1"/>
  <c r="Y42" i="1" s="1"/>
  <c r="W42" i="1"/>
  <c r="AA41" i="1"/>
  <c r="AB41" i="1" s="1"/>
  <c r="X41" i="1"/>
  <c r="Y41" i="1" s="1"/>
  <c r="AA40" i="1"/>
  <c r="AB40" i="1" s="1"/>
  <c r="X40" i="1"/>
  <c r="Y40" i="1" s="1"/>
  <c r="AA39" i="1"/>
  <c r="AB39" i="1" s="1"/>
  <c r="X39" i="1"/>
  <c r="Y39" i="1" s="1"/>
  <c r="AA38" i="1"/>
  <c r="AB38" i="1" s="1"/>
  <c r="X38" i="1"/>
  <c r="W38" i="1" s="1"/>
  <c r="AA37" i="1"/>
  <c r="AB37" i="1" s="1"/>
  <c r="X37" i="1"/>
  <c r="AA36" i="1"/>
  <c r="AB36" i="1" s="1"/>
  <c r="X36" i="1"/>
  <c r="Y36" i="1" s="1"/>
  <c r="AA35" i="1"/>
  <c r="AB35" i="1" s="1"/>
  <c r="X35" i="1"/>
  <c r="Y35" i="1" s="1"/>
  <c r="AA34" i="1"/>
  <c r="AB34" i="1" s="1"/>
  <c r="X34" i="1"/>
  <c r="W34" i="1" s="1"/>
  <c r="AA33" i="1"/>
  <c r="AB33" i="1" s="1"/>
  <c r="X33" i="1"/>
  <c r="W33" i="1" s="1"/>
  <c r="AA32" i="1"/>
  <c r="AB32" i="1" s="1"/>
  <c r="X32" i="1"/>
  <c r="Y32" i="1" s="1"/>
  <c r="AA31" i="1"/>
  <c r="AB31" i="1" s="1"/>
  <c r="X31" i="1"/>
  <c r="Y31" i="1" s="1"/>
  <c r="W31" i="1"/>
  <c r="AA30" i="1"/>
  <c r="AB30" i="1" s="1"/>
  <c r="X30" i="1"/>
  <c r="Y30" i="1" s="1"/>
  <c r="AA29" i="1"/>
  <c r="AB29" i="1" s="1"/>
  <c r="X29" i="1"/>
  <c r="Y29" i="1" s="1"/>
  <c r="AA28" i="1"/>
  <c r="AB28" i="1" s="1"/>
  <c r="X28" i="1"/>
  <c r="Y28" i="1" s="1"/>
  <c r="AA27" i="1"/>
  <c r="AB27" i="1" s="1"/>
  <c r="X27" i="1"/>
  <c r="Y27" i="1" s="1"/>
  <c r="AA26" i="1"/>
  <c r="AB26" i="1" s="1"/>
  <c r="X26" i="1"/>
  <c r="Y26" i="1" s="1"/>
  <c r="AA25" i="1"/>
  <c r="AB25" i="1" s="1"/>
  <c r="X25" i="1"/>
  <c r="AA24" i="1"/>
  <c r="AB24" i="1" s="1"/>
  <c r="X24" i="1"/>
  <c r="Y24" i="1" s="1"/>
  <c r="AA23" i="1"/>
  <c r="AB23" i="1" s="1"/>
  <c r="X23" i="1"/>
  <c r="Y23" i="1" s="1"/>
  <c r="AA22" i="1"/>
  <c r="AB22" i="1" s="1"/>
  <c r="X22" i="1"/>
  <c r="Y22" i="1" s="1"/>
  <c r="AA21" i="1"/>
  <c r="AB21" i="1" s="1"/>
  <c r="X21" i="1"/>
  <c r="W21" i="1" s="1"/>
  <c r="AA20" i="1"/>
  <c r="AB20" i="1" s="1"/>
  <c r="X20" i="1"/>
  <c r="Y20" i="1" s="1"/>
  <c r="AA19" i="1"/>
  <c r="AB19" i="1" s="1"/>
  <c r="X19" i="1"/>
  <c r="Y19" i="1" s="1"/>
  <c r="AA18" i="1"/>
  <c r="AB18" i="1" s="1"/>
  <c r="X18" i="1"/>
  <c r="Y18" i="1" s="1"/>
  <c r="AA17" i="1"/>
  <c r="AB17" i="1" s="1"/>
  <c r="X17" i="1"/>
  <c r="Y17" i="1" s="1"/>
  <c r="AA16" i="1"/>
  <c r="AB16" i="1" s="1"/>
  <c r="X16" i="1"/>
  <c r="Y16" i="1" s="1"/>
  <c r="AA15" i="1"/>
  <c r="AB15" i="1" s="1"/>
  <c r="X15" i="1"/>
  <c r="Y15" i="1" s="1"/>
  <c r="AA14" i="1"/>
  <c r="AB14" i="1" s="1"/>
  <c r="X14" i="1"/>
  <c r="W14" i="1" s="1"/>
  <c r="AA13" i="1"/>
  <c r="AB13" i="1" s="1"/>
  <c r="X13" i="1"/>
  <c r="AA12" i="1"/>
  <c r="AB12" i="1" s="1"/>
  <c r="X12" i="1"/>
  <c r="Y12" i="1" s="1"/>
  <c r="AA11" i="1"/>
  <c r="AB11" i="1" s="1"/>
  <c r="X11" i="1"/>
  <c r="Y11" i="1" s="1"/>
  <c r="AA10" i="1"/>
  <c r="AB10" i="1" s="1"/>
  <c r="X10" i="1"/>
  <c r="Y10" i="1" s="1"/>
  <c r="AA9" i="1"/>
  <c r="AB9" i="1" s="1"/>
  <c r="X9" i="1"/>
  <c r="W9" i="1" s="1"/>
  <c r="AA8" i="1"/>
  <c r="AB8" i="1" s="1"/>
  <c r="X8" i="1"/>
  <c r="Y8" i="1" s="1"/>
  <c r="AA7" i="1"/>
  <c r="AB7" i="1" s="1"/>
  <c r="X7" i="1"/>
  <c r="Y7" i="1" s="1"/>
  <c r="AA6" i="1"/>
  <c r="AB6" i="1" s="1"/>
  <c r="X6" i="1"/>
  <c r="Y6" i="1" s="1"/>
  <c r="AA5" i="1"/>
  <c r="AB5" i="1" s="1"/>
  <c r="X5" i="1"/>
  <c r="Y5" i="1" s="1"/>
  <c r="AA4" i="1"/>
  <c r="AB4" i="1" s="1"/>
  <c r="X4" i="1"/>
  <c r="Y4" i="1" s="1"/>
  <c r="AA3" i="1"/>
  <c r="AB3" i="1" s="1"/>
  <c r="X3" i="1"/>
  <c r="Y3" i="1" s="1"/>
  <c r="I1" i="1"/>
  <c r="X410" i="20"/>
  <c r="AB1" i="22"/>
  <c r="B6" i="17"/>
  <c r="D18" i="10"/>
  <c r="B10" i="17"/>
  <c r="E23" i="6"/>
  <c r="E22" i="6"/>
  <c r="E6" i="6"/>
  <c r="E5" i="6"/>
  <c r="B23" i="6"/>
  <c r="E11" i="18"/>
  <c r="B12" i="17"/>
  <c r="W323" i="1" l="1"/>
  <c r="W76" i="1"/>
  <c r="W16" i="1"/>
  <c r="W39" i="1"/>
  <c r="W587" i="1"/>
  <c r="W26" i="1"/>
  <c r="W65" i="1"/>
  <c r="W643" i="1"/>
  <c r="W12" i="1"/>
  <c r="W17" i="1"/>
  <c r="W231" i="1"/>
  <c r="W441" i="1"/>
  <c r="W647" i="1"/>
  <c r="W90" i="1"/>
  <c r="W64" i="1"/>
  <c r="W75" i="1"/>
  <c r="W575" i="1"/>
  <c r="W27" i="1"/>
  <c r="W62" i="1"/>
  <c r="W102" i="1"/>
  <c r="W113" i="1"/>
  <c r="W155" i="1"/>
  <c r="W248" i="1"/>
  <c r="W413" i="1"/>
  <c r="W448" i="1"/>
  <c r="W98" i="1"/>
  <c r="W103" i="1"/>
  <c r="W513" i="1"/>
  <c r="Y92" i="1"/>
  <c r="W232" i="1"/>
  <c r="W263" i="1"/>
  <c r="W657" i="1"/>
  <c r="W293" i="1"/>
  <c r="W445" i="1"/>
  <c r="W532" i="1"/>
  <c r="W104" i="1"/>
  <c r="W109" i="1"/>
  <c r="W152" i="1"/>
  <c r="W305" i="1"/>
  <c r="W316" i="1"/>
  <c r="W289" i="1"/>
  <c r="W525" i="1"/>
  <c r="W279" i="1"/>
  <c r="W290" i="1"/>
  <c r="W6" i="1"/>
  <c r="W22" i="1"/>
  <c r="W54" i="1"/>
  <c r="W154" i="1"/>
  <c r="W159" i="1"/>
  <c r="W589" i="1"/>
  <c r="W44" i="1"/>
  <c r="W94" i="1"/>
  <c r="W267" i="1"/>
  <c r="W287" i="1"/>
  <c r="W317" i="1"/>
  <c r="W322" i="1"/>
  <c r="W520" i="1"/>
  <c r="W596" i="1"/>
  <c r="W646" i="1"/>
  <c r="Y655" i="1"/>
  <c r="W5" i="1"/>
  <c r="W20" i="1"/>
  <c r="W24" i="1"/>
  <c r="W79" i="1"/>
  <c r="W84" i="1"/>
  <c r="W292" i="1"/>
  <c r="W431" i="1"/>
  <c r="W452" i="1"/>
  <c r="W515" i="1"/>
  <c r="W127" i="1"/>
  <c r="W148" i="1"/>
  <c r="W153" i="1"/>
  <c r="W252" i="1"/>
  <c r="W283" i="1"/>
  <c r="W442" i="1"/>
  <c r="W591" i="1"/>
  <c r="W652" i="1"/>
  <c r="W742" i="1"/>
  <c r="W51" i="1"/>
  <c r="W56" i="1"/>
  <c r="W46" i="1"/>
  <c r="W71" i="1"/>
  <c r="W123" i="1"/>
  <c r="W128" i="1"/>
  <c r="W133" i="1"/>
  <c r="W243" i="1"/>
  <c r="W253" i="1"/>
  <c r="W269" i="1"/>
  <c r="W304" i="1"/>
  <c r="W319" i="1"/>
  <c r="W412" i="1"/>
  <c r="W512" i="1"/>
  <c r="W577" i="1"/>
  <c r="W653" i="1"/>
  <c r="W315" i="1"/>
  <c r="W428" i="1"/>
  <c r="W528" i="1"/>
  <c r="W533" i="1"/>
  <c r="W663" i="1"/>
  <c r="W3" i="1"/>
  <c r="W7" i="1"/>
  <c r="W67" i="1"/>
  <c r="W145" i="1"/>
  <c r="W249" i="1"/>
  <c r="W275" i="1"/>
  <c r="W280" i="1"/>
  <c r="W669" i="1"/>
  <c r="W72" i="1"/>
  <c r="W82" i="1"/>
  <c r="W129" i="1"/>
  <c r="W165" i="1"/>
  <c r="W286" i="1"/>
  <c r="W295" i="1"/>
  <c r="W734" i="1"/>
  <c r="W4" i="1"/>
  <c r="W23" i="1"/>
  <c r="W68" i="1"/>
  <c r="W141" i="1"/>
  <c r="W240" i="1"/>
  <c r="W271" i="1"/>
  <c r="W301" i="1"/>
  <c r="W409" i="1"/>
  <c r="W579" i="1"/>
  <c r="Y645" i="1"/>
  <c r="W729" i="1"/>
  <c r="Y265" i="1"/>
  <c r="Y410" i="1"/>
  <c r="Y55" i="1"/>
  <c r="Y80" i="1"/>
  <c r="W15" i="1"/>
  <c r="W28" i="1"/>
  <c r="W60" i="1"/>
  <c r="W85" i="1"/>
  <c r="Y89" i="1"/>
  <c r="W157" i="1"/>
  <c r="W257" i="1"/>
  <c r="W266" i="1"/>
  <c r="W302" i="1"/>
  <c r="W415" i="1"/>
  <c r="W424" i="1"/>
  <c r="W439" i="1"/>
  <c r="W443" i="1"/>
  <c r="W661" i="1"/>
  <c r="W749" i="1"/>
  <c r="W303" i="1"/>
  <c r="W408" i="1"/>
  <c r="W425" i="1"/>
  <c r="W444" i="1"/>
  <c r="W517" i="1"/>
  <c r="Y666" i="1"/>
  <c r="W35" i="1"/>
  <c r="W40" i="1"/>
  <c r="W53" i="1"/>
  <c r="W70" i="1"/>
  <c r="W74" i="1"/>
  <c r="W78" i="1"/>
  <c r="Y86" i="1"/>
  <c r="W121" i="1"/>
  <c r="W130" i="1"/>
  <c r="W163" i="1"/>
  <c r="W233" i="1"/>
  <c r="W299" i="1"/>
  <c r="W307" i="1"/>
  <c r="W421" i="1"/>
  <c r="W523" i="1"/>
  <c r="W581" i="1"/>
  <c r="W658" i="1"/>
  <c r="W667" i="1"/>
  <c r="W730" i="1"/>
  <c r="W741" i="1"/>
  <c r="W750" i="1"/>
  <c r="Y241" i="1"/>
  <c r="Y268" i="1"/>
  <c r="Y573" i="1"/>
  <c r="W8" i="1"/>
  <c r="W50" i="1"/>
  <c r="W63" i="1"/>
  <c r="W88" i="1"/>
  <c r="W137" i="1"/>
  <c r="Y147" i="1"/>
  <c r="W156" i="1"/>
  <c r="W169" i="1"/>
  <c r="W251" i="1"/>
  <c r="W273" i="1"/>
  <c r="W282" i="1"/>
  <c r="W318" i="1"/>
  <c r="W418" i="1"/>
  <c r="Y422" i="1"/>
  <c r="Y642" i="1"/>
  <c r="W651" i="1"/>
  <c r="W664" i="1"/>
  <c r="Y594" i="1"/>
  <c r="Y733" i="1"/>
  <c r="W737" i="1"/>
  <c r="W746" i="1"/>
  <c r="Y87" i="1"/>
  <c r="Y417" i="1"/>
  <c r="Y434" i="1"/>
  <c r="Y9" i="1"/>
  <c r="Y234" i="1"/>
  <c r="W10" i="1"/>
  <c r="W18" i="1"/>
  <c r="W29" i="1"/>
  <c r="W32" i="1"/>
  <c r="W36" i="1"/>
  <c r="Y57" i="1"/>
  <c r="W115" i="1"/>
  <c r="W131" i="1"/>
  <c r="W135" i="1"/>
  <c r="Y264" i="1"/>
  <c r="W416" i="1"/>
  <c r="W419" i="1"/>
  <c r="W429" i="1"/>
  <c r="W432" i="1"/>
  <c r="W453" i="1"/>
  <c r="W568" i="1"/>
  <c r="W648" i="1"/>
  <c r="W665" i="1"/>
  <c r="Y48" i="1"/>
  <c r="Y52" i="1"/>
  <c r="Y420" i="1"/>
  <c r="Y569" i="1"/>
  <c r="Y585" i="1"/>
  <c r="Y649" i="1"/>
  <c r="Y296" i="1"/>
  <c r="Y260" i="1"/>
  <c r="Y276" i="1"/>
  <c r="Y654" i="1"/>
  <c r="W47" i="1"/>
  <c r="W83" i="1"/>
  <c r="W96" i="1"/>
  <c r="W100" i="1"/>
  <c r="W120" i="1"/>
  <c r="W139" i="1"/>
  <c r="W160" i="1"/>
  <c r="W164" i="1"/>
  <c r="W277" i="1"/>
  <c r="W291" i="1"/>
  <c r="W294" i="1"/>
  <c r="Y297" i="1"/>
  <c r="Y300" i="1"/>
  <c r="W310" i="1"/>
  <c r="W314" i="1"/>
  <c r="W436" i="1"/>
  <c r="Y446" i="1"/>
  <c r="Y450" i="1"/>
  <c r="W519" i="1"/>
  <c r="W527" i="1"/>
  <c r="W576" i="1"/>
  <c r="W580" i="1"/>
  <c r="W588" i="1"/>
  <c r="W592" i="1"/>
  <c r="W659" i="1"/>
  <c r="Y662" i="1"/>
  <c r="W748" i="1"/>
  <c r="Y117" i="1"/>
  <c r="Y158" i="1"/>
  <c r="Y81" i="1"/>
  <c r="Y272" i="1"/>
  <c r="Y308" i="1"/>
  <c r="Y118" i="1"/>
  <c r="Y166" i="1"/>
  <c r="W41" i="1"/>
  <c r="W66" i="1"/>
  <c r="W93" i="1"/>
  <c r="W151" i="1"/>
  <c r="W168" i="1"/>
  <c r="W274" i="1"/>
  <c r="Y284" i="1"/>
  <c r="Y77" i="1"/>
  <c r="Y311" i="1"/>
  <c r="Y430" i="1"/>
  <c r="Y433" i="1"/>
  <c r="W11" i="1"/>
  <c r="W19" i="1"/>
  <c r="W30" i="1"/>
  <c r="W101" i="1"/>
  <c r="W112" i="1"/>
  <c r="W136" i="1"/>
  <c r="W140" i="1"/>
  <c r="W144" i="1"/>
  <c r="W262" i="1"/>
  <c r="W298" i="1"/>
  <c r="Y320" i="1"/>
  <c r="W407" i="1"/>
  <c r="Y423" i="1"/>
  <c r="W427" i="1"/>
  <c r="W451" i="1"/>
  <c r="W728" i="1"/>
  <c r="W736" i="1"/>
  <c r="AB1" i="1"/>
  <c r="Y69" i="1"/>
  <c r="Y99" i="1"/>
  <c r="W99" i="1"/>
  <c r="Y111" i="1"/>
  <c r="W111" i="1"/>
  <c r="Y244" i="1"/>
  <c r="W244" i="1"/>
  <c r="Y270" i="1"/>
  <c r="Y288" i="1"/>
  <c r="Y309" i="1"/>
  <c r="W309" i="1"/>
  <c r="Y321" i="1"/>
  <c r="W590" i="1"/>
  <c r="Y590" i="1"/>
  <c r="W122" i="1"/>
  <c r="Y122" i="1"/>
  <c r="Y38" i="1"/>
  <c r="Y58" i="1"/>
  <c r="Y132" i="1"/>
  <c r="Y149" i="1"/>
  <c r="W149" i="1"/>
  <c r="Y668" i="1"/>
  <c r="W668" i="1"/>
  <c r="Y14" i="1"/>
  <c r="Y34" i="1"/>
  <c r="Y37" i="1"/>
  <c r="W37" i="1"/>
  <c r="Y108" i="1"/>
  <c r="Y134" i="1"/>
  <c r="Y143" i="1"/>
  <c r="W146" i="1"/>
  <c r="Y146" i="1"/>
  <c r="W162" i="1"/>
  <c r="Y162" i="1"/>
  <c r="W254" i="1"/>
  <c r="Y254" i="1"/>
  <c r="Y261" i="1"/>
  <c r="Y437" i="1"/>
  <c r="Y49" i="1"/>
  <c r="W49" i="1"/>
  <c r="Y125" i="1"/>
  <c r="W125" i="1"/>
  <c r="Y150" i="1"/>
  <c r="Y285" i="1"/>
  <c r="W313" i="1"/>
  <c r="Y426" i="1"/>
  <c r="Y447" i="1"/>
  <c r="W447" i="1"/>
  <c r="W514" i="1"/>
  <c r="W660" i="1"/>
  <c r="W738" i="1"/>
  <c r="Y411" i="1"/>
  <c r="W411" i="1"/>
  <c r="Y239" i="1"/>
  <c r="Y511" i="1"/>
  <c r="W518" i="1"/>
  <c r="Y518" i="1"/>
  <c r="W246" i="1"/>
  <c r="Y246" i="1"/>
  <c r="Y571" i="1"/>
  <c r="W571" i="1"/>
  <c r="W650" i="1"/>
  <c r="Y650" i="1"/>
  <c r="Y61" i="1"/>
  <c r="W61" i="1"/>
  <c r="Y106" i="1"/>
  <c r="W106" i="1"/>
  <c r="Y435" i="1"/>
  <c r="Y438" i="1"/>
  <c r="Y584" i="1"/>
  <c r="Y735" i="1"/>
  <c r="Y21" i="1"/>
  <c r="Y126" i="1"/>
  <c r="W138" i="1"/>
  <c r="Y138" i="1"/>
  <c r="Y245" i="1"/>
  <c r="Y529" i="1"/>
  <c r="Y570" i="1"/>
  <c r="Y574" i="1"/>
  <c r="Y732" i="1"/>
  <c r="W732" i="1"/>
  <c r="Y97" i="1"/>
  <c r="Y167" i="1"/>
  <c r="Y33" i="1"/>
  <c r="Y91" i="1"/>
  <c r="Y13" i="1"/>
  <c r="W13" i="1"/>
  <c r="W95" i="1"/>
  <c r="W110" i="1"/>
  <c r="Y116" i="1"/>
  <c r="W116" i="1"/>
  <c r="Y142" i="1"/>
  <c r="W161" i="1"/>
  <c r="W250" i="1"/>
  <c r="W281" i="1"/>
  <c r="W449" i="1"/>
  <c r="W534" i="1"/>
  <c r="W597" i="1"/>
  <c r="Y743" i="1"/>
  <c r="Y747" i="1"/>
  <c r="W526" i="1"/>
  <c r="Y526" i="1"/>
  <c r="W242" i="1"/>
  <c r="Y242" i="1"/>
  <c r="Y644" i="1"/>
  <c r="W644" i="1"/>
  <c r="Y73" i="1"/>
  <c r="W73" i="1"/>
  <c r="W170" i="1"/>
  <c r="Y170" i="1"/>
  <c r="Y45" i="1"/>
  <c r="Y278" i="1"/>
  <c r="W278" i="1"/>
  <c r="Y107" i="1"/>
  <c r="X1" i="1"/>
  <c r="B5" i="17" s="1"/>
  <c r="Y25" i="1"/>
  <c r="W25" i="1"/>
  <c r="W124" i="1"/>
  <c r="Y247" i="1"/>
  <c r="W440" i="1"/>
  <c r="Y531" i="1"/>
  <c r="Y582" i="1"/>
  <c r="Y744" i="1"/>
  <c r="W744" i="1"/>
  <c r="W521" i="1"/>
  <c r="W572" i="1"/>
  <c r="W583" i="1"/>
  <c r="W595" i="1"/>
  <c r="W656" i="1"/>
  <c r="W731" i="1"/>
  <c r="Y739" i="1"/>
  <c r="W745" i="1"/>
  <c r="W516" i="1"/>
  <c r="Y530" i="1"/>
  <c r="Y586" i="1"/>
  <c r="W740" i="1"/>
  <c r="Y312" i="1"/>
  <c r="Y414" i="1"/>
  <c r="Y598" i="1"/>
  <c r="Y751" i="1"/>
  <c r="W751" i="1"/>
  <c r="Y114" i="1"/>
  <c r="Y578" i="1"/>
  <c r="J7" i="6"/>
  <c r="J6" i="6"/>
  <c r="D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" i="6"/>
  <c r="E3" i="6"/>
  <c r="I39" i="14"/>
  <c r="I38" i="14"/>
  <c r="I25" i="14"/>
  <c r="I24" i="14"/>
  <c r="I23" i="14"/>
  <c r="I22" i="14"/>
  <c r="I21" i="14"/>
  <c r="I34" i="14"/>
  <c r="I33" i="14"/>
  <c r="I32" i="14"/>
  <c r="I31" i="14"/>
  <c r="I30" i="14"/>
  <c r="I29" i="14"/>
  <c r="I28" i="14"/>
  <c r="I27" i="14"/>
  <c r="I26" i="14"/>
  <c r="I35" i="14"/>
  <c r="I36" i="14"/>
  <c r="I37" i="14"/>
  <c r="I146" i="14"/>
  <c r="I145" i="14"/>
  <c r="I143" i="14"/>
  <c r="I144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G147" i="14"/>
  <c r="Y1" i="1" l="1"/>
  <c r="B4" i="17" s="1"/>
  <c r="B11" i="17" s="1"/>
  <c r="K707" i="13" a="1"/>
  <c r="M707" i="13" s="1"/>
  <c r="K706" i="13" a="1"/>
  <c r="M706" i="13" s="1"/>
  <c r="K705" i="13" a="1"/>
  <c r="K705" i="13" s="1"/>
  <c r="K704" i="13" a="1"/>
  <c r="M704" i="13" s="1"/>
  <c r="K703" i="13" a="1"/>
  <c r="M703" i="13" s="1"/>
  <c r="K702" i="13" a="1"/>
  <c r="M702" i="13" s="1"/>
  <c r="K701" i="13" a="1"/>
  <c r="K700" i="13" a="1"/>
  <c r="K700" i="13" s="1"/>
  <c r="K699" i="13" a="1"/>
  <c r="M699" i="13" s="1"/>
  <c r="K698" i="13" a="1"/>
  <c r="M698" i="13" s="1"/>
  <c r="K697" i="13" a="1"/>
  <c r="K697" i="13" s="1"/>
  <c r="K696" i="13" a="1"/>
  <c r="M696" i="13" s="1"/>
  <c r="K695" i="13" a="1"/>
  <c r="M695" i="13" s="1"/>
  <c r="K694" i="13" a="1"/>
  <c r="M694" i="13" s="1"/>
  <c r="K693" i="13" a="1"/>
  <c r="K693" i="13" s="1"/>
  <c r="K692" i="13" a="1"/>
  <c r="K692" i="13" s="1"/>
  <c r="K691" i="13" a="1"/>
  <c r="M691" i="13" s="1"/>
  <c r="K690" i="13" a="1"/>
  <c r="M690" i="13" s="1"/>
  <c r="K689" i="13" a="1"/>
  <c r="K689" i="13" s="1"/>
  <c r="K688" i="13" a="1"/>
  <c r="K688" i="13" s="1"/>
  <c r="K687" i="13" a="1"/>
  <c r="M687" i="13" s="1"/>
  <c r="K686" i="13" a="1"/>
  <c r="M686" i="13" s="1"/>
  <c r="K685" i="13" a="1"/>
  <c r="K685" i="13" s="1"/>
  <c r="K684" i="13" a="1"/>
  <c r="M684" i="13" s="1"/>
  <c r="K683" i="13" a="1"/>
  <c r="M683" i="13" s="1"/>
  <c r="K682" i="13" a="1"/>
  <c r="M682" i="13" s="1"/>
  <c r="K681" i="13" a="1"/>
  <c r="K681" i="13" s="1"/>
  <c r="K680" i="13" a="1"/>
  <c r="K680" i="13" s="1"/>
  <c r="K679" i="13" a="1"/>
  <c r="M679" i="13" s="1"/>
  <c r="K678" i="13" a="1"/>
  <c r="M678" i="13" s="1"/>
  <c r="K677" i="13" a="1"/>
  <c r="K677" i="13" s="1"/>
  <c r="K676" i="13" a="1"/>
  <c r="K675" i="13" a="1"/>
  <c r="M675" i="13" s="1"/>
  <c r="K674" i="13" a="1"/>
  <c r="M674" i="13" s="1"/>
  <c r="K673" i="13" a="1"/>
  <c r="K673" i="13" s="1"/>
  <c r="K672" i="13" a="1"/>
  <c r="M672" i="13" s="1"/>
  <c r="K671" i="13" a="1"/>
  <c r="M671" i="13" s="1"/>
  <c r="K670" i="13" a="1"/>
  <c r="M670" i="13" s="1"/>
  <c r="K669" i="13" a="1"/>
  <c r="K669" i="13" s="1"/>
  <c r="K668" i="13" a="1"/>
  <c r="K667" i="13" a="1"/>
  <c r="M667" i="13" s="1"/>
  <c r="K666" i="13" a="1"/>
  <c r="M666" i="13" s="1"/>
  <c r="K665" i="13" a="1"/>
  <c r="K665" i="13" s="1"/>
  <c r="K664" i="13" a="1"/>
  <c r="K663" i="13" a="1"/>
  <c r="M663" i="13" s="1"/>
  <c r="K662" i="13" a="1"/>
  <c r="M662" i="13" s="1"/>
  <c r="K661" i="13" a="1"/>
  <c r="K661" i="13" s="1"/>
  <c r="K660" i="13" a="1"/>
  <c r="M660" i="13" s="1"/>
  <c r="K659" i="13" a="1"/>
  <c r="M659" i="13" s="1"/>
  <c r="K658" i="13" a="1"/>
  <c r="M658" i="13" s="1"/>
  <c r="K657" i="13" a="1"/>
  <c r="K657" i="13" s="1"/>
  <c r="K656" i="13" a="1"/>
  <c r="K655" i="13" a="1"/>
  <c r="M655" i="13" s="1"/>
  <c r="K654" i="13" a="1"/>
  <c r="M654" i="13" s="1"/>
  <c r="K653" i="13" a="1"/>
  <c r="K653" i="13" s="1"/>
  <c r="K652" i="13" a="1"/>
  <c r="M652" i="13" s="1"/>
  <c r="K651" i="13" a="1"/>
  <c r="M651" i="13" s="1"/>
  <c r="K650" i="13" a="1"/>
  <c r="M650" i="13" s="1"/>
  <c r="K649" i="13" a="1"/>
  <c r="K649" i="13" s="1"/>
  <c r="K648" i="13" a="1"/>
  <c r="M648" i="13" s="1"/>
  <c r="K647" i="13" a="1"/>
  <c r="M647" i="13" s="1"/>
  <c r="K646" i="13" a="1"/>
  <c r="M646" i="13" s="1"/>
  <c r="K645" i="13" a="1"/>
  <c r="K645" i="13" s="1"/>
  <c r="K644" i="13" a="1"/>
  <c r="K644" i="13" s="1"/>
  <c r="K643" i="13" a="1"/>
  <c r="M643" i="13" s="1"/>
  <c r="K642" i="13" a="1"/>
  <c r="M642" i="13" s="1"/>
  <c r="K641" i="13" a="1"/>
  <c r="K641" i="13" s="1"/>
  <c r="K640" i="13" a="1"/>
  <c r="M640" i="13" s="1"/>
  <c r="K639" i="13" a="1"/>
  <c r="M639" i="13" s="1"/>
  <c r="K638" i="13" a="1"/>
  <c r="M638" i="13" s="1"/>
  <c r="K637" i="13" a="1"/>
  <c r="K637" i="13" s="1"/>
  <c r="K636" i="13" a="1"/>
  <c r="K636" i="13" s="1"/>
  <c r="K635" i="13" a="1"/>
  <c r="K635" i="13" s="1"/>
  <c r="K634" i="13" a="1"/>
  <c r="K633" i="13" a="1"/>
  <c r="M633" i="13" s="1"/>
  <c r="K632" i="13" a="1"/>
  <c r="M632" i="13" s="1"/>
  <c r="K631" i="13" a="1"/>
  <c r="K630" i="13" a="1"/>
  <c r="K630" i="13" s="1"/>
  <c r="K629" i="13" a="1"/>
  <c r="M629" i="13" s="1"/>
  <c r="K628" i="13" a="1"/>
  <c r="K628" i="13" s="1"/>
  <c r="K627" i="13" a="1"/>
  <c r="M627" i="13" s="1"/>
  <c r="K626" i="13" a="1"/>
  <c r="M626" i="13" s="1"/>
  <c r="K625" i="13" a="1"/>
  <c r="K625" i="13" s="1"/>
  <c r="K624" i="13" a="1"/>
  <c r="M624" i="13" s="1"/>
  <c r="K623" i="13" a="1"/>
  <c r="K623" i="13" s="1"/>
  <c r="K622" i="13" a="1"/>
  <c r="K622" i="13" s="1"/>
  <c r="K621" i="13" a="1"/>
  <c r="K621" i="13" s="1"/>
  <c r="K620" i="13" a="1"/>
  <c r="K619" i="13" a="1"/>
  <c r="M619" i="13" s="1"/>
  <c r="K618" i="13" a="1"/>
  <c r="M618" i="13" s="1"/>
  <c r="K617" i="13" a="1"/>
  <c r="K617" i="13" s="1"/>
  <c r="K616" i="13" a="1"/>
  <c r="K615" i="13" a="1"/>
  <c r="M615" i="13" s="1"/>
  <c r="K614" i="13" a="1"/>
  <c r="K614" i="13" s="1"/>
  <c r="K613" i="13" a="1"/>
  <c r="K612" i="13" a="1"/>
  <c r="K611" i="13" a="1"/>
  <c r="M611" i="13" s="1"/>
  <c r="K610" i="13" a="1"/>
  <c r="M610" i="13" s="1"/>
  <c r="K609" i="13" a="1"/>
  <c r="K608" i="13" a="1"/>
  <c r="K607" i="13" a="1"/>
  <c r="M607" i="13" s="1"/>
  <c r="K606" i="13" a="1"/>
  <c r="M606" i="13" s="1"/>
  <c r="K605" i="13" a="1"/>
  <c r="K605" i="13" s="1"/>
  <c r="K604" i="13" a="1"/>
  <c r="K603" i="13" a="1"/>
  <c r="M603" i="13" s="1"/>
  <c r="K602" i="13" a="1"/>
  <c r="M602" i="13" s="1"/>
  <c r="K601" i="13" a="1"/>
  <c r="K601" i="13" s="1"/>
  <c r="K600" i="13" a="1"/>
  <c r="K599" i="13" a="1"/>
  <c r="K599" i="13" s="1"/>
  <c r="K598" i="13" a="1"/>
  <c r="K598" i="13" s="1"/>
  <c r="K597" i="13" a="1"/>
  <c r="K596" i="13" a="1"/>
  <c r="K595" i="13" a="1"/>
  <c r="K595" i="13" s="1"/>
  <c r="K594" i="13" a="1"/>
  <c r="K594" i="13" s="1"/>
  <c r="K593" i="13" a="1"/>
  <c r="K593" i="13" s="1"/>
  <c r="K592" i="13" a="1"/>
  <c r="K592" i="13" s="1"/>
  <c r="K591" i="13" a="1"/>
  <c r="K591" i="13" s="1"/>
  <c r="K590" i="13" a="1"/>
  <c r="K590" i="13" s="1"/>
  <c r="K589" i="13" a="1"/>
  <c r="K589" i="13" s="1"/>
  <c r="K588" i="13" a="1"/>
  <c r="K588" i="13" s="1"/>
  <c r="K587" i="13" a="1"/>
  <c r="K587" i="13" s="1"/>
  <c r="K586" i="13" a="1"/>
  <c r="K586" i="13" s="1"/>
  <c r="K585" i="13" a="1"/>
  <c r="K585" i="13" s="1"/>
  <c r="K584" i="13" a="1"/>
  <c r="K584" i="13" s="1"/>
  <c r="K583" i="13" a="1"/>
  <c r="K583" i="13" s="1"/>
  <c r="K582" i="13" a="1"/>
  <c r="K582" i="13" s="1"/>
  <c r="K581" i="13" a="1"/>
  <c r="K581" i="13" s="1"/>
  <c r="K580" i="13" a="1"/>
  <c r="K580" i="13" s="1"/>
  <c r="K579" i="13" a="1"/>
  <c r="K579" i="13" s="1"/>
  <c r="K578" i="13" a="1"/>
  <c r="K578" i="13" s="1"/>
  <c r="K577" i="13" a="1"/>
  <c r="K577" i="13" s="1"/>
  <c r="K576" i="13" a="1"/>
  <c r="K576" i="13" s="1"/>
  <c r="K575" i="13" a="1"/>
  <c r="K575" i="13" s="1"/>
  <c r="K574" i="13" a="1"/>
  <c r="K574" i="13" s="1"/>
  <c r="K573" i="13" a="1"/>
  <c r="K573" i="13" s="1"/>
  <c r="K572" i="13" a="1"/>
  <c r="K572" i="13" s="1"/>
  <c r="K571" i="13" a="1"/>
  <c r="K571" i="13" s="1"/>
  <c r="K570" i="13" a="1"/>
  <c r="K570" i="13" s="1"/>
  <c r="K569" i="13" a="1"/>
  <c r="K569" i="13" s="1"/>
  <c r="K568" i="13" a="1"/>
  <c r="K568" i="13" s="1"/>
  <c r="K567" i="13" a="1"/>
  <c r="K567" i="13" s="1"/>
  <c r="K566" i="13" a="1"/>
  <c r="K566" i="13" s="1"/>
  <c r="K565" i="13" a="1"/>
  <c r="K565" i="13" s="1"/>
  <c r="K564" i="13" a="1"/>
  <c r="M564" i="13" s="1"/>
  <c r="K563" i="13" a="1"/>
  <c r="M563" i="13" s="1"/>
  <c r="K562" i="13" a="1"/>
  <c r="K562" i="13" s="1"/>
  <c r="K561" i="13" a="1"/>
  <c r="M561" i="13" s="1"/>
  <c r="K560" i="13" a="1"/>
  <c r="M560" i="13" s="1"/>
  <c r="K559" i="13" a="1"/>
  <c r="M559" i="13" s="1"/>
  <c r="K558" i="13" a="1"/>
  <c r="M558" i="13" s="1"/>
  <c r="K557" i="13" a="1"/>
  <c r="K556" i="13" a="1"/>
  <c r="M556" i="13" s="1"/>
  <c r="K555" i="13" a="1"/>
  <c r="M555" i="13" s="1"/>
  <c r="K554" i="13" a="1"/>
  <c r="K554" i="13" s="1"/>
  <c r="K553" i="13" a="1"/>
  <c r="K553" i="13" s="1"/>
  <c r="K552" i="13" a="1"/>
  <c r="K551" i="13" a="1"/>
  <c r="K551" i="13" s="1"/>
  <c r="K550" i="13" a="1"/>
  <c r="M550" i="13" s="1"/>
  <c r="K549" i="13" a="1"/>
  <c r="M549" i="13" s="1"/>
  <c r="K548" i="13" a="1"/>
  <c r="M548" i="13" s="1"/>
  <c r="K547" i="13" a="1"/>
  <c r="K546" i="13" a="1"/>
  <c r="K546" i="13" s="1"/>
  <c r="K545" i="13" a="1"/>
  <c r="M545" i="13" s="1"/>
  <c r="K544" i="13" a="1"/>
  <c r="M544" i="13" s="1"/>
  <c r="K543" i="13" a="1"/>
  <c r="M543" i="13" s="1"/>
  <c r="K542" i="13" a="1"/>
  <c r="K541" i="13" a="1"/>
  <c r="K541" i="13" s="1"/>
  <c r="K540" i="13" a="1"/>
  <c r="M540" i="13" s="1"/>
  <c r="K539" i="13" a="1"/>
  <c r="M539" i="13" s="1"/>
  <c r="K538" i="13" a="1"/>
  <c r="K538" i="13" s="1"/>
  <c r="K537" i="13" a="1"/>
  <c r="K536" i="13" a="1"/>
  <c r="M536" i="13" s="1"/>
  <c r="K535" i="13" a="1"/>
  <c r="M535" i="13" s="1"/>
  <c r="K534" i="13" a="1"/>
  <c r="M534" i="13" s="1"/>
  <c r="K533" i="13" a="1"/>
  <c r="M533" i="13" s="1"/>
  <c r="K532" i="13" a="1"/>
  <c r="M532" i="13" s="1"/>
  <c r="K531" i="13" a="1"/>
  <c r="K531" i="13" s="1"/>
  <c r="K530" i="13" a="1"/>
  <c r="M530" i="13" s="1"/>
  <c r="K529" i="13" a="1"/>
  <c r="M529" i="13" s="1"/>
  <c r="K528" i="13" a="1"/>
  <c r="M528" i="13" s="1"/>
  <c r="K527" i="13" a="1"/>
  <c r="K527" i="13" s="1"/>
  <c r="K526" i="13" a="1"/>
  <c r="M526" i="13" s="1"/>
  <c r="K525" i="13" a="1"/>
  <c r="M525" i="13" s="1"/>
  <c r="K524" i="13" a="1"/>
  <c r="M524" i="13" s="1"/>
  <c r="K523" i="13" a="1"/>
  <c r="K523" i="13" s="1"/>
  <c r="K522" i="13" a="1"/>
  <c r="K521" i="13" a="1"/>
  <c r="M521" i="13" s="1"/>
  <c r="K520" i="13" a="1"/>
  <c r="M520" i="13" s="1"/>
  <c r="K519" i="13" a="1"/>
  <c r="K519" i="13" s="1"/>
  <c r="K518" i="13" a="1"/>
  <c r="K517" i="13" a="1"/>
  <c r="K517" i="13" s="1"/>
  <c r="K516" i="13" a="1"/>
  <c r="M516" i="13" s="1"/>
  <c r="K515" i="13" a="1"/>
  <c r="K515" i="13" s="1"/>
  <c r="K514" i="13" a="1"/>
  <c r="M514" i="13" s="1"/>
  <c r="K513" i="13" a="1"/>
  <c r="M513" i="13" s="1"/>
  <c r="K512" i="13" a="1"/>
  <c r="M512" i="13" s="1"/>
  <c r="K511" i="13" a="1"/>
  <c r="K510" i="13" a="1"/>
  <c r="M510" i="13" s="1"/>
  <c r="K509" i="13" a="1"/>
  <c r="K508" i="13" a="1"/>
  <c r="M508" i="13" s="1"/>
  <c r="K507" i="13" a="1"/>
  <c r="K507" i="13" s="1"/>
  <c r="K506" i="13" a="1"/>
  <c r="K506" i="13" s="1"/>
  <c r="K505" i="13" a="1"/>
  <c r="M505" i="13" s="1"/>
  <c r="K504" i="13" a="1"/>
  <c r="K504" i="13" s="1"/>
  <c r="K503" i="13" a="1"/>
  <c r="M503" i="13" s="1"/>
  <c r="K502" i="13" a="1"/>
  <c r="K502" i="13" s="1"/>
  <c r="K501" i="13" a="1"/>
  <c r="M501" i="13" s="1"/>
  <c r="K500" i="13" a="1"/>
  <c r="K500" i="13" s="1"/>
  <c r="K499" i="13" a="1"/>
  <c r="K499" i="13" s="1"/>
  <c r="K498" i="13" a="1"/>
  <c r="K498" i="13" s="1"/>
  <c r="K497" i="13" a="1"/>
  <c r="K497" i="13" s="1"/>
  <c r="K496" i="13" a="1"/>
  <c r="K496" i="13" s="1"/>
  <c r="K495" i="13" a="1"/>
  <c r="K495" i="13" s="1"/>
  <c r="K494" i="13" a="1"/>
  <c r="K494" i="13" s="1"/>
  <c r="K493" i="13" a="1"/>
  <c r="K493" i="13" s="1"/>
  <c r="K492" i="13" a="1"/>
  <c r="M492" i="13" s="1"/>
  <c r="K491" i="13" a="1"/>
  <c r="K490" i="13" a="1"/>
  <c r="K490" i="13" s="1"/>
  <c r="K489" i="13" a="1"/>
  <c r="M489" i="13" s="1"/>
  <c r="K488" i="13" a="1"/>
  <c r="M488" i="13" s="1"/>
  <c r="K487" i="13" a="1"/>
  <c r="K486" i="13" a="1"/>
  <c r="M486" i="13" s="1"/>
  <c r="K485" i="13" a="1"/>
  <c r="K485" i="13" s="1"/>
  <c r="K484" i="13" a="1"/>
  <c r="K484" i="13" s="1"/>
  <c r="K483" i="13" a="1"/>
  <c r="K483" i="13" s="1"/>
  <c r="K482" i="13" a="1"/>
  <c r="K482" i="13" s="1"/>
  <c r="K481" i="13" a="1"/>
  <c r="K481" i="13" s="1"/>
  <c r="K480" i="13" a="1"/>
  <c r="K480" i="13" s="1"/>
  <c r="K479" i="13" a="1"/>
  <c r="K479" i="13" s="1"/>
  <c r="K478" i="13" a="1"/>
  <c r="K478" i="13" s="1"/>
  <c r="K477" i="13" a="1"/>
  <c r="K476" i="13" a="1"/>
  <c r="K476" i="13" s="1"/>
  <c r="K475" i="13" a="1"/>
  <c r="K474" i="13" a="1"/>
  <c r="K474" i="13" s="1"/>
  <c r="K473" i="13" a="1"/>
  <c r="K472" i="13" a="1"/>
  <c r="M472" i="13" s="1"/>
  <c r="K471" i="13" a="1"/>
  <c r="M471" i="13" s="1"/>
  <c r="K470" i="13" a="1"/>
  <c r="K470" i="13" s="1"/>
  <c r="K469" i="13" a="1"/>
  <c r="K469" i="13" s="1"/>
  <c r="K468" i="13" a="1"/>
  <c r="K468" i="13" s="1"/>
  <c r="K467" i="13" a="1"/>
  <c r="K467" i="13" s="1"/>
  <c r="K466" i="13" a="1"/>
  <c r="K466" i="13" s="1"/>
  <c r="K465" i="13" a="1"/>
  <c r="K465" i="13" s="1"/>
  <c r="K464" i="13" a="1"/>
  <c r="K464" i="13" s="1"/>
  <c r="K463" i="13" a="1"/>
  <c r="K462" i="13" a="1"/>
  <c r="K462" i="13" s="1"/>
  <c r="K461" i="13" a="1"/>
  <c r="M461" i="13" s="1"/>
  <c r="K460" i="13" a="1"/>
  <c r="M460" i="13" s="1"/>
  <c r="K459" i="13" a="1"/>
  <c r="K458" i="13" a="1"/>
  <c r="K458" i="13" s="1"/>
  <c r="K457" i="13" a="1"/>
  <c r="K457" i="13" s="1"/>
  <c r="K456" i="13" a="1"/>
  <c r="K456" i="13" s="1"/>
  <c r="K455" i="13" a="1"/>
  <c r="K455" i="13" s="1"/>
  <c r="K454" i="13" a="1"/>
  <c r="M454" i="13" s="1"/>
  <c r="K453" i="13" a="1"/>
  <c r="K453" i="13" s="1"/>
  <c r="K452" i="13" a="1"/>
  <c r="M452" i="13" s="1"/>
  <c r="K451" i="13" a="1"/>
  <c r="K451" i="13" s="1"/>
  <c r="K450" i="13" a="1"/>
  <c r="K449" i="13" a="1"/>
  <c r="K449" i="13" s="1"/>
  <c r="K448" i="13" a="1"/>
  <c r="K448" i="13" s="1"/>
  <c r="K447" i="13" a="1"/>
  <c r="K447" i="13" s="1"/>
  <c r="K446" i="13" a="1"/>
  <c r="K446" i="13" s="1"/>
  <c r="K445" i="13" a="1"/>
  <c r="K445" i="13" s="1"/>
  <c r="K444" i="13" a="1"/>
  <c r="K444" i="13" s="1"/>
  <c r="K443" i="13" a="1"/>
  <c r="K443" i="13" s="1"/>
  <c r="K442" i="13" a="1"/>
  <c r="K442" i="13" s="1"/>
  <c r="K441" i="13" a="1"/>
  <c r="K441" i="13" s="1"/>
  <c r="K440" i="13" a="1"/>
  <c r="K440" i="13" s="1"/>
  <c r="K439" i="13" a="1"/>
  <c r="K439" i="13" s="1"/>
  <c r="K438" i="13" a="1"/>
  <c r="K438" i="13" s="1"/>
  <c r="K437" i="13" a="1"/>
  <c r="K437" i="13" s="1"/>
  <c r="K436" i="13" a="1"/>
  <c r="K436" i="13" s="1"/>
  <c r="K435" i="13" a="1"/>
  <c r="K435" i="13" s="1"/>
  <c r="K434" i="13" a="1"/>
  <c r="K434" i="13" s="1"/>
  <c r="K433" i="13" a="1"/>
  <c r="K432" i="13" a="1"/>
  <c r="K432" i="13" s="1"/>
  <c r="K431" i="13" a="1"/>
  <c r="M431" i="13" s="1"/>
  <c r="K430" i="13" a="1"/>
  <c r="K430" i="13" s="1"/>
  <c r="K429" i="13" a="1"/>
  <c r="K428" i="13" a="1"/>
  <c r="M428" i="13" s="1"/>
  <c r="K427" i="13" a="1"/>
  <c r="M427" i="13" s="1"/>
  <c r="K426" i="13" a="1"/>
  <c r="K426" i="13" s="1"/>
  <c r="K425" i="13" a="1"/>
  <c r="K424" i="13" a="1"/>
  <c r="M424" i="13" s="1"/>
  <c r="K423" i="13" a="1"/>
  <c r="K423" i="13" s="1"/>
  <c r="K422" i="13" a="1"/>
  <c r="K422" i="13" s="1"/>
  <c r="K421" i="13" a="1"/>
  <c r="K421" i="13" s="1"/>
  <c r="K420" i="13" a="1"/>
  <c r="K420" i="13" s="1"/>
  <c r="K419" i="13" a="1"/>
  <c r="K419" i="13" s="1"/>
  <c r="K418" i="13" a="1"/>
  <c r="K418" i="13" s="1"/>
  <c r="K417" i="13" a="1"/>
  <c r="K417" i="13" s="1"/>
  <c r="K416" i="13" a="1"/>
  <c r="K416" i="13" s="1"/>
  <c r="K415" i="13" a="1"/>
  <c r="K415" i="13" s="1"/>
  <c r="K414" i="13" a="1"/>
  <c r="K414" i="13" s="1"/>
  <c r="K413" i="13" a="1"/>
  <c r="K413" i="13" s="1"/>
  <c r="K412" i="13" a="1"/>
  <c r="K412" i="13" s="1"/>
  <c r="K411" i="13" a="1"/>
  <c r="K411" i="13" s="1"/>
  <c r="K410" i="13" a="1"/>
  <c r="K410" i="13" s="1"/>
  <c r="K409" i="13" a="1"/>
  <c r="K409" i="13" s="1"/>
  <c r="K408" i="13" a="1"/>
  <c r="K408" i="13" s="1"/>
  <c r="K407" i="13" a="1"/>
  <c r="M407" i="13" s="1"/>
  <c r="K406" i="13" a="1"/>
  <c r="M406" i="13" s="1"/>
  <c r="K405" i="13" a="1"/>
  <c r="K405" i="13" s="1"/>
  <c r="K404" i="13" a="1"/>
  <c r="K403" i="13" a="1"/>
  <c r="M403" i="13" s="1"/>
  <c r="K402" i="13" a="1"/>
  <c r="M402" i="13" s="1"/>
  <c r="K401" i="13" a="1"/>
  <c r="K401" i="13" s="1"/>
  <c r="K400" i="13" a="1"/>
  <c r="K399" i="13" a="1"/>
  <c r="M399" i="13" s="1"/>
  <c r="K398" i="13" a="1"/>
  <c r="M398" i="13" s="1"/>
  <c r="K397" i="13" a="1"/>
  <c r="K396" i="13" a="1"/>
  <c r="K396" i="13" s="1"/>
  <c r="K395" i="13" a="1"/>
  <c r="M395" i="13" s="1"/>
  <c r="K394" i="13" a="1"/>
  <c r="M394" i="13" s="1"/>
  <c r="K393" i="13" a="1"/>
  <c r="K392" i="13" a="1"/>
  <c r="K392" i="13" s="1"/>
  <c r="K391" i="13" a="1"/>
  <c r="M391" i="13" s="1"/>
  <c r="K390" i="13" a="1"/>
  <c r="M390" i="13" s="1"/>
  <c r="K389" i="13" a="1"/>
  <c r="K389" i="13" s="1"/>
  <c r="K388" i="13" a="1"/>
  <c r="K388" i="13" s="1"/>
  <c r="K387" i="13" a="1"/>
  <c r="M387" i="13" s="1"/>
  <c r="K386" i="13" a="1"/>
  <c r="M386" i="13" s="1"/>
  <c r="K385" i="13" a="1"/>
  <c r="K385" i="13" s="1"/>
  <c r="K384" i="13" a="1"/>
  <c r="K384" i="13" s="1"/>
  <c r="K383" i="13" a="1"/>
  <c r="M383" i="13" s="1"/>
  <c r="K382" i="13" a="1"/>
  <c r="M382" i="13" s="1"/>
  <c r="K381" i="13" a="1"/>
  <c r="K381" i="13" s="1"/>
  <c r="K380" i="13" a="1"/>
  <c r="K380" i="13" s="1"/>
  <c r="K379" i="13" a="1"/>
  <c r="K379" i="13" s="1"/>
  <c r="K378" i="13" a="1"/>
  <c r="K378" i="13" s="1"/>
  <c r="K377" i="13" a="1"/>
  <c r="K377" i="13" s="1"/>
  <c r="K376" i="13" a="1"/>
  <c r="K376" i="13" s="1"/>
  <c r="K375" i="13" a="1"/>
  <c r="K375" i="13" s="1"/>
  <c r="K374" i="13" a="1"/>
  <c r="K374" i="13" s="1"/>
  <c r="K373" i="13" a="1"/>
  <c r="K373" i="13" s="1"/>
  <c r="K372" i="13" a="1"/>
  <c r="K372" i="13" s="1"/>
  <c r="K371" i="13" a="1"/>
  <c r="K371" i="13" s="1"/>
  <c r="K370" i="13" a="1"/>
  <c r="K370" i="13" s="1"/>
  <c r="K369" i="13" a="1"/>
  <c r="K369" i="13" s="1"/>
  <c r="K368" i="13" a="1"/>
  <c r="K368" i="13" s="1"/>
  <c r="K367" i="13" a="1"/>
  <c r="K367" i="13" s="1"/>
  <c r="K366" i="13" a="1"/>
  <c r="K366" i="13" s="1"/>
  <c r="K365" i="13" a="1"/>
  <c r="K365" i="13" s="1"/>
  <c r="K364" i="13" a="1"/>
  <c r="K364" i="13" s="1"/>
  <c r="K363" i="13" a="1"/>
  <c r="K363" i="13" s="1"/>
  <c r="K362" i="13" a="1"/>
  <c r="K362" i="13" s="1"/>
  <c r="K361" i="13" a="1"/>
  <c r="K361" i="13" s="1"/>
  <c r="K360" i="13" a="1"/>
  <c r="K360" i="13" s="1"/>
  <c r="K359" i="13" a="1"/>
  <c r="K359" i="13" s="1"/>
  <c r="K358" i="13" a="1"/>
  <c r="K358" i="13" s="1"/>
  <c r="K357" i="13" a="1"/>
  <c r="K357" i="13" s="1"/>
  <c r="K356" i="13" a="1"/>
  <c r="K356" i="13" s="1"/>
  <c r="K355" i="13" a="1"/>
  <c r="K355" i="13" s="1"/>
  <c r="K354" i="13" a="1"/>
  <c r="K354" i="13" s="1"/>
  <c r="K353" i="13" a="1"/>
  <c r="K353" i="13" s="1"/>
  <c r="K352" i="13" a="1"/>
  <c r="K352" i="13" s="1"/>
  <c r="K351" i="13" a="1"/>
  <c r="K351" i="13" s="1"/>
  <c r="K350" i="13" a="1"/>
  <c r="K350" i="13" s="1"/>
  <c r="K349" i="13" a="1"/>
  <c r="K349" i="13" s="1"/>
  <c r="K348" i="13" a="1"/>
  <c r="K348" i="13" s="1"/>
  <c r="K347" i="13" a="1"/>
  <c r="K347" i="13" s="1"/>
  <c r="K346" i="13" a="1"/>
  <c r="K346" i="13" s="1"/>
  <c r="K345" i="13" a="1"/>
  <c r="K345" i="13" s="1"/>
  <c r="K344" i="13" a="1"/>
  <c r="K344" i="13" s="1"/>
  <c r="K343" i="13" a="1"/>
  <c r="K343" i="13" s="1"/>
  <c r="K342" i="13" a="1"/>
  <c r="K342" i="13" s="1"/>
  <c r="K341" i="13" a="1"/>
  <c r="K341" i="13" s="1"/>
  <c r="K340" i="13" a="1"/>
  <c r="K340" i="13" s="1"/>
  <c r="K339" i="13" a="1"/>
  <c r="K339" i="13" s="1"/>
  <c r="K338" i="13" a="1"/>
  <c r="K338" i="13" s="1"/>
  <c r="K337" i="13" a="1"/>
  <c r="K337" i="13" s="1"/>
  <c r="K336" i="13" a="1"/>
  <c r="K336" i="13" s="1"/>
  <c r="K335" i="13" a="1"/>
  <c r="K335" i="13" s="1"/>
  <c r="K334" i="13" a="1"/>
  <c r="K334" i="13" s="1"/>
  <c r="K333" i="13" a="1"/>
  <c r="K333" i="13" s="1"/>
  <c r="K332" i="13" a="1"/>
  <c r="K332" i="13" s="1"/>
  <c r="K331" i="13" a="1"/>
  <c r="K331" i="13" s="1"/>
  <c r="K330" i="13" a="1"/>
  <c r="K330" i="13" s="1"/>
  <c r="K329" i="13" a="1"/>
  <c r="K329" i="13" s="1"/>
  <c r="K328" i="13" a="1"/>
  <c r="K328" i="13" s="1"/>
  <c r="K327" i="13" a="1"/>
  <c r="K327" i="13" s="1"/>
  <c r="K326" i="13" a="1"/>
  <c r="K326" i="13" s="1"/>
  <c r="K325" i="13" a="1"/>
  <c r="K325" i="13" s="1"/>
  <c r="K324" i="13" a="1"/>
  <c r="K324" i="13" s="1"/>
  <c r="K323" i="13" a="1"/>
  <c r="K323" i="13" s="1"/>
  <c r="K322" i="13" a="1"/>
  <c r="K322" i="13" s="1"/>
  <c r="K321" i="13" a="1"/>
  <c r="K321" i="13" s="1"/>
  <c r="K320" i="13" a="1"/>
  <c r="K320" i="13" s="1"/>
  <c r="K319" i="13" a="1"/>
  <c r="K319" i="13" s="1"/>
  <c r="K318" i="13" a="1"/>
  <c r="K318" i="13" s="1"/>
  <c r="K317" i="13" a="1"/>
  <c r="K317" i="13" s="1"/>
  <c r="K316" i="13" a="1"/>
  <c r="K316" i="13" s="1"/>
  <c r="K315" i="13" a="1"/>
  <c r="K315" i="13" s="1"/>
  <c r="K314" i="13" a="1"/>
  <c r="K314" i="13" s="1"/>
  <c r="K313" i="13" a="1"/>
  <c r="K313" i="13" s="1"/>
  <c r="K312" i="13" a="1"/>
  <c r="K312" i="13" s="1"/>
  <c r="K311" i="13" a="1"/>
  <c r="K311" i="13" s="1"/>
  <c r="K310" i="13" a="1"/>
  <c r="K310" i="13" s="1"/>
  <c r="K309" i="13" a="1"/>
  <c r="K309" i="13" s="1"/>
  <c r="K308" i="13" a="1"/>
  <c r="K308" i="13" s="1"/>
  <c r="K307" i="13" a="1"/>
  <c r="K307" i="13" s="1"/>
  <c r="K306" i="13" a="1"/>
  <c r="K306" i="13" s="1"/>
  <c r="K305" i="13" a="1"/>
  <c r="K305" i="13" s="1"/>
  <c r="K304" i="13" a="1"/>
  <c r="K304" i="13" s="1"/>
  <c r="K303" i="13" a="1"/>
  <c r="K303" i="13" s="1"/>
  <c r="K302" i="13" a="1"/>
  <c r="K302" i="13" s="1"/>
  <c r="K301" i="13" a="1"/>
  <c r="K301" i="13" s="1"/>
  <c r="K300" i="13" a="1"/>
  <c r="K300" i="13" s="1"/>
  <c r="K299" i="13" a="1"/>
  <c r="K299" i="13" s="1"/>
  <c r="K298" i="13" a="1"/>
  <c r="K298" i="13" s="1"/>
  <c r="K297" i="13" a="1"/>
  <c r="K297" i="13" s="1"/>
  <c r="K296" i="13" a="1"/>
  <c r="K296" i="13" s="1"/>
  <c r="K295" i="13" a="1"/>
  <c r="K295" i="13" s="1"/>
  <c r="K294" i="13" a="1"/>
  <c r="K294" i="13" s="1"/>
  <c r="K293" i="13" a="1"/>
  <c r="M293" i="13" s="1"/>
  <c r="K292" i="13" a="1"/>
  <c r="K292" i="13" s="1"/>
  <c r="K291" i="13" a="1"/>
  <c r="K291" i="13" s="1"/>
  <c r="K290" i="13" a="1"/>
  <c r="M290" i="13" s="1"/>
  <c r="K289" i="13" a="1"/>
  <c r="M289" i="13" s="1"/>
  <c r="K288" i="13" a="1"/>
  <c r="K287" i="13" a="1"/>
  <c r="K287" i="13" s="1"/>
  <c r="K286" i="13" a="1"/>
  <c r="M286" i="13" s="1"/>
  <c r="K285" i="13" a="1"/>
  <c r="M285" i="13" s="1"/>
  <c r="K284" i="13" a="1"/>
  <c r="K283" i="13" a="1"/>
  <c r="K283" i="13" s="1"/>
  <c r="K282" i="13" a="1"/>
  <c r="M282" i="13" s="1"/>
  <c r="K281" i="13" a="1"/>
  <c r="K281" i="13" s="1"/>
  <c r="K280" i="13" a="1"/>
  <c r="K280" i="13" s="1"/>
  <c r="K279" i="13" a="1"/>
  <c r="K279" i="13" s="1"/>
  <c r="K278" i="13" a="1"/>
  <c r="K278" i="13" s="1"/>
  <c r="K277" i="13" a="1"/>
  <c r="K277" i="13" s="1"/>
  <c r="K276" i="13" a="1"/>
  <c r="K276" i="13" s="1"/>
  <c r="K275" i="13" a="1"/>
  <c r="K275" i="13" s="1"/>
  <c r="K274" i="13" a="1"/>
  <c r="K274" i="13" s="1"/>
  <c r="K273" i="13" a="1"/>
  <c r="K273" i="13" s="1"/>
  <c r="K272" i="13" a="1"/>
  <c r="K272" i="13" s="1"/>
  <c r="K271" i="13" a="1"/>
  <c r="K271" i="13" s="1"/>
  <c r="K270" i="13" a="1"/>
  <c r="K270" i="13" s="1"/>
  <c r="K269" i="13" a="1"/>
  <c r="K269" i="13" s="1"/>
  <c r="K268" i="13" a="1"/>
  <c r="K268" i="13" s="1"/>
  <c r="K267" i="13" a="1"/>
  <c r="K267" i="13" s="1"/>
  <c r="K266" i="13" a="1"/>
  <c r="K266" i="13" s="1"/>
  <c r="K265" i="13" a="1"/>
  <c r="K265" i="13" s="1"/>
  <c r="K264" i="13" a="1"/>
  <c r="K264" i="13" s="1"/>
  <c r="K263" i="13" a="1"/>
  <c r="K263" i="13" s="1"/>
  <c r="K262" i="13" a="1"/>
  <c r="K262" i="13" s="1"/>
  <c r="K261" i="13" a="1"/>
  <c r="K261" i="13" s="1"/>
  <c r="K260" i="13" a="1"/>
  <c r="K260" i="13" s="1"/>
  <c r="K259" i="13" a="1"/>
  <c r="K259" i="13" s="1"/>
  <c r="K258" i="13" a="1"/>
  <c r="K258" i="13" s="1"/>
  <c r="K257" i="13" a="1"/>
  <c r="K257" i="13" s="1"/>
  <c r="K256" i="13" a="1"/>
  <c r="K256" i="13" s="1"/>
  <c r="K255" i="13" a="1"/>
  <c r="K255" i="13" s="1"/>
  <c r="K254" i="13" a="1"/>
  <c r="K254" i="13" s="1"/>
  <c r="K253" i="13" a="1"/>
  <c r="M253" i="13" s="1"/>
  <c r="K252" i="13" a="1"/>
  <c r="K252" i="13" s="1"/>
  <c r="K251" i="13" a="1"/>
  <c r="M251" i="13" s="1"/>
  <c r="K250" i="13" a="1"/>
  <c r="K250" i="13" s="1"/>
  <c r="K249" i="13" a="1"/>
  <c r="K248" i="13" a="1"/>
  <c r="M248" i="13" s="1"/>
  <c r="K247" i="13" a="1"/>
  <c r="K247" i="13" s="1"/>
  <c r="K246" i="13" a="1"/>
  <c r="K246" i="13" s="1"/>
  <c r="K245" i="13" a="1"/>
  <c r="K245" i="13" s="1"/>
  <c r="K244" i="13" a="1"/>
  <c r="M244" i="13" s="1"/>
  <c r="K243" i="13" a="1"/>
  <c r="K243" i="13" s="1"/>
  <c r="K242" i="13" a="1"/>
  <c r="K242" i="13" s="1"/>
  <c r="K241" i="13" a="1"/>
  <c r="K241" i="13" s="1"/>
  <c r="K240" i="13" a="1"/>
  <c r="K239" i="13" a="1"/>
  <c r="K238" i="13" a="1"/>
  <c r="K238" i="13" s="1"/>
  <c r="K237" i="13" a="1"/>
  <c r="K237" i="13" s="1"/>
  <c r="K236" i="13" a="1"/>
  <c r="K235" i="13" a="1"/>
  <c r="M235" i="13" s="1"/>
  <c r="K234" i="13" a="1"/>
  <c r="K234" i="13" s="1"/>
  <c r="K233" i="13" a="1"/>
  <c r="K233" i="13" s="1"/>
  <c r="K232" i="13" a="1"/>
  <c r="K232" i="13" s="1"/>
  <c r="K231" i="13" a="1"/>
  <c r="K231" i="13" s="1"/>
  <c r="K230" i="13" a="1"/>
  <c r="K230" i="13" s="1"/>
  <c r="K229" i="13" a="1"/>
  <c r="K229" i="13" s="1"/>
  <c r="K228" i="13" a="1"/>
  <c r="M228" i="13" s="1"/>
  <c r="K227" i="13" a="1"/>
  <c r="K227" i="13" s="1"/>
  <c r="K226" i="13" a="1"/>
  <c r="K226" i="13" s="1"/>
  <c r="K225" i="13" a="1"/>
  <c r="K225" i="13" s="1"/>
  <c r="K224" i="13" a="1"/>
  <c r="K223" i="13" a="1"/>
  <c r="M223" i="13" s="1"/>
  <c r="K222" i="13" a="1"/>
  <c r="K222" i="13" s="1"/>
  <c r="K221" i="13" a="1"/>
  <c r="K220" i="13" a="1"/>
  <c r="M220" i="13" s="1"/>
  <c r="K219" i="13" a="1"/>
  <c r="K219" i="13" s="1"/>
  <c r="K218" i="13" a="1"/>
  <c r="K218" i="13" s="1"/>
  <c r="K217" i="13" a="1"/>
  <c r="K217" i="13" s="1"/>
  <c r="K216" i="13" a="1"/>
  <c r="M216" i="13" s="1"/>
  <c r="K215" i="13" a="1"/>
  <c r="K215" i="13" s="1"/>
  <c r="K214" i="13" a="1"/>
  <c r="M214" i="13" s="1"/>
  <c r="K213" i="13" a="1"/>
  <c r="K212" i="13" a="1"/>
  <c r="M212" i="13" s="1"/>
  <c r="K211" i="13" a="1"/>
  <c r="K211" i="13" s="1"/>
  <c r="K210" i="13" a="1"/>
  <c r="K210" i="13" s="1"/>
  <c r="K209" i="13" a="1"/>
  <c r="M209" i="13" s="1"/>
  <c r="K208" i="13" a="1"/>
  <c r="M208" i="13" s="1"/>
  <c r="K207" i="13" a="1"/>
  <c r="K207" i="13" s="1"/>
  <c r="K206" i="13" a="1"/>
  <c r="M206" i="13" s="1"/>
  <c r="K205" i="13" a="1"/>
  <c r="M205" i="13" s="1"/>
  <c r="K204" i="13" a="1"/>
  <c r="M204" i="13" s="1"/>
  <c r="K203" i="13" a="1"/>
  <c r="K203" i="13" s="1"/>
  <c r="K202" i="13" a="1"/>
  <c r="M202" i="13" s="1"/>
  <c r="K201" i="13" a="1"/>
  <c r="M201" i="13" s="1"/>
  <c r="K200" i="13" a="1"/>
  <c r="K200" i="13" s="1"/>
  <c r="K199" i="13" a="1"/>
  <c r="K199" i="13" s="1"/>
  <c r="K198" i="13" a="1"/>
  <c r="M198" i="13" s="1"/>
  <c r="K197" i="13" a="1"/>
  <c r="K196" i="13" a="1"/>
  <c r="K195" i="13" a="1"/>
  <c r="K195" i="13" s="1"/>
  <c r="K194" i="13" a="1"/>
  <c r="M194" i="13" s="1"/>
  <c r="K193" i="13" a="1"/>
  <c r="K193" i="13" s="1"/>
  <c r="K192" i="13" a="1"/>
  <c r="M192" i="13" s="1"/>
  <c r="K191" i="13" a="1"/>
  <c r="K191" i="13" s="1"/>
  <c r="K190" i="13" a="1"/>
  <c r="K190" i="13" s="1"/>
  <c r="K189" i="13" a="1"/>
  <c r="K189" i="13" s="1"/>
  <c r="K188" i="13" a="1"/>
  <c r="K187" i="13" a="1"/>
  <c r="K187" i="13" s="1"/>
  <c r="K186" i="13" a="1"/>
  <c r="K186" i="13" s="1"/>
  <c r="K185" i="13" a="1"/>
  <c r="K185" i="13" s="1"/>
  <c r="K184" i="13" a="1"/>
  <c r="M184" i="13" s="1"/>
  <c r="K183" i="13" a="1"/>
  <c r="M183" i="13" s="1"/>
  <c r="K182" i="13" a="1"/>
  <c r="K182" i="13" s="1"/>
  <c r="K181" i="13" a="1"/>
  <c r="K181" i="13" s="1"/>
  <c r="K180" i="13" a="1"/>
  <c r="K180" i="13" s="1"/>
  <c r="K179" i="13" a="1"/>
  <c r="K179" i="13" s="1"/>
  <c r="K178" i="13" a="1"/>
  <c r="K178" i="13" s="1"/>
  <c r="K177" i="13" a="1"/>
  <c r="K177" i="13" s="1"/>
  <c r="K176" i="13" a="1"/>
  <c r="K176" i="13" s="1"/>
  <c r="K175" i="13" a="1"/>
  <c r="K175" i="13" s="1"/>
  <c r="K174" i="13" a="1"/>
  <c r="K174" i="13" s="1"/>
  <c r="K173" i="13" a="1"/>
  <c r="K173" i="13" s="1"/>
  <c r="K172" i="13" a="1"/>
  <c r="K171" i="13" a="1"/>
  <c r="K170" i="13" a="1"/>
  <c r="K170" i="13" s="1"/>
  <c r="K169" i="13" a="1"/>
  <c r="M169" i="13" s="1"/>
  <c r="K168" i="13" a="1"/>
  <c r="K167" i="13" a="1"/>
  <c r="K167" i="13" s="1"/>
  <c r="K166" i="13" a="1"/>
  <c r="K166" i="13" s="1"/>
  <c r="K165" i="13" a="1"/>
  <c r="M165" i="13" s="1"/>
  <c r="K164" i="13" a="1"/>
  <c r="K163" i="13" a="1"/>
  <c r="K163" i="13" s="1"/>
  <c r="K162" i="13" a="1"/>
  <c r="M162" i="13" s="1"/>
  <c r="K161" i="13" a="1"/>
  <c r="M161" i="13" s="1"/>
  <c r="K160" i="13" a="1"/>
  <c r="K159" i="13" a="1"/>
  <c r="K159" i="13" s="1"/>
  <c r="K158" i="13" a="1"/>
  <c r="K158" i="13" s="1"/>
  <c r="K157" i="13" a="1"/>
  <c r="K157" i="13" s="1"/>
  <c r="K156" i="13" a="1"/>
  <c r="K156" i="13" s="1"/>
  <c r="K155" i="13" a="1"/>
  <c r="K155" i="13" s="1"/>
  <c r="K154" i="13" a="1"/>
  <c r="M154" i="13" s="1"/>
  <c r="K153" i="13" a="1"/>
  <c r="M153" i="13" s="1"/>
  <c r="K152" i="13" a="1"/>
  <c r="M152" i="13" s="1"/>
  <c r="K151" i="13" a="1"/>
  <c r="K151" i="13" s="1"/>
  <c r="K150" i="13" a="1"/>
  <c r="M150" i="13" s="1"/>
  <c r="K149" i="13" a="1"/>
  <c r="K149" i="13" s="1"/>
  <c r="K148" i="13" a="1"/>
  <c r="K148" i="13" s="1"/>
  <c r="K147" i="13" a="1"/>
  <c r="K147" i="13" s="1"/>
  <c r="K146" i="13" a="1"/>
  <c r="K146" i="13" s="1"/>
  <c r="K145" i="13" a="1"/>
  <c r="K145" i="13" s="1"/>
  <c r="K144" i="13" a="1"/>
  <c r="K144" i="13" s="1"/>
  <c r="K143" i="13" a="1"/>
  <c r="M143" i="13" s="1"/>
  <c r="K142" i="13" a="1"/>
  <c r="K141" i="13" a="1"/>
  <c r="K141" i="13" s="1"/>
  <c r="K140" i="13" a="1"/>
  <c r="K139" i="13" a="1"/>
  <c r="K139" i="13" s="1"/>
  <c r="K138" i="13" a="1"/>
  <c r="M138" i="13" s="1"/>
  <c r="K137" i="13" a="1"/>
  <c r="K137" i="13" s="1"/>
  <c r="K136" i="13" a="1"/>
  <c r="K136" i="13" s="1"/>
  <c r="K135" i="13" a="1"/>
  <c r="K135" i="13" s="1"/>
  <c r="K134" i="13" a="1"/>
  <c r="K134" i="13" s="1"/>
  <c r="K133" i="13" a="1"/>
  <c r="K133" i="13" s="1"/>
  <c r="K132" i="13" a="1"/>
  <c r="M132" i="13" s="1"/>
  <c r="K131" i="13" a="1"/>
  <c r="K131" i="13" s="1"/>
  <c r="K130" i="13" a="1"/>
  <c r="M130" i="13" s="1"/>
  <c r="K129" i="13" a="1"/>
  <c r="K129" i="13" s="1"/>
  <c r="K128" i="13" a="1"/>
  <c r="K128" i="13" s="1"/>
  <c r="K127" i="13" a="1"/>
  <c r="K127" i="13" s="1"/>
  <c r="K126" i="13" a="1"/>
  <c r="K126" i="13" s="1"/>
  <c r="K125" i="13" a="1"/>
  <c r="K125" i="13" s="1"/>
  <c r="K124" i="13" a="1"/>
  <c r="M124" i="13" s="1"/>
  <c r="K123" i="13" a="1"/>
  <c r="M123" i="13" s="1"/>
  <c r="K122" i="13" a="1"/>
  <c r="M122" i="13" s="1"/>
  <c r="K121" i="13" a="1"/>
  <c r="K120" i="13" a="1"/>
  <c r="K120" i="13" s="1"/>
  <c r="K119" i="13" a="1"/>
  <c r="K118" i="13" a="1"/>
  <c r="K118" i="13" s="1"/>
  <c r="K117" i="13" a="1"/>
  <c r="M117" i="13" s="1"/>
  <c r="K116" i="13" a="1"/>
  <c r="K116" i="13" s="1"/>
  <c r="K115" i="13" a="1"/>
  <c r="K115" i="13" s="1"/>
  <c r="K114" i="13" a="1"/>
  <c r="K113" i="13" a="1"/>
  <c r="M113" i="13" s="1"/>
  <c r="K112" i="13" a="1"/>
  <c r="K112" i="13" s="1"/>
  <c r="K111" i="13" a="1"/>
  <c r="K111" i="13" s="1"/>
  <c r="K110" i="13" a="1"/>
  <c r="M110" i="13" s="1"/>
  <c r="K109" i="13" a="1"/>
  <c r="M109" i="13" s="1"/>
  <c r="K108" i="13" a="1"/>
  <c r="K108" i="13" s="1"/>
  <c r="K107" i="13" a="1"/>
  <c r="K107" i="13" s="1"/>
  <c r="K106" i="13" a="1"/>
  <c r="K106" i="13" s="1"/>
  <c r="K105" i="13" a="1"/>
  <c r="M105" i="13" s="1"/>
  <c r="K104" i="13" a="1"/>
  <c r="K104" i="13" s="1"/>
  <c r="K103" i="13" a="1"/>
  <c r="K103" i="13" s="1"/>
  <c r="K102" i="13" a="1"/>
  <c r="K102" i="13" s="1"/>
  <c r="K101" i="13" a="1"/>
  <c r="M101" i="13" s="1"/>
  <c r="K100" i="13" a="1"/>
  <c r="M100" i="13" s="1"/>
  <c r="K99" i="13" a="1"/>
  <c r="K99" i="13" s="1"/>
  <c r="K98" i="13" a="1"/>
  <c r="K98" i="13" s="1"/>
  <c r="K97" i="13" a="1"/>
  <c r="K97" i="13" s="1"/>
  <c r="K96" i="13" a="1"/>
  <c r="K96" i="13" s="1"/>
  <c r="K95" i="13" a="1"/>
  <c r="K95" i="13" s="1"/>
  <c r="K94" i="13" a="1"/>
  <c r="K94" i="13" s="1"/>
  <c r="K93" i="13" a="1"/>
  <c r="K93" i="13" s="1"/>
  <c r="K92" i="13" a="1"/>
  <c r="K92" i="13" s="1"/>
  <c r="K91" i="13" a="1"/>
  <c r="K91" i="13" s="1"/>
  <c r="K90" i="13" a="1"/>
  <c r="K90" i="13" s="1"/>
  <c r="K89" i="13" a="1"/>
  <c r="K89" i="13" s="1"/>
  <c r="K88" i="13" a="1"/>
  <c r="K88" i="13" s="1"/>
  <c r="K87" i="13" a="1"/>
  <c r="K87" i="13" s="1"/>
  <c r="K86" i="13" a="1"/>
  <c r="K86" i="13" s="1"/>
  <c r="K85" i="13" a="1"/>
  <c r="K85" i="13" s="1"/>
  <c r="K84" i="13" a="1"/>
  <c r="K84" i="13" s="1"/>
  <c r="K83" i="13" a="1"/>
  <c r="K83" i="13" s="1"/>
  <c r="K82" i="13" a="1"/>
  <c r="K82" i="13" s="1"/>
  <c r="K81" i="13" a="1"/>
  <c r="K81" i="13" s="1"/>
  <c r="K80" i="13" a="1"/>
  <c r="K80" i="13" s="1"/>
  <c r="K79" i="13" a="1"/>
  <c r="M79" i="13" s="1"/>
  <c r="K78" i="13" a="1"/>
  <c r="K78" i="13" s="1"/>
  <c r="K77" i="13" a="1"/>
  <c r="K77" i="13" s="1"/>
  <c r="K76" i="13" a="1"/>
  <c r="M76" i="13" s="1"/>
  <c r="K75" i="13" a="1"/>
  <c r="M75" i="13" s="1"/>
  <c r="K74" i="13" a="1"/>
  <c r="K74" i="13" s="1"/>
  <c r="K73" i="13" a="1"/>
  <c r="K73" i="13" s="1"/>
  <c r="K72" i="13" a="1"/>
  <c r="K72" i="13" s="1"/>
  <c r="K71" i="13" a="1"/>
  <c r="M71" i="13" s="1"/>
  <c r="K70" i="13" a="1"/>
  <c r="K70" i="13" s="1"/>
  <c r="K69" i="13" a="1"/>
  <c r="K69" i="13" s="1"/>
  <c r="K68" i="13" a="1"/>
  <c r="M68" i="13" s="1"/>
  <c r="K67" i="13" a="1"/>
  <c r="K67" i="13" s="1"/>
  <c r="K66" i="13" a="1"/>
  <c r="K66" i="13" s="1"/>
  <c r="K65" i="13" a="1"/>
  <c r="K65" i="13" s="1"/>
  <c r="K64" i="13" a="1"/>
  <c r="K64" i="13" s="1"/>
  <c r="K63" i="13" a="1"/>
  <c r="K63" i="13" s="1"/>
  <c r="K62" i="13" a="1"/>
  <c r="K62" i="13" s="1"/>
  <c r="K61" i="13" a="1"/>
  <c r="K61" i="13" s="1"/>
  <c r="K60" i="13" a="1"/>
  <c r="K60" i="13" s="1"/>
  <c r="K59" i="13" a="1"/>
  <c r="K59" i="13" s="1"/>
  <c r="K58" i="13" a="1"/>
  <c r="K58" i="13" s="1"/>
  <c r="K57" i="13" a="1"/>
  <c r="K57" i="13" s="1"/>
  <c r="K56" i="13" a="1"/>
  <c r="K56" i="13" s="1"/>
  <c r="K55" i="13" a="1"/>
  <c r="K55" i="13" s="1"/>
  <c r="K54" i="13" a="1"/>
  <c r="K54" i="13" s="1"/>
  <c r="K53" i="13" a="1"/>
  <c r="K53" i="13" s="1"/>
  <c r="K52" i="13" a="1"/>
  <c r="K52" i="13" s="1"/>
  <c r="K51" i="13" a="1"/>
  <c r="K51" i="13" s="1"/>
  <c r="K50" i="13" a="1"/>
  <c r="K50" i="13" s="1"/>
  <c r="K49" i="13" a="1"/>
  <c r="K49" i="13" s="1"/>
  <c r="K48" i="13" a="1"/>
  <c r="K48" i="13" s="1"/>
  <c r="K47" i="13" a="1"/>
  <c r="K47" i="13" s="1"/>
  <c r="K46" i="13" a="1"/>
  <c r="K46" i="13" s="1"/>
  <c r="K45" i="13" a="1"/>
  <c r="K45" i="13" s="1"/>
  <c r="K44" i="13" a="1"/>
  <c r="K44" i="13" s="1"/>
  <c r="K43" i="13" a="1"/>
  <c r="K43" i="13" s="1"/>
  <c r="K42" i="13" a="1"/>
  <c r="K42" i="13" s="1"/>
  <c r="K41" i="13" a="1"/>
  <c r="K41" i="13" s="1"/>
  <c r="K40" i="13" a="1"/>
  <c r="K40" i="13" s="1"/>
  <c r="K39" i="13" a="1"/>
  <c r="K39" i="13" s="1"/>
  <c r="K38" i="13" a="1"/>
  <c r="M38" i="13" s="1"/>
  <c r="K37" i="13" a="1"/>
  <c r="M37" i="13" s="1"/>
  <c r="K36" i="13" a="1"/>
  <c r="M36" i="13" s="1"/>
  <c r="K35" i="13" a="1"/>
  <c r="K35" i="13" s="1"/>
  <c r="K34" i="13" a="1"/>
  <c r="K34" i="13" s="1"/>
  <c r="K33" i="13" a="1"/>
  <c r="M33" i="13" s="1"/>
  <c r="K32" i="13" a="1"/>
  <c r="M32" i="13" s="1"/>
  <c r="K31" i="13" a="1"/>
  <c r="K31" i="13" s="1"/>
  <c r="K30" i="13" a="1"/>
  <c r="K30" i="13" s="1"/>
  <c r="K29" i="13" a="1"/>
  <c r="K29" i="13" s="1"/>
  <c r="K28" i="13" a="1"/>
  <c r="M28" i="13" s="1"/>
  <c r="K27" i="13" a="1"/>
  <c r="K27" i="13" s="1"/>
  <c r="K26" i="13" a="1"/>
  <c r="M26" i="13" s="1"/>
  <c r="K25" i="13" a="1"/>
  <c r="K25" i="13" s="1"/>
  <c r="K24" i="13" a="1"/>
  <c r="M24" i="13" s="1"/>
  <c r="K23" i="13" a="1"/>
  <c r="K23" i="13" s="1"/>
  <c r="K22" i="13" a="1"/>
  <c r="K22" i="13" s="1"/>
  <c r="K21" i="13" a="1"/>
  <c r="M21" i="13" s="1"/>
  <c r="K20" i="13" a="1"/>
  <c r="M20" i="13" s="1"/>
  <c r="K19" i="13" a="1"/>
  <c r="M19" i="13" s="1"/>
  <c r="K18" i="13" a="1"/>
  <c r="M18" i="13" s="1"/>
  <c r="K17" i="13" a="1"/>
  <c r="M17" i="13" s="1"/>
  <c r="K16" i="13" a="1"/>
  <c r="K15" i="13" a="1"/>
  <c r="K15" i="13" s="1"/>
  <c r="K14" i="13" a="1"/>
  <c r="M14" i="13" s="1"/>
  <c r="K13" i="13" a="1"/>
  <c r="K12" i="13" a="1"/>
  <c r="M12" i="13" s="1"/>
  <c r="K11" i="13" a="1"/>
  <c r="K11" i="13" s="1"/>
  <c r="K10" i="13" a="1"/>
  <c r="M10" i="13" s="1"/>
  <c r="K9" i="13" a="1"/>
  <c r="M9" i="13" s="1"/>
  <c r="K8" i="13" a="1"/>
  <c r="K8" i="13" s="1"/>
  <c r="K7" i="13" a="1"/>
  <c r="M7" i="13" s="1"/>
  <c r="K6" i="13" a="1"/>
  <c r="K6" i="13" s="1"/>
  <c r="K5" i="13" a="1"/>
  <c r="K5" i="13" s="1"/>
  <c r="K4" i="13" a="1"/>
  <c r="K4" i="13" s="1"/>
  <c r="K3" i="13" a="1"/>
  <c r="K3" i="13" s="1"/>
  <c r="K2" i="13" a="1"/>
  <c r="K2" i="13" s="1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K15" i="10"/>
  <c r="K14" i="10"/>
  <c r="K13" i="10"/>
  <c r="K12" i="10"/>
  <c r="K10" i="10"/>
  <c r="K9" i="10"/>
  <c r="K8" i="10"/>
  <c r="K7" i="10"/>
  <c r="K6" i="10"/>
  <c r="K5" i="10"/>
  <c r="K4" i="10"/>
  <c r="K3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I16" i="10"/>
  <c r="K16" i="10" s="1"/>
  <c r="E16" i="10"/>
  <c r="D16" i="10"/>
  <c r="C16" i="10"/>
  <c r="F16" i="10" s="1"/>
  <c r="J11" i="10"/>
  <c r="J16" i="10" s="1"/>
  <c r="K14" i="6"/>
  <c r="J14" i="6"/>
  <c r="L14" i="6" l="1"/>
  <c r="K544" i="13"/>
  <c r="M614" i="13"/>
  <c r="M34" i="13"/>
  <c r="K105" i="13"/>
  <c r="M458" i="13"/>
  <c r="M538" i="13"/>
  <c r="M688" i="13"/>
  <c r="M72" i="13"/>
  <c r="M517" i="13"/>
  <c r="M644" i="13"/>
  <c r="M64" i="13"/>
  <c r="M133" i="13"/>
  <c r="M287" i="13"/>
  <c r="K486" i="13"/>
  <c r="M553" i="13"/>
  <c r="M635" i="13"/>
  <c r="M170" i="13"/>
  <c r="M476" i="13"/>
  <c r="M163" i="13"/>
  <c r="K204" i="13"/>
  <c r="M562" i="13"/>
  <c r="M27" i="13"/>
  <c r="M107" i="13"/>
  <c r="M115" i="13"/>
  <c r="K452" i="13"/>
  <c r="M478" i="13"/>
  <c r="K488" i="13"/>
  <c r="M546" i="13"/>
  <c r="M554" i="13"/>
  <c r="M680" i="13"/>
  <c r="M6" i="13"/>
  <c r="M108" i="13"/>
  <c r="M116" i="13"/>
  <c r="K206" i="13"/>
  <c r="M237" i="13"/>
  <c r="K248" i="13"/>
  <c r="K510" i="13"/>
  <c r="M598" i="13"/>
  <c r="M617" i="13"/>
  <c r="M700" i="13"/>
  <c r="K38" i="13"/>
  <c r="K399" i="13"/>
  <c r="M432" i="13"/>
  <c r="M462" i="13"/>
  <c r="M541" i="13"/>
  <c r="K548" i="13"/>
  <c r="M69" i="13"/>
  <c r="M187" i="13"/>
  <c r="M490" i="13"/>
  <c r="K611" i="13"/>
  <c r="K640" i="13"/>
  <c r="K130" i="13"/>
  <c r="M199" i="13"/>
  <c r="M474" i="13"/>
  <c r="K558" i="13"/>
  <c r="K32" i="13"/>
  <c r="M111" i="13"/>
  <c r="M464" i="13"/>
  <c r="K543" i="13"/>
  <c r="M210" i="13"/>
  <c r="M401" i="13"/>
  <c r="M504" i="13"/>
  <c r="M551" i="13"/>
  <c r="M665" i="13"/>
  <c r="K696" i="13"/>
  <c r="K143" i="13"/>
  <c r="M396" i="13"/>
  <c r="M66" i="13"/>
  <c r="K214" i="13"/>
  <c r="K530" i="13"/>
  <c r="M155" i="13"/>
  <c r="M291" i="13"/>
  <c r="M388" i="13"/>
  <c r="M166" i="13"/>
  <c r="M692" i="13"/>
  <c r="M102" i="13"/>
  <c r="M677" i="13"/>
  <c r="K7" i="13"/>
  <c r="K36" i="13"/>
  <c r="M63" i="13"/>
  <c r="M118" i="13"/>
  <c r="K142" i="13"/>
  <c r="M142" i="13"/>
  <c r="K205" i="13"/>
  <c r="M239" i="13"/>
  <c r="K239" i="13"/>
  <c r="M389" i="13"/>
  <c r="K407" i="13"/>
  <c r="M479" i="13"/>
  <c r="M515" i="13"/>
  <c r="K524" i="13"/>
  <c r="K539" i="13"/>
  <c r="M599" i="13"/>
  <c r="K609" i="13"/>
  <c r="M609" i="13"/>
  <c r="K652" i="13"/>
  <c r="K701" i="13"/>
  <c r="M701" i="13"/>
  <c r="M664" i="13"/>
  <c r="K664" i="13"/>
  <c r="K184" i="13"/>
  <c r="K192" i="13"/>
  <c r="M224" i="13"/>
  <c r="K224" i="13"/>
  <c r="K383" i="13"/>
  <c r="K400" i="13"/>
  <c r="M400" i="13"/>
  <c r="K475" i="13"/>
  <c r="M475" i="13"/>
  <c r="K509" i="13"/>
  <c r="M509" i="13"/>
  <c r="K526" i="13"/>
  <c r="K534" i="13"/>
  <c r="K676" i="13"/>
  <c r="M676" i="13"/>
  <c r="M77" i="13"/>
  <c r="M119" i="13"/>
  <c r="K119" i="13"/>
  <c r="M283" i="13"/>
  <c r="M392" i="13"/>
  <c r="M518" i="13"/>
  <c r="K518" i="13"/>
  <c r="M542" i="13"/>
  <c r="K542" i="13"/>
  <c r="K602" i="13"/>
  <c r="K704" i="13"/>
  <c r="M30" i="13"/>
  <c r="M112" i="13"/>
  <c r="K161" i="13"/>
  <c r="K284" i="13"/>
  <c r="M284" i="13"/>
  <c r="K393" i="13"/>
  <c r="M393" i="13"/>
  <c r="K431" i="13"/>
  <c r="M527" i="13"/>
  <c r="M557" i="13"/>
  <c r="K557" i="13"/>
  <c r="K563" i="13"/>
  <c r="K619" i="13"/>
  <c r="M656" i="13"/>
  <c r="K656" i="13"/>
  <c r="M120" i="13"/>
  <c r="K154" i="13"/>
  <c r="K169" i="13"/>
  <c r="K202" i="13"/>
  <c r="K209" i="13"/>
  <c r="K235" i="13"/>
  <c r="K253" i="13"/>
  <c r="M294" i="13"/>
  <c r="M385" i="13"/>
  <c r="K460" i="13"/>
  <c r="M502" i="13"/>
  <c r="K511" i="13"/>
  <c r="M511" i="13"/>
  <c r="K13" i="13"/>
  <c r="M13" i="13"/>
  <c r="M522" i="13"/>
  <c r="K522" i="13"/>
  <c r="M552" i="13"/>
  <c r="K552" i="13"/>
  <c r="K101" i="13"/>
  <c r="K123" i="13"/>
  <c r="K171" i="13"/>
  <c r="M171" i="13"/>
  <c r="K288" i="13"/>
  <c r="M288" i="13"/>
  <c r="K397" i="13"/>
  <c r="M397" i="13"/>
  <c r="K472" i="13"/>
  <c r="K514" i="13"/>
  <c r="K559" i="13"/>
  <c r="M634" i="13"/>
  <c r="K634" i="13"/>
  <c r="K660" i="13"/>
  <c r="M67" i="13"/>
  <c r="M131" i="13"/>
  <c r="K138" i="13"/>
  <c r="K212" i="13"/>
  <c r="K220" i="13"/>
  <c r="M15" i="13"/>
  <c r="M74" i="13"/>
  <c r="M213" i="13"/>
  <c r="K213" i="13"/>
  <c r="M16" i="13"/>
  <c r="K16" i="13"/>
  <c r="K68" i="13"/>
  <c r="K183" i="13"/>
  <c r="K428" i="13"/>
  <c r="M547" i="13"/>
  <c r="K547" i="13"/>
  <c r="K561" i="13"/>
  <c r="K550" i="13"/>
  <c r="K613" i="13"/>
  <c r="M613" i="13"/>
  <c r="M65" i="13"/>
  <c r="K100" i="13"/>
  <c r="M114" i="13"/>
  <c r="K114" i="13"/>
  <c r="M121" i="13"/>
  <c r="K121" i="13"/>
  <c r="K492" i="13"/>
  <c r="K520" i="13"/>
  <c r="M537" i="13"/>
  <c r="K537" i="13"/>
  <c r="K597" i="13"/>
  <c r="M597" i="13"/>
  <c r="K631" i="13"/>
  <c r="M631" i="13"/>
  <c r="K648" i="13"/>
  <c r="K668" i="13"/>
  <c r="M668" i="13"/>
  <c r="K162" i="13"/>
  <c r="M227" i="13"/>
  <c r="K236" i="13"/>
  <c r="M236" i="13"/>
  <c r="M246" i="13"/>
  <c r="K404" i="13"/>
  <c r="M404" i="13"/>
  <c r="K424" i="13"/>
  <c r="M605" i="13"/>
  <c r="M689" i="13"/>
  <c r="K525" i="13"/>
  <c r="M531" i="13"/>
  <c r="K603" i="13"/>
  <c r="K615" i="13"/>
  <c r="K627" i="13"/>
  <c r="M641" i="13"/>
  <c r="K672" i="13"/>
  <c r="K79" i="13"/>
  <c r="M292" i="13"/>
  <c r="M506" i="13"/>
  <c r="M519" i="13"/>
  <c r="K555" i="13"/>
  <c r="K607" i="13"/>
  <c r="K618" i="13"/>
  <c r="K624" i="13"/>
  <c r="M653" i="13"/>
  <c r="K684" i="13"/>
  <c r="K706" i="13"/>
  <c r="K391" i="13"/>
  <c r="M455" i="13"/>
  <c r="K503" i="13"/>
  <c r="K535" i="13"/>
  <c r="M193" i="13"/>
  <c r="K201" i="13"/>
  <c r="M245" i="13"/>
  <c r="K289" i="13"/>
  <c r="M384" i="13"/>
  <c r="M405" i="13"/>
  <c r="M523" i="13"/>
  <c r="K560" i="13"/>
  <c r="M601" i="13"/>
  <c r="M491" i="13"/>
  <c r="K491" i="13"/>
  <c r="K21" i="13"/>
  <c r="K26" i="13"/>
  <c r="K117" i="13"/>
  <c r="M167" i="13"/>
  <c r="K216" i="13"/>
  <c r="K387" i="13"/>
  <c r="K9" i="13"/>
  <c r="K18" i="13"/>
  <c r="K110" i="13"/>
  <c r="K153" i="13"/>
  <c r="M196" i="13"/>
  <c r="K196" i="13"/>
  <c r="K394" i="13"/>
  <c r="K454" i="13"/>
  <c r="K197" i="13"/>
  <c r="M197" i="13"/>
  <c r="K20" i="13"/>
  <c r="M25" i="13"/>
  <c r="K150" i="13"/>
  <c r="K172" i="13"/>
  <c r="M172" i="13"/>
  <c r="M215" i="13"/>
  <c r="M221" i="13"/>
  <c r="K221" i="13"/>
  <c r="M240" i="13"/>
  <c r="K240" i="13"/>
  <c r="K386" i="13"/>
  <c r="K402" i="13"/>
  <c r="K188" i="13"/>
  <c r="M188" i="13"/>
  <c r="K228" i="13"/>
  <c r="K403" i="13"/>
  <c r="M463" i="13"/>
  <c r="K463" i="13"/>
  <c r="K521" i="13"/>
  <c r="K540" i="13"/>
  <c r="K549" i="13"/>
  <c r="M604" i="13"/>
  <c r="K604" i="13"/>
  <c r="K642" i="13"/>
  <c r="K654" i="13"/>
  <c r="K666" i="13"/>
  <c r="K678" i="13"/>
  <c r="K690" i="13"/>
  <c r="K702" i="13"/>
  <c r="K17" i="13"/>
  <c r="M35" i="13"/>
  <c r="M73" i="13"/>
  <c r="M78" i="13"/>
  <c r="K113" i="13"/>
  <c r="K122" i="13"/>
  <c r="K132" i="13"/>
  <c r="K168" i="13"/>
  <c r="M168" i="13"/>
  <c r="K194" i="13"/>
  <c r="M211" i="13"/>
  <c r="K223" i="13"/>
  <c r="K290" i="13"/>
  <c r="K382" i="13"/>
  <c r="K398" i="13"/>
  <c r="K471" i="13"/>
  <c r="M487" i="13"/>
  <c r="K487" i="13"/>
  <c r="K505" i="13"/>
  <c r="K516" i="13"/>
  <c r="K536" i="13"/>
  <c r="K545" i="13"/>
  <c r="K610" i="13"/>
  <c r="M8" i="13"/>
  <c r="K109" i="13"/>
  <c r="K152" i="13"/>
  <c r="K285" i="13"/>
  <c r="M453" i="13"/>
  <c r="M459" i="13"/>
  <c r="K459" i="13"/>
  <c r="M500" i="13"/>
  <c r="K532" i="13"/>
  <c r="M620" i="13"/>
  <c r="K620" i="13"/>
  <c r="K632" i="13"/>
  <c r="M649" i="13"/>
  <c r="M661" i="13"/>
  <c r="M673" i="13"/>
  <c r="M685" i="13"/>
  <c r="M697" i="13"/>
  <c r="M429" i="13"/>
  <c r="K429" i="13"/>
  <c r="K286" i="13"/>
  <c r="M477" i="13"/>
  <c r="K477" i="13"/>
  <c r="K501" i="13"/>
  <c r="K512" i="13"/>
  <c r="K528" i="13"/>
  <c r="K533" i="13"/>
  <c r="K606" i="13"/>
  <c r="M616" i="13"/>
  <c r="K616" i="13"/>
  <c r="K633" i="13"/>
  <c r="K638" i="13"/>
  <c r="K650" i="13"/>
  <c r="K662" i="13"/>
  <c r="K674" i="13"/>
  <c r="K686" i="13"/>
  <c r="K698" i="13"/>
  <c r="M5" i="13"/>
  <c r="K28" i="13"/>
  <c r="K33" i="13"/>
  <c r="K37" i="13"/>
  <c r="M106" i="13"/>
  <c r="K165" i="13"/>
  <c r="M191" i="13"/>
  <c r="K208" i="13"/>
  <c r="M219" i="13"/>
  <c r="K251" i="13"/>
  <c r="K395" i="13"/>
  <c r="M473" i="13"/>
  <c r="K473" i="13"/>
  <c r="K489" i="13"/>
  <c r="K513" i="13"/>
  <c r="K529" i="13"/>
  <c r="K564" i="13"/>
  <c r="M596" i="13"/>
  <c r="K596" i="13"/>
  <c r="M612" i="13"/>
  <c r="K612" i="13"/>
  <c r="M628" i="13"/>
  <c r="M645" i="13"/>
  <c r="M657" i="13"/>
  <c r="M669" i="13"/>
  <c r="M681" i="13"/>
  <c r="M693" i="13"/>
  <c r="M705" i="13"/>
  <c r="K12" i="13"/>
  <c r="K164" i="13"/>
  <c r="M164" i="13"/>
  <c r="K244" i="13"/>
  <c r="M425" i="13"/>
  <c r="K425" i="13"/>
  <c r="K14" i="13"/>
  <c r="K75" i="13"/>
  <c r="K10" i="13"/>
  <c r="K19" i="13"/>
  <c r="K24" i="13"/>
  <c r="K71" i="13"/>
  <c r="K76" i="13"/>
  <c r="K124" i="13"/>
  <c r="K160" i="13"/>
  <c r="M160" i="13"/>
  <c r="K198" i="13"/>
  <c r="M203" i="13"/>
  <c r="K282" i="13"/>
  <c r="K390" i="13"/>
  <c r="K406" i="13"/>
  <c r="K427" i="13"/>
  <c r="M450" i="13"/>
  <c r="K450" i="13"/>
  <c r="K461" i="13"/>
  <c r="K508" i="13"/>
  <c r="M249" i="13"/>
  <c r="K249" i="13"/>
  <c r="M600" i="13"/>
  <c r="K600" i="13"/>
  <c r="M139" i="13"/>
  <c r="M207" i="13"/>
  <c r="K140" i="13"/>
  <c r="M140" i="13"/>
  <c r="K293" i="13"/>
  <c r="M433" i="13"/>
  <c r="K433" i="13"/>
  <c r="K556" i="13"/>
  <c r="K629" i="13"/>
  <c r="K646" i="13"/>
  <c r="K658" i="13"/>
  <c r="K670" i="13"/>
  <c r="K682" i="13"/>
  <c r="K694" i="13"/>
  <c r="M608" i="13"/>
  <c r="K608" i="13"/>
  <c r="M222" i="13"/>
  <c r="M241" i="13"/>
  <c r="M250" i="13"/>
  <c r="M426" i="13"/>
  <c r="M430" i="13"/>
  <c r="M434" i="13"/>
  <c r="K626" i="13"/>
  <c r="K639" i="13"/>
  <c r="K643" i="13"/>
  <c r="K647" i="13"/>
  <c r="K651" i="13"/>
  <c r="K655" i="13"/>
  <c r="K659" i="13"/>
  <c r="K663" i="13"/>
  <c r="K667" i="13"/>
  <c r="K671" i="13"/>
  <c r="K675" i="13"/>
  <c r="K679" i="13"/>
  <c r="K683" i="13"/>
  <c r="K687" i="13"/>
  <c r="K691" i="13"/>
  <c r="K695" i="13"/>
  <c r="K699" i="13"/>
  <c r="K703" i="13"/>
  <c r="K707" i="13"/>
  <c r="K11" i="10"/>
  <c r="M708" i="13" l="1"/>
  <c r="B14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<sst xmlns="http://schemas.openxmlformats.org/spreadsheetml/2006/main" count="19618" uniqueCount="998">
  <si>
    <t>LC Amount</t>
  </si>
  <si>
    <t>Particular</t>
  </si>
  <si>
    <t>Due Date</t>
  </si>
  <si>
    <t>CCY</t>
  </si>
  <si>
    <t>VC Period</t>
  </si>
  <si>
    <t>VC Seq</t>
  </si>
  <si>
    <t>VC Date</t>
  </si>
  <si>
    <t>Tx. Type</t>
  </si>
  <si>
    <t>Company Code</t>
  </si>
  <si>
    <t>27/06/2025</t>
  </si>
  <si>
    <t>31/12/2025</t>
  </si>
  <si>
    <t>USD</t>
  </si>
  <si>
    <t>30/11/2025</t>
  </si>
  <si>
    <t>IN89</t>
  </si>
  <si>
    <t>C: ASCENDAS27 P: A023951 I 256779413908</t>
  </si>
  <si>
    <t>C: ASCENDAS27 P: Matching</t>
  </si>
  <si>
    <t>24/08/2025</t>
  </si>
  <si>
    <t>C: ASCENDAS27 P: A023951 I 256779416007</t>
  </si>
  <si>
    <t>C: ASCENDAS27 P: A023951 I 256779415989</t>
  </si>
  <si>
    <t>31/10/2025</t>
  </si>
  <si>
    <t>24/05/2025</t>
  </si>
  <si>
    <t>C: ASCENDAS27 P: A023951 I 256779412776</t>
  </si>
  <si>
    <t>22/10/2025</t>
  </si>
  <si>
    <t>C: ASCENDAS27 P: A023951 I 256779417801</t>
  </si>
  <si>
    <t>C: ASCENDAS27 P: A023951 I 256779417744</t>
  </si>
  <si>
    <t>22/05/2025</t>
  </si>
  <si>
    <t>30/06/2025</t>
  </si>
  <si>
    <t>C: ASCENDAS27 P: A023951 I 256779412577</t>
  </si>
  <si>
    <t>C: ASCENDAS27 P: A023951 I 256779412564</t>
  </si>
  <si>
    <t>C: ASCENDAS27 P: A023951 I 256779412529</t>
  </si>
  <si>
    <t>C: ASCENDAS27 P: A023951 I 256779412563</t>
  </si>
  <si>
    <t>C: ASCENDAS27 P: A023951 I 256779412570</t>
  </si>
  <si>
    <t>C: ASCENDAS27 P: A023951 I 256779412580</t>
  </si>
  <si>
    <t>C: ASCENDAS27 P: A023951 I 256779412581</t>
  </si>
  <si>
    <t>C: ASCENDAS27 P: A023951 I 256779412536</t>
  </si>
  <si>
    <t>C: ASCENDAS27 P: A023951 I 256779412576</t>
  </si>
  <si>
    <t>C: ASCENDAS27 P: A023951 I 256779412524</t>
  </si>
  <si>
    <t>C: ASCENDAS27 P: A023951 I 256779412537</t>
  </si>
  <si>
    <t>C: ASCENDAS27 P: A023951 I 256779412585</t>
  </si>
  <si>
    <t>C: ASCENDAS27 P: A023951 I 256779412586</t>
  </si>
  <si>
    <t>C: ASCENDAS27 P: A023951 I 256779412579</t>
  </si>
  <si>
    <t>C: ASCENDAS27 P: A023951 I 256779412562</t>
  </si>
  <si>
    <t>USD CURRENCY</t>
  </si>
  <si>
    <t>20/11/2025</t>
  </si>
  <si>
    <t>C: ASCENDAS27 P: A023951 I 256779418480</t>
  </si>
  <si>
    <t>31/01/2026</t>
  </si>
  <si>
    <t>C: ASCENDAS27 P: A023951 I 256779418474</t>
  </si>
  <si>
    <t>20/06/2025</t>
  </si>
  <si>
    <t>C: ASCENDAS27 P: A023951 I 256779413396</t>
  </si>
  <si>
    <t>C: ASCENDAS27 P: A023951 I 256779413401</t>
  </si>
  <si>
    <t>C: ASCENDAS27 P: A023951 I 256779413395</t>
  </si>
  <si>
    <t>C: ASCENDAS27 P: A023951 I 256779413399</t>
  </si>
  <si>
    <t>30/09/2025</t>
  </si>
  <si>
    <t>C: ASCENDAS27 P: A023951 I 256779413391</t>
  </si>
  <si>
    <t>C: ASCENDAS27 P: A023951 I 256779413392</t>
  </si>
  <si>
    <t>21/05/2025</t>
  </si>
  <si>
    <t>INR</t>
  </si>
  <si>
    <t>C: ASCENDAS27 P: A023951 I 256779412189</t>
  </si>
  <si>
    <t>C: ASCENDAS27 P: A023951 I 256779412185</t>
  </si>
  <si>
    <t>C: ASCENDAS27 P: A023951 I 256779412184</t>
  </si>
  <si>
    <t>C: ASCENDAS27 P: A023951 I 256779412155</t>
  </si>
  <si>
    <t>USD CURRENCY- NO EXCHANGE RATE PROVIDED</t>
  </si>
  <si>
    <t>C: ASCENDAS27 P: A023951 I 256779419542</t>
  </si>
  <si>
    <t>C: ASCENDAS27 P: A023951 I 256779419620</t>
  </si>
  <si>
    <t>C: ASCENDAS27 P: A023951 I 256779419531</t>
  </si>
  <si>
    <t>19/11/2025</t>
  </si>
  <si>
    <t>C: ASCENDAS27 P: A023951 I 256779418653</t>
  </si>
  <si>
    <t>19/09/2025</t>
  </si>
  <si>
    <t>C: ASCENDAS27 P: A023951 I 256779416838</t>
  </si>
  <si>
    <t>C: ASCENDAS27 P: A023951 I 256779416869</t>
  </si>
  <si>
    <t>19/04/2025</t>
  </si>
  <si>
    <t>C: ASCENDAS27 P: A023951 I 246779414663</t>
  </si>
  <si>
    <t>C: ASCENDAS27 P: A023951 I 246779414662</t>
  </si>
  <si>
    <t>C: ASCENDAS27 P: A023951 I 246779414385</t>
  </si>
  <si>
    <t>C: ASCENDAS27 P: A023951 I 246779413730</t>
  </si>
  <si>
    <t>C: ASCENDAS27 P: A023951 I 246779413815</t>
  </si>
  <si>
    <t>C: ASCENDAS27 P: A023951 I 246779413936</t>
  </si>
  <si>
    <t>C: ASCENDAS27 P: A023951 I 246779414384</t>
  </si>
  <si>
    <t>C: ASCENDAS27 P: A023951 I 246779413889</t>
  </si>
  <si>
    <t>C: ASCENDAS27 P: A023951 I 246779413920</t>
  </si>
  <si>
    <t>C: ASCENDAS27 P: A023951 I 246779413941</t>
  </si>
  <si>
    <t>C: ASCENDAS27 P: A023951 I 246779413747</t>
  </si>
  <si>
    <t>22/03/2025</t>
  </si>
  <si>
    <t>C: ASCENDAS27 P: A023951 I 246779410132</t>
  </si>
  <si>
    <t>C: ASCENDAS27 P: A023951 I 246779410098</t>
  </si>
  <si>
    <t>C: ASCENDAS27 P: A023951 I 246779410131</t>
  </si>
  <si>
    <t>C: ASCENDAS27 P: A023951 I 246779410315</t>
  </si>
  <si>
    <t>C: ASCENDAS27 P: A023951 I 246779410312</t>
  </si>
  <si>
    <t>NO EXCHANGE RATE</t>
  </si>
  <si>
    <t>C: ASCENDAS27 P: A023951 I 246779410218</t>
  </si>
  <si>
    <t>C: ASCENDAS27 P: A023951 I 246779410175</t>
  </si>
  <si>
    <t>C: ASCENDAS27 P: A023951 I 246779410141</t>
  </si>
  <si>
    <t>C: ASCENDAS27 P: A023951 I 246779410184</t>
  </si>
  <si>
    <t>C: ASCENDAS27 P: A023951 I 246779410217</t>
  </si>
  <si>
    <t>C: ASCENDAS27 P: A023951 I 246779410174</t>
  </si>
  <si>
    <t>C: ASCENDAS27 P: A023951 I 246779410227</t>
  </si>
  <si>
    <t>C: ASCENDAS27 P: A023951 I 246779410064</t>
  </si>
  <si>
    <t>C: ASCENDAS27 P: A023951 I 246779410030</t>
  </si>
  <si>
    <t>C: ASCENDAS27 P: A023951 I 246779410063</t>
  </si>
  <si>
    <t>C: ASCENDAS27 P: A023951 I 246779410260</t>
  </si>
  <si>
    <t>C: ASCENDAS27 P: A023951 I 246779410010</t>
  </si>
  <si>
    <t>C: ASCENDAS27 P: A023951 I 246779410080</t>
  </si>
  <si>
    <t>C: ASCENDAS27 P: A023951 I 246779410261</t>
  </si>
  <si>
    <t>C: ASCENDAS27 P: A023951 I 246779410311</t>
  </si>
  <si>
    <t>C: ASCENDAS27 P: A023951 I 256779415769</t>
  </si>
  <si>
    <t>USD CURRENCY- NO EXHANGE RATE PROVIDED</t>
  </si>
  <si>
    <t>19/07/2025</t>
  </si>
  <si>
    <t>C: ASCENDAS27 P: A023951 I 256779414741</t>
  </si>
  <si>
    <t>18/04/2025</t>
  </si>
  <si>
    <t>C: ASCENDAS27 P: A023951 I 246779413202</t>
  </si>
  <si>
    <t>C: ASCENDAS27 P: A023951 I 246779413024</t>
  </si>
  <si>
    <t>C: ASCENDAS27 P: A023951 I 246779412994</t>
  </si>
  <si>
    <t>C: ASCENDAS27 P: A023951 I 246779413023</t>
  </si>
  <si>
    <t>21/03/2025</t>
  </si>
  <si>
    <t>C: ASCENDAS27 P: A023951 I 246779410081</t>
  </si>
  <si>
    <t>C: ASCENDAS27 P: A023951 I 256779418433</t>
  </si>
  <si>
    <t>C: ASCENDAS27 P: A023951 I 256779418424</t>
  </si>
  <si>
    <t>18/10/2025</t>
  </si>
  <si>
    <t>C: ASCENDAS27 P: A023951 I 256779417597</t>
  </si>
  <si>
    <t>C: ASCENDAS27 P: A023951 I 256779417580</t>
  </si>
  <si>
    <t>C: ASCENDAS27 P: A023951 I 256779417517</t>
  </si>
  <si>
    <t>C: ASCENDAS27 P: A023951 I 256779417557</t>
  </si>
  <si>
    <t>gst correction</t>
  </si>
  <si>
    <t>C: ASCENDAS27 P: A023951 I 256779417580_D</t>
  </si>
  <si>
    <t>17/08/2025</t>
  </si>
  <si>
    <t>C: ASCENDAS27 P: A023951 I 256779415474</t>
  </si>
  <si>
    <t>C: ASCENDAS27 P: A023951 I 256779415442</t>
  </si>
  <si>
    <t>C: ASCENDAS27 P: A023951 I 256779415453</t>
  </si>
  <si>
    <t>C: ASCENDAS27 P: A023951 I 256779415517</t>
  </si>
  <si>
    <t>C: ASCENDAS27 P: A023951 I 256779415426</t>
  </si>
  <si>
    <t>18/07/2025</t>
  </si>
  <si>
    <t>C: ASCENDAS27 P: A023951 I 256779414431</t>
  </si>
  <si>
    <t>16/04/2025</t>
  </si>
  <si>
    <t>C: ASCENDAS27 P: A023951 I 246779411742</t>
  </si>
  <si>
    <t>NO EXCHANGE RATE / 14 DAYS OLDER</t>
  </si>
  <si>
    <t>C: ASCENDAS27 P: A023951 I 246779411601</t>
  </si>
  <si>
    <t>C: ASCENDAS27 P: A023951 I 246779411717</t>
  </si>
  <si>
    <t>C: ASCENDAS27 P: A023951 I 246779411913</t>
  </si>
  <si>
    <t>C: ASCENDAS27 P: A023951 I 246779411740</t>
  </si>
  <si>
    <t>C: ASCENDAS27 P: A023951 I 246779412111</t>
  </si>
  <si>
    <t>C: ASCENDAS27 P: A023951 I 246779411722</t>
  </si>
  <si>
    <t>C: ASCENDAS27 P: A023951 I 246779412041</t>
  </si>
  <si>
    <t>C: ASCENDAS27 P: A023951 I 246779411898</t>
  </si>
  <si>
    <t>C: ASCENDAS27 P: A023951 I 246779411729</t>
  </si>
  <si>
    <t>C: ASCENDAS27 P: A023951 I 246779411737</t>
  </si>
  <si>
    <t>C: ASCENDAS27 P: A023951 I 246779411595</t>
  </si>
  <si>
    <t>C: ASCENDAS27 P: A023951 I 246779411727</t>
  </si>
  <si>
    <t>C: ASCENDAS27 P: A023951 I 246779411736</t>
  </si>
  <si>
    <t>C: ASCENDAS27 P: A023951 I 246779411732</t>
  </si>
  <si>
    <t>C: ASCENDAS27 P: A023951 I 246779411899</t>
  </si>
  <si>
    <t>C: ASCENDAS27 P: A023951 I 246779411914</t>
  </si>
  <si>
    <t>C: ASCENDAS27 P: A023951 I 246779411895</t>
  </si>
  <si>
    <t>C: ASCENDAS27 P: A023951 I 246779411723</t>
  </si>
  <si>
    <t>C: ASCENDAS27 P: A023951 I 246779411897</t>
  </si>
  <si>
    <t>C: ASCENDAS27 P: A023951 I 246779412038</t>
  </si>
  <si>
    <t>C: ASCENDAS27 P: A023951 I 246779411909</t>
  </si>
  <si>
    <t>C: ASCENDAS27 P: A023951 I 246779412042</t>
  </si>
  <si>
    <t>C: ASCENDAS27 P: A023951 I 246779411900</t>
  </si>
  <si>
    <t>C: ASCENDAS27 P: A023951 I 246779412048</t>
  </si>
  <si>
    <t>C: ASCENDAS27 P: A023951 I 246779412046</t>
  </si>
  <si>
    <t>C: ASCENDAS27 P: A023951 I 246779411597</t>
  </si>
  <si>
    <t>C: ASCENDAS27 P: A023951 I 246779411637</t>
  </si>
  <si>
    <t>C: ASCENDAS27 P: A023951 I 246779411721</t>
  </si>
  <si>
    <t>C: ASCENDAS27 P: A023951 I 246779411720</t>
  </si>
  <si>
    <t>C: ASCENDAS27 P: A023951 I 246779412043</t>
  </si>
  <si>
    <t>C: ASCENDAS27 P: A023951 I 246779411718</t>
  </si>
  <si>
    <t>C: ASCENDAS27 P: A023951 I 246779411896</t>
  </si>
  <si>
    <t>C: ASCENDAS27 P: A023951 I 246779411738</t>
  </si>
  <si>
    <t>C: ASCENDAS27 P: A023951 I 246779411598</t>
  </si>
  <si>
    <t>C: ASCENDAS27 P: A023951 I 246779411903</t>
  </si>
  <si>
    <t>C: ASCENDAS27 P: A023951 I 246779411593</t>
  </si>
  <si>
    <t>C: ASCENDAS27 P: A023951 I 246779411915</t>
  </si>
  <si>
    <t>C: ASCENDAS27 P: A023951 I 246779411739</t>
  </si>
  <si>
    <t>C: ASCENDAS27 P: A023951 I 246779412040</t>
  </si>
  <si>
    <t>C: ASCENDAS27 P: A023951 I 246779412045</t>
  </si>
  <si>
    <t>C: ASCENDAS27 P: A023951 I 246779411596</t>
  </si>
  <si>
    <t>C: ASCENDAS27 P: A023951 I 246779411733</t>
  </si>
  <si>
    <t>C: ASCENDAS27 P: A023951 I 246779411594</t>
  </si>
  <si>
    <t>C: ASCENDAS27 P: A023951 I 246779411734</t>
  </si>
  <si>
    <t>C: ASCENDAS27 P: A023951 I 246779411741</t>
  </si>
  <si>
    <t>C: ASCENDAS27 P: A023951 I 246779411902</t>
  </si>
  <si>
    <t>C: ASCENDAS27 P: A023951 I 246779411910</t>
  </si>
  <si>
    <t>C: ASCENDAS27 P: A023951 I 246779411600</t>
  </si>
  <si>
    <t>C: ASCENDAS27 P: A023951 I 246779411907</t>
  </si>
  <si>
    <t>C: ASCENDAS27 P: A023951 I 246779412044</t>
  </si>
  <si>
    <t>C: ASCENDAS27 P: A023951 I 246779411724</t>
  </si>
  <si>
    <t>C: ASCENDAS27 P: A023951 I 246779411726</t>
  </si>
  <si>
    <t>C: ASCENDAS27 P: A023951 I 246779411599</t>
  </si>
  <si>
    <t>C: ASCENDAS27 P: A023951 I 246779411735</t>
  </si>
  <si>
    <t>C: ASCENDAS27 P: A023951 I 246779411725</t>
  </si>
  <si>
    <t>C: ASCENDAS27 P: A023951 I 246779411911</t>
  </si>
  <si>
    <t>C: ASCENDAS27 P: A023951 I 246779411901</t>
  </si>
  <si>
    <t>C: ASCENDAS27 P: A023951 I 246779411905</t>
  </si>
  <si>
    <t>C: ASCENDAS27 P: A023951 I 246779411731</t>
  </si>
  <si>
    <t>C: ASCENDAS27 P: A023951 I 246779411719</t>
  </si>
  <si>
    <t>C: ASCENDAS27 P: A023951 I 246779411906</t>
  </si>
  <si>
    <t>C: ASCENDAS27 P: A023951 I 246779411728</t>
  </si>
  <si>
    <t>C: ASCENDAS27 P: A023951 I 246779411904</t>
  </si>
  <si>
    <t>C: ASCENDAS27 P: A023951 I 246779411912</t>
  </si>
  <si>
    <t>C: ASCENDAS27 P: A023951 I 246779412032</t>
  </si>
  <si>
    <t>C: ASCENDAS27 P: A023951 I 246779412037</t>
  </si>
  <si>
    <t>C: ASCENDAS27 P: A023951 I 246779412030</t>
  </si>
  <si>
    <t>C: ASCENDAS27 P: A023951 I 246779412034</t>
  </si>
  <si>
    <t>C: ASCENDAS27 P: A023951 I 246779412039</t>
  </si>
  <si>
    <t>C: ASCENDAS27 P: A023951 I 246779412036</t>
  </si>
  <si>
    <t>C: ASCENDAS27 P: A023951 I 246779412028</t>
  </si>
  <si>
    <t>C: ASCENDAS27 P: A023951 I 246779412031</t>
  </si>
  <si>
    <t>C: ASCENDAS27 P: A023951 I 246779412029</t>
  </si>
  <si>
    <t>C: ASCENDAS27 P: A023951 I 246779412035</t>
  </si>
  <si>
    <t>C: ASCENDAS27 P: A023951 I 246779411973</t>
  </si>
  <si>
    <t>C: ASCENDAS27 P: A023951 I 246779412047</t>
  </si>
  <si>
    <t>C: ASCENDAS27 P: A023951 I 246779411908</t>
  </si>
  <si>
    <t>C: ASCENDAS27 P: A023951 I 246779412033</t>
  </si>
  <si>
    <t>C: ASCENDAS27 P: A023951 I 246779411789</t>
  </si>
  <si>
    <t>C: ASCENDAS27 P: A023951 I 246779411730</t>
  </si>
  <si>
    <t>16/05/2025</t>
  </si>
  <si>
    <t>C: ASCENDAS27 P: A023951 I 256779412012</t>
  </si>
  <si>
    <t>C: ASCENDAS27 P: A023951 I 256779412053</t>
  </si>
  <si>
    <t>C: ASCENDAS27 P: A023951 I 256779411969</t>
  </si>
  <si>
    <t>C: ASCENDAS27 P: A023951 I 256779412092</t>
  </si>
  <si>
    <t>C: ASCENDAS27 P: A023951 I 256779412123</t>
  </si>
  <si>
    <t>C: ASCENDAS27 P: A023951 I 256779412091</t>
  </si>
  <si>
    <t>C: ASCENDAS27 P: A023951 I 256779411867</t>
  </si>
  <si>
    <t>C: ASCENDAS27 P: A023951 I 256779411970</t>
  </si>
  <si>
    <t>15/05/2025</t>
  </si>
  <si>
    <t>C: ASCENDAS27 P: A023951 I 256779411468</t>
  </si>
  <si>
    <t>C: ASCENDAS27 P: A023951 I 256779411467</t>
  </si>
  <si>
    <t>C: ASCENDAS27 P: A023951 I 256779411465</t>
  </si>
  <si>
    <t>C: ASCENDAS27 P: A023951 I 256779411466</t>
  </si>
  <si>
    <t>C: ASCENDAS27 P: A023951 I 256779411463</t>
  </si>
  <si>
    <t>C: ASCENDAS27 P: A023951 I 246779411414</t>
  </si>
  <si>
    <t>C: ASCENDAS27 P: A023951 I 246779411408</t>
  </si>
  <si>
    <t>C: ASCENDAS27 P: A023951 I 246779411413</t>
  </si>
  <si>
    <t>C: ASCENDAS27 P: A023951 I 246779411410</t>
  </si>
  <si>
    <t>C: ASCENDAS27 P: A023951 I 246779411416</t>
  </si>
  <si>
    <t>C: ASCENDAS27 P: A023951 I 246779411409</t>
  </si>
  <si>
    <t>C: ASCENDAS27 P: A023951 I 246779411411</t>
  </si>
  <si>
    <t>C: ASCENDAS27 P: A023951 I 246779411418</t>
  </si>
  <si>
    <t>C: ASCENDAS27 P: A023951 I 246779411415</t>
  </si>
  <si>
    <t>C: ASCENDAS27 P: A023951 I 246779411419</t>
  </si>
  <si>
    <t>C: ASCENDAS27 P: A023951 I 246779411417</t>
  </si>
  <si>
    <t>C: ASCENDAS27 P: A023951 I 246779411407</t>
  </si>
  <si>
    <t>C: ASCENDAS27 P: A023951 I 246779411412</t>
  </si>
  <si>
    <t>C: ASCENDAS27 P: A023951 I 246779411409_D</t>
  </si>
  <si>
    <t>C: ASCENDAS27 P: A023951 I 246779411312</t>
  </si>
  <si>
    <t>C: ASCENDAS27 P: A023951 I 256779415317</t>
  </si>
  <si>
    <t>C: ASCENDAS27 P: A023951 I 256779415346</t>
  </si>
  <si>
    <t>C: ASCENDAS27 P: A023951 I 256779415339</t>
  </si>
  <si>
    <t>C: ASCENDAS27 P: A023951 I 256779415371</t>
  </si>
  <si>
    <t>C: ASCENDAS27 P: A023951 I 256779415338</t>
  </si>
  <si>
    <t>C: ASCENDAS27 P: A023951 I 256779415359</t>
  </si>
  <si>
    <t>C: ASCENDAS27 P: A023951 I 256779415381</t>
  </si>
  <si>
    <t>C: ASCENDAS27 P: A023951 I 256779415391</t>
  </si>
  <si>
    <t>C: ASCENDAS27 P: A023951 I 256779415358</t>
  </si>
  <si>
    <t>C: ASCENDAS27 P: A023951 I 256779415305</t>
  </si>
  <si>
    <t>C: ASCENDAS27 P: A023951 I 256779415345</t>
  </si>
  <si>
    <t>C: ASCENDAS27 P: A023951 I 256779415300</t>
  </si>
  <si>
    <t>C: ASCENDAS27 P: A023951 I 256779415352</t>
  </si>
  <si>
    <t>C: ASCENDAS27 P: A023951 I 256779415304</t>
  </si>
  <si>
    <t>C: ASCENDAS27 P: A023951 I 256779415379</t>
  </si>
  <si>
    <t>C: ASCENDAS27 P: A023951 I 256779415303</t>
  </si>
  <si>
    <t>C: ASCENDAS27 P: A023951 I 256779415377</t>
  </si>
  <si>
    <t>C: ASCENDAS27 P: A023951 I 256779415392</t>
  </si>
  <si>
    <t>C: ASCENDAS27 P: A023951 I 256779415393</t>
  </si>
  <si>
    <t>C: ASCENDAS27 P: A023951 I 256779415362</t>
  </si>
  <si>
    <t>C: ASCENDAS27 P: A023951 I 256779415315</t>
  </si>
  <si>
    <t>C: ASCENDAS27 P: A023951 I 256779415378</t>
  </si>
  <si>
    <t>C: ASCENDAS27 P: A023951 I 256779415356</t>
  </si>
  <si>
    <t>C: ASCENDAS27 P: A023951 I 256779415383</t>
  </si>
  <si>
    <t>C: ASCENDAS27 P: A023951 I 256779415375</t>
  </si>
  <si>
    <t>C: ASCENDAS27 P: A023951 I 256779415373</t>
  </si>
  <si>
    <t>C: ASCENDAS27 P: A023951 I 256779415342</t>
  </si>
  <si>
    <t>C: ASCENDAS27 P: A023951 I 256779415372</t>
  </si>
  <si>
    <t>C: ASCENDAS27 P: A023951 I 256779415369</t>
  </si>
  <si>
    <t>C: ASCENDAS27 P: A023951 I 256779415361</t>
  </si>
  <si>
    <t>C: ASCENDAS27 P: A023951 I 256779415306</t>
  </si>
  <si>
    <t>C: ASCENDAS27 P: A023951 I 256779415333</t>
  </si>
  <si>
    <t>C: ASCENDAS27 P: A023951 I 256779415298</t>
  </si>
  <si>
    <t>C: ASCENDAS27 P: A023951 I 256779415386</t>
  </si>
  <si>
    <t>C: ASCENDAS27 P: A023951 I 256779415336</t>
  </si>
  <si>
    <t>C: ASCENDAS27 P: A023951 I 256779415341</t>
  </si>
  <si>
    <t>C: ASCENDAS27 P: A023951 I 256779415380</t>
  </si>
  <si>
    <t>C: ASCENDAS27 P: A023951 I 256779415318</t>
  </si>
  <si>
    <t>C: ASCENDAS27 P: A023951 I 256779415384</t>
  </si>
  <si>
    <t>C: ASCENDAS27 P: A023951 I 256779415344</t>
  </si>
  <si>
    <t>C: ASCENDAS27 P: A023951 I 256779415382</t>
  </si>
  <si>
    <t>C: ASCENDAS27 P: A023951 I 256779415314</t>
  </si>
  <si>
    <t>C: ASCENDAS27 P: A023951 I 256779415355</t>
  </si>
  <si>
    <t>C: ASCENDAS27 P: A023951 I 256779415376</t>
  </si>
  <si>
    <t>C: ASCENDAS27 P: A023951 I 256779415334</t>
  </si>
  <si>
    <t>C: ASCENDAS27 P: A023951 I 256779415337</t>
  </si>
  <si>
    <t>C: ASCENDAS27 P: A023951 I 256779415357</t>
  </si>
  <si>
    <t>C: ASCENDAS27 P: A023951 I 256779415340</t>
  </si>
  <si>
    <t>C: ASCENDAS27 P: A023951 I 256779415343</t>
  </si>
  <si>
    <t>C: ASCENDAS27 P: A023951 I 256779415308</t>
  </si>
  <si>
    <t>C: ASCENDAS27 P: A023951 I 256779415310</t>
  </si>
  <si>
    <t>C: ASCENDAS27 P: A023951 I 256779415349</t>
  </si>
  <si>
    <t>C: ASCENDAS27 P: A023951 I 256779415295</t>
  </si>
  <si>
    <t>C: ASCENDAS27 P: A023951 I 256779415389</t>
  </si>
  <si>
    <t>C: ASCENDAS27 P: A023951 I 256779415388</t>
  </si>
  <si>
    <t>C: ASCENDAS27 P: A023951 I 256779415348</t>
  </si>
  <si>
    <t>C: ASCENDAS27 P: A023951 I 256779415390</t>
  </si>
  <si>
    <t>C: ASCENDAS27 P: A023951 I 256779415395</t>
  </si>
  <si>
    <t>C: ASCENDAS27 P: A023951 I 256779415326</t>
  </si>
  <si>
    <t>C: ASCENDAS27 P: A023951 I 256779415350</t>
  </si>
  <si>
    <t>C: ASCENDAS27 P: A023951 I 256779415394</t>
  </si>
  <si>
    <t>C: ASCENDAS27 P: A023951 I 256779415360</t>
  </si>
  <si>
    <t>C: ASCENDAS27 P: A023951 I 256779415294</t>
  </si>
  <si>
    <t>C: ASCENDAS27 P: A023951 I 256779415370</t>
  </si>
  <si>
    <t>C: ASCENDAS27 P: A023951 I 256779415335</t>
  </si>
  <si>
    <t>C: ASCENDAS27 P: A023951 I 256779415364</t>
  </si>
  <si>
    <t>C: ASCENDAS27 P: A023951 I 256779415299</t>
  </si>
  <si>
    <t>C: ASCENDAS27 P: A023951 I 256779415307</t>
  </si>
  <si>
    <t>C: ASCENDAS27 P: A023951 I 256779415347</t>
  </si>
  <si>
    <t>C: ASCENDAS27 P: A023951 I 256779415316</t>
  </si>
  <si>
    <t>C: ASCENDAS27 P: A023951 I 256779415297</t>
  </si>
  <si>
    <t>C: ASCENDAS27 P: A023951 I 256779415292</t>
  </si>
  <si>
    <t>C: ASCENDAS27 P: A023951 I 256779415353</t>
  </si>
  <si>
    <t>C: ASCENDAS27 P: A023951 I 256779415330</t>
  </si>
  <si>
    <t>C: ASCENDAS27 P: A023951 I 256779415366</t>
  </si>
  <si>
    <t>C: ASCENDAS27 P: A023951 I 256779415311</t>
  </si>
  <si>
    <t>C: ASCENDAS27 P: A023951 I 256779415320</t>
  </si>
  <si>
    <t>C: ASCENDAS27 P: A023951 I 256779415329</t>
  </si>
  <si>
    <t>C: ASCENDAS27 P: A023951 I 256779415327</t>
  </si>
  <si>
    <t>C: ASCENDAS27 P: A023951 I 256779415367</t>
  </si>
  <si>
    <t>C: ASCENDAS27 P: A023951 I 256779415368</t>
  </si>
  <si>
    <t>C: ASCENDAS27 P: A023951 I 256779415312</t>
  </si>
  <si>
    <t>C: ASCENDAS27 P: A023951 I 256779415301</t>
  </si>
  <si>
    <t>C: ASCENDAS27 P: A023951 I 256779415324</t>
  </si>
  <si>
    <t>C: ASCENDAS27 P: A023951 I 256779415322</t>
  </si>
  <si>
    <t>C: ASCENDAS27 P: A023951 I 256779415354</t>
  </si>
  <si>
    <t>C: ASCENDAS27 P: A023951 I 256779415351</t>
  </si>
  <si>
    <t>C: ASCENDAS27 P: A023951 I 256779415365</t>
  </si>
  <si>
    <t>C: ASCENDAS27 P: A023951 I 256779415323</t>
  </si>
  <si>
    <t>C: ASCENDAS27 P: A023951 I 256779415387</t>
  </si>
  <si>
    <t>C: ASCENDAS27 P: A023951 I 256779415289</t>
  </si>
  <si>
    <t>C: ASCENDAS27 P: A023951 I 256779415302</t>
  </si>
  <si>
    <t>C: ASCENDAS27 P: A023951 I 256779415313</t>
  </si>
  <si>
    <t>C: ASCENDAS27 P: A023951 I 256779415309</t>
  </si>
  <si>
    <t>C: ASCENDAS27 P: A023951 I 256779415325</t>
  </si>
  <si>
    <t>C: ASCENDAS27 P: A023951 I 256779415331</t>
  </si>
  <si>
    <t>C: ASCENDAS27 P: A023951 I 256779415290</t>
  </si>
  <si>
    <t>C: ASCENDAS27 P: A023951 I 256779415319</t>
  </si>
  <si>
    <t>C: ASCENDAS27 P: A023951 I 256779415332</t>
  </si>
  <si>
    <t>C: ASCENDAS27 P: A023951 I 256779415328</t>
  </si>
  <si>
    <t>C: ASCENDAS27 P: A023951 I 256779415321</t>
  </si>
  <si>
    <t>SUPPLIER GSTIN NOT FOUND</t>
  </si>
  <si>
    <t>C: ASCENDAS27 P: A023951 I 256779414359</t>
  </si>
  <si>
    <t>C: ASCENDAS27 P: A023951 I 256779414358</t>
  </si>
  <si>
    <t>C: ASCENDAS27 P: A023951 I 256779414360</t>
  </si>
  <si>
    <t>C: ASCENDAS27 P: A023951 I 256779413148</t>
  </si>
  <si>
    <t>C: ASCENDAS27 P: A023951 I 256779413146</t>
  </si>
  <si>
    <t>C: ASCENDAS27 P: A023951 I 256779413147</t>
  </si>
  <si>
    <t>C: ASCENDAS27 P: A023951 I 256779413250</t>
  </si>
  <si>
    <t>C: ASCENDAS27 P: A023951 I 256779413240</t>
  </si>
  <si>
    <t>C: ASCENDAS27 P: A023951 I 256779419995</t>
  </si>
  <si>
    <t>C: ASCENDAS27 P: A023951 I 256779419858</t>
  </si>
  <si>
    <t>C: ASCENDAS27 P: A023951 I 256779416442</t>
  </si>
  <si>
    <t>C: ASCENDAS27 P: A023951 I 256779416169</t>
  </si>
  <si>
    <t>C: ASCENDAS27 P: A023951 I 256779416214</t>
  </si>
  <si>
    <t>C: ASCENDAS27 P: A023951 I 256779416454</t>
  </si>
  <si>
    <t>C: ASCENDAS27 P: A023951 I 256779416255</t>
  </si>
  <si>
    <t>C: ASCENDAS27 P: A023951 I 256779416096</t>
  </si>
  <si>
    <t>14 DAYS OLDER; NO EXCHANGE RATE PROVIDEDE</t>
  </si>
  <si>
    <t>C: ASCENDAS27 P: A023951 I 256779416137</t>
  </si>
  <si>
    <t>C: ASCENDAS27 P: A023951 I 256779418176</t>
  </si>
  <si>
    <t>C: ASCENDAS27 P: A023951 I 256779419983</t>
  </si>
  <si>
    <t>C: ASCENDAS27 P: A023951 I 256779418006</t>
  </si>
  <si>
    <t>C: ASCENDAS27 P: A023951 I 246779410904</t>
  </si>
  <si>
    <t>C: ASCENDAS27 P: A023951 I 246779410882</t>
  </si>
  <si>
    <t>C: ASCENDAS27 P: A023951 I 256779419908</t>
  </si>
  <si>
    <t>C: ASCENDAS27 P: A023951 I 256779419808</t>
  </si>
  <si>
    <t>C: ASCENDAS27 P: A023951 I 256779419211</t>
  </si>
  <si>
    <t>C: ASCENDAS27 P: A023951 I 256779419165</t>
  </si>
  <si>
    <t>C: ASCENDAS27 P: A023951 I 256779419192</t>
  </si>
  <si>
    <t>C: ASCENDAS27 P: A023951 I 256779418777</t>
  </si>
  <si>
    <t>C: ASCENDAS27 P: A023951 I 256779418779</t>
  </si>
  <si>
    <t>C: ASCENDAS27 P: A023951 I 256779418778</t>
  </si>
  <si>
    <t>C: ASCENDAS27 P: A023951 I 256779418892</t>
  </si>
  <si>
    <t>C: ASCENDAS27 P: A023951 I 256779418904</t>
  </si>
  <si>
    <t>C: ASCENDAS27 P: A023951 I 256779417971</t>
  </si>
  <si>
    <t>C: ASCENDAS27 P: A023951 I 256779417875</t>
  </si>
  <si>
    <t>C: ASCENDAS27 P: A023951 I 256779417876</t>
  </si>
  <si>
    <t>C: ASCENDAS27 P: A023951 I 256779417931</t>
  </si>
  <si>
    <t>C: ASCENDAS27 P: A023951 I 256779418391</t>
  </si>
  <si>
    <t>C: ASCENDAS27 P: A023951 I 256779417877</t>
  </si>
  <si>
    <t>C: ASCENDAS27 P: A023951 I 256779417892</t>
  </si>
  <si>
    <t>USD CUURENCY</t>
  </si>
  <si>
    <t>C: ASCENDAS27 P: A023951 I 256779419972</t>
  </si>
  <si>
    <t>C: ASCENDAS27 P: A023951 I 256779419970</t>
  </si>
  <si>
    <t>C: ASCENDAS27 P: A023951 I 256779419971</t>
  </si>
  <si>
    <t>C: ASCENDAS27 P: A023951 I 256779416909</t>
  </si>
  <si>
    <t>C: ASCENDAS27 P: A023951 I 256779417137</t>
  </si>
  <si>
    <t>C: ASCENDAS27 P: A023951 I 256779417134</t>
  </si>
  <si>
    <t>C: ASCENDAS27 P: A023951 I 256779417200</t>
  </si>
  <si>
    <t>C: ASCENDAS27 P: A023951 I 256779417238</t>
  </si>
  <si>
    <t>C: ASCENDAS27 P: A023951 I 256779417257</t>
  </si>
  <si>
    <t>C: ASCENDAS27 P: A023951 I 256779417350</t>
  </si>
  <si>
    <t>C: ASCENDAS27 P: A023951 I 256779417349</t>
  </si>
  <si>
    <t>C: ASCENDAS27 P: A023951 I 256779417348</t>
  </si>
  <si>
    <t>C: ASCENDAS27 P: A023951 I 256779417158</t>
  </si>
  <si>
    <t>C: ASCENDAS27 P: A023951 I 256779417317</t>
  </si>
  <si>
    <t>C: ASCENDAS27 P: A023951 I 256779417280</t>
  </si>
  <si>
    <t>C: ASCENDAS27 P: A023951 I 256779415270</t>
  </si>
  <si>
    <t>C: ASCENDAS27 P: A023951 I 256779415209</t>
  </si>
  <si>
    <t>C: ASCENDAS27 P: A023951 I 256779415208</t>
  </si>
  <si>
    <t>C: ASCENDAS27 P: A023951 I 256779415210</t>
  </si>
  <si>
    <t>C: ASCENDAS27 P: A023951 I 256779415012</t>
  </si>
  <si>
    <t>C: ASCENDAS27 P: A023951 I 256779415261</t>
  </si>
  <si>
    <t>C: ASCENDAS27 P: A023951 I 256779414859</t>
  </si>
  <si>
    <t>GSTIN NOT FOUND</t>
  </si>
  <si>
    <t>C: ASCENDAS27 P: A023951 I 256779414917</t>
  </si>
  <si>
    <t>C: ASCENDAS27 P: A023951 I 256779414918</t>
  </si>
  <si>
    <t>C: ASCENDAS27 P: A023951 I 256779414916</t>
  </si>
  <si>
    <t>C: ASCENDAS27 P: A023951 I 256779410818</t>
  </si>
  <si>
    <t>C: ASCENDAS27 P: A023951 I 256779410801</t>
  </si>
  <si>
    <t>C: ASCENDAS27 P: A023951 I 246779410826</t>
  </si>
  <si>
    <t>C: ASCENDAS27 P: A023951 I 246779410743</t>
  </si>
  <si>
    <t>C: ASCENDAS27 P: A023951 I 246779410665</t>
  </si>
  <si>
    <t>C: ASCENDAS27 P: A023951 I 256779419122</t>
  </si>
  <si>
    <t>C: ASCENDAS27 P: A023951 I 256779410262</t>
  </si>
  <si>
    <t>C: ASCENDAS27 P: A023951 I 256779410263</t>
  </si>
  <si>
    <t>C: ASCENDAS27 P: A023951 I 256779410196</t>
  </si>
  <si>
    <t>C: ASCENDAS27 P: A023951 I 256779410303</t>
  </si>
  <si>
    <t>C: ASCENDAS27 P: A023951 I 256779410304</t>
  </si>
  <si>
    <t>C: ASCENDAS27 P: A023951 I 246779410413</t>
  </si>
  <si>
    <t>C: ASCENDAS27 P: A023951 I 246779410436</t>
  </si>
  <si>
    <t>C: ASCENDAS27 P: A023951 I 246779410389</t>
  </si>
  <si>
    <t>C: ASCENDAS27 P: A023951 I 256779413972</t>
  </si>
  <si>
    <t>C: ASCENDAS27 P: A023951 I 256779413931</t>
  </si>
  <si>
    <t>31/08/2025</t>
  </si>
  <si>
    <t>C: ASCENDAS27 P: A023951 I 256779416030</t>
  </si>
  <si>
    <t>C: ASCENDAS27 P: A023951 I 256779416028</t>
  </si>
  <si>
    <t>C: ASCENDAS27 P: A023951 I 256779416029</t>
  </si>
  <si>
    <t>Ty</t>
  </si>
  <si>
    <t>Item#</t>
  </si>
  <si>
    <t>Item Date</t>
  </si>
  <si>
    <t>FC Amount</t>
  </si>
  <si>
    <t>I</t>
  </si>
  <si>
    <t>256779417580_D</t>
  </si>
  <si>
    <t>246779411409_D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</si>
  <si>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</si>
  <si>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</si>
  <si>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</si>
  <si>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</si>
  <si>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</si>
  <si>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</si>
  <si>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</si>
  <si>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</si>
  <si>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</si>
  <si>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</si>
  <si>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</si>
  <si>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Sum of LC Amount</t>
  </si>
  <si>
    <t>A</t>
  </si>
  <si>
    <t>Outwards remit C-A023951 USD20175.95@87.24</t>
  </si>
  <si>
    <t>C</t>
  </si>
  <si>
    <t>246779411409_R</t>
  </si>
  <si>
    <t>Outwards remit C-A023951 USD 27632.46@86.72</t>
  </si>
  <si>
    <t>PAYMENT BATCH OF JUL'25</t>
  </si>
  <si>
    <t>Outwards remit C-A023951 USD19499.67@88.27</t>
  </si>
  <si>
    <t>Outwards remit C-I001611 USD 21,525.94@88.25257138</t>
  </si>
  <si>
    <t>Outwards remit C-A023951 USD 8,027.22@89.154780497</t>
  </si>
  <si>
    <t>256779417580_R</t>
  </si>
  <si>
    <t>Outwards remit C-A023951 USD 20,799.48@1</t>
  </si>
  <si>
    <t>S</t>
  </si>
  <si>
    <t>Exchange rate diference for JUN'25  USD 20175.95</t>
  </si>
  <si>
    <t>Exchange rate diference for JUL'25  USD 27632.46</t>
  </si>
  <si>
    <t>Exchange rate diference for OCT'25  USD 19499.67</t>
  </si>
  <si>
    <t>Exchange rate diference for NOV'25  USD 21525.94</t>
  </si>
  <si>
    <t>Exchange rate diference for DEC'25  USD 8027.22</t>
  </si>
  <si>
    <t>C: ASCENDAS27 P: A023951 C 256779</t>
  </si>
  <si>
    <t>2025</t>
  </si>
  <si>
    <t>Qtr1</t>
  </si>
  <si>
    <t>Qtr2</t>
  </si>
  <si>
    <t>Qtr3</t>
  </si>
  <si>
    <t>Qtr4</t>
  </si>
  <si>
    <t>Dec</t>
  </si>
  <si>
    <t>2026</t>
  </si>
  <si>
    <t>Years</t>
  </si>
  <si>
    <t>Quarters</t>
  </si>
  <si>
    <t>Debit Note</t>
  </si>
  <si>
    <t>Expense</t>
  </si>
  <si>
    <t>Total</t>
  </si>
  <si>
    <t>Customer Account: Name 1</t>
  </si>
  <si>
    <t>Fiscal Year</t>
  </si>
  <si>
    <t>Posting Date</t>
  </si>
  <si>
    <t>Document Type</t>
  </si>
  <si>
    <t>Document Date</t>
  </si>
  <si>
    <t>Entry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</si>
  <si>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</si>
  <si>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</si>
  <si>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</si>
  <si>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</si>
  <si>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</si>
  <si>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</si>
  <si>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KUEHNE+NAGEL PVT. LTD.</t>
  </si>
  <si>
    <t>DG</t>
  </si>
  <si>
    <t/>
  </si>
  <si>
    <t>Credit note raised against INV 256779414309</t>
  </si>
  <si>
    <t>DR</t>
  </si>
  <si>
    <t>CODC Inbound chgs - 16-31 Aug  25</t>
  </si>
  <si>
    <t>VAS - 16-31 Aug 25</t>
  </si>
  <si>
    <t>WEIGHMENT - 16-31 Aug 25</t>
  </si>
  <si>
    <t>Intra 16-31 Aug 25</t>
  </si>
  <si>
    <t>Empty Lolo Chgs - 01 - 31 AUG 25</t>
  </si>
  <si>
    <t>PORT SSR Chgs Aug 25</t>
  </si>
  <si>
    <t>Scanning  Chgs - 16 - 31 Aug 25</t>
  </si>
  <si>
    <t>Bond Stamp Paper Chgs 01 - 31 Aug 25</t>
  </si>
  <si>
    <t>LCL Chgs - 16 - 31 AUG 25</t>
  </si>
  <si>
    <t>Outbound chgs - 16 - 31 Aug 25</t>
  </si>
  <si>
    <t>LCL Chgs - 16 - 30 JUN 25</t>
  </si>
  <si>
    <t>Outbound chgs - 16 - 30 Jun 25</t>
  </si>
  <si>
    <t>Unit Storage - 1-30 June 25</t>
  </si>
  <si>
    <t>VAS - 16-30 June 25</t>
  </si>
  <si>
    <t>Weighment- 16-30 June 25</t>
  </si>
  <si>
    <t>VAS-16 -31 Oct 25</t>
  </si>
  <si>
    <t>Unit Storage - 1-31 Oct 2025</t>
  </si>
  <si>
    <t>CODC Inbound chgs - 16-31 Oct 25</t>
  </si>
  <si>
    <t>CODC Out chgs -16-31 Oct 25</t>
  </si>
  <si>
    <t>Outbound chgs - 16 - 31 Oct 25</t>
  </si>
  <si>
    <t>Empty Lolo Chgs - 01 - 31 OCT 25</t>
  </si>
  <si>
    <t>Internet Activity Chgs - Oct 25</t>
  </si>
  <si>
    <t>PORT SSR Chgs Oct 25</t>
  </si>
  <si>
    <t>LCL Chgs - 16 - 31 OCT 25</t>
  </si>
  <si>
    <t>CN issued against 256779417093</t>
  </si>
  <si>
    <t>Unit Storage - 1-31 July 25</t>
  </si>
  <si>
    <t>Empty Lolo Chgs - 01 - 31 JUL 25</t>
  </si>
  <si>
    <t>LCL Chgs - 16 - 31 JUL 25</t>
  </si>
  <si>
    <t>Outbound chgs - 16 - 31 Jul 25</t>
  </si>
  <si>
    <t>CODC Out chgs - 16 - 31 Jul 25</t>
  </si>
  <si>
    <t>VAS 16-31 July 25</t>
  </si>
  <si>
    <t>Weighment - 16-31 July 25</t>
  </si>
  <si>
    <t>CODC Inbound chgs - 16 - 31 May 25</t>
  </si>
  <si>
    <t>PORT SSR Chgs - 16 - 31 May 25</t>
  </si>
  <si>
    <t>Outbound chgs - 16 - 31 MAY 25</t>
  </si>
  <si>
    <t>Detention Chgs - 01 - 15 MAY 25</t>
  </si>
  <si>
    <t>Empty Lolo Chgs - 01 - 31 MAY 25</t>
  </si>
  <si>
    <t>Transportation In Chgs - 16-31 MAY 25</t>
  </si>
  <si>
    <t>Credit note against 246779412202</t>
  </si>
  <si>
    <t>Credit note against 246779412203</t>
  </si>
  <si>
    <t>Credit note against 246779412205</t>
  </si>
  <si>
    <t>Credit note against 246779412206</t>
  </si>
  <si>
    <t>Credit note against 246779412198</t>
  </si>
  <si>
    <t>Credit note against 246779412199</t>
  </si>
  <si>
    <t>Credit note against 246779412204</t>
  </si>
  <si>
    <t>Credit note against 246779412207</t>
  </si>
  <si>
    <t>Credit note against 246779412208</t>
  </si>
  <si>
    <t>Credit note against 246779412196</t>
  </si>
  <si>
    <t>Credit note against 246779412197</t>
  </si>
  <si>
    <t>Credit note against 246779412200</t>
  </si>
  <si>
    <t>Credit note against 246779412201</t>
  </si>
  <si>
    <t>Credit note against 256779410231</t>
  </si>
  <si>
    <t>Credit note against 256779410272</t>
  </si>
  <si>
    <t>Scanning  Chgs - 16 - 31 Apr 25</t>
  </si>
  <si>
    <t>LCL Chgs - 16 - 30 Apr 25</t>
  </si>
  <si>
    <t>Outbound chgs - 16 - 30 Apr 25</t>
  </si>
  <si>
    <t>CODC LCL Chgs -16-30 Nov 25</t>
  </si>
  <si>
    <t>Storage Chgs - 01 - 31 Apr 25</t>
  </si>
  <si>
    <t>PORT SSR Chgs Apr &amp; May 25</t>
  </si>
  <si>
    <t>CODC Inbound Chgs - 01 - 15 July 25</t>
  </si>
  <si>
    <t>CODC Out chgs - 01 - 15 July 25</t>
  </si>
  <si>
    <t>Transportation In Chgs - 01 - 15 JUL 25</t>
  </si>
  <si>
    <t>Outbound chgs - 01 - 15 Jul 25</t>
  </si>
  <si>
    <t>Scanning Charges for the month of October, 2024</t>
  </si>
  <si>
    <t>Outbound Handling charges for Jan 2025</t>
  </si>
  <si>
    <t>Outbound Handling charges for Feb 2025</t>
  </si>
  <si>
    <t>Scanning Charges for the month of Feb 2025</t>
  </si>
  <si>
    <t>Inbound Handling charges for Nov 2024</t>
  </si>
  <si>
    <t>LCL Movement Charges for Nov 2024</t>
  </si>
  <si>
    <t>Inbound Handling charges for Jan 2025</t>
  </si>
  <si>
    <t>Inbound Handling charges for  Sep 2024</t>
  </si>
  <si>
    <t>LCL charges for  Sep 2024</t>
  </si>
  <si>
    <t>Cy-WH Destuff charges for Sep 2024</t>
  </si>
  <si>
    <t>Outbound Handling charges for Sep 2024</t>
  </si>
  <si>
    <t>LCL charges for Jan 2025</t>
  </si>
  <si>
    <t>Inbound Handling charges for Feb 2025</t>
  </si>
  <si>
    <t>LCL Movement Charges for Feb 2025</t>
  </si>
  <si>
    <t>Empty transportation Charges for Feb 2025</t>
  </si>
  <si>
    <t>Transportation Charges for Feb 2025</t>
  </si>
  <si>
    <t>Outbound Handling charges for Nov 2024</t>
  </si>
  <si>
    <t>CY-MOVEMENT CHARGES for Nov 2024</t>
  </si>
  <si>
    <t>Outbound Handling charges for Oct 2024</t>
  </si>
  <si>
    <t>Fixed Rental charges for Aug 2024</t>
  </si>
  <si>
    <t>Fixed Rental charges for Sept 2024</t>
  </si>
  <si>
    <t>Office space charges for Sept 2024</t>
  </si>
  <si>
    <t>Utility charge- Electricity for Sept 2024</t>
  </si>
  <si>
    <t>Office space charges - Aug, 2024</t>
  </si>
  <si>
    <t>Fixed Rental charges for Nov 2024</t>
  </si>
  <si>
    <t>Office space charges for Nov 2024</t>
  </si>
  <si>
    <t>Utility charge- Electricity for Nov 2024</t>
  </si>
  <si>
    <t>Fixed Rental charges for Dec 2024</t>
  </si>
  <si>
    <t>Office space charges for Dec 2024</t>
  </si>
  <si>
    <t>Utility charge- Electricity for Dec 2024</t>
  </si>
  <si>
    <t>Fixed Rental charges for Jan 2025</t>
  </si>
  <si>
    <t>Office space charges for Jan 2025</t>
  </si>
  <si>
    <t>Utility charge- Electricity for Jan 2025</t>
  </si>
  <si>
    <t>Office space charges for Feb 2025</t>
  </si>
  <si>
    <t>Utility charge- Electricity for Feb 2025</t>
  </si>
  <si>
    <t>Office space charges for Oct 2024</t>
  </si>
  <si>
    <t>Utility charge- Electricity for Oct 2024</t>
  </si>
  <si>
    <t>Fixed Rental charges for Oct 2024</t>
  </si>
  <si>
    <t>Fixed Rental charges for Feb 2025</t>
  </si>
  <si>
    <t>Empty Cont Out Chgs - 16 - 31 Jul 25</t>
  </si>
  <si>
    <t>CODC Inbound chgs - 1 -15 Aug  25</t>
  </si>
  <si>
    <t>INTRA-Aug 25- 1-15</t>
  </si>
  <si>
    <t>VAS-Aug 25- 1-15</t>
  </si>
  <si>
    <t>Transportation In Chgs - 01 - 15 Aug 25</t>
  </si>
  <si>
    <t>LCL Chgs - 01 - 15 AUG 25</t>
  </si>
  <si>
    <t>Outbound chgs - 01 - 15 Aug 25</t>
  </si>
  <si>
    <t>LCL Chgs - 16 - 30 NOV 25</t>
  </si>
  <si>
    <t>Utility charge- Electricity - Aug, 2024</t>
  </si>
  <si>
    <t>VAS -1-15 May 25, Ex.rate 85.43</t>
  </si>
  <si>
    <t>Outbound chgs - 01 - 15 MAY 25</t>
  </si>
  <si>
    <t>LCL Chgs - 01-15 MAY 25</t>
  </si>
  <si>
    <t>Credit note raised against 256779415792</t>
  </si>
  <si>
    <t>VAS Activity -1 -15 Mar 25, Ex Rate. 87.01</t>
  </si>
  <si>
    <t>Inbound Handling charges for Mar 2025</t>
  </si>
  <si>
    <t>LCL charges for Mar 2025</t>
  </si>
  <si>
    <t>Outbound Handling charges for Mar 25</t>
  </si>
  <si>
    <t>Transportation Inbound charges for Jan 2025</t>
  </si>
  <si>
    <t>Empty Cont Out charges for Jan 2025</t>
  </si>
  <si>
    <t>LCL Chgs - 01 - 15 OCT 25</t>
  </si>
  <si>
    <t>Outbound chgs - 01 - 15 Oct 25</t>
  </si>
  <si>
    <t>Fixed Storage Charges for April 2025</t>
  </si>
  <si>
    <t>Credit note raised against 256779414430</t>
  </si>
  <si>
    <t>Credit note raised against 256779414445</t>
  </si>
  <si>
    <t>Credit Note against 256779413161</t>
  </si>
  <si>
    <t>Credit Note against 256779413169</t>
  </si>
  <si>
    <t>InKPI-CODC-1-15 May 25-BOE9821502</t>
  </si>
  <si>
    <t>InKPI-CODC-1-15 May 25-BOE9921502</t>
  </si>
  <si>
    <t>InKPI-CODC-1-15 May 25-BOE9918629</t>
  </si>
  <si>
    <t>CN ISSUED TOWARDS BILL NO.256779415304</t>
  </si>
  <si>
    <t>CN ISSUED TOWARDS BILL NO.256779415305</t>
  </si>
  <si>
    <t>CN ISSUED TOWARDS BILL NO.256779415306</t>
  </si>
  <si>
    <t>CN ISSUED TOWARDS BILL NO.256779415307</t>
  </si>
  <si>
    <t>CN ISSUED TOWARDS BILL NO.256779415308</t>
  </si>
  <si>
    <t>CN ISSUED TOWARDS BILL NO.256779415339</t>
  </si>
  <si>
    <t>CN ISSUED TOWARDS BILL NO.256779415321</t>
  </si>
  <si>
    <t>CN ISSUED TOWARDS BILL NO.256779415374</t>
  </si>
  <si>
    <t>CN ISSUED TOWARDS BILL NO.246779414662</t>
  </si>
  <si>
    <t>CN ISSUED TOWARDS BILL NO.256779415365</t>
  </si>
  <si>
    <t>VAS 1-15 April-25,Ex.Rate-85.69</t>
  </si>
  <si>
    <t>VAS  -1-15 Oct 2025</t>
  </si>
  <si>
    <t>Weighment  -1-15 Oct 2025</t>
  </si>
  <si>
    <t>Fixed Storage Charges for Mar 2025</t>
  </si>
  <si>
    <t>CAAU8009071-Port SSR Shifting Jan 2025. Exch rate</t>
  </si>
  <si>
    <t>WHSU5159898-Port SSR Storage Feb 2025. Exch rate -</t>
  </si>
  <si>
    <t>VAS 1-15 June 25, Exch 86.10</t>
  </si>
  <si>
    <t>Outbound chgs - 01 - 15 Nov 25</t>
  </si>
  <si>
    <t>CODC LCL Chgs -1-15 Nov 25</t>
  </si>
  <si>
    <t>CODC Out chgs -1-15 Nov 25</t>
  </si>
  <si>
    <t>LCL Chgs - 01 - 15 NOV 25</t>
  </si>
  <si>
    <t>Inbound Handling charges for 31 Mar 2025</t>
  </si>
  <si>
    <t>Outbound Handling charges for 31 Mar 25</t>
  </si>
  <si>
    <t>Outbound chgs - 01 - 15 Sep 25</t>
  </si>
  <si>
    <t>LCL Chgs - 01 - 15 SEP 25</t>
  </si>
  <si>
    <t>CODC Inbound chgs - 1-15  Sep  25</t>
  </si>
  <si>
    <t>CODC Out chgs -1-15 Sep 25</t>
  </si>
  <si>
    <t>Internet Activity Chgs - Nov 25</t>
  </si>
  <si>
    <t>Outbound chgs - 16 - 30 Nov 25</t>
  </si>
  <si>
    <t>Credit Note against 256779412140</t>
  </si>
  <si>
    <t>Credit Note against 246779413076</t>
  </si>
  <si>
    <t>Transportation IN Chargs</t>
  </si>
  <si>
    <t>Unit - Storage - Aug 25</t>
  </si>
  <si>
    <t>LCL Chgs - 01 - 15 Apr 25</t>
  </si>
  <si>
    <t>Outbound chgs - 01 - 15 Apr 25</t>
  </si>
  <si>
    <t>Inbound Handling charges for Oct 2024</t>
  </si>
  <si>
    <t>LCL Movement Charges for Oct 2024</t>
  </si>
  <si>
    <t>CY-MOVEMENT CHARGES for Oct 2024</t>
  </si>
  <si>
    <t>Port SSR Charges - Shifting for Aug to D</t>
  </si>
  <si>
    <t>Fixed Internet Charges for April,2025</t>
  </si>
  <si>
    <t>VAS-16-30 Sept 25</t>
  </si>
  <si>
    <t>Weighment-16-30 Sept 25</t>
  </si>
  <si>
    <t>VAS - 1-15 July 25</t>
  </si>
  <si>
    <t>VAS - 16-30 April 25, Ex.Rate-85.05</t>
  </si>
  <si>
    <t>Weighment-16-30 April25, Ex.Rate-85.05</t>
  </si>
  <si>
    <t>CODC Inbound chgs - 16 - 30 Apr 25</t>
  </si>
  <si>
    <t>CODC Out chgs - 16 - 30 Apr 25</t>
  </si>
  <si>
    <t>PORT SSR Chgs Nov 25</t>
  </si>
  <si>
    <t>CODC Inbound chgs - 1-15 Oct 25</t>
  </si>
  <si>
    <t>CODC Out chgs -1-15 Oct 25</t>
  </si>
  <si>
    <t>Unit storage -1-31 May 25</t>
  </si>
  <si>
    <t>Unit Storage - 1-30 Sept 2025</t>
  </si>
  <si>
    <t>Empty Lolo Chgs - 01 - 30 SEP 25</t>
  </si>
  <si>
    <t>LCL Chgs - 16 - 30 SEP 25</t>
  </si>
  <si>
    <t>Outbound chgs - 16 - 30 Sep 25</t>
  </si>
  <si>
    <t>Internet Activity Chgs - Aug 24 to Sep 25</t>
  </si>
  <si>
    <t>PORT SSR Chgs Sep 25</t>
  </si>
  <si>
    <t>Unit-Storage-1-31 Aug 25</t>
  </si>
  <si>
    <t>Scanning  Chgs - 01 - 15 May 25</t>
  </si>
  <si>
    <t>Unit Storage - 1-30 Nov 2025</t>
  </si>
  <si>
    <t>Credit note for Duplicate invoice -256779418489</t>
  </si>
  <si>
    <t>Credit note for Duplicate invoice -256779418495</t>
  </si>
  <si>
    <t>CODC LCL Chgs -01-15 Dec 25</t>
  </si>
  <si>
    <t>CODC Out chgs -1-15 Dec 25</t>
  </si>
  <si>
    <t>Outbound chgs - 01 - 15 Dec 25</t>
  </si>
  <si>
    <t>LCL Chgs - 01 - 15 DEC 25</t>
  </si>
  <si>
    <t>DZ</t>
  </si>
  <si>
    <t>Internet Activity Chgs - Dec 25</t>
  </si>
  <si>
    <t>Empty Lolo Chgs - 01 - 31 DEC 25</t>
  </si>
  <si>
    <t>PORT SSR Chgs Dec 25</t>
  </si>
  <si>
    <t>LCL Chgs - 16 - 31 DEC 25</t>
  </si>
  <si>
    <t>Outbound chgs - 16 - 31 Dec 25</t>
  </si>
  <si>
    <t>Unit Storage - 1-31 DEC 2025</t>
  </si>
  <si>
    <t>VAS-Dec 25 - 16-31</t>
  </si>
  <si>
    <t>Fixed Storage Charges for January 2026</t>
  </si>
  <si>
    <t>VAS - NOV 25,16-30</t>
  </si>
  <si>
    <t>CODC Out chgs -1-15 JAN 26</t>
  </si>
  <si>
    <t>CODC LCL Chgs -1-15 JAN 26</t>
  </si>
  <si>
    <t>LCL Chgs - 01 - 15 JAN 26</t>
  </si>
  <si>
    <t>Outbound chgs - 01 - 15 JAN 26</t>
  </si>
  <si>
    <t>VAS-1-15 Jan 2026</t>
  </si>
  <si>
    <t>CY Longstanding Transportation chgs for 31 MAR 202</t>
  </si>
  <si>
    <t>Inbound Handling charges for Dec 2024</t>
  </si>
  <si>
    <t>LCL charges for Dec 2024</t>
  </si>
  <si>
    <t>Transportation Inbound charges for Dec 2024</t>
  </si>
  <si>
    <t>Empty Cont. Outbound charges for Dec 2024</t>
  </si>
  <si>
    <t>Outbound Handling for Oct 2024</t>
  </si>
  <si>
    <t>LCL Chgs - 01 - 15 Apr 25 ( BOE9231261 / 9272978 /</t>
  </si>
  <si>
    <t>Inbound chgs - 01 - 15 Apr 25 ( BOE9231261 / 92729</t>
  </si>
  <si>
    <t>Outbound chgs - 01 - 15 Apr 25 ( DTA8744354 )</t>
  </si>
  <si>
    <t>CODC Outbound chgs - 01 - 15 Apr 25 ( DTA9177079 )</t>
  </si>
  <si>
    <t>Credit note raised against INV 256779411867</t>
  </si>
  <si>
    <t>Credit note raised against INV 246779414057</t>
  </si>
  <si>
    <t>Credit note raised against INV 256779411091</t>
  </si>
  <si>
    <t>Credit note raised against INV 256779411092</t>
  </si>
  <si>
    <t>Credit note raised against INV 256779411093</t>
  </si>
  <si>
    <t>Credit note raised against INV 256779411094</t>
  </si>
  <si>
    <t>Credit note raised against INV 256779411095</t>
  </si>
  <si>
    <t>Credit note raised against INV 256779411096</t>
  </si>
  <si>
    <t>Credit note raised against INV 256779411098</t>
  </si>
  <si>
    <t>Credit note raised against INV 256779411099</t>
  </si>
  <si>
    <t>Credit note raised against INV 256779411100</t>
  </si>
  <si>
    <t>Credit note raised against INV 256779411101</t>
  </si>
  <si>
    <t>Credit note raised against INV 246779414122</t>
  </si>
  <si>
    <t>Credit note raised against INV 246779414869</t>
  </si>
  <si>
    <t>Credit note raised against INV 256779411458</t>
  </si>
  <si>
    <t>Credit note raised against INV 256779411461</t>
  </si>
  <si>
    <t>Credit note raised against INV 256779411466</t>
  </si>
  <si>
    <t>Credit note raised against INV 256779411467</t>
  </si>
  <si>
    <t>Credit note raised against INV 256779411469</t>
  </si>
  <si>
    <t>Credit note raised against INV 256779411797</t>
  </si>
  <si>
    <t>Credit note raised against INV 256779412609</t>
  </si>
  <si>
    <t>Credit note raised against INV 246779414058</t>
  </si>
  <si>
    <t>Credit note raised against INV 246779414525</t>
  </si>
  <si>
    <t>Credit note raised against INV 246779414526</t>
  </si>
  <si>
    <t>Credit note raised against INV 246779414527</t>
  </si>
  <si>
    <t>Credit note raised against INV 246779414528</t>
  </si>
  <si>
    <t>Credit note raised against INV 246779414590</t>
  </si>
  <si>
    <t>Credit note raised against INV 246779414726</t>
  </si>
  <si>
    <t>Credit note raised against INV 246779414120</t>
  </si>
  <si>
    <t>Credit note raised against INV 246779414121</t>
  </si>
  <si>
    <t>Credit note raised against INV 246779414204</t>
  </si>
  <si>
    <t>Credit note raised against INV 246779414460</t>
  </si>
  <si>
    <t>Credit note raised against INV 246779414461</t>
  </si>
  <si>
    <t>Credit note raised against INV 246779414781</t>
  </si>
  <si>
    <t>Credit note raised against INV 246779414863</t>
  </si>
  <si>
    <t>Credit note raised against INV 246779414864</t>
  </si>
  <si>
    <t>Credit note raised against INV 246779414865</t>
  </si>
  <si>
    <t>Credit note raised against INV 246779414866</t>
  </si>
  <si>
    <t>Credit note raised against INV 246779414867</t>
  </si>
  <si>
    <t>Credit note raised against INV 246779414868</t>
  </si>
  <si>
    <t>Credit note raised against INV 256779411459</t>
  </si>
  <si>
    <t>Credit note raised against INV 256779411460</t>
  </si>
  <si>
    <t>Credit note raised against INV 256779411462</t>
  </si>
  <si>
    <t>Credit note raised against INV 256779411463</t>
  </si>
  <si>
    <t>Credit note raised against INV 256779411464</t>
  </si>
  <si>
    <t>Credit note raised against INV 256779411465</t>
  </si>
  <si>
    <t>Credit note raised against INV 256779411468</t>
  </si>
  <si>
    <t>Credit note raised against INV 246779413317</t>
  </si>
  <si>
    <t>Credit note raised against INV 256779410127</t>
  </si>
  <si>
    <t>Credit note raised against INV 256779410213</t>
  </si>
  <si>
    <t>Credit note raised against INV 256779410214</t>
  </si>
  <si>
    <t>Credit note raised against INV 256779410076</t>
  </si>
  <si>
    <t>Credit note raised against INV 256779410077</t>
  </si>
  <si>
    <t>Credit note raised against INV 256779412649</t>
  </si>
  <si>
    <t>Credit note raised against INV 246779410482</t>
  </si>
  <si>
    <t>Credit note raised against INV 246779410483</t>
  </si>
  <si>
    <t>Credit note raised against INV 256779411722</t>
  </si>
  <si>
    <t>Credit note raised against INV 256779411795</t>
  </si>
  <si>
    <t>Credit note raised against INV 256779411796</t>
  </si>
  <si>
    <t>Credit note raised against INV 256779411798</t>
  </si>
  <si>
    <t>Credit note raised against INV 256779411799</t>
  </si>
  <si>
    <t>Credit note raised against INV 246779410665</t>
  </si>
  <si>
    <t>Credit note raised against INV 256779412884</t>
  </si>
  <si>
    <t>Credit note raised against INV 256779412918</t>
  </si>
  <si>
    <t>Credit note raised against INV 256779412948</t>
  </si>
  <si>
    <t>Credit note raised against INV 246779414296</t>
  </si>
  <si>
    <t>Credit note raised against INV 246779414297</t>
  </si>
  <si>
    <t>Credit note raised against INV 246779414298</t>
  </si>
  <si>
    <t>Outbound Handling Charges Aug 2024</t>
  </si>
  <si>
    <t>Inbound Handling for August 24</t>
  </si>
  <si>
    <t>Scanning Chgs - 16 - 31 Apr 25 ( BOE9523237 )</t>
  </si>
  <si>
    <t>LCL Chgs - 16 - 30 Apr 25 ( BOE9471796/9501725 )</t>
  </si>
  <si>
    <t>Inbound chgs -16 - 30 Apr 25 ( BOE9471796/9501725</t>
  </si>
  <si>
    <t>Transportation In Chgs - 16 - 30 Apr 25 ( BOE94717</t>
  </si>
  <si>
    <t>Empty Cont Out - 16 - 30 Apr 25 ( BOE9471796/95017</t>
  </si>
  <si>
    <t>Outbound chgs - 16 - 30 Apr 25 ( DTA9452390 )</t>
  </si>
  <si>
    <t>Outbound chgs - 01 - 15 MAY 25 ( DTA9652445/951659</t>
  </si>
  <si>
    <t>Scanning  Chgs - 01 - 15 May 25 (BOE9821502)</t>
  </si>
  <si>
    <t>LCL Chgs - 01-15 MAY 25 ( BOE9963613 )</t>
  </si>
  <si>
    <t>Inbound chgs -01-15 MAY 25 ( BOE9963613 )</t>
  </si>
  <si>
    <t>CODC Inbound chgs - 16 - 31 May 25 ( 9918629 )</t>
  </si>
  <si>
    <t>Outbound chgs - 16 - 31 MAY 25 ( DTA2037850 )</t>
  </si>
  <si>
    <t>Empty Cont Out - 16-31 MAY 25</t>
  </si>
  <si>
    <t>LCL Chgs - 16-31 MAY 25</t>
  </si>
  <si>
    <t>Inbound chgs -16-31 MAY 25</t>
  </si>
  <si>
    <t>Credit note raised against INV 256779413280</t>
  </si>
  <si>
    <t>Credit note raised against INV 256779413308</t>
  </si>
  <si>
    <t>Credit note raised against INV 256779413348</t>
  </si>
  <si>
    <t>Credit note raised against INV 256779413480</t>
  </si>
  <si>
    <t>Credit note raised against INV 256779413859</t>
  </si>
  <si>
    <t>Credit note raised against INV 256779413879</t>
  </si>
  <si>
    <t>Credit note raised against INV 256779414156</t>
  </si>
  <si>
    <t>Credit note raised against INV 256779414173</t>
  </si>
  <si>
    <t>Credit note raised against INV 256779414206</t>
  </si>
  <si>
    <t>Credit note raised against INV 256779414260</t>
  </si>
  <si>
    <t>Credit note raised against INV 256779414271</t>
  </si>
  <si>
    <t>VAS Activity Charges for the month of October, 24</t>
  </si>
  <si>
    <t>VAS Activity Charges for the month of November, 24</t>
  </si>
  <si>
    <t>VAS Activity Charges for the month of December, 24</t>
  </si>
  <si>
    <t>LCL Charges August 2024</t>
  </si>
  <si>
    <t>Credit note raised against 256779418068</t>
  </si>
  <si>
    <t>WHSU5018375-Port SSR Shifting Mar 2025. Exch rate</t>
  </si>
  <si>
    <t>VAS Activity - Jan 25, Ex Rate. 86.64</t>
  </si>
  <si>
    <t>VAS Activity - Feb 25, Ex Rate. 87.40</t>
  </si>
  <si>
    <t>VAS Activity - Mar 25, 16-31, Ex Rate. 85.58</t>
  </si>
  <si>
    <t>Storage Charges Mar, 25 Exch Rate 85.58</t>
  </si>
  <si>
    <t>Cy-WH Destuff charges for Dec 2024</t>
  </si>
  <si>
    <t>Outbound Handling charges for Dec 2024</t>
  </si>
  <si>
    <t>VAS 16-31 May 25 Ex.85.48</t>
  </si>
  <si>
    <t>Weighment -16-31 May 25, Ex.85.48</t>
  </si>
  <si>
    <t>VAS Activity Charges for the month of August, 24</t>
  </si>
  <si>
    <t>Cy-WH Destuff charges for 31 Mar 2025</t>
  </si>
  <si>
    <t>Empty Cont Outbound charges for Jan 2025</t>
  </si>
  <si>
    <t>Loose Unloading Charges August 2024</t>
  </si>
  <si>
    <t>LCL charges for 31 Mar 2025</t>
  </si>
  <si>
    <t>Transportation Inbound charges for 31 Mar 2025</t>
  </si>
  <si>
    <t>Empty Cont. Outbound charges for 31 Mar 2025</t>
  </si>
  <si>
    <t>Outbound Handling for Aug 2024</t>
  </si>
  <si>
    <t>DA</t>
  </si>
  <si>
    <t>Overpayment</t>
  </si>
  <si>
    <t>DY</t>
  </si>
  <si>
    <t>XC</t>
  </si>
  <si>
    <t>6779ZR25000004</t>
  </si>
  <si>
    <t>6779ZP25000139</t>
  </si>
  <si>
    <t>Port SSR Charges - Shifting for Aug to Dec,24.</t>
  </si>
  <si>
    <t>Fixed Storage Charges fo MAY 2025</t>
  </si>
  <si>
    <t>Fixed Storage Charges fo JUNE 2025</t>
  </si>
  <si>
    <t>Fixed Storage Charges fo JULY 2025</t>
  </si>
  <si>
    <t>Fixed Storage Charges for August 2025</t>
  </si>
  <si>
    <t>Fixed Storage Charges for September 2025</t>
  </si>
  <si>
    <t>Fixed Storage Charges for October 2025</t>
  </si>
  <si>
    <t>Fixed Storage Charges for November 2025</t>
  </si>
  <si>
    <t>Fixed Storage Charges for December 2025</t>
  </si>
  <si>
    <t>Credit note raised against INV 256779411097</t>
  </si>
  <si>
    <t>CN ISSUED TOWARDS BILL NO.256779415303</t>
  </si>
  <si>
    <t>CN ISSUED TOWARDS BILL NO.256779415349</t>
  </si>
  <si>
    <t>Outbound Handling for Nov 2024</t>
  </si>
  <si>
    <t>Outbound Handling for Dec 2024</t>
  </si>
  <si>
    <t>Storage Charges Feb, 25</t>
  </si>
  <si>
    <t>Storage Charges Jan, 25</t>
  </si>
  <si>
    <t>Storage for the month of Nov 2024</t>
  </si>
  <si>
    <t>Storage for the month of Dec 2024</t>
  </si>
  <si>
    <t>Storage for the month of Oct 2024</t>
  </si>
  <si>
    <t>Storage Charges for the month of August, 2024</t>
  </si>
  <si>
    <t>Storage  for the month of Sept  2024</t>
  </si>
  <si>
    <t>VAS Activity Charges for the month of September, 2</t>
  </si>
  <si>
    <t>Sum of Company Code Currency Value</t>
  </si>
  <si>
    <t>Credit</t>
  </si>
  <si>
    <t>As per Customer</t>
  </si>
  <si>
    <t>Net Amount</t>
  </si>
  <si>
    <t>Diffrence</t>
  </si>
  <si>
    <t>As per Ascendus</t>
  </si>
  <si>
    <t>Amount In USD</t>
  </si>
  <si>
    <t>Amount In INR</t>
  </si>
  <si>
    <t>Foreign Exchange Diffrence</t>
  </si>
  <si>
    <t>Diffrecnce</t>
  </si>
  <si>
    <t>Date</t>
  </si>
  <si>
    <t>Amount</t>
  </si>
  <si>
    <t>As per Customer ledger</t>
  </si>
  <si>
    <t>&gt;&gt;Exchange diffrence</t>
  </si>
  <si>
    <t>June</t>
  </si>
  <si>
    <t>July</t>
  </si>
  <si>
    <t>Reconciliation of Ledger as on 31st January 2026</t>
  </si>
  <si>
    <t>Particulars</t>
  </si>
  <si>
    <t>Derived balance</t>
  </si>
  <si>
    <t>Difference</t>
  </si>
  <si>
    <t>Balance as per Kuehne Nagel Pvt Ltd</t>
  </si>
  <si>
    <t>Balance as per Ascendus</t>
  </si>
  <si>
    <t>&gt;&gt;payment not recorded in books</t>
  </si>
  <si>
    <t>Add: Payments recorded in Feb by Ascendus</t>
  </si>
  <si>
    <t>Confirmed by Sushil over call</t>
  </si>
  <si>
    <t>Remarks</t>
  </si>
  <si>
    <t>Amount recorded by customer but not in our books</t>
  </si>
  <si>
    <t>Add: TDS recorded by customer but not in our books</t>
  </si>
  <si>
    <t>Add: Invoices / CN not recorded in customer books</t>
  </si>
  <si>
    <t>To be discussed with customer</t>
  </si>
  <si>
    <t>Add: Corrections to be done by customer</t>
  </si>
  <si>
    <t>Creditor Code</t>
  </si>
  <si>
    <t>Creditor</t>
  </si>
  <si>
    <t xml:space="preserve">Settled FC Amount </t>
  </si>
  <si>
    <t>Last Sett. Date</t>
  </si>
  <si>
    <t>Job#</t>
  </si>
  <si>
    <t>VC#</t>
  </si>
  <si>
    <t>Full Name</t>
  </si>
  <si>
    <t xml:space="preserve">Settled LC Amount </t>
  </si>
  <si>
    <t>TDS</t>
  </si>
  <si>
    <t>Net balance</t>
  </si>
  <si>
    <t>vlookup</t>
  </si>
  <si>
    <t>A023951</t>
  </si>
  <si>
    <t xml:space="preserve"> -   </t>
  </si>
  <si>
    <t>-</t>
  </si>
  <si>
    <t>Ascendas Panvel FTWZ Private Limited</t>
  </si>
  <si>
    <t>Customer recorded USD amount in INR amount. Customer needs to correct</t>
  </si>
  <si>
    <t>Diff due to exchange gain/loss</t>
  </si>
  <si>
    <t>Outwards remit C-A02</t>
  </si>
  <si>
    <t>PAYMENT BATCH OF JUL</t>
  </si>
  <si>
    <t>Outwards remit C-I00</t>
  </si>
  <si>
    <t>Exchange rate difere</t>
  </si>
  <si>
    <t>C: ASCENDAS27 P: A023951 I 256779418357</t>
  </si>
  <si>
    <t>C: ASCENDAS27 P: A023951 I 256779419222</t>
  </si>
  <si>
    <t>C: ASCENDAS27 P: A023951 I 256779419581</t>
  </si>
  <si>
    <t>C: ASCENDAS27 P: A023951 I 256779418872</t>
  </si>
  <si>
    <t>C: ASCENDAS27 P: A023951 I 256779416600</t>
  </si>
  <si>
    <t>C: ASCENDAS27 P: A023951 I 256779418692</t>
  </si>
  <si>
    <t>C: ASCENDAS27 P: A023951 I 256779415296</t>
  </si>
  <si>
    <t>C: ASCENDAS27 P: A023951 I 256779440208</t>
  </si>
  <si>
    <t>C: ASCENDAS27 P: A023951 I 256779440227</t>
  </si>
  <si>
    <t>C: ASCENDAS27 P: A023951 I 256779440159</t>
  </si>
  <si>
    <t>C: ASCENDAS27 P: A023951 I 256779440067</t>
  </si>
  <si>
    <t>C: ASCENDAS27 P: A023951 I 256779440060</t>
  </si>
  <si>
    <t>C: ASCENDAS27 P: A023951 I 256779440309</t>
  </si>
  <si>
    <t>C: ASCENDAS27 P: A023951 I 256779440310</t>
  </si>
  <si>
    <t>C: ASCENDAS27 P: A023951 I 256779440116</t>
  </si>
  <si>
    <t>C: ASCENDAS27 P: A023951 I 256779440126</t>
  </si>
  <si>
    <t>C: ASCENDAS27 P: A023951 I 256779440311</t>
  </si>
  <si>
    <t>C: ASCENDAS27 P: A023951 I 256779440007</t>
  </si>
  <si>
    <t>C: ASCENDAS27 P: A023951 I 256779440363</t>
  </si>
  <si>
    <t>C: ASCENDAS27 P: A023951 I 256779417250</t>
  </si>
  <si>
    <t>C: ASCENDAS27 P: A023951 I 256779440150</t>
  </si>
  <si>
    <t>C: ASCENDAS27 P: A023951 I 256779440285</t>
  </si>
  <si>
    <t>C: ASCENDAS27 P: A023951 I 256779440238</t>
  </si>
  <si>
    <t>C: ASCENDAS27 P: A023951 I 256779440136</t>
  </si>
  <si>
    <t>Closing Balance</t>
  </si>
  <si>
    <t>Less: Difference in INR amounts in both books due to exchange rate</t>
  </si>
  <si>
    <t>Less: Amount recorded by customer, but not in our books due to exchange gain</t>
  </si>
  <si>
    <t>Document Number</t>
  </si>
  <si>
    <t>Assignment</t>
  </si>
  <si>
    <t>Item</t>
  </si>
  <si>
    <t>Clearing Document</t>
  </si>
  <si>
    <t>1600001670</t>
  </si>
  <si>
    <t>NA</t>
  </si>
  <si>
    <t>1</t>
  </si>
  <si>
    <t>1400001815</t>
  </si>
  <si>
    <t>1600001590</t>
  </si>
  <si>
    <t>1600001607</t>
  </si>
  <si>
    <t>1600001608</t>
  </si>
  <si>
    <t>1600001648</t>
  </si>
  <si>
    <t>1600001650</t>
  </si>
  <si>
    <t>1600001651</t>
  </si>
  <si>
    <t>1600002133</t>
  </si>
  <si>
    <t>1600002134</t>
  </si>
  <si>
    <t>1600002135</t>
  </si>
  <si>
    <t>1600002136</t>
  </si>
  <si>
    <t>1600002137</t>
  </si>
  <si>
    <t>1600002138</t>
  </si>
  <si>
    <t>1600002140</t>
  </si>
  <si>
    <t>1600002141</t>
  </si>
  <si>
    <t>1600002142</t>
  </si>
  <si>
    <t>1600002143</t>
  </si>
  <si>
    <t>1400001816</t>
  </si>
  <si>
    <t>1600002132</t>
  </si>
  <si>
    <t>1600002139</t>
  </si>
  <si>
    <t>1800013764</t>
  </si>
  <si>
    <t>2110802</t>
  </si>
  <si>
    <t>1800009489</t>
  </si>
  <si>
    <t>1800015955</t>
  </si>
  <si>
    <t>1800016933</t>
  </si>
  <si>
    <t>1800016874</t>
  </si>
  <si>
    <t>1800017058</t>
  </si>
  <si>
    <t>1800017100</t>
  </si>
  <si>
    <t>1800017150</t>
  </si>
  <si>
    <t>2163060</t>
  </si>
  <si>
    <t>1800014279</t>
  </si>
  <si>
    <t>2123387</t>
  </si>
  <si>
    <t>1800010603</t>
  </si>
  <si>
    <t>1800011944</t>
  </si>
  <si>
    <t>1800012156</t>
  </si>
  <si>
    <t>1800012162</t>
  </si>
  <si>
    <t>1800012182</t>
  </si>
  <si>
    <t>1800009071</t>
  </si>
  <si>
    <t>1800005928</t>
  </si>
  <si>
    <t>Invoice under booking</t>
  </si>
  <si>
    <t>Invoice not received</t>
  </si>
  <si>
    <t>Remarks from customers</t>
  </si>
  <si>
    <t>CN not received</t>
  </si>
  <si>
    <t>CN under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</si>
</sst>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164" fontId="0" fillId="0" borderId="0" xfId="1" applyNumberFormat="1" applyFont="1"/>
    <xf numFmtId="17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43" fontId="0" fillId="0" borderId="0" xfId="1" applyFont="1"/>
    <xf numFmtId="164" fontId="0" fillId="0" borderId="1" xfId="1" applyNumberFormat="1" applyFont="1" applyBorder="1"/>
    <xf numFmtId="164" fontId="2" fillId="0" borderId="1" xfId="0" applyNumberFormat="1" applyFont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  <xf numFmtId="0" fontId="0" fillId="4" borderId="1" xfId="0" applyNumberFormat="1" applyFill="1" applyBorder="1"/>
    <xf numFmtId="0" fontId="0" fillId="4" borderId="1" xfId="0" applyFill="1" applyBorder="1"/>
    <xf numFmtId="0" fontId="0" fillId="2" borderId="1" xfId="1" applyNumberFormat="1" applyFont="1" applyFill="1" applyBorder="1" applyAlignment="1">
      <alignment horizontal="left"/>
    </xf>
    <xf numFmtId="164" fontId="0" fillId="2" borderId="1" xfId="1" applyNumberFormat="1" applyFont="1" applyFill="1" applyBorder="1"/>
    <xf numFmtId="164" fontId="2" fillId="2" borderId="1" xfId="0" applyNumberFormat="1" applyFont="1" applyFill="1" applyBorder="1"/>
    <xf numFmtId="164" fontId="0" fillId="4" borderId="1" xfId="1" applyNumberFormat="1" applyFont="1" applyFill="1" applyBorder="1"/>
    <xf numFmtId="164" fontId="0" fillId="4" borderId="1" xfId="0" applyNumberFormat="1" applyFill="1" applyBorder="1"/>
    <xf numFmtId="164" fontId="2" fillId="4" borderId="1" xfId="0" applyNumberFormat="1" applyFont="1" applyFill="1" applyBorder="1"/>
    <xf numFmtId="164" fontId="0" fillId="5" borderId="1" xfId="0" applyNumberFormat="1" applyFill="1" applyBorder="1"/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4" fontId="0" fillId="0" borderId="0" xfId="0" applyNumberFormat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  <xf numFmtId="4" fontId="0" fillId="0" borderId="3" xfId="0" applyNumberFormat="1" applyFill="1" applyBorder="1" applyAlignment="1">
      <alignment vertical="top"/>
    </xf>
    <xf numFmtId="0" fontId="0" fillId="0" borderId="0" xfId="0" applyAlignment="1">
      <alignment horizontal="left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0" fillId="0" borderId="0" xfId="0" applyNumberFormat="1"/>
    <xf numFmtId="14" fontId="0" fillId="6" borderId="8" xfId="0" applyNumberFormat="1" applyFill="1" applyBorder="1"/>
    <xf numFmtId="14" fontId="0" fillId="2" borderId="7" xfId="0" applyNumberFormat="1" applyFill="1" applyBorder="1" applyAlignment="1">
      <alignment horizontal="right" vertical="top"/>
    </xf>
    <xf numFmtId="14" fontId="0" fillId="6" borderId="10" xfId="0" applyNumberFormat="1" applyFill="1" applyBorder="1"/>
    <xf numFmtId="0" fontId="0" fillId="2" borderId="12" xfId="0" applyFill="1" applyBorder="1"/>
    <xf numFmtId="0" fontId="0" fillId="6" borderId="5" xfId="0" applyFill="1" applyBorder="1"/>
    <xf numFmtId="0" fontId="0" fillId="2" borderId="13" xfId="0" applyFill="1" applyBorder="1"/>
    <xf numFmtId="14" fontId="0" fillId="6" borderId="14" xfId="0" applyNumberFormat="1" applyFill="1" applyBorder="1"/>
    <xf numFmtId="14" fontId="0" fillId="2" borderId="16" xfId="0" applyNumberFormat="1" applyFill="1" applyBorder="1" applyAlignment="1">
      <alignment horizontal="right" vertical="top"/>
    </xf>
    <xf numFmtId="0" fontId="0" fillId="6" borderId="17" xfId="0" applyFill="1" applyBorder="1"/>
    <xf numFmtId="0" fontId="0" fillId="2" borderId="20" xfId="0" applyFill="1" applyBorder="1"/>
    <xf numFmtId="0" fontId="0" fillId="6" borderId="5" xfId="0" applyFill="1" applyBorder="1" applyAlignment="1"/>
    <xf numFmtId="0" fontId="0" fillId="2" borderId="5" xfId="0" applyFill="1" applyBorder="1" applyAlignment="1"/>
    <xf numFmtId="4" fontId="0" fillId="2" borderId="23" xfId="0" applyNumberFormat="1" applyFill="1" applyBorder="1" applyAlignment="1">
      <alignment horizontal="right" vertical="top"/>
    </xf>
    <xf numFmtId="4" fontId="0" fillId="2" borderId="24" xfId="0" applyNumberFormat="1" applyFill="1" applyBorder="1" applyAlignment="1">
      <alignment horizontal="right" vertical="top"/>
    </xf>
    <xf numFmtId="0" fontId="0" fillId="2" borderId="25" xfId="0" applyFill="1" applyBorder="1"/>
    <xf numFmtId="4" fontId="2" fillId="2" borderId="19" xfId="0" applyNumberFormat="1" applyFont="1" applyFill="1" applyBorder="1"/>
    <xf numFmtId="4" fontId="0" fillId="7" borderId="26" xfId="0" applyNumberFormat="1" applyFill="1" applyBorder="1" applyAlignment="1">
      <alignment horizontal="right" vertical="top"/>
    </xf>
    <xf numFmtId="4" fontId="0" fillId="7" borderId="27" xfId="0" applyNumberFormat="1" applyFill="1" applyBorder="1" applyAlignment="1">
      <alignment horizontal="right" vertical="top"/>
    </xf>
    <xf numFmtId="4" fontId="0" fillId="7" borderId="28" xfId="0" applyNumberFormat="1" applyFill="1" applyBorder="1" applyAlignment="1">
      <alignment horizontal="right" vertical="top"/>
    </xf>
    <xf numFmtId="4" fontId="2" fillId="7" borderId="4" xfId="0" applyNumberFormat="1" applyFont="1" applyFill="1" applyBorder="1"/>
    <xf numFmtId="0" fontId="0" fillId="2" borderId="29" xfId="0" applyFill="1" applyBorder="1"/>
    <xf numFmtId="0" fontId="0" fillId="6" borderId="18" xfId="0" applyFill="1" applyBorder="1"/>
    <xf numFmtId="164" fontId="0" fillId="6" borderId="15" xfId="1" applyNumberFormat="1" applyFont="1" applyFill="1" applyBorder="1"/>
    <xf numFmtId="164" fontId="0" fillId="6" borderId="9" xfId="1" applyNumberFormat="1" applyFont="1" applyFill="1" applyBorder="1"/>
    <xf numFmtId="164" fontId="0" fillId="6" borderId="11" xfId="1" applyNumberFormat="1" applyFont="1" applyFill="1" applyBorder="1"/>
    <xf numFmtId="164" fontId="2" fillId="6" borderId="6" xfId="0" applyNumberFormat="1" applyFont="1" applyFill="1" applyBorder="1"/>
    <xf numFmtId="0" fontId="1" fillId="0" borderId="0" xfId="2"/>
    <xf numFmtId="43" fontId="0" fillId="0" borderId="0" xfId="3" applyFont="1"/>
    <xf numFmtId="43" fontId="1" fillId="0" borderId="0" xfId="2" applyNumberFormat="1"/>
    <xf numFmtId="0" fontId="5" fillId="0" borderId="31" xfId="2" applyFont="1" applyBorder="1" applyAlignment="1">
      <alignment wrapText="1"/>
    </xf>
    <xf numFmtId="0" fontId="5" fillId="0" borderId="4" xfId="2" applyFont="1" applyBorder="1" applyAlignment="1">
      <alignment wrapText="1"/>
    </xf>
    <xf numFmtId="43" fontId="4" fillId="0" borderId="33" xfId="3" applyFont="1" applyBorder="1" applyAlignment="1">
      <alignment wrapText="1"/>
    </xf>
    <xf numFmtId="0" fontId="0" fillId="7" borderId="21" xfId="0" applyFill="1" applyBorder="1" applyAlignment="1">
      <alignment horizontal="left" vertical="center"/>
    </xf>
    <xf numFmtId="0" fontId="0" fillId="7" borderId="22" xfId="0" applyFill="1" applyBorder="1" applyAlignment="1">
      <alignment horizontal="left" vertical="center"/>
    </xf>
    <xf numFmtId="4" fontId="0" fillId="7" borderId="30" xfId="0" applyNumberFormat="1" applyFill="1" applyBorder="1" applyAlignment="1">
      <alignment horizontal="left" vertical="top"/>
    </xf>
    <xf numFmtId="4" fontId="2" fillId="7" borderId="4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/>
    <xf numFmtId="43" fontId="4" fillId="0" borderId="34" xfId="3" applyFont="1" applyBorder="1"/>
    <xf numFmtId="43" fontId="5" fillId="0" borderId="31" xfId="3" applyFont="1" applyBorder="1"/>
    <xf numFmtId="10" fontId="0" fillId="0" borderId="0" xfId="5" applyNumberFormat="1" applyFont="1"/>
    <xf numFmtId="164" fontId="4" fillId="0" borderId="26" xfId="3" applyNumberFormat="1" applyFont="1" applyBorder="1" applyAlignment="1">
      <alignment wrapText="1"/>
    </xf>
    <xf numFmtId="164" fontId="4" fillId="0" borderId="27" xfId="3" applyNumberFormat="1" applyFont="1" applyBorder="1" applyAlignment="1">
      <alignment wrapText="1"/>
    </xf>
    <xf numFmtId="164" fontId="4" fillId="0" borderId="28" xfId="3" applyNumberFormat="1" applyFont="1" applyBorder="1"/>
    <xf numFmtId="164" fontId="5" fillId="0" borderId="4" xfId="4" applyNumberFormat="1" applyFont="1" applyBorder="1"/>
    <xf numFmtId="1" fontId="0" fillId="0" borderId="0" xfId="0" applyNumberFormat="1" applyAlignment="1">
      <alignment vertical="top"/>
    </xf>
    <xf numFmtId="11" fontId="0" fillId="0" borderId="0" xfId="0" applyNumberFormat="1"/>
    <xf numFmtId="3" fontId="0" fillId="0" borderId="0" xfId="0" applyNumberFormat="1"/>
    <xf numFmtId="4" fontId="0" fillId="0" borderId="0" xfId="0" applyNumberFormat="1" applyAlignment="1">
      <alignment vertical="top"/>
    </xf>
    <xf numFmtId="0" fontId="0" fillId="3" borderId="3" xfId="0" applyFill="1" applyBorder="1" applyAlignment="1">
      <alignment vertical="top"/>
    </xf>
    <xf numFmtId="0" fontId="5" fillId="0" borderId="31" xfId="2" applyFont="1" applyBorder="1" applyAlignment="1">
      <alignment horizontal="center" wrapText="1"/>
    </xf>
    <xf numFmtId="0" fontId="5" fillId="0" borderId="32" xfId="2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</cellXfs>
  <cellStyles count="6">
    <cellStyle name="Comma" xfId="1" builtinId="3"/>
    <cellStyle name="Comma 2" xfId="3" xr:uid="{62F4C835-C6E3-425C-B2E2-F824BD1EDE97}"/>
    <cellStyle name="Comma 3" xfId="4" xr:uid="{8B77F8D1-74A0-4162-B841-84609A0489DB}"/>
    <cellStyle name="Normal" xfId="0" builtinId="0"/>
    <cellStyle name="Normal 2" xfId="2" xr:uid="{0B998131-D1CA-4571-8041-50302A5D58C2}"/>
    <cellStyle name="Percent" xfId="5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UEHNE+NAGEL%20PVT.%20LTD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023951_01-Apr-24%20to%2031-Jan-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Updated%20ledger/INDIAN%20ENTERPRISES_working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709">
          <cell r="T709">
            <v>6321328.75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023951"/>
    </sheetNames>
    <sheetDataSet>
      <sheetData sheetId="0">
        <row r="1">
          <cell r="D1" t="str">
            <v>Item#</v>
          </cell>
          <cell r="E1" t="str">
            <v>Item Date</v>
          </cell>
          <cell r="F1" t="str">
            <v>FC Amount</v>
          </cell>
          <cell r="G1"/>
          <cell r="H1" t="str">
            <v>LC Amount</v>
          </cell>
        </row>
        <row r="2">
          <cell r="D2">
            <v>256779413908</v>
          </cell>
          <cell r="E2" t="str">
            <v>28/05/2025</v>
          </cell>
          <cell r="F2">
            <v>-3200.83</v>
          </cell>
          <cell r="G2"/>
          <cell r="H2">
            <v>-273269.15999999997</v>
          </cell>
        </row>
        <row r="3">
          <cell r="D3">
            <v>256779413908</v>
          </cell>
          <cell r="E3" t="str">
            <v>28/05/2025</v>
          </cell>
          <cell r="F3">
            <v>64.02</v>
          </cell>
          <cell r="G3"/>
          <cell r="H3">
            <v>5465.67</v>
          </cell>
        </row>
        <row r="4">
          <cell r="D4">
            <v>256779413908</v>
          </cell>
          <cell r="E4" t="str">
            <v>28/05/2025</v>
          </cell>
          <cell r="F4">
            <v>0</v>
          </cell>
          <cell r="G4"/>
          <cell r="H4">
            <v>-11858.12</v>
          </cell>
        </row>
        <row r="5">
          <cell r="D5">
            <v>256779415989</v>
          </cell>
          <cell r="E5" t="str">
            <v>25/07/2025</v>
          </cell>
          <cell r="F5">
            <v>-299.83999999999997</v>
          </cell>
          <cell r="G5"/>
          <cell r="H5">
            <v>-25783.09</v>
          </cell>
        </row>
        <row r="6">
          <cell r="D6">
            <v>256779416007</v>
          </cell>
          <cell r="E6" t="str">
            <v>25/07/2025</v>
          </cell>
          <cell r="F6">
            <v>-421.15</v>
          </cell>
          <cell r="G6"/>
          <cell r="H6">
            <v>-36214.480000000003</v>
          </cell>
        </row>
        <row r="7">
          <cell r="D7">
            <v>256779416007</v>
          </cell>
          <cell r="E7" t="str">
            <v>25/07/2025</v>
          </cell>
          <cell r="F7">
            <v>8.42</v>
          </cell>
          <cell r="G7"/>
          <cell r="H7">
            <v>724.03</v>
          </cell>
        </row>
        <row r="8">
          <cell r="D8">
            <v>256779415989</v>
          </cell>
          <cell r="E8" t="str">
            <v>25/07/2025</v>
          </cell>
          <cell r="F8">
            <v>6</v>
          </cell>
          <cell r="G8"/>
          <cell r="H8">
            <v>515.94000000000005</v>
          </cell>
        </row>
        <row r="9">
          <cell r="D9">
            <v>256779415989</v>
          </cell>
          <cell r="E9" t="str">
            <v>25/07/2025</v>
          </cell>
          <cell r="F9">
            <v>0</v>
          </cell>
          <cell r="G9"/>
          <cell r="H9">
            <v>-664.99</v>
          </cell>
        </row>
        <row r="10">
          <cell r="D10">
            <v>256779416007</v>
          </cell>
          <cell r="E10" t="str">
            <v>25/07/2025</v>
          </cell>
          <cell r="F10">
            <v>0</v>
          </cell>
          <cell r="G10"/>
          <cell r="H10">
            <v>-934.03</v>
          </cell>
        </row>
        <row r="11">
          <cell r="D11">
            <v>256779412776</v>
          </cell>
          <cell r="E11" t="str">
            <v>24/04/2025</v>
          </cell>
          <cell r="F11">
            <v>-632.46</v>
          </cell>
          <cell r="G11"/>
          <cell r="H11">
            <v>-54218.879999999997</v>
          </cell>
        </row>
        <row r="12">
          <cell r="D12">
            <v>256779412776</v>
          </cell>
          <cell r="E12" t="str">
            <v>24/04/2025</v>
          </cell>
          <cell r="F12">
            <v>12.65</v>
          </cell>
          <cell r="G12"/>
          <cell r="H12">
            <v>1084.45</v>
          </cell>
        </row>
        <row r="13">
          <cell r="D13">
            <v>256779412776</v>
          </cell>
          <cell r="E13" t="str">
            <v>24/04/2025</v>
          </cell>
          <cell r="F13">
            <v>0</v>
          </cell>
          <cell r="G13"/>
          <cell r="H13">
            <v>-2124.59</v>
          </cell>
        </row>
        <row r="14">
          <cell r="D14">
            <v>256779417801</v>
          </cell>
          <cell r="E14" t="str">
            <v>22/09/2025</v>
          </cell>
          <cell r="F14">
            <v>-4755.47</v>
          </cell>
          <cell r="G14"/>
          <cell r="H14">
            <v>-416826.08</v>
          </cell>
        </row>
        <row r="15">
          <cell r="D15">
            <v>256779417801</v>
          </cell>
          <cell r="E15" t="str">
            <v>22/09/2025</v>
          </cell>
          <cell r="F15">
            <v>95.11</v>
          </cell>
          <cell r="G15"/>
          <cell r="H15">
            <v>8336.57</v>
          </cell>
        </row>
        <row r="16">
          <cell r="D16">
            <v>256779417801</v>
          </cell>
          <cell r="E16" t="str">
            <v>22/09/2025</v>
          </cell>
          <cell r="F16">
            <v>0</v>
          </cell>
          <cell r="G16"/>
          <cell r="H16">
            <v>-2799.24</v>
          </cell>
        </row>
        <row r="17">
          <cell r="D17">
            <v>256779417744</v>
          </cell>
          <cell r="E17" t="str">
            <v>22/09/2025</v>
          </cell>
          <cell r="F17">
            <v>-870</v>
          </cell>
          <cell r="G17"/>
          <cell r="H17">
            <v>-76257.17</v>
          </cell>
        </row>
        <row r="18">
          <cell r="D18">
            <v>256779417744</v>
          </cell>
          <cell r="E18" t="str">
            <v>22/09/2025</v>
          </cell>
          <cell r="F18">
            <v>17.399999999999999</v>
          </cell>
          <cell r="G18"/>
          <cell r="H18">
            <v>1525.14</v>
          </cell>
        </row>
        <row r="19">
          <cell r="D19">
            <v>256779412524</v>
          </cell>
          <cell r="E19" t="str">
            <v>22/04/2025</v>
          </cell>
          <cell r="F19">
            <v>-36.5</v>
          </cell>
          <cell r="G19"/>
          <cell r="H19">
            <v>-3129.03</v>
          </cell>
        </row>
        <row r="20">
          <cell r="D20">
            <v>256779412529</v>
          </cell>
          <cell r="E20" t="str">
            <v>22/04/2025</v>
          </cell>
          <cell r="F20">
            <v>-29.57</v>
          </cell>
          <cell r="G20"/>
          <cell r="H20">
            <v>-2534.9499999999998</v>
          </cell>
        </row>
        <row r="21">
          <cell r="D21">
            <v>256779412536</v>
          </cell>
          <cell r="E21" t="str">
            <v>22/04/2025</v>
          </cell>
          <cell r="F21">
            <v>-37.020000000000003</v>
          </cell>
          <cell r="G21"/>
          <cell r="H21">
            <v>-3173.61</v>
          </cell>
        </row>
        <row r="22">
          <cell r="D22">
            <v>256779412537</v>
          </cell>
          <cell r="E22" t="str">
            <v>22/04/2025</v>
          </cell>
          <cell r="F22">
            <v>-407.58</v>
          </cell>
          <cell r="G22"/>
          <cell r="H22">
            <v>-34940.6</v>
          </cell>
        </row>
        <row r="23">
          <cell r="D23">
            <v>256779412579</v>
          </cell>
          <cell r="E23" t="str">
            <v>22/04/2025</v>
          </cell>
          <cell r="F23">
            <v>-57.6</v>
          </cell>
          <cell r="G23"/>
          <cell r="H23">
            <v>-4937.87</v>
          </cell>
        </row>
        <row r="24">
          <cell r="D24">
            <v>256779412586</v>
          </cell>
          <cell r="E24" t="str">
            <v>22/04/2025</v>
          </cell>
          <cell r="F24">
            <v>-51.5</v>
          </cell>
          <cell r="G24"/>
          <cell r="H24">
            <v>-4414.9399999999996</v>
          </cell>
        </row>
        <row r="25">
          <cell r="D25">
            <v>256779412563</v>
          </cell>
          <cell r="E25" t="str">
            <v>22/04/2025</v>
          </cell>
          <cell r="F25">
            <v>-27</v>
          </cell>
          <cell r="G25"/>
          <cell r="H25">
            <v>-2314.63</v>
          </cell>
        </row>
        <row r="26">
          <cell r="D26">
            <v>256779412576</v>
          </cell>
          <cell r="E26" t="str">
            <v>22/04/2025</v>
          </cell>
          <cell r="F26">
            <v>-46</v>
          </cell>
          <cell r="G26"/>
          <cell r="H26">
            <v>-3943.44</v>
          </cell>
        </row>
        <row r="27">
          <cell r="D27">
            <v>256779412577</v>
          </cell>
          <cell r="E27" t="str">
            <v>22/04/2025</v>
          </cell>
          <cell r="F27">
            <v>-46</v>
          </cell>
          <cell r="G27"/>
          <cell r="H27">
            <v>-3943.44</v>
          </cell>
        </row>
        <row r="28">
          <cell r="D28">
            <v>256779412580</v>
          </cell>
          <cell r="E28" t="str">
            <v>22/04/2025</v>
          </cell>
          <cell r="F28">
            <v>-40.5</v>
          </cell>
          <cell r="G28"/>
          <cell r="H28">
            <v>-3471.94</v>
          </cell>
        </row>
        <row r="29">
          <cell r="D29">
            <v>256779412562</v>
          </cell>
          <cell r="E29" t="str">
            <v>22/04/2025</v>
          </cell>
          <cell r="F29">
            <v>-54.65</v>
          </cell>
          <cell r="G29"/>
          <cell r="H29">
            <v>-4684.9799999999996</v>
          </cell>
        </row>
        <row r="30">
          <cell r="D30">
            <v>256779412564</v>
          </cell>
          <cell r="E30" t="str">
            <v>22/04/2025</v>
          </cell>
          <cell r="F30">
            <v>-55.2</v>
          </cell>
          <cell r="G30"/>
          <cell r="H30">
            <v>-4732.13</v>
          </cell>
        </row>
        <row r="31">
          <cell r="D31">
            <v>256779412570</v>
          </cell>
          <cell r="E31" t="str">
            <v>22/04/2025</v>
          </cell>
          <cell r="F31">
            <v>-43.38</v>
          </cell>
          <cell r="G31"/>
          <cell r="H31">
            <v>-3718.84</v>
          </cell>
        </row>
        <row r="32">
          <cell r="D32">
            <v>256779412581</v>
          </cell>
          <cell r="E32" t="str">
            <v>22/04/2025</v>
          </cell>
          <cell r="F32">
            <v>-51.5</v>
          </cell>
          <cell r="G32"/>
          <cell r="H32">
            <v>-4414.9399999999996</v>
          </cell>
        </row>
        <row r="33">
          <cell r="D33">
            <v>256779412585</v>
          </cell>
          <cell r="E33" t="str">
            <v>22/04/2025</v>
          </cell>
          <cell r="F33">
            <v>-48.75</v>
          </cell>
          <cell r="G33"/>
          <cell r="H33">
            <v>-4179.1899999999996</v>
          </cell>
        </row>
        <row r="34">
          <cell r="D34">
            <v>256779412577</v>
          </cell>
          <cell r="E34" t="str">
            <v>22/04/2025</v>
          </cell>
          <cell r="F34">
            <v>0.92</v>
          </cell>
          <cell r="G34"/>
          <cell r="H34">
            <v>78.87</v>
          </cell>
        </row>
        <row r="35">
          <cell r="D35">
            <v>256779412564</v>
          </cell>
          <cell r="E35" t="str">
            <v>22/04/2025</v>
          </cell>
          <cell r="F35">
            <v>1.1000000000000001</v>
          </cell>
          <cell r="G35"/>
          <cell r="H35">
            <v>94.3</v>
          </cell>
        </row>
        <row r="36">
          <cell r="D36">
            <v>256779412529</v>
          </cell>
          <cell r="E36" t="str">
            <v>22/04/2025</v>
          </cell>
          <cell r="F36">
            <v>0.59</v>
          </cell>
          <cell r="G36"/>
          <cell r="H36">
            <v>50.58</v>
          </cell>
        </row>
        <row r="37">
          <cell r="D37">
            <v>256779412563</v>
          </cell>
          <cell r="E37" t="str">
            <v>22/04/2025</v>
          </cell>
          <cell r="F37">
            <v>0.54</v>
          </cell>
          <cell r="G37"/>
          <cell r="H37">
            <v>46.29</v>
          </cell>
        </row>
        <row r="38">
          <cell r="D38">
            <v>256779412570</v>
          </cell>
          <cell r="E38" t="str">
            <v>22/04/2025</v>
          </cell>
          <cell r="F38">
            <v>0.87</v>
          </cell>
          <cell r="G38"/>
          <cell r="H38">
            <v>74.58</v>
          </cell>
        </row>
        <row r="39">
          <cell r="D39">
            <v>256779412580</v>
          </cell>
          <cell r="E39" t="str">
            <v>22/04/2025</v>
          </cell>
          <cell r="F39">
            <v>0.81</v>
          </cell>
          <cell r="G39"/>
          <cell r="H39">
            <v>69.44</v>
          </cell>
        </row>
        <row r="40">
          <cell r="D40">
            <v>256779412581</v>
          </cell>
          <cell r="E40" t="str">
            <v>22/04/2025</v>
          </cell>
          <cell r="F40">
            <v>1.03</v>
          </cell>
          <cell r="G40"/>
          <cell r="H40">
            <v>88.3</v>
          </cell>
        </row>
        <row r="41">
          <cell r="D41">
            <v>256779412536</v>
          </cell>
          <cell r="E41" t="str">
            <v>22/04/2025</v>
          </cell>
          <cell r="F41">
            <v>0.74</v>
          </cell>
          <cell r="G41"/>
          <cell r="H41">
            <v>63.44</v>
          </cell>
        </row>
        <row r="42">
          <cell r="D42">
            <v>256779412576</v>
          </cell>
          <cell r="E42" t="str">
            <v>22/04/2025</v>
          </cell>
          <cell r="F42">
            <v>0.92</v>
          </cell>
          <cell r="G42"/>
          <cell r="H42">
            <v>78.87</v>
          </cell>
        </row>
        <row r="43">
          <cell r="D43">
            <v>256779412524</v>
          </cell>
          <cell r="E43" t="str">
            <v>22/04/2025</v>
          </cell>
          <cell r="F43">
            <v>0.73</v>
          </cell>
          <cell r="G43"/>
          <cell r="H43">
            <v>62.58</v>
          </cell>
        </row>
        <row r="44">
          <cell r="D44">
            <v>256779412537</v>
          </cell>
          <cell r="E44" t="str">
            <v>22/04/2025</v>
          </cell>
          <cell r="F44">
            <v>8.15</v>
          </cell>
          <cell r="G44"/>
          <cell r="H44">
            <v>698.67</v>
          </cell>
        </row>
        <row r="45">
          <cell r="D45">
            <v>256779412585</v>
          </cell>
          <cell r="E45" t="str">
            <v>22/04/2025</v>
          </cell>
          <cell r="F45">
            <v>0.98</v>
          </cell>
          <cell r="G45"/>
          <cell r="H45">
            <v>84.01</v>
          </cell>
        </row>
        <row r="46">
          <cell r="D46">
            <v>256779412586</v>
          </cell>
          <cell r="E46" t="str">
            <v>22/04/2025</v>
          </cell>
          <cell r="F46">
            <v>1.03</v>
          </cell>
          <cell r="G46"/>
          <cell r="H46">
            <v>88.3</v>
          </cell>
        </row>
        <row r="47">
          <cell r="D47">
            <v>256779412579</v>
          </cell>
          <cell r="E47" t="str">
            <v>22/04/2025</v>
          </cell>
          <cell r="F47">
            <v>1.1499999999999999</v>
          </cell>
          <cell r="G47"/>
          <cell r="H47">
            <v>98.59</v>
          </cell>
        </row>
        <row r="48">
          <cell r="D48">
            <v>256779412562</v>
          </cell>
          <cell r="E48" t="str">
            <v>22/04/2025</v>
          </cell>
          <cell r="F48">
            <v>1.0900000000000001</v>
          </cell>
          <cell r="G48"/>
          <cell r="H48">
            <v>93.44</v>
          </cell>
        </row>
        <row r="49">
          <cell r="D49">
            <v>256779412583</v>
          </cell>
          <cell r="E49" t="str">
            <v>22/04/2025</v>
          </cell>
          <cell r="F49">
            <v>-51.75</v>
          </cell>
          <cell r="G49"/>
          <cell r="H49">
            <v>-4436.37</v>
          </cell>
        </row>
        <row r="50">
          <cell r="D50">
            <v>256779412524</v>
          </cell>
          <cell r="E50" t="str">
            <v>22/04/2025</v>
          </cell>
          <cell r="F50">
            <v>0</v>
          </cell>
          <cell r="G50"/>
          <cell r="H50">
            <v>-9.39</v>
          </cell>
        </row>
        <row r="51">
          <cell r="D51">
            <v>256779412529</v>
          </cell>
          <cell r="E51" t="str">
            <v>22/04/2025</v>
          </cell>
          <cell r="F51">
            <v>0</v>
          </cell>
          <cell r="G51"/>
          <cell r="H51">
            <v>-7.61</v>
          </cell>
        </row>
        <row r="52">
          <cell r="D52">
            <v>256779412536</v>
          </cell>
          <cell r="E52" t="str">
            <v>22/04/2025</v>
          </cell>
          <cell r="F52">
            <v>0</v>
          </cell>
          <cell r="G52"/>
          <cell r="H52">
            <v>-9.5299999999999994</v>
          </cell>
        </row>
        <row r="53">
          <cell r="D53">
            <v>256779412537</v>
          </cell>
          <cell r="E53" t="str">
            <v>22/04/2025</v>
          </cell>
          <cell r="F53">
            <v>0</v>
          </cell>
          <cell r="G53"/>
          <cell r="H53">
            <v>-104.86</v>
          </cell>
        </row>
        <row r="54">
          <cell r="D54">
            <v>256779412579</v>
          </cell>
          <cell r="E54" t="str">
            <v>22/04/2025</v>
          </cell>
          <cell r="F54">
            <v>0</v>
          </cell>
          <cell r="G54"/>
          <cell r="H54">
            <v>-14.83</v>
          </cell>
        </row>
        <row r="55">
          <cell r="D55">
            <v>256779412586</v>
          </cell>
          <cell r="E55" t="str">
            <v>22/04/2025</v>
          </cell>
          <cell r="F55">
            <v>0</v>
          </cell>
          <cell r="G55"/>
          <cell r="H55">
            <v>-13.25</v>
          </cell>
        </row>
        <row r="56">
          <cell r="D56">
            <v>256779412563</v>
          </cell>
          <cell r="E56" t="str">
            <v>22/04/2025</v>
          </cell>
          <cell r="F56">
            <v>0</v>
          </cell>
          <cell r="G56"/>
          <cell r="H56">
            <v>-6.94</v>
          </cell>
        </row>
        <row r="57">
          <cell r="D57">
            <v>256779412576</v>
          </cell>
          <cell r="E57" t="str">
            <v>22/04/2025</v>
          </cell>
          <cell r="F57">
            <v>0</v>
          </cell>
          <cell r="G57"/>
          <cell r="H57">
            <v>-11.84</v>
          </cell>
        </row>
        <row r="58">
          <cell r="D58">
            <v>256779412577</v>
          </cell>
          <cell r="E58" t="str">
            <v>22/04/2025</v>
          </cell>
          <cell r="F58">
            <v>0</v>
          </cell>
          <cell r="G58"/>
          <cell r="H58">
            <v>-11.84</v>
          </cell>
        </row>
        <row r="59">
          <cell r="D59">
            <v>256779412580</v>
          </cell>
          <cell r="E59" t="str">
            <v>22/04/2025</v>
          </cell>
          <cell r="F59">
            <v>0</v>
          </cell>
          <cell r="G59"/>
          <cell r="H59">
            <v>-10.42</v>
          </cell>
        </row>
        <row r="60">
          <cell r="D60">
            <v>256779412562</v>
          </cell>
          <cell r="E60" t="str">
            <v>22/04/2025</v>
          </cell>
          <cell r="F60">
            <v>0</v>
          </cell>
          <cell r="G60"/>
          <cell r="H60">
            <v>-14.06</v>
          </cell>
        </row>
        <row r="61">
          <cell r="D61">
            <v>256779412564</v>
          </cell>
          <cell r="E61" t="str">
            <v>22/04/2025</v>
          </cell>
          <cell r="F61">
            <v>0</v>
          </cell>
          <cell r="G61"/>
          <cell r="H61">
            <v>-14.2</v>
          </cell>
        </row>
        <row r="62">
          <cell r="D62">
            <v>256779412570</v>
          </cell>
          <cell r="E62" t="str">
            <v>22/04/2025</v>
          </cell>
          <cell r="F62">
            <v>0</v>
          </cell>
          <cell r="G62"/>
          <cell r="H62">
            <v>-11.15</v>
          </cell>
        </row>
        <row r="63">
          <cell r="D63">
            <v>256779412581</v>
          </cell>
          <cell r="E63" t="str">
            <v>22/04/2025</v>
          </cell>
          <cell r="F63">
            <v>0</v>
          </cell>
          <cell r="G63"/>
          <cell r="H63">
            <v>-13.25</v>
          </cell>
        </row>
        <row r="64">
          <cell r="D64">
            <v>256779412585</v>
          </cell>
          <cell r="E64" t="str">
            <v>22/04/2025</v>
          </cell>
          <cell r="F64">
            <v>0</v>
          </cell>
          <cell r="G64"/>
          <cell r="H64">
            <v>-12.54</v>
          </cell>
        </row>
        <row r="65">
          <cell r="D65">
            <v>256779412583</v>
          </cell>
          <cell r="E65" t="str">
            <v>22/04/2025</v>
          </cell>
          <cell r="F65">
            <v>0</v>
          </cell>
          <cell r="G65"/>
          <cell r="H65">
            <v>-13.59</v>
          </cell>
        </row>
        <row r="66">
          <cell r="D66">
            <v>256779418480</v>
          </cell>
          <cell r="E66" t="str">
            <v>21/10/2025</v>
          </cell>
          <cell r="F66">
            <v>-13.59</v>
          </cell>
          <cell r="G66"/>
          <cell r="H66">
            <v>-1204.8800000000001</v>
          </cell>
        </row>
        <row r="67">
          <cell r="D67">
            <v>256779418480</v>
          </cell>
          <cell r="E67" t="str">
            <v>21/10/2025</v>
          </cell>
          <cell r="F67">
            <v>0.27</v>
          </cell>
          <cell r="G67"/>
          <cell r="H67">
            <v>23.94</v>
          </cell>
        </row>
        <row r="68">
          <cell r="D68">
            <v>256779418474</v>
          </cell>
          <cell r="E68" t="str">
            <v>21/10/2025</v>
          </cell>
          <cell r="F68">
            <v>-562.38</v>
          </cell>
          <cell r="G68"/>
          <cell r="H68">
            <v>-49860.33</v>
          </cell>
        </row>
        <row r="69">
          <cell r="D69">
            <v>256779418474</v>
          </cell>
          <cell r="E69" t="str">
            <v>21/10/2025</v>
          </cell>
          <cell r="F69">
            <v>11.25</v>
          </cell>
          <cell r="G69"/>
          <cell r="H69">
            <v>997.42</v>
          </cell>
        </row>
        <row r="70">
          <cell r="D70">
            <v>256779418474</v>
          </cell>
          <cell r="E70" t="str">
            <v>21/10/2025</v>
          </cell>
          <cell r="F70">
            <v>0</v>
          </cell>
          <cell r="G70"/>
          <cell r="H70">
            <v>-1591.62</v>
          </cell>
        </row>
        <row r="71">
          <cell r="D71">
            <v>256779418474</v>
          </cell>
          <cell r="E71" t="str">
            <v>21/10/2025</v>
          </cell>
          <cell r="F71">
            <v>0</v>
          </cell>
          <cell r="G71"/>
          <cell r="H71">
            <v>-14.27</v>
          </cell>
        </row>
        <row r="72">
          <cell r="D72">
            <v>256779418474</v>
          </cell>
          <cell r="E72" t="str">
            <v>21/10/2025</v>
          </cell>
          <cell r="F72">
            <v>0</v>
          </cell>
          <cell r="G72"/>
          <cell r="H72">
            <v>-31.65</v>
          </cell>
        </row>
        <row r="73">
          <cell r="D73">
            <v>256779413393</v>
          </cell>
          <cell r="E73" t="str">
            <v>21/05/2025</v>
          </cell>
          <cell r="F73">
            <v>-229.87</v>
          </cell>
          <cell r="G73"/>
          <cell r="H73">
            <v>-19625.03</v>
          </cell>
        </row>
        <row r="74">
          <cell r="D74">
            <v>256779413394</v>
          </cell>
          <cell r="E74" t="str">
            <v>21/05/2025</v>
          </cell>
          <cell r="F74">
            <v>-218.17</v>
          </cell>
          <cell r="G74"/>
          <cell r="H74">
            <v>-18626.150000000001</v>
          </cell>
        </row>
        <row r="75">
          <cell r="D75">
            <v>256779413403</v>
          </cell>
          <cell r="E75" t="str">
            <v>21/05/2025</v>
          </cell>
          <cell r="F75">
            <v>-402.88</v>
          </cell>
          <cell r="G75"/>
          <cell r="H75">
            <v>-34395.67</v>
          </cell>
        </row>
        <row r="76">
          <cell r="D76">
            <v>256779413397</v>
          </cell>
          <cell r="E76" t="str">
            <v>21/05/2025</v>
          </cell>
          <cell r="F76">
            <v>-229.87</v>
          </cell>
          <cell r="G76"/>
          <cell r="H76">
            <v>-19625.03</v>
          </cell>
        </row>
        <row r="77">
          <cell r="D77">
            <v>256779413398</v>
          </cell>
          <cell r="E77" t="str">
            <v>21/05/2025</v>
          </cell>
          <cell r="F77">
            <v>-218.17</v>
          </cell>
          <cell r="G77"/>
          <cell r="H77">
            <v>-18626.150000000001</v>
          </cell>
        </row>
        <row r="78">
          <cell r="D78">
            <v>256779413400</v>
          </cell>
          <cell r="E78" t="str">
            <v>21/05/2025</v>
          </cell>
          <cell r="F78">
            <v>-218.17</v>
          </cell>
          <cell r="G78"/>
          <cell r="H78">
            <v>-18626.150000000001</v>
          </cell>
        </row>
        <row r="79">
          <cell r="D79">
            <v>256779413402</v>
          </cell>
          <cell r="E79" t="str">
            <v>21/05/2025</v>
          </cell>
          <cell r="F79">
            <v>-229.87</v>
          </cell>
          <cell r="G79"/>
          <cell r="H79">
            <v>-19625.03</v>
          </cell>
        </row>
        <row r="80">
          <cell r="D80">
            <v>256779413396</v>
          </cell>
          <cell r="E80" t="str">
            <v>21/05/2025</v>
          </cell>
          <cell r="F80">
            <v>-218.17</v>
          </cell>
          <cell r="G80"/>
          <cell r="H80">
            <v>-18626.150000000001</v>
          </cell>
        </row>
        <row r="81">
          <cell r="D81">
            <v>256779413401</v>
          </cell>
          <cell r="E81" t="str">
            <v>21/05/2025</v>
          </cell>
          <cell r="F81">
            <v>-229.87</v>
          </cell>
          <cell r="G81"/>
          <cell r="H81">
            <v>-19625.03</v>
          </cell>
        </row>
        <row r="82">
          <cell r="D82">
            <v>256779413396</v>
          </cell>
          <cell r="E82" t="str">
            <v>21/05/2025</v>
          </cell>
          <cell r="F82">
            <v>4.3600000000000003</v>
          </cell>
          <cell r="G82"/>
          <cell r="H82">
            <v>372.23</v>
          </cell>
        </row>
        <row r="83">
          <cell r="D83">
            <v>256779413401</v>
          </cell>
          <cell r="E83" t="str">
            <v>21/05/2025</v>
          </cell>
          <cell r="F83">
            <v>4.5999999999999996</v>
          </cell>
          <cell r="G83"/>
          <cell r="H83">
            <v>392.72</v>
          </cell>
        </row>
        <row r="84">
          <cell r="D84">
            <v>256779413395</v>
          </cell>
          <cell r="E84" t="str">
            <v>21/05/2025</v>
          </cell>
          <cell r="F84">
            <v>-264.98</v>
          </cell>
          <cell r="G84"/>
          <cell r="H84">
            <v>-22622.53</v>
          </cell>
        </row>
        <row r="85">
          <cell r="D85">
            <v>256779413395</v>
          </cell>
          <cell r="E85" t="str">
            <v>21/05/2025</v>
          </cell>
          <cell r="F85">
            <v>5.3</v>
          </cell>
          <cell r="G85"/>
          <cell r="H85">
            <v>452.48</v>
          </cell>
        </row>
        <row r="86">
          <cell r="D86">
            <v>256779413399</v>
          </cell>
          <cell r="E86" t="str">
            <v>21/05/2025</v>
          </cell>
          <cell r="F86">
            <v>-229.87</v>
          </cell>
          <cell r="G86"/>
          <cell r="H86">
            <v>-19625.03</v>
          </cell>
        </row>
        <row r="87">
          <cell r="D87">
            <v>256779413399</v>
          </cell>
          <cell r="E87" t="str">
            <v>21/05/2025</v>
          </cell>
          <cell r="F87">
            <v>4.5999999999999996</v>
          </cell>
          <cell r="G87"/>
          <cell r="H87">
            <v>392.72</v>
          </cell>
        </row>
        <row r="88">
          <cell r="D88">
            <v>256779413391</v>
          </cell>
          <cell r="E88" t="str">
            <v>21/05/2025</v>
          </cell>
          <cell r="F88">
            <v>-253.29</v>
          </cell>
          <cell r="G88"/>
          <cell r="H88">
            <v>-21624.5</v>
          </cell>
        </row>
        <row r="89">
          <cell r="D89">
            <v>256779413392</v>
          </cell>
          <cell r="E89" t="str">
            <v>21/05/2025</v>
          </cell>
          <cell r="F89">
            <v>-218.17</v>
          </cell>
          <cell r="G89"/>
          <cell r="H89">
            <v>-18626.150000000001</v>
          </cell>
        </row>
        <row r="90">
          <cell r="D90">
            <v>256779413391</v>
          </cell>
          <cell r="E90" t="str">
            <v>21/05/2025</v>
          </cell>
          <cell r="F90">
            <v>5.07</v>
          </cell>
          <cell r="G90"/>
          <cell r="H90">
            <v>432.85</v>
          </cell>
        </row>
        <row r="91">
          <cell r="D91">
            <v>256779413392</v>
          </cell>
          <cell r="E91" t="str">
            <v>21/05/2025</v>
          </cell>
          <cell r="F91">
            <v>4.3600000000000003</v>
          </cell>
          <cell r="G91"/>
          <cell r="H91">
            <v>372.23</v>
          </cell>
        </row>
        <row r="92">
          <cell r="D92">
            <v>256779413391</v>
          </cell>
          <cell r="E92" t="str">
            <v>21/05/2025</v>
          </cell>
          <cell r="F92">
            <v>0</v>
          </cell>
          <cell r="G92"/>
          <cell r="H92">
            <v>-815.41</v>
          </cell>
        </row>
        <row r="93">
          <cell r="D93">
            <v>256779413392</v>
          </cell>
          <cell r="E93" t="str">
            <v>21/05/2025</v>
          </cell>
          <cell r="F93">
            <v>0</v>
          </cell>
          <cell r="G93"/>
          <cell r="H93">
            <v>-702.37</v>
          </cell>
        </row>
        <row r="94">
          <cell r="D94">
            <v>256779412184</v>
          </cell>
          <cell r="E94" t="str">
            <v>21/04/2025</v>
          </cell>
          <cell r="F94">
            <v>-93.23</v>
          </cell>
          <cell r="G94"/>
          <cell r="H94">
            <v>-7992.33</v>
          </cell>
        </row>
        <row r="95">
          <cell r="D95">
            <v>256779412185</v>
          </cell>
          <cell r="E95" t="str">
            <v>21/04/2025</v>
          </cell>
          <cell r="F95">
            <v>-51.28</v>
          </cell>
          <cell r="G95"/>
          <cell r="H95">
            <v>-4396.08</v>
          </cell>
        </row>
        <row r="96">
          <cell r="D96">
            <v>256779412189</v>
          </cell>
          <cell r="E96" t="str">
            <v>21/04/2025</v>
          </cell>
          <cell r="F96">
            <v>0</v>
          </cell>
          <cell r="G96"/>
          <cell r="H96">
            <v>-262.20999999999998</v>
          </cell>
        </row>
        <row r="97">
          <cell r="D97">
            <v>256779412155</v>
          </cell>
          <cell r="E97" t="str">
            <v>21/04/2025</v>
          </cell>
          <cell r="F97">
            <v>-2330.73</v>
          </cell>
          <cell r="G97"/>
          <cell r="H97">
            <v>-199806.42</v>
          </cell>
        </row>
        <row r="98">
          <cell r="D98">
            <v>256779412189</v>
          </cell>
          <cell r="E98" t="str">
            <v>21/04/2025</v>
          </cell>
          <cell r="F98">
            <v>0</v>
          </cell>
          <cell r="G98"/>
          <cell r="H98">
            <v>6</v>
          </cell>
        </row>
        <row r="99">
          <cell r="D99">
            <v>256779412185</v>
          </cell>
          <cell r="E99" t="str">
            <v>21/04/2025</v>
          </cell>
          <cell r="F99">
            <v>1.03</v>
          </cell>
          <cell r="G99"/>
          <cell r="H99">
            <v>88.3</v>
          </cell>
        </row>
        <row r="100">
          <cell r="D100">
            <v>256779412184</v>
          </cell>
          <cell r="E100" t="str">
            <v>21/04/2025</v>
          </cell>
          <cell r="F100">
            <v>1.86</v>
          </cell>
          <cell r="G100"/>
          <cell r="H100">
            <v>159.44999999999999</v>
          </cell>
        </row>
        <row r="101">
          <cell r="D101">
            <v>256779412155</v>
          </cell>
          <cell r="E101" t="str">
            <v>21/04/2025</v>
          </cell>
          <cell r="F101">
            <v>46.61</v>
          </cell>
          <cell r="G101"/>
          <cell r="H101">
            <v>3995.73</v>
          </cell>
        </row>
        <row r="102">
          <cell r="D102">
            <v>256779412184</v>
          </cell>
          <cell r="E102" t="str">
            <v>21/04/2025</v>
          </cell>
          <cell r="F102">
            <v>0</v>
          </cell>
          <cell r="G102"/>
          <cell r="H102">
            <v>-23.98</v>
          </cell>
        </row>
        <row r="103">
          <cell r="D103">
            <v>256779412185</v>
          </cell>
          <cell r="E103" t="str">
            <v>21/04/2025</v>
          </cell>
          <cell r="F103">
            <v>0</v>
          </cell>
          <cell r="G103"/>
          <cell r="H103">
            <v>-13.19</v>
          </cell>
        </row>
        <row r="104">
          <cell r="D104">
            <v>256779412155</v>
          </cell>
          <cell r="E104" t="str">
            <v>21/04/2025</v>
          </cell>
          <cell r="F104">
            <v>0</v>
          </cell>
          <cell r="G104"/>
          <cell r="H104">
            <v>-599.66999999999996</v>
          </cell>
        </row>
        <row r="105">
          <cell r="D105">
            <v>256779419542</v>
          </cell>
          <cell r="E105" t="str">
            <v>20/11/2025</v>
          </cell>
          <cell r="F105">
            <v>-409.4</v>
          </cell>
          <cell r="G105"/>
          <cell r="H105">
            <v>-36130.6</v>
          </cell>
        </row>
        <row r="106">
          <cell r="D106">
            <v>256779419542</v>
          </cell>
          <cell r="E106" t="str">
            <v>20/11/2025</v>
          </cell>
          <cell r="F106">
            <v>8.19</v>
          </cell>
          <cell r="G106"/>
          <cell r="H106">
            <v>722.79</v>
          </cell>
        </row>
        <row r="107">
          <cell r="D107">
            <v>256779419531</v>
          </cell>
          <cell r="E107" t="str">
            <v>20/11/2025</v>
          </cell>
          <cell r="F107">
            <v>-417.77</v>
          </cell>
          <cell r="G107"/>
          <cell r="H107">
            <v>-36869.279999999999</v>
          </cell>
        </row>
        <row r="108">
          <cell r="D108">
            <v>256779419620</v>
          </cell>
          <cell r="E108" t="str">
            <v>20/11/2025</v>
          </cell>
          <cell r="F108">
            <v>-102.39</v>
          </cell>
          <cell r="G108"/>
          <cell r="H108">
            <v>-9036.18</v>
          </cell>
        </row>
        <row r="109">
          <cell r="D109">
            <v>256779419620</v>
          </cell>
          <cell r="E109" t="str">
            <v>20/11/2025</v>
          </cell>
          <cell r="F109">
            <v>2.0499999999999998</v>
          </cell>
          <cell r="G109"/>
          <cell r="H109">
            <v>180.92</v>
          </cell>
        </row>
        <row r="110">
          <cell r="D110">
            <v>256779419531</v>
          </cell>
          <cell r="E110" t="str">
            <v>20/11/2025</v>
          </cell>
          <cell r="F110">
            <v>8.36</v>
          </cell>
          <cell r="G110"/>
          <cell r="H110">
            <v>737.79</v>
          </cell>
        </row>
        <row r="111">
          <cell r="D111">
            <v>256779418653</v>
          </cell>
          <cell r="E111" t="str">
            <v>20/10/2025</v>
          </cell>
          <cell r="F111">
            <v>-170.68</v>
          </cell>
          <cell r="G111"/>
          <cell r="H111">
            <v>-15132.4</v>
          </cell>
        </row>
        <row r="112">
          <cell r="D112">
            <v>256779418653</v>
          </cell>
          <cell r="E112" t="str">
            <v>20/10/2025</v>
          </cell>
          <cell r="F112">
            <v>3.41</v>
          </cell>
          <cell r="G112"/>
          <cell r="H112">
            <v>302.33</v>
          </cell>
        </row>
        <row r="113">
          <cell r="D113">
            <v>256779418653</v>
          </cell>
          <cell r="E113" t="str">
            <v>20/10/2025</v>
          </cell>
          <cell r="F113">
            <v>0</v>
          </cell>
          <cell r="G113"/>
          <cell r="H113">
            <v>-166.44</v>
          </cell>
        </row>
        <row r="114">
          <cell r="D114">
            <v>256779418653</v>
          </cell>
          <cell r="E114" t="str">
            <v>20/10/2025</v>
          </cell>
          <cell r="F114">
            <v>0</v>
          </cell>
          <cell r="G114"/>
          <cell r="H114">
            <v>-330.56</v>
          </cell>
        </row>
        <row r="115">
          <cell r="D115">
            <v>256779416869</v>
          </cell>
          <cell r="E115" t="str">
            <v>20/08/2025</v>
          </cell>
          <cell r="F115">
            <v>-115.98</v>
          </cell>
          <cell r="G115"/>
          <cell r="H115">
            <v>-10047.450000000001</v>
          </cell>
        </row>
        <row r="116">
          <cell r="D116">
            <v>256779416838</v>
          </cell>
          <cell r="E116" t="str">
            <v>20/08/2025</v>
          </cell>
          <cell r="F116">
            <v>-685.03</v>
          </cell>
          <cell r="G116"/>
          <cell r="H116">
            <v>-59344.77</v>
          </cell>
        </row>
        <row r="117">
          <cell r="D117">
            <v>256779416838</v>
          </cell>
          <cell r="E117" t="str">
            <v>20/08/2025</v>
          </cell>
          <cell r="F117">
            <v>13.7</v>
          </cell>
          <cell r="G117"/>
          <cell r="H117">
            <v>1186.8399999999999</v>
          </cell>
        </row>
        <row r="118">
          <cell r="D118">
            <v>256779416869</v>
          </cell>
          <cell r="E118" t="str">
            <v>20/08/2025</v>
          </cell>
          <cell r="F118">
            <v>2.3199999999999998</v>
          </cell>
          <cell r="G118"/>
          <cell r="H118">
            <v>200.98</v>
          </cell>
        </row>
        <row r="119">
          <cell r="D119">
            <v>256779416869</v>
          </cell>
          <cell r="E119" t="str">
            <v>20/08/2025</v>
          </cell>
          <cell r="F119">
            <v>0</v>
          </cell>
          <cell r="G119"/>
          <cell r="H119">
            <v>-568.28</v>
          </cell>
        </row>
        <row r="120">
          <cell r="D120">
            <v>256779416838</v>
          </cell>
          <cell r="E120" t="str">
            <v>20/08/2025</v>
          </cell>
          <cell r="F120">
            <v>0</v>
          </cell>
          <cell r="G120"/>
          <cell r="H120">
            <v>-3356.53</v>
          </cell>
        </row>
        <row r="121">
          <cell r="D121">
            <v>246779414663</v>
          </cell>
          <cell r="E121" t="str">
            <v>20/03/2025</v>
          </cell>
          <cell r="F121">
            <v>-45</v>
          </cell>
          <cell r="G121"/>
          <cell r="H121">
            <v>-3916.91</v>
          </cell>
        </row>
        <row r="122">
          <cell r="D122">
            <v>246779414662</v>
          </cell>
          <cell r="E122" t="str">
            <v>20/03/2025</v>
          </cell>
          <cell r="F122">
            <v>-275</v>
          </cell>
          <cell r="G122"/>
          <cell r="H122">
            <v>-23936.66</v>
          </cell>
        </row>
        <row r="123">
          <cell r="D123">
            <v>246779414385</v>
          </cell>
          <cell r="E123" t="str">
            <v>20/03/2025</v>
          </cell>
          <cell r="F123">
            <v>-240</v>
          </cell>
          <cell r="G123"/>
          <cell r="H123">
            <v>-20890.18</v>
          </cell>
        </row>
        <row r="124">
          <cell r="D124">
            <v>246779414663</v>
          </cell>
          <cell r="E124" t="str">
            <v>20/03/2025</v>
          </cell>
          <cell r="F124">
            <v>0.9</v>
          </cell>
          <cell r="G124"/>
          <cell r="H124">
            <v>78.34</v>
          </cell>
        </row>
        <row r="125">
          <cell r="D125">
            <v>246779414662</v>
          </cell>
          <cell r="E125" t="str">
            <v>20/03/2025</v>
          </cell>
          <cell r="F125">
            <v>5.5</v>
          </cell>
          <cell r="G125"/>
          <cell r="H125">
            <v>478.73</v>
          </cell>
        </row>
        <row r="126">
          <cell r="D126">
            <v>246779414385</v>
          </cell>
          <cell r="E126" t="str">
            <v>20/03/2025</v>
          </cell>
          <cell r="F126">
            <v>4.8</v>
          </cell>
          <cell r="G126"/>
          <cell r="H126">
            <v>417.8</v>
          </cell>
        </row>
        <row r="127">
          <cell r="D127">
            <v>246779413730</v>
          </cell>
          <cell r="E127" t="str">
            <v>20/03/2025</v>
          </cell>
          <cell r="F127">
            <v>-3.2</v>
          </cell>
          <cell r="G127"/>
          <cell r="H127">
            <v>-278.54000000000002</v>
          </cell>
        </row>
        <row r="128">
          <cell r="D128">
            <v>246779413730</v>
          </cell>
          <cell r="E128" t="str">
            <v>20/03/2025</v>
          </cell>
          <cell r="F128">
            <v>0.06</v>
          </cell>
          <cell r="G128"/>
          <cell r="H128">
            <v>5.22</v>
          </cell>
        </row>
        <row r="129">
          <cell r="D129">
            <v>246779413936</v>
          </cell>
          <cell r="E129" t="str">
            <v>20/03/2025</v>
          </cell>
          <cell r="F129">
            <v>-27.5</v>
          </cell>
          <cell r="G129"/>
          <cell r="H129">
            <v>-2393.67</v>
          </cell>
        </row>
        <row r="130">
          <cell r="D130">
            <v>246779413889</v>
          </cell>
          <cell r="E130" t="str">
            <v>20/03/2025</v>
          </cell>
          <cell r="F130">
            <v>-42.5</v>
          </cell>
          <cell r="G130"/>
          <cell r="H130">
            <v>-3699.3</v>
          </cell>
        </row>
        <row r="131">
          <cell r="D131">
            <v>246779413920</v>
          </cell>
          <cell r="E131" t="str">
            <v>20/03/2025</v>
          </cell>
          <cell r="F131">
            <v>-22.5</v>
          </cell>
          <cell r="G131"/>
          <cell r="H131">
            <v>-1958.45</v>
          </cell>
        </row>
        <row r="132">
          <cell r="D132">
            <v>246779413941</v>
          </cell>
          <cell r="E132" t="str">
            <v>20/03/2025</v>
          </cell>
          <cell r="F132">
            <v>-30</v>
          </cell>
          <cell r="G132"/>
          <cell r="H132">
            <v>-2611.27</v>
          </cell>
        </row>
        <row r="133">
          <cell r="D133">
            <v>246779413815</v>
          </cell>
          <cell r="E133" t="str">
            <v>20/03/2025</v>
          </cell>
          <cell r="F133">
            <v>-50</v>
          </cell>
          <cell r="G133"/>
          <cell r="H133">
            <v>-4352.12</v>
          </cell>
        </row>
        <row r="134">
          <cell r="D134">
            <v>246779414384</v>
          </cell>
          <cell r="E134" t="str">
            <v>20/03/2025</v>
          </cell>
          <cell r="F134">
            <v>-182.5</v>
          </cell>
          <cell r="G134"/>
          <cell r="H134">
            <v>-15885.24</v>
          </cell>
        </row>
        <row r="135">
          <cell r="D135">
            <v>246779413815</v>
          </cell>
          <cell r="E135" t="str">
            <v>20/03/2025</v>
          </cell>
          <cell r="F135">
            <v>1</v>
          </cell>
          <cell r="G135"/>
          <cell r="H135">
            <v>87.04</v>
          </cell>
        </row>
        <row r="136">
          <cell r="D136">
            <v>246779413936</v>
          </cell>
          <cell r="E136" t="str">
            <v>20/03/2025</v>
          </cell>
          <cell r="F136">
            <v>0.55000000000000004</v>
          </cell>
          <cell r="G136"/>
          <cell r="H136">
            <v>47.87</v>
          </cell>
        </row>
        <row r="137">
          <cell r="D137">
            <v>246779414384</v>
          </cell>
          <cell r="E137" t="str">
            <v>20/03/2025</v>
          </cell>
          <cell r="F137">
            <v>3.65</v>
          </cell>
          <cell r="G137"/>
          <cell r="H137">
            <v>317.7</v>
          </cell>
        </row>
        <row r="138">
          <cell r="D138">
            <v>246779413889</v>
          </cell>
          <cell r="E138" t="str">
            <v>20/03/2025</v>
          </cell>
          <cell r="F138">
            <v>0.85</v>
          </cell>
          <cell r="G138"/>
          <cell r="H138">
            <v>73.989999999999995</v>
          </cell>
        </row>
        <row r="139">
          <cell r="D139">
            <v>246779413920</v>
          </cell>
          <cell r="E139" t="str">
            <v>20/03/2025</v>
          </cell>
          <cell r="F139">
            <v>0.45</v>
          </cell>
          <cell r="G139"/>
          <cell r="H139">
            <v>39.17</v>
          </cell>
        </row>
        <row r="140">
          <cell r="D140">
            <v>246779413941</v>
          </cell>
          <cell r="E140" t="str">
            <v>20/03/2025</v>
          </cell>
          <cell r="F140">
            <v>0.6</v>
          </cell>
          <cell r="G140"/>
          <cell r="H140">
            <v>52.23</v>
          </cell>
        </row>
        <row r="141">
          <cell r="D141">
            <v>246779413936</v>
          </cell>
          <cell r="E141" t="str">
            <v>20/03/2025</v>
          </cell>
          <cell r="F141">
            <v>0</v>
          </cell>
          <cell r="G141"/>
          <cell r="H141">
            <v>28.38</v>
          </cell>
        </row>
        <row r="142">
          <cell r="D142">
            <v>246779413889</v>
          </cell>
          <cell r="E142" t="str">
            <v>20/03/2025</v>
          </cell>
          <cell r="F142">
            <v>0</v>
          </cell>
          <cell r="G142"/>
          <cell r="H142">
            <v>43.85</v>
          </cell>
        </row>
        <row r="143">
          <cell r="D143">
            <v>246779413920</v>
          </cell>
          <cell r="E143" t="str">
            <v>20/03/2025</v>
          </cell>
          <cell r="F143">
            <v>0</v>
          </cell>
          <cell r="G143"/>
          <cell r="H143">
            <v>23.21</v>
          </cell>
        </row>
        <row r="144">
          <cell r="D144">
            <v>246779413941</v>
          </cell>
          <cell r="E144" t="str">
            <v>20/03/2025</v>
          </cell>
          <cell r="F144">
            <v>0</v>
          </cell>
          <cell r="G144"/>
          <cell r="H144">
            <v>30.95</v>
          </cell>
        </row>
        <row r="145">
          <cell r="D145">
            <v>246779413815</v>
          </cell>
          <cell r="E145" t="str">
            <v>20/03/2025</v>
          </cell>
          <cell r="F145">
            <v>0</v>
          </cell>
          <cell r="G145"/>
          <cell r="H145">
            <v>51.59</v>
          </cell>
        </row>
        <row r="146">
          <cell r="D146">
            <v>246779414384</v>
          </cell>
          <cell r="E146" t="str">
            <v>20/03/2025</v>
          </cell>
          <cell r="F146">
            <v>0</v>
          </cell>
          <cell r="G146"/>
          <cell r="H146">
            <v>188.32</v>
          </cell>
        </row>
        <row r="147">
          <cell r="D147">
            <v>246779413747</v>
          </cell>
          <cell r="E147" t="str">
            <v>20/03/2025</v>
          </cell>
          <cell r="F147">
            <v>-2.74</v>
          </cell>
          <cell r="G147"/>
          <cell r="H147">
            <v>-238.5</v>
          </cell>
        </row>
        <row r="148">
          <cell r="D148">
            <v>246779413747</v>
          </cell>
          <cell r="E148" t="str">
            <v>20/03/2025</v>
          </cell>
          <cell r="F148">
            <v>0.05</v>
          </cell>
          <cell r="G148"/>
          <cell r="H148">
            <v>4.3499999999999996</v>
          </cell>
        </row>
        <row r="149">
          <cell r="D149">
            <v>246779413747</v>
          </cell>
          <cell r="E149" t="str">
            <v>20/03/2025</v>
          </cell>
          <cell r="F149">
            <v>0</v>
          </cell>
          <cell r="G149"/>
          <cell r="H149">
            <v>-4.34</v>
          </cell>
        </row>
        <row r="150">
          <cell r="D150">
            <v>246779410315</v>
          </cell>
          <cell r="E150" t="str">
            <v>20/02/2025</v>
          </cell>
          <cell r="F150">
            <v>-2380.9499999999998</v>
          </cell>
          <cell r="G150"/>
          <cell r="H150">
            <v>-207243.64</v>
          </cell>
        </row>
        <row r="151">
          <cell r="D151">
            <v>246779410098</v>
          </cell>
          <cell r="E151" t="str">
            <v>20/02/2025</v>
          </cell>
          <cell r="F151">
            <v>-2380.9499999999998</v>
          </cell>
          <cell r="G151"/>
          <cell r="H151">
            <v>-206046.42</v>
          </cell>
        </row>
        <row r="152">
          <cell r="D152">
            <v>246779410132</v>
          </cell>
          <cell r="E152" t="str">
            <v>20/02/2025</v>
          </cell>
          <cell r="F152">
            <v>-52.38</v>
          </cell>
          <cell r="G152"/>
          <cell r="H152">
            <v>-4532.9399999999996</v>
          </cell>
        </row>
        <row r="153">
          <cell r="D153">
            <v>246779410131</v>
          </cell>
          <cell r="E153" t="str">
            <v>20/02/2025</v>
          </cell>
          <cell r="F153">
            <v>-95.24</v>
          </cell>
          <cell r="G153"/>
          <cell r="H153">
            <v>-8242.0300000000007</v>
          </cell>
        </row>
        <row r="154">
          <cell r="D154">
            <v>246779410312</v>
          </cell>
          <cell r="E154" t="str">
            <v>20/02/2025</v>
          </cell>
          <cell r="F154">
            <v>-52.38</v>
          </cell>
          <cell r="G154"/>
          <cell r="H154">
            <v>-4559.28</v>
          </cell>
        </row>
        <row r="155">
          <cell r="D155">
            <v>246779410132</v>
          </cell>
          <cell r="E155" t="str">
            <v>20/02/2025</v>
          </cell>
          <cell r="F155">
            <v>1.05</v>
          </cell>
          <cell r="G155"/>
          <cell r="H155">
            <v>90.87</v>
          </cell>
        </row>
        <row r="156">
          <cell r="D156">
            <v>246779410098</v>
          </cell>
          <cell r="E156" t="str">
            <v>20/02/2025</v>
          </cell>
          <cell r="F156">
            <v>47.62</v>
          </cell>
          <cell r="G156"/>
          <cell r="H156">
            <v>4121.01</v>
          </cell>
        </row>
        <row r="157">
          <cell r="D157">
            <v>246779410131</v>
          </cell>
          <cell r="E157" t="str">
            <v>20/02/2025</v>
          </cell>
          <cell r="F157">
            <v>1.9</v>
          </cell>
          <cell r="G157"/>
          <cell r="H157">
            <v>164.43</v>
          </cell>
        </row>
        <row r="158">
          <cell r="D158">
            <v>246779410315</v>
          </cell>
          <cell r="E158" t="str">
            <v>20/02/2025</v>
          </cell>
          <cell r="F158">
            <v>47.62</v>
          </cell>
          <cell r="G158"/>
          <cell r="H158">
            <v>4144.96</v>
          </cell>
        </row>
        <row r="159">
          <cell r="D159">
            <v>246779410312</v>
          </cell>
          <cell r="E159" t="str">
            <v>20/02/2025</v>
          </cell>
          <cell r="F159">
            <v>1.05</v>
          </cell>
          <cell r="G159"/>
          <cell r="H159">
            <v>91.39</v>
          </cell>
        </row>
        <row r="160">
          <cell r="D160">
            <v>246779410175</v>
          </cell>
          <cell r="E160" t="str">
            <v>20/02/2025</v>
          </cell>
          <cell r="F160">
            <v>-52.38</v>
          </cell>
          <cell r="G160"/>
          <cell r="H160">
            <v>-4532.9399999999996</v>
          </cell>
        </row>
        <row r="161">
          <cell r="D161">
            <v>246779410141</v>
          </cell>
          <cell r="E161" t="str">
            <v>20/02/2025</v>
          </cell>
          <cell r="F161">
            <v>-2380.9499999999998</v>
          </cell>
          <cell r="G161"/>
          <cell r="H161">
            <v>-206046.42</v>
          </cell>
        </row>
        <row r="162">
          <cell r="D162">
            <v>246779410217</v>
          </cell>
          <cell r="E162" t="str">
            <v>20/02/2025</v>
          </cell>
          <cell r="F162">
            <v>-93.33</v>
          </cell>
          <cell r="G162"/>
          <cell r="H162">
            <v>-8076.74</v>
          </cell>
        </row>
        <row r="163">
          <cell r="D163">
            <v>246779410218</v>
          </cell>
          <cell r="E163" t="str">
            <v>20/02/2025</v>
          </cell>
          <cell r="F163">
            <v>-51.33</v>
          </cell>
          <cell r="G163"/>
          <cell r="H163">
            <v>-4442.08</v>
          </cell>
        </row>
        <row r="164">
          <cell r="D164">
            <v>246779410174</v>
          </cell>
          <cell r="E164" t="str">
            <v>20/02/2025</v>
          </cell>
          <cell r="F164">
            <v>-95.24</v>
          </cell>
          <cell r="G164"/>
          <cell r="H164">
            <v>-8242.0300000000007</v>
          </cell>
        </row>
        <row r="165">
          <cell r="D165">
            <v>246779410184</v>
          </cell>
          <cell r="E165" t="str">
            <v>20/02/2025</v>
          </cell>
          <cell r="F165">
            <v>-2333.1799999999998</v>
          </cell>
          <cell r="G165"/>
          <cell r="H165">
            <v>-201912.42</v>
          </cell>
        </row>
        <row r="166">
          <cell r="D166">
            <v>246779410218</v>
          </cell>
          <cell r="E166" t="str">
            <v>20/02/2025</v>
          </cell>
          <cell r="F166">
            <v>1.03</v>
          </cell>
          <cell r="G166"/>
          <cell r="H166">
            <v>89.14</v>
          </cell>
        </row>
        <row r="167">
          <cell r="D167">
            <v>246779410175</v>
          </cell>
          <cell r="E167" t="str">
            <v>20/02/2025</v>
          </cell>
          <cell r="F167">
            <v>1.05</v>
          </cell>
          <cell r="G167"/>
          <cell r="H167">
            <v>90.87</v>
          </cell>
        </row>
        <row r="168">
          <cell r="D168">
            <v>246779410141</v>
          </cell>
          <cell r="E168" t="str">
            <v>20/02/2025</v>
          </cell>
          <cell r="F168">
            <v>47.62</v>
          </cell>
          <cell r="G168"/>
          <cell r="H168">
            <v>4121.01</v>
          </cell>
        </row>
        <row r="169">
          <cell r="D169">
            <v>246779410184</v>
          </cell>
          <cell r="E169" t="str">
            <v>20/02/2025</v>
          </cell>
          <cell r="F169">
            <v>46.66</v>
          </cell>
          <cell r="G169"/>
          <cell r="H169">
            <v>4037.94</v>
          </cell>
        </row>
        <row r="170">
          <cell r="D170">
            <v>246779410217</v>
          </cell>
          <cell r="E170" t="str">
            <v>20/02/2025</v>
          </cell>
          <cell r="F170">
            <v>1.87</v>
          </cell>
          <cell r="G170"/>
          <cell r="H170">
            <v>161.83000000000001</v>
          </cell>
        </row>
        <row r="171">
          <cell r="D171">
            <v>246779410174</v>
          </cell>
          <cell r="E171" t="str">
            <v>20/02/2025</v>
          </cell>
          <cell r="F171">
            <v>1.9</v>
          </cell>
          <cell r="G171"/>
          <cell r="H171">
            <v>164.43</v>
          </cell>
        </row>
        <row r="172">
          <cell r="D172">
            <v>246779410227</v>
          </cell>
          <cell r="E172" t="str">
            <v>20/02/2025</v>
          </cell>
          <cell r="F172">
            <v>-2286.2399999999998</v>
          </cell>
          <cell r="G172"/>
          <cell r="H172">
            <v>-197850.25</v>
          </cell>
        </row>
        <row r="173">
          <cell r="D173">
            <v>246779410227</v>
          </cell>
          <cell r="E173" t="str">
            <v>20/02/2025</v>
          </cell>
          <cell r="F173">
            <v>45.72</v>
          </cell>
          <cell r="G173"/>
          <cell r="H173">
            <v>3956.59</v>
          </cell>
        </row>
        <row r="174">
          <cell r="D174">
            <v>246779410260</v>
          </cell>
          <cell r="E174" t="str">
            <v>20/02/2025</v>
          </cell>
          <cell r="F174">
            <v>-91.45</v>
          </cell>
          <cell r="G174"/>
          <cell r="H174">
            <v>-7914.04</v>
          </cell>
        </row>
        <row r="175">
          <cell r="D175">
            <v>246779410080</v>
          </cell>
          <cell r="E175" t="str">
            <v>20/02/2025</v>
          </cell>
          <cell r="F175">
            <v>-95.24</v>
          </cell>
          <cell r="G175"/>
          <cell r="H175">
            <v>-8242.0300000000007</v>
          </cell>
        </row>
        <row r="176">
          <cell r="D176">
            <v>246779410064</v>
          </cell>
          <cell r="E176" t="str">
            <v>20/02/2025</v>
          </cell>
          <cell r="F176">
            <v>-52.38</v>
          </cell>
          <cell r="G176"/>
          <cell r="H176">
            <v>-4532.9399999999996</v>
          </cell>
        </row>
        <row r="177">
          <cell r="D177">
            <v>246779410010</v>
          </cell>
          <cell r="E177" t="str">
            <v>20/02/2025</v>
          </cell>
          <cell r="F177">
            <v>-2380.9499999999998</v>
          </cell>
          <cell r="G177"/>
          <cell r="H177">
            <v>-206046.42</v>
          </cell>
        </row>
        <row r="178">
          <cell r="D178">
            <v>246779410063</v>
          </cell>
          <cell r="E178" t="str">
            <v>20/02/2025</v>
          </cell>
          <cell r="F178">
            <v>-95.24</v>
          </cell>
          <cell r="G178"/>
          <cell r="H178">
            <v>-8242.0300000000007</v>
          </cell>
        </row>
        <row r="179">
          <cell r="D179">
            <v>246779410030</v>
          </cell>
          <cell r="E179" t="str">
            <v>20/02/2025</v>
          </cell>
          <cell r="F179">
            <v>-2380.9499999999998</v>
          </cell>
          <cell r="G179"/>
          <cell r="H179">
            <v>-206046.42</v>
          </cell>
        </row>
        <row r="180">
          <cell r="D180">
            <v>246779410261</v>
          </cell>
          <cell r="E180" t="str">
            <v>20/02/2025</v>
          </cell>
          <cell r="F180">
            <v>-50.3</v>
          </cell>
          <cell r="G180"/>
          <cell r="H180">
            <v>-4352.9399999999996</v>
          </cell>
        </row>
        <row r="181">
          <cell r="D181">
            <v>246779410064</v>
          </cell>
          <cell r="E181" t="str">
            <v>20/02/2025</v>
          </cell>
          <cell r="F181">
            <v>1.05</v>
          </cell>
          <cell r="G181"/>
          <cell r="H181">
            <v>90.87</v>
          </cell>
        </row>
        <row r="182">
          <cell r="D182">
            <v>246779410030</v>
          </cell>
          <cell r="E182" t="str">
            <v>20/02/2025</v>
          </cell>
          <cell r="F182">
            <v>47.62</v>
          </cell>
          <cell r="G182"/>
          <cell r="H182">
            <v>4121.01</v>
          </cell>
        </row>
        <row r="183">
          <cell r="D183">
            <v>246779410063</v>
          </cell>
          <cell r="E183" t="str">
            <v>20/02/2025</v>
          </cell>
          <cell r="F183">
            <v>1.9</v>
          </cell>
          <cell r="G183"/>
          <cell r="H183">
            <v>164.43</v>
          </cell>
        </row>
        <row r="184">
          <cell r="D184">
            <v>246779410260</v>
          </cell>
          <cell r="E184" t="str">
            <v>20/02/2025</v>
          </cell>
          <cell r="F184">
            <v>1.83</v>
          </cell>
          <cell r="G184"/>
          <cell r="H184">
            <v>158.37</v>
          </cell>
        </row>
        <row r="185">
          <cell r="D185">
            <v>246779410010</v>
          </cell>
          <cell r="E185" t="str">
            <v>20/02/2025</v>
          </cell>
          <cell r="F185">
            <v>47.62</v>
          </cell>
          <cell r="G185"/>
          <cell r="H185">
            <v>4121.01</v>
          </cell>
        </row>
        <row r="186">
          <cell r="D186">
            <v>246779410080</v>
          </cell>
          <cell r="E186" t="str">
            <v>20/02/2025</v>
          </cell>
          <cell r="F186">
            <v>1.9</v>
          </cell>
          <cell r="G186"/>
          <cell r="H186">
            <v>164.43</v>
          </cell>
        </row>
        <row r="187">
          <cell r="D187">
            <v>246779410261</v>
          </cell>
          <cell r="E187" t="str">
            <v>20/02/2025</v>
          </cell>
          <cell r="F187">
            <v>1.01</v>
          </cell>
          <cell r="G187"/>
          <cell r="H187">
            <v>87.4</v>
          </cell>
        </row>
        <row r="188">
          <cell r="D188">
            <v>246779410227</v>
          </cell>
          <cell r="E188" t="str">
            <v>20/02/2025</v>
          </cell>
          <cell r="F188">
            <v>0</v>
          </cell>
          <cell r="G188"/>
          <cell r="H188">
            <v>1232.44</v>
          </cell>
        </row>
        <row r="189">
          <cell r="D189">
            <v>246779410260</v>
          </cell>
          <cell r="E189" t="str">
            <v>20/02/2025</v>
          </cell>
          <cell r="F189">
            <v>0</v>
          </cell>
          <cell r="G189"/>
          <cell r="H189">
            <v>49.29</v>
          </cell>
        </row>
        <row r="190">
          <cell r="D190">
            <v>246779410080</v>
          </cell>
          <cell r="E190" t="str">
            <v>20/02/2025</v>
          </cell>
          <cell r="F190">
            <v>0</v>
          </cell>
          <cell r="G190"/>
          <cell r="H190">
            <v>51.34</v>
          </cell>
        </row>
        <row r="191">
          <cell r="D191">
            <v>246779410064</v>
          </cell>
          <cell r="E191" t="str">
            <v>20/02/2025</v>
          </cell>
          <cell r="F191">
            <v>0</v>
          </cell>
          <cell r="G191"/>
          <cell r="H191">
            <v>28.23</v>
          </cell>
        </row>
        <row r="192">
          <cell r="D192">
            <v>246779410010</v>
          </cell>
          <cell r="E192" t="str">
            <v>20/02/2025</v>
          </cell>
          <cell r="F192">
            <v>0</v>
          </cell>
          <cell r="G192"/>
          <cell r="H192">
            <v>1283.51</v>
          </cell>
        </row>
        <row r="193">
          <cell r="D193">
            <v>246779410063</v>
          </cell>
          <cell r="E193" t="str">
            <v>20/02/2025</v>
          </cell>
          <cell r="F193">
            <v>0</v>
          </cell>
          <cell r="G193"/>
          <cell r="H193">
            <v>51.34</v>
          </cell>
        </row>
        <row r="194">
          <cell r="D194">
            <v>246779410030</v>
          </cell>
          <cell r="E194" t="str">
            <v>20/02/2025</v>
          </cell>
          <cell r="F194">
            <v>0</v>
          </cell>
          <cell r="G194"/>
          <cell r="H194">
            <v>1283.51</v>
          </cell>
        </row>
        <row r="195">
          <cell r="D195">
            <v>246779410261</v>
          </cell>
          <cell r="E195" t="str">
            <v>20/02/2025</v>
          </cell>
          <cell r="F195">
            <v>0</v>
          </cell>
          <cell r="G195"/>
          <cell r="H195">
            <v>27.12</v>
          </cell>
        </row>
        <row r="196">
          <cell r="D196">
            <v>246779410311</v>
          </cell>
          <cell r="E196" t="str">
            <v>20/02/2025</v>
          </cell>
          <cell r="F196">
            <v>-95.24</v>
          </cell>
          <cell r="G196"/>
          <cell r="H196">
            <v>-8242.0300000000007</v>
          </cell>
        </row>
        <row r="197">
          <cell r="D197">
            <v>246779410311</v>
          </cell>
          <cell r="E197" t="str">
            <v>20/02/2025</v>
          </cell>
          <cell r="F197">
            <v>1.9</v>
          </cell>
          <cell r="G197"/>
          <cell r="H197">
            <v>164.43</v>
          </cell>
        </row>
        <row r="198">
          <cell r="D198">
            <v>246779410311</v>
          </cell>
          <cell r="E198" t="str">
            <v>20/02/2025</v>
          </cell>
          <cell r="F198">
            <v>0</v>
          </cell>
          <cell r="G198"/>
          <cell r="H198">
            <v>-197.88</v>
          </cell>
        </row>
        <row r="199">
          <cell r="D199">
            <v>256779415769</v>
          </cell>
          <cell r="E199" t="str">
            <v>19/07/2025</v>
          </cell>
          <cell r="F199">
            <v>-234.91</v>
          </cell>
          <cell r="G199"/>
          <cell r="H199">
            <v>-20199.8</v>
          </cell>
        </row>
        <row r="200">
          <cell r="D200">
            <v>256779415769</v>
          </cell>
          <cell r="E200" t="str">
            <v>19/07/2025</v>
          </cell>
          <cell r="F200">
            <v>4.7</v>
          </cell>
          <cell r="G200"/>
          <cell r="H200">
            <v>404.15</v>
          </cell>
        </row>
        <row r="201">
          <cell r="D201">
            <v>256779414741</v>
          </cell>
          <cell r="E201" t="str">
            <v>19/06/2025</v>
          </cell>
          <cell r="F201">
            <v>-579.79</v>
          </cell>
          <cell r="G201"/>
          <cell r="H201">
            <v>-49319.31</v>
          </cell>
        </row>
        <row r="202">
          <cell r="D202">
            <v>256779414741</v>
          </cell>
          <cell r="E202" t="str">
            <v>19/06/2025</v>
          </cell>
          <cell r="F202">
            <v>11.6</v>
          </cell>
          <cell r="G202"/>
          <cell r="H202">
            <v>986.74</v>
          </cell>
        </row>
        <row r="203">
          <cell r="D203">
            <v>256779414741</v>
          </cell>
          <cell r="E203" t="str">
            <v>19/06/2025</v>
          </cell>
          <cell r="F203">
            <v>0</v>
          </cell>
          <cell r="G203"/>
          <cell r="H203">
            <v>-2742.45</v>
          </cell>
        </row>
        <row r="204">
          <cell r="D204">
            <v>246779413202</v>
          </cell>
          <cell r="E204" t="str">
            <v>19/03/2025</v>
          </cell>
          <cell r="F204">
            <v>-39.06</v>
          </cell>
          <cell r="G204"/>
          <cell r="H204">
            <v>-3380.24</v>
          </cell>
        </row>
        <row r="205">
          <cell r="D205">
            <v>246779413202</v>
          </cell>
          <cell r="E205" t="str">
            <v>19/03/2025</v>
          </cell>
          <cell r="F205">
            <v>0.78</v>
          </cell>
          <cell r="G205"/>
          <cell r="H205">
            <v>67.5</v>
          </cell>
        </row>
        <row r="206">
          <cell r="D206">
            <v>246779412994</v>
          </cell>
          <cell r="E206" t="str">
            <v>19/03/2025</v>
          </cell>
          <cell r="F206">
            <v>-2297.27</v>
          </cell>
          <cell r="G206"/>
          <cell r="H206">
            <v>-199959.93</v>
          </cell>
        </row>
        <row r="207">
          <cell r="D207">
            <v>246779413023</v>
          </cell>
          <cell r="E207" t="str">
            <v>19/03/2025</v>
          </cell>
          <cell r="F207">
            <v>-91.89</v>
          </cell>
          <cell r="G207"/>
          <cell r="H207">
            <v>-7998.33</v>
          </cell>
        </row>
        <row r="208">
          <cell r="D208">
            <v>246779413024</v>
          </cell>
          <cell r="E208" t="str">
            <v>19/03/2025</v>
          </cell>
          <cell r="F208">
            <v>-50.54</v>
          </cell>
          <cell r="G208"/>
          <cell r="H208">
            <v>-4399.12</v>
          </cell>
        </row>
        <row r="209">
          <cell r="D209">
            <v>246779413024</v>
          </cell>
          <cell r="E209" t="str">
            <v>19/03/2025</v>
          </cell>
          <cell r="F209">
            <v>1.01</v>
          </cell>
          <cell r="G209"/>
          <cell r="H209">
            <v>87.91</v>
          </cell>
        </row>
        <row r="210">
          <cell r="D210">
            <v>246779412994</v>
          </cell>
          <cell r="E210" t="str">
            <v>19/03/2025</v>
          </cell>
          <cell r="F210">
            <v>45.95</v>
          </cell>
          <cell r="G210"/>
          <cell r="H210">
            <v>3999.6</v>
          </cell>
        </row>
        <row r="211">
          <cell r="D211">
            <v>246779413023</v>
          </cell>
          <cell r="E211" t="str">
            <v>19/03/2025</v>
          </cell>
          <cell r="F211">
            <v>1.84</v>
          </cell>
          <cell r="G211"/>
          <cell r="H211">
            <v>160.16</v>
          </cell>
        </row>
        <row r="212">
          <cell r="D212">
            <v>246779412994</v>
          </cell>
          <cell r="E212" t="str">
            <v>19/03/2025</v>
          </cell>
          <cell r="F212">
            <v>0</v>
          </cell>
          <cell r="G212"/>
          <cell r="H212">
            <v>2370.4299999999998</v>
          </cell>
        </row>
        <row r="213">
          <cell r="D213">
            <v>246779413023</v>
          </cell>
          <cell r="E213" t="str">
            <v>19/03/2025</v>
          </cell>
          <cell r="F213">
            <v>0</v>
          </cell>
          <cell r="G213"/>
          <cell r="H213">
            <v>94.81</v>
          </cell>
        </row>
        <row r="214">
          <cell r="D214">
            <v>246779413024</v>
          </cell>
          <cell r="E214" t="str">
            <v>19/03/2025</v>
          </cell>
          <cell r="F214">
            <v>0</v>
          </cell>
          <cell r="G214"/>
          <cell r="H214">
            <v>52.15</v>
          </cell>
        </row>
        <row r="215">
          <cell r="D215">
            <v>246779410081</v>
          </cell>
          <cell r="E215" t="str">
            <v>19/02/2025</v>
          </cell>
          <cell r="F215">
            <v>-52.38</v>
          </cell>
          <cell r="G215"/>
          <cell r="H215">
            <v>-4532.9399999999996</v>
          </cell>
        </row>
        <row r="216">
          <cell r="D216">
            <v>246779410081</v>
          </cell>
          <cell r="E216" t="str">
            <v>19/02/2025</v>
          </cell>
          <cell r="F216">
            <v>1.05</v>
          </cell>
          <cell r="G216"/>
          <cell r="H216">
            <v>90.87</v>
          </cell>
        </row>
        <row r="217">
          <cell r="D217">
            <v>246779410081</v>
          </cell>
          <cell r="E217" t="str">
            <v>19/02/2025</v>
          </cell>
          <cell r="F217">
            <v>0</v>
          </cell>
          <cell r="G217"/>
          <cell r="H217">
            <v>28.23</v>
          </cell>
        </row>
        <row r="218">
          <cell r="D218">
            <v>256779418424</v>
          </cell>
          <cell r="E218" t="str">
            <v>18/10/2025</v>
          </cell>
          <cell r="F218">
            <v>-1334.62</v>
          </cell>
          <cell r="G218"/>
          <cell r="H218">
            <v>-118326.74</v>
          </cell>
        </row>
        <row r="219">
          <cell r="D219">
            <v>256779418433</v>
          </cell>
          <cell r="E219" t="str">
            <v>18/10/2025</v>
          </cell>
          <cell r="F219">
            <v>-351.43</v>
          </cell>
          <cell r="G219"/>
          <cell r="H219">
            <v>-31157.61</v>
          </cell>
        </row>
        <row r="220">
          <cell r="D220">
            <v>256779418433</v>
          </cell>
          <cell r="E220" t="str">
            <v>18/10/2025</v>
          </cell>
          <cell r="F220">
            <v>7.03</v>
          </cell>
          <cell r="G220"/>
          <cell r="H220">
            <v>623.28</v>
          </cell>
        </row>
        <row r="221">
          <cell r="D221">
            <v>256779418424</v>
          </cell>
          <cell r="E221" t="str">
            <v>18/10/2025</v>
          </cell>
          <cell r="F221">
            <v>26.69</v>
          </cell>
          <cell r="G221"/>
          <cell r="H221">
            <v>2366.3200000000002</v>
          </cell>
        </row>
        <row r="222">
          <cell r="D222">
            <v>256779417597</v>
          </cell>
          <cell r="E222" t="str">
            <v>18/09/2025</v>
          </cell>
          <cell r="F222">
            <v>-1055.04</v>
          </cell>
          <cell r="G222"/>
          <cell r="H222">
            <v>-92476.28</v>
          </cell>
        </row>
        <row r="223">
          <cell r="D223">
            <v>256779417597</v>
          </cell>
          <cell r="E223" t="str">
            <v>18/09/2025</v>
          </cell>
          <cell r="F223">
            <v>21.1</v>
          </cell>
          <cell r="G223"/>
          <cell r="H223">
            <v>1849.46</v>
          </cell>
        </row>
        <row r="224">
          <cell r="D224">
            <v>256779417597</v>
          </cell>
          <cell r="E224" t="str">
            <v>18/09/2025</v>
          </cell>
          <cell r="F224">
            <v>0</v>
          </cell>
          <cell r="G224"/>
          <cell r="H224">
            <v>-621.04</v>
          </cell>
        </row>
        <row r="225">
          <cell r="D225">
            <v>256779417580</v>
          </cell>
          <cell r="E225" t="str">
            <v>18/09/2025</v>
          </cell>
          <cell r="F225">
            <v>-184.38</v>
          </cell>
          <cell r="G225"/>
          <cell r="H225">
            <v>-184.38</v>
          </cell>
        </row>
        <row r="226">
          <cell r="D226">
            <v>256779417557</v>
          </cell>
          <cell r="E226" t="str">
            <v>18/09/2025</v>
          </cell>
          <cell r="F226">
            <v>-725.96</v>
          </cell>
          <cell r="G226"/>
          <cell r="H226">
            <v>-63631.79</v>
          </cell>
        </row>
        <row r="227">
          <cell r="D227">
            <v>256779417517</v>
          </cell>
          <cell r="E227" t="str">
            <v>18/09/2025</v>
          </cell>
          <cell r="F227">
            <v>-4.68</v>
          </cell>
          <cell r="G227"/>
          <cell r="H227">
            <v>-410.21</v>
          </cell>
        </row>
        <row r="228">
          <cell r="D228">
            <v>256779417580</v>
          </cell>
          <cell r="E228" t="str">
            <v>18/09/2025</v>
          </cell>
          <cell r="F228">
            <v>3.69</v>
          </cell>
          <cell r="G228"/>
          <cell r="H228">
            <v>3.69</v>
          </cell>
        </row>
        <row r="229">
          <cell r="D229">
            <v>256779417517</v>
          </cell>
          <cell r="E229" t="str">
            <v>18/09/2025</v>
          </cell>
          <cell r="F229">
            <v>0.09</v>
          </cell>
          <cell r="G229"/>
          <cell r="H229">
            <v>7.89</v>
          </cell>
        </row>
        <row r="230">
          <cell r="D230">
            <v>256779417557</v>
          </cell>
          <cell r="E230" t="str">
            <v>18/09/2025</v>
          </cell>
          <cell r="F230">
            <v>14.52</v>
          </cell>
          <cell r="G230"/>
          <cell r="H230">
            <v>1272.71</v>
          </cell>
        </row>
        <row r="231">
          <cell r="D231" t="str">
            <v>256779417580_D</v>
          </cell>
          <cell r="E231" t="str">
            <v>18/09/2025</v>
          </cell>
          <cell r="F231">
            <v>-184.38</v>
          </cell>
          <cell r="G231"/>
          <cell r="H231">
            <v>-16161.26</v>
          </cell>
        </row>
        <row r="232">
          <cell r="D232" t="str">
            <v>256779417580_D</v>
          </cell>
          <cell r="E232" t="str">
            <v>18/09/2025</v>
          </cell>
          <cell r="F232">
            <v>3.69</v>
          </cell>
          <cell r="G232"/>
          <cell r="H232">
            <v>323.44</v>
          </cell>
        </row>
        <row r="233">
          <cell r="D233" t="str">
            <v>256779417580_D</v>
          </cell>
          <cell r="E233" t="str">
            <v>18/09/2025</v>
          </cell>
          <cell r="F233">
            <v>0</v>
          </cell>
          <cell r="G233"/>
          <cell r="H233">
            <v>-718.94</v>
          </cell>
        </row>
        <row r="234">
          <cell r="D234">
            <v>2439105</v>
          </cell>
          <cell r="E234" t="str">
            <v>19/06/2025</v>
          </cell>
          <cell r="F234">
            <v>0</v>
          </cell>
          <cell r="G234"/>
          <cell r="H234">
            <v>1760137.77</v>
          </cell>
        </row>
        <row r="235">
          <cell r="D235">
            <v>256779415442</v>
          </cell>
          <cell r="E235" t="str">
            <v>18/07/2025</v>
          </cell>
          <cell r="F235">
            <v>-1.59</v>
          </cell>
          <cell r="G235"/>
          <cell r="H235">
            <v>-136.72</v>
          </cell>
        </row>
        <row r="236">
          <cell r="D236">
            <v>256779415426</v>
          </cell>
          <cell r="E236" t="str">
            <v>18/07/2025</v>
          </cell>
          <cell r="F236">
            <v>-464.73</v>
          </cell>
          <cell r="G236"/>
          <cell r="H236">
            <v>-39961.910000000003</v>
          </cell>
        </row>
        <row r="237">
          <cell r="D237">
            <v>256779415517</v>
          </cell>
          <cell r="E237" t="str">
            <v>18/07/2025</v>
          </cell>
          <cell r="F237">
            <v>-116.74</v>
          </cell>
          <cell r="G237"/>
          <cell r="H237">
            <v>-10038.42</v>
          </cell>
        </row>
        <row r="238">
          <cell r="D238">
            <v>256779415453</v>
          </cell>
          <cell r="E238" t="str">
            <v>18/07/2025</v>
          </cell>
          <cell r="F238">
            <v>-293.45999999999998</v>
          </cell>
          <cell r="G238"/>
          <cell r="H238">
            <v>-25234.48</v>
          </cell>
        </row>
        <row r="239">
          <cell r="D239">
            <v>256779415474</v>
          </cell>
          <cell r="E239" t="str">
            <v>18/07/2025</v>
          </cell>
          <cell r="F239">
            <v>-608.41</v>
          </cell>
          <cell r="G239"/>
          <cell r="H239">
            <v>-52316.88</v>
          </cell>
        </row>
        <row r="240">
          <cell r="D240">
            <v>256779415474</v>
          </cell>
          <cell r="E240" t="str">
            <v>18/07/2025</v>
          </cell>
          <cell r="F240">
            <v>12.17</v>
          </cell>
          <cell r="G240"/>
          <cell r="H240">
            <v>1046.49</v>
          </cell>
        </row>
        <row r="241">
          <cell r="D241">
            <v>256779415442</v>
          </cell>
          <cell r="E241" t="str">
            <v>18/07/2025</v>
          </cell>
          <cell r="F241">
            <v>0.03</v>
          </cell>
          <cell r="G241"/>
          <cell r="H241">
            <v>2.58</v>
          </cell>
        </row>
        <row r="242">
          <cell r="D242">
            <v>256779415453</v>
          </cell>
          <cell r="E242" t="str">
            <v>18/07/2025</v>
          </cell>
          <cell r="F242">
            <v>5.87</v>
          </cell>
          <cell r="G242"/>
          <cell r="H242">
            <v>504.76</v>
          </cell>
        </row>
        <row r="243">
          <cell r="D243">
            <v>256779415517</v>
          </cell>
          <cell r="E243" t="str">
            <v>18/07/2025</v>
          </cell>
          <cell r="F243">
            <v>2.33</v>
          </cell>
          <cell r="G243"/>
          <cell r="H243">
            <v>200.36</v>
          </cell>
        </row>
        <row r="244">
          <cell r="D244">
            <v>256779415426</v>
          </cell>
          <cell r="E244" t="str">
            <v>18/07/2025</v>
          </cell>
          <cell r="F244">
            <v>9.2899999999999991</v>
          </cell>
          <cell r="G244"/>
          <cell r="H244">
            <v>798.84</v>
          </cell>
        </row>
        <row r="245">
          <cell r="D245">
            <v>256779415442</v>
          </cell>
          <cell r="E245" t="str">
            <v>18/07/2025</v>
          </cell>
          <cell r="F245">
            <v>0</v>
          </cell>
          <cell r="G245"/>
          <cell r="H245">
            <v>-3.53</v>
          </cell>
        </row>
        <row r="246">
          <cell r="D246">
            <v>256779415426</v>
          </cell>
          <cell r="E246" t="str">
            <v>18/07/2025</v>
          </cell>
          <cell r="F246">
            <v>0</v>
          </cell>
          <cell r="G246"/>
          <cell r="H246">
            <v>-1030.68</v>
          </cell>
        </row>
        <row r="247">
          <cell r="D247">
            <v>256779415517</v>
          </cell>
          <cell r="E247" t="str">
            <v>18/07/2025</v>
          </cell>
          <cell r="F247">
            <v>0</v>
          </cell>
          <cell r="G247"/>
          <cell r="H247">
            <v>-258.92</v>
          </cell>
        </row>
        <row r="248">
          <cell r="D248">
            <v>256779415453</v>
          </cell>
          <cell r="E248" t="str">
            <v>18/07/2025</v>
          </cell>
          <cell r="F248">
            <v>0</v>
          </cell>
          <cell r="G248"/>
          <cell r="H248">
            <v>-650.84</v>
          </cell>
        </row>
        <row r="249">
          <cell r="D249">
            <v>256779415474</v>
          </cell>
          <cell r="E249" t="str">
            <v>18/07/2025</v>
          </cell>
          <cell r="F249">
            <v>0</v>
          </cell>
          <cell r="G249"/>
          <cell r="H249">
            <v>-1349.32</v>
          </cell>
        </row>
        <row r="250">
          <cell r="D250">
            <v>256779414431</v>
          </cell>
          <cell r="E250" t="str">
            <v>18/06/2025</v>
          </cell>
          <cell r="F250">
            <v>-52.38</v>
          </cell>
          <cell r="G250"/>
          <cell r="H250">
            <v>-4455.66</v>
          </cell>
        </row>
        <row r="251">
          <cell r="D251">
            <v>256779414431</v>
          </cell>
          <cell r="E251" t="str">
            <v>18/06/2025</v>
          </cell>
          <cell r="F251">
            <v>1.05</v>
          </cell>
          <cell r="G251"/>
          <cell r="H251">
            <v>89.32</v>
          </cell>
        </row>
        <row r="252">
          <cell r="D252">
            <v>256779414431</v>
          </cell>
          <cell r="E252" t="str">
            <v>18/06/2025</v>
          </cell>
          <cell r="F252">
            <v>0</v>
          </cell>
          <cell r="G252"/>
          <cell r="H252">
            <v>-209.97</v>
          </cell>
        </row>
        <row r="253">
          <cell r="D253">
            <v>246779411742</v>
          </cell>
          <cell r="E253" t="str">
            <v>17/03/2025</v>
          </cell>
          <cell r="F253">
            <v>-23.27</v>
          </cell>
          <cell r="G253"/>
          <cell r="H253">
            <v>-2025.48</v>
          </cell>
        </row>
        <row r="254">
          <cell r="D254">
            <v>246779411742</v>
          </cell>
          <cell r="E254" t="str">
            <v>17/03/2025</v>
          </cell>
          <cell r="F254">
            <v>0.47</v>
          </cell>
          <cell r="G254"/>
          <cell r="H254">
            <v>40.909999999999997</v>
          </cell>
        </row>
        <row r="255">
          <cell r="D255">
            <v>246779411737</v>
          </cell>
          <cell r="E255" t="str">
            <v>17/03/2025</v>
          </cell>
          <cell r="F255">
            <v>-28.54</v>
          </cell>
          <cell r="G255"/>
          <cell r="H255">
            <v>-2484.19</v>
          </cell>
        </row>
        <row r="256">
          <cell r="D256">
            <v>246779411734</v>
          </cell>
          <cell r="E256" t="str">
            <v>17/03/2025</v>
          </cell>
          <cell r="F256">
            <v>-22.83</v>
          </cell>
          <cell r="G256"/>
          <cell r="H256">
            <v>-1987.18</v>
          </cell>
        </row>
        <row r="257">
          <cell r="D257">
            <v>246779411732</v>
          </cell>
          <cell r="E257" t="str">
            <v>17/03/2025</v>
          </cell>
          <cell r="F257">
            <v>-28.54</v>
          </cell>
          <cell r="G257"/>
          <cell r="H257">
            <v>-2484.19</v>
          </cell>
        </row>
        <row r="258">
          <cell r="D258">
            <v>246779411729</v>
          </cell>
          <cell r="E258" t="str">
            <v>17/03/2025</v>
          </cell>
          <cell r="F258">
            <v>-34.25</v>
          </cell>
          <cell r="G258"/>
          <cell r="H258">
            <v>-2981.2</v>
          </cell>
        </row>
        <row r="259">
          <cell r="D259">
            <v>246779411724</v>
          </cell>
          <cell r="E259" t="str">
            <v>17/03/2025</v>
          </cell>
          <cell r="F259">
            <v>-68.5</v>
          </cell>
          <cell r="G259"/>
          <cell r="H259">
            <v>-5962.41</v>
          </cell>
        </row>
        <row r="260">
          <cell r="D260">
            <v>246779411721</v>
          </cell>
          <cell r="E260" t="str">
            <v>17/03/2025</v>
          </cell>
          <cell r="F260">
            <v>-525.63</v>
          </cell>
          <cell r="G260"/>
          <cell r="H260">
            <v>-45752.1</v>
          </cell>
        </row>
        <row r="261">
          <cell r="D261">
            <v>246779411741</v>
          </cell>
          <cell r="E261" t="str">
            <v>17/03/2025</v>
          </cell>
          <cell r="F261">
            <v>-240</v>
          </cell>
          <cell r="G261"/>
          <cell r="H261">
            <v>-20890.18</v>
          </cell>
        </row>
        <row r="262">
          <cell r="D262">
            <v>246779411735</v>
          </cell>
          <cell r="E262" t="str">
            <v>17/03/2025</v>
          </cell>
          <cell r="F262">
            <v>-479.25</v>
          </cell>
          <cell r="G262"/>
          <cell r="H262">
            <v>-41715.08</v>
          </cell>
        </row>
        <row r="263">
          <cell r="D263">
            <v>246779411733</v>
          </cell>
          <cell r="E263" t="str">
            <v>17/03/2025</v>
          </cell>
          <cell r="F263">
            <v>-17.12</v>
          </cell>
          <cell r="G263"/>
          <cell r="H263">
            <v>-1490.17</v>
          </cell>
        </row>
        <row r="264">
          <cell r="D264">
            <v>246779411727</v>
          </cell>
          <cell r="E264" t="str">
            <v>17/03/2025</v>
          </cell>
          <cell r="F264">
            <v>-17.12</v>
          </cell>
          <cell r="G264"/>
          <cell r="H264">
            <v>-1490.17</v>
          </cell>
        </row>
        <row r="265">
          <cell r="D265">
            <v>246779411726</v>
          </cell>
          <cell r="E265" t="str">
            <v>17/03/2025</v>
          </cell>
          <cell r="F265">
            <v>-28.54</v>
          </cell>
          <cell r="G265"/>
          <cell r="H265">
            <v>-2484.19</v>
          </cell>
        </row>
        <row r="266">
          <cell r="D266">
            <v>246779411720</v>
          </cell>
          <cell r="E266" t="str">
            <v>17/03/2025</v>
          </cell>
          <cell r="F266">
            <v>-17.12</v>
          </cell>
          <cell r="G266"/>
          <cell r="H266">
            <v>-1490.17</v>
          </cell>
        </row>
        <row r="267">
          <cell r="D267">
            <v>246779411718</v>
          </cell>
          <cell r="E267" t="str">
            <v>17/03/2025</v>
          </cell>
          <cell r="F267">
            <v>-22.95</v>
          </cell>
          <cell r="G267"/>
          <cell r="H267">
            <v>-1997.62</v>
          </cell>
        </row>
        <row r="268">
          <cell r="D268">
            <v>246779411637</v>
          </cell>
          <cell r="E268" t="str">
            <v>17/03/2025</v>
          </cell>
          <cell r="F268">
            <v>-429.65</v>
          </cell>
          <cell r="G268"/>
          <cell r="H268">
            <v>-37397.769999999997</v>
          </cell>
        </row>
        <row r="269">
          <cell r="D269">
            <v>246779411717</v>
          </cell>
          <cell r="E269" t="str">
            <v>17/03/2025</v>
          </cell>
          <cell r="F269">
            <v>-45.67</v>
          </cell>
          <cell r="G269"/>
          <cell r="H269">
            <v>-3975.23</v>
          </cell>
        </row>
        <row r="270">
          <cell r="D270">
            <v>246779411601</v>
          </cell>
          <cell r="E270" t="str">
            <v>17/03/2025</v>
          </cell>
          <cell r="F270">
            <v>-23.39</v>
          </cell>
          <cell r="G270"/>
          <cell r="H270">
            <v>-2035.92</v>
          </cell>
        </row>
        <row r="271">
          <cell r="D271">
            <v>246779411740</v>
          </cell>
          <cell r="E271" t="str">
            <v>17/03/2025</v>
          </cell>
          <cell r="F271">
            <v>-22.83</v>
          </cell>
          <cell r="G271"/>
          <cell r="H271">
            <v>-1987.18</v>
          </cell>
        </row>
        <row r="272">
          <cell r="D272">
            <v>246779411913</v>
          </cell>
          <cell r="E272" t="str">
            <v>17/03/2025</v>
          </cell>
          <cell r="F272">
            <v>-28.41</v>
          </cell>
          <cell r="G272"/>
          <cell r="H272">
            <v>-2472.88</v>
          </cell>
        </row>
        <row r="273">
          <cell r="D273">
            <v>246779411597</v>
          </cell>
          <cell r="E273" t="str">
            <v>17/03/2025</v>
          </cell>
          <cell r="F273">
            <v>-57.29</v>
          </cell>
          <cell r="G273"/>
          <cell r="H273">
            <v>-4986.66</v>
          </cell>
        </row>
        <row r="274">
          <cell r="D274">
            <v>246779411739</v>
          </cell>
          <cell r="E274" t="str">
            <v>17/03/2025</v>
          </cell>
          <cell r="F274">
            <v>-34.25</v>
          </cell>
          <cell r="G274"/>
          <cell r="H274">
            <v>-2981.2</v>
          </cell>
        </row>
        <row r="275">
          <cell r="D275">
            <v>246779411914</v>
          </cell>
          <cell r="E275" t="str">
            <v>17/03/2025</v>
          </cell>
          <cell r="F275">
            <v>-260</v>
          </cell>
          <cell r="G275"/>
          <cell r="H275">
            <v>-22631.03</v>
          </cell>
        </row>
        <row r="276">
          <cell r="D276">
            <v>246779411596</v>
          </cell>
          <cell r="E276" t="str">
            <v>17/03/2025</v>
          </cell>
          <cell r="F276">
            <v>-74.47</v>
          </cell>
          <cell r="G276"/>
          <cell r="H276">
            <v>-6482.05</v>
          </cell>
        </row>
        <row r="277">
          <cell r="D277">
            <v>246779411738</v>
          </cell>
          <cell r="E277" t="str">
            <v>17/03/2025</v>
          </cell>
          <cell r="F277">
            <v>-28.54</v>
          </cell>
          <cell r="G277"/>
          <cell r="H277">
            <v>-2484.19</v>
          </cell>
        </row>
        <row r="278">
          <cell r="D278">
            <v>246779412040</v>
          </cell>
          <cell r="E278" t="str">
            <v>17/03/2025</v>
          </cell>
          <cell r="F278">
            <v>-16.82</v>
          </cell>
          <cell r="G278"/>
          <cell r="H278">
            <v>-1464.05</v>
          </cell>
        </row>
        <row r="279">
          <cell r="D279">
            <v>246779411736</v>
          </cell>
          <cell r="E279" t="str">
            <v>17/03/2025</v>
          </cell>
          <cell r="F279">
            <v>-22.83</v>
          </cell>
          <cell r="G279"/>
          <cell r="H279">
            <v>-1987.18</v>
          </cell>
        </row>
        <row r="280">
          <cell r="D280">
            <v>246779411899</v>
          </cell>
          <cell r="E280" t="str">
            <v>17/03/2025</v>
          </cell>
          <cell r="F280">
            <v>-62.49</v>
          </cell>
          <cell r="G280"/>
          <cell r="H280">
            <v>-5439.28</v>
          </cell>
        </row>
        <row r="281">
          <cell r="D281">
            <v>246779411896</v>
          </cell>
          <cell r="E281" t="str">
            <v>17/03/2025</v>
          </cell>
          <cell r="F281">
            <v>-39.770000000000003</v>
          </cell>
          <cell r="G281"/>
          <cell r="H281">
            <v>-3461.68</v>
          </cell>
        </row>
        <row r="282">
          <cell r="D282">
            <v>246779411902</v>
          </cell>
          <cell r="E282" t="str">
            <v>17/03/2025</v>
          </cell>
          <cell r="F282">
            <v>-2.13</v>
          </cell>
          <cell r="G282"/>
          <cell r="H282">
            <v>-185.4</v>
          </cell>
        </row>
        <row r="283">
          <cell r="D283">
            <v>246779411723</v>
          </cell>
          <cell r="E283" t="str">
            <v>17/03/2025</v>
          </cell>
          <cell r="F283">
            <v>-45.67</v>
          </cell>
          <cell r="G283"/>
          <cell r="H283">
            <v>-3975.23</v>
          </cell>
        </row>
        <row r="284">
          <cell r="D284">
            <v>246779411722</v>
          </cell>
          <cell r="E284" t="str">
            <v>17/03/2025</v>
          </cell>
          <cell r="F284">
            <v>-39.96</v>
          </cell>
          <cell r="G284"/>
          <cell r="H284">
            <v>-3478.21</v>
          </cell>
        </row>
        <row r="285">
          <cell r="D285">
            <v>246779411907</v>
          </cell>
          <cell r="E285" t="str">
            <v>17/03/2025</v>
          </cell>
          <cell r="F285">
            <v>-17.04</v>
          </cell>
          <cell r="G285"/>
          <cell r="H285">
            <v>-1483.2</v>
          </cell>
        </row>
        <row r="286">
          <cell r="D286">
            <v>246779411909</v>
          </cell>
          <cell r="E286" t="str">
            <v>17/03/2025</v>
          </cell>
          <cell r="F286">
            <v>-28.41</v>
          </cell>
          <cell r="G286"/>
          <cell r="H286">
            <v>-2472.88</v>
          </cell>
        </row>
        <row r="287">
          <cell r="D287">
            <v>246779411600</v>
          </cell>
          <cell r="E287" t="str">
            <v>17/03/2025</v>
          </cell>
          <cell r="F287">
            <v>-2.6</v>
          </cell>
          <cell r="G287"/>
          <cell r="H287">
            <v>-226.31</v>
          </cell>
        </row>
        <row r="288">
          <cell r="D288">
            <v>246779411595</v>
          </cell>
          <cell r="E288" t="str">
            <v>17/03/2025</v>
          </cell>
          <cell r="F288">
            <v>-51.56</v>
          </cell>
          <cell r="G288"/>
          <cell r="H288">
            <v>-4487.91</v>
          </cell>
        </row>
        <row r="289">
          <cell r="D289">
            <v>246779411594</v>
          </cell>
          <cell r="E289" t="str">
            <v>17/03/2025</v>
          </cell>
          <cell r="F289">
            <v>-17.190000000000001</v>
          </cell>
          <cell r="G289"/>
          <cell r="H289">
            <v>-1496.26</v>
          </cell>
        </row>
        <row r="290">
          <cell r="D290">
            <v>246779411599</v>
          </cell>
          <cell r="E290" t="str">
            <v>17/03/2025</v>
          </cell>
          <cell r="F290">
            <v>-37.950000000000003</v>
          </cell>
          <cell r="G290"/>
          <cell r="H290">
            <v>-3303.26</v>
          </cell>
        </row>
        <row r="291">
          <cell r="D291">
            <v>246779412111</v>
          </cell>
          <cell r="E291" t="str">
            <v>17/03/2025</v>
          </cell>
          <cell r="F291">
            <v>-420.46</v>
          </cell>
          <cell r="G291"/>
          <cell r="H291">
            <v>-36597.85</v>
          </cell>
        </row>
        <row r="292">
          <cell r="D292">
            <v>246779411895</v>
          </cell>
          <cell r="E292" t="str">
            <v>17/03/2025</v>
          </cell>
          <cell r="F292">
            <v>-4.26</v>
          </cell>
          <cell r="G292"/>
          <cell r="H292">
            <v>-370.8</v>
          </cell>
        </row>
        <row r="293">
          <cell r="D293">
            <v>246779412046</v>
          </cell>
          <cell r="E293" t="str">
            <v>17/03/2025</v>
          </cell>
          <cell r="F293">
            <v>-16.82</v>
          </cell>
          <cell r="G293"/>
          <cell r="H293">
            <v>-1464.05</v>
          </cell>
        </row>
        <row r="294">
          <cell r="D294">
            <v>246779411897</v>
          </cell>
          <cell r="E294" t="str">
            <v>17/03/2025</v>
          </cell>
          <cell r="F294">
            <v>-22.72</v>
          </cell>
          <cell r="G294"/>
          <cell r="H294">
            <v>-1977.6</v>
          </cell>
        </row>
        <row r="295">
          <cell r="D295">
            <v>246779412044</v>
          </cell>
          <cell r="E295" t="str">
            <v>17/03/2025</v>
          </cell>
          <cell r="F295">
            <v>-30.37</v>
          </cell>
          <cell r="G295"/>
          <cell r="H295">
            <v>-2643.48</v>
          </cell>
        </row>
        <row r="296">
          <cell r="D296">
            <v>246779411898</v>
          </cell>
          <cell r="E296" t="str">
            <v>17/03/2025</v>
          </cell>
          <cell r="F296">
            <v>-7.1</v>
          </cell>
          <cell r="G296"/>
          <cell r="H296">
            <v>-618</v>
          </cell>
        </row>
        <row r="297">
          <cell r="D297">
            <v>246779412043</v>
          </cell>
          <cell r="E297" t="str">
            <v>17/03/2025</v>
          </cell>
          <cell r="F297">
            <v>-16.82</v>
          </cell>
          <cell r="G297"/>
          <cell r="H297">
            <v>-1464.05</v>
          </cell>
        </row>
        <row r="298">
          <cell r="D298">
            <v>246779411915</v>
          </cell>
          <cell r="E298" t="str">
            <v>17/03/2025</v>
          </cell>
          <cell r="F298">
            <v>-23.17</v>
          </cell>
          <cell r="G298"/>
          <cell r="H298">
            <v>-2016.77</v>
          </cell>
        </row>
        <row r="299">
          <cell r="D299">
            <v>246779412041</v>
          </cell>
          <cell r="E299" t="str">
            <v>17/03/2025</v>
          </cell>
          <cell r="F299">
            <v>-33.64</v>
          </cell>
          <cell r="G299"/>
          <cell r="H299">
            <v>-2928.11</v>
          </cell>
        </row>
        <row r="300">
          <cell r="D300">
            <v>246779411900</v>
          </cell>
          <cell r="E300" t="str">
            <v>17/03/2025</v>
          </cell>
          <cell r="F300">
            <v>-73.849999999999994</v>
          </cell>
          <cell r="G300"/>
          <cell r="H300">
            <v>-6428.08</v>
          </cell>
        </row>
        <row r="301">
          <cell r="D301">
            <v>246779412048</v>
          </cell>
          <cell r="E301" t="str">
            <v>17/03/2025</v>
          </cell>
          <cell r="F301">
            <v>-22.78</v>
          </cell>
          <cell r="G301"/>
          <cell r="H301">
            <v>-1982.83</v>
          </cell>
        </row>
        <row r="302">
          <cell r="D302">
            <v>246779411903</v>
          </cell>
          <cell r="E302" t="str">
            <v>17/03/2025</v>
          </cell>
          <cell r="F302">
            <v>-3.55</v>
          </cell>
          <cell r="G302"/>
          <cell r="H302">
            <v>-309</v>
          </cell>
        </row>
        <row r="303">
          <cell r="D303">
            <v>246779411910</v>
          </cell>
          <cell r="E303" t="str">
            <v>17/03/2025</v>
          </cell>
          <cell r="F303">
            <v>-28.41</v>
          </cell>
          <cell r="G303"/>
          <cell r="H303">
            <v>-2472.88</v>
          </cell>
        </row>
        <row r="304">
          <cell r="D304">
            <v>246779411598</v>
          </cell>
          <cell r="E304" t="str">
            <v>17/03/2025</v>
          </cell>
          <cell r="F304">
            <v>-91.66</v>
          </cell>
          <cell r="G304"/>
          <cell r="H304">
            <v>-7978.31</v>
          </cell>
        </row>
        <row r="305">
          <cell r="D305">
            <v>246779411593</v>
          </cell>
          <cell r="E305" t="str">
            <v>17/03/2025</v>
          </cell>
          <cell r="F305">
            <v>-40.1</v>
          </cell>
          <cell r="G305"/>
          <cell r="H305">
            <v>-3490.4</v>
          </cell>
        </row>
        <row r="306">
          <cell r="D306">
            <v>246779412045</v>
          </cell>
          <cell r="E306" t="str">
            <v>17/03/2025</v>
          </cell>
          <cell r="F306">
            <v>-230</v>
          </cell>
          <cell r="G306"/>
          <cell r="H306">
            <v>-20019.759999999998</v>
          </cell>
        </row>
        <row r="307">
          <cell r="D307">
            <v>246779412042</v>
          </cell>
          <cell r="E307" t="str">
            <v>17/03/2025</v>
          </cell>
          <cell r="F307">
            <v>-16.82</v>
          </cell>
          <cell r="G307"/>
          <cell r="H307">
            <v>-1464.05</v>
          </cell>
        </row>
        <row r="308">
          <cell r="D308">
            <v>246779412038</v>
          </cell>
          <cell r="E308" t="str">
            <v>17/03/2025</v>
          </cell>
          <cell r="F308">
            <v>-33.64</v>
          </cell>
          <cell r="G308"/>
          <cell r="H308">
            <v>-2928.11</v>
          </cell>
        </row>
        <row r="309">
          <cell r="D309">
            <v>246779411901</v>
          </cell>
          <cell r="E309" t="str">
            <v>17/03/2025</v>
          </cell>
          <cell r="F309">
            <v>-12.78</v>
          </cell>
          <cell r="G309"/>
          <cell r="H309">
            <v>-1112.4000000000001</v>
          </cell>
        </row>
        <row r="310">
          <cell r="D310">
            <v>246779411906</v>
          </cell>
          <cell r="E310" t="str">
            <v>17/03/2025</v>
          </cell>
          <cell r="F310">
            <v>-34.090000000000003</v>
          </cell>
          <cell r="G310"/>
          <cell r="H310">
            <v>-2967.28</v>
          </cell>
        </row>
        <row r="311">
          <cell r="D311">
            <v>246779411911</v>
          </cell>
          <cell r="E311" t="str">
            <v>17/03/2025</v>
          </cell>
          <cell r="F311">
            <v>-29.83</v>
          </cell>
          <cell r="G311"/>
          <cell r="H311">
            <v>-2596.48</v>
          </cell>
        </row>
        <row r="312">
          <cell r="D312">
            <v>246779411731</v>
          </cell>
          <cell r="E312" t="str">
            <v>17/03/2025</v>
          </cell>
          <cell r="F312">
            <v>-22.83</v>
          </cell>
          <cell r="G312"/>
          <cell r="H312">
            <v>-1987.18</v>
          </cell>
        </row>
        <row r="313">
          <cell r="D313">
            <v>246779411725</v>
          </cell>
          <cell r="E313" t="str">
            <v>17/03/2025</v>
          </cell>
          <cell r="F313">
            <v>-22.83</v>
          </cell>
          <cell r="G313"/>
          <cell r="H313">
            <v>-1987.18</v>
          </cell>
        </row>
        <row r="314">
          <cell r="D314">
            <v>246779411905</v>
          </cell>
          <cell r="E314" t="str">
            <v>17/03/2025</v>
          </cell>
          <cell r="F314">
            <v>-7.1</v>
          </cell>
          <cell r="G314"/>
          <cell r="H314">
            <v>-618</v>
          </cell>
        </row>
        <row r="315">
          <cell r="D315">
            <v>246779411719</v>
          </cell>
          <cell r="E315" t="str">
            <v>17/03/2025</v>
          </cell>
          <cell r="F315">
            <v>-28.54</v>
          </cell>
          <cell r="G315"/>
          <cell r="H315">
            <v>-2484.19</v>
          </cell>
        </row>
        <row r="316">
          <cell r="D316">
            <v>246779411728</v>
          </cell>
          <cell r="E316" t="str">
            <v>17/03/2025</v>
          </cell>
          <cell r="F316">
            <v>-11.42</v>
          </cell>
          <cell r="G316"/>
          <cell r="H316">
            <v>-994.02</v>
          </cell>
        </row>
        <row r="317">
          <cell r="D317">
            <v>246779411601</v>
          </cell>
          <cell r="E317" t="str">
            <v>17/03/2025</v>
          </cell>
          <cell r="F317">
            <v>0.47</v>
          </cell>
          <cell r="G317"/>
          <cell r="H317">
            <v>40.909999999999997</v>
          </cell>
        </row>
        <row r="318">
          <cell r="D318">
            <v>246779411717</v>
          </cell>
          <cell r="E318" t="str">
            <v>17/03/2025</v>
          </cell>
          <cell r="F318">
            <v>0.91</v>
          </cell>
          <cell r="G318"/>
          <cell r="H318">
            <v>79.209999999999994</v>
          </cell>
        </row>
        <row r="319">
          <cell r="D319">
            <v>246779411913</v>
          </cell>
          <cell r="E319" t="str">
            <v>17/03/2025</v>
          </cell>
          <cell r="F319">
            <v>0.56999999999999995</v>
          </cell>
          <cell r="G319"/>
          <cell r="H319">
            <v>49.61</v>
          </cell>
        </row>
        <row r="320">
          <cell r="D320">
            <v>246779411740</v>
          </cell>
          <cell r="E320" t="str">
            <v>17/03/2025</v>
          </cell>
          <cell r="F320">
            <v>0.46</v>
          </cell>
          <cell r="G320"/>
          <cell r="H320">
            <v>40.04</v>
          </cell>
        </row>
        <row r="321">
          <cell r="D321">
            <v>246779412111</v>
          </cell>
          <cell r="E321" t="str">
            <v>17/03/2025</v>
          </cell>
          <cell r="F321">
            <v>8.41</v>
          </cell>
          <cell r="G321"/>
          <cell r="H321">
            <v>732.03</v>
          </cell>
        </row>
        <row r="322">
          <cell r="D322">
            <v>246779411722</v>
          </cell>
          <cell r="E322" t="str">
            <v>17/03/2025</v>
          </cell>
          <cell r="F322">
            <v>0.8</v>
          </cell>
          <cell r="G322"/>
          <cell r="H322">
            <v>69.63</v>
          </cell>
        </row>
        <row r="323">
          <cell r="D323">
            <v>246779412041</v>
          </cell>
          <cell r="E323" t="str">
            <v>17/03/2025</v>
          </cell>
          <cell r="F323">
            <v>0.67</v>
          </cell>
          <cell r="G323"/>
          <cell r="H323">
            <v>58.32</v>
          </cell>
        </row>
        <row r="324">
          <cell r="D324">
            <v>246779411898</v>
          </cell>
          <cell r="E324" t="str">
            <v>17/03/2025</v>
          </cell>
          <cell r="F324">
            <v>0.14000000000000001</v>
          </cell>
          <cell r="G324"/>
          <cell r="H324">
            <v>12.19</v>
          </cell>
        </row>
        <row r="325">
          <cell r="D325">
            <v>246779411729</v>
          </cell>
          <cell r="E325" t="str">
            <v>17/03/2025</v>
          </cell>
          <cell r="F325">
            <v>0.69</v>
          </cell>
          <cell r="G325"/>
          <cell r="H325">
            <v>60.06</v>
          </cell>
        </row>
        <row r="326">
          <cell r="D326">
            <v>246779411737</v>
          </cell>
          <cell r="E326" t="str">
            <v>17/03/2025</v>
          </cell>
          <cell r="F326">
            <v>0.56999999999999995</v>
          </cell>
          <cell r="G326"/>
          <cell r="H326">
            <v>49.61</v>
          </cell>
        </row>
        <row r="327">
          <cell r="D327">
            <v>246779411595</v>
          </cell>
          <cell r="E327" t="str">
            <v>17/03/2025</v>
          </cell>
          <cell r="F327">
            <v>1.03</v>
          </cell>
          <cell r="G327"/>
          <cell r="H327">
            <v>89.65</v>
          </cell>
        </row>
        <row r="328">
          <cell r="D328">
            <v>246779411727</v>
          </cell>
          <cell r="E328" t="str">
            <v>17/03/2025</v>
          </cell>
          <cell r="F328">
            <v>0.34</v>
          </cell>
          <cell r="G328"/>
          <cell r="H328">
            <v>29.59</v>
          </cell>
        </row>
        <row r="329">
          <cell r="D329">
            <v>246779411736</v>
          </cell>
          <cell r="E329" t="str">
            <v>17/03/2025</v>
          </cell>
          <cell r="F329">
            <v>0.46</v>
          </cell>
          <cell r="G329"/>
          <cell r="H329">
            <v>40.04</v>
          </cell>
        </row>
        <row r="330">
          <cell r="D330">
            <v>246779411732</v>
          </cell>
          <cell r="E330" t="str">
            <v>17/03/2025</v>
          </cell>
          <cell r="F330">
            <v>0.56999999999999995</v>
          </cell>
          <cell r="G330"/>
          <cell r="H330">
            <v>49.61</v>
          </cell>
        </row>
        <row r="331">
          <cell r="D331">
            <v>246779411899</v>
          </cell>
          <cell r="E331" t="str">
            <v>17/03/2025</v>
          </cell>
          <cell r="F331">
            <v>1.25</v>
          </cell>
          <cell r="G331"/>
          <cell r="H331">
            <v>108.8</v>
          </cell>
        </row>
        <row r="332">
          <cell r="D332">
            <v>246779411914</v>
          </cell>
          <cell r="E332" t="str">
            <v>17/03/2025</v>
          </cell>
          <cell r="F332">
            <v>5.2</v>
          </cell>
          <cell r="G332"/>
          <cell r="H332">
            <v>452.62</v>
          </cell>
        </row>
        <row r="333">
          <cell r="D333">
            <v>246779411895</v>
          </cell>
          <cell r="E333" t="str">
            <v>17/03/2025</v>
          </cell>
          <cell r="F333">
            <v>0.09</v>
          </cell>
          <cell r="G333"/>
          <cell r="H333">
            <v>7.83</v>
          </cell>
        </row>
        <row r="334">
          <cell r="D334">
            <v>246779411723</v>
          </cell>
          <cell r="E334" t="str">
            <v>17/03/2025</v>
          </cell>
          <cell r="F334">
            <v>0.91</v>
          </cell>
          <cell r="G334"/>
          <cell r="H334">
            <v>79.209999999999994</v>
          </cell>
        </row>
        <row r="335">
          <cell r="D335">
            <v>246779411897</v>
          </cell>
          <cell r="E335" t="str">
            <v>17/03/2025</v>
          </cell>
          <cell r="F335">
            <v>0.45</v>
          </cell>
          <cell r="G335"/>
          <cell r="H335">
            <v>39.17</v>
          </cell>
        </row>
        <row r="336">
          <cell r="D336">
            <v>246779412038</v>
          </cell>
          <cell r="E336" t="str">
            <v>17/03/2025</v>
          </cell>
          <cell r="F336">
            <v>0.67</v>
          </cell>
          <cell r="G336"/>
          <cell r="H336">
            <v>58.32</v>
          </cell>
        </row>
        <row r="337">
          <cell r="D337">
            <v>246779411909</v>
          </cell>
          <cell r="E337" t="str">
            <v>17/03/2025</v>
          </cell>
          <cell r="F337">
            <v>0.56999999999999995</v>
          </cell>
          <cell r="G337"/>
          <cell r="H337">
            <v>49.61</v>
          </cell>
        </row>
        <row r="338">
          <cell r="D338">
            <v>246779412042</v>
          </cell>
          <cell r="E338" t="str">
            <v>17/03/2025</v>
          </cell>
          <cell r="F338">
            <v>0.34</v>
          </cell>
          <cell r="G338"/>
          <cell r="H338">
            <v>29.59</v>
          </cell>
        </row>
        <row r="339">
          <cell r="D339">
            <v>246779411900</v>
          </cell>
          <cell r="E339" t="str">
            <v>17/03/2025</v>
          </cell>
          <cell r="F339">
            <v>1.48</v>
          </cell>
          <cell r="G339"/>
          <cell r="H339">
            <v>128.82</v>
          </cell>
        </row>
        <row r="340">
          <cell r="D340">
            <v>246779412048</v>
          </cell>
          <cell r="E340" t="str">
            <v>17/03/2025</v>
          </cell>
          <cell r="F340">
            <v>0.46</v>
          </cell>
          <cell r="G340"/>
          <cell r="H340">
            <v>40.04</v>
          </cell>
        </row>
        <row r="341">
          <cell r="D341">
            <v>246779412046</v>
          </cell>
          <cell r="E341" t="str">
            <v>17/03/2025</v>
          </cell>
          <cell r="F341">
            <v>0.34</v>
          </cell>
          <cell r="G341"/>
          <cell r="H341">
            <v>29.59</v>
          </cell>
        </row>
        <row r="342">
          <cell r="D342">
            <v>246779411597</v>
          </cell>
          <cell r="E342" t="str">
            <v>17/03/2025</v>
          </cell>
          <cell r="F342">
            <v>1.1499999999999999</v>
          </cell>
          <cell r="G342"/>
          <cell r="H342">
            <v>100.1</v>
          </cell>
        </row>
        <row r="343">
          <cell r="D343">
            <v>246779411637</v>
          </cell>
          <cell r="E343" t="str">
            <v>17/03/2025</v>
          </cell>
          <cell r="F343">
            <v>8.59</v>
          </cell>
          <cell r="G343"/>
          <cell r="H343">
            <v>747.69</v>
          </cell>
        </row>
        <row r="344">
          <cell r="D344">
            <v>246779411721</v>
          </cell>
          <cell r="E344" t="str">
            <v>17/03/2025</v>
          </cell>
          <cell r="F344">
            <v>10.51</v>
          </cell>
          <cell r="G344"/>
          <cell r="H344">
            <v>914.82</v>
          </cell>
        </row>
        <row r="345">
          <cell r="D345">
            <v>246779411720</v>
          </cell>
          <cell r="E345" t="str">
            <v>17/03/2025</v>
          </cell>
          <cell r="F345">
            <v>0.34</v>
          </cell>
          <cell r="G345"/>
          <cell r="H345">
            <v>29.59</v>
          </cell>
        </row>
        <row r="346">
          <cell r="D346">
            <v>246779412043</v>
          </cell>
          <cell r="E346" t="str">
            <v>17/03/2025</v>
          </cell>
          <cell r="F346">
            <v>0.34</v>
          </cell>
          <cell r="G346"/>
          <cell r="H346">
            <v>29.59</v>
          </cell>
        </row>
        <row r="347">
          <cell r="D347">
            <v>246779411718</v>
          </cell>
          <cell r="E347" t="str">
            <v>17/03/2025</v>
          </cell>
          <cell r="F347">
            <v>0.46</v>
          </cell>
          <cell r="G347"/>
          <cell r="H347">
            <v>40.04</v>
          </cell>
        </row>
        <row r="348">
          <cell r="D348">
            <v>246779411896</v>
          </cell>
          <cell r="E348" t="str">
            <v>17/03/2025</v>
          </cell>
          <cell r="F348">
            <v>0.8</v>
          </cell>
          <cell r="G348"/>
          <cell r="H348">
            <v>69.63</v>
          </cell>
        </row>
        <row r="349">
          <cell r="D349">
            <v>246779411738</v>
          </cell>
          <cell r="E349" t="str">
            <v>17/03/2025</v>
          </cell>
          <cell r="F349">
            <v>0.56999999999999995</v>
          </cell>
          <cell r="G349"/>
          <cell r="H349">
            <v>49.61</v>
          </cell>
        </row>
        <row r="350">
          <cell r="D350">
            <v>246779411598</v>
          </cell>
          <cell r="E350" t="str">
            <v>17/03/2025</v>
          </cell>
          <cell r="F350">
            <v>1.83</v>
          </cell>
          <cell r="G350"/>
          <cell r="H350">
            <v>159.29</v>
          </cell>
        </row>
        <row r="351">
          <cell r="D351">
            <v>246779411903</v>
          </cell>
          <cell r="E351" t="str">
            <v>17/03/2025</v>
          </cell>
          <cell r="F351">
            <v>7.0000000000000007E-2</v>
          </cell>
          <cell r="G351"/>
          <cell r="H351">
            <v>6.09</v>
          </cell>
        </row>
        <row r="352">
          <cell r="D352">
            <v>246779411593</v>
          </cell>
          <cell r="E352" t="str">
            <v>17/03/2025</v>
          </cell>
          <cell r="F352">
            <v>0.8</v>
          </cell>
          <cell r="G352"/>
          <cell r="H352">
            <v>69.63</v>
          </cell>
        </row>
        <row r="353">
          <cell r="D353">
            <v>246779411915</v>
          </cell>
          <cell r="E353" t="str">
            <v>17/03/2025</v>
          </cell>
          <cell r="F353">
            <v>0.46</v>
          </cell>
          <cell r="G353"/>
          <cell r="H353">
            <v>40.04</v>
          </cell>
        </row>
        <row r="354">
          <cell r="D354">
            <v>246779411739</v>
          </cell>
          <cell r="E354" t="str">
            <v>17/03/2025</v>
          </cell>
          <cell r="F354">
            <v>0.69</v>
          </cell>
          <cell r="G354"/>
          <cell r="H354">
            <v>60.06</v>
          </cell>
        </row>
        <row r="355">
          <cell r="D355">
            <v>246779412040</v>
          </cell>
          <cell r="E355" t="str">
            <v>17/03/2025</v>
          </cell>
          <cell r="F355">
            <v>0.34</v>
          </cell>
          <cell r="G355"/>
          <cell r="H355">
            <v>29.59</v>
          </cell>
        </row>
        <row r="356">
          <cell r="D356">
            <v>246779412045</v>
          </cell>
          <cell r="E356" t="str">
            <v>17/03/2025</v>
          </cell>
          <cell r="F356">
            <v>4.5999999999999996</v>
          </cell>
          <cell r="G356"/>
          <cell r="H356">
            <v>400.4</v>
          </cell>
        </row>
        <row r="357">
          <cell r="D357">
            <v>246779411596</v>
          </cell>
          <cell r="E357" t="str">
            <v>17/03/2025</v>
          </cell>
          <cell r="F357">
            <v>1.49</v>
          </cell>
          <cell r="G357"/>
          <cell r="H357">
            <v>129.69</v>
          </cell>
        </row>
        <row r="358">
          <cell r="D358">
            <v>246779411733</v>
          </cell>
          <cell r="E358" t="str">
            <v>17/03/2025</v>
          </cell>
          <cell r="F358">
            <v>0.34</v>
          </cell>
          <cell r="G358"/>
          <cell r="H358">
            <v>29.59</v>
          </cell>
        </row>
        <row r="359">
          <cell r="D359">
            <v>246779411594</v>
          </cell>
          <cell r="E359" t="str">
            <v>17/03/2025</v>
          </cell>
          <cell r="F359">
            <v>0.34</v>
          </cell>
          <cell r="G359"/>
          <cell r="H359">
            <v>29.59</v>
          </cell>
        </row>
        <row r="360">
          <cell r="D360">
            <v>246779411734</v>
          </cell>
          <cell r="E360" t="str">
            <v>17/03/2025</v>
          </cell>
          <cell r="F360">
            <v>0.46</v>
          </cell>
          <cell r="G360"/>
          <cell r="H360">
            <v>40.04</v>
          </cell>
        </row>
        <row r="361">
          <cell r="D361">
            <v>246779411741</v>
          </cell>
          <cell r="E361" t="str">
            <v>17/03/2025</v>
          </cell>
          <cell r="F361">
            <v>4.8</v>
          </cell>
          <cell r="G361"/>
          <cell r="H361">
            <v>417.8</v>
          </cell>
        </row>
        <row r="362">
          <cell r="D362">
            <v>246779411902</v>
          </cell>
          <cell r="E362" t="str">
            <v>17/03/2025</v>
          </cell>
          <cell r="F362">
            <v>0.04</v>
          </cell>
          <cell r="G362"/>
          <cell r="H362">
            <v>3.48</v>
          </cell>
        </row>
        <row r="363">
          <cell r="D363">
            <v>246779411910</v>
          </cell>
          <cell r="E363" t="str">
            <v>17/03/2025</v>
          </cell>
          <cell r="F363">
            <v>0.56999999999999995</v>
          </cell>
          <cell r="G363"/>
          <cell r="H363">
            <v>49.61</v>
          </cell>
        </row>
        <row r="364">
          <cell r="D364">
            <v>246779411600</v>
          </cell>
          <cell r="E364" t="str">
            <v>17/03/2025</v>
          </cell>
          <cell r="F364">
            <v>0.05</v>
          </cell>
          <cell r="G364"/>
          <cell r="H364">
            <v>4.3499999999999996</v>
          </cell>
        </row>
        <row r="365">
          <cell r="D365">
            <v>246779411907</v>
          </cell>
          <cell r="E365" t="str">
            <v>17/03/2025</v>
          </cell>
          <cell r="F365">
            <v>0.34</v>
          </cell>
          <cell r="G365"/>
          <cell r="H365">
            <v>29.59</v>
          </cell>
        </row>
        <row r="366">
          <cell r="D366">
            <v>246779412044</v>
          </cell>
          <cell r="E366" t="str">
            <v>17/03/2025</v>
          </cell>
          <cell r="F366">
            <v>0.61</v>
          </cell>
          <cell r="G366"/>
          <cell r="H366">
            <v>53.1</v>
          </cell>
        </row>
        <row r="367">
          <cell r="D367">
            <v>246779411724</v>
          </cell>
          <cell r="E367" t="str">
            <v>17/03/2025</v>
          </cell>
          <cell r="F367">
            <v>1.37</v>
          </cell>
          <cell r="G367"/>
          <cell r="H367">
            <v>119.25</v>
          </cell>
        </row>
        <row r="368">
          <cell r="D368">
            <v>246779411726</v>
          </cell>
          <cell r="E368" t="str">
            <v>17/03/2025</v>
          </cell>
          <cell r="F368">
            <v>0.56999999999999995</v>
          </cell>
          <cell r="G368"/>
          <cell r="H368">
            <v>49.61</v>
          </cell>
        </row>
        <row r="369">
          <cell r="D369">
            <v>246779411599</v>
          </cell>
          <cell r="E369" t="str">
            <v>17/03/2025</v>
          </cell>
          <cell r="F369">
            <v>0.76</v>
          </cell>
          <cell r="G369"/>
          <cell r="H369">
            <v>66.150000000000006</v>
          </cell>
        </row>
        <row r="370">
          <cell r="D370">
            <v>246779411735</v>
          </cell>
          <cell r="E370" t="str">
            <v>17/03/2025</v>
          </cell>
          <cell r="F370">
            <v>9.59</v>
          </cell>
          <cell r="G370"/>
          <cell r="H370">
            <v>834.74</v>
          </cell>
        </row>
        <row r="371">
          <cell r="D371">
            <v>246779411725</v>
          </cell>
          <cell r="E371" t="str">
            <v>17/03/2025</v>
          </cell>
          <cell r="F371">
            <v>0.46</v>
          </cell>
          <cell r="G371"/>
          <cell r="H371">
            <v>40.04</v>
          </cell>
        </row>
        <row r="372">
          <cell r="D372">
            <v>246779411911</v>
          </cell>
          <cell r="E372" t="str">
            <v>17/03/2025</v>
          </cell>
          <cell r="F372">
            <v>0.6</v>
          </cell>
          <cell r="G372"/>
          <cell r="H372">
            <v>52.23</v>
          </cell>
        </row>
        <row r="373">
          <cell r="D373">
            <v>246779411901</v>
          </cell>
          <cell r="E373" t="str">
            <v>17/03/2025</v>
          </cell>
          <cell r="F373">
            <v>0.26</v>
          </cell>
          <cell r="G373"/>
          <cell r="H373">
            <v>22.63</v>
          </cell>
        </row>
        <row r="374">
          <cell r="D374">
            <v>246779411905</v>
          </cell>
          <cell r="E374" t="str">
            <v>17/03/2025</v>
          </cell>
          <cell r="F374">
            <v>0.14000000000000001</v>
          </cell>
          <cell r="G374"/>
          <cell r="H374">
            <v>12.19</v>
          </cell>
        </row>
        <row r="375">
          <cell r="D375">
            <v>246779411731</v>
          </cell>
          <cell r="E375" t="str">
            <v>17/03/2025</v>
          </cell>
          <cell r="F375">
            <v>0.46</v>
          </cell>
          <cell r="G375"/>
          <cell r="H375">
            <v>40.04</v>
          </cell>
        </row>
        <row r="376">
          <cell r="D376">
            <v>246779411719</v>
          </cell>
          <cell r="E376" t="str">
            <v>17/03/2025</v>
          </cell>
          <cell r="F376">
            <v>0.56999999999999995</v>
          </cell>
          <cell r="G376"/>
          <cell r="H376">
            <v>49.61</v>
          </cell>
        </row>
        <row r="377">
          <cell r="D377">
            <v>246779411906</v>
          </cell>
          <cell r="E377" t="str">
            <v>17/03/2025</v>
          </cell>
          <cell r="F377">
            <v>0.68</v>
          </cell>
          <cell r="G377"/>
          <cell r="H377">
            <v>59.19</v>
          </cell>
        </row>
        <row r="378">
          <cell r="D378">
            <v>246779411904</v>
          </cell>
          <cell r="E378" t="str">
            <v>17/03/2025</v>
          </cell>
          <cell r="F378">
            <v>-58.94</v>
          </cell>
          <cell r="G378"/>
          <cell r="H378">
            <v>-5130.28</v>
          </cell>
        </row>
        <row r="379">
          <cell r="D379">
            <v>246779411728</v>
          </cell>
          <cell r="E379" t="str">
            <v>17/03/2025</v>
          </cell>
          <cell r="F379">
            <v>0.23</v>
          </cell>
          <cell r="G379"/>
          <cell r="H379">
            <v>20.02</v>
          </cell>
        </row>
        <row r="380">
          <cell r="D380">
            <v>246779411912</v>
          </cell>
          <cell r="E380" t="str">
            <v>17/03/2025</v>
          </cell>
          <cell r="F380">
            <v>-11.36</v>
          </cell>
          <cell r="G380"/>
          <cell r="H380">
            <v>-988.8</v>
          </cell>
        </row>
        <row r="381">
          <cell r="D381">
            <v>246779411904</v>
          </cell>
          <cell r="E381" t="str">
            <v>17/03/2025</v>
          </cell>
          <cell r="F381">
            <v>1.18</v>
          </cell>
          <cell r="G381"/>
          <cell r="H381">
            <v>102.71</v>
          </cell>
        </row>
        <row r="382">
          <cell r="D382">
            <v>246779411912</v>
          </cell>
          <cell r="E382" t="str">
            <v>17/03/2025</v>
          </cell>
          <cell r="F382">
            <v>0.23</v>
          </cell>
          <cell r="G382"/>
          <cell r="H382">
            <v>20.02</v>
          </cell>
        </row>
        <row r="383">
          <cell r="D383">
            <v>246779412036</v>
          </cell>
          <cell r="E383" t="str">
            <v>17/03/2025</v>
          </cell>
          <cell r="F383">
            <v>-28.03</v>
          </cell>
          <cell r="G383"/>
          <cell r="H383">
            <v>-2439.8000000000002</v>
          </cell>
        </row>
        <row r="384">
          <cell r="D384">
            <v>246779412034</v>
          </cell>
          <cell r="E384" t="str">
            <v>17/03/2025</v>
          </cell>
          <cell r="F384">
            <v>-33.64</v>
          </cell>
          <cell r="G384"/>
          <cell r="H384">
            <v>-2928.11</v>
          </cell>
        </row>
        <row r="385">
          <cell r="D385">
            <v>246779412039</v>
          </cell>
          <cell r="E385" t="str">
            <v>17/03/2025</v>
          </cell>
          <cell r="F385">
            <v>-56.06</v>
          </cell>
          <cell r="G385"/>
          <cell r="H385">
            <v>-4879.6000000000004</v>
          </cell>
        </row>
        <row r="386">
          <cell r="D386">
            <v>246779412028</v>
          </cell>
          <cell r="E386" t="str">
            <v>17/03/2025</v>
          </cell>
          <cell r="F386">
            <v>-28.03</v>
          </cell>
          <cell r="G386"/>
          <cell r="H386">
            <v>-2439.8000000000002</v>
          </cell>
        </row>
        <row r="387">
          <cell r="D387">
            <v>246779412037</v>
          </cell>
          <cell r="E387" t="str">
            <v>17/03/2025</v>
          </cell>
          <cell r="F387">
            <v>-44.85</v>
          </cell>
          <cell r="G387"/>
          <cell r="H387">
            <v>-3903.85</v>
          </cell>
        </row>
        <row r="388">
          <cell r="D388">
            <v>246779412032</v>
          </cell>
          <cell r="E388" t="str">
            <v>17/03/2025</v>
          </cell>
          <cell r="F388">
            <v>-33.64</v>
          </cell>
          <cell r="G388"/>
          <cell r="H388">
            <v>-2928.11</v>
          </cell>
        </row>
        <row r="389">
          <cell r="D389">
            <v>246779412030</v>
          </cell>
          <cell r="E389" t="str">
            <v>17/03/2025</v>
          </cell>
          <cell r="F389">
            <v>-16.82</v>
          </cell>
          <cell r="G389"/>
          <cell r="H389">
            <v>-1464.05</v>
          </cell>
        </row>
        <row r="390">
          <cell r="D390">
            <v>246779412035</v>
          </cell>
          <cell r="E390" t="str">
            <v>17/03/2025</v>
          </cell>
          <cell r="F390">
            <v>-72.88</v>
          </cell>
          <cell r="G390"/>
          <cell r="H390">
            <v>-6343.65</v>
          </cell>
        </row>
        <row r="391">
          <cell r="D391">
            <v>246779412031</v>
          </cell>
          <cell r="E391" t="str">
            <v>17/03/2025</v>
          </cell>
          <cell r="F391">
            <v>-28.03</v>
          </cell>
          <cell r="G391"/>
          <cell r="H391">
            <v>-2439.8000000000002</v>
          </cell>
        </row>
        <row r="392">
          <cell r="D392">
            <v>246779412029</v>
          </cell>
          <cell r="E392" t="str">
            <v>17/03/2025</v>
          </cell>
          <cell r="F392">
            <v>-22.42</v>
          </cell>
          <cell r="G392"/>
          <cell r="H392">
            <v>-1951.49</v>
          </cell>
        </row>
        <row r="393">
          <cell r="D393">
            <v>246779412032</v>
          </cell>
          <cell r="E393" t="str">
            <v>17/03/2025</v>
          </cell>
          <cell r="F393">
            <v>0.67</v>
          </cell>
          <cell r="G393"/>
          <cell r="H393">
            <v>58.32</v>
          </cell>
        </row>
        <row r="394">
          <cell r="D394">
            <v>246779412037</v>
          </cell>
          <cell r="E394" t="str">
            <v>17/03/2025</v>
          </cell>
          <cell r="F394">
            <v>0.9</v>
          </cell>
          <cell r="G394"/>
          <cell r="H394">
            <v>78.34</v>
          </cell>
        </row>
        <row r="395">
          <cell r="D395">
            <v>246779412030</v>
          </cell>
          <cell r="E395" t="str">
            <v>17/03/2025</v>
          </cell>
          <cell r="F395">
            <v>0.34</v>
          </cell>
          <cell r="G395"/>
          <cell r="H395">
            <v>29.59</v>
          </cell>
        </row>
        <row r="396">
          <cell r="D396">
            <v>246779412034</v>
          </cell>
          <cell r="E396" t="str">
            <v>17/03/2025</v>
          </cell>
          <cell r="F396">
            <v>0.67</v>
          </cell>
          <cell r="G396"/>
          <cell r="H396">
            <v>58.32</v>
          </cell>
        </row>
        <row r="397">
          <cell r="D397">
            <v>246779412039</v>
          </cell>
          <cell r="E397" t="str">
            <v>17/03/2025</v>
          </cell>
          <cell r="F397">
            <v>1.1200000000000001</v>
          </cell>
          <cell r="G397"/>
          <cell r="H397">
            <v>97.49</v>
          </cell>
        </row>
        <row r="398">
          <cell r="D398">
            <v>246779412036</v>
          </cell>
          <cell r="E398" t="str">
            <v>17/03/2025</v>
          </cell>
          <cell r="F398">
            <v>0.56000000000000005</v>
          </cell>
          <cell r="G398"/>
          <cell r="H398">
            <v>48.74</v>
          </cell>
        </row>
        <row r="399">
          <cell r="D399">
            <v>246779412028</v>
          </cell>
          <cell r="E399" t="str">
            <v>17/03/2025</v>
          </cell>
          <cell r="F399">
            <v>0.56000000000000005</v>
          </cell>
          <cell r="G399"/>
          <cell r="H399">
            <v>48.74</v>
          </cell>
        </row>
        <row r="400">
          <cell r="D400">
            <v>246779412031</v>
          </cell>
          <cell r="E400" t="str">
            <v>17/03/2025</v>
          </cell>
          <cell r="F400">
            <v>0.56000000000000005</v>
          </cell>
          <cell r="G400"/>
          <cell r="H400">
            <v>48.74</v>
          </cell>
        </row>
        <row r="401">
          <cell r="D401">
            <v>246779412029</v>
          </cell>
          <cell r="E401" t="str">
            <v>17/03/2025</v>
          </cell>
          <cell r="F401">
            <v>0.45</v>
          </cell>
          <cell r="G401"/>
          <cell r="H401">
            <v>39.17</v>
          </cell>
        </row>
        <row r="402">
          <cell r="D402">
            <v>246779412035</v>
          </cell>
          <cell r="E402" t="str">
            <v>17/03/2025</v>
          </cell>
          <cell r="F402">
            <v>1.46</v>
          </cell>
          <cell r="G402"/>
          <cell r="H402">
            <v>127.08</v>
          </cell>
        </row>
        <row r="403">
          <cell r="D403">
            <v>246779411973</v>
          </cell>
          <cell r="E403" t="str">
            <v>17/03/2025</v>
          </cell>
          <cell r="F403">
            <v>-426.09</v>
          </cell>
          <cell r="G403"/>
          <cell r="H403">
            <v>-37087.9</v>
          </cell>
        </row>
        <row r="404">
          <cell r="D404">
            <v>246779412033</v>
          </cell>
          <cell r="E404" t="str">
            <v>17/03/2025</v>
          </cell>
          <cell r="F404">
            <v>-22.42</v>
          </cell>
          <cell r="G404"/>
          <cell r="H404">
            <v>-1951.49</v>
          </cell>
        </row>
        <row r="405">
          <cell r="D405" t="str">
            <v>246779411409_R</v>
          </cell>
          <cell r="E405" t="str">
            <v>14/03/2025</v>
          </cell>
          <cell r="F405">
            <v>249.55</v>
          </cell>
          <cell r="G405"/>
          <cell r="H405">
            <v>21721.43</v>
          </cell>
        </row>
        <row r="406">
          <cell r="D406">
            <v>246779412047</v>
          </cell>
          <cell r="E406" t="str">
            <v>17/03/2025</v>
          </cell>
          <cell r="F406">
            <v>-28.03</v>
          </cell>
          <cell r="G406"/>
          <cell r="H406">
            <v>-2439.8000000000002</v>
          </cell>
        </row>
        <row r="407">
          <cell r="D407">
            <v>246779411908</v>
          </cell>
          <cell r="E407" t="str">
            <v>17/03/2025</v>
          </cell>
          <cell r="F407">
            <v>-28.41</v>
          </cell>
          <cell r="G407"/>
          <cell r="H407">
            <v>-2472.88</v>
          </cell>
        </row>
        <row r="408">
          <cell r="D408">
            <v>2512590</v>
          </cell>
          <cell r="E408" t="str">
            <v>21/07/2025</v>
          </cell>
          <cell r="F408">
            <v>0</v>
          </cell>
          <cell r="G408"/>
          <cell r="H408">
            <v>2396201.27</v>
          </cell>
        </row>
        <row r="409">
          <cell r="D409">
            <v>2513416</v>
          </cell>
          <cell r="E409" t="str">
            <v>21/07/2025</v>
          </cell>
          <cell r="F409">
            <v>0</v>
          </cell>
          <cell r="G409"/>
          <cell r="H409">
            <v>2396201.27</v>
          </cell>
        </row>
        <row r="410">
          <cell r="D410">
            <v>2516019</v>
          </cell>
          <cell r="E410" t="str">
            <v>31/07/2025</v>
          </cell>
          <cell r="F410">
            <v>0</v>
          </cell>
          <cell r="G410"/>
          <cell r="H410">
            <v>-2396201.27</v>
          </cell>
        </row>
        <row r="411">
          <cell r="D411" t="str">
            <v>246779411409_R</v>
          </cell>
          <cell r="E411" t="str">
            <v>14/03/2025</v>
          </cell>
          <cell r="F411">
            <v>0</v>
          </cell>
          <cell r="G411"/>
          <cell r="H411">
            <v>-2.0499999999999998</v>
          </cell>
        </row>
        <row r="412">
          <cell r="D412">
            <v>246779411973</v>
          </cell>
          <cell r="E412" t="str">
            <v>17/03/2025</v>
          </cell>
          <cell r="F412">
            <v>8.52</v>
          </cell>
          <cell r="G412"/>
          <cell r="H412">
            <v>741.6</v>
          </cell>
        </row>
        <row r="413">
          <cell r="D413">
            <v>246779412047</v>
          </cell>
          <cell r="E413" t="str">
            <v>17/03/2025</v>
          </cell>
          <cell r="F413">
            <v>0.56000000000000005</v>
          </cell>
          <cell r="G413"/>
          <cell r="H413">
            <v>48.74</v>
          </cell>
        </row>
        <row r="414">
          <cell r="D414">
            <v>246779411908</v>
          </cell>
          <cell r="E414" t="str">
            <v>17/03/2025</v>
          </cell>
          <cell r="F414">
            <v>0.56999999999999995</v>
          </cell>
          <cell r="G414"/>
          <cell r="H414">
            <v>49.61</v>
          </cell>
        </row>
        <row r="415">
          <cell r="D415">
            <v>246779412033</v>
          </cell>
          <cell r="E415" t="str">
            <v>17/03/2025</v>
          </cell>
          <cell r="F415">
            <v>0.45</v>
          </cell>
          <cell r="G415"/>
          <cell r="H415">
            <v>39.17</v>
          </cell>
        </row>
        <row r="416">
          <cell r="D416">
            <v>246779411973</v>
          </cell>
          <cell r="E416" t="str">
            <v>17/03/2025</v>
          </cell>
          <cell r="F416">
            <v>0</v>
          </cell>
          <cell r="G416"/>
          <cell r="H416">
            <v>439.66</v>
          </cell>
        </row>
        <row r="417">
          <cell r="D417">
            <v>246779412033</v>
          </cell>
          <cell r="E417" t="str">
            <v>17/03/2025</v>
          </cell>
          <cell r="F417">
            <v>0</v>
          </cell>
          <cell r="G417"/>
          <cell r="H417">
            <v>23.13</v>
          </cell>
        </row>
        <row r="418">
          <cell r="D418">
            <v>246779412047</v>
          </cell>
          <cell r="E418" t="str">
            <v>17/03/2025</v>
          </cell>
          <cell r="F418">
            <v>0</v>
          </cell>
          <cell r="G418"/>
          <cell r="H418">
            <v>28.93</v>
          </cell>
        </row>
        <row r="419">
          <cell r="D419">
            <v>246779411908</v>
          </cell>
          <cell r="E419" t="str">
            <v>17/03/2025</v>
          </cell>
          <cell r="F419">
            <v>0</v>
          </cell>
          <cell r="G419"/>
          <cell r="H419">
            <v>29.32</v>
          </cell>
        </row>
        <row r="420">
          <cell r="D420">
            <v>246779411730</v>
          </cell>
          <cell r="E420" t="str">
            <v>17/03/2025</v>
          </cell>
          <cell r="F420">
            <v>-11.42</v>
          </cell>
          <cell r="G420"/>
          <cell r="H420">
            <v>-994.02</v>
          </cell>
        </row>
        <row r="421">
          <cell r="D421">
            <v>246779411789</v>
          </cell>
          <cell r="E421" t="str">
            <v>17/03/2025</v>
          </cell>
          <cell r="F421">
            <v>-428.11</v>
          </cell>
          <cell r="G421"/>
          <cell r="H421">
            <v>-37263.730000000003</v>
          </cell>
        </row>
        <row r="422">
          <cell r="D422">
            <v>246779411789</v>
          </cell>
          <cell r="E422" t="str">
            <v>17/03/2025</v>
          </cell>
          <cell r="F422">
            <v>8.56</v>
          </cell>
          <cell r="G422"/>
          <cell r="H422">
            <v>745.08</v>
          </cell>
        </row>
        <row r="423">
          <cell r="D423">
            <v>246779411730</v>
          </cell>
          <cell r="E423" t="str">
            <v>17/03/2025</v>
          </cell>
          <cell r="F423">
            <v>0.23</v>
          </cell>
          <cell r="G423"/>
          <cell r="H423">
            <v>20.02</v>
          </cell>
        </row>
        <row r="424">
          <cell r="D424">
            <v>246779411730</v>
          </cell>
          <cell r="E424" t="str">
            <v>17/03/2025</v>
          </cell>
          <cell r="F424">
            <v>0</v>
          </cell>
          <cell r="G424"/>
          <cell r="H424">
            <v>-23.64</v>
          </cell>
        </row>
        <row r="425">
          <cell r="D425">
            <v>246779411789</v>
          </cell>
          <cell r="E425" t="str">
            <v>17/03/2025</v>
          </cell>
          <cell r="F425">
            <v>0</v>
          </cell>
          <cell r="G425"/>
          <cell r="H425">
            <v>-886.24</v>
          </cell>
        </row>
        <row r="426">
          <cell r="D426">
            <v>256779412012</v>
          </cell>
          <cell r="E426" t="str">
            <v>16/04/2025</v>
          </cell>
          <cell r="F426">
            <v>0</v>
          </cell>
          <cell r="G426"/>
          <cell r="H426">
            <v>-1051.22</v>
          </cell>
        </row>
        <row r="427">
          <cell r="D427">
            <v>256779412012</v>
          </cell>
          <cell r="E427" t="str">
            <v>16/04/2025</v>
          </cell>
          <cell r="F427">
            <v>0</v>
          </cell>
          <cell r="G427"/>
          <cell r="H427">
            <v>22</v>
          </cell>
        </row>
        <row r="428">
          <cell r="D428">
            <v>256779412092</v>
          </cell>
          <cell r="E428" t="str">
            <v>16/04/2025</v>
          </cell>
          <cell r="F428">
            <v>-289.17</v>
          </cell>
          <cell r="G428"/>
          <cell r="H428">
            <v>-24789.67</v>
          </cell>
        </row>
        <row r="429">
          <cell r="D429">
            <v>256779412053</v>
          </cell>
          <cell r="E429" t="str">
            <v>16/04/2025</v>
          </cell>
          <cell r="F429">
            <v>-985.93</v>
          </cell>
          <cell r="G429"/>
          <cell r="H429">
            <v>-84520.79</v>
          </cell>
        </row>
        <row r="430">
          <cell r="D430">
            <v>256779412091</v>
          </cell>
          <cell r="E430" t="str">
            <v>16/04/2025</v>
          </cell>
          <cell r="F430">
            <v>-96.4</v>
          </cell>
          <cell r="G430"/>
          <cell r="H430">
            <v>-8264.08</v>
          </cell>
        </row>
        <row r="431">
          <cell r="D431">
            <v>256779412123</v>
          </cell>
          <cell r="E431" t="str">
            <v>16/04/2025</v>
          </cell>
          <cell r="F431">
            <v>-3318.21</v>
          </cell>
          <cell r="G431"/>
          <cell r="H431">
            <v>-284460.08</v>
          </cell>
        </row>
        <row r="432">
          <cell r="D432">
            <v>256779411969</v>
          </cell>
          <cell r="E432" t="str">
            <v>16/04/2025</v>
          </cell>
          <cell r="F432">
            <v>-79.08</v>
          </cell>
          <cell r="G432"/>
          <cell r="H432">
            <v>-6779.29</v>
          </cell>
        </row>
        <row r="433">
          <cell r="D433">
            <v>256779412053</v>
          </cell>
          <cell r="E433" t="str">
            <v>16/04/2025</v>
          </cell>
          <cell r="F433">
            <v>19.72</v>
          </cell>
          <cell r="G433"/>
          <cell r="H433">
            <v>1690.54</v>
          </cell>
        </row>
        <row r="434">
          <cell r="D434">
            <v>256779411969</v>
          </cell>
          <cell r="E434" t="str">
            <v>16/04/2025</v>
          </cell>
          <cell r="F434">
            <v>1.58</v>
          </cell>
          <cell r="G434"/>
          <cell r="H434">
            <v>135.44999999999999</v>
          </cell>
        </row>
        <row r="435">
          <cell r="D435">
            <v>256779412092</v>
          </cell>
          <cell r="E435" t="str">
            <v>16/04/2025</v>
          </cell>
          <cell r="F435">
            <v>5.78</v>
          </cell>
          <cell r="G435"/>
          <cell r="H435">
            <v>495.5</v>
          </cell>
        </row>
        <row r="436">
          <cell r="D436">
            <v>256779412123</v>
          </cell>
          <cell r="E436" t="str">
            <v>16/04/2025</v>
          </cell>
          <cell r="F436">
            <v>66.36</v>
          </cell>
          <cell r="G436"/>
          <cell r="H436">
            <v>5688.84</v>
          </cell>
        </row>
        <row r="437">
          <cell r="D437">
            <v>256779412091</v>
          </cell>
          <cell r="E437" t="str">
            <v>16/04/2025</v>
          </cell>
          <cell r="F437">
            <v>1.93</v>
          </cell>
          <cell r="G437"/>
          <cell r="H437">
            <v>165.45</v>
          </cell>
        </row>
        <row r="438">
          <cell r="D438">
            <v>256779412092</v>
          </cell>
          <cell r="E438" t="str">
            <v>16/04/2025</v>
          </cell>
          <cell r="F438">
            <v>0</v>
          </cell>
          <cell r="G438"/>
          <cell r="H438">
            <v>-74.400000000000006</v>
          </cell>
        </row>
        <row r="439">
          <cell r="D439">
            <v>256779412053</v>
          </cell>
          <cell r="E439" t="str">
            <v>16/04/2025</v>
          </cell>
          <cell r="F439">
            <v>0</v>
          </cell>
          <cell r="G439"/>
          <cell r="H439">
            <v>-253.67</v>
          </cell>
        </row>
        <row r="440">
          <cell r="D440">
            <v>256779412091</v>
          </cell>
          <cell r="E440" t="str">
            <v>16/04/2025</v>
          </cell>
          <cell r="F440">
            <v>0</v>
          </cell>
          <cell r="G440"/>
          <cell r="H440">
            <v>-24.8</v>
          </cell>
        </row>
        <row r="441">
          <cell r="D441">
            <v>256779412123</v>
          </cell>
          <cell r="E441" t="str">
            <v>16/04/2025</v>
          </cell>
          <cell r="F441">
            <v>0</v>
          </cell>
          <cell r="G441"/>
          <cell r="H441">
            <v>-853.75</v>
          </cell>
        </row>
        <row r="442">
          <cell r="D442">
            <v>256779411969</v>
          </cell>
          <cell r="E442" t="str">
            <v>16/04/2025</v>
          </cell>
          <cell r="F442">
            <v>0</v>
          </cell>
          <cell r="G442"/>
          <cell r="H442">
            <v>-20.350000000000001</v>
          </cell>
        </row>
        <row r="443">
          <cell r="D443">
            <v>256779411867</v>
          </cell>
          <cell r="E443" t="str">
            <v>16/04/2025</v>
          </cell>
          <cell r="F443">
            <v>-295</v>
          </cell>
          <cell r="G443"/>
          <cell r="H443">
            <v>-25289.46</v>
          </cell>
        </row>
        <row r="444">
          <cell r="D444">
            <v>256779411867</v>
          </cell>
          <cell r="E444" t="str">
            <v>16/04/2025</v>
          </cell>
          <cell r="F444">
            <v>5.9</v>
          </cell>
          <cell r="G444"/>
          <cell r="H444">
            <v>505.79</v>
          </cell>
        </row>
        <row r="445">
          <cell r="D445">
            <v>256779411867</v>
          </cell>
          <cell r="E445" t="str">
            <v>16/04/2025</v>
          </cell>
          <cell r="F445">
            <v>0</v>
          </cell>
          <cell r="G445"/>
          <cell r="H445">
            <v>-847.79</v>
          </cell>
        </row>
        <row r="446">
          <cell r="D446">
            <v>256779411970</v>
          </cell>
          <cell r="E446" t="str">
            <v>16/04/2025</v>
          </cell>
          <cell r="F446">
            <v>-8.66</v>
          </cell>
          <cell r="G446"/>
          <cell r="H446">
            <v>-742.4</v>
          </cell>
        </row>
        <row r="447">
          <cell r="D447">
            <v>256779411970</v>
          </cell>
          <cell r="E447" t="str">
            <v>16/04/2025</v>
          </cell>
          <cell r="F447">
            <v>0.17</v>
          </cell>
          <cell r="G447"/>
          <cell r="H447">
            <v>14.57</v>
          </cell>
        </row>
        <row r="448">
          <cell r="D448">
            <v>256779411867</v>
          </cell>
          <cell r="E448" t="str">
            <v>16/04/2025</v>
          </cell>
          <cell r="F448">
            <v>0</v>
          </cell>
          <cell r="G448"/>
          <cell r="H448">
            <v>117.64</v>
          </cell>
        </row>
        <row r="449">
          <cell r="D449">
            <v>256779411970</v>
          </cell>
          <cell r="E449" t="str">
            <v>16/04/2025</v>
          </cell>
          <cell r="F449">
            <v>0</v>
          </cell>
          <cell r="G449"/>
          <cell r="H449">
            <v>-21.43</v>
          </cell>
        </row>
        <row r="450">
          <cell r="D450">
            <v>256779411867</v>
          </cell>
          <cell r="E450" t="str">
            <v>16/04/2025</v>
          </cell>
          <cell r="F450">
            <v>0</v>
          </cell>
          <cell r="G450"/>
          <cell r="H450">
            <v>-260.83</v>
          </cell>
        </row>
        <row r="451">
          <cell r="D451">
            <v>256779411867</v>
          </cell>
          <cell r="E451" t="str">
            <v>16/04/2025</v>
          </cell>
          <cell r="F451">
            <v>0</v>
          </cell>
          <cell r="G451"/>
          <cell r="H451">
            <v>-212.77</v>
          </cell>
        </row>
        <row r="452">
          <cell r="D452">
            <v>256779411867</v>
          </cell>
          <cell r="E452" t="str">
            <v>16/04/2025</v>
          </cell>
          <cell r="F452">
            <v>0</v>
          </cell>
          <cell r="G452"/>
          <cell r="H452">
            <v>-503.02</v>
          </cell>
        </row>
        <row r="453">
          <cell r="D453">
            <v>256779411468</v>
          </cell>
          <cell r="E453" t="str">
            <v>15/04/2025</v>
          </cell>
          <cell r="F453">
            <v>-26.55</v>
          </cell>
          <cell r="G453"/>
          <cell r="H453">
            <v>-2276.0500000000002</v>
          </cell>
        </row>
        <row r="454">
          <cell r="D454">
            <v>256779411468</v>
          </cell>
          <cell r="E454" t="str">
            <v>15/04/2025</v>
          </cell>
          <cell r="F454">
            <v>0.53</v>
          </cell>
          <cell r="G454"/>
          <cell r="H454">
            <v>45.44</v>
          </cell>
        </row>
        <row r="455">
          <cell r="D455">
            <v>256779411467</v>
          </cell>
          <cell r="E455" t="str">
            <v>15/04/2025</v>
          </cell>
          <cell r="F455">
            <v>-35.4</v>
          </cell>
          <cell r="G455"/>
          <cell r="H455">
            <v>-3034.73</v>
          </cell>
        </row>
        <row r="456">
          <cell r="D456">
            <v>256779411467</v>
          </cell>
          <cell r="E456" t="str">
            <v>15/04/2025</v>
          </cell>
          <cell r="F456">
            <v>0.71</v>
          </cell>
          <cell r="G456"/>
          <cell r="H456">
            <v>60.87</v>
          </cell>
        </row>
        <row r="457">
          <cell r="D457">
            <v>256779411467</v>
          </cell>
          <cell r="E457" t="str">
            <v>15/04/2025</v>
          </cell>
          <cell r="F457">
            <v>0</v>
          </cell>
          <cell r="G457"/>
          <cell r="H457">
            <v>-101.74</v>
          </cell>
        </row>
        <row r="458">
          <cell r="D458">
            <v>256779411467</v>
          </cell>
          <cell r="E458" t="str">
            <v>15/04/2025</v>
          </cell>
          <cell r="F458">
            <v>0</v>
          </cell>
          <cell r="G458"/>
          <cell r="H458">
            <v>14.12</v>
          </cell>
        </row>
        <row r="459">
          <cell r="D459">
            <v>256779411467</v>
          </cell>
          <cell r="E459" t="str">
            <v>15/04/2025</v>
          </cell>
          <cell r="F459">
            <v>0</v>
          </cell>
          <cell r="G459"/>
          <cell r="H459">
            <v>-31.3</v>
          </cell>
        </row>
        <row r="460">
          <cell r="D460">
            <v>256779411466</v>
          </cell>
          <cell r="E460" t="str">
            <v>15/04/2025</v>
          </cell>
          <cell r="F460">
            <v>-35.4</v>
          </cell>
          <cell r="G460"/>
          <cell r="H460">
            <v>-3034.73</v>
          </cell>
        </row>
        <row r="461">
          <cell r="D461">
            <v>256779411465</v>
          </cell>
          <cell r="E461" t="str">
            <v>15/04/2025</v>
          </cell>
          <cell r="F461">
            <v>-32.450000000000003</v>
          </cell>
          <cell r="G461"/>
          <cell r="H461">
            <v>-2781.84</v>
          </cell>
        </row>
        <row r="462">
          <cell r="D462">
            <v>256779411465</v>
          </cell>
          <cell r="E462" t="str">
            <v>15/04/2025</v>
          </cell>
          <cell r="F462">
            <v>0.65</v>
          </cell>
          <cell r="G462"/>
          <cell r="H462">
            <v>55.72</v>
          </cell>
        </row>
        <row r="463">
          <cell r="D463">
            <v>256779411466</v>
          </cell>
          <cell r="E463" t="str">
            <v>15/04/2025</v>
          </cell>
          <cell r="F463">
            <v>0.71</v>
          </cell>
          <cell r="G463"/>
          <cell r="H463">
            <v>60.87</v>
          </cell>
        </row>
        <row r="464">
          <cell r="D464">
            <v>256779411463</v>
          </cell>
          <cell r="E464" t="str">
            <v>15/04/2025</v>
          </cell>
          <cell r="F464">
            <v>-23.6</v>
          </cell>
          <cell r="G464"/>
          <cell r="H464">
            <v>-2023.16</v>
          </cell>
        </row>
        <row r="465">
          <cell r="D465">
            <v>256779411463</v>
          </cell>
          <cell r="E465" t="str">
            <v>15/04/2025</v>
          </cell>
          <cell r="F465">
            <v>0.47</v>
          </cell>
          <cell r="G465"/>
          <cell r="H465">
            <v>40.29</v>
          </cell>
        </row>
        <row r="466">
          <cell r="D466">
            <v>256779411467</v>
          </cell>
          <cell r="E466" t="str">
            <v>15/04/2025</v>
          </cell>
          <cell r="F466">
            <v>0</v>
          </cell>
          <cell r="G466"/>
          <cell r="H466">
            <v>-25.53</v>
          </cell>
        </row>
        <row r="467">
          <cell r="D467">
            <v>256779411466</v>
          </cell>
          <cell r="E467" t="str">
            <v>15/04/2025</v>
          </cell>
          <cell r="F467">
            <v>0</v>
          </cell>
          <cell r="G467"/>
          <cell r="H467">
            <v>-144.44999999999999</v>
          </cell>
        </row>
        <row r="468">
          <cell r="D468">
            <v>256779411465</v>
          </cell>
          <cell r="E468" t="str">
            <v>15/04/2025</v>
          </cell>
          <cell r="F468">
            <v>0</v>
          </cell>
          <cell r="G468"/>
          <cell r="H468">
            <v>-132.41</v>
          </cell>
        </row>
        <row r="469">
          <cell r="D469">
            <v>256779411463</v>
          </cell>
          <cell r="E469" t="str">
            <v>15/04/2025</v>
          </cell>
          <cell r="F469">
            <v>0</v>
          </cell>
          <cell r="G469"/>
          <cell r="H469">
            <v>-96.3</v>
          </cell>
        </row>
        <row r="470">
          <cell r="D470">
            <v>256779411467</v>
          </cell>
          <cell r="E470" t="str">
            <v>15/04/2025</v>
          </cell>
          <cell r="F470">
            <v>0</v>
          </cell>
          <cell r="G470"/>
          <cell r="H470">
            <v>-60.36</v>
          </cell>
        </row>
        <row r="471">
          <cell r="D471">
            <v>256779411466</v>
          </cell>
          <cell r="E471" t="str">
            <v>15/04/2025</v>
          </cell>
          <cell r="F471">
            <v>0</v>
          </cell>
          <cell r="G471"/>
          <cell r="H471">
            <v>-60.36</v>
          </cell>
        </row>
        <row r="472">
          <cell r="D472">
            <v>256779411465</v>
          </cell>
          <cell r="E472" t="str">
            <v>15/04/2025</v>
          </cell>
          <cell r="F472">
            <v>0</v>
          </cell>
          <cell r="G472"/>
          <cell r="H472">
            <v>-55.33</v>
          </cell>
        </row>
        <row r="473">
          <cell r="D473">
            <v>256779411463</v>
          </cell>
          <cell r="E473" t="str">
            <v>15/04/2025</v>
          </cell>
          <cell r="F473">
            <v>0</v>
          </cell>
          <cell r="G473"/>
          <cell r="H473">
            <v>-40.25</v>
          </cell>
        </row>
        <row r="474">
          <cell r="D474">
            <v>246779411407</v>
          </cell>
          <cell r="E474" t="str">
            <v>14/03/2025</v>
          </cell>
          <cell r="F474">
            <v>-57.23</v>
          </cell>
          <cell r="G474"/>
          <cell r="H474">
            <v>-4981.4399999999996</v>
          </cell>
        </row>
        <row r="475">
          <cell r="D475">
            <v>246779411410</v>
          </cell>
          <cell r="E475" t="str">
            <v>14/03/2025</v>
          </cell>
          <cell r="F475">
            <v>-40.06</v>
          </cell>
          <cell r="G475"/>
          <cell r="H475">
            <v>-3486.92</v>
          </cell>
        </row>
        <row r="476">
          <cell r="D476">
            <v>246779411413</v>
          </cell>
          <cell r="E476" t="str">
            <v>14/03/2025</v>
          </cell>
          <cell r="F476">
            <v>-40.06</v>
          </cell>
          <cell r="G476"/>
          <cell r="H476">
            <v>-3486.92</v>
          </cell>
        </row>
        <row r="477">
          <cell r="D477">
            <v>246779411414</v>
          </cell>
          <cell r="E477" t="str">
            <v>14/03/2025</v>
          </cell>
          <cell r="F477">
            <v>-28.62</v>
          </cell>
          <cell r="G477"/>
          <cell r="H477">
            <v>-2491.15</v>
          </cell>
        </row>
        <row r="478">
          <cell r="D478">
            <v>246779411415</v>
          </cell>
          <cell r="E478" t="str">
            <v>14/03/2025</v>
          </cell>
          <cell r="F478">
            <v>-22.89</v>
          </cell>
          <cell r="G478"/>
          <cell r="H478">
            <v>-1992.4</v>
          </cell>
        </row>
        <row r="479">
          <cell r="D479">
            <v>246779411417</v>
          </cell>
          <cell r="E479" t="str">
            <v>14/03/2025</v>
          </cell>
          <cell r="F479">
            <v>-68.680000000000007</v>
          </cell>
          <cell r="G479"/>
          <cell r="H479">
            <v>-5978.07</v>
          </cell>
        </row>
        <row r="480">
          <cell r="D480">
            <v>246779411419</v>
          </cell>
          <cell r="E480" t="str">
            <v>14/03/2025</v>
          </cell>
          <cell r="F480">
            <v>-23.35</v>
          </cell>
          <cell r="G480"/>
          <cell r="H480">
            <v>-2032.44</v>
          </cell>
        </row>
        <row r="481">
          <cell r="D481">
            <v>246779411409</v>
          </cell>
          <cell r="E481" t="str">
            <v>14/03/2025</v>
          </cell>
          <cell r="F481">
            <v>-249.55</v>
          </cell>
          <cell r="G481"/>
          <cell r="H481">
            <v>-21721.43</v>
          </cell>
        </row>
        <row r="482">
          <cell r="D482">
            <v>246779411408</v>
          </cell>
          <cell r="E482" t="str">
            <v>14/03/2025</v>
          </cell>
          <cell r="F482">
            <v>-40.06</v>
          </cell>
          <cell r="G482"/>
          <cell r="H482">
            <v>-3486.92</v>
          </cell>
        </row>
        <row r="483">
          <cell r="D483">
            <v>246779411411</v>
          </cell>
          <cell r="E483" t="str">
            <v>14/03/2025</v>
          </cell>
          <cell r="F483">
            <v>-45.79</v>
          </cell>
          <cell r="G483"/>
          <cell r="H483">
            <v>-3985.67</v>
          </cell>
        </row>
        <row r="484">
          <cell r="D484">
            <v>246779411412</v>
          </cell>
          <cell r="E484" t="str">
            <v>14/03/2025</v>
          </cell>
          <cell r="F484">
            <v>-20.03</v>
          </cell>
          <cell r="G484"/>
          <cell r="H484">
            <v>-1743.46</v>
          </cell>
        </row>
        <row r="485">
          <cell r="D485">
            <v>246779411416</v>
          </cell>
          <cell r="E485" t="str">
            <v>14/03/2025</v>
          </cell>
          <cell r="F485">
            <v>-114.46</v>
          </cell>
          <cell r="G485"/>
          <cell r="H485">
            <v>-9962.8700000000008</v>
          </cell>
        </row>
        <row r="486">
          <cell r="D486">
            <v>246779411418</v>
          </cell>
          <cell r="E486" t="str">
            <v>14/03/2025</v>
          </cell>
          <cell r="F486">
            <v>-312.5</v>
          </cell>
          <cell r="G486"/>
          <cell r="H486">
            <v>-27200.75</v>
          </cell>
        </row>
        <row r="487">
          <cell r="D487">
            <v>246779411414</v>
          </cell>
          <cell r="E487" t="str">
            <v>14/03/2025</v>
          </cell>
          <cell r="F487">
            <v>0.56999999999999995</v>
          </cell>
          <cell r="G487"/>
          <cell r="H487">
            <v>49.61</v>
          </cell>
        </row>
        <row r="488">
          <cell r="D488">
            <v>246779411408</v>
          </cell>
          <cell r="E488" t="str">
            <v>14/03/2025</v>
          </cell>
          <cell r="F488">
            <v>0.8</v>
          </cell>
          <cell r="G488"/>
          <cell r="H488">
            <v>69.63</v>
          </cell>
        </row>
        <row r="489">
          <cell r="D489">
            <v>246779411413</v>
          </cell>
          <cell r="E489" t="str">
            <v>14/03/2025</v>
          </cell>
          <cell r="F489">
            <v>0.8</v>
          </cell>
          <cell r="G489"/>
          <cell r="H489">
            <v>69.63</v>
          </cell>
        </row>
        <row r="490">
          <cell r="D490">
            <v>246779411410</v>
          </cell>
          <cell r="E490" t="str">
            <v>14/03/2025</v>
          </cell>
          <cell r="F490">
            <v>0.8</v>
          </cell>
          <cell r="G490"/>
          <cell r="H490">
            <v>69.63</v>
          </cell>
        </row>
        <row r="491">
          <cell r="D491">
            <v>246779411416</v>
          </cell>
          <cell r="E491" t="str">
            <v>14/03/2025</v>
          </cell>
          <cell r="F491">
            <v>2.29</v>
          </cell>
          <cell r="G491"/>
          <cell r="H491">
            <v>199.33</v>
          </cell>
        </row>
        <row r="492">
          <cell r="D492">
            <v>246779411409</v>
          </cell>
          <cell r="E492" t="str">
            <v>14/03/2025</v>
          </cell>
          <cell r="F492">
            <v>4.99</v>
          </cell>
          <cell r="G492"/>
          <cell r="H492">
            <v>434.34</v>
          </cell>
        </row>
        <row r="493">
          <cell r="D493">
            <v>246779411411</v>
          </cell>
          <cell r="E493" t="str">
            <v>14/03/2025</v>
          </cell>
          <cell r="F493">
            <v>0.92</v>
          </cell>
          <cell r="G493"/>
          <cell r="H493">
            <v>80.08</v>
          </cell>
        </row>
        <row r="494">
          <cell r="D494">
            <v>246779411418</v>
          </cell>
          <cell r="E494" t="str">
            <v>14/03/2025</v>
          </cell>
          <cell r="F494">
            <v>6.25</v>
          </cell>
          <cell r="G494"/>
          <cell r="H494">
            <v>544.02</v>
          </cell>
        </row>
        <row r="495">
          <cell r="D495">
            <v>246779411415</v>
          </cell>
          <cell r="E495" t="str">
            <v>14/03/2025</v>
          </cell>
          <cell r="F495">
            <v>0.46</v>
          </cell>
          <cell r="G495"/>
          <cell r="H495">
            <v>40.04</v>
          </cell>
        </row>
        <row r="496">
          <cell r="D496">
            <v>246779411419</v>
          </cell>
          <cell r="E496" t="str">
            <v>14/03/2025</v>
          </cell>
          <cell r="F496">
            <v>0.47</v>
          </cell>
          <cell r="G496"/>
          <cell r="H496">
            <v>40.909999999999997</v>
          </cell>
        </row>
        <row r="497">
          <cell r="D497">
            <v>246779411417</v>
          </cell>
          <cell r="E497" t="str">
            <v>14/03/2025</v>
          </cell>
          <cell r="F497">
            <v>1.37</v>
          </cell>
          <cell r="G497"/>
          <cell r="H497">
            <v>119.25</v>
          </cell>
        </row>
        <row r="498">
          <cell r="D498">
            <v>246779411407</v>
          </cell>
          <cell r="E498" t="str">
            <v>14/03/2025</v>
          </cell>
          <cell r="F498">
            <v>1.1399999999999999</v>
          </cell>
          <cell r="G498"/>
          <cell r="H498">
            <v>99.23</v>
          </cell>
        </row>
        <row r="499">
          <cell r="D499">
            <v>246779411412</v>
          </cell>
          <cell r="E499" t="str">
            <v>14/03/2025</v>
          </cell>
          <cell r="F499">
            <v>0.4</v>
          </cell>
          <cell r="G499"/>
          <cell r="H499">
            <v>34.82</v>
          </cell>
        </row>
        <row r="500">
          <cell r="D500" t="str">
            <v>246779411409_D</v>
          </cell>
          <cell r="E500" t="str">
            <v>14/03/2025</v>
          </cell>
          <cell r="F500">
            <v>-249.55</v>
          </cell>
          <cell r="G500"/>
          <cell r="H500">
            <v>-21721.43</v>
          </cell>
        </row>
        <row r="501">
          <cell r="D501" t="str">
            <v>246779411409_D</v>
          </cell>
          <cell r="E501" t="str">
            <v>14/03/2025</v>
          </cell>
          <cell r="F501">
            <v>4.99</v>
          </cell>
          <cell r="G501"/>
          <cell r="H501">
            <v>434.34</v>
          </cell>
        </row>
        <row r="502">
          <cell r="D502">
            <v>246779411312</v>
          </cell>
          <cell r="E502" t="str">
            <v>13/03/2025</v>
          </cell>
          <cell r="F502">
            <v>-27</v>
          </cell>
          <cell r="G502"/>
          <cell r="H502">
            <v>-2350.15</v>
          </cell>
        </row>
        <row r="503">
          <cell r="D503">
            <v>246779411312</v>
          </cell>
          <cell r="E503" t="str">
            <v>13/03/2025</v>
          </cell>
          <cell r="F503">
            <v>0.54</v>
          </cell>
          <cell r="G503"/>
          <cell r="H503">
            <v>47</v>
          </cell>
        </row>
        <row r="504">
          <cell r="D504">
            <v>256779415389</v>
          </cell>
          <cell r="E504">
            <v>45937</v>
          </cell>
          <cell r="F504">
            <v>-170.62</v>
          </cell>
          <cell r="G504"/>
          <cell r="H504">
            <v>-15094.75</v>
          </cell>
        </row>
        <row r="505">
          <cell r="D505">
            <v>256779415346</v>
          </cell>
          <cell r="E505">
            <v>45937</v>
          </cell>
          <cell r="F505">
            <v>-17.5</v>
          </cell>
          <cell r="G505"/>
          <cell r="H505">
            <v>-1548.23</v>
          </cell>
        </row>
        <row r="506">
          <cell r="D506">
            <v>256779415350</v>
          </cell>
          <cell r="E506">
            <v>45937</v>
          </cell>
          <cell r="F506">
            <v>-22.5</v>
          </cell>
          <cell r="G506"/>
          <cell r="H506">
            <v>-1990.58</v>
          </cell>
        </row>
        <row r="507">
          <cell r="D507">
            <v>256779415316</v>
          </cell>
          <cell r="E507">
            <v>45937</v>
          </cell>
          <cell r="F507">
            <v>-60</v>
          </cell>
          <cell r="G507"/>
          <cell r="H507">
            <v>-5308.2</v>
          </cell>
        </row>
        <row r="508">
          <cell r="D508">
            <v>256779415355</v>
          </cell>
          <cell r="E508">
            <v>45937</v>
          </cell>
          <cell r="F508">
            <v>-21.37</v>
          </cell>
          <cell r="G508"/>
          <cell r="H508">
            <v>-1890.6</v>
          </cell>
        </row>
        <row r="509">
          <cell r="D509">
            <v>256779415303</v>
          </cell>
          <cell r="E509">
            <v>45937</v>
          </cell>
          <cell r="F509">
            <v>-100</v>
          </cell>
          <cell r="G509"/>
          <cell r="H509">
            <v>-8847</v>
          </cell>
        </row>
        <row r="510">
          <cell r="D510">
            <v>256779415333</v>
          </cell>
          <cell r="E510">
            <v>45937</v>
          </cell>
          <cell r="F510">
            <v>-22.5</v>
          </cell>
          <cell r="G510"/>
          <cell r="H510">
            <v>-1990.58</v>
          </cell>
        </row>
        <row r="511">
          <cell r="D511">
            <v>256779415304</v>
          </cell>
          <cell r="E511">
            <v>45937</v>
          </cell>
          <cell r="F511">
            <v>-30</v>
          </cell>
          <cell r="G511"/>
          <cell r="H511">
            <v>-2654.1</v>
          </cell>
        </row>
        <row r="512">
          <cell r="D512">
            <v>256779415377</v>
          </cell>
          <cell r="E512">
            <v>45937</v>
          </cell>
          <cell r="F512">
            <v>-50</v>
          </cell>
          <cell r="G512"/>
          <cell r="H512">
            <v>-4423.5</v>
          </cell>
        </row>
        <row r="513">
          <cell r="D513">
            <v>256779415298</v>
          </cell>
          <cell r="E513">
            <v>45937</v>
          </cell>
          <cell r="F513">
            <v>-24</v>
          </cell>
          <cell r="G513"/>
          <cell r="H513">
            <v>-2123.2800000000002</v>
          </cell>
        </row>
        <row r="514">
          <cell r="D514">
            <v>256779415380</v>
          </cell>
          <cell r="E514">
            <v>45937</v>
          </cell>
          <cell r="F514">
            <v>-200</v>
          </cell>
          <cell r="G514"/>
          <cell r="H514">
            <v>-17694</v>
          </cell>
        </row>
        <row r="515">
          <cell r="D515">
            <v>256779415341</v>
          </cell>
          <cell r="E515">
            <v>45937</v>
          </cell>
          <cell r="F515">
            <v>-15</v>
          </cell>
          <cell r="G515"/>
          <cell r="H515">
            <v>-1327.05</v>
          </cell>
        </row>
        <row r="516">
          <cell r="D516">
            <v>256779415385</v>
          </cell>
          <cell r="E516">
            <v>45937</v>
          </cell>
          <cell r="F516">
            <v>-24</v>
          </cell>
          <cell r="G516"/>
          <cell r="H516">
            <v>-2123.2800000000002</v>
          </cell>
        </row>
        <row r="517">
          <cell r="D517">
            <v>256779415293</v>
          </cell>
          <cell r="E517">
            <v>45937</v>
          </cell>
          <cell r="F517">
            <v>-24</v>
          </cell>
          <cell r="G517"/>
          <cell r="H517">
            <v>-2123.2800000000002</v>
          </cell>
        </row>
        <row r="518">
          <cell r="D518">
            <v>256779415359</v>
          </cell>
          <cell r="E518">
            <v>45937</v>
          </cell>
          <cell r="F518">
            <v>-200</v>
          </cell>
          <cell r="G518"/>
          <cell r="H518">
            <v>-17694</v>
          </cell>
        </row>
        <row r="519">
          <cell r="D519">
            <v>256779415374</v>
          </cell>
          <cell r="E519">
            <v>45937</v>
          </cell>
          <cell r="F519">
            <v>-469.38</v>
          </cell>
          <cell r="G519"/>
          <cell r="H519">
            <v>-41526.050000000003</v>
          </cell>
        </row>
        <row r="520">
          <cell r="D520">
            <v>256779415338</v>
          </cell>
          <cell r="E520">
            <v>45937</v>
          </cell>
          <cell r="F520">
            <v>-12.5</v>
          </cell>
          <cell r="G520"/>
          <cell r="H520">
            <v>-1105.8800000000001</v>
          </cell>
        </row>
        <row r="521">
          <cell r="D521">
            <v>256779415344</v>
          </cell>
          <cell r="E521">
            <v>45937</v>
          </cell>
          <cell r="F521">
            <v>-25</v>
          </cell>
          <cell r="G521"/>
          <cell r="H521">
            <v>-2211.75</v>
          </cell>
        </row>
        <row r="522">
          <cell r="D522">
            <v>256779415345</v>
          </cell>
          <cell r="E522">
            <v>45937</v>
          </cell>
          <cell r="F522">
            <v>-25</v>
          </cell>
          <cell r="G522"/>
          <cell r="H522">
            <v>-2211.75</v>
          </cell>
        </row>
        <row r="523">
          <cell r="D523">
            <v>256779415388</v>
          </cell>
          <cell r="E523">
            <v>45937</v>
          </cell>
          <cell r="F523">
            <v>-2261.63</v>
          </cell>
          <cell r="G523"/>
          <cell r="H523">
            <v>-200086.41</v>
          </cell>
        </row>
        <row r="524">
          <cell r="D524">
            <v>256779415310</v>
          </cell>
          <cell r="E524">
            <v>45937</v>
          </cell>
          <cell r="F524">
            <v>-30</v>
          </cell>
          <cell r="G524"/>
          <cell r="H524">
            <v>-2654.1</v>
          </cell>
        </row>
        <row r="525">
          <cell r="D525">
            <v>256779415379</v>
          </cell>
          <cell r="E525">
            <v>45937</v>
          </cell>
          <cell r="F525">
            <v>-233.11</v>
          </cell>
          <cell r="G525"/>
          <cell r="H525">
            <v>-20623.240000000002</v>
          </cell>
        </row>
        <row r="526">
          <cell r="D526">
            <v>256779415384</v>
          </cell>
          <cell r="E526">
            <v>45937</v>
          </cell>
          <cell r="F526">
            <v>-350</v>
          </cell>
          <cell r="G526"/>
          <cell r="H526">
            <v>-30964.5</v>
          </cell>
        </row>
        <row r="527">
          <cell r="D527">
            <v>256779415339</v>
          </cell>
          <cell r="E527">
            <v>45937</v>
          </cell>
          <cell r="F527">
            <v>-27.39</v>
          </cell>
          <cell r="G527"/>
          <cell r="H527">
            <v>-2423.19</v>
          </cell>
        </row>
        <row r="528">
          <cell r="D528">
            <v>256779415393</v>
          </cell>
          <cell r="E528">
            <v>45937</v>
          </cell>
          <cell r="F528">
            <v>-60</v>
          </cell>
          <cell r="G528"/>
          <cell r="H528">
            <v>-5308.2</v>
          </cell>
        </row>
        <row r="529">
          <cell r="D529">
            <v>256779415357</v>
          </cell>
          <cell r="E529">
            <v>45937</v>
          </cell>
          <cell r="F529">
            <v>-207.27</v>
          </cell>
          <cell r="G529"/>
          <cell r="H529">
            <v>-18337.18</v>
          </cell>
        </row>
        <row r="530">
          <cell r="D530">
            <v>256779415300</v>
          </cell>
          <cell r="E530">
            <v>45937</v>
          </cell>
          <cell r="F530">
            <v>-24</v>
          </cell>
          <cell r="G530"/>
          <cell r="H530">
            <v>-2123.2800000000002</v>
          </cell>
        </row>
        <row r="531">
          <cell r="D531">
            <v>256779415375</v>
          </cell>
          <cell r="E531">
            <v>45937</v>
          </cell>
          <cell r="F531">
            <v>-360</v>
          </cell>
          <cell r="G531"/>
          <cell r="H531">
            <v>-31849.200000000001</v>
          </cell>
        </row>
        <row r="532">
          <cell r="D532">
            <v>256779415349</v>
          </cell>
          <cell r="E532">
            <v>45937</v>
          </cell>
          <cell r="F532">
            <v>-27.5</v>
          </cell>
          <cell r="G532"/>
          <cell r="H532">
            <v>-2432.9299999999998</v>
          </cell>
        </row>
        <row r="533">
          <cell r="D533">
            <v>256779415308</v>
          </cell>
          <cell r="E533">
            <v>45937</v>
          </cell>
          <cell r="F533">
            <v>-30</v>
          </cell>
          <cell r="G533"/>
          <cell r="H533">
            <v>-2654.1</v>
          </cell>
        </row>
        <row r="534">
          <cell r="D534">
            <v>256779415360</v>
          </cell>
          <cell r="E534">
            <v>45937</v>
          </cell>
          <cell r="F534">
            <v>-60</v>
          </cell>
          <cell r="G534"/>
          <cell r="H534">
            <v>-5308.2</v>
          </cell>
        </row>
        <row r="535">
          <cell r="D535">
            <v>256779415318</v>
          </cell>
          <cell r="E535">
            <v>45937</v>
          </cell>
          <cell r="F535">
            <v>-254.65</v>
          </cell>
          <cell r="G535"/>
          <cell r="H535">
            <v>-22528.89</v>
          </cell>
        </row>
        <row r="536">
          <cell r="D536">
            <v>256779415378</v>
          </cell>
          <cell r="E536">
            <v>45937</v>
          </cell>
          <cell r="F536">
            <v>-120</v>
          </cell>
          <cell r="G536"/>
          <cell r="H536">
            <v>-10616.4</v>
          </cell>
        </row>
        <row r="537">
          <cell r="D537">
            <v>256779415391</v>
          </cell>
          <cell r="E537">
            <v>45937</v>
          </cell>
          <cell r="F537">
            <v>-820.07</v>
          </cell>
          <cell r="G537"/>
          <cell r="H537">
            <v>-72551.59</v>
          </cell>
        </row>
        <row r="538">
          <cell r="D538">
            <v>256779415334</v>
          </cell>
          <cell r="E538">
            <v>45937</v>
          </cell>
          <cell r="F538">
            <v>-22.5</v>
          </cell>
          <cell r="G538"/>
          <cell r="H538">
            <v>-1990.58</v>
          </cell>
        </row>
        <row r="539">
          <cell r="D539">
            <v>256779415371</v>
          </cell>
          <cell r="E539">
            <v>45937</v>
          </cell>
          <cell r="F539">
            <v>-43.32</v>
          </cell>
          <cell r="G539"/>
          <cell r="H539">
            <v>-3832.52</v>
          </cell>
        </row>
        <row r="540">
          <cell r="D540">
            <v>256779415305</v>
          </cell>
          <cell r="E540">
            <v>45937</v>
          </cell>
          <cell r="F540">
            <v>-30</v>
          </cell>
          <cell r="G540"/>
          <cell r="H540">
            <v>-2654.1</v>
          </cell>
        </row>
        <row r="541">
          <cell r="D541">
            <v>256779415315</v>
          </cell>
          <cell r="E541">
            <v>45937</v>
          </cell>
          <cell r="F541">
            <v>-120</v>
          </cell>
          <cell r="G541"/>
          <cell r="H541">
            <v>-10616.4</v>
          </cell>
        </row>
        <row r="542">
          <cell r="D542">
            <v>256779415356</v>
          </cell>
          <cell r="E542">
            <v>45937</v>
          </cell>
          <cell r="F542">
            <v>-72</v>
          </cell>
          <cell r="G542"/>
          <cell r="H542">
            <v>-6369.84</v>
          </cell>
        </row>
        <row r="543">
          <cell r="D543">
            <v>256779415383</v>
          </cell>
          <cell r="E543">
            <v>45937</v>
          </cell>
          <cell r="F543">
            <v>-155.80000000000001</v>
          </cell>
          <cell r="G543"/>
          <cell r="H543">
            <v>-13783.63</v>
          </cell>
        </row>
        <row r="544">
          <cell r="D544">
            <v>256779415372</v>
          </cell>
          <cell r="E544">
            <v>45937</v>
          </cell>
          <cell r="F544">
            <v>-155.38</v>
          </cell>
          <cell r="G544"/>
          <cell r="H544">
            <v>-13746.47</v>
          </cell>
        </row>
        <row r="545">
          <cell r="D545">
            <v>256779415361</v>
          </cell>
          <cell r="E545">
            <v>45937</v>
          </cell>
          <cell r="F545">
            <v>-67.5</v>
          </cell>
          <cell r="G545"/>
          <cell r="H545">
            <v>-5971.73</v>
          </cell>
        </row>
        <row r="546">
          <cell r="D546">
            <v>256779415317</v>
          </cell>
          <cell r="E546">
            <v>45937</v>
          </cell>
          <cell r="F546">
            <v>-200</v>
          </cell>
          <cell r="G546"/>
          <cell r="H546">
            <v>-17694</v>
          </cell>
        </row>
        <row r="547">
          <cell r="D547">
            <v>256779415394</v>
          </cell>
          <cell r="E547">
            <v>45937</v>
          </cell>
          <cell r="F547">
            <v>-96</v>
          </cell>
          <cell r="G547"/>
          <cell r="H547">
            <v>-8493.1200000000008</v>
          </cell>
        </row>
        <row r="548">
          <cell r="D548">
            <v>256779415314</v>
          </cell>
          <cell r="E548">
            <v>45937</v>
          </cell>
          <cell r="F548">
            <v>-179.14</v>
          </cell>
          <cell r="G548"/>
          <cell r="H548">
            <v>-15848.52</v>
          </cell>
        </row>
        <row r="549">
          <cell r="D549">
            <v>256779415352</v>
          </cell>
          <cell r="E549">
            <v>45937</v>
          </cell>
          <cell r="F549">
            <v>-155.91999999999999</v>
          </cell>
          <cell r="G549"/>
          <cell r="H549">
            <v>-13794.24</v>
          </cell>
        </row>
        <row r="550">
          <cell r="D550">
            <v>256779415342</v>
          </cell>
          <cell r="E550">
            <v>45937</v>
          </cell>
          <cell r="F550">
            <v>-2.5</v>
          </cell>
          <cell r="G550"/>
          <cell r="H550">
            <v>-221.18</v>
          </cell>
        </row>
        <row r="551">
          <cell r="D551">
            <v>256779415376</v>
          </cell>
          <cell r="E551">
            <v>45937</v>
          </cell>
          <cell r="F551">
            <v>-60</v>
          </cell>
          <cell r="G551"/>
          <cell r="H551">
            <v>-5308.2</v>
          </cell>
        </row>
        <row r="552">
          <cell r="D552">
            <v>256779415336</v>
          </cell>
          <cell r="E552">
            <v>45937</v>
          </cell>
          <cell r="F552">
            <v>-5</v>
          </cell>
          <cell r="G552"/>
          <cell r="H552">
            <v>-442.35</v>
          </cell>
        </row>
        <row r="553">
          <cell r="D553">
            <v>256779415382</v>
          </cell>
          <cell r="E553">
            <v>45937</v>
          </cell>
          <cell r="F553">
            <v>-117.64</v>
          </cell>
          <cell r="G553"/>
          <cell r="H553">
            <v>-10407.61</v>
          </cell>
        </row>
        <row r="554">
          <cell r="D554">
            <v>256779415295</v>
          </cell>
          <cell r="E554">
            <v>45937</v>
          </cell>
          <cell r="F554">
            <v>-24</v>
          </cell>
          <cell r="G554"/>
          <cell r="H554">
            <v>-2123.2800000000002</v>
          </cell>
        </row>
        <row r="555">
          <cell r="D555">
            <v>256779415326</v>
          </cell>
          <cell r="E555">
            <v>45937</v>
          </cell>
          <cell r="F555">
            <v>-185.05</v>
          </cell>
          <cell r="G555"/>
          <cell r="H555">
            <v>-16371.37</v>
          </cell>
        </row>
        <row r="556">
          <cell r="D556">
            <v>256779415306</v>
          </cell>
          <cell r="E556">
            <v>45937</v>
          </cell>
          <cell r="F556">
            <v>-30</v>
          </cell>
          <cell r="G556"/>
          <cell r="H556">
            <v>-2654.1</v>
          </cell>
        </row>
        <row r="557">
          <cell r="D557">
            <v>256779415390</v>
          </cell>
          <cell r="E557">
            <v>45937</v>
          </cell>
          <cell r="F557">
            <v>-110.96</v>
          </cell>
          <cell r="G557"/>
          <cell r="H557">
            <v>-9816.6299999999992</v>
          </cell>
        </row>
        <row r="558">
          <cell r="D558">
            <v>256779415340</v>
          </cell>
          <cell r="E558">
            <v>45937</v>
          </cell>
          <cell r="F558">
            <v>-25.84</v>
          </cell>
          <cell r="G558"/>
          <cell r="H558">
            <v>-2286.06</v>
          </cell>
        </row>
        <row r="559">
          <cell r="D559">
            <v>256779415343</v>
          </cell>
          <cell r="E559">
            <v>45937</v>
          </cell>
          <cell r="F559">
            <v>-1</v>
          </cell>
          <cell r="G559"/>
          <cell r="H559">
            <v>-88.47</v>
          </cell>
        </row>
        <row r="560">
          <cell r="D560">
            <v>256779415395</v>
          </cell>
          <cell r="E560">
            <v>45937</v>
          </cell>
          <cell r="F560">
            <v>-205.72</v>
          </cell>
          <cell r="G560"/>
          <cell r="H560">
            <v>-18200.05</v>
          </cell>
        </row>
        <row r="561">
          <cell r="D561">
            <v>256779415381</v>
          </cell>
          <cell r="E561">
            <v>45937</v>
          </cell>
          <cell r="F561">
            <v>-60</v>
          </cell>
          <cell r="G561"/>
          <cell r="H561">
            <v>-5308.2</v>
          </cell>
        </row>
        <row r="562">
          <cell r="D562">
            <v>256779415392</v>
          </cell>
          <cell r="E562">
            <v>45937</v>
          </cell>
          <cell r="F562">
            <v>-200</v>
          </cell>
          <cell r="G562"/>
          <cell r="H562">
            <v>-17694</v>
          </cell>
        </row>
        <row r="563">
          <cell r="D563">
            <v>256779415358</v>
          </cell>
          <cell r="E563">
            <v>45937</v>
          </cell>
          <cell r="F563">
            <v>-96</v>
          </cell>
          <cell r="G563"/>
          <cell r="H563">
            <v>-8493.1200000000008</v>
          </cell>
        </row>
        <row r="564">
          <cell r="D564">
            <v>256779415337</v>
          </cell>
          <cell r="E564">
            <v>45937</v>
          </cell>
          <cell r="F564">
            <v>-17.5</v>
          </cell>
          <cell r="G564"/>
          <cell r="H564">
            <v>-1548.23</v>
          </cell>
        </row>
        <row r="565">
          <cell r="D565">
            <v>256779415362</v>
          </cell>
          <cell r="E565">
            <v>45937</v>
          </cell>
          <cell r="F565">
            <v>-3</v>
          </cell>
          <cell r="G565"/>
          <cell r="H565">
            <v>-265.41000000000003</v>
          </cell>
        </row>
        <row r="566">
          <cell r="D566">
            <v>256779415373</v>
          </cell>
          <cell r="E566">
            <v>45937</v>
          </cell>
          <cell r="F566">
            <v>-2.63</v>
          </cell>
          <cell r="G566"/>
          <cell r="H566">
            <v>-232.68</v>
          </cell>
        </row>
        <row r="567">
          <cell r="D567">
            <v>256779415386</v>
          </cell>
          <cell r="E567">
            <v>45937</v>
          </cell>
          <cell r="F567">
            <v>-7.5</v>
          </cell>
          <cell r="G567"/>
          <cell r="H567">
            <v>-663.53</v>
          </cell>
        </row>
        <row r="568">
          <cell r="D568">
            <v>256779415348</v>
          </cell>
          <cell r="E568">
            <v>45937</v>
          </cell>
          <cell r="F568">
            <v>-7.5</v>
          </cell>
          <cell r="G568"/>
          <cell r="H568">
            <v>-663.53</v>
          </cell>
        </row>
        <row r="569">
          <cell r="D569">
            <v>256779415369</v>
          </cell>
          <cell r="E569">
            <v>45937</v>
          </cell>
          <cell r="F569">
            <v>-3</v>
          </cell>
          <cell r="G569"/>
          <cell r="H569">
            <v>-265.41000000000003</v>
          </cell>
        </row>
        <row r="570">
          <cell r="D570">
            <v>256779415364</v>
          </cell>
          <cell r="E570">
            <v>45937</v>
          </cell>
          <cell r="F570">
            <v>-200</v>
          </cell>
          <cell r="G570"/>
          <cell r="H570">
            <v>-17694</v>
          </cell>
        </row>
        <row r="571">
          <cell r="D571">
            <v>256779415299</v>
          </cell>
          <cell r="E571">
            <v>45937</v>
          </cell>
          <cell r="F571">
            <v>-24</v>
          </cell>
          <cell r="G571"/>
          <cell r="H571">
            <v>-2123.2800000000002</v>
          </cell>
        </row>
        <row r="572">
          <cell r="D572">
            <v>256779415335</v>
          </cell>
          <cell r="E572">
            <v>45937</v>
          </cell>
          <cell r="F572">
            <v>-25</v>
          </cell>
          <cell r="G572"/>
          <cell r="H572">
            <v>-2211.75</v>
          </cell>
        </row>
        <row r="573">
          <cell r="D573">
            <v>256779415292</v>
          </cell>
          <cell r="E573">
            <v>45937</v>
          </cell>
          <cell r="F573">
            <v>-24</v>
          </cell>
          <cell r="G573"/>
          <cell r="H573">
            <v>-2123.2800000000002</v>
          </cell>
        </row>
        <row r="574">
          <cell r="D574">
            <v>256779415370</v>
          </cell>
          <cell r="E574">
            <v>45937</v>
          </cell>
          <cell r="F574">
            <v>-72</v>
          </cell>
          <cell r="G574"/>
          <cell r="H574">
            <v>-6369.84</v>
          </cell>
        </row>
        <row r="575">
          <cell r="D575">
            <v>256779415294</v>
          </cell>
          <cell r="E575">
            <v>45937</v>
          </cell>
          <cell r="F575">
            <v>-24</v>
          </cell>
          <cell r="G575"/>
          <cell r="H575">
            <v>-2123.2800000000002</v>
          </cell>
        </row>
        <row r="576">
          <cell r="D576">
            <v>256779415307</v>
          </cell>
          <cell r="E576">
            <v>45937</v>
          </cell>
          <cell r="F576">
            <v>-30</v>
          </cell>
          <cell r="G576"/>
          <cell r="H576">
            <v>-2654.1</v>
          </cell>
        </row>
        <row r="577">
          <cell r="D577">
            <v>256779415347</v>
          </cell>
          <cell r="E577">
            <v>45937</v>
          </cell>
          <cell r="F577">
            <v>-20</v>
          </cell>
          <cell r="G577"/>
          <cell r="H577">
            <v>-1769.4</v>
          </cell>
        </row>
        <row r="578">
          <cell r="D578">
            <v>256779415317</v>
          </cell>
          <cell r="E578">
            <v>45937</v>
          </cell>
          <cell r="F578">
            <v>4</v>
          </cell>
          <cell r="G578"/>
          <cell r="H578">
            <v>353.88</v>
          </cell>
        </row>
        <row r="579">
          <cell r="D579">
            <v>256779415346</v>
          </cell>
          <cell r="E579">
            <v>45937</v>
          </cell>
          <cell r="F579">
            <v>0.35</v>
          </cell>
          <cell r="G579"/>
          <cell r="H579">
            <v>30.96</v>
          </cell>
        </row>
        <row r="580">
          <cell r="D580">
            <v>256779415339</v>
          </cell>
          <cell r="E580">
            <v>45937</v>
          </cell>
          <cell r="F580">
            <v>0.55000000000000004</v>
          </cell>
          <cell r="G580"/>
          <cell r="H580">
            <v>48.66</v>
          </cell>
        </row>
        <row r="581">
          <cell r="D581">
            <v>256779415371</v>
          </cell>
          <cell r="E581">
            <v>45937</v>
          </cell>
          <cell r="F581">
            <v>0.87</v>
          </cell>
          <cell r="G581"/>
          <cell r="H581">
            <v>76.97</v>
          </cell>
        </row>
        <row r="582">
          <cell r="D582">
            <v>256779415338</v>
          </cell>
          <cell r="E582">
            <v>45937</v>
          </cell>
          <cell r="F582">
            <v>0.25</v>
          </cell>
          <cell r="G582"/>
          <cell r="H582">
            <v>22.12</v>
          </cell>
        </row>
        <row r="583">
          <cell r="D583">
            <v>256779415359</v>
          </cell>
          <cell r="E583">
            <v>45937</v>
          </cell>
          <cell r="F583">
            <v>4</v>
          </cell>
          <cell r="G583"/>
          <cell r="H583">
            <v>353.88</v>
          </cell>
        </row>
        <row r="584">
          <cell r="D584">
            <v>256779415381</v>
          </cell>
          <cell r="E584">
            <v>45937</v>
          </cell>
          <cell r="F584">
            <v>1.2</v>
          </cell>
          <cell r="G584"/>
          <cell r="H584">
            <v>106.16</v>
          </cell>
        </row>
        <row r="585">
          <cell r="D585">
            <v>256779415391</v>
          </cell>
          <cell r="E585">
            <v>45937</v>
          </cell>
          <cell r="F585">
            <v>16.399999999999999</v>
          </cell>
          <cell r="G585"/>
          <cell r="H585">
            <v>1450.91</v>
          </cell>
        </row>
        <row r="586">
          <cell r="D586">
            <v>256779415358</v>
          </cell>
          <cell r="E586">
            <v>45937</v>
          </cell>
          <cell r="F586">
            <v>1.92</v>
          </cell>
          <cell r="G586"/>
          <cell r="H586">
            <v>169.86</v>
          </cell>
        </row>
        <row r="587">
          <cell r="D587">
            <v>256779415305</v>
          </cell>
          <cell r="E587">
            <v>45937</v>
          </cell>
          <cell r="F587">
            <v>0.6</v>
          </cell>
          <cell r="G587"/>
          <cell r="H587">
            <v>53.08</v>
          </cell>
        </row>
        <row r="588">
          <cell r="D588">
            <v>256779415345</v>
          </cell>
          <cell r="E588">
            <v>45937</v>
          </cell>
          <cell r="F588">
            <v>0.5</v>
          </cell>
          <cell r="G588"/>
          <cell r="H588">
            <v>44.24</v>
          </cell>
        </row>
        <row r="589">
          <cell r="D589">
            <v>256779415300</v>
          </cell>
          <cell r="E589">
            <v>45937</v>
          </cell>
          <cell r="F589">
            <v>0.48</v>
          </cell>
          <cell r="G589"/>
          <cell r="H589">
            <v>42.47</v>
          </cell>
        </row>
        <row r="590">
          <cell r="D590">
            <v>256779415352</v>
          </cell>
          <cell r="E590">
            <v>45937</v>
          </cell>
          <cell r="F590">
            <v>3.12</v>
          </cell>
          <cell r="G590"/>
          <cell r="H590">
            <v>276.02999999999997</v>
          </cell>
        </row>
        <row r="591">
          <cell r="D591">
            <v>256779415304</v>
          </cell>
          <cell r="E591">
            <v>45937</v>
          </cell>
          <cell r="F591">
            <v>0.6</v>
          </cell>
          <cell r="G591"/>
          <cell r="H591">
            <v>53.08</v>
          </cell>
        </row>
        <row r="592">
          <cell r="D592">
            <v>256779415379</v>
          </cell>
          <cell r="E592">
            <v>45937</v>
          </cell>
          <cell r="F592">
            <v>4.66</v>
          </cell>
          <cell r="G592"/>
          <cell r="H592">
            <v>412.27</v>
          </cell>
        </row>
        <row r="593">
          <cell r="D593">
            <v>256779415303</v>
          </cell>
          <cell r="E593">
            <v>45937</v>
          </cell>
          <cell r="F593">
            <v>2</v>
          </cell>
          <cell r="G593"/>
          <cell r="H593">
            <v>176.94</v>
          </cell>
        </row>
        <row r="594">
          <cell r="D594">
            <v>256779415377</v>
          </cell>
          <cell r="E594">
            <v>45937</v>
          </cell>
          <cell r="F594">
            <v>1</v>
          </cell>
          <cell r="G594"/>
          <cell r="H594">
            <v>88.47</v>
          </cell>
        </row>
        <row r="595">
          <cell r="D595">
            <v>256779415392</v>
          </cell>
          <cell r="E595">
            <v>45937</v>
          </cell>
          <cell r="F595">
            <v>4</v>
          </cell>
          <cell r="G595"/>
          <cell r="H595">
            <v>353.88</v>
          </cell>
        </row>
        <row r="596">
          <cell r="D596">
            <v>256779415393</v>
          </cell>
          <cell r="E596">
            <v>45937</v>
          </cell>
          <cell r="F596">
            <v>1.2</v>
          </cell>
          <cell r="G596"/>
          <cell r="H596">
            <v>106.16</v>
          </cell>
        </row>
        <row r="597">
          <cell r="D597">
            <v>256779415362</v>
          </cell>
          <cell r="E597">
            <v>45937</v>
          </cell>
          <cell r="F597">
            <v>0.06</v>
          </cell>
          <cell r="G597"/>
          <cell r="H597">
            <v>5.31</v>
          </cell>
        </row>
        <row r="598">
          <cell r="D598">
            <v>256779415315</v>
          </cell>
          <cell r="E598">
            <v>45937</v>
          </cell>
          <cell r="F598">
            <v>2.4</v>
          </cell>
          <cell r="G598"/>
          <cell r="H598">
            <v>212.33</v>
          </cell>
        </row>
        <row r="599">
          <cell r="D599">
            <v>256779415378</v>
          </cell>
          <cell r="E599">
            <v>45937</v>
          </cell>
          <cell r="F599">
            <v>2.4</v>
          </cell>
          <cell r="G599"/>
          <cell r="H599">
            <v>212.33</v>
          </cell>
        </row>
        <row r="600">
          <cell r="D600">
            <v>256779415356</v>
          </cell>
          <cell r="E600">
            <v>45937</v>
          </cell>
          <cell r="F600">
            <v>1.44</v>
          </cell>
          <cell r="G600"/>
          <cell r="H600">
            <v>127.4</v>
          </cell>
        </row>
        <row r="601">
          <cell r="D601">
            <v>256779415383</v>
          </cell>
          <cell r="E601">
            <v>45937</v>
          </cell>
          <cell r="F601">
            <v>3.12</v>
          </cell>
          <cell r="G601"/>
          <cell r="H601">
            <v>276.02999999999997</v>
          </cell>
        </row>
        <row r="602">
          <cell r="D602">
            <v>256779415375</v>
          </cell>
          <cell r="E602">
            <v>45937</v>
          </cell>
          <cell r="F602">
            <v>7.2</v>
          </cell>
          <cell r="G602"/>
          <cell r="H602">
            <v>636.98</v>
          </cell>
        </row>
        <row r="603">
          <cell r="D603">
            <v>256779415373</v>
          </cell>
          <cell r="E603">
            <v>45937</v>
          </cell>
          <cell r="F603">
            <v>0.05</v>
          </cell>
          <cell r="G603"/>
          <cell r="H603">
            <v>4.42</v>
          </cell>
        </row>
        <row r="604">
          <cell r="D604">
            <v>256779415342</v>
          </cell>
          <cell r="E604">
            <v>45937</v>
          </cell>
          <cell r="F604">
            <v>0.05</v>
          </cell>
          <cell r="G604"/>
          <cell r="H604">
            <v>4.42</v>
          </cell>
        </row>
        <row r="605">
          <cell r="D605">
            <v>256779415372</v>
          </cell>
          <cell r="E605">
            <v>45937</v>
          </cell>
          <cell r="F605">
            <v>3.11</v>
          </cell>
          <cell r="G605"/>
          <cell r="H605">
            <v>275.14</v>
          </cell>
        </row>
        <row r="606">
          <cell r="D606">
            <v>256779415369</v>
          </cell>
          <cell r="E606">
            <v>45937</v>
          </cell>
          <cell r="F606">
            <v>0.06</v>
          </cell>
          <cell r="G606"/>
          <cell r="H606">
            <v>5.31</v>
          </cell>
        </row>
        <row r="607">
          <cell r="D607">
            <v>256779415361</v>
          </cell>
          <cell r="E607">
            <v>45937</v>
          </cell>
          <cell r="F607">
            <v>1.35</v>
          </cell>
          <cell r="G607"/>
          <cell r="H607">
            <v>119.43</v>
          </cell>
        </row>
        <row r="608">
          <cell r="D608">
            <v>256779415306</v>
          </cell>
          <cell r="E608">
            <v>45937</v>
          </cell>
          <cell r="F608">
            <v>0.6</v>
          </cell>
          <cell r="G608"/>
          <cell r="H608">
            <v>53.08</v>
          </cell>
        </row>
        <row r="609">
          <cell r="D609">
            <v>256779415333</v>
          </cell>
          <cell r="E609">
            <v>45937</v>
          </cell>
          <cell r="F609">
            <v>0.45</v>
          </cell>
          <cell r="G609"/>
          <cell r="H609">
            <v>39.81</v>
          </cell>
        </row>
        <row r="610">
          <cell r="D610">
            <v>256779415298</v>
          </cell>
          <cell r="E610">
            <v>45937</v>
          </cell>
          <cell r="F610">
            <v>0.48</v>
          </cell>
          <cell r="G610"/>
          <cell r="H610">
            <v>42.47</v>
          </cell>
        </row>
        <row r="611">
          <cell r="D611">
            <v>256779415386</v>
          </cell>
          <cell r="E611">
            <v>45937</v>
          </cell>
          <cell r="F611">
            <v>0.15</v>
          </cell>
          <cell r="G611"/>
          <cell r="H611">
            <v>13.27</v>
          </cell>
        </row>
        <row r="612">
          <cell r="D612">
            <v>256779415336</v>
          </cell>
          <cell r="E612">
            <v>45937</v>
          </cell>
          <cell r="F612">
            <v>0.1</v>
          </cell>
          <cell r="G612"/>
          <cell r="H612">
            <v>8.85</v>
          </cell>
        </row>
        <row r="613">
          <cell r="D613">
            <v>256779415341</v>
          </cell>
          <cell r="E613">
            <v>45937</v>
          </cell>
          <cell r="F613">
            <v>0.3</v>
          </cell>
          <cell r="G613"/>
          <cell r="H613">
            <v>26.54</v>
          </cell>
        </row>
        <row r="614">
          <cell r="D614">
            <v>256779415380</v>
          </cell>
          <cell r="E614">
            <v>45937</v>
          </cell>
          <cell r="F614">
            <v>4</v>
          </cell>
          <cell r="G614"/>
          <cell r="H614">
            <v>353.88</v>
          </cell>
        </row>
        <row r="615">
          <cell r="D615">
            <v>256779415318</v>
          </cell>
          <cell r="E615">
            <v>45937</v>
          </cell>
          <cell r="F615">
            <v>5.09</v>
          </cell>
          <cell r="G615"/>
          <cell r="H615">
            <v>450.31</v>
          </cell>
        </row>
        <row r="616">
          <cell r="D616">
            <v>256779415384</v>
          </cell>
          <cell r="E616">
            <v>45937</v>
          </cell>
          <cell r="F616">
            <v>7</v>
          </cell>
          <cell r="G616"/>
          <cell r="H616">
            <v>619.29</v>
          </cell>
        </row>
        <row r="617">
          <cell r="D617">
            <v>256779415344</v>
          </cell>
          <cell r="E617">
            <v>45937</v>
          </cell>
          <cell r="F617">
            <v>0.5</v>
          </cell>
          <cell r="G617"/>
          <cell r="H617">
            <v>44.24</v>
          </cell>
        </row>
        <row r="618">
          <cell r="D618">
            <v>256779415382</v>
          </cell>
          <cell r="E618">
            <v>45937</v>
          </cell>
          <cell r="F618">
            <v>2.35</v>
          </cell>
          <cell r="G618"/>
          <cell r="H618">
            <v>207.9</v>
          </cell>
        </row>
        <row r="619">
          <cell r="D619">
            <v>256779415314</v>
          </cell>
          <cell r="E619">
            <v>45937</v>
          </cell>
          <cell r="F619">
            <v>3.58</v>
          </cell>
          <cell r="G619"/>
          <cell r="H619">
            <v>316.72000000000003</v>
          </cell>
        </row>
        <row r="620">
          <cell r="D620">
            <v>256779415355</v>
          </cell>
          <cell r="E620">
            <v>45937</v>
          </cell>
          <cell r="F620">
            <v>0.43</v>
          </cell>
          <cell r="G620"/>
          <cell r="H620">
            <v>38.04</v>
          </cell>
        </row>
        <row r="621">
          <cell r="D621">
            <v>256779415376</v>
          </cell>
          <cell r="E621">
            <v>45937</v>
          </cell>
          <cell r="F621">
            <v>1.2</v>
          </cell>
          <cell r="G621"/>
          <cell r="H621">
            <v>106.16</v>
          </cell>
        </row>
        <row r="622">
          <cell r="D622">
            <v>256779415334</v>
          </cell>
          <cell r="E622">
            <v>45937</v>
          </cell>
          <cell r="F622">
            <v>0.45</v>
          </cell>
          <cell r="G622"/>
          <cell r="H622">
            <v>39.81</v>
          </cell>
        </row>
        <row r="623">
          <cell r="D623">
            <v>256779415337</v>
          </cell>
          <cell r="E623">
            <v>45937</v>
          </cell>
          <cell r="F623">
            <v>0.35</v>
          </cell>
          <cell r="G623"/>
          <cell r="H623">
            <v>30.96</v>
          </cell>
        </row>
        <row r="624">
          <cell r="D624">
            <v>256779415357</v>
          </cell>
          <cell r="E624">
            <v>45937</v>
          </cell>
          <cell r="F624">
            <v>4.1500000000000004</v>
          </cell>
          <cell r="G624"/>
          <cell r="H624">
            <v>367.15</v>
          </cell>
        </row>
        <row r="625">
          <cell r="D625">
            <v>256779415340</v>
          </cell>
          <cell r="E625">
            <v>45937</v>
          </cell>
          <cell r="F625">
            <v>0.52</v>
          </cell>
          <cell r="G625"/>
          <cell r="H625">
            <v>46</v>
          </cell>
        </row>
        <row r="626">
          <cell r="D626">
            <v>256779415343</v>
          </cell>
          <cell r="E626">
            <v>45937</v>
          </cell>
          <cell r="F626">
            <v>0.02</v>
          </cell>
          <cell r="G626"/>
          <cell r="H626">
            <v>1.77</v>
          </cell>
        </row>
        <row r="627">
          <cell r="D627">
            <v>256779415308</v>
          </cell>
          <cell r="E627">
            <v>45937</v>
          </cell>
          <cell r="F627">
            <v>0.6</v>
          </cell>
          <cell r="G627"/>
          <cell r="H627">
            <v>53.08</v>
          </cell>
        </row>
        <row r="628">
          <cell r="D628">
            <v>256779415310</v>
          </cell>
          <cell r="E628">
            <v>45937</v>
          </cell>
          <cell r="F628">
            <v>0.6</v>
          </cell>
          <cell r="G628"/>
          <cell r="H628">
            <v>53.08</v>
          </cell>
        </row>
        <row r="629">
          <cell r="D629">
            <v>256779415349</v>
          </cell>
          <cell r="E629">
            <v>45937</v>
          </cell>
          <cell r="F629">
            <v>0.55000000000000004</v>
          </cell>
          <cell r="G629"/>
          <cell r="H629">
            <v>48.66</v>
          </cell>
        </row>
        <row r="630">
          <cell r="D630">
            <v>256779415295</v>
          </cell>
          <cell r="E630">
            <v>45937</v>
          </cell>
          <cell r="F630">
            <v>0.48</v>
          </cell>
          <cell r="G630"/>
          <cell r="H630">
            <v>42.47</v>
          </cell>
        </row>
        <row r="631">
          <cell r="D631">
            <v>256779415389</v>
          </cell>
          <cell r="E631">
            <v>45937</v>
          </cell>
          <cell r="F631">
            <v>3.41</v>
          </cell>
          <cell r="G631"/>
          <cell r="H631">
            <v>301.68</v>
          </cell>
        </row>
        <row r="632">
          <cell r="D632">
            <v>256779415388</v>
          </cell>
          <cell r="E632">
            <v>45937</v>
          </cell>
          <cell r="F632">
            <v>45.23</v>
          </cell>
          <cell r="G632"/>
          <cell r="H632">
            <v>4001.5</v>
          </cell>
        </row>
        <row r="633">
          <cell r="D633">
            <v>256779415348</v>
          </cell>
          <cell r="E633">
            <v>45937</v>
          </cell>
          <cell r="F633">
            <v>0.15</v>
          </cell>
          <cell r="G633"/>
          <cell r="H633">
            <v>13.27</v>
          </cell>
        </row>
        <row r="634">
          <cell r="D634">
            <v>256779415390</v>
          </cell>
          <cell r="E634">
            <v>45937</v>
          </cell>
          <cell r="F634">
            <v>2.2200000000000002</v>
          </cell>
          <cell r="G634"/>
          <cell r="H634">
            <v>196.4</v>
          </cell>
        </row>
        <row r="635">
          <cell r="D635">
            <v>256779415395</v>
          </cell>
          <cell r="E635">
            <v>45937</v>
          </cell>
          <cell r="F635">
            <v>4.1100000000000003</v>
          </cell>
          <cell r="G635"/>
          <cell r="H635">
            <v>363.61</v>
          </cell>
        </row>
        <row r="636">
          <cell r="D636">
            <v>256779415326</v>
          </cell>
          <cell r="E636">
            <v>45937</v>
          </cell>
          <cell r="F636">
            <v>3.7</v>
          </cell>
          <cell r="G636"/>
          <cell r="H636">
            <v>327.33999999999997</v>
          </cell>
        </row>
        <row r="637">
          <cell r="D637">
            <v>256779415350</v>
          </cell>
          <cell r="E637">
            <v>45937</v>
          </cell>
          <cell r="F637">
            <v>0.45</v>
          </cell>
          <cell r="G637"/>
          <cell r="H637">
            <v>39.81</v>
          </cell>
        </row>
        <row r="638">
          <cell r="D638">
            <v>256779415394</v>
          </cell>
          <cell r="E638">
            <v>45937</v>
          </cell>
          <cell r="F638">
            <v>1.92</v>
          </cell>
          <cell r="G638"/>
          <cell r="H638">
            <v>169.86</v>
          </cell>
        </row>
        <row r="639">
          <cell r="D639">
            <v>256779415360</v>
          </cell>
          <cell r="E639">
            <v>45937</v>
          </cell>
          <cell r="F639">
            <v>1.2</v>
          </cell>
          <cell r="G639"/>
          <cell r="H639">
            <v>106.16</v>
          </cell>
        </row>
        <row r="640">
          <cell r="D640">
            <v>256779415294</v>
          </cell>
          <cell r="E640">
            <v>45937</v>
          </cell>
          <cell r="F640">
            <v>0.48</v>
          </cell>
          <cell r="G640"/>
          <cell r="H640">
            <v>42.47</v>
          </cell>
        </row>
        <row r="641">
          <cell r="D641">
            <v>256779415370</v>
          </cell>
          <cell r="E641">
            <v>45937</v>
          </cell>
          <cell r="F641">
            <v>1.44</v>
          </cell>
          <cell r="G641"/>
          <cell r="H641">
            <v>127.4</v>
          </cell>
        </row>
        <row r="642">
          <cell r="D642">
            <v>256779415335</v>
          </cell>
          <cell r="E642">
            <v>45937</v>
          </cell>
          <cell r="F642">
            <v>0.5</v>
          </cell>
          <cell r="G642"/>
          <cell r="H642">
            <v>44.24</v>
          </cell>
        </row>
        <row r="643">
          <cell r="D643">
            <v>256779415364</v>
          </cell>
          <cell r="E643">
            <v>45937</v>
          </cell>
          <cell r="F643">
            <v>4</v>
          </cell>
          <cell r="G643"/>
          <cell r="H643">
            <v>353.88</v>
          </cell>
        </row>
        <row r="644">
          <cell r="D644">
            <v>256779415299</v>
          </cell>
          <cell r="E644">
            <v>45937</v>
          </cell>
          <cell r="F644">
            <v>0.48</v>
          </cell>
          <cell r="G644"/>
          <cell r="H644">
            <v>42.47</v>
          </cell>
        </row>
        <row r="645">
          <cell r="D645">
            <v>256779415307</v>
          </cell>
          <cell r="E645">
            <v>45937</v>
          </cell>
          <cell r="F645">
            <v>0.6</v>
          </cell>
          <cell r="G645"/>
          <cell r="H645">
            <v>53.08</v>
          </cell>
        </row>
        <row r="646">
          <cell r="D646">
            <v>256779415347</v>
          </cell>
          <cell r="E646">
            <v>45937</v>
          </cell>
          <cell r="F646">
            <v>0.4</v>
          </cell>
          <cell r="G646"/>
          <cell r="H646">
            <v>35.39</v>
          </cell>
        </row>
        <row r="647">
          <cell r="D647">
            <v>256779415297</v>
          </cell>
          <cell r="E647">
            <v>45937</v>
          </cell>
          <cell r="F647">
            <v>-24</v>
          </cell>
          <cell r="G647"/>
          <cell r="H647">
            <v>-2123.2800000000002</v>
          </cell>
        </row>
        <row r="648">
          <cell r="D648">
            <v>256779415291</v>
          </cell>
          <cell r="E648">
            <v>45937</v>
          </cell>
          <cell r="F648">
            <v>-24</v>
          </cell>
          <cell r="G648"/>
          <cell r="H648">
            <v>-2123.2800000000002</v>
          </cell>
        </row>
        <row r="649">
          <cell r="D649">
            <v>256779415316</v>
          </cell>
          <cell r="E649">
            <v>45937</v>
          </cell>
          <cell r="F649">
            <v>1.2</v>
          </cell>
          <cell r="G649"/>
          <cell r="H649">
            <v>106.16</v>
          </cell>
        </row>
        <row r="650">
          <cell r="D650">
            <v>256779415297</v>
          </cell>
          <cell r="E650">
            <v>45937</v>
          </cell>
          <cell r="F650">
            <v>0.48</v>
          </cell>
          <cell r="G650"/>
          <cell r="H650">
            <v>42.47</v>
          </cell>
        </row>
        <row r="651">
          <cell r="D651">
            <v>256779415292</v>
          </cell>
          <cell r="E651">
            <v>45937</v>
          </cell>
          <cell r="F651">
            <v>0.48</v>
          </cell>
          <cell r="G651"/>
          <cell r="H651">
            <v>42.47</v>
          </cell>
        </row>
        <row r="652">
          <cell r="D652">
            <v>256779415389</v>
          </cell>
          <cell r="E652">
            <v>45937</v>
          </cell>
          <cell r="F652">
            <v>0</v>
          </cell>
          <cell r="G652"/>
          <cell r="H652">
            <v>-31.68</v>
          </cell>
        </row>
        <row r="653">
          <cell r="D653">
            <v>256779415346</v>
          </cell>
          <cell r="E653">
            <v>45937</v>
          </cell>
          <cell r="F653">
            <v>0</v>
          </cell>
          <cell r="G653"/>
          <cell r="H653">
            <v>-3.24</v>
          </cell>
        </row>
        <row r="654">
          <cell r="D654">
            <v>256779415350</v>
          </cell>
          <cell r="E654">
            <v>45937</v>
          </cell>
          <cell r="F654">
            <v>0</v>
          </cell>
          <cell r="G654"/>
          <cell r="H654">
            <v>-4.17</v>
          </cell>
        </row>
        <row r="655">
          <cell r="D655">
            <v>256779415316</v>
          </cell>
          <cell r="E655">
            <v>45937</v>
          </cell>
          <cell r="F655">
            <v>0</v>
          </cell>
          <cell r="G655"/>
          <cell r="H655">
            <v>-11.14</v>
          </cell>
        </row>
        <row r="656">
          <cell r="D656">
            <v>256779415355</v>
          </cell>
          <cell r="E656">
            <v>45937</v>
          </cell>
          <cell r="F656">
            <v>0</v>
          </cell>
          <cell r="G656"/>
          <cell r="H656">
            <v>-3.97</v>
          </cell>
        </row>
        <row r="657">
          <cell r="D657">
            <v>256779415303</v>
          </cell>
          <cell r="E657">
            <v>45937</v>
          </cell>
          <cell r="F657">
            <v>0</v>
          </cell>
          <cell r="G657"/>
          <cell r="H657">
            <v>-18.57</v>
          </cell>
        </row>
        <row r="658">
          <cell r="D658">
            <v>256779415333</v>
          </cell>
          <cell r="E658">
            <v>45937</v>
          </cell>
          <cell r="F658">
            <v>0</v>
          </cell>
          <cell r="G658"/>
          <cell r="H658">
            <v>-4.17</v>
          </cell>
        </row>
        <row r="659">
          <cell r="D659">
            <v>256779415304</v>
          </cell>
          <cell r="E659">
            <v>45937</v>
          </cell>
          <cell r="F659">
            <v>0</v>
          </cell>
          <cell r="G659"/>
          <cell r="H659">
            <v>-5.57</v>
          </cell>
        </row>
        <row r="660">
          <cell r="D660">
            <v>256779415377</v>
          </cell>
          <cell r="E660">
            <v>45937</v>
          </cell>
          <cell r="F660">
            <v>0</v>
          </cell>
          <cell r="G660"/>
          <cell r="H660">
            <v>-9.2899999999999991</v>
          </cell>
        </row>
        <row r="661">
          <cell r="D661">
            <v>256779415298</v>
          </cell>
          <cell r="E661">
            <v>45937</v>
          </cell>
          <cell r="F661">
            <v>0</v>
          </cell>
          <cell r="G661"/>
          <cell r="H661">
            <v>-4.46</v>
          </cell>
        </row>
        <row r="662">
          <cell r="D662">
            <v>256779415380</v>
          </cell>
          <cell r="E662">
            <v>45937</v>
          </cell>
          <cell r="F662">
            <v>0</v>
          </cell>
          <cell r="G662"/>
          <cell r="H662">
            <v>-37.14</v>
          </cell>
        </row>
        <row r="663">
          <cell r="D663">
            <v>256779415341</v>
          </cell>
          <cell r="E663">
            <v>45937</v>
          </cell>
          <cell r="F663">
            <v>0</v>
          </cell>
          <cell r="G663"/>
          <cell r="H663">
            <v>-2.78</v>
          </cell>
        </row>
        <row r="664">
          <cell r="D664">
            <v>256779415359</v>
          </cell>
          <cell r="E664">
            <v>45937</v>
          </cell>
          <cell r="F664">
            <v>0</v>
          </cell>
          <cell r="G664"/>
          <cell r="H664">
            <v>-37.14</v>
          </cell>
        </row>
        <row r="665">
          <cell r="D665">
            <v>256779415338</v>
          </cell>
          <cell r="E665">
            <v>45937</v>
          </cell>
          <cell r="F665">
            <v>0</v>
          </cell>
          <cell r="G665"/>
          <cell r="H665">
            <v>-2.3199999999999998</v>
          </cell>
        </row>
        <row r="666">
          <cell r="D666">
            <v>256779415344</v>
          </cell>
          <cell r="E666">
            <v>45937</v>
          </cell>
          <cell r="F666">
            <v>0</v>
          </cell>
          <cell r="G666"/>
          <cell r="H666">
            <v>-4.6500000000000004</v>
          </cell>
        </row>
        <row r="667">
          <cell r="D667">
            <v>256779415345</v>
          </cell>
          <cell r="E667">
            <v>45937</v>
          </cell>
          <cell r="F667">
            <v>0</v>
          </cell>
          <cell r="G667"/>
          <cell r="H667">
            <v>-4.6500000000000004</v>
          </cell>
        </row>
        <row r="668">
          <cell r="D668">
            <v>256779415388</v>
          </cell>
          <cell r="E668">
            <v>45937</v>
          </cell>
          <cell r="F668">
            <v>0</v>
          </cell>
          <cell r="G668"/>
          <cell r="H668">
            <v>-420</v>
          </cell>
        </row>
        <row r="669">
          <cell r="D669">
            <v>256779415310</v>
          </cell>
          <cell r="E669">
            <v>45937</v>
          </cell>
          <cell r="F669">
            <v>0</v>
          </cell>
          <cell r="G669"/>
          <cell r="H669">
            <v>-5.57</v>
          </cell>
        </row>
        <row r="670">
          <cell r="D670">
            <v>256779415379</v>
          </cell>
          <cell r="E670">
            <v>45937</v>
          </cell>
          <cell r="F670">
            <v>0</v>
          </cell>
          <cell r="G670"/>
          <cell r="H670">
            <v>-43.29</v>
          </cell>
        </row>
        <row r="671">
          <cell r="D671">
            <v>256779415384</v>
          </cell>
          <cell r="E671">
            <v>45937</v>
          </cell>
          <cell r="F671">
            <v>0</v>
          </cell>
          <cell r="G671"/>
          <cell r="H671">
            <v>-65</v>
          </cell>
        </row>
        <row r="672">
          <cell r="D672">
            <v>256779415339</v>
          </cell>
          <cell r="E672">
            <v>45937</v>
          </cell>
          <cell r="F672">
            <v>0</v>
          </cell>
          <cell r="G672"/>
          <cell r="H672">
            <v>-5.09</v>
          </cell>
        </row>
        <row r="673">
          <cell r="D673">
            <v>256779415393</v>
          </cell>
          <cell r="E673">
            <v>45937</v>
          </cell>
          <cell r="F673">
            <v>0</v>
          </cell>
          <cell r="G673"/>
          <cell r="H673">
            <v>-11.14</v>
          </cell>
        </row>
        <row r="674">
          <cell r="D674">
            <v>256779415357</v>
          </cell>
          <cell r="E674">
            <v>45937</v>
          </cell>
          <cell r="F674">
            <v>0</v>
          </cell>
          <cell r="G674"/>
          <cell r="H674">
            <v>-38.49</v>
          </cell>
        </row>
        <row r="675">
          <cell r="D675">
            <v>256779415300</v>
          </cell>
          <cell r="E675">
            <v>45937</v>
          </cell>
          <cell r="F675">
            <v>0</v>
          </cell>
          <cell r="G675"/>
          <cell r="H675">
            <v>-4.46</v>
          </cell>
        </row>
        <row r="676">
          <cell r="D676">
            <v>256779415375</v>
          </cell>
          <cell r="E676">
            <v>45937</v>
          </cell>
          <cell r="F676">
            <v>0</v>
          </cell>
          <cell r="G676"/>
          <cell r="H676">
            <v>-66.849999999999994</v>
          </cell>
        </row>
        <row r="677">
          <cell r="D677">
            <v>256779415349</v>
          </cell>
          <cell r="E677">
            <v>45937</v>
          </cell>
          <cell r="F677">
            <v>0</v>
          </cell>
          <cell r="G677"/>
          <cell r="H677">
            <v>-5.0999999999999996</v>
          </cell>
        </row>
        <row r="678">
          <cell r="D678">
            <v>256779415308</v>
          </cell>
          <cell r="E678">
            <v>45937</v>
          </cell>
          <cell r="F678">
            <v>0</v>
          </cell>
          <cell r="G678"/>
          <cell r="H678">
            <v>-5.57</v>
          </cell>
        </row>
        <row r="679">
          <cell r="D679">
            <v>256779415360</v>
          </cell>
          <cell r="E679">
            <v>45937</v>
          </cell>
          <cell r="F679">
            <v>0</v>
          </cell>
          <cell r="G679"/>
          <cell r="H679">
            <v>-11.14</v>
          </cell>
        </row>
        <row r="680">
          <cell r="D680">
            <v>256779415318</v>
          </cell>
          <cell r="E680">
            <v>45937</v>
          </cell>
          <cell r="F680">
            <v>0</v>
          </cell>
          <cell r="G680"/>
          <cell r="H680">
            <v>-47.28</v>
          </cell>
        </row>
        <row r="681">
          <cell r="D681">
            <v>256779415378</v>
          </cell>
          <cell r="E681">
            <v>45937</v>
          </cell>
          <cell r="F681">
            <v>0</v>
          </cell>
          <cell r="G681"/>
          <cell r="H681">
            <v>-22.29</v>
          </cell>
        </row>
        <row r="682">
          <cell r="D682">
            <v>256779415391</v>
          </cell>
          <cell r="E682">
            <v>45937</v>
          </cell>
          <cell r="F682">
            <v>0</v>
          </cell>
          <cell r="G682"/>
          <cell r="H682">
            <v>-152.30000000000001</v>
          </cell>
        </row>
        <row r="683">
          <cell r="D683">
            <v>256779415334</v>
          </cell>
          <cell r="E683">
            <v>45937</v>
          </cell>
          <cell r="F683">
            <v>0</v>
          </cell>
          <cell r="G683"/>
          <cell r="H683">
            <v>-4.17</v>
          </cell>
        </row>
        <row r="684">
          <cell r="D684">
            <v>256779415371</v>
          </cell>
          <cell r="E684">
            <v>45937</v>
          </cell>
          <cell r="F684">
            <v>0</v>
          </cell>
          <cell r="G684"/>
          <cell r="H684">
            <v>-8.0500000000000007</v>
          </cell>
        </row>
        <row r="685">
          <cell r="D685">
            <v>256779415315</v>
          </cell>
          <cell r="E685">
            <v>45937</v>
          </cell>
          <cell r="F685">
            <v>0</v>
          </cell>
          <cell r="G685"/>
          <cell r="H685">
            <v>-22.29</v>
          </cell>
        </row>
        <row r="686">
          <cell r="D686">
            <v>256779415305</v>
          </cell>
          <cell r="E686">
            <v>45937</v>
          </cell>
          <cell r="F686">
            <v>0</v>
          </cell>
          <cell r="G686"/>
          <cell r="H686">
            <v>-5.57</v>
          </cell>
        </row>
        <row r="687">
          <cell r="D687">
            <v>256779415356</v>
          </cell>
          <cell r="E687">
            <v>45937</v>
          </cell>
          <cell r="F687">
            <v>0</v>
          </cell>
          <cell r="G687"/>
          <cell r="H687">
            <v>-13.37</v>
          </cell>
        </row>
        <row r="688">
          <cell r="D688">
            <v>256779415383</v>
          </cell>
          <cell r="E688">
            <v>45937</v>
          </cell>
          <cell r="F688">
            <v>0</v>
          </cell>
          <cell r="G688"/>
          <cell r="H688">
            <v>-28.93</v>
          </cell>
        </row>
        <row r="689">
          <cell r="D689">
            <v>256779415372</v>
          </cell>
          <cell r="E689">
            <v>45937</v>
          </cell>
          <cell r="F689">
            <v>0</v>
          </cell>
          <cell r="G689"/>
          <cell r="H689">
            <v>-28.85</v>
          </cell>
        </row>
        <row r="690">
          <cell r="D690">
            <v>256779415361</v>
          </cell>
          <cell r="E690">
            <v>45937</v>
          </cell>
          <cell r="F690">
            <v>0</v>
          </cell>
          <cell r="G690"/>
          <cell r="H690">
            <v>-12.53</v>
          </cell>
        </row>
        <row r="691">
          <cell r="D691">
            <v>256779415317</v>
          </cell>
          <cell r="E691">
            <v>45937</v>
          </cell>
          <cell r="F691">
            <v>0</v>
          </cell>
          <cell r="G691"/>
          <cell r="H691">
            <v>-37.14</v>
          </cell>
        </row>
        <row r="692">
          <cell r="D692">
            <v>256779415394</v>
          </cell>
          <cell r="E692">
            <v>45937</v>
          </cell>
          <cell r="F692">
            <v>0</v>
          </cell>
          <cell r="G692"/>
          <cell r="H692">
            <v>-17.829999999999998</v>
          </cell>
        </row>
        <row r="693">
          <cell r="D693">
            <v>256779415314</v>
          </cell>
          <cell r="E693">
            <v>45937</v>
          </cell>
          <cell r="F693">
            <v>0</v>
          </cell>
          <cell r="G693"/>
          <cell r="H693">
            <v>-33.26</v>
          </cell>
        </row>
        <row r="694">
          <cell r="D694">
            <v>256779415352</v>
          </cell>
          <cell r="E694">
            <v>45937</v>
          </cell>
          <cell r="F694">
            <v>0</v>
          </cell>
          <cell r="G694"/>
          <cell r="H694">
            <v>-28.96</v>
          </cell>
        </row>
        <row r="695">
          <cell r="D695">
            <v>256779415342</v>
          </cell>
          <cell r="E695">
            <v>45937</v>
          </cell>
          <cell r="F695">
            <v>0</v>
          </cell>
          <cell r="G695"/>
          <cell r="H695">
            <v>-0.46</v>
          </cell>
        </row>
        <row r="696">
          <cell r="D696">
            <v>256779415376</v>
          </cell>
          <cell r="E696">
            <v>45937</v>
          </cell>
          <cell r="F696">
            <v>0</v>
          </cell>
          <cell r="G696"/>
          <cell r="H696">
            <v>-11.14</v>
          </cell>
        </row>
        <row r="697">
          <cell r="D697">
            <v>256779415336</v>
          </cell>
          <cell r="E697">
            <v>45937</v>
          </cell>
          <cell r="F697">
            <v>0</v>
          </cell>
          <cell r="G697"/>
          <cell r="H697">
            <v>-0.93</v>
          </cell>
        </row>
        <row r="698">
          <cell r="D698">
            <v>256779415382</v>
          </cell>
          <cell r="E698">
            <v>45937</v>
          </cell>
          <cell r="F698">
            <v>0</v>
          </cell>
          <cell r="G698"/>
          <cell r="H698">
            <v>-21.84</v>
          </cell>
        </row>
        <row r="699">
          <cell r="D699">
            <v>256779415295</v>
          </cell>
          <cell r="E699">
            <v>45937</v>
          </cell>
          <cell r="F699">
            <v>0</v>
          </cell>
          <cell r="G699"/>
          <cell r="H699">
            <v>-4.46</v>
          </cell>
        </row>
        <row r="700">
          <cell r="D700">
            <v>256779415326</v>
          </cell>
          <cell r="E700">
            <v>45937</v>
          </cell>
          <cell r="F700">
            <v>0</v>
          </cell>
          <cell r="G700"/>
          <cell r="H700">
            <v>-34.369999999999997</v>
          </cell>
        </row>
        <row r="701">
          <cell r="D701">
            <v>256779415306</v>
          </cell>
          <cell r="E701">
            <v>45937</v>
          </cell>
          <cell r="F701">
            <v>0</v>
          </cell>
          <cell r="G701"/>
          <cell r="H701">
            <v>-5.57</v>
          </cell>
        </row>
        <row r="702">
          <cell r="D702">
            <v>256779415390</v>
          </cell>
          <cell r="E702">
            <v>45937</v>
          </cell>
          <cell r="F702">
            <v>0</v>
          </cell>
          <cell r="G702"/>
          <cell r="H702">
            <v>-20.6</v>
          </cell>
        </row>
        <row r="703">
          <cell r="D703">
            <v>256779415340</v>
          </cell>
          <cell r="E703">
            <v>45937</v>
          </cell>
          <cell r="F703">
            <v>0</v>
          </cell>
          <cell r="G703"/>
          <cell r="H703">
            <v>-4.8</v>
          </cell>
        </row>
        <row r="704">
          <cell r="D704">
            <v>256779415343</v>
          </cell>
          <cell r="E704">
            <v>45937</v>
          </cell>
          <cell r="F704">
            <v>0</v>
          </cell>
          <cell r="G704"/>
          <cell r="H704">
            <v>-0.19</v>
          </cell>
        </row>
        <row r="705">
          <cell r="D705">
            <v>256779415395</v>
          </cell>
          <cell r="E705">
            <v>45937</v>
          </cell>
          <cell r="F705">
            <v>0</v>
          </cell>
          <cell r="G705"/>
          <cell r="H705">
            <v>-38.200000000000003</v>
          </cell>
        </row>
        <row r="706">
          <cell r="D706">
            <v>256779415381</v>
          </cell>
          <cell r="E706">
            <v>45937</v>
          </cell>
          <cell r="F706">
            <v>0</v>
          </cell>
          <cell r="G706"/>
          <cell r="H706">
            <v>-11.14</v>
          </cell>
        </row>
        <row r="707">
          <cell r="D707">
            <v>256779415392</v>
          </cell>
          <cell r="E707">
            <v>45937</v>
          </cell>
          <cell r="F707">
            <v>0</v>
          </cell>
          <cell r="G707"/>
          <cell r="H707">
            <v>-37.14</v>
          </cell>
        </row>
        <row r="708">
          <cell r="D708">
            <v>256779415358</v>
          </cell>
          <cell r="E708">
            <v>45937</v>
          </cell>
          <cell r="F708">
            <v>0</v>
          </cell>
          <cell r="G708"/>
          <cell r="H708">
            <v>-17.829999999999998</v>
          </cell>
        </row>
        <row r="709">
          <cell r="D709">
            <v>256779415337</v>
          </cell>
          <cell r="E709">
            <v>45937</v>
          </cell>
          <cell r="F709">
            <v>0</v>
          </cell>
          <cell r="G709"/>
          <cell r="H709">
            <v>-3.24</v>
          </cell>
        </row>
        <row r="710">
          <cell r="D710">
            <v>256779415362</v>
          </cell>
          <cell r="E710">
            <v>45937</v>
          </cell>
          <cell r="F710">
            <v>0</v>
          </cell>
          <cell r="G710"/>
          <cell r="H710">
            <v>-0.56000000000000005</v>
          </cell>
        </row>
        <row r="711">
          <cell r="D711">
            <v>256779415373</v>
          </cell>
          <cell r="E711">
            <v>45937</v>
          </cell>
          <cell r="F711">
            <v>0</v>
          </cell>
          <cell r="G711"/>
          <cell r="H711">
            <v>-0.48</v>
          </cell>
        </row>
        <row r="712">
          <cell r="D712">
            <v>256779415386</v>
          </cell>
          <cell r="E712">
            <v>45937</v>
          </cell>
          <cell r="F712">
            <v>0</v>
          </cell>
          <cell r="G712"/>
          <cell r="H712">
            <v>-1.39</v>
          </cell>
        </row>
        <row r="713">
          <cell r="D713">
            <v>256779415348</v>
          </cell>
          <cell r="E713">
            <v>45937</v>
          </cell>
          <cell r="F713">
            <v>0</v>
          </cell>
          <cell r="G713"/>
          <cell r="H713">
            <v>-1.39</v>
          </cell>
        </row>
        <row r="714">
          <cell r="D714">
            <v>256779415369</v>
          </cell>
          <cell r="E714">
            <v>45937</v>
          </cell>
          <cell r="F714">
            <v>0</v>
          </cell>
          <cell r="G714"/>
          <cell r="H714">
            <v>-0.56000000000000005</v>
          </cell>
        </row>
        <row r="715">
          <cell r="D715">
            <v>256779415364</v>
          </cell>
          <cell r="E715">
            <v>45937</v>
          </cell>
          <cell r="F715">
            <v>0</v>
          </cell>
          <cell r="G715"/>
          <cell r="H715">
            <v>-37.14</v>
          </cell>
        </row>
        <row r="716">
          <cell r="D716">
            <v>256779415299</v>
          </cell>
          <cell r="E716">
            <v>45937</v>
          </cell>
          <cell r="F716">
            <v>0</v>
          </cell>
          <cell r="G716"/>
          <cell r="H716">
            <v>-4.46</v>
          </cell>
        </row>
        <row r="717">
          <cell r="D717">
            <v>256779415335</v>
          </cell>
          <cell r="E717">
            <v>45937</v>
          </cell>
          <cell r="F717">
            <v>0</v>
          </cell>
          <cell r="G717"/>
          <cell r="H717">
            <v>-4.6500000000000004</v>
          </cell>
        </row>
        <row r="718">
          <cell r="D718">
            <v>256779415292</v>
          </cell>
          <cell r="E718">
            <v>45937</v>
          </cell>
          <cell r="F718">
            <v>0</v>
          </cell>
          <cell r="G718"/>
          <cell r="H718">
            <v>-4.46</v>
          </cell>
        </row>
        <row r="719">
          <cell r="D719">
            <v>256779415370</v>
          </cell>
          <cell r="E719">
            <v>45937</v>
          </cell>
          <cell r="F719">
            <v>0</v>
          </cell>
          <cell r="G719"/>
          <cell r="H719">
            <v>-13.37</v>
          </cell>
        </row>
        <row r="720">
          <cell r="D720">
            <v>256779415294</v>
          </cell>
          <cell r="E720">
            <v>45937</v>
          </cell>
          <cell r="F720">
            <v>0</v>
          </cell>
          <cell r="G720"/>
          <cell r="H720">
            <v>-4.46</v>
          </cell>
        </row>
        <row r="721">
          <cell r="D721">
            <v>256779415307</v>
          </cell>
          <cell r="E721">
            <v>45937</v>
          </cell>
          <cell r="F721">
            <v>0</v>
          </cell>
          <cell r="G721"/>
          <cell r="H721">
            <v>-5.57</v>
          </cell>
        </row>
        <row r="722">
          <cell r="D722">
            <v>256779415347</v>
          </cell>
          <cell r="E722">
            <v>45937</v>
          </cell>
          <cell r="F722">
            <v>0</v>
          </cell>
          <cell r="G722"/>
          <cell r="H722">
            <v>-3.72</v>
          </cell>
        </row>
        <row r="723">
          <cell r="D723">
            <v>256779415297</v>
          </cell>
          <cell r="E723">
            <v>45937</v>
          </cell>
          <cell r="F723">
            <v>0</v>
          </cell>
          <cell r="G723"/>
          <cell r="H723">
            <v>-4.46</v>
          </cell>
        </row>
        <row r="724">
          <cell r="D724">
            <v>256779415312</v>
          </cell>
          <cell r="E724">
            <v>45937</v>
          </cell>
          <cell r="F724">
            <v>-200</v>
          </cell>
          <cell r="G724"/>
          <cell r="H724">
            <v>-17694</v>
          </cell>
        </row>
        <row r="725">
          <cell r="D725">
            <v>256779415327</v>
          </cell>
          <cell r="E725">
            <v>45937</v>
          </cell>
          <cell r="F725">
            <v>-20</v>
          </cell>
          <cell r="G725"/>
          <cell r="H725">
            <v>-1769.4</v>
          </cell>
        </row>
        <row r="726">
          <cell r="D726">
            <v>256779415351</v>
          </cell>
          <cell r="E726">
            <v>45937</v>
          </cell>
          <cell r="F726">
            <v>-17.03</v>
          </cell>
          <cell r="G726"/>
          <cell r="H726">
            <v>-1464.4</v>
          </cell>
        </row>
        <row r="727">
          <cell r="D727">
            <v>256779415324</v>
          </cell>
          <cell r="E727">
            <v>45937</v>
          </cell>
          <cell r="F727">
            <v>-146.65</v>
          </cell>
          <cell r="G727"/>
          <cell r="H727">
            <v>-12974.13</v>
          </cell>
        </row>
        <row r="728">
          <cell r="D728">
            <v>256779415322</v>
          </cell>
          <cell r="E728">
            <v>45937</v>
          </cell>
          <cell r="F728">
            <v>-192</v>
          </cell>
          <cell r="G728"/>
          <cell r="H728">
            <v>-16986.240000000002</v>
          </cell>
        </row>
        <row r="729">
          <cell r="D729">
            <v>256779415366</v>
          </cell>
          <cell r="E729">
            <v>45937</v>
          </cell>
          <cell r="F729">
            <v>-192</v>
          </cell>
          <cell r="G729"/>
          <cell r="H729">
            <v>-16986.240000000002</v>
          </cell>
        </row>
        <row r="730">
          <cell r="D730">
            <v>256779415365</v>
          </cell>
          <cell r="E730">
            <v>45937</v>
          </cell>
          <cell r="F730">
            <v>-313</v>
          </cell>
          <cell r="G730"/>
          <cell r="H730">
            <v>-27691.11</v>
          </cell>
        </row>
        <row r="731">
          <cell r="D731">
            <v>256779415311</v>
          </cell>
          <cell r="E731">
            <v>45937</v>
          </cell>
          <cell r="F731">
            <v>-77.48</v>
          </cell>
          <cell r="G731"/>
          <cell r="H731">
            <v>-6854.66</v>
          </cell>
        </row>
        <row r="732">
          <cell r="D732">
            <v>256779415368</v>
          </cell>
          <cell r="E732">
            <v>45937</v>
          </cell>
          <cell r="F732">
            <v>-60</v>
          </cell>
          <cell r="G732"/>
          <cell r="H732">
            <v>-5308.2</v>
          </cell>
        </row>
        <row r="733">
          <cell r="D733">
            <v>256779415320</v>
          </cell>
          <cell r="E733">
            <v>45937</v>
          </cell>
          <cell r="F733">
            <v>-12.5</v>
          </cell>
          <cell r="G733"/>
          <cell r="H733">
            <v>-1105.8800000000001</v>
          </cell>
        </row>
        <row r="734">
          <cell r="D734">
            <v>256779415301</v>
          </cell>
          <cell r="E734">
            <v>45937</v>
          </cell>
          <cell r="F734">
            <v>-30</v>
          </cell>
          <cell r="G734"/>
          <cell r="H734">
            <v>-2654.1</v>
          </cell>
        </row>
        <row r="735">
          <cell r="D735">
            <v>256779415329</v>
          </cell>
          <cell r="E735">
            <v>45937</v>
          </cell>
          <cell r="F735">
            <v>-27.5</v>
          </cell>
          <cell r="G735"/>
          <cell r="H735">
            <v>-2432.9299999999998</v>
          </cell>
        </row>
        <row r="736">
          <cell r="D736">
            <v>256779415367</v>
          </cell>
          <cell r="E736">
            <v>45937</v>
          </cell>
          <cell r="F736">
            <v>-200</v>
          </cell>
          <cell r="G736"/>
          <cell r="H736">
            <v>-17694</v>
          </cell>
        </row>
        <row r="737">
          <cell r="D737">
            <v>256779415353</v>
          </cell>
          <cell r="E737">
            <v>45937</v>
          </cell>
          <cell r="F737">
            <v>-200</v>
          </cell>
          <cell r="G737"/>
          <cell r="H737">
            <v>-17694</v>
          </cell>
        </row>
        <row r="738">
          <cell r="D738">
            <v>256779415330</v>
          </cell>
          <cell r="E738">
            <v>45937</v>
          </cell>
          <cell r="F738">
            <v>-22.5</v>
          </cell>
          <cell r="G738"/>
          <cell r="H738">
            <v>-1990.58</v>
          </cell>
        </row>
        <row r="739">
          <cell r="D739">
            <v>256779415354</v>
          </cell>
          <cell r="E739">
            <v>45937</v>
          </cell>
          <cell r="F739">
            <v>-60</v>
          </cell>
          <cell r="G739"/>
          <cell r="H739">
            <v>-5308.2</v>
          </cell>
        </row>
        <row r="740">
          <cell r="D740">
            <v>256779415387</v>
          </cell>
          <cell r="E740">
            <v>45937</v>
          </cell>
          <cell r="F740">
            <v>-70.900000000000006</v>
          </cell>
          <cell r="G740"/>
          <cell r="H740">
            <v>-6096.66</v>
          </cell>
        </row>
        <row r="741">
          <cell r="D741">
            <v>256779415313</v>
          </cell>
          <cell r="E741">
            <v>45937</v>
          </cell>
          <cell r="F741">
            <v>-60</v>
          </cell>
          <cell r="G741"/>
          <cell r="H741">
            <v>-5308.2</v>
          </cell>
        </row>
        <row r="742">
          <cell r="D742">
            <v>256779415323</v>
          </cell>
          <cell r="E742">
            <v>45937</v>
          </cell>
          <cell r="F742">
            <v>-211.75</v>
          </cell>
          <cell r="G742"/>
          <cell r="H742">
            <v>-18733.52</v>
          </cell>
        </row>
        <row r="743">
          <cell r="D743">
            <v>256779415309</v>
          </cell>
          <cell r="E743">
            <v>45937</v>
          </cell>
          <cell r="F743">
            <v>-30</v>
          </cell>
          <cell r="G743"/>
          <cell r="H743">
            <v>-2654.1</v>
          </cell>
        </row>
        <row r="744">
          <cell r="D744">
            <v>256779415302</v>
          </cell>
          <cell r="E744">
            <v>45937</v>
          </cell>
          <cell r="F744">
            <v>-30</v>
          </cell>
          <cell r="G744"/>
          <cell r="H744">
            <v>-2654.1</v>
          </cell>
        </row>
        <row r="745">
          <cell r="D745">
            <v>256779415289</v>
          </cell>
          <cell r="E745">
            <v>45937</v>
          </cell>
          <cell r="F745">
            <v>-250</v>
          </cell>
          <cell r="G745"/>
          <cell r="H745">
            <v>-22117.5</v>
          </cell>
        </row>
        <row r="746">
          <cell r="D746">
            <v>256779415325</v>
          </cell>
          <cell r="E746">
            <v>45937</v>
          </cell>
          <cell r="F746">
            <v>-192</v>
          </cell>
          <cell r="G746"/>
          <cell r="H746">
            <v>-16986.240000000002</v>
          </cell>
        </row>
        <row r="747">
          <cell r="D747">
            <v>256779415353</v>
          </cell>
          <cell r="E747">
            <v>45937</v>
          </cell>
          <cell r="F747">
            <v>4</v>
          </cell>
          <cell r="G747"/>
          <cell r="H747">
            <v>353.88</v>
          </cell>
        </row>
        <row r="748">
          <cell r="D748">
            <v>256779415330</v>
          </cell>
          <cell r="E748">
            <v>45937</v>
          </cell>
          <cell r="F748">
            <v>0.45</v>
          </cell>
          <cell r="G748"/>
          <cell r="H748">
            <v>39.81</v>
          </cell>
        </row>
        <row r="749">
          <cell r="D749">
            <v>256779415366</v>
          </cell>
          <cell r="E749">
            <v>45937</v>
          </cell>
          <cell r="F749">
            <v>3.84</v>
          </cell>
          <cell r="G749"/>
          <cell r="H749">
            <v>339.72</v>
          </cell>
        </row>
        <row r="750">
          <cell r="D750">
            <v>256779415311</v>
          </cell>
          <cell r="E750">
            <v>45937</v>
          </cell>
          <cell r="F750">
            <v>1.55</v>
          </cell>
          <cell r="G750"/>
          <cell r="H750">
            <v>137.13</v>
          </cell>
        </row>
        <row r="751">
          <cell r="D751">
            <v>256779415320</v>
          </cell>
          <cell r="E751">
            <v>45937</v>
          </cell>
          <cell r="F751">
            <v>0.25</v>
          </cell>
          <cell r="G751"/>
          <cell r="H751">
            <v>22.12</v>
          </cell>
        </row>
        <row r="752">
          <cell r="D752">
            <v>256779415329</v>
          </cell>
          <cell r="E752">
            <v>45937</v>
          </cell>
          <cell r="F752">
            <v>0.55000000000000004</v>
          </cell>
          <cell r="G752"/>
          <cell r="H752">
            <v>48.66</v>
          </cell>
        </row>
        <row r="753">
          <cell r="D753">
            <v>256779415327</v>
          </cell>
          <cell r="E753">
            <v>45937</v>
          </cell>
          <cell r="F753">
            <v>0.4</v>
          </cell>
          <cell r="G753"/>
          <cell r="H753">
            <v>35.39</v>
          </cell>
        </row>
        <row r="754">
          <cell r="D754">
            <v>256779415367</v>
          </cell>
          <cell r="E754">
            <v>45937</v>
          </cell>
          <cell r="F754">
            <v>4</v>
          </cell>
          <cell r="G754"/>
          <cell r="H754">
            <v>353.88</v>
          </cell>
        </row>
        <row r="755">
          <cell r="D755">
            <v>256779415368</v>
          </cell>
          <cell r="E755">
            <v>45937</v>
          </cell>
          <cell r="F755">
            <v>1.2</v>
          </cell>
          <cell r="G755"/>
          <cell r="H755">
            <v>106.16</v>
          </cell>
        </row>
        <row r="756">
          <cell r="D756">
            <v>2667796</v>
          </cell>
          <cell r="E756" t="str">
            <v>24/10/2025</v>
          </cell>
          <cell r="F756">
            <v>0</v>
          </cell>
          <cell r="G756"/>
          <cell r="H756">
            <v>1721315.82</v>
          </cell>
        </row>
        <row r="757">
          <cell r="D757">
            <v>256779415312</v>
          </cell>
          <cell r="E757">
            <v>45937</v>
          </cell>
          <cell r="F757">
            <v>4</v>
          </cell>
          <cell r="G757"/>
          <cell r="H757">
            <v>353.88</v>
          </cell>
        </row>
        <row r="758">
          <cell r="D758">
            <v>256779415301</v>
          </cell>
          <cell r="E758">
            <v>45937</v>
          </cell>
          <cell r="F758">
            <v>0.6</v>
          </cell>
          <cell r="G758"/>
          <cell r="H758">
            <v>53.08</v>
          </cell>
        </row>
        <row r="759">
          <cell r="D759">
            <v>256779415324</v>
          </cell>
          <cell r="E759">
            <v>45937</v>
          </cell>
          <cell r="F759">
            <v>2.93</v>
          </cell>
          <cell r="G759"/>
          <cell r="H759">
            <v>259.22000000000003</v>
          </cell>
        </row>
        <row r="760">
          <cell r="D760">
            <v>256779415322</v>
          </cell>
          <cell r="E760">
            <v>45937</v>
          </cell>
          <cell r="F760">
            <v>3.84</v>
          </cell>
          <cell r="G760"/>
          <cell r="H760">
            <v>339.72</v>
          </cell>
        </row>
        <row r="761">
          <cell r="D761">
            <v>256779415354</v>
          </cell>
          <cell r="E761">
            <v>45937</v>
          </cell>
          <cell r="F761">
            <v>1.2</v>
          </cell>
          <cell r="G761"/>
          <cell r="H761">
            <v>106.16</v>
          </cell>
        </row>
        <row r="762">
          <cell r="D762">
            <v>256779415351</v>
          </cell>
          <cell r="E762">
            <v>45937</v>
          </cell>
          <cell r="F762">
            <v>0.34</v>
          </cell>
          <cell r="G762"/>
          <cell r="H762">
            <v>29.24</v>
          </cell>
        </row>
        <row r="763">
          <cell r="D763">
            <v>256779415365</v>
          </cell>
          <cell r="E763">
            <v>45937</v>
          </cell>
          <cell r="F763">
            <v>6.26</v>
          </cell>
          <cell r="G763"/>
          <cell r="H763">
            <v>553.82000000000005</v>
          </cell>
        </row>
        <row r="764">
          <cell r="D764">
            <v>256779415323</v>
          </cell>
          <cell r="E764">
            <v>45937</v>
          </cell>
          <cell r="F764">
            <v>4.24</v>
          </cell>
          <cell r="G764"/>
          <cell r="H764">
            <v>375.11</v>
          </cell>
        </row>
        <row r="765">
          <cell r="D765">
            <v>256779415387</v>
          </cell>
          <cell r="E765">
            <v>45937</v>
          </cell>
          <cell r="F765">
            <v>1.42</v>
          </cell>
          <cell r="G765"/>
          <cell r="H765">
            <v>122.11</v>
          </cell>
        </row>
        <row r="766">
          <cell r="D766">
            <v>256779415289</v>
          </cell>
          <cell r="E766">
            <v>45937</v>
          </cell>
          <cell r="F766">
            <v>5</v>
          </cell>
          <cell r="G766"/>
          <cell r="H766">
            <v>442.35</v>
          </cell>
        </row>
        <row r="767">
          <cell r="D767">
            <v>256779415302</v>
          </cell>
          <cell r="E767">
            <v>45937</v>
          </cell>
          <cell r="F767">
            <v>0.6</v>
          </cell>
          <cell r="G767"/>
          <cell r="H767">
            <v>53.08</v>
          </cell>
        </row>
        <row r="768">
          <cell r="D768">
            <v>256779415313</v>
          </cell>
          <cell r="E768">
            <v>45937</v>
          </cell>
          <cell r="F768">
            <v>1.2</v>
          </cell>
          <cell r="G768"/>
          <cell r="H768">
            <v>106.16</v>
          </cell>
        </row>
        <row r="769">
          <cell r="D769">
            <v>256779415309</v>
          </cell>
          <cell r="E769">
            <v>45937</v>
          </cell>
          <cell r="F769">
            <v>0.6</v>
          </cell>
          <cell r="G769"/>
          <cell r="H769">
            <v>53.08</v>
          </cell>
        </row>
        <row r="770">
          <cell r="D770">
            <v>256779415325</v>
          </cell>
          <cell r="E770">
            <v>45937</v>
          </cell>
          <cell r="F770">
            <v>3.84</v>
          </cell>
          <cell r="G770"/>
          <cell r="H770">
            <v>339.72</v>
          </cell>
        </row>
        <row r="771">
          <cell r="D771">
            <v>256779415331</v>
          </cell>
          <cell r="E771">
            <v>45937</v>
          </cell>
          <cell r="F771">
            <v>-22.5</v>
          </cell>
          <cell r="G771"/>
          <cell r="H771">
            <v>-1990.58</v>
          </cell>
        </row>
        <row r="772">
          <cell r="D772">
            <v>256779415331</v>
          </cell>
          <cell r="E772">
            <v>45937</v>
          </cell>
          <cell r="F772">
            <v>0.45</v>
          </cell>
          <cell r="G772"/>
          <cell r="H772">
            <v>39.81</v>
          </cell>
        </row>
        <row r="773">
          <cell r="D773">
            <v>256779415290</v>
          </cell>
          <cell r="E773">
            <v>45937</v>
          </cell>
          <cell r="F773">
            <v>-24</v>
          </cell>
          <cell r="G773"/>
          <cell r="H773">
            <v>-2123.2800000000002</v>
          </cell>
        </row>
        <row r="774">
          <cell r="D774">
            <v>256779415290</v>
          </cell>
          <cell r="E774">
            <v>45937</v>
          </cell>
          <cell r="F774">
            <v>0.48</v>
          </cell>
          <cell r="G774"/>
          <cell r="H774">
            <v>42.47</v>
          </cell>
        </row>
        <row r="775">
          <cell r="D775">
            <v>256779415303</v>
          </cell>
          <cell r="E775">
            <v>45937</v>
          </cell>
          <cell r="F775">
            <v>0</v>
          </cell>
          <cell r="G775"/>
          <cell r="H775">
            <v>39.880000000000003</v>
          </cell>
        </row>
        <row r="776">
          <cell r="D776">
            <v>256779415304</v>
          </cell>
          <cell r="E776">
            <v>45937</v>
          </cell>
          <cell r="F776">
            <v>0</v>
          </cell>
          <cell r="G776"/>
          <cell r="H776">
            <v>11.96</v>
          </cell>
        </row>
        <row r="777">
          <cell r="D777">
            <v>256779415339</v>
          </cell>
          <cell r="E777">
            <v>45937</v>
          </cell>
          <cell r="F777">
            <v>0</v>
          </cell>
          <cell r="G777"/>
          <cell r="H777">
            <v>10.92</v>
          </cell>
        </row>
        <row r="778">
          <cell r="D778">
            <v>256779415308</v>
          </cell>
          <cell r="E778">
            <v>45937</v>
          </cell>
          <cell r="F778">
            <v>0</v>
          </cell>
          <cell r="G778"/>
          <cell r="H778">
            <v>11.96</v>
          </cell>
        </row>
        <row r="779">
          <cell r="D779">
            <v>256779415305</v>
          </cell>
          <cell r="E779">
            <v>45937</v>
          </cell>
          <cell r="F779">
            <v>0</v>
          </cell>
          <cell r="G779"/>
          <cell r="H779">
            <v>11.96</v>
          </cell>
        </row>
        <row r="780">
          <cell r="D780">
            <v>256779415306</v>
          </cell>
          <cell r="E780">
            <v>45937</v>
          </cell>
          <cell r="F780">
            <v>0</v>
          </cell>
          <cell r="G780"/>
          <cell r="H780">
            <v>11.96</v>
          </cell>
        </row>
        <row r="781">
          <cell r="D781">
            <v>256779415307</v>
          </cell>
          <cell r="E781">
            <v>45937</v>
          </cell>
          <cell r="F781">
            <v>0</v>
          </cell>
          <cell r="G781"/>
          <cell r="H781">
            <v>11.96</v>
          </cell>
        </row>
        <row r="782">
          <cell r="D782">
            <v>256779415312</v>
          </cell>
          <cell r="E782">
            <v>45937</v>
          </cell>
          <cell r="F782">
            <v>0</v>
          </cell>
          <cell r="G782"/>
          <cell r="H782">
            <v>42.62</v>
          </cell>
        </row>
        <row r="783">
          <cell r="D783">
            <v>256779415327</v>
          </cell>
          <cell r="E783">
            <v>45937</v>
          </cell>
          <cell r="F783">
            <v>0</v>
          </cell>
          <cell r="G783"/>
          <cell r="H783">
            <v>4.26</v>
          </cell>
        </row>
        <row r="784">
          <cell r="D784">
            <v>256779415351</v>
          </cell>
          <cell r="E784">
            <v>45937</v>
          </cell>
          <cell r="F784">
            <v>0</v>
          </cell>
          <cell r="G784"/>
          <cell r="H784">
            <v>-37.78</v>
          </cell>
        </row>
        <row r="785">
          <cell r="D785">
            <v>256779415324</v>
          </cell>
          <cell r="E785">
            <v>45937</v>
          </cell>
          <cell r="F785">
            <v>0</v>
          </cell>
          <cell r="G785"/>
          <cell r="H785">
            <v>31.25</v>
          </cell>
        </row>
        <row r="786">
          <cell r="D786">
            <v>256779415322</v>
          </cell>
          <cell r="E786">
            <v>45937</v>
          </cell>
          <cell r="F786">
            <v>0</v>
          </cell>
          <cell r="G786"/>
          <cell r="H786">
            <v>40.92</v>
          </cell>
        </row>
        <row r="787">
          <cell r="D787">
            <v>256779415366</v>
          </cell>
          <cell r="E787">
            <v>45937</v>
          </cell>
          <cell r="F787">
            <v>0</v>
          </cell>
          <cell r="G787"/>
          <cell r="H787">
            <v>40.92</v>
          </cell>
        </row>
        <row r="788">
          <cell r="D788">
            <v>256779415365</v>
          </cell>
          <cell r="E788">
            <v>45937</v>
          </cell>
          <cell r="F788">
            <v>0</v>
          </cell>
          <cell r="G788"/>
          <cell r="H788">
            <v>66.7</v>
          </cell>
        </row>
        <row r="789">
          <cell r="D789">
            <v>256779415311</v>
          </cell>
          <cell r="E789">
            <v>45937</v>
          </cell>
          <cell r="F789">
            <v>0</v>
          </cell>
          <cell r="G789"/>
          <cell r="H789">
            <v>16.510000000000002</v>
          </cell>
        </row>
        <row r="790">
          <cell r="D790">
            <v>256779415368</v>
          </cell>
          <cell r="E790">
            <v>45937</v>
          </cell>
          <cell r="F790">
            <v>0</v>
          </cell>
          <cell r="G790"/>
          <cell r="H790">
            <v>12.79</v>
          </cell>
        </row>
        <row r="791">
          <cell r="D791">
            <v>256779415320</v>
          </cell>
          <cell r="E791">
            <v>45937</v>
          </cell>
          <cell r="F791">
            <v>0</v>
          </cell>
          <cell r="G791"/>
          <cell r="H791">
            <v>2.67</v>
          </cell>
        </row>
        <row r="792">
          <cell r="D792">
            <v>256779415301</v>
          </cell>
          <cell r="E792">
            <v>45937</v>
          </cell>
          <cell r="F792">
            <v>0</v>
          </cell>
          <cell r="G792"/>
          <cell r="H792">
            <v>6.39</v>
          </cell>
        </row>
        <row r="793">
          <cell r="D793">
            <v>256779415329</v>
          </cell>
          <cell r="E793">
            <v>45937</v>
          </cell>
          <cell r="F793">
            <v>0</v>
          </cell>
          <cell r="G793"/>
          <cell r="H793">
            <v>5.86</v>
          </cell>
        </row>
        <row r="794">
          <cell r="D794">
            <v>256779415367</v>
          </cell>
          <cell r="E794">
            <v>45937</v>
          </cell>
          <cell r="F794">
            <v>0</v>
          </cell>
          <cell r="G794"/>
          <cell r="H794">
            <v>42.62</v>
          </cell>
        </row>
        <row r="795">
          <cell r="D795">
            <v>256779415353</v>
          </cell>
          <cell r="E795">
            <v>45937</v>
          </cell>
          <cell r="F795">
            <v>0</v>
          </cell>
          <cell r="G795"/>
          <cell r="H795">
            <v>42.62</v>
          </cell>
        </row>
        <row r="796">
          <cell r="D796">
            <v>256779415330</v>
          </cell>
          <cell r="E796">
            <v>45937</v>
          </cell>
          <cell r="F796">
            <v>0</v>
          </cell>
          <cell r="G796"/>
          <cell r="H796">
            <v>4.8</v>
          </cell>
        </row>
        <row r="797">
          <cell r="D797">
            <v>256779415354</v>
          </cell>
          <cell r="E797">
            <v>45937</v>
          </cell>
          <cell r="F797">
            <v>0</v>
          </cell>
          <cell r="G797"/>
          <cell r="H797">
            <v>12.79</v>
          </cell>
        </row>
        <row r="798">
          <cell r="D798">
            <v>256779415387</v>
          </cell>
          <cell r="E798">
            <v>45937</v>
          </cell>
          <cell r="F798">
            <v>0</v>
          </cell>
          <cell r="G798"/>
          <cell r="H798">
            <v>-157.24</v>
          </cell>
        </row>
        <row r="799">
          <cell r="D799">
            <v>256779415313</v>
          </cell>
          <cell r="E799">
            <v>45937</v>
          </cell>
          <cell r="F799">
            <v>0</v>
          </cell>
          <cell r="G799"/>
          <cell r="H799">
            <v>12.79</v>
          </cell>
        </row>
        <row r="800">
          <cell r="D800">
            <v>256779415323</v>
          </cell>
          <cell r="E800">
            <v>45937</v>
          </cell>
          <cell r="F800">
            <v>0</v>
          </cell>
          <cell r="G800"/>
          <cell r="H800">
            <v>45.12</v>
          </cell>
        </row>
        <row r="801">
          <cell r="D801">
            <v>256779415309</v>
          </cell>
          <cell r="E801">
            <v>45937</v>
          </cell>
          <cell r="F801">
            <v>0</v>
          </cell>
          <cell r="G801"/>
          <cell r="H801">
            <v>6.39</v>
          </cell>
        </row>
        <row r="802">
          <cell r="D802">
            <v>256779415302</v>
          </cell>
          <cell r="E802">
            <v>45937</v>
          </cell>
          <cell r="F802">
            <v>0</v>
          </cell>
          <cell r="G802"/>
          <cell r="H802">
            <v>6.39</v>
          </cell>
        </row>
        <row r="803">
          <cell r="D803">
            <v>256779415289</v>
          </cell>
          <cell r="E803">
            <v>45937</v>
          </cell>
          <cell r="F803">
            <v>0</v>
          </cell>
          <cell r="G803"/>
          <cell r="H803">
            <v>53.27</v>
          </cell>
        </row>
        <row r="804">
          <cell r="D804">
            <v>256779415325</v>
          </cell>
          <cell r="E804">
            <v>45937</v>
          </cell>
          <cell r="F804">
            <v>0</v>
          </cell>
          <cell r="G804"/>
          <cell r="H804">
            <v>40.92</v>
          </cell>
        </row>
        <row r="805">
          <cell r="D805">
            <v>256779415331</v>
          </cell>
          <cell r="E805">
            <v>45937</v>
          </cell>
          <cell r="F805">
            <v>0</v>
          </cell>
          <cell r="G805"/>
          <cell r="H805">
            <v>4.8</v>
          </cell>
        </row>
        <row r="806">
          <cell r="D806">
            <v>256779415290</v>
          </cell>
          <cell r="E806">
            <v>45937</v>
          </cell>
          <cell r="F806">
            <v>0</v>
          </cell>
          <cell r="G806"/>
          <cell r="H806">
            <v>5.1100000000000003</v>
          </cell>
        </row>
        <row r="807">
          <cell r="D807">
            <v>256779415319</v>
          </cell>
          <cell r="E807">
            <v>45937</v>
          </cell>
          <cell r="F807">
            <v>-140.16999999999999</v>
          </cell>
          <cell r="G807"/>
          <cell r="H807">
            <v>-12400.84</v>
          </cell>
        </row>
        <row r="808">
          <cell r="D808">
            <v>256779415319</v>
          </cell>
          <cell r="E808">
            <v>45937</v>
          </cell>
          <cell r="F808">
            <v>2.8</v>
          </cell>
          <cell r="G808"/>
          <cell r="H808">
            <v>247.72</v>
          </cell>
        </row>
        <row r="809">
          <cell r="D809">
            <v>256779415303</v>
          </cell>
          <cell r="E809">
            <v>45937</v>
          </cell>
          <cell r="F809">
            <v>0</v>
          </cell>
          <cell r="G809"/>
          <cell r="H809">
            <v>-88.42</v>
          </cell>
        </row>
        <row r="810">
          <cell r="D810">
            <v>256779415304</v>
          </cell>
          <cell r="E810">
            <v>45937</v>
          </cell>
          <cell r="F810">
            <v>0</v>
          </cell>
          <cell r="G810"/>
          <cell r="H810">
            <v>-26.52</v>
          </cell>
        </row>
        <row r="811">
          <cell r="D811">
            <v>256779415385</v>
          </cell>
          <cell r="E811">
            <v>45937</v>
          </cell>
          <cell r="F811">
            <v>0</v>
          </cell>
          <cell r="G811"/>
          <cell r="H811">
            <v>-0.32</v>
          </cell>
        </row>
        <row r="812">
          <cell r="D812">
            <v>256779415293</v>
          </cell>
          <cell r="E812">
            <v>45937</v>
          </cell>
          <cell r="F812">
            <v>0</v>
          </cell>
          <cell r="G812"/>
          <cell r="H812">
            <v>-0.32</v>
          </cell>
        </row>
        <row r="813">
          <cell r="D813">
            <v>256779415374</v>
          </cell>
          <cell r="E813">
            <v>45937</v>
          </cell>
          <cell r="F813">
            <v>0</v>
          </cell>
          <cell r="G813"/>
          <cell r="H813">
            <v>-6.43</v>
          </cell>
        </row>
        <row r="814">
          <cell r="D814">
            <v>256779415339</v>
          </cell>
          <cell r="E814">
            <v>45937</v>
          </cell>
          <cell r="F814">
            <v>0</v>
          </cell>
          <cell r="G814"/>
          <cell r="H814">
            <v>-24.21</v>
          </cell>
        </row>
        <row r="815">
          <cell r="D815">
            <v>256779415308</v>
          </cell>
          <cell r="E815">
            <v>45937</v>
          </cell>
          <cell r="F815">
            <v>0</v>
          </cell>
          <cell r="G815"/>
          <cell r="H815">
            <v>-26.52</v>
          </cell>
        </row>
        <row r="816">
          <cell r="D816">
            <v>256779415305</v>
          </cell>
          <cell r="E816">
            <v>45937</v>
          </cell>
          <cell r="F816">
            <v>0</v>
          </cell>
          <cell r="G816"/>
          <cell r="H816">
            <v>-26.52</v>
          </cell>
        </row>
        <row r="817">
          <cell r="D817">
            <v>256779415306</v>
          </cell>
          <cell r="E817">
            <v>45937</v>
          </cell>
          <cell r="F817">
            <v>0</v>
          </cell>
          <cell r="G817"/>
          <cell r="H817">
            <v>-26.52</v>
          </cell>
        </row>
        <row r="818">
          <cell r="D818">
            <v>256779415307</v>
          </cell>
          <cell r="E818">
            <v>45937</v>
          </cell>
          <cell r="F818">
            <v>0</v>
          </cell>
          <cell r="G818"/>
          <cell r="H818">
            <v>-26.52</v>
          </cell>
        </row>
        <row r="819">
          <cell r="D819">
            <v>256779415291</v>
          </cell>
          <cell r="E819">
            <v>45937</v>
          </cell>
          <cell r="F819">
            <v>0</v>
          </cell>
          <cell r="G819"/>
          <cell r="H819">
            <v>-0.32</v>
          </cell>
        </row>
        <row r="820">
          <cell r="D820">
            <v>256779415319</v>
          </cell>
          <cell r="E820">
            <v>45937</v>
          </cell>
          <cell r="F820">
            <v>0</v>
          </cell>
          <cell r="G820"/>
          <cell r="H820">
            <v>-94.07</v>
          </cell>
        </row>
        <row r="821">
          <cell r="D821">
            <v>256779415332</v>
          </cell>
          <cell r="E821">
            <v>45937</v>
          </cell>
          <cell r="F821">
            <v>-2.5</v>
          </cell>
          <cell r="G821"/>
          <cell r="H821">
            <v>-221.18</v>
          </cell>
        </row>
        <row r="822">
          <cell r="D822">
            <v>256779415332</v>
          </cell>
          <cell r="E822">
            <v>45937</v>
          </cell>
          <cell r="F822">
            <v>0.05</v>
          </cell>
          <cell r="G822"/>
          <cell r="H822">
            <v>4.42</v>
          </cell>
        </row>
        <row r="823">
          <cell r="D823">
            <v>256779415328</v>
          </cell>
          <cell r="E823">
            <v>45937</v>
          </cell>
          <cell r="F823">
            <v>-22.5</v>
          </cell>
          <cell r="G823"/>
          <cell r="H823">
            <v>-1990.58</v>
          </cell>
        </row>
        <row r="824">
          <cell r="D824">
            <v>256779415328</v>
          </cell>
          <cell r="E824">
            <v>45937</v>
          </cell>
          <cell r="F824">
            <v>0.45</v>
          </cell>
          <cell r="G824"/>
          <cell r="H824">
            <v>39.81</v>
          </cell>
        </row>
        <row r="825">
          <cell r="D825">
            <v>256779415303</v>
          </cell>
          <cell r="E825">
            <v>45937</v>
          </cell>
          <cell r="F825">
            <v>0</v>
          </cell>
          <cell r="G825"/>
          <cell r="H825">
            <v>-72.12</v>
          </cell>
        </row>
        <row r="826">
          <cell r="D826">
            <v>256779415304</v>
          </cell>
          <cell r="E826">
            <v>45937</v>
          </cell>
          <cell r="F826">
            <v>0</v>
          </cell>
          <cell r="G826"/>
          <cell r="H826">
            <v>-21.64</v>
          </cell>
        </row>
        <row r="827">
          <cell r="D827">
            <v>256779415385</v>
          </cell>
          <cell r="E827">
            <v>45937</v>
          </cell>
          <cell r="F827">
            <v>0</v>
          </cell>
          <cell r="G827"/>
          <cell r="H827">
            <v>-0.36</v>
          </cell>
        </row>
        <row r="828">
          <cell r="D828">
            <v>256779415293</v>
          </cell>
          <cell r="E828">
            <v>45937</v>
          </cell>
          <cell r="F828">
            <v>0</v>
          </cell>
          <cell r="G828"/>
          <cell r="H828">
            <v>-0.36</v>
          </cell>
        </row>
        <row r="829">
          <cell r="D829">
            <v>256779415374</v>
          </cell>
          <cell r="E829">
            <v>45937</v>
          </cell>
          <cell r="F829">
            <v>0</v>
          </cell>
          <cell r="G829"/>
          <cell r="H829">
            <v>-6.91</v>
          </cell>
        </row>
        <row r="830">
          <cell r="D830">
            <v>256779415339</v>
          </cell>
          <cell r="E830">
            <v>45937</v>
          </cell>
          <cell r="F830">
            <v>0</v>
          </cell>
          <cell r="G830"/>
          <cell r="H830">
            <v>-19.760000000000002</v>
          </cell>
        </row>
        <row r="831">
          <cell r="D831">
            <v>256779415308</v>
          </cell>
          <cell r="E831">
            <v>45937</v>
          </cell>
          <cell r="F831">
            <v>0</v>
          </cell>
          <cell r="G831"/>
          <cell r="H831">
            <v>-21.64</v>
          </cell>
        </row>
        <row r="832">
          <cell r="D832">
            <v>256779415305</v>
          </cell>
          <cell r="E832">
            <v>45937</v>
          </cell>
          <cell r="F832">
            <v>0</v>
          </cell>
          <cell r="G832"/>
          <cell r="H832">
            <v>-21.64</v>
          </cell>
        </row>
        <row r="833">
          <cell r="D833">
            <v>256779415306</v>
          </cell>
          <cell r="E833">
            <v>45937</v>
          </cell>
          <cell r="F833">
            <v>0</v>
          </cell>
          <cell r="G833"/>
          <cell r="H833">
            <v>-21.64</v>
          </cell>
        </row>
        <row r="834">
          <cell r="D834">
            <v>256779415307</v>
          </cell>
          <cell r="E834">
            <v>45937</v>
          </cell>
          <cell r="F834">
            <v>0</v>
          </cell>
          <cell r="G834"/>
          <cell r="H834">
            <v>-21.64</v>
          </cell>
        </row>
        <row r="835">
          <cell r="D835">
            <v>256779415291</v>
          </cell>
          <cell r="E835">
            <v>45937</v>
          </cell>
          <cell r="F835">
            <v>0</v>
          </cell>
          <cell r="G835"/>
          <cell r="H835">
            <v>-0.36</v>
          </cell>
        </row>
        <row r="836">
          <cell r="D836">
            <v>256779415332</v>
          </cell>
          <cell r="E836">
            <v>45937</v>
          </cell>
          <cell r="F836">
            <v>0</v>
          </cell>
          <cell r="G836"/>
          <cell r="H836">
            <v>-3.47</v>
          </cell>
        </row>
        <row r="837">
          <cell r="D837">
            <v>2717597</v>
          </cell>
          <cell r="E837" t="str">
            <v>21/11/2025</v>
          </cell>
          <cell r="F837">
            <v>0</v>
          </cell>
          <cell r="G837"/>
          <cell r="H837">
            <v>1899719.56</v>
          </cell>
        </row>
        <row r="838">
          <cell r="D838">
            <v>256779415328</v>
          </cell>
          <cell r="E838">
            <v>45937</v>
          </cell>
          <cell r="F838">
            <v>0</v>
          </cell>
          <cell r="G838"/>
          <cell r="H838">
            <v>-31.32</v>
          </cell>
        </row>
        <row r="839">
          <cell r="D839">
            <v>256779415321</v>
          </cell>
          <cell r="E839">
            <v>45937</v>
          </cell>
          <cell r="F839">
            <v>-212.5</v>
          </cell>
          <cell r="G839"/>
          <cell r="H839">
            <v>-18799.88</v>
          </cell>
        </row>
        <row r="840">
          <cell r="D840">
            <v>256779415321</v>
          </cell>
          <cell r="E840">
            <v>45937</v>
          </cell>
          <cell r="F840">
            <v>4.25</v>
          </cell>
          <cell r="G840"/>
          <cell r="H840">
            <v>376</v>
          </cell>
        </row>
        <row r="841">
          <cell r="D841">
            <v>256779415303</v>
          </cell>
          <cell r="E841">
            <v>45937</v>
          </cell>
          <cell r="F841">
            <v>0</v>
          </cell>
          <cell r="G841"/>
          <cell r="H841">
            <v>-170.52</v>
          </cell>
        </row>
        <row r="842">
          <cell r="D842">
            <v>256779415304</v>
          </cell>
          <cell r="E842">
            <v>45937</v>
          </cell>
          <cell r="F842">
            <v>0</v>
          </cell>
          <cell r="G842"/>
          <cell r="H842">
            <v>-51.15</v>
          </cell>
        </row>
        <row r="843">
          <cell r="D843">
            <v>256779415385</v>
          </cell>
          <cell r="E843">
            <v>45937</v>
          </cell>
          <cell r="F843">
            <v>0</v>
          </cell>
          <cell r="G843"/>
          <cell r="H843">
            <v>-0.83</v>
          </cell>
        </row>
        <row r="844">
          <cell r="D844">
            <v>256779415293</v>
          </cell>
          <cell r="E844">
            <v>45937</v>
          </cell>
          <cell r="F844">
            <v>0</v>
          </cell>
          <cell r="G844"/>
          <cell r="H844">
            <v>-0.83</v>
          </cell>
        </row>
        <row r="845">
          <cell r="D845">
            <v>256779415374</v>
          </cell>
          <cell r="E845">
            <v>45937</v>
          </cell>
          <cell r="F845">
            <v>0</v>
          </cell>
          <cell r="G845"/>
          <cell r="H845">
            <v>-16.34</v>
          </cell>
        </row>
        <row r="846">
          <cell r="D846">
            <v>256779415339</v>
          </cell>
          <cell r="E846">
            <v>45937</v>
          </cell>
          <cell r="F846">
            <v>0</v>
          </cell>
          <cell r="G846"/>
          <cell r="H846">
            <v>-46.7</v>
          </cell>
        </row>
        <row r="847">
          <cell r="D847">
            <v>256779415308</v>
          </cell>
          <cell r="E847">
            <v>45937</v>
          </cell>
          <cell r="F847">
            <v>0</v>
          </cell>
          <cell r="G847"/>
          <cell r="H847">
            <v>-51.15</v>
          </cell>
        </row>
        <row r="848">
          <cell r="D848">
            <v>256779415305</v>
          </cell>
          <cell r="E848">
            <v>45937</v>
          </cell>
          <cell r="F848">
            <v>0</v>
          </cell>
          <cell r="G848"/>
          <cell r="H848">
            <v>-51.15</v>
          </cell>
        </row>
        <row r="849">
          <cell r="D849">
            <v>256779415306</v>
          </cell>
          <cell r="E849">
            <v>45937</v>
          </cell>
          <cell r="F849">
            <v>0</v>
          </cell>
          <cell r="G849"/>
          <cell r="H849">
            <v>-51.15</v>
          </cell>
        </row>
        <row r="850">
          <cell r="D850">
            <v>256779415307</v>
          </cell>
          <cell r="E850">
            <v>45937</v>
          </cell>
          <cell r="F850">
            <v>0</v>
          </cell>
          <cell r="G850"/>
          <cell r="H850">
            <v>-51.15</v>
          </cell>
        </row>
        <row r="851">
          <cell r="D851">
            <v>256779415291</v>
          </cell>
          <cell r="E851">
            <v>45937</v>
          </cell>
          <cell r="F851">
            <v>0</v>
          </cell>
          <cell r="G851"/>
          <cell r="H851">
            <v>-0.83</v>
          </cell>
        </row>
        <row r="852">
          <cell r="D852">
            <v>256779415321</v>
          </cell>
          <cell r="E852">
            <v>45937</v>
          </cell>
          <cell r="F852">
            <v>0</v>
          </cell>
          <cell r="G852"/>
          <cell r="H852">
            <v>-658.22</v>
          </cell>
        </row>
        <row r="853">
          <cell r="D853">
            <v>256779414358</v>
          </cell>
          <cell r="E853">
            <v>45936</v>
          </cell>
          <cell r="F853">
            <v>-2339.4299999999998</v>
          </cell>
          <cell r="G853"/>
          <cell r="H853">
            <v>-199001.51</v>
          </cell>
        </row>
        <row r="854">
          <cell r="D854">
            <v>256779414359</v>
          </cell>
          <cell r="E854">
            <v>45936</v>
          </cell>
          <cell r="F854">
            <v>-93.58</v>
          </cell>
          <cell r="G854"/>
          <cell r="H854">
            <v>-7960.3</v>
          </cell>
        </row>
        <row r="855">
          <cell r="D855">
            <v>256779414360</v>
          </cell>
          <cell r="E855">
            <v>45936</v>
          </cell>
          <cell r="F855">
            <v>-51.47</v>
          </cell>
          <cell r="G855"/>
          <cell r="H855">
            <v>-4378.25</v>
          </cell>
        </row>
        <row r="856">
          <cell r="D856">
            <v>256779414359</v>
          </cell>
          <cell r="E856">
            <v>45936</v>
          </cell>
          <cell r="F856">
            <v>1.87</v>
          </cell>
          <cell r="G856"/>
          <cell r="H856">
            <v>159.07</v>
          </cell>
        </row>
        <row r="857">
          <cell r="D857">
            <v>256779414358</v>
          </cell>
          <cell r="E857">
            <v>45936</v>
          </cell>
          <cell r="F857">
            <v>46.79</v>
          </cell>
          <cell r="G857"/>
          <cell r="H857">
            <v>3980.15</v>
          </cell>
        </row>
        <row r="858">
          <cell r="D858">
            <v>256779414360</v>
          </cell>
          <cell r="E858">
            <v>45936</v>
          </cell>
          <cell r="F858">
            <v>1.03</v>
          </cell>
          <cell r="G858"/>
          <cell r="H858">
            <v>87.62</v>
          </cell>
        </row>
        <row r="859">
          <cell r="D859">
            <v>256779414358</v>
          </cell>
          <cell r="E859">
            <v>45936</v>
          </cell>
          <cell r="F859">
            <v>0</v>
          </cell>
          <cell r="G859"/>
          <cell r="H859">
            <v>-15054.92</v>
          </cell>
        </row>
        <row r="860">
          <cell r="D860">
            <v>256779414359</v>
          </cell>
          <cell r="E860">
            <v>45936</v>
          </cell>
          <cell r="F860">
            <v>0</v>
          </cell>
          <cell r="G860"/>
          <cell r="H860">
            <v>-602.22</v>
          </cell>
        </row>
        <row r="861">
          <cell r="D861">
            <v>256779414360</v>
          </cell>
          <cell r="E861">
            <v>45936</v>
          </cell>
          <cell r="F861">
            <v>0</v>
          </cell>
          <cell r="G861"/>
          <cell r="H861">
            <v>-331.22</v>
          </cell>
        </row>
        <row r="862">
          <cell r="D862">
            <v>256779413240</v>
          </cell>
          <cell r="E862">
            <v>45935</v>
          </cell>
          <cell r="F862">
            <v>-424.03</v>
          </cell>
          <cell r="G862"/>
          <cell r="H862">
            <v>-36201.339999999997</v>
          </cell>
        </row>
        <row r="863">
          <cell r="D863">
            <v>256779413146</v>
          </cell>
          <cell r="E863">
            <v>45935</v>
          </cell>
          <cell r="F863">
            <v>0</v>
          </cell>
          <cell r="G863"/>
          <cell r="H863">
            <v>-200000</v>
          </cell>
        </row>
        <row r="864">
          <cell r="D864">
            <v>256779413148</v>
          </cell>
          <cell r="E864">
            <v>45935</v>
          </cell>
          <cell r="F864">
            <v>0</v>
          </cell>
          <cell r="G864"/>
          <cell r="H864">
            <v>-4400</v>
          </cell>
        </row>
        <row r="865">
          <cell r="D865">
            <v>256779413147</v>
          </cell>
          <cell r="E865">
            <v>45935</v>
          </cell>
          <cell r="F865">
            <v>0</v>
          </cell>
          <cell r="G865"/>
          <cell r="H865">
            <v>-8000</v>
          </cell>
        </row>
        <row r="866">
          <cell r="D866">
            <v>256779413250</v>
          </cell>
          <cell r="E866">
            <v>45935</v>
          </cell>
          <cell r="F866">
            <v>-423.28</v>
          </cell>
          <cell r="G866"/>
          <cell r="H866">
            <v>-36137.300000000003</v>
          </cell>
        </row>
        <row r="867">
          <cell r="D867">
            <v>256779413148</v>
          </cell>
          <cell r="E867">
            <v>45935</v>
          </cell>
          <cell r="F867">
            <v>0</v>
          </cell>
          <cell r="G867"/>
          <cell r="H867">
            <v>88</v>
          </cell>
        </row>
        <row r="868">
          <cell r="D868">
            <v>256779413146</v>
          </cell>
          <cell r="E868">
            <v>45935</v>
          </cell>
          <cell r="F868">
            <v>0</v>
          </cell>
          <cell r="G868"/>
          <cell r="H868">
            <v>4000</v>
          </cell>
        </row>
        <row r="869">
          <cell r="D869">
            <v>256779413147</v>
          </cell>
          <cell r="E869">
            <v>45935</v>
          </cell>
          <cell r="F869">
            <v>0</v>
          </cell>
          <cell r="G869"/>
          <cell r="H869">
            <v>160</v>
          </cell>
        </row>
        <row r="870">
          <cell r="D870">
            <v>256779413250</v>
          </cell>
          <cell r="E870">
            <v>45935</v>
          </cell>
          <cell r="F870">
            <v>8.4700000000000006</v>
          </cell>
          <cell r="G870"/>
          <cell r="H870">
            <v>723.12</v>
          </cell>
        </row>
        <row r="871">
          <cell r="D871">
            <v>256779413240</v>
          </cell>
          <cell r="E871">
            <v>45935</v>
          </cell>
          <cell r="F871">
            <v>8.48</v>
          </cell>
          <cell r="G871"/>
          <cell r="H871">
            <v>723.98</v>
          </cell>
        </row>
        <row r="872">
          <cell r="D872">
            <v>256779413240</v>
          </cell>
          <cell r="E872">
            <v>45935</v>
          </cell>
          <cell r="F872">
            <v>0</v>
          </cell>
          <cell r="G872"/>
          <cell r="H872">
            <v>-1570.91</v>
          </cell>
        </row>
        <row r="873">
          <cell r="D873">
            <v>256779413250</v>
          </cell>
          <cell r="E873">
            <v>45935</v>
          </cell>
          <cell r="F873">
            <v>0</v>
          </cell>
          <cell r="G873"/>
          <cell r="H873">
            <v>-1568.11</v>
          </cell>
        </row>
        <row r="874">
          <cell r="D874">
            <v>256779419995</v>
          </cell>
          <cell r="E874">
            <v>45912</v>
          </cell>
          <cell r="F874">
            <v>-187.19</v>
          </cell>
          <cell r="G874"/>
          <cell r="H874">
            <v>-16688.88</v>
          </cell>
        </row>
        <row r="875">
          <cell r="D875">
            <v>256779419995</v>
          </cell>
          <cell r="E875">
            <v>45912</v>
          </cell>
          <cell r="F875">
            <v>3.74</v>
          </cell>
          <cell r="G875"/>
          <cell r="H875">
            <v>333.44</v>
          </cell>
        </row>
        <row r="876">
          <cell r="D876">
            <v>256779419995</v>
          </cell>
          <cell r="E876">
            <v>45912</v>
          </cell>
          <cell r="F876">
            <v>0</v>
          </cell>
          <cell r="G876"/>
          <cell r="H876">
            <v>-454.22</v>
          </cell>
        </row>
        <row r="877">
          <cell r="D877">
            <v>256779419858</v>
          </cell>
          <cell r="E877">
            <v>45881</v>
          </cell>
          <cell r="F877">
            <v>-147.37</v>
          </cell>
          <cell r="G877"/>
          <cell r="H877">
            <v>-13138.74</v>
          </cell>
        </row>
        <row r="878">
          <cell r="D878">
            <v>256779419858</v>
          </cell>
          <cell r="E878">
            <v>45881</v>
          </cell>
          <cell r="F878">
            <v>2.95</v>
          </cell>
          <cell r="G878"/>
          <cell r="H878">
            <v>263.01</v>
          </cell>
        </row>
        <row r="879">
          <cell r="D879">
            <v>256779419858</v>
          </cell>
          <cell r="E879">
            <v>45881</v>
          </cell>
          <cell r="F879">
            <v>0</v>
          </cell>
          <cell r="G879"/>
          <cell r="H879">
            <v>-290.25</v>
          </cell>
        </row>
        <row r="880">
          <cell r="D880">
            <v>256779419858</v>
          </cell>
          <cell r="E880">
            <v>45881</v>
          </cell>
          <cell r="F880">
            <v>0</v>
          </cell>
          <cell r="G880"/>
          <cell r="H880">
            <v>-67.33</v>
          </cell>
        </row>
        <row r="881">
          <cell r="D881">
            <v>256779416255</v>
          </cell>
          <cell r="E881">
            <v>45877</v>
          </cell>
          <cell r="F881">
            <v>-392</v>
          </cell>
          <cell r="G881"/>
          <cell r="H881">
            <v>-33959.32</v>
          </cell>
        </row>
        <row r="882">
          <cell r="D882">
            <v>256779416169</v>
          </cell>
          <cell r="E882">
            <v>45877</v>
          </cell>
          <cell r="F882">
            <v>-257</v>
          </cell>
          <cell r="G882"/>
          <cell r="H882">
            <v>-22264.14</v>
          </cell>
        </row>
        <row r="883">
          <cell r="D883">
            <v>256779416442</v>
          </cell>
          <cell r="E883">
            <v>45877</v>
          </cell>
          <cell r="F883">
            <v>-1053</v>
          </cell>
          <cell r="G883"/>
          <cell r="H883">
            <v>-91222.35</v>
          </cell>
        </row>
        <row r="884">
          <cell r="D884">
            <v>256779416214</v>
          </cell>
          <cell r="E884">
            <v>45877</v>
          </cell>
          <cell r="F884">
            <v>-212</v>
          </cell>
          <cell r="G884"/>
          <cell r="H884">
            <v>-18365.75</v>
          </cell>
        </row>
        <row r="885">
          <cell r="D885">
            <v>256779416454</v>
          </cell>
          <cell r="E885">
            <v>45877</v>
          </cell>
          <cell r="F885">
            <v>-411</v>
          </cell>
          <cell r="G885"/>
          <cell r="H885">
            <v>-35605.300000000003</v>
          </cell>
        </row>
        <row r="886">
          <cell r="D886">
            <v>256779416442</v>
          </cell>
          <cell r="E886">
            <v>45877</v>
          </cell>
          <cell r="F886">
            <v>21.06</v>
          </cell>
          <cell r="G886"/>
          <cell r="H886">
            <v>1824.45</v>
          </cell>
        </row>
        <row r="887">
          <cell r="D887">
            <v>256779416169</v>
          </cell>
          <cell r="E887">
            <v>45877</v>
          </cell>
          <cell r="F887">
            <v>5.14</v>
          </cell>
          <cell r="G887"/>
          <cell r="H887">
            <v>445.28</v>
          </cell>
        </row>
        <row r="888">
          <cell r="D888">
            <v>256779416214</v>
          </cell>
          <cell r="E888">
            <v>45877</v>
          </cell>
          <cell r="F888">
            <v>4.24</v>
          </cell>
          <cell r="G888"/>
          <cell r="H888">
            <v>367.31</v>
          </cell>
        </row>
        <row r="889">
          <cell r="D889">
            <v>256779416454</v>
          </cell>
          <cell r="E889">
            <v>45877</v>
          </cell>
          <cell r="F889">
            <v>8.2200000000000006</v>
          </cell>
          <cell r="G889"/>
          <cell r="H889">
            <v>712.11</v>
          </cell>
        </row>
        <row r="890">
          <cell r="D890">
            <v>256779416255</v>
          </cell>
          <cell r="E890">
            <v>45877</v>
          </cell>
          <cell r="F890">
            <v>7.84</v>
          </cell>
          <cell r="G890"/>
          <cell r="H890">
            <v>679.19</v>
          </cell>
        </row>
        <row r="891">
          <cell r="D891">
            <v>256779416096</v>
          </cell>
          <cell r="E891">
            <v>45877</v>
          </cell>
          <cell r="F891">
            <v>-7386.34</v>
          </cell>
          <cell r="G891"/>
          <cell r="H891">
            <v>-639885.32999999996</v>
          </cell>
        </row>
        <row r="892">
          <cell r="D892">
            <v>256779416096</v>
          </cell>
          <cell r="E892">
            <v>45877</v>
          </cell>
          <cell r="F892">
            <v>147.72999999999999</v>
          </cell>
          <cell r="G892"/>
          <cell r="H892">
            <v>12797.98</v>
          </cell>
        </row>
        <row r="893">
          <cell r="D893">
            <v>256779416255</v>
          </cell>
          <cell r="E893">
            <v>45877</v>
          </cell>
          <cell r="F893">
            <v>0</v>
          </cell>
          <cell r="G893"/>
          <cell r="H893">
            <v>-622.98</v>
          </cell>
        </row>
        <row r="894">
          <cell r="D894">
            <v>256779416169</v>
          </cell>
          <cell r="E894">
            <v>45877</v>
          </cell>
          <cell r="F894">
            <v>0</v>
          </cell>
          <cell r="G894"/>
          <cell r="H894">
            <v>-408.43</v>
          </cell>
        </row>
        <row r="895">
          <cell r="D895">
            <v>256779416442</v>
          </cell>
          <cell r="E895">
            <v>45877</v>
          </cell>
          <cell r="F895">
            <v>0</v>
          </cell>
          <cell r="G895"/>
          <cell r="H895">
            <v>-1673.46</v>
          </cell>
        </row>
        <row r="896">
          <cell r="D896">
            <v>256779416214</v>
          </cell>
          <cell r="E896">
            <v>45877</v>
          </cell>
          <cell r="F896">
            <v>0</v>
          </cell>
          <cell r="G896"/>
          <cell r="H896">
            <v>-336.91</v>
          </cell>
        </row>
        <row r="897">
          <cell r="D897">
            <v>256779416454</v>
          </cell>
          <cell r="E897">
            <v>45877</v>
          </cell>
          <cell r="F897">
            <v>0</v>
          </cell>
          <cell r="G897"/>
          <cell r="H897">
            <v>-653.17999999999995</v>
          </cell>
        </row>
        <row r="898">
          <cell r="D898">
            <v>256779416096</v>
          </cell>
          <cell r="E898">
            <v>45877</v>
          </cell>
          <cell r="F898">
            <v>0</v>
          </cell>
          <cell r="G898"/>
          <cell r="H898">
            <v>-11738.6</v>
          </cell>
        </row>
        <row r="899">
          <cell r="D899">
            <v>256779416137</v>
          </cell>
          <cell r="E899">
            <v>45877</v>
          </cell>
          <cell r="F899">
            <v>-55</v>
          </cell>
          <cell r="G899"/>
          <cell r="H899">
            <v>-4764.7</v>
          </cell>
        </row>
        <row r="900">
          <cell r="D900">
            <v>256779416137</v>
          </cell>
          <cell r="E900">
            <v>45877</v>
          </cell>
          <cell r="F900">
            <v>1.1000000000000001</v>
          </cell>
          <cell r="G900"/>
          <cell r="H900">
            <v>95.29</v>
          </cell>
        </row>
        <row r="901">
          <cell r="D901">
            <v>256779416255</v>
          </cell>
          <cell r="E901">
            <v>45877</v>
          </cell>
          <cell r="F901">
            <v>0</v>
          </cell>
          <cell r="G901"/>
          <cell r="H901">
            <v>-346.59</v>
          </cell>
        </row>
        <row r="902">
          <cell r="D902">
            <v>256779416169</v>
          </cell>
          <cell r="E902">
            <v>45877</v>
          </cell>
          <cell r="F902">
            <v>0</v>
          </cell>
          <cell r="G902"/>
          <cell r="H902">
            <v>-227.23</v>
          </cell>
        </row>
        <row r="903">
          <cell r="D903">
            <v>256779416442</v>
          </cell>
          <cell r="E903">
            <v>45877</v>
          </cell>
          <cell r="F903">
            <v>0</v>
          </cell>
          <cell r="G903"/>
          <cell r="H903">
            <v>-931.02</v>
          </cell>
        </row>
        <row r="904">
          <cell r="D904">
            <v>256779416214</v>
          </cell>
          <cell r="E904">
            <v>45877</v>
          </cell>
          <cell r="F904">
            <v>0</v>
          </cell>
          <cell r="G904"/>
          <cell r="H904">
            <v>-187.45</v>
          </cell>
        </row>
        <row r="905">
          <cell r="D905">
            <v>256779416454</v>
          </cell>
          <cell r="E905">
            <v>45877</v>
          </cell>
          <cell r="F905">
            <v>0</v>
          </cell>
          <cell r="G905"/>
          <cell r="H905">
            <v>-363.39</v>
          </cell>
        </row>
        <row r="906">
          <cell r="D906">
            <v>256779416137</v>
          </cell>
          <cell r="E906">
            <v>45877</v>
          </cell>
          <cell r="F906">
            <v>0</v>
          </cell>
          <cell r="G906"/>
          <cell r="H906">
            <v>-136.03</v>
          </cell>
        </row>
        <row r="907">
          <cell r="D907">
            <v>256779416255</v>
          </cell>
          <cell r="E907">
            <v>45877</v>
          </cell>
          <cell r="F907">
            <v>0</v>
          </cell>
          <cell r="G907"/>
          <cell r="H907">
            <v>-282.73</v>
          </cell>
        </row>
        <row r="908">
          <cell r="D908">
            <v>256779416169</v>
          </cell>
          <cell r="E908">
            <v>45877</v>
          </cell>
          <cell r="F908">
            <v>0</v>
          </cell>
          <cell r="G908"/>
          <cell r="H908">
            <v>-185.36</v>
          </cell>
        </row>
        <row r="909">
          <cell r="D909">
            <v>256779416442</v>
          </cell>
          <cell r="E909">
            <v>45877</v>
          </cell>
          <cell r="F909">
            <v>0</v>
          </cell>
          <cell r="G909"/>
          <cell r="H909">
            <v>-759.48</v>
          </cell>
        </row>
        <row r="910">
          <cell r="D910">
            <v>256779416214</v>
          </cell>
          <cell r="E910">
            <v>45877</v>
          </cell>
          <cell r="F910">
            <v>0</v>
          </cell>
          <cell r="G910"/>
          <cell r="H910">
            <v>-152.9</v>
          </cell>
        </row>
        <row r="911">
          <cell r="D911">
            <v>256779416454</v>
          </cell>
          <cell r="E911">
            <v>45877</v>
          </cell>
          <cell r="F911">
            <v>0</v>
          </cell>
          <cell r="G911"/>
          <cell r="H911">
            <v>-296.44</v>
          </cell>
        </row>
        <row r="912">
          <cell r="D912">
            <v>256779416137</v>
          </cell>
          <cell r="E912">
            <v>45877</v>
          </cell>
          <cell r="F912">
            <v>0</v>
          </cell>
          <cell r="G912"/>
          <cell r="H912">
            <v>-39.67</v>
          </cell>
        </row>
        <row r="913">
          <cell r="D913">
            <v>256779416255</v>
          </cell>
          <cell r="E913">
            <v>45877</v>
          </cell>
          <cell r="F913">
            <v>0</v>
          </cell>
          <cell r="G913"/>
          <cell r="H913">
            <v>-668.43</v>
          </cell>
        </row>
        <row r="914">
          <cell r="D914">
            <v>256779416169</v>
          </cell>
          <cell r="E914">
            <v>45877</v>
          </cell>
          <cell r="F914">
            <v>0</v>
          </cell>
          <cell r="G914"/>
          <cell r="H914">
            <v>-438.24</v>
          </cell>
        </row>
        <row r="915">
          <cell r="D915">
            <v>256779416442</v>
          </cell>
          <cell r="E915">
            <v>45877</v>
          </cell>
          <cell r="F915">
            <v>0</v>
          </cell>
          <cell r="G915"/>
          <cell r="H915">
            <v>-1795.56</v>
          </cell>
        </row>
        <row r="916">
          <cell r="D916">
            <v>256779416214</v>
          </cell>
          <cell r="E916">
            <v>45877</v>
          </cell>
          <cell r="F916">
            <v>0</v>
          </cell>
          <cell r="G916"/>
          <cell r="H916">
            <v>-361.5</v>
          </cell>
        </row>
        <row r="917">
          <cell r="D917">
            <v>256779416454</v>
          </cell>
          <cell r="E917">
            <v>45877</v>
          </cell>
          <cell r="F917">
            <v>0</v>
          </cell>
          <cell r="G917"/>
          <cell r="H917">
            <v>-700.83</v>
          </cell>
        </row>
        <row r="918">
          <cell r="D918">
            <v>256779416137</v>
          </cell>
          <cell r="E918">
            <v>45877</v>
          </cell>
          <cell r="F918">
            <v>0</v>
          </cell>
          <cell r="G918"/>
          <cell r="H918">
            <v>-93.79</v>
          </cell>
        </row>
        <row r="919">
          <cell r="D919">
            <v>256779418176</v>
          </cell>
          <cell r="E919">
            <v>45848</v>
          </cell>
          <cell r="F919">
            <v>-639.04999999999995</v>
          </cell>
          <cell r="G919"/>
          <cell r="H919">
            <v>-56657.85</v>
          </cell>
        </row>
        <row r="920">
          <cell r="D920">
            <v>256779418176</v>
          </cell>
          <cell r="E920">
            <v>45848</v>
          </cell>
          <cell r="F920">
            <v>12.78</v>
          </cell>
          <cell r="G920"/>
          <cell r="H920">
            <v>1133.07</v>
          </cell>
        </row>
        <row r="921">
          <cell r="D921">
            <v>256779419983</v>
          </cell>
          <cell r="E921">
            <v>45820</v>
          </cell>
          <cell r="F921">
            <v>-55.63</v>
          </cell>
          <cell r="G921"/>
          <cell r="H921">
            <v>-4959.68</v>
          </cell>
        </row>
        <row r="922">
          <cell r="D922">
            <v>256779419983</v>
          </cell>
          <cell r="E922">
            <v>45820</v>
          </cell>
          <cell r="F922">
            <v>1.1100000000000001</v>
          </cell>
          <cell r="G922"/>
          <cell r="H922">
            <v>98.96</v>
          </cell>
        </row>
        <row r="923">
          <cell r="D923">
            <v>256779419983</v>
          </cell>
          <cell r="E923">
            <v>45820</v>
          </cell>
          <cell r="F923">
            <v>0</v>
          </cell>
          <cell r="G923"/>
          <cell r="H923">
            <v>-134.99</v>
          </cell>
        </row>
        <row r="924">
          <cell r="D924">
            <v>256779418006</v>
          </cell>
          <cell r="E924">
            <v>45818</v>
          </cell>
          <cell r="F924">
            <v>-4667.07</v>
          </cell>
          <cell r="G924"/>
          <cell r="H924">
            <v>-413780.08</v>
          </cell>
        </row>
        <row r="925">
          <cell r="D925">
            <v>256779418006</v>
          </cell>
          <cell r="E925">
            <v>45818</v>
          </cell>
          <cell r="F925">
            <v>93.34</v>
          </cell>
          <cell r="G925"/>
          <cell r="H925">
            <v>8275.48</v>
          </cell>
        </row>
        <row r="926">
          <cell r="D926">
            <v>246779410904</v>
          </cell>
          <cell r="E926">
            <v>45811</v>
          </cell>
          <cell r="F926">
            <v>-1665.82</v>
          </cell>
          <cell r="G926"/>
          <cell r="H926">
            <v>-144997</v>
          </cell>
        </row>
        <row r="927">
          <cell r="D927">
            <v>246779410904</v>
          </cell>
          <cell r="E927">
            <v>45811</v>
          </cell>
          <cell r="F927">
            <v>33.32</v>
          </cell>
          <cell r="G927"/>
          <cell r="H927">
            <v>2900.25</v>
          </cell>
        </row>
        <row r="928">
          <cell r="D928">
            <v>246779410882</v>
          </cell>
          <cell r="E928">
            <v>45811</v>
          </cell>
          <cell r="F928">
            <v>-2232.73</v>
          </cell>
          <cell r="G928"/>
          <cell r="H928">
            <v>-194342.21</v>
          </cell>
        </row>
        <row r="929">
          <cell r="D929">
            <v>246779410882</v>
          </cell>
          <cell r="E929">
            <v>45811</v>
          </cell>
          <cell r="F929">
            <v>44.65</v>
          </cell>
          <cell r="G929"/>
          <cell r="H929">
            <v>3886.44</v>
          </cell>
        </row>
        <row r="930">
          <cell r="D930">
            <v>246779410882</v>
          </cell>
          <cell r="E930">
            <v>45811</v>
          </cell>
          <cell r="F930">
            <v>0</v>
          </cell>
          <cell r="G930"/>
          <cell r="H930">
            <v>2303.84</v>
          </cell>
        </row>
        <row r="931">
          <cell r="D931">
            <v>256779419908</v>
          </cell>
          <cell r="E931">
            <v>45789</v>
          </cell>
          <cell r="F931">
            <v>-375.94</v>
          </cell>
          <cell r="G931"/>
          <cell r="H931">
            <v>-33516.85</v>
          </cell>
        </row>
        <row r="932">
          <cell r="D932">
            <v>256779419808</v>
          </cell>
          <cell r="E932">
            <v>45789</v>
          </cell>
          <cell r="F932">
            <v>-27.95</v>
          </cell>
          <cell r="G932"/>
          <cell r="H932">
            <v>-2491.88</v>
          </cell>
        </row>
        <row r="933">
          <cell r="D933">
            <v>256779419908</v>
          </cell>
          <cell r="E933">
            <v>45789</v>
          </cell>
          <cell r="F933">
            <v>7.52</v>
          </cell>
          <cell r="G933"/>
          <cell r="H933">
            <v>670.44</v>
          </cell>
        </row>
        <row r="934">
          <cell r="D934">
            <v>256779419808</v>
          </cell>
          <cell r="E934">
            <v>45789</v>
          </cell>
          <cell r="F934">
            <v>0.56000000000000005</v>
          </cell>
          <cell r="G934"/>
          <cell r="H934">
            <v>49.93</v>
          </cell>
        </row>
        <row r="935">
          <cell r="D935">
            <v>256779419908</v>
          </cell>
          <cell r="E935">
            <v>45789</v>
          </cell>
          <cell r="F935">
            <v>0</v>
          </cell>
          <cell r="G935"/>
          <cell r="H935">
            <v>-912.18</v>
          </cell>
        </row>
        <row r="936">
          <cell r="D936">
            <v>256779419808</v>
          </cell>
          <cell r="E936">
            <v>45789</v>
          </cell>
          <cell r="F936">
            <v>0</v>
          </cell>
          <cell r="G936"/>
          <cell r="H936">
            <v>-67.819999999999993</v>
          </cell>
        </row>
        <row r="937">
          <cell r="D937">
            <v>256779419211</v>
          </cell>
          <cell r="E937">
            <v>45788</v>
          </cell>
          <cell r="F937">
            <v>-28.18</v>
          </cell>
          <cell r="G937"/>
          <cell r="H937">
            <v>-2486.96</v>
          </cell>
        </row>
        <row r="938">
          <cell r="D938">
            <v>256779419211</v>
          </cell>
          <cell r="E938">
            <v>45788</v>
          </cell>
          <cell r="F938">
            <v>0.56000000000000005</v>
          </cell>
          <cell r="G938"/>
          <cell r="H938">
            <v>49.42</v>
          </cell>
        </row>
        <row r="939">
          <cell r="D939">
            <v>256779419165</v>
          </cell>
          <cell r="E939">
            <v>45788</v>
          </cell>
          <cell r="F939">
            <v>-191.57</v>
          </cell>
          <cell r="G939"/>
          <cell r="H939">
            <v>-16906.55</v>
          </cell>
        </row>
        <row r="940">
          <cell r="D940">
            <v>256779419192</v>
          </cell>
          <cell r="E940">
            <v>45788</v>
          </cell>
          <cell r="F940">
            <v>-171.87</v>
          </cell>
          <cell r="G940"/>
          <cell r="H940">
            <v>-15167.97</v>
          </cell>
        </row>
        <row r="941">
          <cell r="D941">
            <v>256779418777</v>
          </cell>
          <cell r="E941">
            <v>45788</v>
          </cell>
          <cell r="F941">
            <v>-2272.64</v>
          </cell>
          <cell r="G941"/>
          <cell r="H941">
            <v>-200566.32</v>
          </cell>
        </row>
        <row r="942">
          <cell r="D942">
            <v>256779418779</v>
          </cell>
          <cell r="E942">
            <v>45788</v>
          </cell>
          <cell r="F942">
            <v>-50</v>
          </cell>
          <cell r="G942"/>
          <cell r="H942">
            <v>-4412.63</v>
          </cell>
        </row>
        <row r="943">
          <cell r="D943">
            <v>256779419165</v>
          </cell>
          <cell r="E943">
            <v>45788</v>
          </cell>
          <cell r="F943">
            <v>3.83</v>
          </cell>
          <cell r="G943"/>
          <cell r="H943">
            <v>338.01</v>
          </cell>
        </row>
        <row r="944">
          <cell r="D944">
            <v>256779419192</v>
          </cell>
          <cell r="E944">
            <v>45788</v>
          </cell>
          <cell r="F944">
            <v>3.44</v>
          </cell>
          <cell r="G944"/>
          <cell r="H944">
            <v>303.58999999999997</v>
          </cell>
        </row>
        <row r="945">
          <cell r="D945">
            <v>2771552</v>
          </cell>
          <cell r="E945" t="str">
            <v>23/12/2025</v>
          </cell>
          <cell r="F945">
            <v>0</v>
          </cell>
          <cell r="G945"/>
          <cell r="H945">
            <v>715665.04</v>
          </cell>
        </row>
        <row r="946">
          <cell r="D946">
            <v>256779418777</v>
          </cell>
          <cell r="E946">
            <v>45788</v>
          </cell>
          <cell r="F946">
            <v>45.45</v>
          </cell>
          <cell r="G946"/>
          <cell r="H946">
            <v>4011.08</v>
          </cell>
        </row>
        <row r="947">
          <cell r="D947">
            <v>256779418779</v>
          </cell>
          <cell r="E947">
            <v>45788</v>
          </cell>
          <cell r="F947">
            <v>1</v>
          </cell>
          <cell r="G947"/>
          <cell r="H947">
            <v>88.25</v>
          </cell>
        </row>
        <row r="948">
          <cell r="D948">
            <v>256779419165</v>
          </cell>
          <cell r="E948">
            <v>45788</v>
          </cell>
          <cell r="F948">
            <v>0</v>
          </cell>
          <cell r="G948"/>
          <cell r="H948">
            <v>-307.55</v>
          </cell>
        </row>
        <row r="949">
          <cell r="D949">
            <v>256779419192</v>
          </cell>
          <cell r="E949">
            <v>45788</v>
          </cell>
          <cell r="F949">
            <v>0</v>
          </cell>
          <cell r="G949"/>
          <cell r="H949">
            <v>-275.92</v>
          </cell>
        </row>
        <row r="950">
          <cell r="D950">
            <v>256779418777</v>
          </cell>
          <cell r="E950">
            <v>45788</v>
          </cell>
          <cell r="F950">
            <v>0</v>
          </cell>
          <cell r="G950"/>
          <cell r="H950">
            <v>-3648.54</v>
          </cell>
        </row>
        <row r="951">
          <cell r="D951">
            <v>256779418779</v>
          </cell>
          <cell r="E951">
            <v>45788</v>
          </cell>
          <cell r="F951">
            <v>0</v>
          </cell>
          <cell r="G951"/>
          <cell r="H951">
            <v>-80.27</v>
          </cell>
        </row>
        <row r="952">
          <cell r="D952">
            <v>256779418778</v>
          </cell>
          <cell r="E952">
            <v>45788</v>
          </cell>
          <cell r="F952">
            <v>-90.91</v>
          </cell>
          <cell r="G952"/>
          <cell r="H952">
            <v>-8023.04</v>
          </cell>
        </row>
        <row r="953">
          <cell r="D953">
            <v>256779418892</v>
          </cell>
          <cell r="E953">
            <v>45788</v>
          </cell>
          <cell r="F953">
            <v>-1683.97</v>
          </cell>
          <cell r="G953"/>
          <cell r="H953">
            <v>-148614.68</v>
          </cell>
        </row>
        <row r="954">
          <cell r="D954">
            <v>256779418778</v>
          </cell>
          <cell r="E954">
            <v>45788</v>
          </cell>
          <cell r="F954">
            <v>1.82</v>
          </cell>
          <cell r="G954"/>
          <cell r="H954">
            <v>160.62</v>
          </cell>
        </row>
        <row r="955">
          <cell r="D955">
            <v>256779418892</v>
          </cell>
          <cell r="E955">
            <v>45788</v>
          </cell>
          <cell r="F955">
            <v>33.68</v>
          </cell>
          <cell r="G955"/>
          <cell r="H955">
            <v>2972.35</v>
          </cell>
        </row>
        <row r="956">
          <cell r="D956">
            <v>256779418904</v>
          </cell>
          <cell r="E956">
            <v>45788</v>
          </cell>
          <cell r="F956">
            <v>-1273.92</v>
          </cell>
          <cell r="G956"/>
          <cell r="H956">
            <v>-112426.72</v>
          </cell>
        </row>
        <row r="957">
          <cell r="D957">
            <v>256779418904</v>
          </cell>
          <cell r="E957">
            <v>45788</v>
          </cell>
          <cell r="F957">
            <v>25.48</v>
          </cell>
          <cell r="G957"/>
          <cell r="H957">
            <v>2248.6799999999998</v>
          </cell>
        </row>
        <row r="958">
          <cell r="D958">
            <v>256779418778</v>
          </cell>
          <cell r="E958">
            <v>45788</v>
          </cell>
          <cell r="F958">
            <v>0</v>
          </cell>
          <cell r="G958"/>
          <cell r="H958">
            <v>-300.95999999999998</v>
          </cell>
        </row>
        <row r="959">
          <cell r="D959">
            <v>256779417971</v>
          </cell>
          <cell r="E959">
            <v>45787</v>
          </cell>
          <cell r="F959">
            <v>-94.81</v>
          </cell>
          <cell r="G959"/>
          <cell r="H959">
            <v>-8405.81</v>
          </cell>
        </row>
        <row r="960">
          <cell r="D960">
            <v>256779417971</v>
          </cell>
          <cell r="E960">
            <v>45787</v>
          </cell>
          <cell r="F960">
            <v>1.9</v>
          </cell>
          <cell r="G960"/>
          <cell r="H960">
            <v>168.45</v>
          </cell>
        </row>
        <row r="961">
          <cell r="D961">
            <v>256779417875</v>
          </cell>
          <cell r="E961">
            <v>45787</v>
          </cell>
          <cell r="F961">
            <v>-2267.81</v>
          </cell>
          <cell r="G961"/>
          <cell r="H961">
            <v>-201062.89</v>
          </cell>
        </row>
        <row r="962">
          <cell r="D962">
            <v>256779417876</v>
          </cell>
          <cell r="E962">
            <v>45787</v>
          </cell>
          <cell r="F962">
            <v>-90.71</v>
          </cell>
          <cell r="G962"/>
          <cell r="H962">
            <v>-8042.3</v>
          </cell>
        </row>
        <row r="963">
          <cell r="D963">
            <v>256779417877</v>
          </cell>
          <cell r="E963">
            <v>45787</v>
          </cell>
          <cell r="F963">
            <v>-49.89</v>
          </cell>
          <cell r="G963"/>
          <cell r="H963">
            <v>-4423.22</v>
          </cell>
        </row>
        <row r="964">
          <cell r="D964">
            <v>256779418391</v>
          </cell>
          <cell r="E964">
            <v>45787</v>
          </cell>
          <cell r="F964">
            <v>-38.51</v>
          </cell>
          <cell r="G964"/>
          <cell r="H964">
            <v>-3414.28</v>
          </cell>
        </row>
        <row r="965">
          <cell r="D965">
            <v>256779417931</v>
          </cell>
          <cell r="E965">
            <v>45787</v>
          </cell>
          <cell r="F965">
            <v>-288.83999999999997</v>
          </cell>
          <cell r="G965"/>
          <cell r="H965">
            <v>-25608.41</v>
          </cell>
        </row>
        <row r="966">
          <cell r="D966">
            <v>256779417875</v>
          </cell>
          <cell r="E966">
            <v>45787</v>
          </cell>
          <cell r="F966">
            <v>45.36</v>
          </cell>
          <cell r="G966"/>
          <cell r="H966">
            <v>4021.59</v>
          </cell>
        </row>
        <row r="967">
          <cell r="D967">
            <v>256779417876</v>
          </cell>
          <cell r="E967">
            <v>45787</v>
          </cell>
          <cell r="F967">
            <v>1.81</v>
          </cell>
          <cell r="G967"/>
          <cell r="H967">
            <v>160.47</v>
          </cell>
        </row>
        <row r="968">
          <cell r="D968">
            <v>256779417931</v>
          </cell>
          <cell r="E968">
            <v>45787</v>
          </cell>
          <cell r="F968">
            <v>5.78</v>
          </cell>
          <cell r="G968"/>
          <cell r="H968">
            <v>512.45000000000005</v>
          </cell>
        </row>
        <row r="969">
          <cell r="D969">
            <v>256779418391</v>
          </cell>
          <cell r="E969">
            <v>45787</v>
          </cell>
          <cell r="F969">
            <v>0.77</v>
          </cell>
          <cell r="G969"/>
          <cell r="H969">
            <v>68.27</v>
          </cell>
        </row>
        <row r="970">
          <cell r="D970">
            <v>256779417877</v>
          </cell>
          <cell r="E970">
            <v>45787</v>
          </cell>
          <cell r="F970">
            <v>1</v>
          </cell>
          <cell r="G970"/>
          <cell r="H970">
            <v>88.66</v>
          </cell>
        </row>
        <row r="971">
          <cell r="D971">
            <v>256779417892</v>
          </cell>
          <cell r="E971">
            <v>45787</v>
          </cell>
          <cell r="F971">
            <v>-58.45</v>
          </cell>
          <cell r="G971"/>
          <cell r="H971">
            <v>-5182.1499999999996</v>
          </cell>
        </row>
        <row r="972">
          <cell r="D972">
            <v>256779417892</v>
          </cell>
          <cell r="E972">
            <v>45787</v>
          </cell>
          <cell r="F972">
            <v>1.17</v>
          </cell>
          <cell r="G972"/>
          <cell r="H972">
            <v>103.73</v>
          </cell>
        </row>
        <row r="973">
          <cell r="D973">
            <v>256779417875</v>
          </cell>
          <cell r="E973">
            <v>45787</v>
          </cell>
          <cell r="F973">
            <v>0</v>
          </cell>
          <cell r="G973"/>
          <cell r="H973">
            <v>-2736.39</v>
          </cell>
        </row>
        <row r="974">
          <cell r="D974">
            <v>256779417876</v>
          </cell>
          <cell r="E974">
            <v>45787</v>
          </cell>
          <cell r="F974">
            <v>0</v>
          </cell>
          <cell r="G974"/>
          <cell r="H974">
            <v>-109.46</v>
          </cell>
        </row>
        <row r="975">
          <cell r="D975">
            <v>256779417877</v>
          </cell>
          <cell r="E975">
            <v>45787</v>
          </cell>
          <cell r="F975">
            <v>0</v>
          </cell>
          <cell r="G975"/>
          <cell r="H975">
            <v>-60.2</v>
          </cell>
        </row>
        <row r="976">
          <cell r="D976">
            <v>256779419971</v>
          </cell>
          <cell r="E976">
            <v>45759</v>
          </cell>
          <cell r="F976">
            <v>-90.19</v>
          </cell>
          <cell r="G976"/>
          <cell r="H976">
            <v>-8040.87</v>
          </cell>
        </row>
        <row r="977">
          <cell r="D977">
            <v>256779419972</v>
          </cell>
          <cell r="E977">
            <v>45759</v>
          </cell>
          <cell r="F977">
            <v>-49.61</v>
          </cell>
          <cell r="G977"/>
          <cell r="H977">
            <v>-4422.97</v>
          </cell>
        </row>
        <row r="978">
          <cell r="D978">
            <v>256779419970</v>
          </cell>
          <cell r="E978">
            <v>45759</v>
          </cell>
          <cell r="F978">
            <v>-2254.79</v>
          </cell>
          <cell r="G978"/>
          <cell r="H978">
            <v>-201025.31</v>
          </cell>
        </row>
        <row r="979">
          <cell r="D979">
            <v>256779419972</v>
          </cell>
          <cell r="E979">
            <v>45759</v>
          </cell>
          <cell r="F979">
            <v>0.99</v>
          </cell>
          <cell r="G979"/>
          <cell r="H979">
            <v>88.26</v>
          </cell>
        </row>
        <row r="980">
          <cell r="D980">
            <v>256779419970</v>
          </cell>
          <cell r="E980">
            <v>45759</v>
          </cell>
          <cell r="F980">
            <v>45.1</v>
          </cell>
          <cell r="G980"/>
          <cell r="H980">
            <v>4020.88</v>
          </cell>
        </row>
        <row r="981">
          <cell r="D981">
            <v>256779419971</v>
          </cell>
          <cell r="E981">
            <v>45759</v>
          </cell>
          <cell r="F981">
            <v>1.8</v>
          </cell>
          <cell r="G981"/>
          <cell r="H981">
            <v>160.47999999999999</v>
          </cell>
        </row>
        <row r="982">
          <cell r="D982">
            <v>256779419971</v>
          </cell>
          <cell r="E982">
            <v>45759</v>
          </cell>
          <cell r="F982">
            <v>0</v>
          </cell>
          <cell r="G982"/>
          <cell r="H982">
            <v>-218.85</v>
          </cell>
        </row>
        <row r="983">
          <cell r="D983">
            <v>256779419972</v>
          </cell>
          <cell r="E983">
            <v>45759</v>
          </cell>
          <cell r="F983">
            <v>0</v>
          </cell>
          <cell r="G983"/>
          <cell r="H983">
            <v>-120.38</v>
          </cell>
        </row>
        <row r="984">
          <cell r="D984">
            <v>256779419970</v>
          </cell>
          <cell r="E984">
            <v>45759</v>
          </cell>
          <cell r="F984">
            <v>0</v>
          </cell>
          <cell r="G984"/>
          <cell r="H984">
            <v>-5471.08</v>
          </cell>
        </row>
        <row r="985">
          <cell r="D985">
            <v>256779416909</v>
          </cell>
          <cell r="E985">
            <v>45757</v>
          </cell>
          <cell r="F985">
            <v>-989.55</v>
          </cell>
          <cell r="G985"/>
          <cell r="H985">
            <v>-87733</v>
          </cell>
        </row>
        <row r="986">
          <cell r="D986">
            <v>256779416909</v>
          </cell>
          <cell r="E986">
            <v>45757</v>
          </cell>
          <cell r="F986">
            <v>19.79</v>
          </cell>
          <cell r="G986"/>
          <cell r="H986">
            <v>1754.57</v>
          </cell>
        </row>
        <row r="987">
          <cell r="D987">
            <v>256779416909</v>
          </cell>
          <cell r="E987">
            <v>45757</v>
          </cell>
          <cell r="F987">
            <v>0</v>
          </cell>
          <cell r="G987"/>
          <cell r="H987">
            <v>-1194.02</v>
          </cell>
        </row>
        <row r="988">
          <cell r="D988">
            <v>256779417134</v>
          </cell>
          <cell r="E988">
            <v>45756</v>
          </cell>
          <cell r="F988">
            <v>-536.44000000000005</v>
          </cell>
          <cell r="G988"/>
          <cell r="H988">
            <v>-47020</v>
          </cell>
        </row>
        <row r="989">
          <cell r="D989">
            <v>256779417200</v>
          </cell>
          <cell r="E989">
            <v>45756</v>
          </cell>
          <cell r="F989">
            <v>-100.74</v>
          </cell>
          <cell r="G989"/>
          <cell r="H989">
            <v>-8830.0499999999993</v>
          </cell>
        </row>
        <row r="990">
          <cell r="D990">
            <v>256779417238</v>
          </cell>
          <cell r="E990">
            <v>45756</v>
          </cell>
          <cell r="F990">
            <v>-608.78</v>
          </cell>
          <cell r="G990"/>
          <cell r="H990">
            <v>-53360.74</v>
          </cell>
        </row>
        <row r="991">
          <cell r="D991">
            <v>256779417137</v>
          </cell>
          <cell r="E991">
            <v>45756</v>
          </cell>
          <cell r="F991">
            <v>-409.79</v>
          </cell>
          <cell r="G991"/>
          <cell r="H991">
            <v>-35918.879999999997</v>
          </cell>
        </row>
        <row r="992">
          <cell r="D992">
            <v>256779417137</v>
          </cell>
          <cell r="E992">
            <v>45756</v>
          </cell>
          <cell r="F992">
            <v>8.1999999999999993</v>
          </cell>
          <cell r="G992"/>
          <cell r="H992">
            <v>718.75</v>
          </cell>
        </row>
        <row r="993">
          <cell r="D993">
            <v>256779417134</v>
          </cell>
          <cell r="E993">
            <v>45756</v>
          </cell>
          <cell r="F993">
            <v>10.73</v>
          </cell>
          <cell r="G993"/>
          <cell r="H993">
            <v>940.51</v>
          </cell>
        </row>
        <row r="994">
          <cell r="D994">
            <v>256779417200</v>
          </cell>
          <cell r="E994">
            <v>45756</v>
          </cell>
          <cell r="F994">
            <v>2.0099999999999998</v>
          </cell>
          <cell r="G994"/>
          <cell r="H994">
            <v>176.18</v>
          </cell>
        </row>
        <row r="995">
          <cell r="D995">
            <v>256779417238</v>
          </cell>
          <cell r="E995">
            <v>45756</v>
          </cell>
          <cell r="F995">
            <v>12.18</v>
          </cell>
          <cell r="G995"/>
          <cell r="H995">
            <v>1067.5999999999999</v>
          </cell>
        </row>
        <row r="996">
          <cell r="D996">
            <v>256779417134</v>
          </cell>
          <cell r="E996">
            <v>45756</v>
          </cell>
          <cell r="F996">
            <v>0</v>
          </cell>
          <cell r="G996"/>
          <cell r="H996">
            <v>-315.77</v>
          </cell>
        </row>
        <row r="997">
          <cell r="D997">
            <v>256779417200</v>
          </cell>
          <cell r="E997">
            <v>45756</v>
          </cell>
          <cell r="F997">
            <v>0</v>
          </cell>
          <cell r="G997"/>
          <cell r="H997">
            <v>-59.31</v>
          </cell>
        </row>
        <row r="998">
          <cell r="D998">
            <v>256779417238</v>
          </cell>
          <cell r="E998">
            <v>45756</v>
          </cell>
          <cell r="F998">
            <v>0</v>
          </cell>
          <cell r="G998"/>
          <cell r="H998">
            <v>-358.34</v>
          </cell>
        </row>
        <row r="999">
          <cell r="D999">
            <v>256779417137</v>
          </cell>
          <cell r="E999">
            <v>45756</v>
          </cell>
          <cell r="F999">
            <v>0</v>
          </cell>
          <cell r="G999"/>
          <cell r="H999">
            <v>-241.22</v>
          </cell>
        </row>
        <row r="1000">
          <cell r="D1000">
            <v>256779417349</v>
          </cell>
          <cell r="E1000">
            <v>45756</v>
          </cell>
          <cell r="F1000">
            <v>-91.41</v>
          </cell>
          <cell r="G1000"/>
          <cell r="H1000">
            <v>-8012.26</v>
          </cell>
        </row>
        <row r="1001">
          <cell r="D1001">
            <v>256779417158</v>
          </cell>
          <cell r="E1001">
            <v>45756</v>
          </cell>
          <cell r="F1001">
            <v>-110</v>
          </cell>
          <cell r="G1001"/>
          <cell r="H1001">
            <v>-9641.7099999999991</v>
          </cell>
        </row>
        <row r="1002">
          <cell r="D1002">
            <v>256779417350</v>
          </cell>
          <cell r="E1002">
            <v>45756</v>
          </cell>
          <cell r="F1002">
            <v>-50</v>
          </cell>
          <cell r="G1002"/>
          <cell r="H1002">
            <v>-4382.6000000000004</v>
          </cell>
        </row>
        <row r="1003">
          <cell r="D1003">
            <v>256779417257</v>
          </cell>
          <cell r="E1003">
            <v>45756</v>
          </cell>
          <cell r="F1003">
            <v>-22.77</v>
          </cell>
          <cell r="G1003"/>
          <cell r="H1003">
            <v>-1995.83</v>
          </cell>
        </row>
        <row r="1004">
          <cell r="D1004">
            <v>256779417348</v>
          </cell>
          <cell r="E1004">
            <v>45756</v>
          </cell>
          <cell r="F1004">
            <v>-2285.34</v>
          </cell>
          <cell r="G1004"/>
          <cell r="H1004">
            <v>-200314.44</v>
          </cell>
        </row>
        <row r="1005">
          <cell r="D1005">
            <v>256779417257</v>
          </cell>
          <cell r="E1005">
            <v>45756</v>
          </cell>
          <cell r="F1005">
            <v>0.46</v>
          </cell>
          <cell r="G1005"/>
          <cell r="H1005">
            <v>40.32</v>
          </cell>
        </row>
        <row r="1006">
          <cell r="D1006">
            <v>256779417350</v>
          </cell>
          <cell r="E1006">
            <v>45756</v>
          </cell>
          <cell r="F1006">
            <v>1</v>
          </cell>
          <cell r="G1006"/>
          <cell r="H1006">
            <v>87.65</v>
          </cell>
        </row>
        <row r="1007">
          <cell r="D1007">
            <v>256779417349</v>
          </cell>
          <cell r="E1007">
            <v>45756</v>
          </cell>
          <cell r="F1007">
            <v>1.83</v>
          </cell>
          <cell r="G1007"/>
          <cell r="H1007">
            <v>160.4</v>
          </cell>
        </row>
        <row r="1008">
          <cell r="D1008">
            <v>256779417348</v>
          </cell>
          <cell r="E1008">
            <v>45756</v>
          </cell>
          <cell r="F1008">
            <v>45.71</v>
          </cell>
          <cell r="G1008"/>
          <cell r="H1008">
            <v>4006.57</v>
          </cell>
        </row>
        <row r="1009">
          <cell r="D1009">
            <v>256779417158</v>
          </cell>
          <cell r="E1009">
            <v>45756</v>
          </cell>
          <cell r="F1009">
            <v>2.2000000000000002</v>
          </cell>
          <cell r="G1009"/>
          <cell r="H1009">
            <v>192.83</v>
          </cell>
        </row>
        <row r="1010">
          <cell r="D1010">
            <v>256779417349</v>
          </cell>
          <cell r="E1010">
            <v>45756</v>
          </cell>
          <cell r="F1010">
            <v>0</v>
          </cell>
          <cell r="G1010"/>
          <cell r="H1010">
            <v>-134.63</v>
          </cell>
        </row>
        <row r="1011">
          <cell r="D1011">
            <v>256779417350</v>
          </cell>
          <cell r="E1011">
            <v>45756</v>
          </cell>
          <cell r="F1011">
            <v>0</v>
          </cell>
          <cell r="G1011"/>
          <cell r="H1011">
            <v>-73.63</v>
          </cell>
        </row>
        <row r="1012">
          <cell r="D1012">
            <v>256779417348</v>
          </cell>
          <cell r="E1012">
            <v>45756</v>
          </cell>
          <cell r="F1012">
            <v>0</v>
          </cell>
          <cell r="G1012"/>
          <cell r="H1012">
            <v>-3365.85</v>
          </cell>
        </row>
        <row r="1013">
          <cell r="D1013">
            <v>256779417317</v>
          </cell>
          <cell r="E1013">
            <v>45756</v>
          </cell>
          <cell r="F1013">
            <v>-170.85</v>
          </cell>
          <cell r="G1013"/>
          <cell r="H1013">
            <v>-14975.33</v>
          </cell>
        </row>
        <row r="1014">
          <cell r="D1014">
            <v>256779417317</v>
          </cell>
          <cell r="E1014">
            <v>45756</v>
          </cell>
          <cell r="F1014">
            <v>3.42</v>
          </cell>
          <cell r="G1014"/>
          <cell r="H1014">
            <v>299.77</v>
          </cell>
        </row>
        <row r="1015">
          <cell r="D1015">
            <v>256779417280</v>
          </cell>
          <cell r="E1015">
            <v>45756</v>
          </cell>
          <cell r="F1015">
            <v>-249.98</v>
          </cell>
          <cell r="G1015"/>
          <cell r="H1015">
            <v>-21911.23</v>
          </cell>
        </row>
        <row r="1016">
          <cell r="D1016">
            <v>256779417280</v>
          </cell>
          <cell r="E1016">
            <v>45756</v>
          </cell>
          <cell r="F1016">
            <v>5</v>
          </cell>
          <cell r="G1016"/>
          <cell r="H1016">
            <v>438.26</v>
          </cell>
        </row>
        <row r="1017">
          <cell r="D1017">
            <v>256779417349</v>
          </cell>
          <cell r="E1017">
            <v>45756</v>
          </cell>
          <cell r="F1017">
            <v>0</v>
          </cell>
          <cell r="G1017"/>
          <cell r="H1017">
            <v>-65.92</v>
          </cell>
        </row>
        <row r="1018">
          <cell r="D1018">
            <v>256779417350</v>
          </cell>
          <cell r="E1018">
            <v>45756</v>
          </cell>
          <cell r="F1018">
            <v>0</v>
          </cell>
          <cell r="G1018"/>
          <cell r="H1018">
            <v>-36.07</v>
          </cell>
        </row>
        <row r="1019">
          <cell r="D1019">
            <v>256779417348</v>
          </cell>
          <cell r="E1019">
            <v>45756</v>
          </cell>
          <cell r="F1019">
            <v>0</v>
          </cell>
          <cell r="G1019"/>
          <cell r="H1019">
            <v>-1648.3</v>
          </cell>
        </row>
        <row r="1020">
          <cell r="D1020">
            <v>256779417350</v>
          </cell>
          <cell r="E1020">
            <v>45756</v>
          </cell>
          <cell r="F1020">
            <v>0</v>
          </cell>
          <cell r="G1020"/>
          <cell r="H1020">
            <v>-85.26</v>
          </cell>
        </row>
        <row r="1021">
          <cell r="D1021">
            <v>256779415209</v>
          </cell>
          <cell r="E1021">
            <v>45754</v>
          </cell>
          <cell r="F1021">
            <v>-63.26</v>
          </cell>
          <cell r="G1021"/>
          <cell r="H1021">
            <v>-5596.61</v>
          </cell>
        </row>
        <row r="1022">
          <cell r="D1022">
            <v>256779415270</v>
          </cell>
          <cell r="E1022">
            <v>45754</v>
          </cell>
          <cell r="F1022">
            <v>-420.86</v>
          </cell>
          <cell r="G1022"/>
          <cell r="H1022">
            <v>-37233.480000000003</v>
          </cell>
        </row>
        <row r="1023">
          <cell r="D1023">
            <v>256779415208</v>
          </cell>
          <cell r="E1023">
            <v>45754</v>
          </cell>
          <cell r="F1023">
            <v>-183.43</v>
          </cell>
          <cell r="G1023"/>
          <cell r="H1023">
            <v>-16228.05</v>
          </cell>
        </row>
        <row r="1024">
          <cell r="D1024">
            <v>256779415210</v>
          </cell>
          <cell r="E1024">
            <v>45754</v>
          </cell>
          <cell r="F1024">
            <v>-9629.6299999999992</v>
          </cell>
          <cell r="G1024"/>
          <cell r="H1024">
            <v>-851933.37</v>
          </cell>
        </row>
        <row r="1025">
          <cell r="D1025">
            <v>256779415270</v>
          </cell>
          <cell r="E1025">
            <v>45754</v>
          </cell>
          <cell r="F1025">
            <v>8.42</v>
          </cell>
          <cell r="G1025"/>
          <cell r="H1025">
            <v>744.92</v>
          </cell>
        </row>
        <row r="1026">
          <cell r="D1026">
            <v>256779415209</v>
          </cell>
          <cell r="E1026">
            <v>45754</v>
          </cell>
          <cell r="F1026">
            <v>1.27</v>
          </cell>
          <cell r="G1026"/>
          <cell r="H1026">
            <v>112.36</v>
          </cell>
        </row>
        <row r="1027">
          <cell r="D1027">
            <v>256779415208</v>
          </cell>
          <cell r="E1027">
            <v>45754</v>
          </cell>
          <cell r="F1027">
            <v>3.67</v>
          </cell>
          <cell r="G1027"/>
          <cell r="H1027">
            <v>324.68</v>
          </cell>
        </row>
        <row r="1028">
          <cell r="D1028">
            <v>256779415210</v>
          </cell>
          <cell r="E1028">
            <v>45754</v>
          </cell>
          <cell r="F1028">
            <v>192.59</v>
          </cell>
          <cell r="G1028"/>
          <cell r="H1028">
            <v>17038.439999999999</v>
          </cell>
        </row>
        <row r="1029">
          <cell r="D1029">
            <v>256779415209</v>
          </cell>
          <cell r="E1029">
            <v>45754</v>
          </cell>
          <cell r="F1029">
            <v>0</v>
          </cell>
          <cell r="G1029"/>
          <cell r="H1029">
            <v>-11.75</v>
          </cell>
        </row>
        <row r="1030">
          <cell r="D1030">
            <v>256779415270</v>
          </cell>
          <cell r="E1030">
            <v>45754</v>
          </cell>
          <cell r="F1030">
            <v>0</v>
          </cell>
          <cell r="G1030"/>
          <cell r="H1030">
            <v>-78.16</v>
          </cell>
        </row>
        <row r="1031">
          <cell r="D1031">
            <v>256779415208</v>
          </cell>
          <cell r="E1031">
            <v>45754</v>
          </cell>
          <cell r="F1031">
            <v>0</v>
          </cell>
          <cell r="G1031"/>
          <cell r="H1031">
            <v>-34.06</v>
          </cell>
        </row>
        <row r="1032">
          <cell r="D1032">
            <v>256779415210</v>
          </cell>
          <cell r="E1032">
            <v>45754</v>
          </cell>
          <cell r="F1032">
            <v>0</v>
          </cell>
          <cell r="G1032"/>
          <cell r="H1032">
            <v>-1788.28</v>
          </cell>
        </row>
        <row r="1033">
          <cell r="D1033">
            <v>256779415012</v>
          </cell>
          <cell r="E1033">
            <v>45754</v>
          </cell>
          <cell r="F1033">
            <v>-184</v>
          </cell>
          <cell r="G1033"/>
          <cell r="H1033">
            <v>-15822.07</v>
          </cell>
        </row>
        <row r="1034">
          <cell r="D1034">
            <v>256779415261</v>
          </cell>
          <cell r="E1034">
            <v>45754</v>
          </cell>
          <cell r="F1034">
            <v>-292.26</v>
          </cell>
          <cell r="G1034"/>
          <cell r="H1034">
            <v>-25131.29</v>
          </cell>
        </row>
        <row r="1035">
          <cell r="D1035">
            <v>256779415012</v>
          </cell>
          <cell r="E1035">
            <v>45754</v>
          </cell>
          <cell r="F1035">
            <v>3.68</v>
          </cell>
          <cell r="G1035"/>
          <cell r="H1035">
            <v>316.44</v>
          </cell>
        </row>
        <row r="1036">
          <cell r="D1036">
            <v>256779415261</v>
          </cell>
          <cell r="E1036">
            <v>45754</v>
          </cell>
          <cell r="F1036">
            <v>5.85</v>
          </cell>
          <cell r="G1036"/>
          <cell r="H1036">
            <v>503.04</v>
          </cell>
        </row>
        <row r="1037">
          <cell r="D1037">
            <v>256779415012</v>
          </cell>
          <cell r="E1037">
            <v>45754</v>
          </cell>
          <cell r="F1037">
            <v>0</v>
          </cell>
          <cell r="G1037"/>
          <cell r="H1037">
            <v>-408.07</v>
          </cell>
        </row>
        <row r="1038">
          <cell r="D1038">
            <v>256779415261</v>
          </cell>
          <cell r="E1038">
            <v>45754</v>
          </cell>
          <cell r="F1038">
            <v>0</v>
          </cell>
          <cell r="G1038"/>
          <cell r="H1038">
            <v>-648.16999999999996</v>
          </cell>
        </row>
        <row r="1039">
          <cell r="D1039">
            <v>256779414859</v>
          </cell>
          <cell r="E1039">
            <v>45754</v>
          </cell>
          <cell r="F1039">
            <v>-318.47000000000003</v>
          </cell>
          <cell r="G1039"/>
          <cell r="H1039">
            <v>-27385.08</v>
          </cell>
        </row>
        <row r="1040">
          <cell r="D1040">
            <v>256779414859</v>
          </cell>
          <cell r="E1040">
            <v>45754</v>
          </cell>
          <cell r="F1040">
            <v>6.37</v>
          </cell>
          <cell r="G1040"/>
          <cell r="H1040">
            <v>547.75</v>
          </cell>
        </row>
        <row r="1041">
          <cell r="D1041">
            <v>256779415012</v>
          </cell>
          <cell r="E1041">
            <v>45754</v>
          </cell>
          <cell r="F1041">
            <v>0</v>
          </cell>
          <cell r="G1041"/>
          <cell r="H1041">
            <v>-162.69</v>
          </cell>
        </row>
        <row r="1042">
          <cell r="D1042">
            <v>256779415261</v>
          </cell>
          <cell r="E1042">
            <v>45754</v>
          </cell>
          <cell r="F1042">
            <v>0</v>
          </cell>
          <cell r="G1042"/>
          <cell r="H1042">
            <v>-258.39999999999998</v>
          </cell>
        </row>
        <row r="1043">
          <cell r="D1043">
            <v>256779415012</v>
          </cell>
          <cell r="E1043">
            <v>45754</v>
          </cell>
          <cell r="F1043">
            <v>0</v>
          </cell>
          <cell r="G1043"/>
          <cell r="H1043">
            <v>-132.71</v>
          </cell>
        </row>
        <row r="1044">
          <cell r="D1044">
            <v>256779415261</v>
          </cell>
          <cell r="E1044">
            <v>45754</v>
          </cell>
          <cell r="F1044">
            <v>0</v>
          </cell>
          <cell r="G1044"/>
          <cell r="H1044">
            <v>-210.79</v>
          </cell>
        </row>
        <row r="1045">
          <cell r="D1045">
            <v>256779414918</v>
          </cell>
          <cell r="E1045">
            <v>45754</v>
          </cell>
          <cell r="F1045">
            <v>-51.16</v>
          </cell>
          <cell r="G1045"/>
          <cell r="H1045">
            <v>-4399.22</v>
          </cell>
        </row>
        <row r="1046">
          <cell r="D1046">
            <v>256779414917</v>
          </cell>
          <cell r="E1046">
            <v>45754</v>
          </cell>
          <cell r="F1046">
            <v>-93.02</v>
          </cell>
          <cell r="G1046"/>
          <cell r="H1046">
            <v>-7998.74</v>
          </cell>
        </row>
        <row r="1047">
          <cell r="D1047">
            <v>256779414917</v>
          </cell>
          <cell r="E1047">
            <v>45754</v>
          </cell>
          <cell r="F1047">
            <v>1.86</v>
          </cell>
          <cell r="G1047"/>
          <cell r="H1047">
            <v>159.94</v>
          </cell>
        </row>
        <row r="1048">
          <cell r="D1048">
            <v>256779414918</v>
          </cell>
          <cell r="E1048">
            <v>45754</v>
          </cell>
          <cell r="F1048">
            <v>1.02</v>
          </cell>
          <cell r="G1048"/>
          <cell r="H1048">
            <v>87.71</v>
          </cell>
        </row>
        <row r="1049">
          <cell r="D1049">
            <v>256779414916</v>
          </cell>
          <cell r="E1049">
            <v>45754</v>
          </cell>
          <cell r="F1049">
            <v>-2325.56</v>
          </cell>
          <cell r="G1049"/>
          <cell r="H1049">
            <v>-199973.77</v>
          </cell>
        </row>
        <row r="1050">
          <cell r="D1050">
            <v>256779414916</v>
          </cell>
          <cell r="E1050">
            <v>45754</v>
          </cell>
          <cell r="F1050">
            <v>46.51</v>
          </cell>
          <cell r="G1050"/>
          <cell r="H1050">
            <v>3999.37</v>
          </cell>
        </row>
        <row r="1051">
          <cell r="D1051">
            <v>256779415012</v>
          </cell>
          <cell r="E1051">
            <v>45754</v>
          </cell>
          <cell r="F1051">
            <v>0</v>
          </cell>
          <cell r="G1051"/>
          <cell r="H1051">
            <v>-313.75</v>
          </cell>
        </row>
        <row r="1052">
          <cell r="D1052">
            <v>256779415261</v>
          </cell>
          <cell r="E1052">
            <v>45754</v>
          </cell>
          <cell r="F1052">
            <v>0</v>
          </cell>
          <cell r="G1052"/>
          <cell r="H1052">
            <v>-498.35</v>
          </cell>
        </row>
        <row r="1053">
          <cell r="D1053" t="str">
            <v>256779417580_R</v>
          </cell>
          <cell r="E1053" t="str">
            <v>18/09/2025</v>
          </cell>
          <cell r="F1053">
            <v>184.38</v>
          </cell>
          <cell r="G1053"/>
          <cell r="H1053">
            <v>184.38</v>
          </cell>
        </row>
        <row r="1054">
          <cell r="D1054">
            <v>256779414918</v>
          </cell>
          <cell r="E1054">
            <v>45754</v>
          </cell>
          <cell r="F1054">
            <v>0</v>
          </cell>
          <cell r="G1054"/>
          <cell r="H1054">
            <v>-282.85000000000002</v>
          </cell>
        </row>
        <row r="1055">
          <cell r="D1055">
            <v>256779414917</v>
          </cell>
          <cell r="E1055">
            <v>45754</v>
          </cell>
          <cell r="F1055">
            <v>0</v>
          </cell>
          <cell r="G1055"/>
          <cell r="H1055">
            <v>-514.26</v>
          </cell>
        </row>
        <row r="1056">
          <cell r="D1056">
            <v>2829968</v>
          </cell>
          <cell r="E1056" t="str">
            <v>30/01/2026</v>
          </cell>
          <cell r="F1056">
            <v>0</v>
          </cell>
          <cell r="G1056"/>
          <cell r="H1056">
            <v>1869680.81</v>
          </cell>
        </row>
        <row r="1057">
          <cell r="D1057">
            <v>2830735</v>
          </cell>
          <cell r="E1057" t="str">
            <v>31/01/2026</v>
          </cell>
          <cell r="F1057">
            <v>0</v>
          </cell>
          <cell r="G1057"/>
          <cell r="H1057">
            <v>-7756</v>
          </cell>
        </row>
        <row r="1058">
          <cell r="D1058">
            <v>2830736</v>
          </cell>
          <cell r="E1058" t="str">
            <v>31/01/2026</v>
          </cell>
          <cell r="F1058">
            <v>0</v>
          </cell>
          <cell r="G1058"/>
          <cell r="H1058">
            <v>-15004</v>
          </cell>
        </row>
        <row r="1059">
          <cell r="D1059">
            <v>2830737</v>
          </cell>
          <cell r="E1059" t="str">
            <v>31/01/2026</v>
          </cell>
          <cell r="F1059">
            <v>0</v>
          </cell>
          <cell r="G1059"/>
          <cell r="H1059">
            <v>8452</v>
          </cell>
        </row>
        <row r="1060">
          <cell r="D1060">
            <v>2830738</v>
          </cell>
          <cell r="E1060" t="str">
            <v>31/01/2026</v>
          </cell>
          <cell r="F1060">
            <v>0</v>
          </cell>
          <cell r="G1060"/>
          <cell r="H1060">
            <v>-17437</v>
          </cell>
        </row>
        <row r="1061">
          <cell r="D1061">
            <v>2830739</v>
          </cell>
          <cell r="E1061" t="str">
            <v>31/01/2026</v>
          </cell>
          <cell r="F1061">
            <v>0</v>
          </cell>
          <cell r="G1061"/>
          <cell r="H1061">
            <v>-5206</v>
          </cell>
        </row>
        <row r="1062">
          <cell r="D1062" t="str">
            <v>256779417580_R</v>
          </cell>
          <cell r="E1062" t="str">
            <v>18/09/2025</v>
          </cell>
          <cell r="F1062">
            <v>-3.69</v>
          </cell>
          <cell r="G1062"/>
          <cell r="H1062">
            <v>-3.69</v>
          </cell>
        </row>
        <row r="1063">
          <cell r="D1063">
            <v>256779414916</v>
          </cell>
          <cell r="E1063">
            <v>45754</v>
          </cell>
          <cell r="F1063">
            <v>0</v>
          </cell>
          <cell r="G1063"/>
          <cell r="H1063">
            <v>-12856.62</v>
          </cell>
        </row>
        <row r="1064">
          <cell r="D1064">
            <v>256779410818</v>
          </cell>
          <cell r="E1064">
            <v>45751</v>
          </cell>
          <cell r="F1064">
            <v>0</v>
          </cell>
          <cell r="G1064"/>
          <cell r="H1064">
            <v>-1231.96</v>
          </cell>
        </row>
        <row r="1065">
          <cell r="D1065">
            <v>256779410818</v>
          </cell>
          <cell r="E1065">
            <v>45751</v>
          </cell>
          <cell r="F1065">
            <v>0</v>
          </cell>
          <cell r="G1065"/>
          <cell r="H1065">
            <v>25</v>
          </cell>
        </row>
        <row r="1066">
          <cell r="D1066">
            <v>256779410801</v>
          </cell>
          <cell r="E1066">
            <v>45751</v>
          </cell>
          <cell r="F1066">
            <v>-2829.48</v>
          </cell>
          <cell r="G1066"/>
          <cell r="H1066">
            <v>-242562.74</v>
          </cell>
        </row>
        <row r="1067">
          <cell r="D1067">
            <v>256779410801</v>
          </cell>
          <cell r="E1067">
            <v>45751</v>
          </cell>
          <cell r="F1067">
            <v>56.59</v>
          </cell>
          <cell r="G1067"/>
          <cell r="H1067">
            <v>4851.29</v>
          </cell>
        </row>
        <row r="1068">
          <cell r="D1068">
            <v>256779410801</v>
          </cell>
          <cell r="E1068">
            <v>45751</v>
          </cell>
          <cell r="F1068">
            <v>0</v>
          </cell>
          <cell r="G1068"/>
          <cell r="H1068">
            <v>-728</v>
          </cell>
        </row>
        <row r="1069">
          <cell r="D1069">
            <v>246779410826</v>
          </cell>
          <cell r="E1069">
            <v>45750</v>
          </cell>
          <cell r="F1069">
            <v>-3</v>
          </cell>
          <cell r="G1069"/>
          <cell r="H1069">
            <v>-261.13</v>
          </cell>
        </row>
        <row r="1070">
          <cell r="D1070">
            <v>246779410826</v>
          </cell>
          <cell r="E1070">
            <v>45750</v>
          </cell>
          <cell r="F1070">
            <v>0.06</v>
          </cell>
          <cell r="G1070"/>
          <cell r="H1070">
            <v>5.22</v>
          </cell>
        </row>
        <row r="1071">
          <cell r="D1071">
            <v>246779410743</v>
          </cell>
          <cell r="E1071">
            <v>45750</v>
          </cell>
          <cell r="F1071">
            <v>-3</v>
          </cell>
          <cell r="G1071"/>
          <cell r="H1071">
            <v>-261.13</v>
          </cell>
        </row>
        <row r="1072">
          <cell r="D1072">
            <v>246779410743</v>
          </cell>
          <cell r="E1072">
            <v>45750</v>
          </cell>
          <cell r="F1072">
            <v>0.06</v>
          </cell>
          <cell r="G1072"/>
          <cell r="H1072">
            <v>5.22</v>
          </cell>
        </row>
        <row r="1073">
          <cell r="D1073">
            <v>246779410743</v>
          </cell>
          <cell r="E1073">
            <v>45750</v>
          </cell>
          <cell r="F1073">
            <v>0</v>
          </cell>
          <cell r="G1073"/>
          <cell r="H1073">
            <v>3.1</v>
          </cell>
        </row>
        <row r="1074">
          <cell r="D1074">
            <v>246779410665</v>
          </cell>
          <cell r="E1074">
            <v>45750</v>
          </cell>
          <cell r="F1074">
            <v>-3.54</v>
          </cell>
          <cell r="G1074"/>
          <cell r="H1074">
            <v>-308.13</v>
          </cell>
        </row>
        <row r="1075">
          <cell r="D1075">
            <v>246779410665</v>
          </cell>
          <cell r="E1075">
            <v>45750</v>
          </cell>
          <cell r="F1075">
            <v>7.0000000000000007E-2</v>
          </cell>
          <cell r="G1075"/>
          <cell r="H1075">
            <v>6.09</v>
          </cell>
        </row>
        <row r="1076">
          <cell r="D1076">
            <v>246779410665</v>
          </cell>
          <cell r="E1076">
            <v>45750</v>
          </cell>
          <cell r="F1076">
            <v>0</v>
          </cell>
          <cell r="G1076"/>
          <cell r="H1076">
            <v>-9.8800000000000008</v>
          </cell>
        </row>
        <row r="1077">
          <cell r="D1077">
            <v>246779410665</v>
          </cell>
          <cell r="E1077">
            <v>45750</v>
          </cell>
          <cell r="F1077">
            <v>0</v>
          </cell>
          <cell r="G1077"/>
          <cell r="H1077">
            <v>-6.04</v>
          </cell>
        </row>
        <row r="1078">
          <cell r="D1078">
            <v>256779419122</v>
          </cell>
          <cell r="E1078">
            <v>45727</v>
          </cell>
          <cell r="F1078">
            <v>-670.42</v>
          </cell>
          <cell r="G1078"/>
          <cell r="H1078">
            <v>-59439.1</v>
          </cell>
        </row>
        <row r="1079">
          <cell r="D1079">
            <v>256779419122</v>
          </cell>
          <cell r="E1079">
            <v>45727</v>
          </cell>
          <cell r="F1079">
            <v>13.41</v>
          </cell>
          <cell r="G1079"/>
          <cell r="H1079">
            <v>1188.92</v>
          </cell>
        </row>
        <row r="1080">
          <cell r="D1080">
            <v>256779419122</v>
          </cell>
          <cell r="E1080">
            <v>45727</v>
          </cell>
          <cell r="F1080">
            <v>0</v>
          </cell>
          <cell r="G1080"/>
          <cell r="H1080">
            <v>-808.94</v>
          </cell>
        </row>
        <row r="1081">
          <cell r="D1081">
            <v>256779410262</v>
          </cell>
          <cell r="E1081">
            <v>45720</v>
          </cell>
          <cell r="F1081">
            <v>0</v>
          </cell>
          <cell r="G1081"/>
          <cell r="H1081">
            <v>-93.33</v>
          </cell>
        </row>
        <row r="1082">
          <cell r="D1082">
            <v>256779410263</v>
          </cell>
          <cell r="E1082">
            <v>45720</v>
          </cell>
          <cell r="F1082">
            <v>0</v>
          </cell>
          <cell r="G1082"/>
          <cell r="H1082">
            <v>-51.33</v>
          </cell>
        </row>
        <row r="1083">
          <cell r="D1083">
            <v>256779410262</v>
          </cell>
          <cell r="E1083">
            <v>45720</v>
          </cell>
          <cell r="F1083">
            <v>0</v>
          </cell>
          <cell r="G1083"/>
          <cell r="H1083">
            <v>2</v>
          </cell>
        </row>
        <row r="1084">
          <cell r="D1084">
            <v>256779410263</v>
          </cell>
          <cell r="E1084">
            <v>45720</v>
          </cell>
          <cell r="F1084">
            <v>0</v>
          </cell>
          <cell r="G1084"/>
          <cell r="H1084">
            <v>2</v>
          </cell>
        </row>
        <row r="1085">
          <cell r="D1085">
            <v>256779410196</v>
          </cell>
          <cell r="E1085">
            <v>45720</v>
          </cell>
          <cell r="F1085">
            <v>-246.52</v>
          </cell>
          <cell r="G1085"/>
          <cell r="H1085">
            <v>-21133.41</v>
          </cell>
        </row>
        <row r="1086">
          <cell r="D1086">
            <v>256779410303</v>
          </cell>
          <cell r="E1086">
            <v>45720</v>
          </cell>
          <cell r="F1086">
            <v>-91.45</v>
          </cell>
          <cell r="G1086"/>
          <cell r="H1086">
            <v>-7839.73</v>
          </cell>
        </row>
        <row r="1087">
          <cell r="D1087">
            <v>256779410304</v>
          </cell>
          <cell r="E1087">
            <v>45720</v>
          </cell>
          <cell r="F1087">
            <v>-50.3</v>
          </cell>
          <cell r="G1087"/>
          <cell r="H1087">
            <v>-4312.07</v>
          </cell>
        </row>
        <row r="1088">
          <cell r="D1088">
            <v>256779410196</v>
          </cell>
          <cell r="E1088">
            <v>45720</v>
          </cell>
          <cell r="F1088">
            <v>4.93</v>
          </cell>
          <cell r="G1088"/>
          <cell r="H1088">
            <v>422.63</v>
          </cell>
        </row>
        <row r="1089">
          <cell r="D1089">
            <v>256779410303</v>
          </cell>
          <cell r="E1089">
            <v>45720</v>
          </cell>
          <cell r="F1089">
            <v>1.83</v>
          </cell>
          <cell r="G1089"/>
          <cell r="H1089">
            <v>156.88</v>
          </cell>
        </row>
        <row r="1090">
          <cell r="D1090">
            <v>256779410304</v>
          </cell>
          <cell r="E1090">
            <v>45720</v>
          </cell>
          <cell r="F1090">
            <v>1.01</v>
          </cell>
          <cell r="G1090"/>
          <cell r="H1090">
            <v>86.58</v>
          </cell>
        </row>
        <row r="1091">
          <cell r="D1091">
            <v>256779410196</v>
          </cell>
          <cell r="E1091">
            <v>45720</v>
          </cell>
          <cell r="F1091">
            <v>0</v>
          </cell>
          <cell r="G1091"/>
          <cell r="H1091">
            <v>-63.43</v>
          </cell>
        </row>
        <row r="1092">
          <cell r="D1092">
            <v>256779410303</v>
          </cell>
          <cell r="E1092">
            <v>45720</v>
          </cell>
          <cell r="F1092">
            <v>0</v>
          </cell>
          <cell r="G1092"/>
          <cell r="H1092">
            <v>-23.53</v>
          </cell>
        </row>
        <row r="1093">
          <cell r="D1093">
            <v>256779410304</v>
          </cell>
          <cell r="E1093">
            <v>45720</v>
          </cell>
          <cell r="F1093">
            <v>0</v>
          </cell>
          <cell r="G1093"/>
          <cell r="H1093">
            <v>-12.93</v>
          </cell>
        </row>
        <row r="1094">
          <cell r="D1094">
            <v>246779410436</v>
          </cell>
          <cell r="E1094">
            <v>45719</v>
          </cell>
          <cell r="F1094">
            <v>-1332.41</v>
          </cell>
          <cell r="G1094"/>
          <cell r="H1094">
            <v>-115976.18</v>
          </cell>
        </row>
        <row r="1095">
          <cell r="D1095">
            <v>246779410413</v>
          </cell>
          <cell r="E1095">
            <v>45719</v>
          </cell>
          <cell r="F1095">
            <v>-694.12</v>
          </cell>
          <cell r="G1095"/>
          <cell r="H1095">
            <v>-60417.88</v>
          </cell>
        </row>
        <row r="1096">
          <cell r="D1096">
            <v>246779410413</v>
          </cell>
          <cell r="E1096">
            <v>45719</v>
          </cell>
          <cell r="F1096">
            <v>13.88</v>
          </cell>
          <cell r="G1096"/>
          <cell r="H1096">
            <v>1208.1500000000001</v>
          </cell>
        </row>
        <row r="1097">
          <cell r="D1097">
            <v>246779410436</v>
          </cell>
          <cell r="E1097">
            <v>45719</v>
          </cell>
          <cell r="F1097">
            <v>26.65</v>
          </cell>
          <cell r="G1097"/>
          <cell r="H1097">
            <v>2319.6799999999998</v>
          </cell>
        </row>
        <row r="1098">
          <cell r="D1098">
            <v>246779410389</v>
          </cell>
          <cell r="E1098">
            <v>45719</v>
          </cell>
          <cell r="F1098">
            <v>-542.08000000000004</v>
          </cell>
          <cell r="G1098"/>
          <cell r="H1098">
            <v>-47183.95</v>
          </cell>
        </row>
        <row r="1099">
          <cell r="D1099">
            <v>246779410389</v>
          </cell>
          <cell r="E1099">
            <v>45719</v>
          </cell>
          <cell r="F1099">
            <v>10.84</v>
          </cell>
          <cell r="G1099"/>
          <cell r="H1099">
            <v>943.54</v>
          </cell>
        </row>
        <row r="1100">
          <cell r="D1100">
            <v>256779413931</v>
          </cell>
          <cell r="E1100">
            <v>45694</v>
          </cell>
          <cell r="F1100">
            <v>-395.23</v>
          </cell>
          <cell r="G1100"/>
          <cell r="H1100">
            <v>-33619.879999999997</v>
          </cell>
        </row>
        <row r="1101">
          <cell r="D1101">
            <v>256779413972</v>
          </cell>
          <cell r="E1101">
            <v>45694</v>
          </cell>
          <cell r="F1101">
            <v>0</v>
          </cell>
          <cell r="G1101"/>
          <cell r="H1101">
            <v>-262</v>
          </cell>
        </row>
        <row r="1102">
          <cell r="D1102">
            <v>256779413972</v>
          </cell>
          <cell r="E1102">
            <v>45694</v>
          </cell>
          <cell r="F1102">
            <v>0</v>
          </cell>
          <cell r="G1102"/>
          <cell r="H1102">
            <v>6</v>
          </cell>
        </row>
        <row r="1103">
          <cell r="D1103">
            <v>256779413931</v>
          </cell>
          <cell r="E1103">
            <v>45694</v>
          </cell>
          <cell r="F1103">
            <v>7.9</v>
          </cell>
          <cell r="G1103"/>
          <cell r="H1103">
            <v>672.01</v>
          </cell>
        </row>
        <row r="1104">
          <cell r="D1104">
            <v>256779413931</v>
          </cell>
          <cell r="E1104">
            <v>45694</v>
          </cell>
          <cell r="F1104">
            <v>0</v>
          </cell>
          <cell r="G1104"/>
          <cell r="H1104">
            <v>-1584.45</v>
          </cell>
        </row>
        <row r="1105">
          <cell r="D1105">
            <v>256779416028</v>
          </cell>
          <cell r="E1105">
            <v>45665</v>
          </cell>
          <cell r="F1105">
            <v>-2324.77</v>
          </cell>
          <cell r="G1105"/>
          <cell r="H1105">
            <v>-201396.93</v>
          </cell>
        </row>
        <row r="1106">
          <cell r="D1106">
            <v>256779416029</v>
          </cell>
          <cell r="E1106">
            <v>45665</v>
          </cell>
          <cell r="F1106">
            <v>-92.99</v>
          </cell>
          <cell r="G1106"/>
          <cell r="H1106">
            <v>-8055.81</v>
          </cell>
        </row>
        <row r="1107">
          <cell r="D1107">
            <v>256779416030</v>
          </cell>
          <cell r="E1107">
            <v>45665</v>
          </cell>
          <cell r="F1107">
            <v>-51.14</v>
          </cell>
          <cell r="G1107"/>
          <cell r="H1107">
            <v>-4430.3</v>
          </cell>
        </row>
        <row r="1108">
          <cell r="D1108">
            <v>256779416030</v>
          </cell>
          <cell r="E1108">
            <v>45665</v>
          </cell>
          <cell r="F1108">
            <v>1.02</v>
          </cell>
          <cell r="G1108"/>
          <cell r="H1108">
            <v>88.36</v>
          </cell>
        </row>
        <row r="1109">
          <cell r="D1109">
            <v>256779416028</v>
          </cell>
          <cell r="E1109">
            <v>45665</v>
          </cell>
          <cell r="F1109">
            <v>46.5</v>
          </cell>
          <cell r="G1109"/>
          <cell r="H1109">
            <v>4028.34</v>
          </cell>
        </row>
        <row r="1110">
          <cell r="D1110">
            <v>256779416029</v>
          </cell>
          <cell r="E1110">
            <v>45665</v>
          </cell>
          <cell r="F1110">
            <v>1.86</v>
          </cell>
          <cell r="G1110"/>
          <cell r="H1110">
            <v>161.13</v>
          </cell>
        </row>
        <row r="1111">
          <cell r="D1111">
            <v>256779416028</v>
          </cell>
          <cell r="E1111">
            <v>45665</v>
          </cell>
          <cell r="F1111">
            <v>0</v>
          </cell>
          <cell r="G1111"/>
          <cell r="H1111">
            <v>-7426.8</v>
          </cell>
        </row>
        <row r="1112">
          <cell r="D1112">
            <v>256779416029</v>
          </cell>
          <cell r="E1112">
            <v>45665</v>
          </cell>
          <cell r="F1112">
            <v>0</v>
          </cell>
          <cell r="G1112"/>
          <cell r="H1112">
            <v>-297.06</v>
          </cell>
        </row>
        <row r="1113">
          <cell r="D1113" t="str">
            <v>256779417580_R</v>
          </cell>
          <cell r="E1113" t="str">
            <v>18/09/2025</v>
          </cell>
          <cell r="F1113">
            <v>0</v>
          </cell>
          <cell r="G1113"/>
          <cell r="H1113">
            <v>16376.07</v>
          </cell>
        </row>
        <row r="1114">
          <cell r="D1114">
            <v>256779416030</v>
          </cell>
          <cell r="E1114">
            <v>45665</v>
          </cell>
          <cell r="F1114">
            <v>0</v>
          </cell>
          <cell r="G1114"/>
          <cell r="H1114">
            <v>-163.38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AN ENTERPRISES"/>
      <sheetName val="P matching"/>
      <sheetName val="Customer TDS"/>
      <sheetName val="Sheet1"/>
    </sheetNames>
    <sheetDataSet>
      <sheetData sheetId="0"/>
      <sheetData sheetId="1"/>
      <sheetData sheetId="2">
        <row r="1">
          <cell r="I1">
            <v>268271.18000000028</v>
          </cell>
        </row>
        <row r="2">
          <cell r="D2" t="str">
            <v>Item#</v>
          </cell>
          <cell r="E2" t="str">
            <v>Item Date</v>
          </cell>
          <cell r="F2" t="str">
            <v>CCY</v>
          </cell>
          <cell r="G2" t="str">
            <v>FC Amount</v>
          </cell>
          <cell r="H2" t="str">
            <v xml:space="preserve">Settled FC Amount </v>
          </cell>
          <cell r="I2" t="str">
            <v>LC Amount</v>
          </cell>
        </row>
        <row r="3">
          <cell r="D3">
            <v>246779411742</v>
          </cell>
          <cell r="E3">
            <v>45733</v>
          </cell>
          <cell r="F3" t="str">
            <v>USD</v>
          </cell>
          <cell r="G3">
            <v>0.47</v>
          </cell>
          <cell r="H3" t="str">
            <v xml:space="preserve"> -   </v>
          </cell>
          <cell r="I3">
            <v>40.909999999999997</v>
          </cell>
        </row>
        <row r="4">
          <cell r="D4">
            <v>246779411601</v>
          </cell>
          <cell r="E4">
            <v>45733</v>
          </cell>
          <cell r="F4" t="str">
            <v>USD</v>
          </cell>
          <cell r="G4">
            <v>0.47</v>
          </cell>
          <cell r="H4" t="str">
            <v xml:space="preserve"> -   </v>
          </cell>
          <cell r="I4">
            <v>40.909999999999997</v>
          </cell>
        </row>
        <row r="5">
          <cell r="D5">
            <v>246779411717</v>
          </cell>
          <cell r="E5">
            <v>45733</v>
          </cell>
          <cell r="F5" t="str">
            <v>USD</v>
          </cell>
          <cell r="G5">
            <v>0.91</v>
          </cell>
          <cell r="H5" t="str">
            <v xml:space="preserve"> -   </v>
          </cell>
          <cell r="I5">
            <v>79.209999999999994</v>
          </cell>
        </row>
        <row r="6">
          <cell r="D6">
            <v>246779411913</v>
          </cell>
          <cell r="E6">
            <v>45733</v>
          </cell>
          <cell r="F6" t="str">
            <v>USD</v>
          </cell>
          <cell r="G6">
            <v>0.56999999999999995</v>
          </cell>
          <cell r="H6" t="str">
            <v xml:space="preserve"> -   </v>
          </cell>
          <cell r="I6">
            <v>49.61</v>
          </cell>
        </row>
        <row r="7">
          <cell r="D7">
            <v>246779411740</v>
          </cell>
          <cell r="E7">
            <v>45733</v>
          </cell>
          <cell r="F7" t="str">
            <v>USD</v>
          </cell>
          <cell r="G7">
            <v>0.46</v>
          </cell>
          <cell r="H7" t="str">
            <v xml:space="preserve"> -   </v>
          </cell>
          <cell r="I7">
            <v>40.04</v>
          </cell>
        </row>
        <row r="8">
          <cell r="D8">
            <v>246779412111</v>
          </cell>
          <cell r="E8">
            <v>45733</v>
          </cell>
          <cell r="F8" t="str">
            <v>USD</v>
          </cell>
          <cell r="G8">
            <v>8.41</v>
          </cell>
          <cell r="H8" t="str">
            <v xml:space="preserve"> -   </v>
          </cell>
          <cell r="I8">
            <v>732.03</v>
          </cell>
        </row>
        <row r="9">
          <cell r="D9">
            <v>246779411722</v>
          </cell>
          <cell r="E9">
            <v>45733</v>
          </cell>
          <cell r="F9" t="str">
            <v>USD</v>
          </cell>
          <cell r="G9">
            <v>0.8</v>
          </cell>
          <cell r="H9" t="str">
            <v xml:space="preserve"> -   </v>
          </cell>
          <cell r="I9">
            <v>69.63</v>
          </cell>
        </row>
        <row r="10">
          <cell r="D10">
            <v>246779412041</v>
          </cell>
          <cell r="E10">
            <v>45733</v>
          </cell>
          <cell r="F10" t="str">
            <v>USD</v>
          </cell>
          <cell r="G10">
            <v>0.67</v>
          </cell>
          <cell r="H10" t="str">
            <v xml:space="preserve"> -   </v>
          </cell>
          <cell r="I10">
            <v>58.32</v>
          </cell>
        </row>
        <row r="11">
          <cell r="D11">
            <v>246779411898</v>
          </cell>
          <cell r="E11">
            <v>45733</v>
          </cell>
          <cell r="F11" t="str">
            <v>USD</v>
          </cell>
          <cell r="G11">
            <v>0.14000000000000001</v>
          </cell>
          <cell r="H11" t="str">
            <v xml:space="preserve"> -   </v>
          </cell>
          <cell r="I11">
            <v>12.19</v>
          </cell>
        </row>
        <row r="12">
          <cell r="D12">
            <v>246779411729</v>
          </cell>
          <cell r="E12">
            <v>45733</v>
          </cell>
          <cell r="F12" t="str">
            <v>USD</v>
          </cell>
          <cell r="G12">
            <v>0.69</v>
          </cell>
          <cell r="H12" t="str">
            <v xml:space="preserve"> -   </v>
          </cell>
          <cell r="I12">
            <v>60.06</v>
          </cell>
        </row>
        <row r="13">
          <cell r="D13">
            <v>246779411737</v>
          </cell>
          <cell r="E13">
            <v>45733</v>
          </cell>
          <cell r="F13" t="str">
            <v>USD</v>
          </cell>
          <cell r="G13">
            <v>0.56999999999999995</v>
          </cell>
          <cell r="H13" t="str">
            <v xml:space="preserve"> -   </v>
          </cell>
          <cell r="I13">
            <v>49.61</v>
          </cell>
        </row>
        <row r="14">
          <cell r="D14">
            <v>246779411595</v>
          </cell>
          <cell r="E14">
            <v>45733</v>
          </cell>
          <cell r="F14" t="str">
            <v>USD</v>
          </cell>
          <cell r="G14">
            <v>1.03</v>
          </cell>
          <cell r="H14" t="str">
            <v xml:space="preserve"> -   </v>
          </cell>
          <cell r="I14">
            <v>89.65</v>
          </cell>
        </row>
        <row r="15">
          <cell r="D15">
            <v>246779411727</v>
          </cell>
          <cell r="E15">
            <v>45733</v>
          </cell>
          <cell r="F15" t="str">
            <v>USD</v>
          </cell>
          <cell r="G15">
            <v>0.34</v>
          </cell>
          <cell r="H15" t="str">
            <v xml:space="preserve"> -   </v>
          </cell>
          <cell r="I15">
            <v>29.59</v>
          </cell>
        </row>
        <row r="16">
          <cell r="D16">
            <v>246779411736</v>
          </cell>
          <cell r="E16">
            <v>45733</v>
          </cell>
          <cell r="F16" t="str">
            <v>USD</v>
          </cell>
          <cell r="G16">
            <v>0.46</v>
          </cell>
          <cell r="H16" t="str">
            <v xml:space="preserve"> -   </v>
          </cell>
          <cell r="I16">
            <v>40.04</v>
          </cell>
        </row>
        <row r="17">
          <cell r="D17">
            <v>246779411732</v>
          </cell>
          <cell r="E17">
            <v>45733</v>
          </cell>
          <cell r="F17" t="str">
            <v>USD</v>
          </cell>
          <cell r="G17">
            <v>0.56999999999999995</v>
          </cell>
          <cell r="H17" t="str">
            <v xml:space="preserve"> -   </v>
          </cell>
          <cell r="I17">
            <v>49.61</v>
          </cell>
        </row>
        <row r="18">
          <cell r="D18">
            <v>246779414663</v>
          </cell>
          <cell r="E18">
            <v>45736</v>
          </cell>
          <cell r="F18" t="str">
            <v>USD</v>
          </cell>
          <cell r="G18">
            <v>0.9</v>
          </cell>
          <cell r="H18" t="str">
            <v xml:space="preserve"> -   </v>
          </cell>
          <cell r="I18">
            <v>78.34</v>
          </cell>
        </row>
        <row r="19">
          <cell r="D19">
            <v>246779411899</v>
          </cell>
          <cell r="E19">
            <v>45733</v>
          </cell>
          <cell r="F19" t="str">
            <v>USD</v>
          </cell>
          <cell r="G19">
            <v>1.25</v>
          </cell>
          <cell r="H19" t="str">
            <v xml:space="preserve"> -   </v>
          </cell>
          <cell r="I19">
            <v>108.8</v>
          </cell>
        </row>
        <row r="20">
          <cell r="D20">
            <v>246779411914</v>
          </cell>
          <cell r="E20">
            <v>45733</v>
          </cell>
          <cell r="F20" t="str">
            <v>USD</v>
          </cell>
          <cell r="G20">
            <v>5.2</v>
          </cell>
          <cell r="H20" t="str">
            <v xml:space="preserve"> -   </v>
          </cell>
          <cell r="I20">
            <v>452.62</v>
          </cell>
        </row>
        <row r="21">
          <cell r="D21">
            <v>246779411895</v>
          </cell>
          <cell r="E21">
            <v>45733</v>
          </cell>
          <cell r="F21" t="str">
            <v>USD</v>
          </cell>
          <cell r="G21">
            <v>0.09</v>
          </cell>
          <cell r="H21" t="str">
            <v xml:space="preserve"> -   </v>
          </cell>
          <cell r="I21">
            <v>7.83</v>
          </cell>
        </row>
        <row r="22">
          <cell r="D22">
            <v>246779411723</v>
          </cell>
          <cell r="E22">
            <v>45733</v>
          </cell>
          <cell r="F22" t="str">
            <v>USD</v>
          </cell>
          <cell r="G22">
            <v>0.91</v>
          </cell>
          <cell r="H22" t="str">
            <v xml:space="preserve"> -   </v>
          </cell>
          <cell r="I22">
            <v>79.209999999999994</v>
          </cell>
        </row>
        <row r="23">
          <cell r="D23">
            <v>246779410413</v>
          </cell>
          <cell r="E23">
            <v>45719</v>
          </cell>
          <cell r="F23" t="str">
            <v>USD</v>
          </cell>
          <cell r="G23">
            <v>13.88</v>
          </cell>
          <cell r="H23" t="str">
            <v xml:space="preserve"> -   </v>
          </cell>
          <cell r="I23">
            <v>1208.1500000000001</v>
          </cell>
        </row>
        <row r="24">
          <cell r="D24">
            <v>246779411897</v>
          </cell>
          <cell r="E24">
            <v>45733</v>
          </cell>
          <cell r="F24" t="str">
            <v>USD</v>
          </cell>
          <cell r="G24">
            <v>0.45</v>
          </cell>
          <cell r="H24" t="str">
            <v xml:space="preserve"> -   </v>
          </cell>
          <cell r="I24">
            <v>39.17</v>
          </cell>
        </row>
        <row r="25">
          <cell r="D25">
            <v>246779412038</v>
          </cell>
          <cell r="E25">
            <v>45733</v>
          </cell>
          <cell r="F25" t="str">
            <v>USD</v>
          </cell>
          <cell r="G25">
            <v>0.67</v>
          </cell>
          <cell r="H25" t="str">
            <v xml:space="preserve"> -   </v>
          </cell>
          <cell r="I25">
            <v>58.32</v>
          </cell>
        </row>
        <row r="26">
          <cell r="D26">
            <v>246779410132</v>
          </cell>
          <cell r="E26">
            <v>45708</v>
          </cell>
          <cell r="F26" t="str">
            <v>USD</v>
          </cell>
          <cell r="G26">
            <v>1.05</v>
          </cell>
          <cell r="H26" t="str">
            <v xml:space="preserve"> -   </v>
          </cell>
          <cell r="I26">
            <v>90.87</v>
          </cell>
        </row>
        <row r="27">
          <cell r="D27">
            <v>246779411909</v>
          </cell>
          <cell r="E27">
            <v>45733</v>
          </cell>
          <cell r="F27" t="str">
            <v>USD</v>
          </cell>
          <cell r="G27">
            <v>0.56999999999999995</v>
          </cell>
          <cell r="H27" t="str">
            <v xml:space="preserve"> -   </v>
          </cell>
          <cell r="I27">
            <v>49.61</v>
          </cell>
        </row>
        <row r="28">
          <cell r="D28">
            <v>246779412042</v>
          </cell>
          <cell r="E28">
            <v>45733</v>
          </cell>
          <cell r="F28" t="str">
            <v>USD</v>
          </cell>
          <cell r="G28">
            <v>0.34</v>
          </cell>
          <cell r="H28" t="str">
            <v xml:space="preserve"> -   </v>
          </cell>
          <cell r="I28">
            <v>29.59</v>
          </cell>
        </row>
        <row r="29">
          <cell r="D29">
            <v>246779411900</v>
          </cell>
          <cell r="E29">
            <v>45733</v>
          </cell>
          <cell r="F29" t="str">
            <v>USD</v>
          </cell>
          <cell r="G29">
            <v>1.48</v>
          </cell>
          <cell r="H29" t="str">
            <v xml:space="preserve"> -   </v>
          </cell>
          <cell r="I29">
            <v>128.82</v>
          </cell>
        </row>
        <row r="30">
          <cell r="D30">
            <v>246779412048</v>
          </cell>
          <cell r="E30">
            <v>45733</v>
          </cell>
          <cell r="F30" t="str">
            <v>USD</v>
          </cell>
          <cell r="G30">
            <v>0.46</v>
          </cell>
          <cell r="H30" t="str">
            <v xml:space="preserve"> -   </v>
          </cell>
          <cell r="I30">
            <v>40.04</v>
          </cell>
        </row>
        <row r="31">
          <cell r="D31">
            <v>246779412046</v>
          </cell>
          <cell r="E31">
            <v>45733</v>
          </cell>
          <cell r="F31" t="str">
            <v>USD</v>
          </cell>
          <cell r="G31">
            <v>0.34</v>
          </cell>
          <cell r="H31" t="str">
            <v xml:space="preserve"> -   </v>
          </cell>
          <cell r="I31">
            <v>29.59</v>
          </cell>
        </row>
        <row r="32">
          <cell r="D32">
            <v>246779411597</v>
          </cell>
          <cell r="E32">
            <v>45733</v>
          </cell>
          <cell r="F32" t="str">
            <v>USD</v>
          </cell>
          <cell r="G32">
            <v>1.1499999999999999</v>
          </cell>
          <cell r="H32" t="str">
            <v xml:space="preserve"> -   </v>
          </cell>
          <cell r="I32">
            <v>100.1</v>
          </cell>
        </row>
        <row r="33">
          <cell r="D33">
            <v>246779410098</v>
          </cell>
          <cell r="E33">
            <v>45708</v>
          </cell>
          <cell r="F33" t="str">
            <v>USD</v>
          </cell>
          <cell r="G33">
            <v>47.62</v>
          </cell>
          <cell r="H33" t="str">
            <v xml:space="preserve"> -   </v>
          </cell>
          <cell r="I33">
            <v>4121.01</v>
          </cell>
        </row>
        <row r="34">
          <cell r="D34">
            <v>246779411637</v>
          </cell>
          <cell r="E34">
            <v>45733</v>
          </cell>
          <cell r="F34" t="str">
            <v>USD</v>
          </cell>
          <cell r="G34">
            <v>8.59</v>
          </cell>
          <cell r="H34" t="str">
            <v xml:space="preserve"> -   </v>
          </cell>
          <cell r="I34">
            <v>747.69</v>
          </cell>
        </row>
        <row r="35">
          <cell r="D35">
            <v>246779411721</v>
          </cell>
          <cell r="E35">
            <v>45733</v>
          </cell>
          <cell r="F35" t="str">
            <v>USD</v>
          </cell>
          <cell r="G35">
            <v>10.51</v>
          </cell>
          <cell r="H35" t="str">
            <v xml:space="preserve"> -   </v>
          </cell>
          <cell r="I35">
            <v>914.82</v>
          </cell>
        </row>
        <row r="36">
          <cell r="D36">
            <v>246779411720</v>
          </cell>
          <cell r="E36">
            <v>45733</v>
          </cell>
          <cell r="F36" t="str">
            <v>USD</v>
          </cell>
          <cell r="G36">
            <v>0.34</v>
          </cell>
          <cell r="H36" t="str">
            <v xml:space="preserve"> -   </v>
          </cell>
          <cell r="I36">
            <v>29.59</v>
          </cell>
        </row>
        <row r="37">
          <cell r="D37">
            <v>246779412043</v>
          </cell>
          <cell r="E37">
            <v>45733</v>
          </cell>
          <cell r="F37" t="str">
            <v>USD</v>
          </cell>
          <cell r="G37">
            <v>0.34</v>
          </cell>
          <cell r="H37" t="str">
            <v xml:space="preserve"> -   </v>
          </cell>
          <cell r="I37">
            <v>29.59</v>
          </cell>
        </row>
        <row r="38">
          <cell r="D38">
            <v>246779411718</v>
          </cell>
          <cell r="E38">
            <v>45733</v>
          </cell>
          <cell r="F38" t="str">
            <v>USD</v>
          </cell>
          <cell r="G38">
            <v>0.46</v>
          </cell>
          <cell r="H38" t="str">
            <v xml:space="preserve"> -   </v>
          </cell>
          <cell r="I38">
            <v>40.04</v>
          </cell>
        </row>
        <row r="39">
          <cell r="D39">
            <v>246779411896</v>
          </cell>
          <cell r="E39">
            <v>45733</v>
          </cell>
          <cell r="F39" t="str">
            <v>USD</v>
          </cell>
          <cell r="G39">
            <v>0.8</v>
          </cell>
          <cell r="H39" t="str">
            <v xml:space="preserve"> -   </v>
          </cell>
          <cell r="I39">
            <v>69.63</v>
          </cell>
        </row>
        <row r="40">
          <cell r="D40">
            <v>246779411738</v>
          </cell>
          <cell r="E40">
            <v>45733</v>
          </cell>
          <cell r="F40" t="str">
            <v>USD</v>
          </cell>
          <cell r="G40">
            <v>0.56999999999999995</v>
          </cell>
          <cell r="H40" t="str">
            <v xml:space="preserve"> -   </v>
          </cell>
          <cell r="I40">
            <v>49.61</v>
          </cell>
        </row>
        <row r="41">
          <cell r="D41">
            <v>246779411598</v>
          </cell>
          <cell r="E41">
            <v>45733</v>
          </cell>
          <cell r="F41" t="str">
            <v>USD</v>
          </cell>
          <cell r="G41">
            <v>1.83</v>
          </cell>
          <cell r="H41" t="str">
            <v xml:space="preserve"> -   </v>
          </cell>
          <cell r="I41">
            <v>159.29</v>
          </cell>
        </row>
        <row r="42">
          <cell r="D42">
            <v>246779411903</v>
          </cell>
          <cell r="E42">
            <v>45733</v>
          </cell>
          <cell r="F42" t="str">
            <v>USD</v>
          </cell>
          <cell r="G42">
            <v>7.0000000000000007E-2</v>
          </cell>
          <cell r="H42" t="str">
            <v xml:space="preserve"> -   </v>
          </cell>
          <cell r="I42">
            <v>6.09</v>
          </cell>
        </row>
        <row r="43">
          <cell r="D43">
            <v>246779411593</v>
          </cell>
          <cell r="E43">
            <v>45733</v>
          </cell>
          <cell r="F43" t="str">
            <v>USD</v>
          </cell>
          <cell r="G43">
            <v>0.8</v>
          </cell>
          <cell r="H43" t="str">
            <v xml:space="preserve"> -   </v>
          </cell>
          <cell r="I43">
            <v>69.63</v>
          </cell>
        </row>
        <row r="44">
          <cell r="D44">
            <v>246779411915</v>
          </cell>
          <cell r="E44">
            <v>45733</v>
          </cell>
          <cell r="F44" t="str">
            <v>USD</v>
          </cell>
          <cell r="G44">
            <v>0.46</v>
          </cell>
          <cell r="H44" t="str">
            <v xml:space="preserve"> -   </v>
          </cell>
          <cell r="I44">
            <v>40.04</v>
          </cell>
        </row>
        <row r="45">
          <cell r="D45">
            <v>246779410131</v>
          </cell>
          <cell r="E45">
            <v>45708</v>
          </cell>
          <cell r="F45" t="str">
            <v>USD</v>
          </cell>
          <cell r="G45">
            <v>1.9</v>
          </cell>
          <cell r="H45" t="str">
            <v xml:space="preserve"> -   </v>
          </cell>
          <cell r="I45">
            <v>164.43</v>
          </cell>
        </row>
        <row r="46">
          <cell r="D46">
            <v>246779411739</v>
          </cell>
          <cell r="E46">
            <v>45733</v>
          </cell>
          <cell r="F46" t="str">
            <v>USD</v>
          </cell>
          <cell r="G46">
            <v>0.69</v>
          </cell>
          <cell r="H46" t="str">
            <v xml:space="preserve"> -   </v>
          </cell>
          <cell r="I46">
            <v>60.06</v>
          </cell>
        </row>
        <row r="47">
          <cell r="D47">
            <v>246779412040</v>
          </cell>
          <cell r="E47">
            <v>45733</v>
          </cell>
          <cell r="F47" t="str">
            <v>USD</v>
          </cell>
          <cell r="G47">
            <v>0.34</v>
          </cell>
          <cell r="H47" t="str">
            <v xml:space="preserve"> -   </v>
          </cell>
          <cell r="I47">
            <v>29.59</v>
          </cell>
        </row>
        <row r="48">
          <cell r="D48">
            <v>246779412045</v>
          </cell>
          <cell r="E48">
            <v>45733</v>
          </cell>
          <cell r="F48" t="str">
            <v>USD</v>
          </cell>
          <cell r="G48">
            <v>4.5999999999999996</v>
          </cell>
          <cell r="H48" t="str">
            <v xml:space="preserve"> -   </v>
          </cell>
          <cell r="I48">
            <v>400.4</v>
          </cell>
        </row>
        <row r="49">
          <cell r="D49">
            <v>246779411596</v>
          </cell>
          <cell r="E49">
            <v>45733</v>
          </cell>
          <cell r="F49" t="str">
            <v>USD</v>
          </cell>
          <cell r="G49">
            <v>1.49</v>
          </cell>
          <cell r="H49" t="str">
            <v xml:space="preserve"> -   </v>
          </cell>
          <cell r="I49">
            <v>129.69</v>
          </cell>
        </row>
        <row r="50">
          <cell r="D50">
            <v>246779411733</v>
          </cell>
          <cell r="E50">
            <v>45733</v>
          </cell>
          <cell r="F50" t="str">
            <v>USD</v>
          </cell>
          <cell r="G50">
            <v>0.34</v>
          </cell>
          <cell r="H50" t="str">
            <v xml:space="preserve"> -   </v>
          </cell>
          <cell r="I50">
            <v>29.59</v>
          </cell>
        </row>
        <row r="51">
          <cell r="D51">
            <v>246779411594</v>
          </cell>
          <cell r="E51">
            <v>45733</v>
          </cell>
          <cell r="F51" t="str">
            <v>USD</v>
          </cell>
          <cell r="G51">
            <v>0.34</v>
          </cell>
          <cell r="H51" t="str">
            <v xml:space="preserve"> -   </v>
          </cell>
          <cell r="I51">
            <v>29.59</v>
          </cell>
        </row>
        <row r="52">
          <cell r="D52">
            <v>246779411734</v>
          </cell>
          <cell r="E52">
            <v>45733</v>
          </cell>
          <cell r="F52" t="str">
            <v>USD</v>
          </cell>
          <cell r="G52">
            <v>0.46</v>
          </cell>
          <cell r="H52" t="str">
            <v xml:space="preserve"> -   </v>
          </cell>
          <cell r="I52">
            <v>40.04</v>
          </cell>
        </row>
        <row r="53">
          <cell r="D53">
            <v>246779410315</v>
          </cell>
          <cell r="E53">
            <v>45708</v>
          </cell>
          <cell r="F53" t="str">
            <v>USD</v>
          </cell>
          <cell r="G53">
            <v>47.62</v>
          </cell>
          <cell r="H53" t="str">
            <v xml:space="preserve"> -   </v>
          </cell>
          <cell r="I53">
            <v>4144.96</v>
          </cell>
        </row>
        <row r="54">
          <cell r="D54">
            <v>246779411741</v>
          </cell>
          <cell r="E54">
            <v>45733</v>
          </cell>
          <cell r="F54" t="str">
            <v>USD</v>
          </cell>
          <cell r="G54">
            <v>4.8</v>
          </cell>
          <cell r="H54" t="str">
            <v xml:space="preserve"> -   </v>
          </cell>
          <cell r="I54">
            <v>417.8</v>
          </cell>
        </row>
        <row r="55">
          <cell r="D55">
            <v>246779411902</v>
          </cell>
          <cell r="E55">
            <v>45733</v>
          </cell>
          <cell r="F55" t="str">
            <v>USD</v>
          </cell>
          <cell r="G55">
            <v>0.04</v>
          </cell>
          <cell r="H55" t="str">
            <v xml:space="preserve"> -   </v>
          </cell>
          <cell r="I55">
            <v>3.48</v>
          </cell>
        </row>
        <row r="56">
          <cell r="D56">
            <v>246779411910</v>
          </cell>
          <cell r="E56">
            <v>45733</v>
          </cell>
          <cell r="F56" t="str">
            <v>USD</v>
          </cell>
          <cell r="G56">
            <v>0.56999999999999995</v>
          </cell>
          <cell r="H56" t="str">
            <v xml:space="preserve"> -   </v>
          </cell>
          <cell r="I56">
            <v>49.61</v>
          </cell>
        </row>
        <row r="57">
          <cell r="D57">
            <v>246779411600</v>
          </cell>
          <cell r="E57">
            <v>45733</v>
          </cell>
          <cell r="F57" t="str">
            <v>USD</v>
          </cell>
          <cell r="G57">
            <v>0.05</v>
          </cell>
          <cell r="H57" t="str">
            <v xml:space="preserve"> -   </v>
          </cell>
          <cell r="I57">
            <v>4.3499999999999996</v>
          </cell>
        </row>
        <row r="58">
          <cell r="D58">
            <v>246779411907</v>
          </cell>
          <cell r="E58">
            <v>45733</v>
          </cell>
          <cell r="F58" t="str">
            <v>USD</v>
          </cell>
          <cell r="G58">
            <v>0.34</v>
          </cell>
          <cell r="H58" t="str">
            <v xml:space="preserve"> -   </v>
          </cell>
          <cell r="I58">
            <v>29.59</v>
          </cell>
        </row>
        <row r="59">
          <cell r="D59">
            <v>246779410436</v>
          </cell>
          <cell r="E59">
            <v>45719</v>
          </cell>
          <cell r="F59" t="str">
            <v>USD</v>
          </cell>
          <cell r="G59">
            <v>26.65</v>
          </cell>
          <cell r="H59" t="str">
            <v xml:space="preserve"> -   </v>
          </cell>
          <cell r="I59">
            <v>2319.6799999999998</v>
          </cell>
        </row>
        <row r="60">
          <cell r="D60">
            <v>246779412044</v>
          </cell>
          <cell r="E60">
            <v>45733</v>
          </cell>
          <cell r="F60" t="str">
            <v>USD</v>
          </cell>
          <cell r="G60">
            <v>0.61</v>
          </cell>
          <cell r="H60" t="str">
            <v xml:space="preserve"> -   </v>
          </cell>
          <cell r="I60">
            <v>53.1</v>
          </cell>
        </row>
        <row r="61">
          <cell r="D61">
            <v>246779411724</v>
          </cell>
          <cell r="E61">
            <v>45733</v>
          </cell>
          <cell r="F61" t="str">
            <v>USD</v>
          </cell>
          <cell r="G61">
            <v>1.37</v>
          </cell>
          <cell r="H61" t="str">
            <v xml:space="preserve"> -   </v>
          </cell>
          <cell r="I61">
            <v>119.25</v>
          </cell>
        </row>
        <row r="62">
          <cell r="D62">
            <v>246779411726</v>
          </cell>
          <cell r="E62">
            <v>45733</v>
          </cell>
          <cell r="F62" t="str">
            <v>USD</v>
          </cell>
          <cell r="G62">
            <v>0.56999999999999995</v>
          </cell>
          <cell r="H62" t="str">
            <v xml:space="preserve"> -   </v>
          </cell>
          <cell r="I62">
            <v>49.61</v>
          </cell>
        </row>
        <row r="63">
          <cell r="D63">
            <v>246779411599</v>
          </cell>
          <cell r="E63">
            <v>45733</v>
          </cell>
          <cell r="F63" t="str">
            <v>USD</v>
          </cell>
          <cell r="G63">
            <v>0.76</v>
          </cell>
          <cell r="H63" t="str">
            <v xml:space="preserve"> -   </v>
          </cell>
          <cell r="I63">
            <v>66.150000000000006</v>
          </cell>
        </row>
        <row r="64">
          <cell r="D64">
            <v>246779411735</v>
          </cell>
          <cell r="E64">
            <v>45733</v>
          </cell>
          <cell r="F64" t="str">
            <v>USD</v>
          </cell>
          <cell r="G64">
            <v>9.59</v>
          </cell>
          <cell r="H64" t="str">
            <v xml:space="preserve"> -   </v>
          </cell>
          <cell r="I64">
            <v>834.74</v>
          </cell>
        </row>
        <row r="65">
          <cell r="D65">
            <v>246779411312</v>
          </cell>
          <cell r="E65">
            <v>45729</v>
          </cell>
          <cell r="F65" t="str">
            <v>USD</v>
          </cell>
          <cell r="G65">
            <v>0.54</v>
          </cell>
          <cell r="H65" t="str">
            <v xml:space="preserve"> -   </v>
          </cell>
          <cell r="I65">
            <v>47</v>
          </cell>
        </row>
        <row r="66">
          <cell r="D66">
            <v>246779411725</v>
          </cell>
          <cell r="E66">
            <v>45733</v>
          </cell>
          <cell r="F66" t="str">
            <v>USD</v>
          </cell>
          <cell r="G66">
            <v>0.46</v>
          </cell>
          <cell r="H66" t="str">
            <v xml:space="preserve"> -   </v>
          </cell>
          <cell r="I66">
            <v>40.04</v>
          </cell>
        </row>
        <row r="67">
          <cell r="D67">
            <v>246779411911</v>
          </cell>
          <cell r="E67">
            <v>45733</v>
          </cell>
          <cell r="F67" t="str">
            <v>USD</v>
          </cell>
          <cell r="G67">
            <v>0.6</v>
          </cell>
          <cell r="H67" t="str">
            <v xml:space="preserve"> -   </v>
          </cell>
          <cell r="I67">
            <v>52.23</v>
          </cell>
        </row>
        <row r="68">
          <cell r="D68">
            <v>246779411901</v>
          </cell>
          <cell r="E68">
            <v>45733</v>
          </cell>
          <cell r="F68" t="str">
            <v>USD</v>
          </cell>
          <cell r="G68">
            <v>0.26</v>
          </cell>
          <cell r="H68" t="str">
            <v xml:space="preserve"> -   </v>
          </cell>
          <cell r="I68">
            <v>22.63</v>
          </cell>
        </row>
        <row r="69">
          <cell r="D69">
            <v>246779410312</v>
          </cell>
          <cell r="E69">
            <v>45708</v>
          </cell>
          <cell r="F69" t="str">
            <v>USD</v>
          </cell>
          <cell r="G69">
            <v>1.05</v>
          </cell>
          <cell r="H69" t="str">
            <v xml:space="preserve"> -   </v>
          </cell>
          <cell r="I69">
            <v>91.39</v>
          </cell>
        </row>
        <row r="70">
          <cell r="D70">
            <v>246779411905</v>
          </cell>
          <cell r="E70">
            <v>45733</v>
          </cell>
          <cell r="F70" t="str">
            <v>USD</v>
          </cell>
          <cell r="G70">
            <v>0.14000000000000001</v>
          </cell>
          <cell r="H70" t="str">
            <v xml:space="preserve"> -   </v>
          </cell>
          <cell r="I70">
            <v>12.19</v>
          </cell>
        </row>
        <row r="71">
          <cell r="D71">
            <v>246779411731</v>
          </cell>
          <cell r="E71">
            <v>45733</v>
          </cell>
          <cell r="F71" t="str">
            <v>USD</v>
          </cell>
          <cell r="G71">
            <v>0.46</v>
          </cell>
          <cell r="H71" t="str">
            <v xml:space="preserve"> -   </v>
          </cell>
          <cell r="I71">
            <v>40.04</v>
          </cell>
        </row>
        <row r="72">
          <cell r="D72">
            <v>246779411719</v>
          </cell>
          <cell r="E72">
            <v>45733</v>
          </cell>
          <cell r="F72" t="str">
            <v>USD</v>
          </cell>
          <cell r="G72">
            <v>0.56999999999999995</v>
          </cell>
          <cell r="H72" t="str">
            <v xml:space="preserve"> -   </v>
          </cell>
          <cell r="I72">
            <v>49.61</v>
          </cell>
        </row>
        <row r="73">
          <cell r="D73">
            <v>246779414662</v>
          </cell>
          <cell r="E73">
            <v>45736</v>
          </cell>
          <cell r="F73" t="str">
            <v>USD</v>
          </cell>
          <cell r="G73">
            <v>5.5</v>
          </cell>
          <cell r="H73" t="str">
            <v xml:space="preserve"> -   </v>
          </cell>
          <cell r="I73">
            <v>478.73</v>
          </cell>
        </row>
        <row r="74">
          <cell r="D74">
            <v>246779411906</v>
          </cell>
          <cell r="E74">
            <v>45733</v>
          </cell>
          <cell r="F74" t="str">
            <v>USD</v>
          </cell>
          <cell r="G74">
            <v>0.68</v>
          </cell>
          <cell r="H74" t="str">
            <v xml:space="preserve"> -   </v>
          </cell>
          <cell r="I74">
            <v>59.19</v>
          </cell>
        </row>
        <row r="75">
          <cell r="D75">
            <v>246779414385</v>
          </cell>
          <cell r="E75">
            <v>45736</v>
          </cell>
          <cell r="F75" t="str">
            <v>USD</v>
          </cell>
          <cell r="G75">
            <v>4.8</v>
          </cell>
          <cell r="H75" t="str">
            <v xml:space="preserve"> -   </v>
          </cell>
          <cell r="I75">
            <v>417.8</v>
          </cell>
        </row>
        <row r="76">
          <cell r="D76">
            <v>246779411728</v>
          </cell>
          <cell r="E76">
            <v>45733</v>
          </cell>
          <cell r="F76" t="str">
            <v>USD</v>
          </cell>
          <cell r="G76">
            <v>0.23</v>
          </cell>
          <cell r="H76" t="str">
            <v xml:space="preserve"> -   </v>
          </cell>
          <cell r="I76">
            <v>20.02</v>
          </cell>
        </row>
        <row r="77">
          <cell r="D77">
            <v>246779411904</v>
          </cell>
          <cell r="E77">
            <v>45733</v>
          </cell>
          <cell r="F77" t="str">
            <v>USD</v>
          </cell>
          <cell r="G77">
            <v>1.18</v>
          </cell>
          <cell r="H77" t="str">
            <v xml:space="preserve"> -   </v>
          </cell>
          <cell r="I77">
            <v>102.71</v>
          </cell>
        </row>
        <row r="78">
          <cell r="D78">
            <v>246779411912</v>
          </cell>
          <cell r="E78">
            <v>45733</v>
          </cell>
          <cell r="F78" t="str">
            <v>USD</v>
          </cell>
          <cell r="G78">
            <v>0.23</v>
          </cell>
          <cell r="H78" t="str">
            <v xml:space="preserve"> -   </v>
          </cell>
          <cell r="I78">
            <v>20.02</v>
          </cell>
        </row>
        <row r="79">
          <cell r="D79">
            <v>256779410818</v>
          </cell>
          <cell r="E79">
            <v>45751</v>
          </cell>
          <cell r="F79" t="str">
            <v>INR</v>
          </cell>
          <cell r="G79" t="str">
            <v xml:space="preserve"> -   </v>
          </cell>
          <cell r="H79" t="str">
            <v xml:space="preserve"> -   </v>
          </cell>
          <cell r="I79">
            <v>25</v>
          </cell>
        </row>
        <row r="80">
          <cell r="D80">
            <v>246779412032</v>
          </cell>
          <cell r="E80">
            <v>45733</v>
          </cell>
          <cell r="F80" t="str">
            <v>USD</v>
          </cell>
          <cell r="G80">
            <v>0.67</v>
          </cell>
          <cell r="H80" t="str">
            <v xml:space="preserve"> -   </v>
          </cell>
          <cell r="I80">
            <v>58.32</v>
          </cell>
        </row>
        <row r="81">
          <cell r="D81">
            <v>246779411414</v>
          </cell>
          <cell r="E81">
            <v>45730</v>
          </cell>
          <cell r="F81" t="str">
            <v>USD</v>
          </cell>
          <cell r="G81">
            <v>0.56999999999999995</v>
          </cell>
          <cell r="H81" t="str">
            <v xml:space="preserve"> -   </v>
          </cell>
          <cell r="I81">
            <v>49.61</v>
          </cell>
        </row>
        <row r="82">
          <cell r="D82">
            <v>246779410218</v>
          </cell>
          <cell r="E82">
            <v>45708</v>
          </cell>
          <cell r="F82" t="str">
            <v>USD</v>
          </cell>
          <cell r="G82">
            <v>1.03</v>
          </cell>
          <cell r="H82" t="str">
            <v xml:space="preserve"> -   </v>
          </cell>
          <cell r="I82">
            <v>89.14</v>
          </cell>
        </row>
        <row r="83">
          <cell r="D83">
            <v>246779410175</v>
          </cell>
          <cell r="E83">
            <v>45708</v>
          </cell>
          <cell r="F83" t="str">
            <v>USD</v>
          </cell>
          <cell r="G83">
            <v>1.05</v>
          </cell>
          <cell r="H83" t="str">
            <v xml:space="preserve"> -   </v>
          </cell>
          <cell r="I83">
            <v>90.87</v>
          </cell>
        </row>
        <row r="84">
          <cell r="D84">
            <v>246779411408</v>
          </cell>
          <cell r="E84">
            <v>45730</v>
          </cell>
          <cell r="F84" t="str">
            <v>USD</v>
          </cell>
          <cell r="G84">
            <v>0.8</v>
          </cell>
          <cell r="H84" t="str">
            <v xml:space="preserve"> -   </v>
          </cell>
          <cell r="I84">
            <v>69.63</v>
          </cell>
        </row>
        <row r="85">
          <cell r="D85">
            <v>246779410904</v>
          </cell>
          <cell r="E85">
            <v>45722</v>
          </cell>
          <cell r="F85" t="str">
            <v>USD</v>
          </cell>
          <cell r="G85">
            <v>33.32</v>
          </cell>
          <cell r="H85" t="str">
            <v xml:space="preserve"> -   </v>
          </cell>
          <cell r="I85">
            <v>2900.25</v>
          </cell>
        </row>
        <row r="86">
          <cell r="D86">
            <v>246779411413</v>
          </cell>
          <cell r="E86">
            <v>45730</v>
          </cell>
          <cell r="F86" t="str">
            <v>USD</v>
          </cell>
          <cell r="G86">
            <v>0.8</v>
          </cell>
          <cell r="H86" t="str">
            <v xml:space="preserve"> -   </v>
          </cell>
          <cell r="I86">
            <v>69.63</v>
          </cell>
        </row>
        <row r="87">
          <cell r="D87">
            <v>246779411410</v>
          </cell>
          <cell r="E87">
            <v>45730</v>
          </cell>
          <cell r="F87" t="str">
            <v>USD</v>
          </cell>
          <cell r="G87">
            <v>0.8</v>
          </cell>
          <cell r="H87" t="str">
            <v xml:space="preserve"> -   </v>
          </cell>
          <cell r="I87">
            <v>69.63</v>
          </cell>
        </row>
        <row r="88">
          <cell r="D88">
            <v>246779410826</v>
          </cell>
          <cell r="E88">
            <v>45720</v>
          </cell>
          <cell r="F88" t="str">
            <v>USD</v>
          </cell>
          <cell r="G88">
            <v>0.06</v>
          </cell>
          <cell r="H88" t="str">
            <v xml:space="preserve"> -   </v>
          </cell>
          <cell r="I88">
            <v>5.22</v>
          </cell>
        </row>
        <row r="89">
          <cell r="D89">
            <v>246779412037</v>
          </cell>
          <cell r="E89">
            <v>45733</v>
          </cell>
          <cell r="F89" t="str">
            <v>USD</v>
          </cell>
          <cell r="G89">
            <v>0.9</v>
          </cell>
          <cell r="H89" t="str">
            <v xml:space="preserve"> -   </v>
          </cell>
          <cell r="I89">
            <v>78.34</v>
          </cell>
        </row>
        <row r="90">
          <cell r="D90">
            <v>246779412030</v>
          </cell>
          <cell r="E90">
            <v>45733</v>
          </cell>
          <cell r="F90" t="str">
            <v>USD</v>
          </cell>
          <cell r="G90">
            <v>0.34</v>
          </cell>
          <cell r="H90" t="str">
            <v xml:space="preserve"> -   </v>
          </cell>
          <cell r="I90">
            <v>29.59</v>
          </cell>
        </row>
        <row r="91">
          <cell r="D91">
            <v>256779411468</v>
          </cell>
          <cell r="E91">
            <v>45762</v>
          </cell>
          <cell r="F91" t="str">
            <v>USD</v>
          </cell>
          <cell r="G91">
            <v>0.53</v>
          </cell>
          <cell r="H91" t="str">
            <v xml:space="preserve"> -   </v>
          </cell>
          <cell r="I91">
            <v>45.44</v>
          </cell>
        </row>
        <row r="92">
          <cell r="D92">
            <v>246779411416</v>
          </cell>
          <cell r="E92">
            <v>45730</v>
          </cell>
          <cell r="F92" t="str">
            <v>USD</v>
          </cell>
          <cell r="G92">
            <v>2.29</v>
          </cell>
          <cell r="H92" t="str">
            <v xml:space="preserve"> -   </v>
          </cell>
          <cell r="I92">
            <v>199.33</v>
          </cell>
        </row>
        <row r="93">
          <cell r="D93">
            <v>246779411409</v>
          </cell>
          <cell r="E93">
            <v>45730</v>
          </cell>
          <cell r="F93" t="str">
            <v>USD</v>
          </cell>
          <cell r="G93">
            <v>4.99</v>
          </cell>
          <cell r="H93" t="str">
            <v xml:space="preserve"> -   </v>
          </cell>
          <cell r="I93">
            <v>434.34</v>
          </cell>
        </row>
        <row r="94">
          <cell r="D94">
            <v>246779411411</v>
          </cell>
          <cell r="E94">
            <v>45730</v>
          </cell>
          <cell r="F94" t="str">
            <v>USD</v>
          </cell>
          <cell r="G94">
            <v>0.92</v>
          </cell>
          <cell r="H94" t="str">
            <v xml:space="preserve"> -   </v>
          </cell>
          <cell r="I94">
            <v>80.08</v>
          </cell>
        </row>
        <row r="95">
          <cell r="D95">
            <v>256779410262</v>
          </cell>
          <cell r="E95">
            <v>45750</v>
          </cell>
          <cell r="F95" t="str">
            <v>INR</v>
          </cell>
          <cell r="G95" t="str">
            <v xml:space="preserve"> -   </v>
          </cell>
          <cell r="H95" t="str">
            <v xml:space="preserve"> -   </v>
          </cell>
          <cell r="I95">
            <v>2</v>
          </cell>
        </row>
        <row r="96">
          <cell r="D96">
            <v>246779413202</v>
          </cell>
          <cell r="E96">
            <v>45735</v>
          </cell>
          <cell r="F96" t="str">
            <v>USD</v>
          </cell>
          <cell r="G96">
            <v>0.78</v>
          </cell>
          <cell r="H96" t="str">
            <v xml:space="preserve"> -   </v>
          </cell>
          <cell r="I96">
            <v>67.5</v>
          </cell>
        </row>
        <row r="97">
          <cell r="D97">
            <v>246779411418</v>
          </cell>
          <cell r="E97">
            <v>45730</v>
          </cell>
          <cell r="F97" t="str">
            <v>USD</v>
          </cell>
          <cell r="G97">
            <v>6.25</v>
          </cell>
          <cell r="H97" t="str">
            <v xml:space="preserve"> -   </v>
          </cell>
          <cell r="I97">
            <v>544.02</v>
          </cell>
        </row>
        <row r="98">
          <cell r="D98">
            <v>256779412012</v>
          </cell>
          <cell r="E98">
            <v>45763</v>
          </cell>
          <cell r="F98" t="str">
            <v>INR</v>
          </cell>
          <cell r="G98" t="str">
            <v xml:space="preserve"> -   </v>
          </cell>
          <cell r="H98" t="str">
            <v xml:space="preserve"> -   </v>
          </cell>
          <cell r="I98">
            <v>22</v>
          </cell>
        </row>
        <row r="99">
          <cell r="D99">
            <v>246779412034</v>
          </cell>
          <cell r="E99">
            <v>45733</v>
          </cell>
          <cell r="F99" t="str">
            <v>USD</v>
          </cell>
          <cell r="G99">
            <v>0.67</v>
          </cell>
          <cell r="H99" t="str">
            <v xml:space="preserve"> -   </v>
          </cell>
          <cell r="I99">
            <v>58.32</v>
          </cell>
        </row>
        <row r="100">
          <cell r="D100">
            <v>246779412039</v>
          </cell>
          <cell r="E100">
            <v>45733</v>
          </cell>
          <cell r="F100" t="str">
            <v>USD</v>
          </cell>
          <cell r="G100">
            <v>1.1200000000000001</v>
          </cell>
          <cell r="H100" t="str">
            <v xml:space="preserve"> -   </v>
          </cell>
          <cell r="I100">
            <v>97.49</v>
          </cell>
        </row>
        <row r="101">
          <cell r="D101">
            <v>246779413730</v>
          </cell>
          <cell r="E101">
            <v>45736</v>
          </cell>
          <cell r="F101" t="str">
            <v>USD</v>
          </cell>
          <cell r="G101">
            <v>0.06</v>
          </cell>
          <cell r="H101" t="str">
            <v xml:space="preserve"> -   </v>
          </cell>
          <cell r="I101">
            <v>5.22</v>
          </cell>
        </row>
        <row r="102">
          <cell r="D102">
            <v>246779411415</v>
          </cell>
          <cell r="E102">
            <v>45730</v>
          </cell>
          <cell r="F102" t="str">
            <v>USD</v>
          </cell>
          <cell r="G102">
            <v>0.46</v>
          </cell>
          <cell r="H102" t="str">
            <v xml:space="preserve"> -   </v>
          </cell>
          <cell r="I102">
            <v>40.04</v>
          </cell>
        </row>
        <row r="103">
          <cell r="D103">
            <v>246779410141</v>
          </cell>
          <cell r="E103">
            <v>45708</v>
          </cell>
          <cell r="F103" t="str">
            <v>USD</v>
          </cell>
          <cell r="G103">
            <v>47.62</v>
          </cell>
          <cell r="H103" t="str">
            <v xml:space="preserve"> -   </v>
          </cell>
          <cell r="I103">
            <v>4121.01</v>
          </cell>
        </row>
        <row r="104">
          <cell r="D104">
            <v>246779410184</v>
          </cell>
          <cell r="E104">
            <v>45708</v>
          </cell>
          <cell r="F104" t="str">
            <v>USD</v>
          </cell>
          <cell r="G104">
            <v>46.66</v>
          </cell>
          <cell r="H104" t="str">
            <v xml:space="preserve"> -   </v>
          </cell>
          <cell r="I104">
            <v>4037.94</v>
          </cell>
        </row>
        <row r="105">
          <cell r="D105">
            <v>246779411419</v>
          </cell>
          <cell r="E105">
            <v>45730</v>
          </cell>
          <cell r="F105" t="str">
            <v>USD</v>
          </cell>
          <cell r="G105">
            <v>0.47</v>
          </cell>
          <cell r="H105" t="str">
            <v xml:space="preserve"> -   </v>
          </cell>
          <cell r="I105">
            <v>40.909999999999997</v>
          </cell>
        </row>
        <row r="106">
          <cell r="D106">
            <v>246779410389</v>
          </cell>
          <cell r="E106">
            <v>45719</v>
          </cell>
          <cell r="F106" t="str">
            <v>USD</v>
          </cell>
          <cell r="G106">
            <v>10.84</v>
          </cell>
          <cell r="H106" t="str">
            <v xml:space="preserve"> -   </v>
          </cell>
          <cell r="I106">
            <v>943.54</v>
          </cell>
        </row>
        <row r="107">
          <cell r="D107">
            <v>246779411417</v>
          </cell>
          <cell r="E107">
            <v>45730</v>
          </cell>
          <cell r="F107" t="str">
            <v>USD</v>
          </cell>
          <cell r="G107">
            <v>1.37</v>
          </cell>
          <cell r="H107" t="str">
            <v xml:space="preserve"> -   </v>
          </cell>
          <cell r="I107">
            <v>119.25</v>
          </cell>
        </row>
        <row r="108">
          <cell r="D108">
            <v>246779411407</v>
          </cell>
          <cell r="E108">
            <v>45730</v>
          </cell>
          <cell r="F108" t="str">
            <v>USD</v>
          </cell>
          <cell r="G108">
            <v>1.1399999999999999</v>
          </cell>
          <cell r="H108" t="str">
            <v xml:space="preserve"> -   </v>
          </cell>
          <cell r="I108">
            <v>99.23</v>
          </cell>
        </row>
        <row r="109">
          <cell r="D109">
            <v>246779412036</v>
          </cell>
          <cell r="E109">
            <v>45733</v>
          </cell>
          <cell r="F109" t="str">
            <v>USD</v>
          </cell>
          <cell r="G109">
            <v>0.56000000000000005</v>
          </cell>
          <cell r="H109" t="str">
            <v xml:space="preserve"> -   </v>
          </cell>
          <cell r="I109">
            <v>48.74</v>
          </cell>
        </row>
        <row r="110">
          <cell r="D110">
            <v>246779411412</v>
          </cell>
          <cell r="E110">
            <v>45730</v>
          </cell>
          <cell r="F110" t="str">
            <v>USD</v>
          </cell>
          <cell r="G110">
            <v>0.4</v>
          </cell>
          <cell r="H110" t="str">
            <v xml:space="preserve"> -   </v>
          </cell>
          <cell r="I110">
            <v>34.82</v>
          </cell>
        </row>
        <row r="111">
          <cell r="D111">
            <v>246779412028</v>
          </cell>
          <cell r="E111">
            <v>45733</v>
          </cell>
          <cell r="F111" t="str">
            <v>USD</v>
          </cell>
          <cell r="G111">
            <v>0.56000000000000005</v>
          </cell>
          <cell r="H111" t="str">
            <v xml:space="preserve"> -   </v>
          </cell>
          <cell r="I111">
            <v>48.74</v>
          </cell>
        </row>
        <row r="112">
          <cell r="D112">
            <v>256779410263</v>
          </cell>
          <cell r="E112">
            <v>45750</v>
          </cell>
          <cell r="F112" t="str">
            <v>INR</v>
          </cell>
          <cell r="G112" t="str">
            <v xml:space="preserve"> -   </v>
          </cell>
          <cell r="H112" t="str">
            <v xml:space="preserve"> -   </v>
          </cell>
          <cell r="I112">
            <v>2</v>
          </cell>
        </row>
        <row r="113">
          <cell r="D113">
            <v>246779410217</v>
          </cell>
          <cell r="E113">
            <v>45708</v>
          </cell>
          <cell r="F113" t="str">
            <v>USD</v>
          </cell>
          <cell r="G113">
            <v>1.87</v>
          </cell>
          <cell r="H113" t="str">
            <v xml:space="preserve"> -   </v>
          </cell>
          <cell r="I113">
            <v>161.83000000000001</v>
          </cell>
        </row>
        <row r="114">
          <cell r="D114">
            <v>246779410174</v>
          </cell>
          <cell r="E114">
            <v>45708</v>
          </cell>
          <cell r="F114" t="str">
            <v>USD</v>
          </cell>
          <cell r="G114">
            <v>1.9</v>
          </cell>
          <cell r="H114" t="str">
            <v xml:space="preserve"> -   </v>
          </cell>
          <cell r="I114">
            <v>164.43</v>
          </cell>
        </row>
        <row r="115">
          <cell r="D115">
            <v>246779412031</v>
          </cell>
          <cell r="E115">
            <v>45733</v>
          </cell>
          <cell r="F115" t="str">
            <v>USD</v>
          </cell>
          <cell r="G115">
            <v>0.56000000000000005</v>
          </cell>
          <cell r="H115" t="str">
            <v xml:space="preserve"> -   </v>
          </cell>
          <cell r="I115">
            <v>48.74</v>
          </cell>
        </row>
        <row r="116">
          <cell r="D116">
            <v>246779412029</v>
          </cell>
          <cell r="E116">
            <v>45733</v>
          </cell>
          <cell r="F116" t="str">
            <v>USD</v>
          </cell>
          <cell r="G116">
            <v>0.45</v>
          </cell>
          <cell r="H116" t="str">
            <v xml:space="preserve"> -   </v>
          </cell>
          <cell r="I116">
            <v>39.17</v>
          </cell>
        </row>
        <row r="117">
          <cell r="D117">
            <v>246779412035</v>
          </cell>
          <cell r="E117">
            <v>45733</v>
          </cell>
          <cell r="F117" t="str">
            <v>USD</v>
          </cell>
          <cell r="G117">
            <v>1.46</v>
          </cell>
          <cell r="H117" t="str">
            <v xml:space="preserve"> -   </v>
          </cell>
          <cell r="I117">
            <v>127.08</v>
          </cell>
        </row>
        <row r="118">
          <cell r="D118">
            <v>246779410227</v>
          </cell>
          <cell r="E118">
            <v>45708</v>
          </cell>
          <cell r="F118" t="str">
            <v>USD</v>
          </cell>
          <cell r="G118">
            <v>45.72</v>
          </cell>
          <cell r="H118" t="str">
            <v xml:space="preserve"> -   </v>
          </cell>
          <cell r="I118">
            <v>3956.59</v>
          </cell>
        </row>
        <row r="119">
          <cell r="D119">
            <v>256779412053</v>
          </cell>
          <cell r="E119">
            <v>45763</v>
          </cell>
          <cell r="F119" t="str">
            <v>USD</v>
          </cell>
          <cell r="G119">
            <v>19.72</v>
          </cell>
          <cell r="H119" t="str">
            <v xml:space="preserve"> -   </v>
          </cell>
          <cell r="I119">
            <v>1690.54</v>
          </cell>
        </row>
        <row r="120">
          <cell r="D120">
            <v>246779410064</v>
          </cell>
          <cell r="E120">
            <v>45708</v>
          </cell>
          <cell r="F120" t="str">
            <v>USD</v>
          </cell>
          <cell r="G120">
            <v>1.05</v>
          </cell>
          <cell r="H120" t="str">
            <v xml:space="preserve"> -   </v>
          </cell>
          <cell r="I120">
            <v>90.87</v>
          </cell>
        </row>
        <row r="121">
          <cell r="D121">
            <v>246779410030</v>
          </cell>
          <cell r="E121">
            <v>45708</v>
          </cell>
          <cell r="F121" t="str">
            <v>USD</v>
          </cell>
          <cell r="G121">
            <v>47.62</v>
          </cell>
          <cell r="H121" t="str">
            <v xml:space="preserve"> -   </v>
          </cell>
          <cell r="I121">
            <v>4121.01</v>
          </cell>
        </row>
        <row r="122">
          <cell r="D122">
            <v>256779411969</v>
          </cell>
          <cell r="E122">
            <v>45763</v>
          </cell>
          <cell r="F122" t="str">
            <v>USD</v>
          </cell>
          <cell r="G122">
            <v>1.58</v>
          </cell>
          <cell r="H122" t="str">
            <v xml:space="preserve"> -   </v>
          </cell>
          <cell r="I122">
            <v>135.44999999999999</v>
          </cell>
        </row>
        <row r="123">
          <cell r="D123">
            <v>256779412189</v>
          </cell>
          <cell r="E123">
            <v>45768</v>
          </cell>
          <cell r="F123" t="str">
            <v>INR</v>
          </cell>
          <cell r="G123" t="str">
            <v xml:space="preserve"> -   </v>
          </cell>
          <cell r="H123" t="str">
            <v xml:space="preserve"> -   </v>
          </cell>
          <cell r="I123">
            <v>6</v>
          </cell>
        </row>
        <row r="124">
          <cell r="D124">
            <v>246779410063</v>
          </cell>
          <cell r="E124">
            <v>45708</v>
          </cell>
          <cell r="F124" t="str">
            <v>USD</v>
          </cell>
          <cell r="G124">
            <v>1.9</v>
          </cell>
          <cell r="H124" t="str">
            <v xml:space="preserve"> -   </v>
          </cell>
          <cell r="I124">
            <v>164.43</v>
          </cell>
        </row>
        <row r="125">
          <cell r="D125">
            <v>256779410196</v>
          </cell>
          <cell r="E125">
            <v>45750</v>
          </cell>
          <cell r="F125" t="str">
            <v>USD</v>
          </cell>
          <cell r="G125">
            <v>4.93</v>
          </cell>
          <cell r="H125" t="str">
            <v xml:space="preserve"> -   </v>
          </cell>
          <cell r="I125">
            <v>422.63</v>
          </cell>
        </row>
        <row r="126">
          <cell r="D126">
            <v>256779412185</v>
          </cell>
          <cell r="E126">
            <v>45768</v>
          </cell>
          <cell r="F126" t="str">
            <v>USD</v>
          </cell>
          <cell r="G126">
            <v>1.03</v>
          </cell>
          <cell r="H126" t="str">
            <v xml:space="preserve"> -   </v>
          </cell>
          <cell r="I126">
            <v>88.3</v>
          </cell>
        </row>
        <row r="127">
          <cell r="D127">
            <v>256779412092</v>
          </cell>
          <cell r="E127">
            <v>45763</v>
          </cell>
          <cell r="F127" t="str">
            <v>USD</v>
          </cell>
          <cell r="G127">
            <v>5.78</v>
          </cell>
          <cell r="H127" t="str">
            <v xml:space="preserve"> -   </v>
          </cell>
          <cell r="I127">
            <v>495.5</v>
          </cell>
        </row>
        <row r="128">
          <cell r="D128">
            <v>256779412577</v>
          </cell>
          <cell r="E128">
            <v>45769</v>
          </cell>
          <cell r="F128" t="str">
            <v>USD</v>
          </cell>
          <cell r="G128">
            <v>0.92</v>
          </cell>
          <cell r="H128" t="str">
            <v xml:space="preserve"> -   </v>
          </cell>
          <cell r="I128">
            <v>78.87</v>
          </cell>
        </row>
        <row r="129">
          <cell r="D129">
            <v>246779413024</v>
          </cell>
          <cell r="E129">
            <v>45735</v>
          </cell>
          <cell r="F129" t="str">
            <v>USD</v>
          </cell>
          <cell r="G129">
            <v>1.01</v>
          </cell>
          <cell r="H129" t="str">
            <v xml:space="preserve"> -   </v>
          </cell>
          <cell r="I129">
            <v>87.91</v>
          </cell>
        </row>
        <row r="130">
          <cell r="D130">
            <v>256779412564</v>
          </cell>
          <cell r="E130">
            <v>45769</v>
          </cell>
          <cell r="F130" t="str">
            <v>USD</v>
          </cell>
          <cell r="G130">
            <v>1.1000000000000001</v>
          </cell>
          <cell r="H130" t="str">
            <v xml:space="preserve"> -   </v>
          </cell>
          <cell r="I130">
            <v>94.3</v>
          </cell>
        </row>
        <row r="131">
          <cell r="D131">
            <v>246779413815</v>
          </cell>
          <cell r="E131">
            <v>45736</v>
          </cell>
          <cell r="F131" t="str">
            <v>USD</v>
          </cell>
          <cell r="G131">
            <v>1</v>
          </cell>
          <cell r="H131" t="str">
            <v xml:space="preserve"> -   </v>
          </cell>
          <cell r="I131">
            <v>87.04</v>
          </cell>
        </row>
        <row r="132">
          <cell r="D132">
            <v>246779410260</v>
          </cell>
          <cell r="E132">
            <v>45708</v>
          </cell>
          <cell r="F132" t="str">
            <v>USD</v>
          </cell>
          <cell r="G132">
            <v>1.83</v>
          </cell>
          <cell r="H132" t="str">
            <v xml:space="preserve"> -   </v>
          </cell>
          <cell r="I132">
            <v>158.37</v>
          </cell>
        </row>
        <row r="133">
          <cell r="D133">
            <v>256779412123</v>
          </cell>
          <cell r="E133">
            <v>45763</v>
          </cell>
          <cell r="F133" t="str">
            <v>USD</v>
          </cell>
          <cell r="G133">
            <v>66.36</v>
          </cell>
          <cell r="H133" t="str">
            <v xml:space="preserve"> -   </v>
          </cell>
          <cell r="I133">
            <v>5688.84</v>
          </cell>
        </row>
        <row r="134">
          <cell r="D134">
            <v>256779412529</v>
          </cell>
          <cell r="E134">
            <v>45769</v>
          </cell>
          <cell r="F134" t="str">
            <v>USD</v>
          </cell>
          <cell r="G134">
            <v>0.59</v>
          </cell>
          <cell r="H134" t="str">
            <v xml:space="preserve"> -   </v>
          </cell>
          <cell r="I134">
            <v>50.58</v>
          </cell>
        </row>
        <row r="135">
          <cell r="D135">
            <v>256779410303</v>
          </cell>
          <cell r="E135">
            <v>45750</v>
          </cell>
          <cell r="F135" t="str">
            <v>USD</v>
          </cell>
          <cell r="G135">
            <v>1.83</v>
          </cell>
          <cell r="H135" t="str">
            <v xml:space="preserve"> -   </v>
          </cell>
          <cell r="I135">
            <v>156.88</v>
          </cell>
        </row>
        <row r="136">
          <cell r="D136">
            <v>256779412563</v>
          </cell>
          <cell r="E136">
            <v>45769</v>
          </cell>
          <cell r="F136" t="str">
            <v>USD</v>
          </cell>
          <cell r="G136">
            <v>0.54</v>
          </cell>
          <cell r="H136" t="str">
            <v xml:space="preserve"> -   </v>
          </cell>
          <cell r="I136">
            <v>46.29</v>
          </cell>
        </row>
        <row r="137">
          <cell r="D137">
            <v>246779411973</v>
          </cell>
          <cell r="E137">
            <v>45733</v>
          </cell>
          <cell r="F137" t="str">
            <v>USD</v>
          </cell>
          <cell r="G137">
            <v>8.52</v>
          </cell>
          <cell r="H137" t="str">
            <v xml:space="preserve"> -   </v>
          </cell>
          <cell r="I137">
            <v>741.6</v>
          </cell>
        </row>
        <row r="138">
          <cell r="D138">
            <v>256779412570</v>
          </cell>
          <cell r="E138">
            <v>45769</v>
          </cell>
          <cell r="F138" t="str">
            <v>USD</v>
          </cell>
          <cell r="G138">
            <v>0.87</v>
          </cell>
          <cell r="H138" t="str">
            <v xml:space="preserve"> -   </v>
          </cell>
          <cell r="I138">
            <v>74.58</v>
          </cell>
        </row>
        <row r="139">
          <cell r="D139">
            <v>246779412994</v>
          </cell>
          <cell r="E139">
            <v>45735</v>
          </cell>
          <cell r="F139" t="str">
            <v>USD</v>
          </cell>
          <cell r="G139">
            <v>45.95</v>
          </cell>
          <cell r="H139" t="str">
            <v xml:space="preserve"> -   </v>
          </cell>
          <cell r="I139">
            <v>3999.6</v>
          </cell>
        </row>
        <row r="140">
          <cell r="D140">
            <v>246779413936</v>
          </cell>
          <cell r="E140">
            <v>45736</v>
          </cell>
          <cell r="F140" t="str">
            <v>USD</v>
          </cell>
          <cell r="G140">
            <v>0.55000000000000004</v>
          </cell>
          <cell r="H140" t="str">
            <v xml:space="preserve"> -   </v>
          </cell>
          <cell r="I140">
            <v>47.87</v>
          </cell>
        </row>
        <row r="141">
          <cell r="D141">
            <v>256779412184</v>
          </cell>
          <cell r="E141">
            <v>45768</v>
          </cell>
          <cell r="F141" t="str">
            <v>USD</v>
          </cell>
          <cell r="G141">
            <v>1.86</v>
          </cell>
          <cell r="H141" t="str">
            <v xml:space="preserve"> -   </v>
          </cell>
          <cell r="I141">
            <v>159.44999999999999</v>
          </cell>
        </row>
        <row r="142">
          <cell r="D142">
            <v>246779412047</v>
          </cell>
          <cell r="E142">
            <v>45733</v>
          </cell>
          <cell r="F142" t="str">
            <v>USD</v>
          </cell>
          <cell r="G142">
            <v>0.56000000000000005</v>
          </cell>
          <cell r="H142" t="str">
            <v xml:space="preserve"> -   </v>
          </cell>
          <cell r="I142">
            <v>48.74</v>
          </cell>
        </row>
        <row r="143">
          <cell r="D143">
            <v>246779410010</v>
          </cell>
          <cell r="E143">
            <v>45708</v>
          </cell>
          <cell r="F143" t="str">
            <v>USD</v>
          </cell>
          <cell r="G143">
            <v>47.62</v>
          </cell>
          <cell r="H143" t="str">
            <v xml:space="preserve"> -   </v>
          </cell>
          <cell r="I143">
            <v>4121.01</v>
          </cell>
        </row>
        <row r="144">
          <cell r="D144">
            <v>246779411908</v>
          </cell>
          <cell r="E144">
            <v>45733</v>
          </cell>
          <cell r="F144" t="str">
            <v>USD</v>
          </cell>
          <cell r="G144">
            <v>0.56999999999999995</v>
          </cell>
          <cell r="H144" t="str">
            <v xml:space="preserve"> -   </v>
          </cell>
          <cell r="I144">
            <v>49.61</v>
          </cell>
        </row>
        <row r="145">
          <cell r="D145">
            <v>246779414384</v>
          </cell>
          <cell r="E145">
            <v>45736</v>
          </cell>
          <cell r="F145" t="str">
            <v>USD</v>
          </cell>
          <cell r="G145">
            <v>3.65</v>
          </cell>
          <cell r="H145" t="str">
            <v xml:space="preserve"> -   </v>
          </cell>
          <cell r="I145">
            <v>317.7</v>
          </cell>
        </row>
        <row r="146">
          <cell r="D146">
            <v>246779410080</v>
          </cell>
          <cell r="E146">
            <v>45708</v>
          </cell>
          <cell r="F146" t="str">
            <v>USD</v>
          </cell>
          <cell r="G146">
            <v>1.9</v>
          </cell>
          <cell r="H146" t="str">
            <v xml:space="preserve"> -   </v>
          </cell>
          <cell r="I146">
            <v>164.43</v>
          </cell>
        </row>
        <row r="147">
          <cell r="D147">
            <v>256779412580</v>
          </cell>
          <cell r="E147">
            <v>45769</v>
          </cell>
          <cell r="F147" t="str">
            <v>USD</v>
          </cell>
          <cell r="G147">
            <v>0.81</v>
          </cell>
          <cell r="H147" t="str">
            <v xml:space="preserve"> -   </v>
          </cell>
          <cell r="I147">
            <v>69.44</v>
          </cell>
        </row>
        <row r="148">
          <cell r="D148">
            <v>246779413889</v>
          </cell>
          <cell r="E148">
            <v>45736</v>
          </cell>
          <cell r="F148" t="str">
            <v>USD</v>
          </cell>
          <cell r="G148">
            <v>0.85</v>
          </cell>
          <cell r="H148" t="str">
            <v xml:space="preserve"> -   </v>
          </cell>
          <cell r="I148">
            <v>73.989999999999995</v>
          </cell>
        </row>
        <row r="149">
          <cell r="D149">
            <v>256779412155</v>
          </cell>
          <cell r="E149">
            <v>45768</v>
          </cell>
          <cell r="F149" t="str">
            <v>USD</v>
          </cell>
          <cell r="G149">
            <v>46.61</v>
          </cell>
          <cell r="H149" t="str">
            <v xml:space="preserve"> -   </v>
          </cell>
          <cell r="I149">
            <v>3995.73</v>
          </cell>
        </row>
        <row r="150">
          <cell r="D150">
            <v>256779410801</v>
          </cell>
          <cell r="E150">
            <v>45751</v>
          </cell>
          <cell r="F150" t="str">
            <v>USD</v>
          </cell>
          <cell r="G150">
            <v>56.59</v>
          </cell>
          <cell r="H150" t="str">
            <v xml:space="preserve"> -   </v>
          </cell>
          <cell r="I150">
            <v>4851.29</v>
          </cell>
        </row>
        <row r="151">
          <cell r="D151">
            <v>256779412581</v>
          </cell>
          <cell r="E151">
            <v>45769</v>
          </cell>
          <cell r="F151" t="str">
            <v>USD</v>
          </cell>
          <cell r="G151">
            <v>1.03</v>
          </cell>
          <cell r="H151" t="str">
            <v xml:space="preserve"> -   </v>
          </cell>
          <cell r="I151">
            <v>88.3</v>
          </cell>
        </row>
        <row r="152">
          <cell r="D152">
            <v>246779412033</v>
          </cell>
          <cell r="E152">
            <v>45733</v>
          </cell>
          <cell r="F152" t="str">
            <v>USD</v>
          </cell>
          <cell r="G152">
            <v>0.45</v>
          </cell>
          <cell r="H152" t="str">
            <v xml:space="preserve"> -   </v>
          </cell>
          <cell r="I152">
            <v>39.17</v>
          </cell>
        </row>
        <row r="153">
          <cell r="D153">
            <v>246779410081</v>
          </cell>
          <cell r="E153">
            <v>45707</v>
          </cell>
          <cell r="F153" t="str">
            <v>USD</v>
          </cell>
          <cell r="G153">
            <v>1.05</v>
          </cell>
          <cell r="H153" t="str">
            <v xml:space="preserve"> -   </v>
          </cell>
          <cell r="I153">
            <v>90.87</v>
          </cell>
        </row>
        <row r="154">
          <cell r="D154">
            <v>246779410882</v>
          </cell>
          <cell r="E154">
            <v>45722</v>
          </cell>
          <cell r="F154" t="str">
            <v>USD</v>
          </cell>
          <cell r="G154">
            <v>44.65</v>
          </cell>
          <cell r="H154" t="str">
            <v xml:space="preserve"> -   </v>
          </cell>
          <cell r="I154">
            <v>3886.44</v>
          </cell>
        </row>
        <row r="155">
          <cell r="D155">
            <v>256779412536</v>
          </cell>
          <cell r="E155">
            <v>45769</v>
          </cell>
          <cell r="F155" t="str">
            <v>USD</v>
          </cell>
          <cell r="G155">
            <v>0.74</v>
          </cell>
          <cell r="H155" t="str">
            <v xml:space="preserve"> -   </v>
          </cell>
          <cell r="I155">
            <v>63.44</v>
          </cell>
        </row>
        <row r="156">
          <cell r="D156">
            <v>256779412576</v>
          </cell>
          <cell r="E156">
            <v>45769</v>
          </cell>
          <cell r="F156" t="str">
            <v>USD</v>
          </cell>
          <cell r="G156">
            <v>0.92</v>
          </cell>
          <cell r="H156" t="str">
            <v xml:space="preserve"> -   </v>
          </cell>
          <cell r="I156">
            <v>78.87</v>
          </cell>
        </row>
        <row r="157">
          <cell r="D157">
            <v>246779410743</v>
          </cell>
          <cell r="E157">
            <v>45720</v>
          </cell>
          <cell r="F157" t="str">
            <v>USD</v>
          </cell>
          <cell r="G157">
            <v>0.06</v>
          </cell>
          <cell r="H157" t="str">
            <v xml:space="preserve"> -   </v>
          </cell>
          <cell r="I157">
            <v>5.22</v>
          </cell>
        </row>
        <row r="158">
          <cell r="D158">
            <v>256779410304</v>
          </cell>
          <cell r="E158">
            <v>45750</v>
          </cell>
          <cell r="F158" t="str">
            <v>USD</v>
          </cell>
          <cell r="G158">
            <v>1.01</v>
          </cell>
          <cell r="H158" t="str">
            <v xml:space="preserve"> -   </v>
          </cell>
          <cell r="I158">
            <v>86.58</v>
          </cell>
        </row>
        <row r="159">
          <cell r="D159">
            <v>256779412524</v>
          </cell>
          <cell r="E159">
            <v>45769</v>
          </cell>
          <cell r="F159" t="str">
            <v>USD</v>
          </cell>
          <cell r="G159">
            <v>0.73</v>
          </cell>
          <cell r="H159" t="str">
            <v xml:space="preserve"> -   </v>
          </cell>
          <cell r="I159">
            <v>62.58</v>
          </cell>
        </row>
        <row r="160">
          <cell r="D160">
            <v>256779412537</v>
          </cell>
          <cell r="E160">
            <v>45769</v>
          </cell>
          <cell r="F160" t="str">
            <v>USD</v>
          </cell>
          <cell r="G160">
            <v>8.15</v>
          </cell>
          <cell r="H160" t="str">
            <v xml:space="preserve"> -   </v>
          </cell>
          <cell r="I160">
            <v>698.67</v>
          </cell>
        </row>
        <row r="161">
          <cell r="D161">
            <v>246779413920</v>
          </cell>
          <cell r="E161">
            <v>45736</v>
          </cell>
          <cell r="F161" t="str">
            <v>USD</v>
          </cell>
          <cell r="G161">
            <v>0.45</v>
          </cell>
          <cell r="H161" t="str">
            <v xml:space="preserve"> -   </v>
          </cell>
          <cell r="I161">
            <v>39.17</v>
          </cell>
        </row>
        <row r="162">
          <cell r="D162">
            <v>256779412585</v>
          </cell>
          <cell r="E162">
            <v>45769</v>
          </cell>
          <cell r="F162" t="str">
            <v>USD</v>
          </cell>
          <cell r="G162">
            <v>0.98</v>
          </cell>
          <cell r="H162" t="str">
            <v xml:space="preserve"> -   </v>
          </cell>
          <cell r="I162">
            <v>84.01</v>
          </cell>
        </row>
        <row r="163">
          <cell r="D163">
            <v>256779412586</v>
          </cell>
          <cell r="E163">
            <v>45769</v>
          </cell>
          <cell r="F163" t="str">
            <v>USD</v>
          </cell>
          <cell r="G163">
            <v>1.03</v>
          </cell>
          <cell r="H163" t="str">
            <v xml:space="preserve"> -   </v>
          </cell>
          <cell r="I163">
            <v>88.3</v>
          </cell>
        </row>
        <row r="164">
          <cell r="D164">
            <v>246779413023</v>
          </cell>
          <cell r="E164">
            <v>45735</v>
          </cell>
          <cell r="F164" t="str">
            <v>USD</v>
          </cell>
          <cell r="G164">
            <v>1.84</v>
          </cell>
          <cell r="H164" t="str">
            <v xml:space="preserve"> -   </v>
          </cell>
          <cell r="I164">
            <v>160.16</v>
          </cell>
        </row>
        <row r="165">
          <cell r="D165">
            <v>256779412579</v>
          </cell>
          <cell r="E165">
            <v>45769</v>
          </cell>
          <cell r="F165" t="str">
            <v>USD</v>
          </cell>
          <cell r="G165">
            <v>1.1499999999999999</v>
          </cell>
          <cell r="H165" t="str">
            <v xml:space="preserve"> -   </v>
          </cell>
          <cell r="I165">
            <v>98.59</v>
          </cell>
        </row>
        <row r="166">
          <cell r="D166">
            <v>256779412091</v>
          </cell>
          <cell r="E166">
            <v>45763</v>
          </cell>
          <cell r="F166" t="str">
            <v>USD</v>
          </cell>
          <cell r="G166">
            <v>1.93</v>
          </cell>
          <cell r="H166" t="str">
            <v xml:space="preserve"> -   </v>
          </cell>
          <cell r="I166">
            <v>165.45</v>
          </cell>
        </row>
        <row r="167">
          <cell r="D167">
            <v>256779412562</v>
          </cell>
          <cell r="E167">
            <v>45769</v>
          </cell>
          <cell r="F167" t="str">
            <v>USD</v>
          </cell>
          <cell r="G167">
            <v>1.0900000000000001</v>
          </cell>
          <cell r="H167" t="str">
            <v xml:space="preserve"> -   </v>
          </cell>
          <cell r="I167">
            <v>93.44</v>
          </cell>
        </row>
        <row r="168">
          <cell r="D168">
            <v>246779413941</v>
          </cell>
          <cell r="E168">
            <v>45736</v>
          </cell>
          <cell r="F168" t="str">
            <v>USD</v>
          </cell>
          <cell r="G168">
            <v>0.6</v>
          </cell>
          <cell r="H168" t="str">
            <v xml:space="preserve"> -   </v>
          </cell>
          <cell r="I168">
            <v>52.23</v>
          </cell>
        </row>
        <row r="169">
          <cell r="D169">
            <v>246779410261</v>
          </cell>
          <cell r="E169">
            <v>45708</v>
          </cell>
          <cell r="F169" t="str">
            <v>USD</v>
          </cell>
          <cell r="G169">
            <v>1.01</v>
          </cell>
          <cell r="H169" t="str">
            <v xml:space="preserve"> -   </v>
          </cell>
          <cell r="I169">
            <v>87.4</v>
          </cell>
        </row>
        <row r="170">
          <cell r="D170">
            <v>256779413396</v>
          </cell>
          <cell r="E170">
            <v>45798</v>
          </cell>
          <cell r="F170" t="str">
            <v>USD</v>
          </cell>
          <cell r="G170">
            <v>4.3600000000000003</v>
          </cell>
          <cell r="H170" t="str">
            <v xml:space="preserve"> -   </v>
          </cell>
          <cell r="I170">
            <v>372.23</v>
          </cell>
        </row>
        <row r="171">
          <cell r="D171">
            <v>256779413401</v>
          </cell>
          <cell r="E171">
            <v>45798</v>
          </cell>
          <cell r="F171" t="str">
            <v>USD</v>
          </cell>
          <cell r="G171">
            <v>4.5999999999999996</v>
          </cell>
          <cell r="H171" t="str">
            <v xml:space="preserve"> -   </v>
          </cell>
          <cell r="I171">
            <v>392.72</v>
          </cell>
        </row>
        <row r="172">
          <cell r="D172">
            <v>256779413395</v>
          </cell>
          <cell r="E172">
            <v>45798</v>
          </cell>
          <cell r="F172" t="str">
            <v>USD</v>
          </cell>
          <cell r="G172">
            <v>5.3</v>
          </cell>
          <cell r="H172" t="str">
            <v xml:space="preserve"> -   </v>
          </cell>
          <cell r="I172">
            <v>452.48</v>
          </cell>
        </row>
        <row r="173">
          <cell r="D173">
            <v>256779413399</v>
          </cell>
          <cell r="E173">
            <v>45798</v>
          </cell>
          <cell r="F173" t="str">
            <v>USD</v>
          </cell>
          <cell r="G173">
            <v>4.5999999999999996</v>
          </cell>
          <cell r="H173" t="str">
            <v xml:space="preserve"> -   </v>
          </cell>
          <cell r="I173">
            <v>392.72</v>
          </cell>
        </row>
        <row r="174">
          <cell r="D174" t="str">
            <v>246779411409_D</v>
          </cell>
          <cell r="E174">
            <v>45730</v>
          </cell>
          <cell r="F174" t="str">
            <v>USD</v>
          </cell>
          <cell r="G174">
            <v>4.99</v>
          </cell>
          <cell r="H174" t="str">
            <v xml:space="preserve"> -   </v>
          </cell>
          <cell r="I174">
            <v>434.34</v>
          </cell>
        </row>
        <row r="175">
          <cell r="D175">
            <v>256779415317</v>
          </cell>
          <cell r="E175">
            <v>45848</v>
          </cell>
          <cell r="F175" t="str">
            <v>USD</v>
          </cell>
          <cell r="G175">
            <v>4</v>
          </cell>
          <cell r="H175" t="str">
            <v xml:space="preserve"> -   </v>
          </cell>
          <cell r="I175">
            <v>353.88</v>
          </cell>
        </row>
        <row r="176">
          <cell r="D176">
            <v>256779415346</v>
          </cell>
          <cell r="E176">
            <v>45848</v>
          </cell>
          <cell r="F176" t="str">
            <v>USD</v>
          </cell>
          <cell r="G176">
            <v>0.35</v>
          </cell>
          <cell r="H176" t="str">
            <v xml:space="preserve"> -   </v>
          </cell>
          <cell r="I176">
            <v>30.96</v>
          </cell>
        </row>
        <row r="177">
          <cell r="D177">
            <v>256779415339</v>
          </cell>
          <cell r="E177">
            <v>45848</v>
          </cell>
          <cell r="F177" t="str">
            <v>USD</v>
          </cell>
          <cell r="G177">
            <v>0.55000000000000004</v>
          </cell>
          <cell r="H177" t="str">
            <v xml:space="preserve"> -   </v>
          </cell>
          <cell r="I177">
            <v>48.66</v>
          </cell>
        </row>
        <row r="178">
          <cell r="D178">
            <v>256779415371</v>
          </cell>
          <cell r="E178">
            <v>45848</v>
          </cell>
          <cell r="F178" t="str">
            <v>USD</v>
          </cell>
          <cell r="G178">
            <v>0.87</v>
          </cell>
          <cell r="H178" t="str">
            <v xml:space="preserve"> -   </v>
          </cell>
          <cell r="I178">
            <v>76.97</v>
          </cell>
        </row>
        <row r="179">
          <cell r="D179">
            <v>256779415338</v>
          </cell>
          <cell r="E179">
            <v>45848</v>
          </cell>
          <cell r="F179" t="str">
            <v>USD</v>
          </cell>
          <cell r="G179">
            <v>0.25</v>
          </cell>
          <cell r="H179" t="str">
            <v xml:space="preserve"> -   </v>
          </cell>
          <cell r="I179">
            <v>22.12</v>
          </cell>
        </row>
        <row r="180">
          <cell r="D180">
            <v>256779413391</v>
          </cell>
          <cell r="E180">
            <v>45798</v>
          </cell>
          <cell r="F180" t="str">
            <v>USD</v>
          </cell>
          <cell r="G180">
            <v>5.07</v>
          </cell>
          <cell r="H180" t="str">
            <v xml:space="preserve"> -   </v>
          </cell>
          <cell r="I180">
            <v>432.85</v>
          </cell>
        </row>
        <row r="181">
          <cell r="D181">
            <v>256779415359</v>
          </cell>
          <cell r="E181">
            <v>45848</v>
          </cell>
          <cell r="F181" t="str">
            <v>USD</v>
          </cell>
          <cell r="G181">
            <v>4</v>
          </cell>
          <cell r="H181" t="str">
            <v xml:space="preserve"> -   </v>
          </cell>
          <cell r="I181">
            <v>353.88</v>
          </cell>
        </row>
        <row r="182">
          <cell r="D182">
            <v>256779415381</v>
          </cell>
          <cell r="E182">
            <v>45848</v>
          </cell>
          <cell r="F182" t="str">
            <v>USD</v>
          </cell>
          <cell r="G182">
            <v>1.2</v>
          </cell>
          <cell r="H182" t="str">
            <v xml:space="preserve"> -   </v>
          </cell>
          <cell r="I182">
            <v>106.16</v>
          </cell>
        </row>
        <row r="183">
          <cell r="D183">
            <v>256779415391</v>
          </cell>
          <cell r="E183">
            <v>45848</v>
          </cell>
          <cell r="F183" t="str">
            <v>USD</v>
          </cell>
          <cell r="G183">
            <v>16.399999999999999</v>
          </cell>
          <cell r="H183" t="str">
            <v xml:space="preserve"> -   </v>
          </cell>
          <cell r="I183">
            <v>1450.91</v>
          </cell>
        </row>
        <row r="184">
          <cell r="D184">
            <v>256779415358</v>
          </cell>
          <cell r="E184">
            <v>45848</v>
          </cell>
          <cell r="F184" t="str">
            <v>USD</v>
          </cell>
          <cell r="G184">
            <v>1.92</v>
          </cell>
          <cell r="H184" t="str">
            <v xml:space="preserve"> -   </v>
          </cell>
          <cell r="I184">
            <v>169.86</v>
          </cell>
        </row>
        <row r="185">
          <cell r="D185">
            <v>256779415305</v>
          </cell>
          <cell r="E185">
            <v>45848</v>
          </cell>
          <cell r="F185" t="str">
            <v>USD</v>
          </cell>
          <cell r="G185">
            <v>0.6</v>
          </cell>
          <cell r="H185" t="str">
            <v xml:space="preserve"> -   </v>
          </cell>
          <cell r="I185">
            <v>53.08</v>
          </cell>
        </row>
        <row r="186">
          <cell r="D186">
            <v>256779415345</v>
          </cell>
          <cell r="E186">
            <v>45848</v>
          </cell>
          <cell r="F186" t="str">
            <v>USD</v>
          </cell>
          <cell r="G186">
            <v>0.5</v>
          </cell>
          <cell r="H186" t="str">
            <v xml:space="preserve"> -   </v>
          </cell>
          <cell r="I186">
            <v>44.24</v>
          </cell>
        </row>
        <row r="187">
          <cell r="D187">
            <v>246779410311</v>
          </cell>
          <cell r="E187">
            <v>45708</v>
          </cell>
          <cell r="F187" t="str">
            <v>USD</v>
          </cell>
          <cell r="G187">
            <v>1.9</v>
          </cell>
          <cell r="H187" t="str">
            <v xml:space="preserve"> -   </v>
          </cell>
          <cell r="I187">
            <v>164.43</v>
          </cell>
        </row>
        <row r="188">
          <cell r="D188">
            <v>256779415300</v>
          </cell>
          <cell r="E188">
            <v>45848</v>
          </cell>
          <cell r="F188" t="str">
            <v>USD</v>
          </cell>
          <cell r="G188">
            <v>0.48</v>
          </cell>
          <cell r="H188" t="str">
            <v xml:space="preserve"> -   </v>
          </cell>
          <cell r="I188">
            <v>42.47</v>
          </cell>
        </row>
        <row r="189">
          <cell r="D189">
            <v>256779411867</v>
          </cell>
          <cell r="E189">
            <v>45763</v>
          </cell>
          <cell r="F189" t="str">
            <v>USD</v>
          </cell>
          <cell r="G189">
            <v>5.9</v>
          </cell>
          <cell r="H189" t="str">
            <v xml:space="preserve"> -   </v>
          </cell>
          <cell r="I189">
            <v>505.79</v>
          </cell>
        </row>
        <row r="190">
          <cell r="D190">
            <v>256779415270</v>
          </cell>
          <cell r="E190">
            <v>45842</v>
          </cell>
          <cell r="F190" t="str">
            <v>USD</v>
          </cell>
          <cell r="G190">
            <v>8.42</v>
          </cell>
          <cell r="H190" t="str">
            <v xml:space="preserve"> -   </v>
          </cell>
          <cell r="I190">
            <v>744.92</v>
          </cell>
        </row>
        <row r="191">
          <cell r="D191">
            <v>256779415352</v>
          </cell>
          <cell r="E191">
            <v>45848</v>
          </cell>
          <cell r="F191" t="str">
            <v>USD</v>
          </cell>
          <cell r="G191">
            <v>3.12</v>
          </cell>
          <cell r="H191" t="str">
            <v xml:space="preserve"> -   </v>
          </cell>
          <cell r="I191">
            <v>276.02999999999997</v>
          </cell>
        </row>
        <row r="192">
          <cell r="D192">
            <v>256779415304</v>
          </cell>
          <cell r="E192">
            <v>45848</v>
          </cell>
          <cell r="F192" t="str">
            <v>USD</v>
          </cell>
          <cell r="G192">
            <v>0.6</v>
          </cell>
          <cell r="H192" t="str">
            <v xml:space="preserve"> -   </v>
          </cell>
          <cell r="I192">
            <v>53.08</v>
          </cell>
        </row>
        <row r="193">
          <cell r="D193">
            <v>256779411467</v>
          </cell>
          <cell r="E193">
            <v>45762</v>
          </cell>
          <cell r="F193" t="str">
            <v>USD</v>
          </cell>
          <cell r="G193">
            <v>0.71</v>
          </cell>
          <cell r="H193" t="str">
            <v xml:space="preserve"> -   </v>
          </cell>
          <cell r="I193">
            <v>60.87</v>
          </cell>
        </row>
        <row r="194">
          <cell r="D194">
            <v>256779415209</v>
          </cell>
          <cell r="E194">
            <v>45842</v>
          </cell>
          <cell r="F194" t="str">
            <v>USD</v>
          </cell>
          <cell r="G194">
            <v>1.27</v>
          </cell>
          <cell r="H194" t="str">
            <v xml:space="preserve"> -   </v>
          </cell>
          <cell r="I194">
            <v>112.36</v>
          </cell>
        </row>
        <row r="195">
          <cell r="D195">
            <v>256779415379</v>
          </cell>
          <cell r="E195">
            <v>45848</v>
          </cell>
          <cell r="F195" t="str">
            <v>USD</v>
          </cell>
          <cell r="G195">
            <v>4.66</v>
          </cell>
          <cell r="H195" t="str">
            <v xml:space="preserve"> -   </v>
          </cell>
          <cell r="I195">
            <v>412.27</v>
          </cell>
        </row>
        <row r="196">
          <cell r="D196">
            <v>256779415303</v>
          </cell>
          <cell r="E196">
            <v>45848</v>
          </cell>
          <cell r="F196" t="str">
            <v>USD</v>
          </cell>
          <cell r="G196">
            <v>2</v>
          </cell>
          <cell r="H196" t="str">
            <v xml:space="preserve"> -   </v>
          </cell>
          <cell r="I196">
            <v>176.94</v>
          </cell>
        </row>
        <row r="197">
          <cell r="D197">
            <v>256779415208</v>
          </cell>
          <cell r="E197">
            <v>45842</v>
          </cell>
          <cell r="F197" t="str">
            <v>USD</v>
          </cell>
          <cell r="G197">
            <v>3.67</v>
          </cell>
          <cell r="H197" t="str">
            <v xml:space="preserve"> -   </v>
          </cell>
          <cell r="I197">
            <v>324.68</v>
          </cell>
        </row>
        <row r="198">
          <cell r="D198">
            <v>256779415377</v>
          </cell>
          <cell r="E198">
            <v>45848</v>
          </cell>
          <cell r="F198" t="str">
            <v>USD</v>
          </cell>
          <cell r="G198">
            <v>1</v>
          </cell>
          <cell r="H198" t="str">
            <v xml:space="preserve"> -   </v>
          </cell>
          <cell r="I198">
            <v>88.47</v>
          </cell>
        </row>
        <row r="199">
          <cell r="D199">
            <v>256779415392</v>
          </cell>
          <cell r="E199">
            <v>45848</v>
          </cell>
          <cell r="F199" t="str">
            <v>USD</v>
          </cell>
          <cell r="G199">
            <v>4</v>
          </cell>
          <cell r="H199" t="str">
            <v xml:space="preserve"> -   </v>
          </cell>
          <cell r="I199">
            <v>353.88</v>
          </cell>
        </row>
        <row r="200">
          <cell r="D200">
            <v>256779415393</v>
          </cell>
          <cell r="E200">
            <v>45848</v>
          </cell>
          <cell r="F200" t="str">
            <v>USD</v>
          </cell>
          <cell r="G200">
            <v>1.2</v>
          </cell>
          <cell r="H200" t="str">
            <v xml:space="preserve"> -   </v>
          </cell>
          <cell r="I200">
            <v>106.16</v>
          </cell>
        </row>
        <row r="201">
          <cell r="D201">
            <v>256779415362</v>
          </cell>
          <cell r="E201">
            <v>45848</v>
          </cell>
          <cell r="F201" t="str">
            <v>USD</v>
          </cell>
          <cell r="G201">
            <v>0.06</v>
          </cell>
          <cell r="H201" t="str">
            <v xml:space="preserve"> -   </v>
          </cell>
          <cell r="I201">
            <v>5.31</v>
          </cell>
        </row>
        <row r="202">
          <cell r="D202">
            <v>256779415315</v>
          </cell>
          <cell r="E202">
            <v>45848</v>
          </cell>
          <cell r="F202" t="str">
            <v>USD</v>
          </cell>
          <cell r="G202">
            <v>2.4</v>
          </cell>
          <cell r="H202" t="str">
            <v xml:space="preserve"> -   </v>
          </cell>
          <cell r="I202">
            <v>212.33</v>
          </cell>
        </row>
        <row r="203">
          <cell r="D203">
            <v>256779415378</v>
          </cell>
          <cell r="E203">
            <v>45848</v>
          </cell>
          <cell r="F203" t="str">
            <v>USD</v>
          </cell>
          <cell r="G203">
            <v>2.4</v>
          </cell>
          <cell r="H203" t="str">
            <v xml:space="preserve"> -   </v>
          </cell>
          <cell r="I203">
            <v>212.33</v>
          </cell>
        </row>
        <row r="204">
          <cell r="D204">
            <v>256779415356</v>
          </cell>
          <cell r="E204">
            <v>45848</v>
          </cell>
          <cell r="F204" t="str">
            <v>USD</v>
          </cell>
          <cell r="G204">
            <v>1.44</v>
          </cell>
          <cell r="H204" t="str">
            <v xml:space="preserve"> -   </v>
          </cell>
          <cell r="I204">
            <v>127.4</v>
          </cell>
        </row>
        <row r="205">
          <cell r="D205">
            <v>256779415383</v>
          </cell>
          <cell r="E205">
            <v>45848</v>
          </cell>
          <cell r="F205" t="str">
            <v>USD</v>
          </cell>
          <cell r="G205">
            <v>3.12</v>
          </cell>
          <cell r="H205" t="str">
            <v xml:space="preserve"> -   </v>
          </cell>
          <cell r="I205">
            <v>276.02999999999997</v>
          </cell>
        </row>
        <row r="206">
          <cell r="D206">
            <v>256779415375</v>
          </cell>
          <cell r="E206">
            <v>45848</v>
          </cell>
          <cell r="F206" t="str">
            <v>USD</v>
          </cell>
          <cell r="G206">
            <v>7.2</v>
          </cell>
          <cell r="H206" t="str">
            <v xml:space="preserve"> -   </v>
          </cell>
          <cell r="I206">
            <v>636.98</v>
          </cell>
        </row>
        <row r="207">
          <cell r="D207">
            <v>256779415373</v>
          </cell>
          <cell r="E207">
            <v>45848</v>
          </cell>
          <cell r="F207" t="str">
            <v>USD</v>
          </cell>
          <cell r="G207">
            <v>0.05</v>
          </cell>
          <cell r="H207" t="str">
            <v xml:space="preserve"> -   </v>
          </cell>
          <cell r="I207">
            <v>4.42</v>
          </cell>
        </row>
        <row r="208">
          <cell r="D208">
            <v>256779415342</v>
          </cell>
          <cell r="E208">
            <v>45848</v>
          </cell>
          <cell r="F208" t="str">
            <v>USD</v>
          </cell>
          <cell r="G208">
            <v>0.05</v>
          </cell>
          <cell r="H208" t="str">
            <v xml:space="preserve"> -   </v>
          </cell>
          <cell r="I208">
            <v>4.42</v>
          </cell>
        </row>
        <row r="209">
          <cell r="D209">
            <v>256779415372</v>
          </cell>
          <cell r="E209">
            <v>45848</v>
          </cell>
          <cell r="F209" t="str">
            <v>USD</v>
          </cell>
          <cell r="G209">
            <v>3.11</v>
          </cell>
          <cell r="H209" t="str">
            <v xml:space="preserve"> -   </v>
          </cell>
          <cell r="I209">
            <v>275.14</v>
          </cell>
        </row>
        <row r="210">
          <cell r="D210">
            <v>256779415369</v>
          </cell>
          <cell r="E210">
            <v>45848</v>
          </cell>
          <cell r="F210" t="str">
            <v>USD</v>
          </cell>
          <cell r="G210">
            <v>0.06</v>
          </cell>
          <cell r="H210" t="str">
            <v xml:space="preserve"> -   </v>
          </cell>
          <cell r="I210">
            <v>5.31</v>
          </cell>
        </row>
        <row r="211">
          <cell r="D211">
            <v>256779415361</v>
          </cell>
          <cell r="E211">
            <v>45848</v>
          </cell>
          <cell r="F211" t="str">
            <v>USD</v>
          </cell>
          <cell r="G211">
            <v>1.35</v>
          </cell>
          <cell r="H211" t="str">
            <v xml:space="preserve"> -   </v>
          </cell>
          <cell r="I211">
            <v>119.43</v>
          </cell>
        </row>
        <row r="212">
          <cell r="D212">
            <v>256779415306</v>
          </cell>
          <cell r="E212">
            <v>45848</v>
          </cell>
          <cell r="F212" t="str">
            <v>USD</v>
          </cell>
          <cell r="G212">
            <v>0.6</v>
          </cell>
          <cell r="H212" t="str">
            <v xml:space="preserve"> -   </v>
          </cell>
          <cell r="I212">
            <v>53.08</v>
          </cell>
        </row>
        <row r="213">
          <cell r="D213">
            <v>256779415333</v>
          </cell>
          <cell r="E213">
            <v>45848</v>
          </cell>
          <cell r="F213" t="str">
            <v>USD</v>
          </cell>
          <cell r="G213">
            <v>0.45</v>
          </cell>
          <cell r="H213" t="str">
            <v xml:space="preserve"> -   </v>
          </cell>
          <cell r="I213">
            <v>39.81</v>
          </cell>
        </row>
        <row r="214">
          <cell r="D214">
            <v>256779415298</v>
          </cell>
          <cell r="E214">
            <v>45848</v>
          </cell>
          <cell r="F214" t="str">
            <v>USD</v>
          </cell>
          <cell r="G214">
            <v>0.48</v>
          </cell>
          <cell r="H214" t="str">
            <v xml:space="preserve"> -   </v>
          </cell>
          <cell r="I214">
            <v>42.47</v>
          </cell>
        </row>
        <row r="215">
          <cell r="D215">
            <v>256779415386</v>
          </cell>
          <cell r="E215">
            <v>45848</v>
          </cell>
          <cell r="F215" t="str">
            <v>USD</v>
          </cell>
          <cell r="G215">
            <v>0.15</v>
          </cell>
          <cell r="H215" t="str">
            <v xml:space="preserve"> -   </v>
          </cell>
          <cell r="I215">
            <v>13.27</v>
          </cell>
        </row>
        <row r="216">
          <cell r="D216">
            <v>256779415336</v>
          </cell>
          <cell r="E216">
            <v>45848</v>
          </cell>
          <cell r="F216" t="str">
            <v>USD</v>
          </cell>
          <cell r="G216">
            <v>0.1</v>
          </cell>
          <cell r="H216" t="str">
            <v xml:space="preserve"> -   </v>
          </cell>
          <cell r="I216">
            <v>8.85</v>
          </cell>
        </row>
        <row r="217">
          <cell r="D217">
            <v>256779415341</v>
          </cell>
          <cell r="E217">
            <v>45848</v>
          </cell>
          <cell r="F217" t="str">
            <v>USD</v>
          </cell>
          <cell r="G217">
            <v>0.3</v>
          </cell>
          <cell r="H217" t="str">
            <v xml:space="preserve"> -   </v>
          </cell>
          <cell r="I217">
            <v>26.54</v>
          </cell>
        </row>
        <row r="218">
          <cell r="D218">
            <v>256779415380</v>
          </cell>
          <cell r="E218">
            <v>45848</v>
          </cell>
          <cell r="F218" t="str">
            <v>USD</v>
          </cell>
          <cell r="G218">
            <v>4</v>
          </cell>
          <cell r="H218" t="str">
            <v xml:space="preserve"> -   </v>
          </cell>
          <cell r="I218">
            <v>353.88</v>
          </cell>
        </row>
        <row r="219">
          <cell r="D219">
            <v>256779415318</v>
          </cell>
          <cell r="E219">
            <v>45848</v>
          </cell>
          <cell r="F219" t="str">
            <v>USD</v>
          </cell>
          <cell r="G219">
            <v>5.09</v>
          </cell>
          <cell r="H219" t="str">
            <v xml:space="preserve"> -   </v>
          </cell>
          <cell r="I219">
            <v>450.31</v>
          </cell>
        </row>
        <row r="220">
          <cell r="D220">
            <v>256779415384</v>
          </cell>
          <cell r="E220">
            <v>45848</v>
          </cell>
          <cell r="F220" t="str">
            <v>USD</v>
          </cell>
          <cell r="G220">
            <v>7</v>
          </cell>
          <cell r="H220" t="str">
            <v xml:space="preserve"> -   </v>
          </cell>
          <cell r="I220">
            <v>619.29</v>
          </cell>
        </row>
        <row r="221">
          <cell r="D221">
            <v>256779415344</v>
          </cell>
          <cell r="E221">
            <v>45848</v>
          </cell>
          <cell r="F221" t="str">
            <v>USD</v>
          </cell>
          <cell r="G221">
            <v>0.5</v>
          </cell>
          <cell r="H221" t="str">
            <v xml:space="preserve"> -   </v>
          </cell>
          <cell r="I221">
            <v>44.24</v>
          </cell>
        </row>
        <row r="222">
          <cell r="D222">
            <v>256779415382</v>
          </cell>
          <cell r="E222">
            <v>45848</v>
          </cell>
          <cell r="F222" t="str">
            <v>USD</v>
          </cell>
          <cell r="G222">
            <v>2.35</v>
          </cell>
          <cell r="H222" t="str">
            <v xml:space="preserve"> -   </v>
          </cell>
          <cell r="I222">
            <v>207.9</v>
          </cell>
        </row>
        <row r="223">
          <cell r="D223">
            <v>256779415314</v>
          </cell>
          <cell r="E223">
            <v>45848</v>
          </cell>
          <cell r="F223" t="str">
            <v>USD</v>
          </cell>
          <cell r="G223">
            <v>3.58</v>
          </cell>
          <cell r="H223" t="str">
            <v xml:space="preserve"> -   </v>
          </cell>
          <cell r="I223">
            <v>316.72000000000003</v>
          </cell>
        </row>
        <row r="224">
          <cell r="D224">
            <v>256779415355</v>
          </cell>
          <cell r="E224">
            <v>45848</v>
          </cell>
          <cell r="F224" t="str">
            <v>USD</v>
          </cell>
          <cell r="G224">
            <v>0.43</v>
          </cell>
          <cell r="H224" t="str">
            <v xml:space="preserve"> -   </v>
          </cell>
          <cell r="I224">
            <v>38.04</v>
          </cell>
        </row>
        <row r="225">
          <cell r="D225">
            <v>256779415376</v>
          </cell>
          <cell r="E225">
            <v>45848</v>
          </cell>
          <cell r="F225" t="str">
            <v>USD</v>
          </cell>
          <cell r="G225">
            <v>1.2</v>
          </cell>
          <cell r="H225" t="str">
            <v xml:space="preserve"> -   </v>
          </cell>
          <cell r="I225">
            <v>106.16</v>
          </cell>
        </row>
        <row r="226">
          <cell r="D226">
            <v>256779415334</v>
          </cell>
          <cell r="E226">
            <v>45848</v>
          </cell>
          <cell r="F226" t="str">
            <v>USD</v>
          </cell>
          <cell r="G226">
            <v>0.45</v>
          </cell>
          <cell r="H226" t="str">
            <v xml:space="preserve"> -   </v>
          </cell>
          <cell r="I226">
            <v>39.81</v>
          </cell>
        </row>
        <row r="227">
          <cell r="D227">
            <v>256779415337</v>
          </cell>
          <cell r="E227">
            <v>45848</v>
          </cell>
          <cell r="F227" t="str">
            <v>USD</v>
          </cell>
          <cell r="G227">
            <v>0.35</v>
          </cell>
          <cell r="H227" t="str">
            <v xml:space="preserve"> -   </v>
          </cell>
          <cell r="I227">
            <v>30.96</v>
          </cell>
        </row>
        <row r="228">
          <cell r="D228">
            <v>256779415357</v>
          </cell>
          <cell r="E228">
            <v>45848</v>
          </cell>
          <cell r="F228" t="str">
            <v>USD</v>
          </cell>
          <cell r="G228">
            <v>4.1500000000000004</v>
          </cell>
          <cell r="H228" t="str">
            <v xml:space="preserve"> -   </v>
          </cell>
          <cell r="I228">
            <v>367.15</v>
          </cell>
        </row>
        <row r="229">
          <cell r="D229">
            <v>256779415340</v>
          </cell>
          <cell r="E229">
            <v>45848</v>
          </cell>
          <cell r="F229" t="str">
            <v>USD</v>
          </cell>
          <cell r="G229">
            <v>0.52</v>
          </cell>
          <cell r="H229" t="str">
            <v xml:space="preserve"> -   </v>
          </cell>
          <cell r="I229">
            <v>46</v>
          </cell>
        </row>
        <row r="230">
          <cell r="D230">
            <v>256779415343</v>
          </cell>
          <cell r="E230">
            <v>45848</v>
          </cell>
          <cell r="F230" t="str">
            <v>USD</v>
          </cell>
          <cell r="G230">
            <v>0.02</v>
          </cell>
          <cell r="H230" t="str">
            <v xml:space="preserve"> -   </v>
          </cell>
          <cell r="I230">
            <v>1.77</v>
          </cell>
        </row>
        <row r="231">
          <cell r="D231">
            <v>246779413747</v>
          </cell>
          <cell r="E231">
            <v>45736</v>
          </cell>
          <cell r="F231" t="str">
            <v>USD</v>
          </cell>
          <cell r="G231">
            <v>0.05</v>
          </cell>
          <cell r="H231" t="str">
            <v xml:space="preserve"> -   </v>
          </cell>
          <cell r="I231">
            <v>4.3499999999999996</v>
          </cell>
        </row>
        <row r="232">
          <cell r="D232">
            <v>256779415308</v>
          </cell>
          <cell r="E232">
            <v>45848</v>
          </cell>
          <cell r="F232" t="str">
            <v>USD</v>
          </cell>
          <cell r="G232">
            <v>0.6</v>
          </cell>
          <cell r="H232" t="str">
            <v xml:space="preserve"> -   </v>
          </cell>
          <cell r="I232">
            <v>53.08</v>
          </cell>
        </row>
        <row r="233">
          <cell r="D233">
            <v>256779415210</v>
          </cell>
          <cell r="E233">
            <v>45842</v>
          </cell>
          <cell r="F233" t="str">
            <v>USD</v>
          </cell>
          <cell r="G233">
            <v>192.59</v>
          </cell>
          <cell r="H233" t="str">
            <v xml:space="preserve"> -   </v>
          </cell>
          <cell r="I233">
            <v>17038.439999999999</v>
          </cell>
        </row>
        <row r="234">
          <cell r="D234">
            <v>256779415310</v>
          </cell>
          <cell r="E234">
            <v>45848</v>
          </cell>
          <cell r="F234" t="str">
            <v>USD</v>
          </cell>
          <cell r="G234">
            <v>0.6</v>
          </cell>
          <cell r="H234" t="str">
            <v xml:space="preserve"> -   </v>
          </cell>
          <cell r="I234">
            <v>53.08</v>
          </cell>
        </row>
        <row r="235">
          <cell r="D235">
            <v>256779415349</v>
          </cell>
          <cell r="E235">
            <v>45848</v>
          </cell>
          <cell r="F235" t="str">
            <v>USD</v>
          </cell>
          <cell r="G235">
            <v>0.55000000000000004</v>
          </cell>
          <cell r="H235" t="str">
            <v xml:space="preserve"> -   </v>
          </cell>
          <cell r="I235">
            <v>48.66</v>
          </cell>
        </row>
        <row r="236">
          <cell r="D236">
            <v>256779415295</v>
          </cell>
          <cell r="E236">
            <v>45848</v>
          </cell>
          <cell r="F236" t="str">
            <v>USD</v>
          </cell>
          <cell r="G236">
            <v>0.48</v>
          </cell>
          <cell r="H236" t="str">
            <v xml:space="preserve"> -   </v>
          </cell>
          <cell r="I236">
            <v>42.47</v>
          </cell>
        </row>
        <row r="237">
          <cell r="D237">
            <v>256779415389</v>
          </cell>
          <cell r="E237">
            <v>45848</v>
          </cell>
          <cell r="F237" t="str">
            <v>USD</v>
          </cell>
          <cell r="G237">
            <v>3.41</v>
          </cell>
          <cell r="H237" t="str">
            <v xml:space="preserve"> -   </v>
          </cell>
          <cell r="I237">
            <v>301.68</v>
          </cell>
        </row>
        <row r="238">
          <cell r="D238">
            <v>256779415388</v>
          </cell>
          <cell r="E238">
            <v>45848</v>
          </cell>
          <cell r="F238" t="str">
            <v>USD</v>
          </cell>
          <cell r="G238">
            <v>45.23</v>
          </cell>
          <cell r="H238" t="str">
            <v xml:space="preserve"> -   </v>
          </cell>
          <cell r="I238">
            <v>4001.5</v>
          </cell>
        </row>
        <row r="239">
          <cell r="D239">
            <v>256779413392</v>
          </cell>
          <cell r="E239">
            <v>45798</v>
          </cell>
          <cell r="F239" t="str">
            <v>USD</v>
          </cell>
          <cell r="G239">
            <v>4.3600000000000003</v>
          </cell>
          <cell r="H239" t="str">
            <v xml:space="preserve"> -   </v>
          </cell>
          <cell r="I239">
            <v>372.23</v>
          </cell>
        </row>
        <row r="240">
          <cell r="D240">
            <v>256779415348</v>
          </cell>
          <cell r="E240">
            <v>45848</v>
          </cell>
          <cell r="F240" t="str">
            <v>USD</v>
          </cell>
          <cell r="G240">
            <v>0.15</v>
          </cell>
          <cell r="H240" t="str">
            <v xml:space="preserve"> -   </v>
          </cell>
          <cell r="I240">
            <v>13.27</v>
          </cell>
        </row>
        <row r="241">
          <cell r="D241">
            <v>256779415390</v>
          </cell>
          <cell r="E241">
            <v>45848</v>
          </cell>
          <cell r="F241" t="str">
            <v>USD</v>
          </cell>
          <cell r="G241">
            <v>2.2200000000000002</v>
          </cell>
          <cell r="H241" t="str">
            <v xml:space="preserve"> -   </v>
          </cell>
          <cell r="I241">
            <v>196.4</v>
          </cell>
        </row>
        <row r="242">
          <cell r="D242">
            <v>256779415395</v>
          </cell>
          <cell r="E242">
            <v>45848</v>
          </cell>
          <cell r="F242" t="str">
            <v>USD</v>
          </cell>
          <cell r="G242">
            <v>4.1100000000000003</v>
          </cell>
          <cell r="H242" t="str">
            <v xml:space="preserve"> -   </v>
          </cell>
          <cell r="I242">
            <v>363.61</v>
          </cell>
        </row>
        <row r="243">
          <cell r="D243">
            <v>256779415326</v>
          </cell>
          <cell r="E243">
            <v>45848</v>
          </cell>
          <cell r="F243" t="str">
            <v>USD</v>
          </cell>
          <cell r="G243">
            <v>3.7</v>
          </cell>
          <cell r="H243" t="str">
            <v xml:space="preserve"> -   </v>
          </cell>
          <cell r="I243">
            <v>327.33999999999997</v>
          </cell>
        </row>
        <row r="244">
          <cell r="D244">
            <v>256779415350</v>
          </cell>
          <cell r="E244">
            <v>45848</v>
          </cell>
          <cell r="F244" t="str">
            <v>USD</v>
          </cell>
          <cell r="G244">
            <v>0.45</v>
          </cell>
          <cell r="H244" t="str">
            <v xml:space="preserve"> -   </v>
          </cell>
          <cell r="I244">
            <v>39.81</v>
          </cell>
        </row>
        <row r="245">
          <cell r="D245">
            <v>256779415394</v>
          </cell>
          <cell r="E245">
            <v>45848</v>
          </cell>
          <cell r="F245" t="str">
            <v>USD</v>
          </cell>
          <cell r="G245">
            <v>1.92</v>
          </cell>
          <cell r="H245" t="str">
            <v xml:space="preserve"> -   </v>
          </cell>
          <cell r="I245">
            <v>169.86</v>
          </cell>
        </row>
        <row r="246">
          <cell r="D246">
            <v>256779415360</v>
          </cell>
          <cell r="E246">
            <v>45848</v>
          </cell>
          <cell r="F246" t="str">
            <v>USD</v>
          </cell>
          <cell r="G246">
            <v>1.2</v>
          </cell>
          <cell r="H246" t="str">
            <v xml:space="preserve"> -   </v>
          </cell>
          <cell r="I246">
            <v>106.16</v>
          </cell>
        </row>
        <row r="247">
          <cell r="D247">
            <v>256779415294</v>
          </cell>
          <cell r="E247">
            <v>45848</v>
          </cell>
          <cell r="F247" t="str">
            <v>USD</v>
          </cell>
          <cell r="G247">
            <v>0.48</v>
          </cell>
          <cell r="H247" t="str">
            <v xml:space="preserve"> -   </v>
          </cell>
          <cell r="I247">
            <v>42.47</v>
          </cell>
        </row>
        <row r="248">
          <cell r="D248">
            <v>256779415370</v>
          </cell>
          <cell r="E248">
            <v>45848</v>
          </cell>
          <cell r="F248" t="str">
            <v>USD</v>
          </cell>
          <cell r="G248">
            <v>1.44</v>
          </cell>
          <cell r="H248" t="str">
            <v xml:space="preserve"> -   </v>
          </cell>
          <cell r="I248">
            <v>127.4</v>
          </cell>
        </row>
        <row r="249">
          <cell r="D249">
            <v>256779415335</v>
          </cell>
          <cell r="E249">
            <v>45848</v>
          </cell>
          <cell r="F249" t="str">
            <v>USD</v>
          </cell>
          <cell r="G249">
            <v>0.5</v>
          </cell>
          <cell r="H249" t="str">
            <v xml:space="preserve"> -   </v>
          </cell>
          <cell r="I249">
            <v>44.24</v>
          </cell>
        </row>
        <row r="250">
          <cell r="D250">
            <v>256779415364</v>
          </cell>
          <cell r="E250">
            <v>45848</v>
          </cell>
          <cell r="F250" t="str">
            <v>USD</v>
          </cell>
          <cell r="G250">
            <v>4</v>
          </cell>
          <cell r="H250" t="str">
            <v xml:space="preserve"> -   </v>
          </cell>
          <cell r="I250">
            <v>353.88</v>
          </cell>
        </row>
        <row r="251">
          <cell r="D251">
            <v>256779415299</v>
          </cell>
          <cell r="E251">
            <v>45848</v>
          </cell>
          <cell r="F251" t="str">
            <v>USD</v>
          </cell>
          <cell r="G251">
            <v>0.48</v>
          </cell>
          <cell r="H251" t="str">
            <v xml:space="preserve"> -   </v>
          </cell>
          <cell r="I251">
            <v>42.47</v>
          </cell>
        </row>
        <row r="252">
          <cell r="D252">
            <v>256779415307</v>
          </cell>
          <cell r="E252">
            <v>45848</v>
          </cell>
          <cell r="F252" t="str">
            <v>USD</v>
          </cell>
          <cell r="G252">
            <v>0.6</v>
          </cell>
          <cell r="H252" t="str">
            <v xml:space="preserve"> -   </v>
          </cell>
          <cell r="I252">
            <v>53.08</v>
          </cell>
        </row>
        <row r="253">
          <cell r="D253">
            <v>256779415347</v>
          </cell>
          <cell r="E253">
            <v>45848</v>
          </cell>
          <cell r="F253" t="str">
            <v>USD</v>
          </cell>
          <cell r="G253">
            <v>0.4</v>
          </cell>
          <cell r="H253" t="str">
            <v xml:space="preserve"> -   </v>
          </cell>
          <cell r="I253">
            <v>35.39</v>
          </cell>
        </row>
        <row r="254">
          <cell r="D254">
            <v>256779415316</v>
          </cell>
          <cell r="E254">
            <v>45848</v>
          </cell>
          <cell r="F254" t="str">
            <v>USD</v>
          </cell>
          <cell r="G254">
            <v>1.2</v>
          </cell>
          <cell r="H254" t="str">
            <v xml:space="preserve"> -   </v>
          </cell>
          <cell r="I254">
            <v>106.16</v>
          </cell>
        </row>
        <row r="255">
          <cell r="D255">
            <v>256779415297</v>
          </cell>
          <cell r="E255">
            <v>45848</v>
          </cell>
          <cell r="F255" t="str">
            <v>USD</v>
          </cell>
          <cell r="G255">
            <v>0.48</v>
          </cell>
          <cell r="H255" t="str">
            <v xml:space="preserve"> -   </v>
          </cell>
          <cell r="I255">
            <v>42.47</v>
          </cell>
        </row>
        <row r="256">
          <cell r="D256">
            <v>256779415292</v>
          </cell>
          <cell r="E256">
            <v>45848</v>
          </cell>
          <cell r="F256" t="str">
            <v>USD</v>
          </cell>
          <cell r="G256">
            <v>0.48</v>
          </cell>
          <cell r="H256" t="str">
            <v xml:space="preserve"> -   </v>
          </cell>
          <cell r="I256">
            <v>42.47</v>
          </cell>
        </row>
        <row r="257">
          <cell r="D257">
            <v>256779415353</v>
          </cell>
          <cell r="E257">
            <v>45848</v>
          </cell>
          <cell r="F257" t="str">
            <v>USD</v>
          </cell>
          <cell r="G257">
            <v>4</v>
          </cell>
          <cell r="H257" t="str">
            <v xml:space="preserve"> -   </v>
          </cell>
          <cell r="I257">
            <v>353.88</v>
          </cell>
        </row>
        <row r="258">
          <cell r="D258">
            <v>256779415330</v>
          </cell>
          <cell r="E258">
            <v>45848</v>
          </cell>
          <cell r="F258" t="str">
            <v>USD</v>
          </cell>
          <cell r="G258">
            <v>0.45</v>
          </cell>
          <cell r="H258" t="str">
            <v xml:space="preserve"> -   </v>
          </cell>
          <cell r="I258">
            <v>39.81</v>
          </cell>
        </row>
        <row r="259">
          <cell r="D259">
            <v>256779415366</v>
          </cell>
          <cell r="E259">
            <v>45848</v>
          </cell>
          <cell r="F259" t="str">
            <v>USD</v>
          </cell>
          <cell r="G259">
            <v>3.84</v>
          </cell>
          <cell r="H259" t="str">
            <v xml:space="preserve"> -   </v>
          </cell>
          <cell r="I259">
            <v>339.72</v>
          </cell>
        </row>
        <row r="260">
          <cell r="D260">
            <v>256779415311</v>
          </cell>
          <cell r="E260">
            <v>45848</v>
          </cell>
          <cell r="F260" t="str">
            <v>USD</v>
          </cell>
          <cell r="G260">
            <v>1.55</v>
          </cell>
          <cell r="H260" t="str">
            <v xml:space="preserve"> -   </v>
          </cell>
          <cell r="I260">
            <v>137.13</v>
          </cell>
        </row>
        <row r="261">
          <cell r="D261">
            <v>256779415320</v>
          </cell>
          <cell r="E261">
            <v>45848</v>
          </cell>
          <cell r="F261" t="str">
            <v>USD</v>
          </cell>
          <cell r="G261">
            <v>0.25</v>
          </cell>
          <cell r="H261" t="str">
            <v xml:space="preserve"> -   </v>
          </cell>
          <cell r="I261">
            <v>22.12</v>
          </cell>
        </row>
        <row r="262">
          <cell r="D262">
            <v>256779415329</v>
          </cell>
          <cell r="E262">
            <v>45848</v>
          </cell>
          <cell r="F262" t="str">
            <v>USD</v>
          </cell>
          <cell r="G262">
            <v>0.55000000000000004</v>
          </cell>
          <cell r="H262" t="str">
            <v xml:space="preserve"> -   </v>
          </cell>
          <cell r="I262">
            <v>48.66</v>
          </cell>
        </row>
        <row r="263">
          <cell r="D263">
            <v>256779415327</v>
          </cell>
          <cell r="E263">
            <v>45848</v>
          </cell>
          <cell r="F263" t="str">
            <v>USD</v>
          </cell>
          <cell r="G263">
            <v>0.4</v>
          </cell>
          <cell r="H263" t="str">
            <v xml:space="preserve"> -   </v>
          </cell>
          <cell r="I263">
            <v>35.39</v>
          </cell>
        </row>
        <row r="264">
          <cell r="D264">
            <v>256779411970</v>
          </cell>
          <cell r="E264">
            <v>45763</v>
          </cell>
          <cell r="F264" t="str">
            <v>USD</v>
          </cell>
          <cell r="G264">
            <v>0.17</v>
          </cell>
          <cell r="H264" t="str">
            <v xml:space="preserve"> -   </v>
          </cell>
          <cell r="I264">
            <v>14.57</v>
          </cell>
        </row>
        <row r="265">
          <cell r="D265">
            <v>256779415367</v>
          </cell>
          <cell r="E265">
            <v>45848</v>
          </cell>
          <cell r="F265" t="str">
            <v>USD</v>
          </cell>
          <cell r="G265">
            <v>4</v>
          </cell>
          <cell r="H265" t="str">
            <v xml:space="preserve"> -   </v>
          </cell>
          <cell r="I265">
            <v>353.88</v>
          </cell>
        </row>
        <row r="266">
          <cell r="D266">
            <v>256779415368</v>
          </cell>
          <cell r="E266">
            <v>45848</v>
          </cell>
          <cell r="F266" t="str">
            <v>USD</v>
          </cell>
          <cell r="G266">
            <v>1.2</v>
          </cell>
          <cell r="H266" t="str">
            <v xml:space="preserve"> -   </v>
          </cell>
          <cell r="I266">
            <v>106.16</v>
          </cell>
        </row>
        <row r="267">
          <cell r="D267">
            <v>256779415312</v>
          </cell>
          <cell r="E267">
            <v>45848</v>
          </cell>
          <cell r="F267" t="str">
            <v>USD</v>
          </cell>
          <cell r="G267">
            <v>4</v>
          </cell>
          <cell r="H267" t="str">
            <v xml:space="preserve"> -   </v>
          </cell>
          <cell r="I267">
            <v>353.88</v>
          </cell>
        </row>
        <row r="268">
          <cell r="D268">
            <v>256779415301</v>
          </cell>
          <cell r="E268">
            <v>45848</v>
          </cell>
          <cell r="F268" t="str">
            <v>USD</v>
          </cell>
          <cell r="G268">
            <v>0.6</v>
          </cell>
          <cell r="H268" t="str">
            <v xml:space="preserve"> -   </v>
          </cell>
          <cell r="I268">
            <v>53.08</v>
          </cell>
        </row>
        <row r="269">
          <cell r="D269">
            <v>256779415324</v>
          </cell>
          <cell r="E269">
            <v>45848</v>
          </cell>
          <cell r="F269" t="str">
            <v>USD</v>
          </cell>
          <cell r="G269">
            <v>2.93</v>
          </cell>
          <cell r="H269" t="str">
            <v xml:space="preserve"> -   </v>
          </cell>
          <cell r="I269">
            <v>259.22000000000003</v>
          </cell>
        </row>
        <row r="270">
          <cell r="D270">
            <v>256779415322</v>
          </cell>
          <cell r="E270">
            <v>45848</v>
          </cell>
          <cell r="F270" t="str">
            <v>USD</v>
          </cell>
          <cell r="G270">
            <v>3.84</v>
          </cell>
          <cell r="H270" t="str">
            <v xml:space="preserve"> -   </v>
          </cell>
          <cell r="I270">
            <v>339.72</v>
          </cell>
        </row>
        <row r="271">
          <cell r="D271">
            <v>256779415354</v>
          </cell>
          <cell r="E271">
            <v>45848</v>
          </cell>
          <cell r="F271" t="str">
            <v>USD</v>
          </cell>
          <cell r="G271">
            <v>1.2</v>
          </cell>
          <cell r="H271" t="str">
            <v xml:space="preserve"> -   </v>
          </cell>
          <cell r="I271">
            <v>106.16</v>
          </cell>
        </row>
        <row r="272">
          <cell r="D272">
            <v>256779415351</v>
          </cell>
          <cell r="E272">
            <v>45848</v>
          </cell>
          <cell r="F272" t="str">
            <v>USD</v>
          </cell>
          <cell r="G272">
            <v>0.34</v>
          </cell>
          <cell r="H272" t="str">
            <v xml:space="preserve"> -   </v>
          </cell>
          <cell r="I272">
            <v>29.24</v>
          </cell>
        </row>
        <row r="273">
          <cell r="D273">
            <v>256779415365</v>
          </cell>
          <cell r="E273">
            <v>45848</v>
          </cell>
          <cell r="F273" t="str">
            <v>USD</v>
          </cell>
          <cell r="G273">
            <v>6.26</v>
          </cell>
          <cell r="H273" t="str">
            <v xml:space="preserve"> -   </v>
          </cell>
          <cell r="I273">
            <v>553.82000000000005</v>
          </cell>
        </row>
        <row r="274">
          <cell r="D274">
            <v>256779415474</v>
          </cell>
          <cell r="E274">
            <v>45856</v>
          </cell>
          <cell r="F274" t="str">
            <v>USD</v>
          </cell>
          <cell r="G274">
            <v>12.17</v>
          </cell>
          <cell r="H274" t="str">
            <v xml:space="preserve"> -   </v>
          </cell>
          <cell r="I274">
            <v>1046.49</v>
          </cell>
        </row>
        <row r="275">
          <cell r="D275">
            <v>256779415442</v>
          </cell>
          <cell r="E275">
            <v>45856</v>
          </cell>
          <cell r="F275" t="str">
            <v>USD</v>
          </cell>
          <cell r="G275">
            <v>0.03</v>
          </cell>
          <cell r="H275" t="str">
            <v xml:space="preserve"> -   </v>
          </cell>
          <cell r="I275">
            <v>2.58</v>
          </cell>
        </row>
        <row r="276">
          <cell r="D276">
            <v>256779415323</v>
          </cell>
          <cell r="E276">
            <v>45848</v>
          </cell>
          <cell r="F276" t="str">
            <v>USD</v>
          </cell>
          <cell r="G276">
            <v>4.24</v>
          </cell>
          <cell r="H276" t="str">
            <v xml:space="preserve"> -   </v>
          </cell>
          <cell r="I276">
            <v>375.11</v>
          </cell>
        </row>
        <row r="277">
          <cell r="D277">
            <v>256779417137</v>
          </cell>
          <cell r="E277">
            <v>45904</v>
          </cell>
          <cell r="F277" t="str">
            <v>USD</v>
          </cell>
          <cell r="G277">
            <v>8.1999999999999993</v>
          </cell>
          <cell r="H277" t="str">
            <v xml:space="preserve"> -   </v>
          </cell>
          <cell r="I277">
            <v>718.75</v>
          </cell>
        </row>
        <row r="278">
          <cell r="D278">
            <v>256779415012</v>
          </cell>
          <cell r="E278">
            <v>45842</v>
          </cell>
          <cell r="F278" t="str">
            <v>USD</v>
          </cell>
          <cell r="G278">
            <v>3.68</v>
          </cell>
          <cell r="H278" t="str">
            <v xml:space="preserve"> -   </v>
          </cell>
          <cell r="I278">
            <v>316.44</v>
          </cell>
        </row>
        <row r="279">
          <cell r="D279">
            <v>256779417597</v>
          </cell>
          <cell r="E279">
            <v>45918</v>
          </cell>
          <cell r="F279" t="str">
            <v>USD</v>
          </cell>
          <cell r="G279">
            <v>21.1</v>
          </cell>
          <cell r="H279" t="str">
            <v xml:space="preserve"> -   </v>
          </cell>
          <cell r="I279">
            <v>1849.46</v>
          </cell>
        </row>
        <row r="280">
          <cell r="D280">
            <v>256779415453</v>
          </cell>
          <cell r="E280">
            <v>45856</v>
          </cell>
          <cell r="F280" t="str">
            <v>USD</v>
          </cell>
          <cell r="G280">
            <v>5.87</v>
          </cell>
          <cell r="H280" t="str">
            <v xml:space="preserve"> -   </v>
          </cell>
          <cell r="I280">
            <v>504.76</v>
          </cell>
        </row>
        <row r="281">
          <cell r="D281">
            <v>256779415387</v>
          </cell>
          <cell r="E281">
            <v>45848</v>
          </cell>
          <cell r="F281" t="str">
            <v>USD</v>
          </cell>
          <cell r="G281">
            <v>1.42</v>
          </cell>
          <cell r="H281" t="str">
            <v xml:space="preserve"> -   </v>
          </cell>
          <cell r="I281">
            <v>122.11</v>
          </cell>
        </row>
        <row r="282">
          <cell r="D282">
            <v>256779417134</v>
          </cell>
          <cell r="E282">
            <v>45904</v>
          </cell>
          <cell r="F282" t="str">
            <v>USD</v>
          </cell>
          <cell r="G282">
            <v>10.73</v>
          </cell>
          <cell r="H282" t="str">
            <v xml:space="preserve"> -   </v>
          </cell>
          <cell r="I282">
            <v>940.51</v>
          </cell>
        </row>
        <row r="283">
          <cell r="D283">
            <v>256779415289</v>
          </cell>
          <cell r="E283">
            <v>45848</v>
          </cell>
          <cell r="F283" t="str">
            <v>USD</v>
          </cell>
          <cell r="G283">
            <v>5</v>
          </cell>
          <cell r="H283" t="str">
            <v xml:space="preserve"> -   </v>
          </cell>
          <cell r="I283">
            <v>442.35</v>
          </cell>
        </row>
        <row r="284">
          <cell r="D284">
            <v>256779415302</v>
          </cell>
          <cell r="E284">
            <v>45848</v>
          </cell>
          <cell r="F284" t="str">
            <v>USD</v>
          </cell>
          <cell r="G284">
            <v>0.6</v>
          </cell>
          <cell r="H284" t="str">
            <v xml:space="preserve"> -   </v>
          </cell>
          <cell r="I284">
            <v>53.08</v>
          </cell>
        </row>
        <row r="285">
          <cell r="D285">
            <v>256779415313</v>
          </cell>
          <cell r="E285">
            <v>45848</v>
          </cell>
          <cell r="F285" t="str">
            <v>USD</v>
          </cell>
          <cell r="G285">
            <v>1.2</v>
          </cell>
          <cell r="H285" t="str">
            <v xml:space="preserve"> -   </v>
          </cell>
          <cell r="I285">
            <v>106.16</v>
          </cell>
        </row>
        <row r="286">
          <cell r="D286">
            <v>256779415517</v>
          </cell>
          <cell r="E286">
            <v>45856</v>
          </cell>
          <cell r="F286" t="str">
            <v>USD</v>
          </cell>
          <cell r="G286">
            <v>2.33</v>
          </cell>
          <cell r="H286" t="str">
            <v xml:space="preserve"> -   </v>
          </cell>
          <cell r="I286">
            <v>200.36</v>
          </cell>
        </row>
        <row r="287">
          <cell r="D287">
            <v>256779417801</v>
          </cell>
          <cell r="E287">
            <v>45922</v>
          </cell>
          <cell r="F287" t="str">
            <v>USD</v>
          </cell>
          <cell r="G287">
            <v>95.11</v>
          </cell>
          <cell r="H287" t="str">
            <v xml:space="preserve"> -   </v>
          </cell>
          <cell r="I287">
            <v>8336.57</v>
          </cell>
        </row>
        <row r="288">
          <cell r="D288">
            <v>256779415309</v>
          </cell>
          <cell r="E288">
            <v>45848</v>
          </cell>
          <cell r="F288" t="str">
            <v>USD</v>
          </cell>
          <cell r="G288">
            <v>0.6</v>
          </cell>
          <cell r="H288" t="str">
            <v xml:space="preserve"> -   </v>
          </cell>
          <cell r="I288">
            <v>53.08</v>
          </cell>
        </row>
        <row r="289">
          <cell r="D289">
            <v>256779416007</v>
          </cell>
          <cell r="E289">
            <v>45863</v>
          </cell>
          <cell r="F289" t="str">
            <v>USD</v>
          </cell>
          <cell r="G289">
            <v>8.42</v>
          </cell>
          <cell r="H289" t="str">
            <v xml:space="preserve"> -   </v>
          </cell>
          <cell r="I289">
            <v>724.03</v>
          </cell>
        </row>
        <row r="290">
          <cell r="D290">
            <v>256779415325</v>
          </cell>
          <cell r="E290">
            <v>45848</v>
          </cell>
          <cell r="F290" t="str">
            <v>USD</v>
          </cell>
          <cell r="G290">
            <v>3.84</v>
          </cell>
          <cell r="H290" t="str">
            <v xml:space="preserve"> -   </v>
          </cell>
          <cell r="I290">
            <v>339.72</v>
          </cell>
        </row>
        <row r="291">
          <cell r="D291">
            <v>256779417200</v>
          </cell>
          <cell r="E291">
            <v>45904</v>
          </cell>
          <cell r="F291" t="str">
            <v>USD</v>
          </cell>
          <cell r="G291">
            <v>2.0099999999999998</v>
          </cell>
          <cell r="H291" t="str">
            <v xml:space="preserve"> -   </v>
          </cell>
          <cell r="I291">
            <v>176.18</v>
          </cell>
        </row>
        <row r="292">
          <cell r="D292">
            <v>256779415426</v>
          </cell>
          <cell r="E292">
            <v>45856</v>
          </cell>
          <cell r="F292" t="str">
            <v>USD</v>
          </cell>
          <cell r="G292">
            <v>9.2899999999999991</v>
          </cell>
          <cell r="H292" t="str">
            <v xml:space="preserve"> -   </v>
          </cell>
          <cell r="I292">
            <v>798.84</v>
          </cell>
        </row>
        <row r="293">
          <cell r="D293">
            <v>256779415989</v>
          </cell>
          <cell r="E293">
            <v>45863</v>
          </cell>
          <cell r="F293" t="str">
            <v>USD</v>
          </cell>
          <cell r="G293">
            <v>6</v>
          </cell>
          <cell r="H293" t="str">
            <v xml:space="preserve"> -   </v>
          </cell>
          <cell r="I293">
            <v>515.94000000000005</v>
          </cell>
        </row>
        <row r="294">
          <cell r="D294">
            <v>256779417238</v>
          </cell>
          <cell r="E294">
            <v>45904</v>
          </cell>
          <cell r="F294" t="str">
            <v>USD</v>
          </cell>
          <cell r="G294">
            <v>12.18</v>
          </cell>
          <cell r="H294" t="str">
            <v xml:space="preserve"> -   </v>
          </cell>
          <cell r="I294">
            <v>1067.5999999999999</v>
          </cell>
        </row>
        <row r="295">
          <cell r="D295">
            <v>256779415261</v>
          </cell>
          <cell r="E295">
            <v>45842</v>
          </cell>
          <cell r="F295" t="str">
            <v>USD</v>
          </cell>
          <cell r="G295">
            <v>5.85</v>
          </cell>
          <cell r="H295" t="str">
            <v xml:space="preserve"> -   </v>
          </cell>
          <cell r="I295">
            <v>503.04</v>
          </cell>
        </row>
        <row r="296">
          <cell r="D296">
            <v>256779415331</v>
          </cell>
          <cell r="E296">
            <v>45848</v>
          </cell>
          <cell r="F296" t="str">
            <v>USD</v>
          </cell>
          <cell r="G296">
            <v>0.45</v>
          </cell>
          <cell r="H296" t="str">
            <v xml:space="preserve"> -   </v>
          </cell>
          <cell r="I296">
            <v>39.81</v>
          </cell>
        </row>
        <row r="297">
          <cell r="D297">
            <v>256779415290</v>
          </cell>
          <cell r="E297">
            <v>45848</v>
          </cell>
          <cell r="F297" t="str">
            <v>USD</v>
          </cell>
          <cell r="G297">
            <v>0.48</v>
          </cell>
          <cell r="H297" t="str">
            <v xml:space="preserve"> -   </v>
          </cell>
          <cell r="I297">
            <v>42.47</v>
          </cell>
        </row>
        <row r="298">
          <cell r="D298">
            <v>256779416442</v>
          </cell>
          <cell r="E298">
            <v>45877</v>
          </cell>
          <cell r="F298" t="str">
            <v>USD</v>
          </cell>
          <cell r="G298">
            <v>21.06</v>
          </cell>
          <cell r="H298" t="str">
            <v xml:space="preserve"> -   </v>
          </cell>
          <cell r="I298">
            <v>1824.45</v>
          </cell>
        </row>
        <row r="299">
          <cell r="D299">
            <v>256779416169</v>
          </cell>
          <cell r="E299">
            <v>45877</v>
          </cell>
          <cell r="F299" t="str">
            <v>USD</v>
          </cell>
          <cell r="G299">
            <v>5.14</v>
          </cell>
          <cell r="H299" t="str">
            <v xml:space="preserve"> -   </v>
          </cell>
          <cell r="I299">
            <v>445.28</v>
          </cell>
        </row>
        <row r="300">
          <cell r="D300">
            <v>256779416214</v>
          </cell>
          <cell r="E300">
            <v>45877</v>
          </cell>
          <cell r="F300" t="str">
            <v>USD</v>
          </cell>
          <cell r="G300">
            <v>4.24</v>
          </cell>
          <cell r="H300" t="str">
            <v xml:space="preserve"> -   </v>
          </cell>
          <cell r="I300">
            <v>367.31</v>
          </cell>
        </row>
        <row r="301">
          <cell r="D301">
            <v>256779416454</v>
          </cell>
          <cell r="E301">
            <v>45877</v>
          </cell>
          <cell r="F301" t="str">
            <v>USD</v>
          </cell>
          <cell r="G301">
            <v>8.2200000000000006</v>
          </cell>
          <cell r="H301" t="str">
            <v xml:space="preserve"> -   </v>
          </cell>
          <cell r="I301">
            <v>712.11</v>
          </cell>
        </row>
        <row r="302">
          <cell r="D302">
            <v>256779416255</v>
          </cell>
          <cell r="E302">
            <v>45877</v>
          </cell>
          <cell r="F302" t="str">
            <v>USD</v>
          </cell>
          <cell r="G302">
            <v>7.84</v>
          </cell>
          <cell r="H302" t="str">
            <v xml:space="preserve"> -   </v>
          </cell>
          <cell r="I302">
            <v>679.19</v>
          </cell>
        </row>
        <row r="303">
          <cell r="D303">
            <v>256779416096</v>
          </cell>
          <cell r="E303">
            <v>45877</v>
          </cell>
          <cell r="F303" t="str">
            <v>USD</v>
          </cell>
          <cell r="G303">
            <v>147.72999999999999</v>
          </cell>
          <cell r="H303" t="str">
            <v xml:space="preserve"> -   </v>
          </cell>
          <cell r="I303">
            <v>12797.98</v>
          </cell>
        </row>
        <row r="304">
          <cell r="D304">
            <v>256779417580</v>
          </cell>
          <cell r="E304">
            <v>45918</v>
          </cell>
          <cell r="F304" t="str">
            <v>USD</v>
          </cell>
          <cell r="G304">
            <v>3.69</v>
          </cell>
          <cell r="H304" t="str">
            <v xml:space="preserve"> -   </v>
          </cell>
          <cell r="I304">
            <v>3.69</v>
          </cell>
        </row>
        <row r="305">
          <cell r="D305">
            <v>256779417744</v>
          </cell>
          <cell r="E305">
            <v>45922</v>
          </cell>
          <cell r="F305" t="str">
            <v>USD</v>
          </cell>
          <cell r="G305">
            <v>17.399999999999999</v>
          </cell>
          <cell r="H305" t="str">
            <v xml:space="preserve"> -   </v>
          </cell>
          <cell r="I305">
            <v>1525.14</v>
          </cell>
        </row>
        <row r="306">
          <cell r="D306">
            <v>256779417517</v>
          </cell>
          <cell r="E306">
            <v>45918</v>
          </cell>
          <cell r="F306" t="str">
            <v>USD</v>
          </cell>
          <cell r="G306">
            <v>0.09</v>
          </cell>
          <cell r="H306" t="str">
            <v xml:space="preserve"> -   </v>
          </cell>
          <cell r="I306">
            <v>7.89</v>
          </cell>
        </row>
        <row r="307">
          <cell r="D307">
            <v>256779417257</v>
          </cell>
          <cell r="E307">
            <v>45904</v>
          </cell>
          <cell r="F307" t="str">
            <v>USD</v>
          </cell>
          <cell r="G307">
            <v>0.46</v>
          </cell>
          <cell r="H307" t="str">
            <v xml:space="preserve"> -   </v>
          </cell>
          <cell r="I307">
            <v>40.32</v>
          </cell>
        </row>
        <row r="308">
          <cell r="D308">
            <v>256779417350</v>
          </cell>
          <cell r="E308">
            <v>45904</v>
          </cell>
          <cell r="F308" t="str">
            <v>USD</v>
          </cell>
          <cell r="G308">
            <v>1</v>
          </cell>
          <cell r="H308" t="str">
            <v xml:space="preserve"> -   </v>
          </cell>
          <cell r="I308">
            <v>87.65</v>
          </cell>
        </row>
        <row r="309">
          <cell r="D309">
            <v>256779414859</v>
          </cell>
          <cell r="E309">
            <v>45842</v>
          </cell>
          <cell r="F309" t="str">
            <v>USD</v>
          </cell>
          <cell r="G309">
            <v>6.37</v>
          </cell>
          <cell r="H309" t="str">
            <v xml:space="preserve"> -   </v>
          </cell>
          <cell r="I309">
            <v>547.75</v>
          </cell>
        </row>
        <row r="310">
          <cell r="D310">
            <v>256779417349</v>
          </cell>
          <cell r="E310">
            <v>45904</v>
          </cell>
          <cell r="F310" t="str">
            <v>USD</v>
          </cell>
          <cell r="G310">
            <v>1.83</v>
          </cell>
          <cell r="H310" t="str">
            <v xml:space="preserve"> -   </v>
          </cell>
          <cell r="I310">
            <v>160.4</v>
          </cell>
        </row>
        <row r="311">
          <cell r="D311">
            <v>256779417348</v>
          </cell>
          <cell r="E311">
            <v>45904</v>
          </cell>
          <cell r="F311" t="str">
            <v>USD</v>
          </cell>
          <cell r="G311">
            <v>45.71</v>
          </cell>
          <cell r="H311" t="str">
            <v xml:space="preserve"> -   </v>
          </cell>
          <cell r="I311">
            <v>4006.57</v>
          </cell>
        </row>
        <row r="312">
          <cell r="D312">
            <v>256779417557</v>
          </cell>
          <cell r="E312">
            <v>45918</v>
          </cell>
          <cell r="F312" t="str">
            <v>USD</v>
          </cell>
          <cell r="G312">
            <v>14.52</v>
          </cell>
          <cell r="H312" t="str">
            <v xml:space="preserve"> -   </v>
          </cell>
          <cell r="I312">
            <v>1272.71</v>
          </cell>
        </row>
        <row r="313">
          <cell r="D313">
            <v>256779417158</v>
          </cell>
          <cell r="E313">
            <v>45904</v>
          </cell>
          <cell r="F313" t="str">
            <v>USD</v>
          </cell>
          <cell r="G313">
            <v>2.2000000000000002</v>
          </cell>
          <cell r="H313" t="str">
            <v xml:space="preserve"> -   </v>
          </cell>
          <cell r="I313">
            <v>192.83</v>
          </cell>
        </row>
        <row r="314">
          <cell r="D314">
            <v>256779415319</v>
          </cell>
          <cell r="E314">
            <v>45848</v>
          </cell>
          <cell r="F314" t="str">
            <v>USD</v>
          </cell>
          <cell r="G314">
            <v>2.8</v>
          </cell>
          <cell r="H314" t="str">
            <v xml:space="preserve"> -   </v>
          </cell>
          <cell r="I314">
            <v>247.72</v>
          </cell>
        </row>
        <row r="315">
          <cell r="D315">
            <v>256779416137</v>
          </cell>
          <cell r="E315">
            <v>45877</v>
          </cell>
          <cell r="F315" t="str">
            <v>USD</v>
          </cell>
          <cell r="G315">
            <v>1.1000000000000001</v>
          </cell>
          <cell r="H315" t="str">
            <v xml:space="preserve"> -   </v>
          </cell>
          <cell r="I315">
            <v>95.29</v>
          </cell>
        </row>
        <row r="316">
          <cell r="D316">
            <v>256779413972</v>
          </cell>
          <cell r="E316">
            <v>45810</v>
          </cell>
          <cell r="F316" t="str">
            <v>INR</v>
          </cell>
          <cell r="G316" t="str">
            <v xml:space="preserve"> -   </v>
          </cell>
          <cell r="H316" t="str">
            <v xml:space="preserve"> -   </v>
          </cell>
          <cell r="I316">
            <v>6</v>
          </cell>
        </row>
        <row r="317">
          <cell r="D317">
            <v>256779413148</v>
          </cell>
          <cell r="E317">
            <v>45787</v>
          </cell>
          <cell r="F317" t="str">
            <v>INR</v>
          </cell>
          <cell r="G317" t="str">
            <v xml:space="preserve"> -   </v>
          </cell>
          <cell r="H317" t="str">
            <v xml:space="preserve"> -   </v>
          </cell>
          <cell r="I317">
            <v>88</v>
          </cell>
        </row>
        <row r="318">
          <cell r="D318">
            <v>256779413146</v>
          </cell>
          <cell r="E318">
            <v>45787</v>
          </cell>
          <cell r="F318" t="str">
            <v>INR</v>
          </cell>
          <cell r="G318" t="str">
            <v xml:space="preserve"> -   </v>
          </cell>
          <cell r="H318" t="str">
            <v xml:space="preserve"> -   </v>
          </cell>
          <cell r="I318">
            <v>4000</v>
          </cell>
        </row>
        <row r="319">
          <cell r="D319">
            <v>256779413147</v>
          </cell>
          <cell r="E319">
            <v>45787</v>
          </cell>
          <cell r="F319" t="str">
            <v>INR</v>
          </cell>
          <cell r="G319" t="str">
            <v xml:space="preserve"> -   </v>
          </cell>
          <cell r="H319" t="str">
            <v xml:space="preserve"> -   </v>
          </cell>
          <cell r="I319">
            <v>160</v>
          </cell>
        </row>
        <row r="320">
          <cell r="D320">
            <v>246779411789</v>
          </cell>
          <cell r="E320">
            <v>45733</v>
          </cell>
          <cell r="F320" t="str">
            <v>USD</v>
          </cell>
          <cell r="G320">
            <v>8.56</v>
          </cell>
          <cell r="H320" t="str">
            <v xml:space="preserve"> -   </v>
          </cell>
          <cell r="I320">
            <v>745.08</v>
          </cell>
        </row>
        <row r="321">
          <cell r="D321">
            <v>256779413250</v>
          </cell>
          <cell r="E321">
            <v>45787</v>
          </cell>
          <cell r="F321" t="str">
            <v>USD</v>
          </cell>
          <cell r="G321">
            <v>8.4700000000000006</v>
          </cell>
          <cell r="H321" t="str">
            <v xml:space="preserve"> -   </v>
          </cell>
          <cell r="I321">
            <v>723.12</v>
          </cell>
        </row>
        <row r="322">
          <cell r="D322">
            <v>256779413240</v>
          </cell>
          <cell r="E322">
            <v>45787</v>
          </cell>
          <cell r="F322" t="str">
            <v>USD</v>
          </cell>
          <cell r="G322">
            <v>8.48</v>
          </cell>
          <cell r="H322" t="str">
            <v xml:space="preserve"> -   </v>
          </cell>
          <cell r="I322">
            <v>723.98</v>
          </cell>
        </row>
        <row r="323">
          <cell r="D323">
            <v>256779412776</v>
          </cell>
          <cell r="E323">
            <v>45771</v>
          </cell>
          <cell r="F323" t="str">
            <v>USD</v>
          </cell>
          <cell r="G323">
            <v>12.65</v>
          </cell>
          <cell r="H323" t="str">
            <v xml:space="preserve"> -   </v>
          </cell>
          <cell r="I323">
            <v>1084.45</v>
          </cell>
        </row>
        <row r="324">
          <cell r="D324">
            <v>246779411730</v>
          </cell>
          <cell r="E324">
            <v>45733</v>
          </cell>
          <cell r="F324" t="str">
            <v>USD</v>
          </cell>
          <cell r="G324">
            <v>0.23</v>
          </cell>
          <cell r="H324" t="str">
            <v xml:space="preserve"> -   </v>
          </cell>
          <cell r="I324">
            <v>20.02</v>
          </cell>
        </row>
        <row r="325">
          <cell r="D325">
            <v>256779414431</v>
          </cell>
          <cell r="E325">
            <v>45826</v>
          </cell>
          <cell r="F325" t="str">
            <v>USD</v>
          </cell>
          <cell r="G325">
            <v>1.05</v>
          </cell>
          <cell r="H325" t="str">
            <v xml:space="preserve"> -   </v>
          </cell>
          <cell r="I325">
            <v>89.32</v>
          </cell>
        </row>
        <row r="326">
          <cell r="D326">
            <v>256779413931</v>
          </cell>
          <cell r="E326">
            <v>45810</v>
          </cell>
          <cell r="F326" t="str">
            <v>USD</v>
          </cell>
          <cell r="G326">
            <v>7.9</v>
          </cell>
          <cell r="H326" t="str">
            <v xml:space="preserve"> -   </v>
          </cell>
          <cell r="I326">
            <v>672.01</v>
          </cell>
        </row>
        <row r="327">
          <cell r="D327">
            <v>256779413908</v>
          </cell>
          <cell r="E327">
            <v>45805</v>
          </cell>
          <cell r="F327" t="str">
            <v>USD</v>
          </cell>
          <cell r="G327">
            <v>64.02</v>
          </cell>
          <cell r="H327" t="str">
            <v xml:space="preserve"> -   </v>
          </cell>
          <cell r="I327">
            <v>5465.67</v>
          </cell>
        </row>
        <row r="328">
          <cell r="D328">
            <v>256779417971</v>
          </cell>
          <cell r="E328">
            <v>45935</v>
          </cell>
          <cell r="F328" t="str">
            <v>USD</v>
          </cell>
          <cell r="G328">
            <v>1.9</v>
          </cell>
          <cell r="H328" t="str">
            <v xml:space="preserve"> -   </v>
          </cell>
          <cell r="I328">
            <v>168.45</v>
          </cell>
        </row>
        <row r="329">
          <cell r="D329">
            <v>256779411465</v>
          </cell>
          <cell r="E329">
            <v>45762</v>
          </cell>
          <cell r="F329" t="str">
            <v>USD</v>
          </cell>
          <cell r="G329">
            <v>0.65</v>
          </cell>
          <cell r="H329" t="str">
            <v xml:space="preserve"> -   </v>
          </cell>
          <cell r="I329">
            <v>55.72</v>
          </cell>
        </row>
        <row r="330">
          <cell r="D330">
            <v>256779417317</v>
          </cell>
          <cell r="E330">
            <v>45904</v>
          </cell>
          <cell r="F330" t="str">
            <v>USD</v>
          </cell>
          <cell r="G330">
            <v>3.42</v>
          </cell>
          <cell r="H330" t="str">
            <v xml:space="preserve"> -   </v>
          </cell>
          <cell r="I330">
            <v>299.77</v>
          </cell>
        </row>
        <row r="331">
          <cell r="D331">
            <v>256779416030</v>
          </cell>
          <cell r="E331">
            <v>45870</v>
          </cell>
          <cell r="F331" t="str">
            <v>USD</v>
          </cell>
          <cell r="G331">
            <v>1.02</v>
          </cell>
          <cell r="H331" t="str">
            <v xml:space="preserve"> -   </v>
          </cell>
          <cell r="I331">
            <v>88.36</v>
          </cell>
        </row>
        <row r="332">
          <cell r="D332">
            <v>256779411466</v>
          </cell>
          <cell r="E332">
            <v>45762</v>
          </cell>
          <cell r="F332" t="str">
            <v>USD</v>
          </cell>
          <cell r="G332">
            <v>0.71</v>
          </cell>
          <cell r="H332" t="str">
            <v xml:space="preserve"> -   </v>
          </cell>
          <cell r="I332">
            <v>60.87</v>
          </cell>
        </row>
        <row r="333">
          <cell r="D333">
            <v>256779416028</v>
          </cell>
          <cell r="E333">
            <v>45870</v>
          </cell>
          <cell r="F333" t="str">
            <v>USD</v>
          </cell>
          <cell r="G333">
            <v>46.5</v>
          </cell>
          <cell r="H333" t="str">
            <v xml:space="preserve"> -   </v>
          </cell>
          <cell r="I333">
            <v>4028.34</v>
          </cell>
        </row>
        <row r="334">
          <cell r="D334">
            <v>256779419542</v>
          </cell>
          <cell r="E334">
            <v>45981</v>
          </cell>
          <cell r="F334" t="str">
            <v>USD</v>
          </cell>
          <cell r="G334">
            <v>8.19</v>
          </cell>
          <cell r="H334" t="str">
            <v xml:space="preserve"> -   </v>
          </cell>
          <cell r="I334">
            <v>722.79</v>
          </cell>
        </row>
        <row r="335">
          <cell r="D335">
            <v>256779416029</v>
          </cell>
          <cell r="E335">
            <v>45870</v>
          </cell>
          <cell r="F335" t="str">
            <v>USD</v>
          </cell>
          <cell r="G335">
            <v>1.86</v>
          </cell>
          <cell r="H335" t="str">
            <v xml:space="preserve"> -   </v>
          </cell>
          <cell r="I335">
            <v>161.13</v>
          </cell>
        </row>
        <row r="336">
          <cell r="D336">
            <v>256779417875</v>
          </cell>
          <cell r="E336">
            <v>45935</v>
          </cell>
          <cell r="F336" t="str">
            <v>USD</v>
          </cell>
          <cell r="G336">
            <v>45.36</v>
          </cell>
          <cell r="H336" t="str">
            <v xml:space="preserve"> -   </v>
          </cell>
          <cell r="I336">
            <v>4021.59</v>
          </cell>
        </row>
        <row r="337">
          <cell r="D337">
            <v>256779417876</v>
          </cell>
          <cell r="E337">
            <v>45935</v>
          </cell>
          <cell r="F337" t="str">
            <v>USD</v>
          </cell>
          <cell r="G337">
            <v>1.81</v>
          </cell>
          <cell r="H337" t="str">
            <v xml:space="preserve"> -   </v>
          </cell>
          <cell r="I337">
            <v>160.47</v>
          </cell>
        </row>
        <row r="338">
          <cell r="D338">
            <v>256779418433</v>
          </cell>
          <cell r="E338">
            <v>45948</v>
          </cell>
          <cell r="F338" t="str">
            <v>USD</v>
          </cell>
          <cell r="G338">
            <v>7.03</v>
          </cell>
          <cell r="H338" t="str">
            <v xml:space="preserve"> -   </v>
          </cell>
          <cell r="I338">
            <v>623.28</v>
          </cell>
        </row>
        <row r="339">
          <cell r="D339">
            <v>256779419211</v>
          </cell>
          <cell r="E339">
            <v>45966</v>
          </cell>
          <cell r="F339" t="str">
            <v>USD</v>
          </cell>
          <cell r="G339">
            <v>0.56000000000000005</v>
          </cell>
          <cell r="H339" t="str">
            <v xml:space="preserve"> -   </v>
          </cell>
          <cell r="I339">
            <v>49.42</v>
          </cell>
        </row>
        <row r="340">
          <cell r="D340">
            <v>256779417931</v>
          </cell>
          <cell r="E340">
            <v>45935</v>
          </cell>
          <cell r="F340" t="str">
            <v>USD</v>
          </cell>
          <cell r="G340">
            <v>5.78</v>
          </cell>
          <cell r="H340" t="str">
            <v xml:space="preserve"> -   </v>
          </cell>
          <cell r="I340">
            <v>512.45000000000005</v>
          </cell>
        </row>
        <row r="341">
          <cell r="D341">
            <v>256779418424</v>
          </cell>
          <cell r="E341">
            <v>45948</v>
          </cell>
          <cell r="F341" t="str">
            <v>USD</v>
          </cell>
          <cell r="G341">
            <v>26.69</v>
          </cell>
          <cell r="H341" t="str">
            <v xml:space="preserve"> -   </v>
          </cell>
          <cell r="I341">
            <v>2366.3200000000002</v>
          </cell>
        </row>
        <row r="342">
          <cell r="D342">
            <v>256779418391</v>
          </cell>
          <cell r="E342">
            <v>45935</v>
          </cell>
          <cell r="F342" t="str">
            <v>USD</v>
          </cell>
          <cell r="G342">
            <v>0.77</v>
          </cell>
          <cell r="H342" t="str">
            <v xml:space="preserve"> -   </v>
          </cell>
          <cell r="I342">
            <v>68.27</v>
          </cell>
        </row>
        <row r="343">
          <cell r="D343">
            <v>256779417877</v>
          </cell>
          <cell r="E343">
            <v>45935</v>
          </cell>
          <cell r="F343" t="str">
            <v>USD</v>
          </cell>
          <cell r="G343">
            <v>1</v>
          </cell>
          <cell r="H343" t="str">
            <v xml:space="preserve"> -   </v>
          </cell>
          <cell r="I343">
            <v>88.66</v>
          </cell>
        </row>
        <row r="344">
          <cell r="D344">
            <v>256779417892</v>
          </cell>
          <cell r="E344">
            <v>45935</v>
          </cell>
          <cell r="F344" t="str">
            <v>USD</v>
          </cell>
          <cell r="G344">
            <v>1.17</v>
          </cell>
          <cell r="H344" t="str">
            <v xml:space="preserve"> -   </v>
          </cell>
          <cell r="I344">
            <v>103.73</v>
          </cell>
        </row>
        <row r="345">
          <cell r="D345">
            <v>256779418480</v>
          </cell>
          <cell r="E345">
            <v>45951</v>
          </cell>
          <cell r="F345" t="str">
            <v>USD</v>
          </cell>
          <cell r="G345">
            <v>0.27</v>
          </cell>
          <cell r="H345" t="str">
            <v xml:space="preserve"> -   </v>
          </cell>
          <cell r="I345">
            <v>23.94</v>
          </cell>
        </row>
        <row r="346">
          <cell r="D346">
            <v>256779411463</v>
          </cell>
          <cell r="E346">
            <v>45762</v>
          </cell>
          <cell r="F346" t="str">
            <v>USD</v>
          </cell>
          <cell r="G346">
            <v>0.47</v>
          </cell>
          <cell r="H346" t="str">
            <v xml:space="preserve"> -   </v>
          </cell>
          <cell r="I346">
            <v>40.29</v>
          </cell>
        </row>
        <row r="347">
          <cell r="D347">
            <v>256779417280</v>
          </cell>
          <cell r="E347">
            <v>45904</v>
          </cell>
          <cell r="F347" t="str">
            <v>USD</v>
          </cell>
          <cell r="G347">
            <v>5</v>
          </cell>
          <cell r="H347" t="str">
            <v xml:space="preserve"> -   </v>
          </cell>
          <cell r="I347">
            <v>438.26</v>
          </cell>
        </row>
        <row r="348">
          <cell r="D348">
            <v>256779419165</v>
          </cell>
          <cell r="E348">
            <v>45966</v>
          </cell>
          <cell r="F348" t="str">
            <v>USD</v>
          </cell>
          <cell r="G348">
            <v>3.83</v>
          </cell>
          <cell r="H348" t="str">
            <v xml:space="preserve"> -   </v>
          </cell>
          <cell r="I348">
            <v>338.01</v>
          </cell>
        </row>
        <row r="349">
          <cell r="D349">
            <v>256779419192</v>
          </cell>
          <cell r="E349">
            <v>45966</v>
          </cell>
          <cell r="F349" t="str">
            <v>USD</v>
          </cell>
          <cell r="G349">
            <v>3.44</v>
          </cell>
          <cell r="H349" t="str">
            <v xml:space="preserve"> -   </v>
          </cell>
          <cell r="I349">
            <v>303.58999999999997</v>
          </cell>
        </row>
        <row r="350">
          <cell r="D350">
            <v>256779418777</v>
          </cell>
          <cell r="E350">
            <v>45966</v>
          </cell>
          <cell r="F350" t="str">
            <v>USD</v>
          </cell>
          <cell r="G350">
            <v>45.45</v>
          </cell>
          <cell r="H350" t="str">
            <v xml:space="preserve"> -   </v>
          </cell>
          <cell r="I350">
            <v>4011.08</v>
          </cell>
        </row>
        <row r="351">
          <cell r="D351">
            <v>256779418779</v>
          </cell>
          <cell r="E351">
            <v>45966</v>
          </cell>
          <cell r="F351" t="str">
            <v>USD</v>
          </cell>
          <cell r="G351">
            <v>1</v>
          </cell>
          <cell r="H351" t="str">
            <v xml:space="preserve"> -   </v>
          </cell>
          <cell r="I351">
            <v>88.25</v>
          </cell>
        </row>
        <row r="352">
          <cell r="D352">
            <v>256779419122</v>
          </cell>
          <cell r="E352">
            <v>45964</v>
          </cell>
          <cell r="F352" t="str">
            <v>USD</v>
          </cell>
          <cell r="G352">
            <v>13.41</v>
          </cell>
          <cell r="H352" t="str">
            <v xml:space="preserve"> -   </v>
          </cell>
          <cell r="I352">
            <v>1188.92</v>
          </cell>
        </row>
        <row r="353">
          <cell r="D353">
            <v>256779415332</v>
          </cell>
          <cell r="E353">
            <v>45848</v>
          </cell>
          <cell r="F353" t="str">
            <v>USD</v>
          </cell>
          <cell r="G353">
            <v>0.05</v>
          </cell>
          <cell r="H353" t="str">
            <v xml:space="preserve"> -   </v>
          </cell>
          <cell r="I353">
            <v>4.42</v>
          </cell>
        </row>
        <row r="354">
          <cell r="D354">
            <v>256779415328</v>
          </cell>
          <cell r="E354">
            <v>45848</v>
          </cell>
          <cell r="F354" t="str">
            <v>USD</v>
          </cell>
          <cell r="G354">
            <v>0.45</v>
          </cell>
          <cell r="H354" t="str">
            <v xml:space="preserve"> -   </v>
          </cell>
          <cell r="I354">
            <v>39.81</v>
          </cell>
        </row>
        <row r="355">
          <cell r="D355">
            <v>256779414741</v>
          </cell>
          <cell r="E355">
            <v>45827</v>
          </cell>
          <cell r="F355" t="str">
            <v>USD</v>
          </cell>
          <cell r="G355">
            <v>11.6</v>
          </cell>
          <cell r="H355" t="str">
            <v xml:space="preserve"> -   </v>
          </cell>
          <cell r="I355">
            <v>986.74</v>
          </cell>
        </row>
        <row r="356">
          <cell r="D356">
            <v>246779410665</v>
          </cell>
          <cell r="E356">
            <v>45720</v>
          </cell>
          <cell r="F356" t="str">
            <v>USD</v>
          </cell>
          <cell r="G356">
            <v>7.0000000000000007E-2</v>
          </cell>
          <cell r="H356" t="str">
            <v xml:space="preserve"> -   </v>
          </cell>
          <cell r="I356">
            <v>6.09</v>
          </cell>
        </row>
        <row r="357">
          <cell r="D357">
            <v>256779416909</v>
          </cell>
          <cell r="E357">
            <v>45934</v>
          </cell>
          <cell r="F357" t="str">
            <v>USD</v>
          </cell>
          <cell r="G357">
            <v>19.79</v>
          </cell>
          <cell r="H357" t="str">
            <v xml:space="preserve"> -   </v>
          </cell>
          <cell r="I357">
            <v>1754.57</v>
          </cell>
        </row>
        <row r="358">
          <cell r="D358">
            <v>256779415769</v>
          </cell>
          <cell r="E358">
            <v>45857</v>
          </cell>
          <cell r="F358" t="str">
            <v>USD</v>
          </cell>
          <cell r="G358">
            <v>4.7</v>
          </cell>
          <cell r="H358" t="str">
            <v xml:space="preserve"> -   </v>
          </cell>
          <cell r="I358">
            <v>404.15</v>
          </cell>
        </row>
        <row r="359">
          <cell r="D359">
            <v>256779418176</v>
          </cell>
          <cell r="E359">
            <v>45937</v>
          </cell>
          <cell r="F359" t="str">
            <v>USD</v>
          </cell>
          <cell r="G359">
            <v>12.78</v>
          </cell>
          <cell r="H359" t="str">
            <v xml:space="preserve"> -   </v>
          </cell>
          <cell r="I359">
            <v>1133.07</v>
          </cell>
        </row>
        <row r="360">
          <cell r="D360">
            <v>256779418006</v>
          </cell>
          <cell r="E360">
            <v>45936</v>
          </cell>
          <cell r="F360" t="str">
            <v>USD</v>
          </cell>
          <cell r="G360">
            <v>93.34</v>
          </cell>
          <cell r="H360" t="str">
            <v xml:space="preserve"> -   </v>
          </cell>
          <cell r="I360">
            <v>8275.48</v>
          </cell>
        </row>
        <row r="361">
          <cell r="D361">
            <v>256779415321</v>
          </cell>
          <cell r="E361">
            <v>45848</v>
          </cell>
          <cell r="F361" t="str">
            <v>USD</v>
          </cell>
          <cell r="G361">
            <v>4.25</v>
          </cell>
          <cell r="H361" t="str">
            <v xml:space="preserve"> -   </v>
          </cell>
          <cell r="I361">
            <v>376</v>
          </cell>
        </row>
        <row r="362">
          <cell r="D362">
            <v>256779414359</v>
          </cell>
          <cell r="E362">
            <v>45818</v>
          </cell>
          <cell r="F362" t="str">
            <v>USD</v>
          </cell>
          <cell r="G362">
            <v>1.87</v>
          </cell>
          <cell r="H362" t="str">
            <v xml:space="preserve"> -   </v>
          </cell>
          <cell r="I362">
            <v>159.07</v>
          </cell>
        </row>
        <row r="363">
          <cell r="D363">
            <v>256779418778</v>
          </cell>
          <cell r="E363">
            <v>45966</v>
          </cell>
          <cell r="F363" t="str">
            <v>USD</v>
          </cell>
          <cell r="G363">
            <v>1.82</v>
          </cell>
          <cell r="H363" t="str">
            <v xml:space="preserve"> -   </v>
          </cell>
          <cell r="I363">
            <v>160.62</v>
          </cell>
        </row>
        <row r="364">
          <cell r="D364">
            <v>256779418892</v>
          </cell>
          <cell r="E364">
            <v>45966</v>
          </cell>
          <cell r="F364" t="str">
            <v>USD</v>
          </cell>
          <cell r="G364">
            <v>33.68</v>
          </cell>
          <cell r="H364" t="str">
            <v xml:space="preserve"> -   </v>
          </cell>
          <cell r="I364">
            <v>2972.35</v>
          </cell>
        </row>
        <row r="365">
          <cell r="D365">
            <v>256779414917</v>
          </cell>
          <cell r="E365">
            <v>45842</v>
          </cell>
          <cell r="F365" t="str">
            <v>USD</v>
          </cell>
          <cell r="G365">
            <v>1.86</v>
          </cell>
          <cell r="H365" t="str">
            <v xml:space="preserve"> -   </v>
          </cell>
          <cell r="I365">
            <v>159.94</v>
          </cell>
        </row>
        <row r="366">
          <cell r="D366">
            <v>256779419620</v>
          </cell>
          <cell r="E366">
            <v>45981</v>
          </cell>
          <cell r="F366" t="str">
            <v>USD</v>
          </cell>
          <cell r="G366">
            <v>2.0499999999999998</v>
          </cell>
          <cell r="H366" t="str">
            <v xml:space="preserve"> -   </v>
          </cell>
          <cell r="I366">
            <v>180.92</v>
          </cell>
        </row>
        <row r="367">
          <cell r="D367">
            <v>256779414358</v>
          </cell>
          <cell r="E367">
            <v>45818</v>
          </cell>
          <cell r="F367" t="str">
            <v>USD</v>
          </cell>
          <cell r="G367">
            <v>46.79</v>
          </cell>
          <cell r="H367" t="str">
            <v xml:space="preserve"> -   </v>
          </cell>
          <cell r="I367">
            <v>3980.15</v>
          </cell>
        </row>
        <row r="368">
          <cell r="D368">
            <v>256779414918</v>
          </cell>
          <cell r="E368">
            <v>45842</v>
          </cell>
          <cell r="F368" t="str">
            <v>USD</v>
          </cell>
          <cell r="G368">
            <v>1.02</v>
          </cell>
          <cell r="H368" t="str">
            <v xml:space="preserve"> -   </v>
          </cell>
          <cell r="I368">
            <v>87.71</v>
          </cell>
        </row>
        <row r="369">
          <cell r="D369">
            <v>256779414360</v>
          </cell>
          <cell r="E369">
            <v>45818</v>
          </cell>
          <cell r="F369" t="str">
            <v>USD</v>
          </cell>
          <cell r="G369">
            <v>1.03</v>
          </cell>
          <cell r="H369" t="str">
            <v xml:space="preserve"> -   </v>
          </cell>
          <cell r="I369">
            <v>87.62</v>
          </cell>
        </row>
        <row r="370">
          <cell r="D370">
            <v>256779419531</v>
          </cell>
          <cell r="E370">
            <v>45981</v>
          </cell>
          <cell r="F370" t="str">
            <v>USD</v>
          </cell>
          <cell r="G370">
            <v>8.36</v>
          </cell>
          <cell r="H370" t="str">
            <v xml:space="preserve"> -   </v>
          </cell>
          <cell r="I370">
            <v>737.79</v>
          </cell>
        </row>
        <row r="371">
          <cell r="D371">
            <v>256779418904</v>
          </cell>
          <cell r="E371">
            <v>45966</v>
          </cell>
          <cell r="F371" t="str">
            <v>USD</v>
          </cell>
          <cell r="G371">
            <v>25.48</v>
          </cell>
          <cell r="H371" t="str">
            <v xml:space="preserve"> -   </v>
          </cell>
          <cell r="I371">
            <v>2248.6799999999998</v>
          </cell>
        </row>
        <row r="372">
          <cell r="D372">
            <v>256779414916</v>
          </cell>
          <cell r="E372">
            <v>45842</v>
          </cell>
          <cell r="F372" t="str">
            <v>USD</v>
          </cell>
          <cell r="G372">
            <v>46.51</v>
          </cell>
          <cell r="H372" t="str">
            <v xml:space="preserve"> -   </v>
          </cell>
          <cell r="I372">
            <v>3999.37</v>
          </cell>
        </row>
        <row r="373">
          <cell r="D373">
            <v>256779419972</v>
          </cell>
          <cell r="E373">
            <v>45995</v>
          </cell>
          <cell r="F373" t="str">
            <v>USD</v>
          </cell>
          <cell r="G373">
            <v>0.99</v>
          </cell>
          <cell r="H373" t="str">
            <v xml:space="preserve"> -   </v>
          </cell>
          <cell r="I373">
            <v>88.26</v>
          </cell>
        </row>
        <row r="374">
          <cell r="D374">
            <v>256779419908</v>
          </cell>
          <cell r="E374">
            <v>45996</v>
          </cell>
          <cell r="F374" t="str">
            <v>USD</v>
          </cell>
          <cell r="G374">
            <v>7.52</v>
          </cell>
          <cell r="H374" t="str">
            <v xml:space="preserve"> -   </v>
          </cell>
          <cell r="I374">
            <v>670.44</v>
          </cell>
        </row>
        <row r="375">
          <cell r="D375">
            <v>256779419970</v>
          </cell>
          <cell r="E375">
            <v>45995</v>
          </cell>
          <cell r="F375" t="str">
            <v>USD</v>
          </cell>
          <cell r="G375">
            <v>45.1</v>
          </cell>
          <cell r="H375" t="str">
            <v xml:space="preserve"> -   </v>
          </cell>
          <cell r="I375">
            <v>4020.88</v>
          </cell>
        </row>
        <row r="376">
          <cell r="D376">
            <v>256779416838</v>
          </cell>
          <cell r="E376">
            <v>45889</v>
          </cell>
          <cell r="F376" t="str">
            <v>USD</v>
          </cell>
          <cell r="G376">
            <v>13.7</v>
          </cell>
          <cell r="H376" t="str">
            <v xml:space="preserve"> -   </v>
          </cell>
          <cell r="I376">
            <v>1186.8399999999999</v>
          </cell>
        </row>
        <row r="377">
          <cell r="D377">
            <v>256779419858</v>
          </cell>
          <cell r="E377">
            <v>45999</v>
          </cell>
          <cell r="F377" t="str">
            <v>USD</v>
          </cell>
          <cell r="G377">
            <v>2.95</v>
          </cell>
          <cell r="H377" t="str">
            <v xml:space="preserve"> -   </v>
          </cell>
          <cell r="I377">
            <v>263.01</v>
          </cell>
        </row>
        <row r="378">
          <cell r="D378">
            <v>256779419971</v>
          </cell>
          <cell r="E378">
            <v>45995</v>
          </cell>
          <cell r="F378" t="str">
            <v>USD</v>
          </cell>
          <cell r="G378">
            <v>1.8</v>
          </cell>
          <cell r="H378" t="str">
            <v xml:space="preserve"> -   </v>
          </cell>
          <cell r="I378">
            <v>160.47999999999999</v>
          </cell>
        </row>
        <row r="379">
          <cell r="D379">
            <v>256779419808</v>
          </cell>
          <cell r="E379">
            <v>45996</v>
          </cell>
          <cell r="F379" t="str">
            <v>USD</v>
          </cell>
          <cell r="G379">
            <v>0.56000000000000005</v>
          </cell>
          <cell r="H379" t="str">
            <v xml:space="preserve"> -   </v>
          </cell>
          <cell r="I379">
            <v>49.93</v>
          </cell>
        </row>
        <row r="380">
          <cell r="D380">
            <v>256779418653</v>
          </cell>
          <cell r="E380">
            <v>45950</v>
          </cell>
          <cell r="F380" t="str">
            <v>USD</v>
          </cell>
          <cell r="G380">
            <v>3.41</v>
          </cell>
          <cell r="H380" t="str">
            <v xml:space="preserve"> -   </v>
          </cell>
          <cell r="I380">
            <v>302.33</v>
          </cell>
        </row>
        <row r="381">
          <cell r="D381">
            <v>256779416869</v>
          </cell>
          <cell r="E381">
            <v>45889</v>
          </cell>
          <cell r="F381" t="str">
            <v>USD</v>
          </cell>
          <cell r="G381">
            <v>2.3199999999999998</v>
          </cell>
          <cell r="H381" t="str">
            <v xml:space="preserve"> -   </v>
          </cell>
          <cell r="I381">
            <v>200.98</v>
          </cell>
        </row>
        <row r="382">
          <cell r="D382">
            <v>256779418474</v>
          </cell>
          <cell r="E382">
            <v>45951</v>
          </cell>
          <cell r="F382" t="str">
            <v>USD</v>
          </cell>
          <cell r="G382">
            <v>11.25</v>
          </cell>
          <cell r="H382" t="str">
            <v xml:space="preserve"> -   </v>
          </cell>
          <cell r="I382">
            <v>997.42</v>
          </cell>
        </row>
        <row r="383">
          <cell r="D383">
            <v>256779419995</v>
          </cell>
          <cell r="E383">
            <v>46000</v>
          </cell>
          <cell r="F383" t="str">
            <v>USD</v>
          </cell>
          <cell r="G383">
            <v>3.74</v>
          </cell>
          <cell r="H383" t="str">
            <v xml:space="preserve"> -   </v>
          </cell>
          <cell r="I383">
            <v>333.44</v>
          </cell>
        </row>
        <row r="384">
          <cell r="D384">
            <v>256779419983</v>
          </cell>
          <cell r="E384">
            <v>45997</v>
          </cell>
          <cell r="F384" t="str">
            <v>USD</v>
          </cell>
          <cell r="G384">
            <v>1.1100000000000001</v>
          </cell>
          <cell r="H384" t="str">
            <v xml:space="preserve"> -   </v>
          </cell>
          <cell r="I384">
            <v>98.96</v>
          </cell>
        </row>
        <row r="385">
          <cell r="D385" t="str">
            <v>256779417580_D</v>
          </cell>
          <cell r="E385">
            <v>45918</v>
          </cell>
          <cell r="F385" t="str">
            <v>USD</v>
          </cell>
          <cell r="G385">
            <v>3.69</v>
          </cell>
          <cell r="H385" t="str">
            <v xml:space="preserve"> -   </v>
          </cell>
          <cell r="I385">
            <v>323.44</v>
          </cell>
        </row>
        <row r="386">
          <cell r="D386">
            <v>256779418357</v>
          </cell>
          <cell r="E386">
            <v>45935</v>
          </cell>
          <cell r="F386" t="str">
            <v>USD</v>
          </cell>
          <cell r="G386">
            <v>7.88</v>
          </cell>
          <cell r="H386" t="str">
            <v xml:space="preserve"> -   </v>
          </cell>
          <cell r="I386">
            <v>698.64</v>
          </cell>
        </row>
        <row r="387">
          <cell r="D387">
            <v>256779419222</v>
          </cell>
          <cell r="E387">
            <v>45966</v>
          </cell>
          <cell r="F387" t="str">
            <v>USD</v>
          </cell>
          <cell r="G387">
            <v>70.739999999999995</v>
          </cell>
          <cell r="H387" t="str">
            <v xml:space="preserve"> -   </v>
          </cell>
          <cell r="I387">
            <v>6242.99</v>
          </cell>
        </row>
        <row r="388">
          <cell r="D388">
            <v>256779419581</v>
          </cell>
          <cell r="E388">
            <v>45981</v>
          </cell>
          <cell r="F388" t="str">
            <v>USD</v>
          </cell>
          <cell r="G388">
            <v>3.12</v>
          </cell>
          <cell r="H388" t="str">
            <v xml:space="preserve"> -   </v>
          </cell>
          <cell r="I388">
            <v>275.35000000000002</v>
          </cell>
        </row>
        <row r="389">
          <cell r="D389">
            <v>256779418872</v>
          </cell>
          <cell r="E389">
            <v>45966</v>
          </cell>
          <cell r="F389" t="str">
            <v>USD</v>
          </cell>
          <cell r="G389">
            <v>118.78</v>
          </cell>
          <cell r="H389" t="str">
            <v xml:space="preserve"> -   </v>
          </cell>
          <cell r="I389">
            <v>10482.64</v>
          </cell>
        </row>
        <row r="390">
          <cell r="D390">
            <v>256779416600</v>
          </cell>
          <cell r="E390">
            <v>45889</v>
          </cell>
          <cell r="F390" t="str">
            <v>USD</v>
          </cell>
          <cell r="G390">
            <v>14.75</v>
          </cell>
          <cell r="H390" t="str">
            <v xml:space="preserve"> -   </v>
          </cell>
          <cell r="I390">
            <v>1277.81</v>
          </cell>
        </row>
        <row r="391">
          <cell r="D391">
            <v>256779418692</v>
          </cell>
          <cell r="E391">
            <v>45950</v>
          </cell>
          <cell r="F391" t="str">
            <v>USD</v>
          </cell>
          <cell r="G391">
            <v>10.63</v>
          </cell>
          <cell r="H391" t="str">
            <v xml:space="preserve"> -   </v>
          </cell>
          <cell r="I391">
            <v>942.45</v>
          </cell>
        </row>
        <row r="392">
          <cell r="D392">
            <v>256779415296</v>
          </cell>
          <cell r="E392">
            <v>45848</v>
          </cell>
          <cell r="F392" t="str">
            <v>USD</v>
          </cell>
          <cell r="G392">
            <v>0.48</v>
          </cell>
          <cell r="H392" t="str">
            <v xml:space="preserve"> -   </v>
          </cell>
          <cell r="I392">
            <v>42.47</v>
          </cell>
        </row>
        <row r="393">
          <cell r="D393">
            <v>256779440208</v>
          </cell>
          <cell r="E393">
            <v>46028</v>
          </cell>
          <cell r="F393" t="str">
            <v>USD</v>
          </cell>
          <cell r="G393">
            <v>13</v>
          </cell>
          <cell r="H393" t="str">
            <v xml:space="preserve"> -   </v>
          </cell>
          <cell r="I393">
            <v>1168.58</v>
          </cell>
        </row>
        <row r="394">
          <cell r="D394">
            <v>256779440227</v>
          </cell>
          <cell r="E394">
            <v>46034</v>
          </cell>
          <cell r="F394" t="str">
            <v>USD</v>
          </cell>
          <cell r="G394">
            <v>6.08</v>
          </cell>
          <cell r="H394" t="str">
            <v xml:space="preserve"> -   </v>
          </cell>
          <cell r="I394">
            <v>546.54</v>
          </cell>
        </row>
        <row r="395">
          <cell r="D395">
            <v>256779440159</v>
          </cell>
          <cell r="E395">
            <v>46028</v>
          </cell>
          <cell r="F395" t="str">
            <v>USD</v>
          </cell>
          <cell r="G395">
            <v>3.2</v>
          </cell>
          <cell r="H395" t="str">
            <v xml:space="preserve"> -   </v>
          </cell>
          <cell r="I395">
            <v>287.64999999999998</v>
          </cell>
        </row>
        <row r="396">
          <cell r="D396">
            <v>256779440067</v>
          </cell>
          <cell r="E396">
            <v>46027</v>
          </cell>
          <cell r="F396" t="str">
            <v>USD</v>
          </cell>
          <cell r="G396">
            <v>2</v>
          </cell>
          <cell r="H396" t="str">
            <v xml:space="preserve"> -   </v>
          </cell>
          <cell r="I396">
            <v>179.78</v>
          </cell>
        </row>
        <row r="397">
          <cell r="D397">
            <v>256779440060</v>
          </cell>
          <cell r="E397">
            <v>46027</v>
          </cell>
          <cell r="F397" t="str">
            <v>USD</v>
          </cell>
          <cell r="G397">
            <v>3.97</v>
          </cell>
          <cell r="H397" t="str">
            <v xml:space="preserve"> -   </v>
          </cell>
          <cell r="I397">
            <v>356.87</v>
          </cell>
        </row>
        <row r="398">
          <cell r="D398">
            <v>256779440309</v>
          </cell>
          <cell r="E398">
            <v>46028</v>
          </cell>
          <cell r="F398" t="str">
            <v>USD</v>
          </cell>
          <cell r="G398">
            <v>44.08</v>
          </cell>
          <cell r="H398" t="str">
            <v xml:space="preserve"> -   </v>
          </cell>
          <cell r="I398">
            <v>3962.38</v>
          </cell>
        </row>
        <row r="399">
          <cell r="D399">
            <v>256779440310</v>
          </cell>
          <cell r="E399">
            <v>46028</v>
          </cell>
          <cell r="F399" t="str">
            <v>USD</v>
          </cell>
          <cell r="G399">
            <v>1.76</v>
          </cell>
          <cell r="H399" t="str">
            <v xml:space="preserve"> -   </v>
          </cell>
          <cell r="I399">
            <v>158.21</v>
          </cell>
        </row>
        <row r="400">
          <cell r="D400">
            <v>256779440116</v>
          </cell>
          <cell r="E400">
            <v>46027</v>
          </cell>
          <cell r="F400" t="str">
            <v>USD</v>
          </cell>
          <cell r="G400">
            <v>9.9700000000000006</v>
          </cell>
          <cell r="H400" t="str">
            <v xml:space="preserve"> -   </v>
          </cell>
          <cell r="I400">
            <v>896.21</v>
          </cell>
        </row>
        <row r="401">
          <cell r="D401">
            <v>256779440126</v>
          </cell>
          <cell r="E401">
            <v>46031</v>
          </cell>
          <cell r="F401" t="str">
            <v>USD</v>
          </cell>
          <cell r="G401">
            <v>2.4500000000000002</v>
          </cell>
          <cell r="H401" t="str">
            <v xml:space="preserve"> -   </v>
          </cell>
          <cell r="I401">
            <v>220.23</v>
          </cell>
        </row>
        <row r="402">
          <cell r="D402">
            <v>256779440311</v>
          </cell>
          <cell r="E402">
            <v>46028</v>
          </cell>
          <cell r="F402" t="str">
            <v>USD</v>
          </cell>
          <cell r="G402">
            <v>0.97</v>
          </cell>
          <cell r="H402" t="str">
            <v xml:space="preserve"> -   </v>
          </cell>
          <cell r="I402">
            <v>87.19</v>
          </cell>
        </row>
        <row r="403">
          <cell r="D403">
            <v>256779440007</v>
          </cell>
          <cell r="E403">
            <v>46024</v>
          </cell>
          <cell r="F403" t="str">
            <v>USD</v>
          </cell>
          <cell r="G403">
            <v>26.65</v>
          </cell>
          <cell r="H403" t="str">
            <v xml:space="preserve"> -   </v>
          </cell>
          <cell r="I403">
            <v>2395.59</v>
          </cell>
        </row>
        <row r="404">
          <cell r="D404">
            <v>256779440363</v>
          </cell>
          <cell r="E404">
            <v>46035</v>
          </cell>
          <cell r="F404" t="str">
            <v>USD</v>
          </cell>
          <cell r="G404">
            <v>18.75</v>
          </cell>
          <cell r="H404" t="str">
            <v xml:space="preserve"> -   </v>
          </cell>
          <cell r="I404">
            <v>1685.45</v>
          </cell>
        </row>
        <row r="405">
          <cell r="D405">
            <v>256779417250</v>
          </cell>
          <cell r="E405">
            <v>45904</v>
          </cell>
          <cell r="F405" t="str">
            <v>USD</v>
          </cell>
          <cell r="G405">
            <v>1</v>
          </cell>
          <cell r="H405" t="str">
            <v xml:space="preserve"> -   </v>
          </cell>
          <cell r="I405">
            <v>87.65</v>
          </cell>
        </row>
        <row r="406">
          <cell r="D406">
            <v>256779440150</v>
          </cell>
          <cell r="E406">
            <v>46028</v>
          </cell>
          <cell r="F406" t="str">
            <v>USD</v>
          </cell>
          <cell r="G406">
            <v>2.2599999999999998</v>
          </cell>
          <cell r="H406" t="str">
            <v xml:space="preserve"> -   </v>
          </cell>
          <cell r="I406">
            <v>203.15</v>
          </cell>
        </row>
        <row r="407">
          <cell r="D407">
            <v>256779440285</v>
          </cell>
          <cell r="E407">
            <v>46034</v>
          </cell>
          <cell r="F407" t="str">
            <v>USD</v>
          </cell>
          <cell r="G407">
            <v>10.71</v>
          </cell>
          <cell r="H407" t="str">
            <v xml:space="preserve"> -   </v>
          </cell>
          <cell r="I407">
            <v>962.73</v>
          </cell>
        </row>
        <row r="408">
          <cell r="D408">
            <v>256779440238</v>
          </cell>
          <cell r="E408">
            <v>46028</v>
          </cell>
          <cell r="F408" t="str">
            <v>USD</v>
          </cell>
          <cell r="G408">
            <v>21.67</v>
          </cell>
          <cell r="H408" t="str">
            <v xml:space="preserve"> -   </v>
          </cell>
          <cell r="I408">
            <v>1947.93</v>
          </cell>
        </row>
        <row r="409">
          <cell r="D409">
            <v>256779440136</v>
          </cell>
          <cell r="E409">
            <v>46031</v>
          </cell>
          <cell r="F409" t="str">
            <v>USD</v>
          </cell>
          <cell r="G409">
            <v>0.56000000000000005</v>
          </cell>
          <cell r="H409" t="str">
            <v xml:space="preserve"> -   </v>
          </cell>
          <cell r="I409">
            <v>50.34</v>
          </cell>
        </row>
        <row r="410">
          <cell r="D410" t="str">
            <v>256779417580_R</v>
          </cell>
          <cell r="E410">
            <v>45918</v>
          </cell>
          <cell r="F410" t="str">
            <v>USD</v>
          </cell>
          <cell r="G410">
            <v>-3.69</v>
          </cell>
          <cell r="H410" t="str">
            <v xml:space="preserve"> -   </v>
          </cell>
          <cell r="I410">
            <v>-3.69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8.665835185187" createdVersion="7" refreshedVersion="7" minRefreshableVersion="3" recordCount="1113" xr:uid="{B8D77198-ED24-40E3-9D28-4FCAF7DB5371}">
  <cacheSource type="worksheet">
    <worksheetSource ref="A2:M732" sheet="CUSTOMER DATA"/>
  </cacheSource>
  <cacheFields count="15">
    <cacheField name="Ty" numFmtId="0">
      <sharedItems count="4">
        <s v="I"/>
        <s v="A"/>
        <s v="C"/>
        <s v="S"/>
      </sharedItems>
    </cacheField>
    <cacheField name="Item#" numFmtId="1">
      <sharedItems containsMixedTypes="1" containsNumber="1" containsInteger="1" minValue="2439105" maxValue="256779419995"/>
    </cacheField>
    <cacheField name="Item Date" numFmtId="14">
      <sharedItems containsSemiMixedTypes="0" containsNonDate="0" containsDate="1" containsString="0" minDate="2025-01-08T00:00:00" maxDate="2026-02-01T00:00:00" count="57">
        <d v="2025-05-28T00:00:00"/>
        <d v="2025-07-25T00:00:00"/>
        <d v="2025-04-24T00:00:00"/>
        <d v="2025-09-22T00:00:00"/>
        <d v="2025-04-22T00:00:00"/>
        <d v="2025-10-21T00:00:00"/>
        <d v="2025-05-21T00:00:00"/>
        <d v="2025-04-21T00:00:00"/>
        <d v="2025-11-20T00:00:00"/>
        <d v="2025-10-20T00:00:00"/>
        <d v="2025-08-20T00:00:00"/>
        <d v="2025-03-20T00:00:00"/>
        <d v="2025-02-20T00:00:00"/>
        <d v="2025-07-19T00:00:00"/>
        <d v="2025-06-19T00:00:00"/>
        <d v="2025-03-19T00:00:00"/>
        <d v="2025-02-19T00:00:00"/>
        <d v="2025-10-18T00:00:00"/>
        <d v="2025-09-18T00:00:00"/>
        <d v="2025-07-18T00:00:00"/>
        <d v="2025-06-18T00:00:00"/>
        <d v="2025-03-17T00:00:00"/>
        <d v="2025-04-16T00:00:00"/>
        <d v="2025-04-15T00:00:00"/>
        <d v="2025-03-14T00:00:00"/>
        <d v="2025-03-13T00:00:00"/>
        <d v="2025-10-07T00:00:00"/>
        <d v="2025-10-06T00:00:00"/>
        <d v="2025-10-05T00:00:00"/>
        <d v="2025-09-12T00:00:00"/>
        <d v="2025-08-12T00:00:00"/>
        <d v="2025-08-08T00:00:00"/>
        <d v="2025-07-10T00:00:00"/>
        <d v="2025-06-12T00:00:00"/>
        <d v="2025-06-10T00:00:00"/>
        <d v="2025-06-03T00:00:00"/>
        <d v="2025-05-12T00:00:00"/>
        <d v="2025-05-11T00:00:00"/>
        <d v="2025-05-10T00:00:00"/>
        <d v="2025-04-12T00:00:00"/>
        <d v="2025-04-10T00:00:00"/>
        <d v="2025-04-09T00:00:00"/>
        <d v="2025-04-07T00:00:00"/>
        <d v="2025-04-04T00:00:00"/>
        <d v="2025-04-03T00:00:00"/>
        <d v="2025-03-11T00:00:00"/>
        <d v="2025-03-04T00:00:00"/>
        <d v="2025-03-03T00:00:00"/>
        <d v="2025-02-06T00:00:00"/>
        <d v="2025-01-08T00:00:00"/>
        <d v="2025-07-21T00:00:00"/>
        <d v="2025-07-31T00:00:00"/>
        <d v="2025-10-24T00:00:00"/>
        <d v="2025-11-21T00:00:00"/>
        <d v="2025-12-23T00:00:00"/>
        <d v="2026-01-30T00:00:00"/>
        <d v="2026-01-31T00:00:00"/>
      </sharedItems>
      <fieldGroup par="14" base="2">
        <rangePr groupBy="months" startDate="2025-01-08T00:00:00" endDate="2026-02-01T00:00:00"/>
        <groupItems count="14">
          <s v="&lt;08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2-2026"/>
        </groupItems>
      </fieldGroup>
    </cacheField>
    <cacheField name="FC Amount" numFmtId="164">
      <sharedItems containsSemiMixedTypes="0" containsString="0" containsNumber="1" minValue="-9629.6299999999992" maxValue="249.55"/>
    </cacheField>
    <cacheField name="LC Amount" numFmtId="164">
      <sharedItems containsSemiMixedTypes="0" containsString="0" containsNumber="1" minValue="-2396201.27" maxValue="2396201.27"/>
    </cacheField>
    <cacheField name="Particular" numFmtId="0">
      <sharedItems containsBlank="1"/>
    </cacheField>
    <cacheField name="Due Date" numFmtId="0">
      <sharedItems containsDate="1" containsBlank="1" containsMixedTypes="1" minDate="2025-02-04T00:00:00" maxDate="2026-08-02T00:00:00"/>
    </cacheField>
    <cacheField name="CCY" numFmtId="0">
      <sharedItems/>
    </cacheField>
    <cacheField name="VC Period" numFmtId="17">
      <sharedItems containsSemiMixedTypes="0" containsNonDate="0" containsDate="1" containsString="0" minDate="2025-06-01T00:00:00" maxDate="2026-01-02T00:00:00"/>
    </cacheField>
    <cacheField name="VC Seq" numFmtId="0">
      <sharedItems containsString="0" containsBlank="1" containsNumber="1" containsInteger="1" minValue="1" maxValue="164"/>
    </cacheField>
    <cacheField name="VC Date" numFmtId="0">
      <sharedItems containsDate="1" containsBlank="1" containsMixedTypes="1" minDate="2025-11-06T00:00:00" maxDate="2025-12-07T00:00:00"/>
    </cacheField>
    <cacheField name="Tx. Type" numFmtId="0">
      <sharedItems containsString="0" containsBlank="1" containsNumber="1" containsInteger="1" minValue="210" maxValue="271"/>
    </cacheField>
    <cacheField name="Company Code" numFmtId="0">
      <sharedItems containsMixedTypes="1" containsNumber="1" containsInteger="1" minValue="52421432" maxValue="68459189"/>
    </cacheField>
    <cacheField name="Quarters" numFmtId="0" databaseField="0">
      <fieldGroup base="2">
        <rangePr groupBy="quarters" startDate="2025-01-08T00:00:00" endDate="2026-02-01T00:00:00"/>
        <groupItems count="6">
          <s v="&lt;08-01-2025"/>
          <s v="Qtr1"/>
          <s v="Qtr2"/>
          <s v="Qtr3"/>
          <s v="Qtr4"/>
          <s v="&gt;01-02-2026"/>
        </groupItems>
      </fieldGroup>
    </cacheField>
    <cacheField name="Years" numFmtId="0" databaseField="0">
      <fieldGroup base="2">
        <rangePr groupBy="years" startDate="2025-01-08T00:00:00" endDate="2026-02-01T00:00:00"/>
        <groupItems count="4">
          <s v="&lt;08-01-2025"/>
          <s v="2025"/>
          <s v="2026"/>
          <s v="&gt;01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8.70363611111" createdVersion="7" refreshedVersion="7" minRefreshableVersion="3" recordCount="706" xr:uid="{A5ACC639-7CA5-4242-BB3A-585D906C6AD4}">
  <cacheSource type="worksheet">
    <worksheetSource ref="A1:K707" sheet="Ascendus DATA"/>
  </cacheSource>
  <cacheFields count="13">
    <cacheField name="Customer Account: Name 1" numFmtId="0">
      <sharedItems/>
    </cacheField>
    <cacheField name="Fiscal Year" numFmtId="0">
      <sharedItems containsSemiMixedTypes="0" containsString="0" containsNumber="1" containsInteger="1" minValue="2025" maxValue="2026"/>
    </cacheField>
    <cacheField name="Posting Date" numFmtId="14">
      <sharedItems containsSemiMixedTypes="0" containsNonDate="0" containsDate="1" containsString="0" minDate="2025-02-13T00:00:00" maxDate="2026-01-28T00:00:00"/>
    </cacheField>
    <cacheField name="Document Type" numFmtId="0">
      <sharedItems count="6">
        <s v="DG"/>
        <s v="DR"/>
        <s v="DZ"/>
        <s v="DA"/>
        <s v="DY"/>
        <s v="XC"/>
      </sharedItems>
    </cacheField>
    <cacheField name="Document Date" numFmtId="14">
      <sharedItems containsSemiMixedTypes="0" containsNonDate="0" containsDate="1" containsString="0" minDate="2025-02-13T00:00:00" maxDate="2026-01-28T00:00:00" count="83">
        <d v="2025-07-10T00:00:00"/>
        <d v="2025-09-04T00:00:00"/>
        <d v="2025-07-04T00:00:00"/>
        <d v="2025-11-05T00:00:00"/>
        <d v="2025-11-03T00:00:00"/>
        <d v="2025-08-08T00:00:00"/>
        <d v="2025-06-04T00:00:00"/>
        <d v="2025-05-14T00:00:00"/>
        <d v="2025-05-16T00:00:00"/>
        <d v="2025-12-09T00:00:00"/>
        <d v="2025-05-28T00:00:00"/>
        <d v="2025-07-18T00:00:00"/>
        <d v="2025-03-13T00:00:00"/>
        <d v="2025-03-20T00:00:00"/>
        <d v="2025-02-20T00:00:00"/>
        <d v="2025-08-20T00:00:00"/>
        <d v="2025-12-08T00:00:00"/>
        <d v="2025-02-19T00:00:00"/>
        <d v="2025-05-20T00:00:00"/>
        <d v="2025-08-04T00:00:00"/>
        <d v="2025-04-03T00:00:00"/>
        <d v="2025-10-20T00:00:00"/>
        <d v="2025-04-21T00:00:00"/>
        <d v="2025-07-24T00:00:00"/>
        <d v="2025-05-23T00:00:00"/>
        <d v="2025-05-21T00:00:00"/>
        <d v="2025-08-21T00:00:00"/>
        <d v="2025-04-24T00:00:00"/>
        <d v="2025-06-18T00:00:00"/>
        <d v="2025-10-21T00:00:00"/>
        <d v="2025-03-19T00:00:00"/>
        <d v="2025-06-19T00:00:00"/>
        <d v="2025-11-20T00:00:00"/>
        <d v="2025-04-22T00:00:00"/>
        <d v="2025-09-18T00:00:00"/>
        <d v="2025-12-05T00:00:00"/>
        <d v="2025-05-22T00:00:00"/>
        <d v="2025-09-22T00:00:00"/>
        <d v="2025-04-23T00:00:00"/>
        <d v="2025-03-21T00:00:00"/>
        <d v="2025-06-02T00:00:00"/>
        <d v="2025-10-07T00:00:00"/>
        <d v="2025-07-19T00:00:00"/>
        <d v="2025-05-10T00:00:00"/>
        <d v="2025-12-06T00:00:00"/>
        <d v="2025-10-18T00:00:00"/>
        <d v="2025-06-07T00:00:00"/>
        <d v="2025-10-06T00:00:00"/>
        <d v="2025-10-05T00:00:00"/>
        <d v="2025-09-06T00:00:00"/>
        <d v="2025-05-18T00:00:00"/>
        <d v="2026-01-02T00:00:00"/>
        <d v="2026-01-05T00:00:00"/>
        <d v="2026-01-08T00:00:00"/>
        <d v="2026-01-09T00:00:00"/>
        <d v="2026-01-06T00:00:00"/>
        <d v="2026-01-12T00:00:00"/>
        <d v="2026-01-13T00:00:00"/>
        <d v="2026-01-21T00:00:00"/>
        <d v="2026-01-23T00:00:00"/>
        <d v="2026-01-27T00:00:00"/>
        <d v="2025-03-17T00:00:00"/>
        <d v="2025-04-15T00:00:00"/>
        <d v="2025-10-17T00:00:00"/>
        <d v="2025-04-16T00:00:00"/>
        <d v="2025-07-25T00:00:00"/>
        <d v="2025-03-14T00:00:00"/>
        <d v="2025-07-23T00:00:00"/>
        <d v="2025-04-11T00:00:00"/>
        <d v="2025-09-02T00:00:00"/>
        <d v="2025-11-13T00:00:00"/>
        <d v="2025-10-10T00:00:00"/>
        <d v="2025-10-28T00:00:00"/>
        <d v="2025-11-26T00:00:00"/>
        <d v="2025-02-13T00:00:00"/>
        <d v="2025-04-17T00:00:00"/>
        <d v="2025-06-10T00:00:00"/>
        <d v="2025-08-01T00:00:00"/>
        <d v="2025-12-04T00:00:00"/>
        <d v="2025-03-04T00:00:00"/>
        <d v="2025-04-04T00:00:00"/>
        <d v="2025-03-06T00:00:00"/>
        <d v="2025-03-03T00:00:00"/>
      </sharedItems>
      <fieldGroup par="12" base="4">
        <rangePr groupBy="months" startDate="2025-02-13T00:00:00" endDate="2026-01-28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1-2026"/>
        </groupItems>
      </fieldGroup>
    </cacheField>
    <cacheField name="Reference" numFmtId="0">
      <sharedItems containsMixedTypes="1" containsNumber="1" containsInteger="1" minValue="246779410010" maxValue="256779440443"/>
    </cacheField>
    <cacheField name="Document Currency Key" numFmtId="0">
      <sharedItems/>
    </cacheField>
    <cacheField name="Document Currency Value" numFmtId="4">
      <sharedItems containsSemiMixedTypes="0" containsString="0" containsNumber="1" minValue="-2385233.9500000002" maxValue="212521.54"/>
    </cacheField>
    <cacheField name="Company Code Currency Key" numFmtId="0">
      <sharedItems/>
    </cacheField>
    <cacheField name="Company Code Currency Value" numFmtId="4">
      <sharedItems containsSemiMixedTypes="0" containsString="0" containsNumber="1" minValue="-2385233.9500000002" maxValue="850399.02"/>
    </cacheField>
    <cacheField name="Text" numFmtId="0">
      <sharedItems/>
    </cacheField>
    <cacheField name="Quarters" numFmtId="0" databaseField="0">
      <fieldGroup base="4">
        <rangePr groupBy="quarters" startDate="2025-02-13T00:00:00" endDate="2026-01-28T00:00:00"/>
        <groupItems count="6">
          <s v="&lt;13-02-2025"/>
          <s v="Qtr1"/>
          <s v="Qtr2"/>
          <s v="Qtr3"/>
          <s v="Qtr4"/>
          <s v="&gt;28-01-2026"/>
        </groupItems>
      </fieldGroup>
    </cacheField>
    <cacheField name="Years" numFmtId="0" databaseField="0">
      <fieldGroup base="4">
        <rangePr groupBy="years" startDate="2025-02-13T00:00:00" endDate="2026-01-28T00:00:00"/>
        <groupItems count="4">
          <s v="&lt;13-02-2025"/>
          <s v="2025"/>
          <s v="2026"/>
          <s v="&gt;28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3">
  <r>
    <x v="0"/>
    <n v="256779413908"/>
    <x v="0"/>
    <n v="-3200.83"/>
    <n v="-273269.15999999997"/>
    <m/>
    <s v="27/06/2025"/>
    <s v="USD"/>
    <d v="2025-11-01T00:00:00"/>
    <n v="1"/>
    <s v="30/11/2025"/>
    <n v="210"/>
    <s v="IN89"/>
  </r>
  <r>
    <x v="0"/>
    <n v="256779413908"/>
    <x v="0"/>
    <n v="64.02"/>
    <n v="5465.67"/>
    <s v="C: ASCENDAS27 P: A023951 I 256779413908"/>
    <s v="27/06/2025"/>
    <s v="USD"/>
    <d v="2025-11-01T00:00:00"/>
    <n v="1"/>
    <s v="30/11/2025"/>
    <n v="230"/>
    <s v="IN89"/>
  </r>
  <r>
    <x v="0"/>
    <n v="256779413908"/>
    <x v="0"/>
    <n v="0"/>
    <n v="-11858.12"/>
    <s v="C: ASCENDAS27 P: Matching"/>
    <s v="27/06/2025"/>
    <s v="USD"/>
    <d v="2025-11-01T00:00:00"/>
    <n v="66"/>
    <s v="30/11/2025"/>
    <n v="271"/>
    <s v="IN89"/>
  </r>
  <r>
    <x v="0"/>
    <n v="256779415989"/>
    <x v="1"/>
    <n v="-299.83999999999997"/>
    <n v="-25783.09"/>
    <m/>
    <s v="24/08/2025"/>
    <s v="USD"/>
    <d v="2025-10-01T00:00:00"/>
    <n v="1"/>
    <s v="29/10/2025"/>
    <n v="210"/>
    <s v="IN89"/>
  </r>
  <r>
    <x v="0"/>
    <n v="256779416007"/>
    <x v="1"/>
    <n v="-421.15"/>
    <n v="-36214.480000000003"/>
    <m/>
    <s v="24/08/2025"/>
    <s v="USD"/>
    <d v="2025-10-01T00:00:00"/>
    <n v="1"/>
    <s v="29/10/2025"/>
    <n v="210"/>
    <s v="IN89"/>
  </r>
  <r>
    <x v="0"/>
    <n v="256779416007"/>
    <x v="1"/>
    <n v="8.42"/>
    <n v="724.03"/>
    <s v="C: ASCENDAS27 P: A023951 I 256779416007"/>
    <s v="24/08/2025"/>
    <s v="USD"/>
    <d v="2025-10-01T00:00:00"/>
    <n v="1"/>
    <s v="29/10/2025"/>
    <n v="230"/>
    <s v="IN89"/>
  </r>
  <r>
    <x v="0"/>
    <n v="256779415989"/>
    <x v="1"/>
    <n v="6"/>
    <n v="515.94000000000005"/>
    <s v="C: ASCENDAS27 P: A023951 I 256779415989"/>
    <s v="24/08/2025"/>
    <s v="USD"/>
    <d v="2025-10-01T00:00:00"/>
    <n v="1"/>
    <s v="29/10/2025"/>
    <n v="230"/>
    <s v="IN89"/>
  </r>
  <r>
    <x v="0"/>
    <n v="256779415989"/>
    <x v="1"/>
    <n v="0"/>
    <n v="-664.99"/>
    <s v="C: ASCENDAS27 P: Matching"/>
    <s v="24/08/2025"/>
    <s v="USD"/>
    <d v="2025-10-01T00:00:00"/>
    <n v="82"/>
    <s v="31/10/2025"/>
    <n v="271"/>
    <s v="IN89"/>
  </r>
  <r>
    <x v="0"/>
    <n v="256779416007"/>
    <x v="1"/>
    <n v="0"/>
    <n v="-934.03"/>
    <s v="C: ASCENDAS27 P: Matching"/>
    <s v="24/08/2025"/>
    <s v="USD"/>
    <d v="2025-10-01T00:00:00"/>
    <n v="84"/>
    <s v="31/10/2025"/>
    <n v="271"/>
    <s v="IN89"/>
  </r>
  <r>
    <x v="0"/>
    <n v="256779412776"/>
    <x v="2"/>
    <n v="-632.46"/>
    <n v="-54218.879999999997"/>
    <m/>
    <s v="24/05/2025"/>
    <s v="USD"/>
    <d v="2025-11-01T00:00:00"/>
    <n v="1"/>
    <s v="30/11/2025"/>
    <n v="210"/>
    <s v="IN89"/>
  </r>
  <r>
    <x v="0"/>
    <n v="256779412776"/>
    <x v="2"/>
    <n v="12.65"/>
    <n v="1084.45"/>
    <s v="C: ASCENDAS27 P: A023951 I 256779412776"/>
    <s v="24/05/2025"/>
    <s v="USD"/>
    <d v="2025-11-01T00:00:00"/>
    <n v="1"/>
    <s v="30/11/2025"/>
    <n v="230"/>
    <s v="IN89"/>
  </r>
  <r>
    <x v="0"/>
    <n v="256779412776"/>
    <x v="2"/>
    <n v="0"/>
    <n v="-2124.59"/>
    <s v="C: ASCENDAS27 P: Matching"/>
    <s v="24/05/2025"/>
    <s v="USD"/>
    <d v="2025-11-01T00:00:00"/>
    <n v="58"/>
    <s v="30/11/2025"/>
    <n v="271"/>
    <s v="IN89"/>
  </r>
  <r>
    <x v="0"/>
    <n v="256779417801"/>
    <x v="3"/>
    <n v="-4755.47"/>
    <n v="-416826.08"/>
    <m/>
    <s v="22/10/2025"/>
    <s v="USD"/>
    <d v="2025-10-01T00:00:00"/>
    <n v="1"/>
    <s v="29/10/2025"/>
    <n v="210"/>
    <s v="IN89"/>
  </r>
  <r>
    <x v="0"/>
    <n v="256779417801"/>
    <x v="3"/>
    <n v="95.11"/>
    <n v="8336.57"/>
    <s v="C: ASCENDAS27 P: A023951 I 256779417801"/>
    <s v="22/10/2025"/>
    <s v="USD"/>
    <d v="2025-10-01T00:00:00"/>
    <n v="1"/>
    <s v="29/10/2025"/>
    <n v="230"/>
    <s v="IN89"/>
  </r>
  <r>
    <x v="0"/>
    <n v="256779417801"/>
    <x v="3"/>
    <n v="0"/>
    <n v="-2799.24"/>
    <s v="C: ASCENDAS27 P: Matching"/>
    <s v="22/10/2025"/>
    <s v="USD"/>
    <d v="2025-10-01T00:00:00"/>
    <n v="64"/>
    <s v="31/10/2025"/>
    <n v="271"/>
    <s v="IN89"/>
  </r>
  <r>
    <x v="0"/>
    <n v="256779417744"/>
    <x v="3"/>
    <n v="-870"/>
    <n v="-76257.17"/>
    <m/>
    <s v="22/10/2025"/>
    <s v="USD"/>
    <d v="2025-11-01T00:00:00"/>
    <n v="1"/>
    <d v="2025-11-11T00:00:00"/>
    <n v="210"/>
    <s v="IN89"/>
  </r>
  <r>
    <x v="0"/>
    <n v="256779417744"/>
    <x v="3"/>
    <n v="17.399999999999999"/>
    <n v="1525.14"/>
    <s v="C: ASCENDAS27 P: A023951 I 256779417744"/>
    <s v="22/10/2025"/>
    <s v="USD"/>
    <d v="2025-11-01T00:00:00"/>
    <n v="1"/>
    <d v="2025-11-11T00:00:00"/>
    <n v="230"/>
    <s v="IN89"/>
  </r>
  <r>
    <x v="0"/>
    <n v="256779412524"/>
    <x v="4"/>
    <n v="-36.5"/>
    <n v="-3129.03"/>
    <m/>
    <s v="22/05/2025"/>
    <s v="USD"/>
    <d v="2025-06-01T00:00:00"/>
    <n v="1"/>
    <s v="30/06/2025"/>
    <n v="210"/>
    <s v="IN89"/>
  </r>
  <r>
    <x v="0"/>
    <n v="256779412529"/>
    <x v="4"/>
    <n v="-29.57"/>
    <n v="-2534.9499999999998"/>
    <m/>
    <s v="22/05/2025"/>
    <s v="USD"/>
    <d v="2025-06-01T00:00:00"/>
    <n v="1"/>
    <s v="30/06/2025"/>
    <n v="210"/>
    <s v="IN89"/>
  </r>
  <r>
    <x v="0"/>
    <n v="256779412536"/>
    <x v="4"/>
    <n v="-37.020000000000003"/>
    <n v="-3173.61"/>
    <m/>
    <s v="22/05/2025"/>
    <s v="USD"/>
    <d v="2025-06-01T00:00:00"/>
    <n v="1"/>
    <s v="30/06/2025"/>
    <n v="210"/>
    <s v="IN89"/>
  </r>
  <r>
    <x v="0"/>
    <n v="256779412537"/>
    <x v="4"/>
    <n v="-407.58"/>
    <n v="-34940.6"/>
    <m/>
    <s v="22/05/2025"/>
    <s v="USD"/>
    <d v="2025-06-01T00:00:00"/>
    <n v="1"/>
    <s v="30/06/2025"/>
    <n v="210"/>
    <s v="IN89"/>
  </r>
  <r>
    <x v="0"/>
    <n v="256779412579"/>
    <x v="4"/>
    <n v="-57.6"/>
    <n v="-4937.87"/>
    <m/>
    <s v="22/05/2025"/>
    <s v="USD"/>
    <d v="2025-06-01T00:00:00"/>
    <n v="1"/>
    <s v="30/06/2025"/>
    <n v="210"/>
    <s v="IN89"/>
  </r>
  <r>
    <x v="0"/>
    <n v="256779412586"/>
    <x v="4"/>
    <n v="-51.5"/>
    <n v="-4414.9399999999996"/>
    <m/>
    <s v="22/05/2025"/>
    <s v="USD"/>
    <d v="2025-06-01T00:00:00"/>
    <n v="1"/>
    <s v="30/06/2025"/>
    <n v="210"/>
    <s v="IN89"/>
  </r>
  <r>
    <x v="0"/>
    <n v="256779412563"/>
    <x v="4"/>
    <n v="-27"/>
    <n v="-2314.63"/>
    <m/>
    <s v="22/05/2025"/>
    <s v="USD"/>
    <d v="2025-06-01T00:00:00"/>
    <n v="1"/>
    <s v="30/06/2025"/>
    <n v="210"/>
    <s v="IN89"/>
  </r>
  <r>
    <x v="0"/>
    <n v="256779412576"/>
    <x v="4"/>
    <n v="-46"/>
    <n v="-3943.44"/>
    <m/>
    <s v="22/05/2025"/>
    <s v="USD"/>
    <d v="2025-06-01T00:00:00"/>
    <n v="1"/>
    <s v="30/06/2025"/>
    <n v="210"/>
    <s v="IN89"/>
  </r>
  <r>
    <x v="0"/>
    <n v="256779412577"/>
    <x v="4"/>
    <n v="-46"/>
    <n v="-3943.44"/>
    <m/>
    <s v="22/05/2025"/>
    <s v="USD"/>
    <d v="2025-06-01T00:00:00"/>
    <n v="1"/>
    <s v="30/06/2025"/>
    <n v="210"/>
    <s v="IN89"/>
  </r>
  <r>
    <x v="0"/>
    <n v="256779412580"/>
    <x v="4"/>
    <n v="-40.5"/>
    <n v="-3471.94"/>
    <m/>
    <s v="22/05/2025"/>
    <s v="USD"/>
    <d v="2025-06-01T00:00:00"/>
    <n v="1"/>
    <s v="30/06/2025"/>
    <n v="210"/>
    <s v="IN89"/>
  </r>
  <r>
    <x v="0"/>
    <n v="256779412562"/>
    <x v="4"/>
    <n v="-54.65"/>
    <n v="-4684.9799999999996"/>
    <m/>
    <s v="22/05/2025"/>
    <s v="USD"/>
    <d v="2025-06-01T00:00:00"/>
    <n v="1"/>
    <s v="30/06/2025"/>
    <n v="210"/>
    <s v="IN89"/>
  </r>
  <r>
    <x v="0"/>
    <n v="256779412564"/>
    <x v="4"/>
    <n v="-55.2"/>
    <n v="-4732.13"/>
    <m/>
    <s v="22/05/2025"/>
    <s v="USD"/>
    <d v="2025-06-01T00:00:00"/>
    <n v="1"/>
    <s v="30/06/2025"/>
    <n v="210"/>
    <s v="IN89"/>
  </r>
  <r>
    <x v="0"/>
    <n v="256779412570"/>
    <x v="4"/>
    <n v="-43.38"/>
    <n v="-3718.84"/>
    <m/>
    <s v="22/05/2025"/>
    <s v="USD"/>
    <d v="2025-06-01T00:00:00"/>
    <n v="1"/>
    <s v="30/06/2025"/>
    <n v="210"/>
    <s v="IN89"/>
  </r>
  <r>
    <x v="0"/>
    <n v="256779412581"/>
    <x v="4"/>
    <n v="-51.5"/>
    <n v="-4414.9399999999996"/>
    <m/>
    <s v="22/05/2025"/>
    <s v="USD"/>
    <d v="2025-06-01T00:00:00"/>
    <n v="1"/>
    <s v="30/06/2025"/>
    <n v="210"/>
    <s v="IN89"/>
  </r>
  <r>
    <x v="0"/>
    <n v="256779412585"/>
    <x v="4"/>
    <n v="-48.75"/>
    <n v="-4179.1899999999996"/>
    <m/>
    <s v="22/05/2025"/>
    <s v="USD"/>
    <d v="2025-06-01T00:00:00"/>
    <n v="1"/>
    <s v="30/06/2025"/>
    <n v="210"/>
    <s v="IN89"/>
  </r>
  <r>
    <x v="0"/>
    <n v="256779412577"/>
    <x v="4"/>
    <n v="0.92"/>
    <n v="78.87"/>
    <s v="C: ASCENDAS27 P: A023951 I 256779412577"/>
    <s v="22/05/2025"/>
    <s v="USD"/>
    <d v="2025-06-01T00:00:00"/>
    <n v="1"/>
    <s v="30/06/2025"/>
    <n v="230"/>
    <s v="IN89"/>
  </r>
  <r>
    <x v="0"/>
    <n v="256779412564"/>
    <x v="4"/>
    <n v="1.1000000000000001"/>
    <n v="94.3"/>
    <s v="C: ASCENDAS27 P: A023951 I 256779412564"/>
    <s v="22/05/2025"/>
    <s v="USD"/>
    <d v="2025-06-01T00:00:00"/>
    <n v="1"/>
    <s v="30/06/2025"/>
    <n v="230"/>
    <s v="IN89"/>
  </r>
  <r>
    <x v="0"/>
    <n v="256779412529"/>
    <x v="4"/>
    <n v="0.59"/>
    <n v="50.58"/>
    <s v="C: ASCENDAS27 P: A023951 I 256779412529"/>
    <s v="22/05/2025"/>
    <s v="USD"/>
    <d v="2025-06-01T00:00:00"/>
    <n v="1"/>
    <s v="30/06/2025"/>
    <n v="230"/>
    <s v="IN89"/>
  </r>
  <r>
    <x v="0"/>
    <n v="256779412563"/>
    <x v="4"/>
    <n v="0.54"/>
    <n v="46.29"/>
    <s v="C: ASCENDAS27 P: A023951 I 256779412563"/>
    <s v="22/05/2025"/>
    <s v="USD"/>
    <d v="2025-06-01T00:00:00"/>
    <n v="1"/>
    <s v="30/06/2025"/>
    <n v="230"/>
    <s v="IN89"/>
  </r>
  <r>
    <x v="0"/>
    <n v="256779412570"/>
    <x v="4"/>
    <n v="0.87"/>
    <n v="74.58"/>
    <s v="C: ASCENDAS27 P: A023951 I 256779412570"/>
    <s v="22/05/2025"/>
    <s v="USD"/>
    <d v="2025-06-01T00:00:00"/>
    <n v="1"/>
    <s v="30/06/2025"/>
    <n v="230"/>
    <s v="IN89"/>
  </r>
  <r>
    <x v="0"/>
    <n v="256779412580"/>
    <x v="4"/>
    <n v="0.81"/>
    <n v="69.44"/>
    <s v="C: ASCENDAS27 P: A023951 I 256779412580"/>
    <s v="22/05/2025"/>
    <s v="USD"/>
    <d v="2025-06-01T00:00:00"/>
    <n v="1"/>
    <s v="30/06/2025"/>
    <n v="230"/>
    <s v="IN89"/>
  </r>
  <r>
    <x v="0"/>
    <n v="256779412581"/>
    <x v="4"/>
    <n v="1.03"/>
    <n v="88.3"/>
    <s v="C: ASCENDAS27 P: A023951 I 256779412581"/>
    <s v="22/05/2025"/>
    <s v="USD"/>
    <d v="2025-06-01T00:00:00"/>
    <n v="1"/>
    <s v="30/06/2025"/>
    <n v="230"/>
    <s v="IN89"/>
  </r>
  <r>
    <x v="0"/>
    <n v="256779412536"/>
    <x v="4"/>
    <n v="0.74"/>
    <n v="63.44"/>
    <s v="C: ASCENDAS27 P: A023951 I 256779412536"/>
    <s v="22/05/2025"/>
    <s v="USD"/>
    <d v="2025-06-01T00:00:00"/>
    <n v="1"/>
    <s v="30/06/2025"/>
    <n v="230"/>
    <s v="IN89"/>
  </r>
  <r>
    <x v="0"/>
    <n v="256779412576"/>
    <x v="4"/>
    <n v="0.92"/>
    <n v="78.87"/>
    <s v="C: ASCENDAS27 P: A023951 I 256779412576"/>
    <s v="22/05/2025"/>
    <s v="USD"/>
    <d v="2025-06-01T00:00:00"/>
    <n v="1"/>
    <s v="30/06/2025"/>
    <n v="230"/>
    <s v="IN89"/>
  </r>
  <r>
    <x v="0"/>
    <n v="256779412524"/>
    <x v="4"/>
    <n v="0.73"/>
    <n v="62.58"/>
    <s v="C: ASCENDAS27 P: A023951 I 256779412524"/>
    <s v="22/05/2025"/>
    <s v="USD"/>
    <d v="2025-06-01T00:00:00"/>
    <n v="1"/>
    <s v="30/06/2025"/>
    <n v="230"/>
    <s v="IN89"/>
  </r>
  <r>
    <x v="0"/>
    <n v="256779412537"/>
    <x v="4"/>
    <n v="8.15"/>
    <n v="698.67"/>
    <s v="C: ASCENDAS27 P: A023951 I 256779412537"/>
    <s v="22/05/2025"/>
    <s v="USD"/>
    <d v="2025-06-01T00:00:00"/>
    <n v="1"/>
    <s v="30/06/2025"/>
    <n v="230"/>
    <s v="IN89"/>
  </r>
  <r>
    <x v="0"/>
    <n v="256779412585"/>
    <x v="4"/>
    <n v="0.98"/>
    <n v="84.01"/>
    <s v="C: ASCENDAS27 P: A023951 I 256779412585"/>
    <s v="22/05/2025"/>
    <s v="USD"/>
    <d v="2025-06-01T00:00:00"/>
    <n v="1"/>
    <s v="30/06/2025"/>
    <n v="230"/>
    <s v="IN89"/>
  </r>
  <r>
    <x v="0"/>
    <n v="256779412586"/>
    <x v="4"/>
    <n v="1.03"/>
    <n v="88.3"/>
    <s v="C: ASCENDAS27 P: A023951 I 256779412586"/>
    <s v="22/05/2025"/>
    <s v="USD"/>
    <d v="2025-06-01T00:00:00"/>
    <n v="1"/>
    <s v="30/06/2025"/>
    <n v="230"/>
    <s v="IN89"/>
  </r>
  <r>
    <x v="0"/>
    <n v="256779412579"/>
    <x v="4"/>
    <n v="1.1499999999999999"/>
    <n v="98.59"/>
    <s v="C: ASCENDAS27 P: A023951 I 256779412579"/>
    <s v="22/05/2025"/>
    <s v="USD"/>
    <d v="2025-06-01T00:00:00"/>
    <n v="1"/>
    <s v="30/06/2025"/>
    <n v="230"/>
    <s v="IN89"/>
  </r>
  <r>
    <x v="0"/>
    <n v="256779412562"/>
    <x v="4"/>
    <n v="1.0900000000000001"/>
    <n v="93.44"/>
    <s v="C: ASCENDAS27 P: A023951 I 256779412562"/>
    <s v="22/05/2025"/>
    <s v="USD"/>
    <d v="2025-06-01T00:00:00"/>
    <n v="1"/>
    <s v="30/06/2025"/>
    <n v="230"/>
    <s v="IN89"/>
  </r>
  <r>
    <x v="0"/>
    <n v="256779412583"/>
    <x v="4"/>
    <n v="-51.75"/>
    <n v="-4436.37"/>
    <m/>
    <s v="22/05/2025"/>
    <s v="USD"/>
    <d v="2025-06-01T00:00:00"/>
    <n v="1"/>
    <s v="30/06/2025"/>
    <n v="210"/>
    <s v="IN89"/>
  </r>
  <r>
    <x v="0"/>
    <n v="256779412524"/>
    <x v="4"/>
    <n v="0"/>
    <n v="-9.39"/>
    <s v="C: ASCENDAS27 P: Matching"/>
    <s v="22/05/2025"/>
    <s v="USD"/>
    <d v="2025-06-01T00:00:00"/>
    <n v="14"/>
    <s v="30/06/2025"/>
    <n v="271"/>
    <s v="IN89"/>
  </r>
  <r>
    <x v="0"/>
    <n v="256779412529"/>
    <x v="4"/>
    <n v="0"/>
    <n v="-7.61"/>
    <s v="C: ASCENDAS27 P: Matching"/>
    <s v="22/05/2025"/>
    <s v="USD"/>
    <d v="2025-06-01T00:00:00"/>
    <n v="16"/>
    <s v="30/06/2025"/>
    <n v="271"/>
    <s v="IN89"/>
  </r>
  <r>
    <x v="0"/>
    <n v="256779412536"/>
    <x v="4"/>
    <n v="0"/>
    <n v="-9.5299999999999994"/>
    <s v="C: ASCENDAS27 P: Matching"/>
    <s v="22/05/2025"/>
    <s v="USD"/>
    <d v="2025-06-01T00:00:00"/>
    <n v="18"/>
    <s v="30/06/2025"/>
    <n v="271"/>
    <s v="IN89"/>
  </r>
  <r>
    <x v="0"/>
    <n v="256779412537"/>
    <x v="4"/>
    <n v="0"/>
    <n v="-104.86"/>
    <s v="C: ASCENDAS27 P: Matching"/>
    <s v="22/05/2025"/>
    <s v="USD"/>
    <d v="2025-06-01T00:00:00"/>
    <n v="20"/>
    <s v="30/06/2025"/>
    <n v="271"/>
    <s v="IN89"/>
  </r>
  <r>
    <x v="0"/>
    <n v="256779412579"/>
    <x v="4"/>
    <n v="0"/>
    <n v="-14.83"/>
    <s v="C: ASCENDAS27 P: Matching"/>
    <s v="22/05/2025"/>
    <s v="USD"/>
    <d v="2025-06-01T00:00:00"/>
    <n v="22"/>
    <s v="30/06/2025"/>
    <n v="271"/>
    <s v="IN89"/>
  </r>
  <r>
    <x v="0"/>
    <n v="256779412586"/>
    <x v="4"/>
    <n v="0"/>
    <n v="-13.25"/>
    <s v="C: ASCENDAS27 P: Matching"/>
    <s v="22/05/2025"/>
    <s v="USD"/>
    <d v="2025-06-01T00:00:00"/>
    <n v="24"/>
    <s v="30/06/2025"/>
    <n v="271"/>
    <s v="IN89"/>
  </r>
  <r>
    <x v="0"/>
    <n v="256779412563"/>
    <x v="4"/>
    <n v="0"/>
    <n v="-6.94"/>
    <s v="C: ASCENDAS27 P: Matching"/>
    <s v="22/05/2025"/>
    <s v="USD"/>
    <d v="2025-06-01T00:00:00"/>
    <n v="48"/>
    <s v="30/06/2025"/>
    <n v="271"/>
    <s v="IN89"/>
  </r>
  <r>
    <x v="0"/>
    <n v="256779412576"/>
    <x v="4"/>
    <n v="0"/>
    <n v="-11.84"/>
    <s v="C: ASCENDAS27 P: Matching"/>
    <s v="22/05/2025"/>
    <s v="USD"/>
    <d v="2025-06-01T00:00:00"/>
    <n v="52"/>
    <s v="30/06/2025"/>
    <n v="271"/>
    <s v="IN89"/>
  </r>
  <r>
    <x v="0"/>
    <n v="256779412577"/>
    <x v="4"/>
    <n v="0"/>
    <n v="-11.84"/>
    <s v="C: ASCENDAS27 P: Matching"/>
    <s v="22/05/2025"/>
    <s v="USD"/>
    <d v="2025-06-01T00:00:00"/>
    <n v="54"/>
    <s v="30/06/2025"/>
    <n v="271"/>
    <s v="IN89"/>
  </r>
  <r>
    <x v="0"/>
    <n v="256779412580"/>
    <x v="4"/>
    <n v="0"/>
    <n v="-10.42"/>
    <s v="C: ASCENDAS27 P: Matching"/>
    <s v="22/05/2025"/>
    <s v="USD"/>
    <d v="2025-06-01T00:00:00"/>
    <n v="56"/>
    <s v="30/06/2025"/>
    <n v="271"/>
    <s v="IN89"/>
  </r>
  <r>
    <x v="0"/>
    <n v="256779412562"/>
    <x v="4"/>
    <n v="0"/>
    <n v="-14.06"/>
    <s v="C: ASCENDAS27 P: Matching"/>
    <s v="22/05/2025"/>
    <s v="USD"/>
    <d v="2025-06-01T00:00:00"/>
    <n v="66"/>
    <s v="30/06/2025"/>
    <n v="271"/>
    <s v="IN89"/>
  </r>
  <r>
    <x v="0"/>
    <n v="256779412564"/>
    <x v="4"/>
    <n v="0"/>
    <n v="-14.2"/>
    <s v="C: ASCENDAS27 P: Matching"/>
    <s v="22/05/2025"/>
    <s v="USD"/>
    <d v="2025-06-01T00:00:00"/>
    <n v="70"/>
    <s v="30/06/2025"/>
    <n v="271"/>
    <s v="IN89"/>
  </r>
  <r>
    <x v="0"/>
    <n v="256779412570"/>
    <x v="4"/>
    <n v="0"/>
    <n v="-11.15"/>
    <s v="C: ASCENDAS27 P: Matching"/>
    <s v="22/05/2025"/>
    <s v="USD"/>
    <d v="2025-06-01T00:00:00"/>
    <n v="72"/>
    <s v="30/06/2025"/>
    <n v="271"/>
    <s v="IN89"/>
  </r>
  <r>
    <x v="0"/>
    <n v="256779412581"/>
    <x v="4"/>
    <n v="0"/>
    <n v="-13.25"/>
    <s v="C: ASCENDAS27 P: Matching"/>
    <s v="22/05/2025"/>
    <s v="USD"/>
    <d v="2025-06-01T00:00:00"/>
    <n v="74"/>
    <s v="30/06/2025"/>
    <n v="271"/>
    <s v="IN89"/>
  </r>
  <r>
    <x v="0"/>
    <n v="256779412585"/>
    <x v="4"/>
    <n v="0"/>
    <n v="-12.54"/>
    <s v="C: ASCENDAS27 P: Matching"/>
    <s v="22/05/2025"/>
    <s v="USD"/>
    <d v="2025-06-01T00:00:00"/>
    <n v="78"/>
    <s v="30/06/2025"/>
    <n v="271"/>
    <s v="IN89"/>
  </r>
  <r>
    <x v="0"/>
    <n v="256779412583"/>
    <x v="4"/>
    <n v="0"/>
    <n v="-13.59"/>
    <s v="C: ASCENDAS27 P: Matching"/>
    <s v="22/05/2025"/>
    <s v="USD"/>
    <d v="2025-06-01T00:00:00"/>
    <n v="104"/>
    <s v="30/06/2025"/>
    <n v="271"/>
    <s v="IN89"/>
  </r>
  <r>
    <x v="0"/>
    <n v="256779418480"/>
    <x v="5"/>
    <n v="-13.59"/>
    <n v="-1204.8800000000001"/>
    <s v="USD CURRENCY"/>
    <s v="20/11/2025"/>
    <s v="USD"/>
    <d v="2025-12-01T00:00:00"/>
    <n v="1"/>
    <s v="15/12/2025"/>
    <n v="210"/>
    <s v="IN89"/>
  </r>
  <r>
    <x v="0"/>
    <n v="256779418480"/>
    <x v="5"/>
    <n v="0.27"/>
    <n v="23.94"/>
    <s v="C: ASCENDAS27 P: A023951 I 256779418480"/>
    <s v="20/11/2025"/>
    <s v="USD"/>
    <d v="2025-12-01T00:00:00"/>
    <n v="1"/>
    <s v="15/12/2025"/>
    <n v="230"/>
    <s v="IN89"/>
  </r>
  <r>
    <x v="0"/>
    <n v="256779418474"/>
    <x v="5"/>
    <n v="-562.38"/>
    <n v="-49860.33"/>
    <s v="USD CURRENCY"/>
    <s v="20/11/2025"/>
    <s v="USD"/>
    <d v="2026-01-01T00:00:00"/>
    <n v="1"/>
    <s v="28/01/2026"/>
    <n v="210"/>
    <s v="IN89"/>
  </r>
  <r>
    <x v="0"/>
    <n v="256779418474"/>
    <x v="5"/>
    <n v="11.25"/>
    <n v="997.42"/>
    <s v="C: ASCENDAS27 P: A023951 I 256779418474"/>
    <s v="20/11/2025"/>
    <s v="USD"/>
    <d v="2026-01-01T00:00:00"/>
    <n v="1"/>
    <s v="28/01/2026"/>
    <n v="230"/>
    <s v="IN89"/>
  </r>
  <r>
    <x v="0"/>
    <n v="256779418474"/>
    <x v="5"/>
    <n v="0"/>
    <n v="-1591.62"/>
    <s v="C: ASCENDAS27 P: Matching"/>
    <s v="20/11/2025"/>
    <s v="USD"/>
    <d v="2026-01-01T00:00:00"/>
    <n v="78"/>
    <s v="31/01/2026"/>
    <n v="271"/>
    <s v="IN89"/>
  </r>
  <r>
    <x v="0"/>
    <n v="256779418474"/>
    <x v="5"/>
    <n v="0"/>
    <n v="-14.27"/>
    <s v="C: ASCENDAS27 P: Matching"/>
    <s v="20/11/2025"/>
    <s v="USD"/>
    <d v="2026-01-01T00:00:00"/>
    <n v="80"/>
    <s v="31/01/2026"/>
    <n v="271"/>
    <s v="IN89"/>
  </r>
  <r>
    <x v="0"/>
    <n v="256779418474"/>
    <x v="5"/>
    <n v="0"/>
    <n v="-31.65"/>
    <s v="C: ASCENDAS27 P: Matching"/>
    <s v="20/11/2025"/>
    <s v="USD"/>
    <d v="2026-01-01T00:00:00"/>
    <n v="82"/>
    <s v="31/01/2026"/>
    <n v="271"/>
    <s v="IN89"/>
  </r>
  <r>
    <x v="0"/>
    <n v="256779413393"/>
    <x v="6"/>
    <n v="-229.87"/>
    <n v="-19625.03"/>
    <m/>
    <s v="20/06/2025"/>
    <s v="USD"/>
    <d v="2025-07-01T00:00:00"/>
    <n v="1"/>
    <d v="2025-11-07T00:00:00"/>
    <n v="210"/>
    <s v="IN89"/>
  </r>
  <r>
    <x v="0"/>
    <n v="256779413394"/>
    <x v="6"/>
    <n v="-218.17"/>
    <n v="-18626.150000000001"/>
    <m/>
    <s v="20/06/2025"/>
    <s v="USD"/>
    <d v="2025-07-01T00:00:00"/>
    <n v="1"/>
    <d v="2025-11-07T00:00:00"/>
    <n v="210"/>
    <s v="IN89"/>
  </r>
  <r>
    <x v="0"/>
    <n v="256779413403"/>
    <x v="6"/>
    <n v="-402.88"/>
    <n v="-34395.67"/>
    <m/>
    <s v="20/06/2025"/>
    <s v="USD"/>
    <d v="2025-07-01T00:00:00"/>
    <n v="1"/>
    <d v="2025-11-07T00:00:00"/>
    <n v="210"/>
    <s v="IN89"/>
  </r>
  <r>
    <x v="0"/>
    <n v="256779413397"/>
    <x v="6"/>
    <n v="-229.87"/>
    <n v="-19625.03"/>
    <m/>
    <s v="20/06/2025"/>
    <s v="USD"/>
    <d v="2025-07-01T00:00:00"/>
    <n v="1"/>
    <d v="2025-11-07T00:00:00"/>
    <n v="210"/>
    <s v="IN89"/>
  </r>
  <r>
    <x v="0"/>
    <n v="256779413398"/>
    <x v="6"/>
    <n v="-218.17"/>
    <n v="-18626.150000000001"/>
    <m/>
    <s v="20/06/2025"/>
    <s v="USD"/>
    <d v="2025-07-01T00:00:00"/>
    <n v="1"/>
    <d v="2025-11-07T00:00:00"/>
    <n v="210"/>
    <s v="IN89"/>
  </r>
  <r>
    <x v="0"/>
    <n v="256779413400"/>
    <x v="6"/>
    <n v="-218.17"/>
    <n v="-18626.150000000001"/>
    <s v="USD CURRENCY"/>
    <s v="20/06/2025"/>
    <s v="USD"/>
    <d v="2025-07-01T00:00:00"/>
    <n v="1"/>
    <d v="2025-11-07T00:00:00"/>
    <n v="210"/>
    <s v="IN89"/>
  </r>
  <r>
    <x v="0"/>
    <n v="256779413402"/>
    <x v="6"/>
    <n v="-229.87"/>
    <n v="-19625.03"/>
    <m/>
    <s v="20/06/2025"/>
    <s v="USD"/>
    <d v="2025-07-01T00:00:00"/>
    <n v="1"/>
    <d v="2025-11-07T00:00:00"/>
    <n v="210"/>
    <s v="IN89"/>
  </r>
  <r>
    <x v="0"/>
    <n v="256779413396"/>
    <x v="6"/>
    <n v="-218.17"/>
    <n v="-18626.150000000001"/>
    <m/>
    <s v="20/06/2025"/>
    <s v="USD"/>
    <d v="2025-07-01T00:00:00"/>
    <n v="1"/>
    <d v="2025-11-07T00:00:00"/>
    <n v="210"/>
    <s v="IN89"/>
  </r>
  <r>
    <x v="0"/>
    <n v="256779413401"/>
    <x v="6"/>
    <n v="-229.87"/>
    <n v="-19625.03"/>
    <m/>
    <s v="20/06/2025"/>
    <s v="USD"/>
    <d v="2025-07-01T00:00:00"/>
    <n v="1"/>
    <d v="2025-11-07T00:00:00"/>
    <n v="210"/>
    <s v="IN89"/>
  </r>
  <r>
    <x v="0"/>
    <n v="256779413396"/>
    <x v="6"/>
    <n v="4.3600000000000003"/>
    <n v="372.23"/>
    <s v="C: ASCENDAS27 P: A023951 I 256779413396"/>
    <s v="20/06/2025"/>
    <s v="USD"/>
    <d v="2025-07-01T00:00:00"/>
    <n v="1"/>
    <d v="2025-11-07T00:00:00"/>
    <n v="230"/>
    <s v="IN89"/>
  </r>
  <r>
    <x v="0"/>
    <n v="256779413401"/>
    <x v="6"/>
    <n v="4.5999999999999996"/>
    <n v="392.72"/>
    <s v="C: ASCENDAS27 P: A023951 I 256779413401"/>
    <s v="20/06/2025"/>
    <s v="USD"/>
    <d v="2025-07-01T00:00:00"/>
    <n v="1"/>
    <d v="2025-11-07T00:00:00"/>
    <n v="230"/>
    <s v="IN89"/>
  </r>
  <r>
    <x v="0"/>
    <n v="256779413395"/>
    <x v="6"/>
    <n v="-264.98"/>
    <n v="-22622.53"/>
    <m/>
    <s v="20/06/2025"/>
    <s v="USD"/>
    <d v="2025-07-01T00:00:00"/>
    <n v="1"/>
    <d v="2025-11-07T00:00:00"/>
    <n v="210"/>
    <s v="IN89"/>
  </r>
  <r>
    <x v="0"/>
    <n v="256779413395"/>
    <x v="6"/>
    <n v="5.3"/>
    <n v="452.48"/>
    <s v="C: ASCENDAS27 P: A023951 I 256779413395"/>
    <s v="20/06/2025"/>
    <s v="USD"/>
    <d v="2025-07-01T00:00:00"/>
    <n v="1"/>
    <d v="2025-11-07T00:00:00"/>
    <n v="230"/>
    <s v="IN89"/>
  </r>
  <r>
    <x v="0"/>
    <n v="256779413399"/>
    <x v="6"/>
    <n v="-229.87"/>
    <n v="-19625.03"/>
    <m/>
    <s v="20/06/2025"/>
    <s v="USD"/>
    <d v="2025-07-01T00:00:00"/>
    <n v="1"/>
    <d v="2025-11-07T00:00:00"/>
    <n v="210"/>
    <s v="IN89"/>
  </r>
  <r>
    <x v="0"/>
    <n v="256779413399"/>
    <x v="6"/>
    <n v="4.5999999999999996"/>
    <n v="392.72"/>
    <s v="C: ASCENDAS27 P: A023951 I 256779413399"/>
    <s v="20/06/2025"/>
    <s v="USD"/>
    <d v="2025-07-01T00:00:00"/>
    <n v="1"/>
    <d v="2025-11-07T00:00:00"/>
    <n v="230"/>
    <s v="IN89"/>
  </r>
  <r>
    <x v="0"/>
    <n v="256779413391"/>
    <x v="6"/>
    <n v="-253.29"/>
    <n v="-21624.5"/>
    <m/>
    <s v="20/06/2025"/>
    <s v="USD"/>
    <d v="2025-09-01T00:00:00"/>
    <n v="1"/>
    <s v="30/09/2025"/>
    <n v="210"/>
    <s v="IN89"/>
  </r>
  <r>
    <x v="0"/>
    <n v="256779413392"/>
    <x v="6"/>
    <n v="-218.17"/>
    <n v="-18626.150000000001"/>
    <m/>
    <s v="20/06/2025"/>
    <s v="USD"/>
    <d v="2025-09-01T00:00:00"/>
    <n v="1"/>
    <s v="30/09/2025"/>
    <n v="210"/>
    <s v="IN89"/>
  </r>
  <r>
    <x v="0"/>
    <n v="256779413391"/>
    <x v="6"/>
    <n v="5.07"/>
    <n v="432.85"/>
    <s v="C: ASCENDAS27 P: A023951 I 256779413391"/>
    <s v="20/06/2025"/>
    <s v="USD"/>
    <d v="2025-09-01T00:00:00"/>
    <n v="1"/>
    <s v="30/09/2025"/>
    <n v="230"/>
    <s v="IN89"/>
  </r>
  <r>
    <x v="0"/>
    <n v="256779413392"/>
    <x v="6"/>
    <n v="4.3600000000000003"/>
    <n v="372.23"/>
    <s v="C: ASCENDAS27 P: A023951 I 256779413392"/>
    <s v="20/06/2025"/>
    <s v="USD"/>
    <d v="2025-09-01T00:00:00"/>
    <n v="1"/>
    <s v="30/09/2025"/>
    <n v="230"/>
    <s v="IN89"/>
  </r>
  <r>
    <x v="0"/>
    <n v="256779413391"/>
    <x v="6"/>
    <n v="0"/>
    <n v="-815.41"/>
    <s v="C: ASCENDAS27 P: Matching"/>
    <s v="20/06/2025"/>
    <s v="USD"/>
    <d v="2025-09-01T00:00:00"/>
    <n v="64"/>
    <s v="30/09/2025"/>
    <n v="271"/>
    <s v="IN89"/>
  </r>
  <r>
    <x v="0"/>
    <n v="256779413392"/>
    <x v="6"/>
    <n v="0"/>
    <n v="-702.37"/>
    <s v="C: ASCENDAS27 P: Matching"/>
    <s v="20/06/2025"/>
    <s v="USD"/>
    <d v="2025-09-01T00:00:00"/>
    <n v="70"/>
    <s v="30/09/2025"/>
    <n v="271"/>
    <s v="IN89"/>
  </r>
  <r>
    <x v="0"/>
    <n v="256779412184"/>
    <x v="7"/>
    <n v="-93.23"/>
    <n v="-7992.33"/>
    <m/>
    <s v="21/05/2025"/>
    <s v="USD"/>
    <d v="2025-06-01T00:00:00"/>
    <n v="1"/>
    <s v="30/06/2025"/>
    <n v="210"/>
    <s v="IN89"/>
  </r>
  <r>
    <x v="0"/>
    <n v="256779412185"/>
    <x v="7"/>
    <n v="-51.28"/>
    <n v="-4396.08"/>
    <m/>
    <s v="21/05/2025"/>
    <s v="USD"/>
    <d v="2025-06-01T00:00:00"/>
    <n v="1"/>
    <s v="30/06/2025"/>
    <n v="210"/>
    <s v="IN89"/>
  </r>
  <r>
    <x v="0"/>
    <n v="256779412189"/>
    <x v="7"/>
    <n v="0"/>
    <n v="-262.20999999999998"/>
    <m/>
    <s v="21/05/2025"/>
    <s v="INR"/>
    <d v="2025-06-01T00:00:00"/>
    <n v="1"/>
    <s v="30/06/2025"/>
    <n v="210"/>
    <s v="IN89"/>
  </r>
  <r>
    <x v="0"/>
    <n v="256779412155"/>
    <x v="7"/>
    <n v="-2330.73"/>
    <n v="-199806.42"/>
    <m/>
    <s v="21/05/2025"/>
    <s v="USD"/>
    <d v="2025-06-01T00:00:00"/>
    <n v="1"/>
    <s v="30/06/2025"/>
    <n v="210"/>
    <s v="IN89"/>
  </r>
  <r>
    <x v="0"/>
    <n v="256779412189"/>
    <x v="7"/>
    <n v="0"/>
    <n v="6"/>
    <s v="C: ASCENDAS27 P: A023951 I 256779412189"/>
    <s v="21/05/2025"/>
    <s v="INR"/>
    <d v="2025-06-01T00:00:00"/>
    <n v="1"/>
    <s v="30/06/2025"/>
    <n v="230"/>
    <s v="IN89"/>
  </r>
  <r>
    <x v="0"/>
    <n v="256779412185"/>
    <x v="7"/>
    <n v="1.03"/>
    <n v="88.3"/>
    <s v="C: ASCENDAS27 P: A023951 I 256779412185"/>
    <s v="21/05/2025"/>
    <s v="USD"/>
    <d v="2025-06-01T00:00:00"/>
    <n v="1"/>
    <s v="30/06/2025"/>
    <n v="230"/>
    <s v="IN89"/>
  </r>
  <r>
    <x v="0"/>
    <n v="256779412184"/>
    <x v="7"/>
    <n v="1.86"/>
    <n v="159.44999999999999"/>
    <s v="C: ASCENDAS27 P: A023951 I 256779412184"/>
    <s v="21/05/2025"/>
    <s v="USD"/>
    <d v="2025-06-01T00:00:00"/>
    <n v="1"/>
    <s v="30/06/2025"/>
    <n v="230"/>
    <s v="IN89"/>
  </r>
  <r>
    <x v="0"/>
    <n v="256779412155"/>
    <x v="7"/>
    <n v="46.61"/>
    <n v="3995.73"/>
    <s v="C: ASCENDAS27 P: A023951 I 256779412155"/>
    <s v="21/05/2025"/>
    <s v="USD"/>
    <d v="2025-06-01T00:00:00"/>
    <n v="1"/>
    <s v="30/06/2025"/>
    <n v="230"/>
    <s v="IN89"/>
  </r>
  <r>
    <x v="0"/>
    <n v="256779412184"/>
    <x v="7"/>
    <n v="0"/>
    <n v="-23.98"/>
    <s v="C: ASCENDAS27 P: Matching"/>
    <s v="21/05/2025"/>
    <s v="USD"/>
    <d v="2025-06-01T00:00:00"/>
    <n v="42"/>
    <s v="30/06/2025"/>
    <n v="271"/>
    <s v="IN89"/>
  </r>
  <r>
    <x v="0"/>
    <n v="256779412185"/>
    <x v="7"/>
    <n v="0"/>
    <n v="-13.19"/>
    <s v="C: ASCENDAS27 P: Matching"/>
    <s v="21/05/2025"/>
    <s v="USD"/>
    <d v="2025-06-01T00:00:00"/>
    <n v="46"/>
    <s v="30/06/2025"/>
    <n v="271"/>
    <s v="IN89"/>
  </r>
  <r>
    <x v="0"/>
    <n v="256779412155"/>
    <x v="7"/>
    <n v="0"/>
    <n v="-599.66999999999996"/>
    <s v="C: ASCENDAS27 P: Matching"/>
    <s v="21/05/2025"/>
    <s v="USD"/>
    <d v="2025-06-01T00:00:00"/>
    <n v="84"/>
    <s v="30/06/2025"/>
    <n v="271"/>
    <s v="IN89"/>
  </r>
  <r>
    <x v="0"/>
    <n v="256779419542"/>
    <x v="8"/>
    <n v="-409.4"/>
    <n v="-36130.6"/>
    <s v="USD CURRENCY- NO EXCHANGE RATE PROVIDED"/>
    <s v="20/12/2025"/>
    <s v="USD"/>
    <d v="2025-12-01T00:00:00"/>
    <n v="1"/>
    <s v="15/12/2025"/>
    <n v="210"/>
    <s v="IN89"/>
  </r>
  <r>
    <x v="0"/>
    <n v="256779419542"/>
    <x v="8"/>
    <n v="8.19"/>
    <n v="722.79"/>
    <s v="C: ASCENDAS27 P: A023951 I 256779419542"/>
    <s v="20/12/2025"/>
    <s v="USD"/>
    <d v="2025-12-01T00:00:00"/>
    <n v="1"/>
    <s v="15/12/2025"/>
    <n v="230"/>
    <s v="IN89"/>
  </r>
  <r>
    <x v="0"/>
    <n v="256779419531"/>
    <x v="8"/>
    <n v="-417.77"/>
    <n v="-36869.279999999999"/>
    <s v="USD CURRENCY"/>
    <s v="20/12/2025"/>
    <s v="USD"/>
    <d v="2026-01-01T00:00:00"/>
    <n v="1"/>
    <s v="27/01/2026"/>
    <n v="210"/>
    <s v="IN89"/>
  </r>
  <r>
    <x v="0"/>
    <n v="256779419620"/>
    <x v="8"/>
    <n v="-102.39"/>
    <n v="-9036.18"/>
    <s v="USD CURRENCY"/>
    <s v="20/12/2025"/>
    <s v="USD"/>
    <d v="2026-01-01T00:00:00"/>
    <n v="1"/>
    <s v="27/01/2026"/>
    <n v="210"/>
    <s v="IN89"/>
  </r>
  <r>
    <x v="0"/>
    <n v="256779419620"/>
    <x v="8"/>
    <n v="2.0499999999999998"/>
    <n v="180.92"/>
    <s v="C: ASCENDAS27 P: A023951 I 256779419620"/>
    <s v="20/12/2025"/>
    <s v="USD"/>
    <d v="2026-01-01T00:00:00"/>
    <n v="1"/>
    <s v="27/01/2026"/>
    <n v="230"/>
    <s v="IN89"/>
  </r>
  <r>
    <x v="0"/>
    <n v="256779419531"/>
    <x v="8"/>
    <n v="8.36"/>
    <n v="737.79"/>
    <s v="C: ASCENDAS27 P: A023951 I 256779419531"/>
    <s v="20/12/2025"/>
    <s v="USD"/>
    <d v="2026-01-01T00:00:00"/>
    <n v="1"/>
    <s v="27/01/2026"/>
    <n v="230"/>
    <s v="IN89"/>
  </r>
  <r>
    <x v="0"/>
    <n v="256779418653"/>
    <x v="9"/>
    <n v="-170.68"/>
    <n v="-15132.4"/>
    <s v="USD CURRENCY"/>
    <s v="19/11/2025"/>
    <s v="USD"/>
    <d v="2026-01-01T00:00:00"/>
    <n v="1"/>
    <s v="28/01/2026"/>
    <n v="210"/>
    <s v="IN89"/>
  </r>
  <r>
    <x v="0"/>
    <n v="256779418653"/>
    <x v="9"/>
    <n v="3.41"/>
    <n v="302.33"/>
    <s v="C: ASCENDAS27 P: A023951 I 256779418653"/>
    <s v="19/11/2025"/>
    <s v="USD"/>
    <d v="2026-01-01T00:00:00"/>
    <n v="1"/>
    <s v="28/01/2026"/>
    <n v="230"/>
    <s v="IN89"/>
  </r>
  <r>
    <x v="0"/>
    <n v="256779418653"/>
    <x v="9"/>
    <n v="0"/>
    <n v="-166.44"/>
    <s v="C: ASCENDAS27 P: Matching"/>
    <s v="19/11/2025"/>
    <s v="USD"/>
    <d v="2026-01-01T00:00:00"/>
    <n v="90"/>
    <s v="31/01/2026"/>
    <n v="271"/>
    <s v="IN89"/>
  </r>
  <r>
    <x v="0"/>
    <n v="256779418653"/>
    <x v="9"/>
    <n v="0"/>
    <n v="-330.56"/>
    <s v="C: ASCENDAS27 P: Matching"/>
    <s v="19/11/2025"/>
    <s v="USD"/>
    <d v="2026-01-01T00:00:00"/>
    <n v="92"/>
    <s v="31/01/2026"/>
    <n v="271"/>
    <s v="IN89"/>
  </r>
  <r>
    <x v="0"/>
    <n v="256779416869"/>
    <x v="10"/>
    <n v="-115.98"/>
    <n v="-10047.450000000001"/>
    <s v="USD CURRENCY"/>
    <s v="19/09/2025"/>
    <s v="USD"/>
    <d v="2026-01-01T00:00:00"/>
    <n v="1"/>
    <s v="28/01/2026"/>
    <n v="210"/>
    <s v="IN89"/>
  </r>
  <r>
    <x v="0"/>
    <n v="256779416838"/>
    <x v="10"/>
    <n v="-685.03"/>
    <n v="-59344.77"/>
    <s v="USD CURRENCY"/>
    <s v="19/09/2025"/>
    <s v="USD"/>
    <d v="2026-01-01T00:00:00"/>
    <n v="1"/>
    <s v="28/01/2026"/>
    <n v="210"/>
    <s v="IN89"/>
  </r>
  <r>
    <x v="0"/>
    <n v="256779416838"/>
    <x v="10"/>
    <n v="13.7"/>
    <n v="1186.8399999999999"/>
    <s v="C: ASCENDAS27 P: A023951 I 256779416838"/>
    <s v="19/09/2025"/>
    <s v="USD"/>
    <d v="2026-01-01T00:00:00"/>
    <n v="1"/>
    <s v="28/01/2026"/>
    <n v="230"/>
    <s v="IN89"/>
  </r>
  <r>
    <x v="0"/>
    <n v="256779416869"/>
    <x v="10"/>
    <n v="2.3199999999999998"/>
    <n v="200.98"/>
    <s v="C: ASCENDAS27 P: A023951 I 256779416869"/>
    <s v="19/09/2025"/>
    <s v="USD"/>
    <d v="2026-01-01T00:00:00"/>
    <n v="1"/>
    <s v="28/01/2026"/>
    <n v="230"/>
    <s v="IN89"/>
  </r>
  <r>
    <x v="0"/>
    <n v="256779416869"/>
    <x v="10"/>
    <n v="0"/>
    <n v="-568.28"/>
    <s v="C: ASCENDAS27 P: Matching"/>
    <s v="19/09/2025"/>
    <s v="USD"/>
    <d v="2026-01-01T00:00:00"/>
    <n v="84"/>
    <s v="31/01/2026"/>
    <n v="271"/>
    <s v="IN89"/>
  </r>
  <r>
    <x v="0"/>
    <n v="256779416838"/>
    <x v="10"/>
    <n v="0"/>
    <n v="-3356.53"/>
    <s v="C: ASCENDAS27 P: Matching"/>
    <s v="19/09/2025"/>
    <s v="USD"/>
    <d v="2026-01-01T00:00:00"/>
    <n v="88"/>
    <s v="31/01/2026"/>
    <n v="271"/>
    <s v="IN89"/>
  </r>
  <r>
    <x v="0"/>
    <n v="246779414663"/>
    <x v="11"/>
    <n v="-45"/>
    <n v="-3916.91"/>
    <m/>
    <s v="19/04/2025"/>
    <s v="USD"/>
    <d v="2025-06-01T00:00:00"/>
    <n v="1"/>
    <d v="2025-12-06T00:00:00"/>
    <n v="210"/>
    <s v="IN89"/>
  </r>
  <r>
    <x v="0"/>
    <n v="246779414662"/>
    <x v="11"/>
    <n v="-275"/>
    <n v="-23936.66"/>
    <m/>
    <s v="19/04/2025"/>
    <s v="USD"/>
    <d v="2025-06-01T00:00:00"/>
    <n v="1"/>
    <d v="2025-12-06T00:00:00"/>
    <n v="210"/>
    <s v="IN89"/>
  </r>
  <r>
    <x v="0"/>
    <n v="246779414385"/>
    <x v="11"/>
    <n v="-240"/>
    <n v="-20890.18"/>
    <m/>
    <s v="19/04/2025"/>
    <s v="USD"/>
    <d v="2025-06-01T00:00:00"/>
    <n v="1"/>
    <d v="2025-12-06T00:00:00"/>
    <n v="210"/>
    <s v="IN89"/>
  </r>
  <r>
    <x v="0"/>
    <n v="246779414663"/>
    <x v="11"/>
    <n v="0.9"/>
    <n v="78.34"/>
    <s v="C: ASCENDAS27 P: A023951 I 246779414663"/>
    <s v="19/04/2025"/>
    <s v="USD"/>
    <d v="2025-06-01T00:00:00"/>
    <n v="1"/>
    <d v="2025-12-06T00:00:00"/>
    <n v="230"/>
    <s v="IN89"/>
  </r>
  <r>
    <x v="0"/>
    <n v="246779414662"/>
    <x v="11"/>
    <n v="5.5"/>
    <n v="478.73"/>
    <s v="C: ASCENDAS27 P: A023951 I 246779414662"/>
    <s v="19/04/2025"/>
    <s v="USD"/>
    <d v="2025-06-01T00:00:00"/>
    <n v="1"/>
    <d v="2025-12-06T00:00:00"/>
    <n v="230"/>
    <s v="IN89"/>
  </r>
  <r>
    <x v="0"/>
    <n v="246779414385"/>
    <x v="11"/>
    <n v="4.8"/>
    <n v="417.8"/>
    <s v="C: ASCENDAS27 P: A023951 I 246779414385"/>
    <s v="19/04/2025"/>
    <s v="USD"/>
    <d v="2025-06-01T00:00:00"/>
    <n v="1"/>
    <d v="2025-12-06T00:00:00"/>
    <n v="230"/>
    <s v="IN89"/>
  </r>
  <r>
    <x v="0"/>
    <n v="246779413730"/>
    <x v="11"/>
    <n v="-3.2"/>
    <n v="-278.54000000000002"/>
    <m/>
    <s v="19/04/2025"/>
    <s v="USD"/>
    <d v="2025-06-01T00:00:00"/>
    <n v="1"/>
    <d v="2025-12-06T00:00:00"/>
    <n v="210"/>
    <s v="IN89"/>
  </r>
  <r>
    <x v="0"/>
    <n v="246779413730"/>
    <x v="11"/>
    <n v="0.06"/>
    <n v="5.22"/>
    <s v="C: ASCENDAS27 P: A023951 I 246779413730"/>
    <s v="19/04/2025"/>
    <s v="USD"/>
    <d v="2025-06-01T00:00:00"/>
    <n v="1"/>
    <d v="2025-12-06T00:00:00"/>
    <n v="230"/>
    <s v="IN89"/>
  </r>
  <r>
    <x v="0"/>
    <n v="246779413936"/>
    <x v="11"/>
    <n v="-27.5"/>
    <n v="-2393.67"/>
    <m/>
    <s v="19/04/2025"/>
    <s v="USD"/>
    <d v="2025-06-01T00:00:00"/>
    <n v="1"/>
    <s v="30/06/2025"/>
    <n v="210"/>
    <s v="IN89"/>
  </r>
  <r>
    <x v="0"/>
    <n v="246779413889"/>
    <x v="11"/>
    <n v="-42.5"/>
    <n v="-3699.3"/>
    <m/>
    <s v="19/04/2025"/>
    <s v="USD"/>
    <d v="2025-06-01T00:00:00"/>
    <n v="1"/>
    <s v="30/06/2025"/>
    <n v="210"/>
    <s v="IN89"/>
  </r>
  <r>
    <x v="0"/>
    <n v="246779413920"/>
    <x v="11"/>
    <n v="-22.5"/>
    <n v="-1958.45"/>
    <m/>
    <s v="19/04/2025"/>
    <s v="USD"/>
    <d v="2025-06-01T00:00:00"/>
    <n v="1"/>
    <s v="30/06/2025"/>
    <n v="210"/>
    <s v="IN89"/>
  </r>
  <r>
    <x v="0"/>
    <n v="246779413941"/>
    <x v="11"/>
    <n v="-30"/>
    <n v="-2611.27"/>
    <m/>
    <s v="19/04/2025"/>
    <s v="USD"/>
    <d v="2025-06-01T00:00:00"/>
    <n v="1"/>
    <s v="30/06/2025"/>
    <n v="210"/>
    <s v="IN89"/>
  </r>
  <r>
    <x v="0"/>
    <n v="246779413815"/>
    <x v="11"/>
    <n v="-50"/>
    <n v="-4352.12"/>
    <m/>
    <s v="19/04/2025"/>
    <s v="USD"/>
    <d v="2025-06-01T00:00:00"/>
    <n v="1"/>
    <s v="30/06/2025"/>
    <n v="210"/>
    <s v="IN89"/>
  </r>
  <r>
    <x v="0"/>
    <n v="246779414384"/>
    <x v="11"/>
    <n v="-182.5"/>
    <n v="-15885.24"/>
    <m/>
    <s v="19/04/2025"/>
    <s v="USD"/>
    <d v="2025-06-01T00:00:00"/>
    <n v="1"/>
    <s v="30/06/2025"/>
    <n v="210"/>
    <s v="IN89"/>
  </r>
  <r>
    <x v="0"/>
    <n v="246779413815"/>
    <x v="11"/>
    <n v="1"/>
    <n v="87.04"/>
    <s v="C: ASCENDAS27 P: A023951 I 246779413815"/>
    <s v="19/04/2025"/>
    <s v="USD"/>
    <d v="2025-06-01T00:00:00"/>
    <n v="1"/>
    <s v="30/06/2025"/>
    <n v="230"/>
    <s v="IN89"/>
  </r>
  <r>
    <x v="0"/>
    <n v="246779413936"/>
    <x v="11"/>
    <n v="0.55000000000000004"/>
    <n v="47.87"/>
    <s v="C: ASCENDAS27 P: A023951 I 246779413936"/>
    <s v="19/04/2025"/>
    <s v="USD"/>
    <d v="2025-06-01T00:00:00"/>
    <n v="1"/>
    <s v="30/06/2025"/>
    <n v="230"/>
    <s v="IN89"/>
  </r>
  <r>
    <x v="0"/>
    <n v="246779414384"/>
    <x v="11"/>
    <n v="3.65"/>
    <n v="317.7"/>
    <s v="C: ASCENDAS27 P: A023951 I 246779414384"/>
    <s v="19/04/2025"/>
    <s v="USD"/>
    <d v="2025-06-01T00:00:00"/>
    <n v="1"/>
    <s v="30/06/2025"/>
    <n v="230"/>
    <s v="IN89"/>
  </r>
  <r>
    <x v="0"/>
    <n v="246779413889"/>
    <x v="11"/>
    <n v="0.85"/>
    <n v="73.989999999999995"/>
    <s v="C: ASCENDAS27 P: A023951 I 246779413889"/>
    <s v="19/04/2025"/>
    <s v="USD"/>
    <d v="2025-06-01T00:00:00"/>
    <n v="1"/>
    <s v="30/06/2025"/>
    <n v="230"/>
    <s v="IN89"/>
  </r>
  <r>
    <x v="0"/>
    <n v="246779413920"/>
    <x v="11"/>
    <n v="0.45"/>
    <n v="39.17"/>
    <s v="C: ASCENDAS27 P: A023951 I 246779413920"/>
    <s v="19/04/2025"/>
    <s v="USD"/>
    <d v="2025-06-01T00:00:00"/>
    <n v="1"/>
    <s v="30/06/2025"/>
    <n v="230"/>
    <s v="IN89"/>
  </r>
  <r>
    <x v="0"/>
    <n v="246779413941"/>
    <x v="11"/>
    <n v="0.6"/>
    <n v="52.23"/>
    <s v="C: ASCENDAS27 P: A023951 I 246779413941"/>
    <s v="19/04/2025"/>
    <s v="USD"/>
    <d v="2025-06-01T00:00:00"/>
    <n v="1"/>
    <s v="30/06/2025"/>
    <n v="230"/>
    <s v="IN89"/>
  </r>
  <r>
    <x v="0"/>
    <n v="246779413936"/>
    <x v="11"/>
    <n v="0"/>
    <n v="28.38"/>
    <s v="C: ASCENDAS27 P: Matching"/>
    <s v="19/04/2025"/>
    <s v="USD"/>
    <d v="2025-06-01T00:00:00"/>
    <n v="10"/>
    <s v="30/06/2025"/>
    <n v="271"/>
    <s v="IN89"/>
  </r>
  <r>
    <x v="0"/>
    <n v="246779413889"/>
    <x v="11"/>
    <n v="0"/>
    <n v="43.85"/>
    <s v="C: ASCENDAS27 P: Matching"/>
    <s v="19/04/2025"/>
    <s v="USD"/>
    <d v="2025-06-01T00:00:00"/>
    <n v="28"/>
    <s v="30/06/2025"/>
    <n v="271"/>
    <s v="IN89"/>
  </r>
  <r>
    <x v="0"/>
    <n v="246779413920"/>
    <x v="11"/>
    <n v="0"/>
    <n v="23.21"/>
    <s v="C: ASCENDAS27 P: Matching"/>
    <s v="19/04/2025"/>
    <s v="USD"/>
    <d v="2025-06-01T00:00:00"/>
    <n v="32"/>
    <s v="30/06/2025"/>
    <n v="271"/>
    <s v="IN89"/>
  </r>
  <r>
    <x v="0"/>
    <n v="246779413941"/>
    <x v="11"/>
    <n v="0"/>
    <n v="30.95"/>
    <s v="C: ASCENDAS27 P: Matching"/>
    <s v="19/04/2025"/>
    <s v="USD"/>
    <d v="2025-06-01T00:00:00"/>
    <n v="36"/>
    <s v="30/06/2025"/>
    <n v="271"/>
    <s v="IN89"/>
  </r>
  <r>
    <x v="0"/>
    <n v="246779413815"/>
    <x v="11"/>
    <n v="0"/>
    <n v="51.59"/>
    <s v="C: ASCENDAS27 P: Matching"/>
    <s v="19/04/2025"/>
    <s v="USD"/>
    <d v="2025-06-01T00:00:00"/>
    <n v="58"/>
    <s v="30/06/2025"/>
    <n v="271"/>
    <s v="IN89"/>
  </r>
  <r>
    <x v="0"/>
    <n v="246779414384"/>
    <x v="11"/>
    <n v="0"/>
    <n v="188.32"/>
    <s v="C: ASCENDAS27 P: Matching"/>
    <s v="19/04/2025"/>
    <s v="USD"/>
    <d v="2025-06-01T00:00:00"/>
    <n v="88"/>
    <s v="30/06/2025"/>
    <n v="271"/>
    <s v="IN89"/>
  </r>
  <r>
    <x v="0"/>
    <n v="246779413747"/>
    <x v="11"/>
    <n v="-2.74"/>
    <n v="-238.5"/>
    <m/>
    <s v="19/04/2025"/>
    <s v="USD"/>
    <d v="2025-09-01T00:00:00"/>
    <n v="1"/>
    <s v="30/09/2025"/>
    <n v="210"/>
    <s v="IN89"/>
  </r>
  <r>
    <x v="0"/>
    <n v="246779413747"/>
    <x v="11"/>
    <n v="0.05"/>
    <n v="4.3499999999999996"/>
    <s v="C: ASCENDAS27 P: A023951 I 246779413747"/>
    <s v="19/04/2025"/>
    <s v="USD"/>
    <d v="2025-09-01T00:00:00"/>
    <n v="1"/>
    <s v="30/09/2025"/>
    <n v="230"/>
    <s v="IN89"/>
  </r>
  <r>
    <x v="0"/>
    <n v="246779413747"/>
    <x v="11"/>
    <n v="0"/>
    <n v="-4.34"/>
    <s v="C: ASCENDAS27 P: Matching"/>
    <s v="19/04/2025"/>
    <s v="USD"/>
    <d v="2025-09-01T00:00:00"/>
    <n v="58"/>
    <s v="30/09/2025"/>
    <n v="271"/>
    <s v="IN89"/>
  </r>
  <r>
    <x v="0"/>
    <n v="246779410315"/>
    <x v="12"/>
    <n v="-2380.9499999999998"/>
    <n v="-207243.64"/>
    <m/>
    <s v="22/03/2025"/>
    <s v="USD"/>
    <d v="2025-06-01T00:00:00"/>
    <n v="1"/>
    <d v="2025-12-06T00:00:00"/>
    <n v="210"/>
    <s v="IN89"/>
  </r>
  <r>
    <x v="0"/>
    <n v="246779410098"/>
    <x v="12"/>
    <n v="-2380.9499999999998"/>
    <n v="-206046.42"/>
    <m/>
    <s v="22/03/2025"/>
    <s v="USD"/>
    <d v="2025-06-01T00:00:00"/>
    <n v="1"/>
    <d v="2025-12-06T00:00:00"/>
    <n v="210"/>
    <s v="IN89"/>
  </r>
  <r>
    <x v="0"/>
    <n v="246779410132"/>
    <x v="12"/>
    <n v="-52.38"/>
    <n v="-4532.9399999999996"/>
    <m/>
    <s v="22/03/2025"/>
    <s v="USD"/>
    <d v="2025-06-01T00:00:00"/>
    <n v="1"/>
    <d v="2025-12-06T00:00:00"/>
    <n v="210"/>
    <s v="IN89"/>
  </r>
  <r>
    <x v="0"/>
    <n v="246779410131"/>
    <x v="12"/>
    <n v="-95.24"/>
    <n v="-8242.0300000000007"/>
    <m/>
    <s v="22/03/2025"/>
    <s v="USD"/>
    <d v="2025-06-01T00:00:00"/>
    <n v="1"/>
    <d v="2025-12-06T00:00:00"/>
    <n v="210"/>
    <s v="IN89"/>
  </r>
  <r>
    <x v="0"/>
    <n v="246779410312"/>
    <x v="12"/>
    <n v="-52.38"/>
    <n v="-4559.28"/>
    <m/>
    <s v="22/03/2025"/>
    <s v="USD"/>
    <d v="2025-06-01T00:00:00"/>
    <n v="1"/>
    <d v="2025-12-06T00:00:00"/>
    <n v="210"/>
    <s v="IN89"/>
  </r>
  <r>
    <x v="0"/>
    <n v="246779410132"/>
    <x v="12"/>
    <n v="1.05"/>
    <n v="90.87"/>
    <s v="C: ASCENDAS27 P: A023951 I 246779410132"/>
    <s v="22/03/2025"/>
    <s v="USD"/>
    <d v="2025-06-01T00:00:00"/>
    <n v="1"/>
    <d v="2025-12-06T00:00:00"/>
    <n v="230"/>
    <s v="IN89"/>
  </r>
  <r>
    <x v="0"/>
    <n v="246779410098"/>
    <x v="12"/>
    <n v="47.62"/>
    <n v="4121.01"/>
    <s v="C: ASCENDAS27 P: A023951 I 246779410098"/>
    <s v="22/03/2025"/>
    <s v="USD"/>
    <d v="2025-06-01T00:00:00"/>
    <n v="1"/>
    <d v="2025-12-06T00:00:00"/>
    <n v="230"/>
    <s v="IN89"/>
  </r>
  <r>
    <x v="0"/>
    <n v="246779410131"/>
    <x v="12"/>
    <n v="1.9"/>
    <n v="164.43"/>
    <s v="C: ASCENDAS27 P: A023951 I 246779410131"/>
    <s v="22/03/2025"/>
    <s v="USD"/>
    <d v="2025-06-01T00:00:00"/>
    <n v="1"/>
    <d v="2025-12-06T00:00:00"/>
    <n v="230"/>
    <s v="IN89"/>
  </r>
  <r>
    <x v="0"/>
    <n v="246779410315"/>
    <x v="12"/>
    <n v="47.62"/>
    <n v="4144.96"/>
    <s v="C: ASCENDAS27 P: A023951 I 246779410315"/>
    <s v="22/03/2025"/>
    <s v="USD"/>
    <d v="2025-06-01T00:00:00"/>
    <n v="1"/>
    <d v="2025-12-06T00:00:00"/>
    <n v="230"/>
    <s v="IN89"/>
  </r>
  <r>
    <x v="0"/>
    <n v="246779410312"/>
    <x v="12"/>
    <n v="1.05"/>
    <n v="91.39"/>
    <s v="C: ASCENDAS27 P: A023951 I 246779410312"/>
    <s v="22/03/2025"/>
    <s v="USD"/>
    <d v="2025-06-01T00:00:00"/>
    <n v="1"/>
    <d v="2025-12-06T00:00:00"/>
    <n v="230"/>
    <s v="IN89"/>
  </r>
  <r>
    <x v="0"/>
    <n v="246779410175"/>
    <x v="12"/>
    <n v="-52.38"/>
    <n v="-4532.9399999999996"/>
    <m/>
    <s v="22/03/2025"/>
    <s v="USD"/>
    <d v="2025-06-01T00:00:00"/>
    <n v="1"/>
    <d v="2025-12-06T00:00:00"/>
    <n v="210"/>
    <s v="IN89"/>
  </r>
  <r>
    <x v="0"/>
    <n v="246779410141"/>
    <x v="12"/>
    <n v="-2380.9499999999998"/>
    <n v="-206046.42"/>
    <m/>
    <s v="22/03/2025"/>
    <s v="USD"/>
    <d v="2025-06-01T00:00:00"/>
    <n v="1"/>
    <d v="2025-12-06T00:00:00"/>
    <n v="210"/>
    <s v="IN89"/>
  </r>
  <r>
    <x v="0"/>
    <n v="246779410217"/>
    <x v="12"/>
    <n v="-93.33"/>
    <n v="-8076.74"/>
    <s v="NO EXCHANGE RATE"/>
    <s v="22/03/2025"/>
    <s v="USD"/>
    <d v="2025-06-01T00:00:00"/>
    <n v="1"/>
    <d v="2025-12-06T00:00:00"/>
    <n v="210"/>
    <s v="IN89"/>
  </r>
  <r>
    <x v="0"/>
    <n v="246779410218"/>
    <x v="12"/>
    <n v="-51.33"/>
    <n v="-4442.08"/>
    <m/>
    <s v="22/03/2025"/>
    <s v="USD"/>
    <d v="2025-06-01T00:00:00"/>
    <n v="1"/>
    <d v="2025-12-06T00:00:00"/>
    <n v="210"/>
    <s v="IN89"/>
  </r>
  <r>
    <x v="0"/>
    <n v="246779410174"/>
    <x v="12"/>
    <n v="-95.24"/>
    <n v="-8242.0300000000007"/>
    <m/>
    <s v="22/03/2025"/>
    <s v="USD"/>
    <d v="2025-06-01T00:00:00"/>
    <n v="1"/>
    <d v="2025-12-06T00:00:00"/>
    <n v="210"/>
    <s v="IN89"/>
  </r>
  <r>
    <x v="0"/>
    <n v="246779410184"/>
    <x v="12"/>
    <n v="-2333.1799999999998"/>
    <n v="-201912.42"/>
    <s v="NO EXCHANGE RATE"/>
    <s v="22/03/2025"/>
    <s v="USD"/>
    <d v="2025-06-01T00:00:00"/>
    <n v="1"/>
    <d v="2025-12-06T00:00:00"/>
    <n v="210"/>
    <s v="IN89"/>
  </r>
  <r>
    <x v="0"/>
    <n v="246779410218"/>
    <x v="12"/>
    <n v="1.03"/>
    <n v="89.14"/>
    <s v="C: ASCENDAS27 P: A023951 I 246779410218"/>
    <s v="22/03/2025"/>
    <s v="USD"/>
    <d v="2025-06-01T00:00:00"/>
    <n v="1"/>
    <d v="2025-12-06T00:00:00"/>
    <n v="230"/>
    <s v="IN89"/>
  </r>
  <r>
    <x v="0"/>
    <n v="246779410175"/>
    <x v="12"/>
    <n v="1.05"/>
    <n v="90.87"/>
    <s v="C: ASCENDAS27 P: A023951 I 246779410175"/>
    <s v="22/03/2025"/>
    <s v="USD"/>
    <d v="2025-06-01T00:00:00"/>
    <n v="1"/>
    <d v="2025-12-06T00:00:00"/>
    <n v="230"/>
    <s v="IN89"/>
  </r>
  <r>
    <x v="0"/>
    <n v="246779410141"/>
    <x v="12"/>
    <n v="47.62"/>
    <n v="4121.01"/>
    <s v="C: ASCENDAS27 P: A023951 I 246779410141"/>
    <s v="22/03/2025"/>
    <s v="USD"/>
    <d v="2025-06-01T00:00:00"/>
    <n v="1"/>
    <d v="2025-12-06T00:00:00"/>
    <n v="230"/>
    <s v="IN89"/>
  </r>
  <r>
    <x v="0"/>
    <n v="246779410184"/>
    <x v="12"/>
    <n v="46.66"/>
    <n v="4037.94"/>
    <s v="C: ASCENDAS27 P: A023951 I 246779410184"/>
    <s v="22/03/2025"/>
    <s v="USD"/>
    <d v="2025-06-01T00:00:00"/>
    <n v="1"/>
    <d v="2025-12-06T00:00:00"/>
    <n v="230"/>
    <s v="IN89"/>
  </r>
  <r>
    <x v="0"/>
    <n v="246779410217"/>
    <x v="12"/>
    <n v="1.87"/>
    <n v="161.83000000000001"/>
    <s v="C: ASCENDAS27 P: A023951 I 246779410217"/>
    <s v="22/03/2025"/>
    <s v="USD"/>
    <d v="2025-06-01T00:00:00"/>
    <n v="1"/>
    <d v="2025-12-06T00:00:00"/>
    <n v="230"/>
    <s v="IN89"/>
  </r>
  <r>
    <x v="0"/>
    <n v="246779410174"/>
    <x v="12"/>
    <n v="1.9"/>
    <n v="164.43"/>
    <s v="C: ASCENDAS27 P: A023951 I 246779410174"/>
    <s v="22/03/2025"/>
    <s v="USD"/>
    <d v="2025-06-01T00:00:00"/>
    <n v="1"/>
    <d v="2025-12-06T00:00:00"/>
    <n v="230"/>
    <s v="IN89"/>
  </r>
  <r>
    <x v="0"/>
    <n v="246779410227"/>
    <x v="12"/>
    <n v="-2286.2399999999998"/>
    <n v="-197850.25"/>
    <m/>
    <s v="22/03/2025"/>
    <s v="USD"/>
    <d v="2025-06-01T00:00:00"/>
    <n v="1"/>
    <s v="26/06/2025"/>
    <n v="210"/>
    <s v="IN89"/>
  </r>
  <r>
    <x v="0"/>
    <n v="246779410227"/>
    <x v="12"/>
    <n v="45.72"/>
    <n v="3956.59"/>
    <s v="C: ASCENDAS27 P: A023951 I 246779410227"/>
    <s v="22/03/2025"/>
    <s v="USD"/>
    <d v="2025-06-01T00:00:00"/>
    <n v="1"/>
    <s v="26/06/2025"/>
    <n v="230"/>
    <s v="IN89"/>
  </r>
  <r>
    <x v="0"/>
    <n v="246779410260"/>
    <x v="12"/>
    <n v="-91.45"/>
    <n v="-7914.04"/>
    <m/>
    <s v="22/03/2025"/>
    <s v="USD"/>
    <d v="2025-06-01T00:00:00"/>
    <n v="1"/>
    <s v="30/06/2025"/>
    <n v="210"/>
    <s v="IN89"/>
  </r>
  <r>
    <x v="0"/>
    <n v="246779410080"/>
    <x v="12"/>
    <n v="-95.24"/>
    <n v="-8242.0300000000007"/>
    <m/>
    <s v="22/03/2025"/>
    <s v="USD"/>
    <d v="2025-06-01T00:00:00"/>
    <n v="1"/>
    <s v="30/06/2025"/>
    <n v="210"/>
    <s v="IN89"/>
  </r>
  <r>
    <x v="0"/>
    <n v="246779410064"/>
    <x v="12"/>
    <n v="-52.38"/>
    <n v="-4532.9399999999996"/>
    <m/>
    <s v="22/03/2025"/>
    <s v="USD"/>
    <d v="2025-06-01T00:00:00"/>
    <n v="1"/>
    <s v="30/06/2025"/>
    <n v="210"/>
    <s v="IN89"/>
  </r>
  <r>
    <x v="0"/>
    <n v="246779410010"/>
    <x v="12"/>
    <n v="-2380.9499999999998"/>
    <n v="-206046.42"/>
    <m/>
    <s v="22/03/2025"/>
    <s v="USD"/>
    <d v="2025-06-01T00:00:00"/>
    <n v="1"/>
    <s v="30/06/2025"/>
    <n v="210"/>
    <s v="IN89"/>
  </r>
  <r>
    <x v="0"/>
    <n v="246779410063"/>
    <x v="12"/>
    <n v="-95.24"/>
    <n v="-8242.0300000000007"/>
    <m/>
    <s v="22/03/2025"/>
    <s v="USD"/>
    <d v="2025-06-01T00:00:00"/>
    <n v="1"/>
    <s v="30/06/2025"/>
    <n v="210"/>
    <s v="IN89"/>
  </r>
  <r>
    <x v="0"/>
    <n v="246779410030"/>
    <x v="12"/>
    <n v="-2380.9499999999998"/>
    <n v="-206046.42"/>
    <m/>
    <s v="22/03/2025"/>
    <s v="USD"/>
    <d v="2025-06-01T00:00:00"/>
    <n v="1"/>
    <s v="30/06/2025"/>
    <n v="210"/>
    <s v="IN89"/>
  </r>
  <r>
    <x v="0"/>
    <n v="246779410261"/>
    <x v="12"/>
    <n v="-50.3"/>
    <n v="-4352.9399999999996"/>
    <m/>
    <s v="22/03/2025"/>
    <s v="USD"/>
    <d v="2025-06-01T00:00:00"/>
    <n v="1"/>
    <s v="30/06/2025"/>
    <n v="210"/>
    <s v="IN89"/>
  </r>
  <r>
    <x v="0"/>
    <n v="246779410064"/>
    <x v="12"/>
    <n v="1.05"/>
    <n v="90.87"/>
    <s v="C: ASCENDAS27 P: A023951 I 246779410064"/>
    <s v="22/03/2025"/>
    <s v="USD"/>
    <d v="2025-06-01T00:00:00"/>
    <n v="1"/>
    <s v="30/06/2025"/>
    <n v="230"/>
    <s v="IN89"/>
  </r>
  <r>
    <x v="0"/>
    <n v="246779410030"/>
    <x v="12"/>
    <n v="47.62"/>
    <n v="4121.01"/>
    <s v="C: ASCENDAS27 P: A023951 I 246779410030"/>
    <s v="22/03/2025"/>
    <s v="USD"/>
    <d v="2025-06-01T00:00:00"/>
    <n v="1"/>
    <s v="30/06/2025"/>
    <n v="230"/>
    <s v="IN89"/>
  </r>
  <r>
    <x v="0"/>
    <n v="246779410063"/>
    <x v="12"/>
    <n v="1.9"/>
    <n v="164.43"/>
    <s v="C: ASCENDAS27 P: A023951 I 246779410063"/>
    <s v="22/03/2025"/>
    <s v="USD"/>
    <d v="2025-06-01T00:00:00"/>
    <n v="1"/>
    <s v="30/06/2025"/>
    <n v="230"/>
    <s v="IN89"/>
  </r>
  <r>
    <x v="0"/>
    <n v="246779410260"/>
    <x v="12"/>
    <n v="1.83"/>
    <n v="158.37"/>
    <s v="C: ASCENDAS27 P: A023951 I 246779410260"/>
    <s v="22/03/2025"/>
    <s v="USD"/>
    <d v="2025-06-01T00:00:00"/>
    <n v="1"/>
    <s v="30/06/2025"/>
    <n v="230"/>
    <s v="IN89"/>
  </r>
  <r>
    <x v="0"/>
    <n v="246779410010"/>
    <x v="12"/>
    <n v="47.62"/>
    <n v="4121.01"/>
    <s v="C: ASCENDAS27 P: A023951 I 246779410010"/>
    <s v="22/03/2025"/>
    <s v="USD"/>
    <d v="2025-06-01T00:00:00"/>
    <n v="1"/>
    <s v="30/06/2025"/>
    <n v="230"/>
    <s v="IN89"/>
  </r>
  <r>
    <x v="0"/>
    <n v="246779410080"/>
    <x v="12"/>
    <n v="1.9"/>
    <n v="164.43"/>
    <s v="C: ASCENDAS27 P: A023951 I 246779410080"/>
    <s v="22/03/2025"/>
    <s v="USD"/>
    <d v="2025-06-01T00:00:00"/>
    <n v="1"/>
    <s v="30/06/2025"/>
    <n v="230"/>
    <s v="IN89"/>
  </r>
  <r>
    <x v="0"/>
    <n v="246779410261"/>
    <x v="12"/>
    <n v="1.01"/>
    <n v="87.4"/>
    <s v="C: ASCENDAS27 P: A023951 I 246779410261"/>
    <s v="22/03/2025"/>
    <s v="USD"/>
    <d v="2025-06-01T00:00:00"/>
    <n v="1"/>
    <s v="30/06/2025"/>
    <n v="230"/>
    <s v="IN89"/>
  </r>
  <r>
    <x v="0"/>
    <n v="246779410227"/>
    <x v="12"/>
    <n v="0"/>
    <n v="1232.44"/>
    <s v="C: ASCENDAS27 P: Matching"/>
    <s v="22/03/2025"/>
    <s v="USD"/>
    <d v="2025-06-01T00:00:00"/>
    <n v="2"/>
    <s v="30/06/2025"/>
    <n v="271"/>
    <s v="IN89"/>
  </r>
  <r>
    <x v="0"/>
    <n v="246779410260"/>
    <x v="12"/>
    <n v="0"/>
    <n v="49.29"/>
    <s v="C: ASCENDAS27 P: Matching"/>
    <s v="22/03/2025"/>
    <s v="USD"/>
    <d v="2025-06-01T00:00:00"/>
    <n v="8"/>
    <s v="30/06/2025"/>
    <n v="271"/>
    <s v="IN89"/>
  </r>
  <r>
    <x v="0"/>
    <n v="246779410080"/>
    <x v="12"/>
    <n v="0"/>
    <n v="51.34"/>
    <s v="C: ASCENDAS27 P: Matching"/>
    <s v="22/03/2025"/>
    <s v="USD"/>
    <d v="2025-06-01T00:00:00"/>
    <n v="76"/>
    <s v="30/06/2025"/>
    <n v="271"/>
    <s v="IN89"/>
  </r>
  <r>
    <x v="0"/>
    <n v="246779410064"/>
    <x v="12"/>
    <n v="0"/>
    <n v="28.23"/>
    <s v="C: ASCENDAS27 P: Matching"/>
    <s v="22/03/2025"/>
    <s v="USD"/>
    <d v="2025-06-01T00:00:00"/>
    <n v="80"/>
    <s v="30/06/2025"/>
    <n v="271"/>
    <s v="IN89"/>
  </r>
  <r>
    <x v="0"/>
    <n v="246779410010"/>
    <x v="12"/>
    <n v="0"/>
    <n v="1283.51"/>
    <s v="C: ASCENDAS27 P: Matching"/>
    <s v="22/03/2025"/>
    <s v="USD"/>
    <d v="2025-06-01T00:00:00"/>
    <n v="92"/>
    <s v="30/06/2025"/>
    <n v="271"/>
    <s v="IN89"/>
  </r>
  <r>
    <x v="0"/>
    <n v="246779410063"/>
    <x v="12"/>
    <n v="0"/>
    <n v="51.34"/>
    <s v="C: ASCENDAS27 P: Matching"/>
    <s v="22/03/2025"/>
    <s v="USD"/>
    <d v="2025-06-01T00:00:00"/>
    <n v="98"/>
    <s v="30/06/2025"/>
    <n v="271"/>
    <s v="IN89"/>
  </r>
  <r>
    <x v="0"/>
    <n v="246779410030"/>
    <x v="12"/>
    <n v="0"/>
    <n v="1283.51"/>
    <s v="C: ASCENDAS27 P: Matching"/>
    <s v="22/03/2025"/>
    <s v="USD"/>
    <d v="2025-06-01T00:00:00"/>
    <n v="100"/>
    <s v="30/06/2025"/>
    <n v="271"/>
    <s v="IN89"/>
  </r>
  <r>
    <x v="0"/>
    <n v="246779410261"/>
    <x v="12"/>
    <n v="0"/>
    <n v="27.12"/>
    <s v="C: ASCENDAS27 P: Matching"/>
    <s v="22/03/2025"/>
    <s v="USD"/>
    <d v="2025-06-01T00:00:00"/>
    <n v="102"/>
    <s v="30/06/2025"/>
    <n v="271"/>
    <s v="IN89"/>
  </r>
  <r>
    <x v="0"/>
    <n v="246779410311"/>
    <x v="12"/>
    <n v="-95.24"/>
    <n v="-8242.0300000000007"/>
    <m/>
    <s v="22/03/2025"/>
    <s v="USD"/>
    <d v="2025-09-01T00:00:00"/>
    <n v="1"/>
    <s v="30/09/2025"/>
    <n v="210"/>
    <s v="IN89"/>
  </r>
  <r>
    <x v="0"/>
    <n v="246779410311"/>
    <x v="12"/>
    <n v="1.9"/>
    <n v="164.43"/>
    <s v="C: ASCENDAS27 P: A023951 I 246779410311"/>
    <s v="22/03/2025"/>
    <s v="USD"/>
    <d v="2025-09-01T00:00:00"/>
    <n v="1"/>
    <s v="30/09/2025"/>
    <n v="230"/>
    <s v="IN89"/>
  </r>
  <r>
    <x v="0"/>
    <n v="246779410311"/>
    <x v="12"/>
    <n v="0"/>
    <n v="-197.88"/>
    <s v="C: ASCENDAS27 P: Matching"/>
    <s v="22/03/2025"/>
    <s v="USD"/>
    <d v="2025-09-01T00:00:00"/>
    <n v="2"/>
    <s v="30/09/2025"/>
    <n v="271"/>
    <s v="IN89"/>
  </r>
  <r>
    <x v="0"/>
    <n v="256779415769"/>
    <x v="13"/>
    <n v="-234.91"/>
    <n v="-20199.8"/>
    <s v="USD CURRENCY"/>
    <s v="18/08/2025"/>
    <s v="USD"/>
    <d v="2026-01-01T00:00:00"/>
    <n v="1"/>
    <s v="23/01/2026"/>
    <n v="210"/>
    <s v="IN89"/>
  </r>
  <r>
    <x v="0"/>
    <n v="256779415769"/>
    <x v="13"/>
    <n v="4.7"/>
    <n v="404.15"/>
    <s v="C: ASCENDAS27 P: A023951 I 256779415769"/>
    <s v="18/08/2025"/>
    <s v="USD"/>
    <d v="2026-01-01T00:00:00"/>
    <n v="1"/>
    <s v="23/01/2026"/>
    <n v="230"/>
    <s v="IN89"/>
  </r>
  <r>
    <x v="0"/>
    <n v="256779414741"/>
    <x v="14"/>
    <n v="-579.79"/>
    <n v="-49319.31"/>
    <s v="USD CURRENCY- NO EXHANGE RATE PROVIDED"/>
    <s v="19/07/2025"/>
    <s v="USD"/>
    <d v="2025-12-01T00:00:00"/>
    <n v="1"/>
    <s v="31/12/2025"/>
    <n v="210"/>
    <s v="IN89"/>
  </r>
  <r>
    <x v="0"/>
    <n v="256779414741"/>
    <x v="14"/>
    <n v="11.6"/>
    <n v="986.74"/>
    <s v="C: ASCENDAS27 P: A023951 I 256779414741"/>
    <s v="19/07/2025"/>
    <s v="USD"/>
    <d v="2025-12-01T00:00:00"/>
    <n v="1"/>
    <s v="31/12/2025"/>
    <n v="230"/>
    <s v="IN89"/>
  </r>
  <r>
    <x v="0"/>
    <n v="256779414741"/>
    <x v="14"/>
    <n v="0"/>
    <n v="-2742.45"/>
    <s v="C: ASCENDAS27 P: Matching"/>
    <s v="19/07/2025"/>
    <s v="USD"/>
    <d v="2025-12-01T00:00:00"/>
    <n v="86"/>
    <s v="31/12/2025"/>
    <n v="271"/>
    <s v="IN89"/>
  </r>
  <r>
    <x v="0"/>
    <n v="246779413202"/>
    <x v="15"/>
    <n v="-39.06"/>
    <n v="-3380.24"/>
    <m/>
    <s v="18/04/2025"/>
    <s v="USD"/>
    <d v="2025-06-01T00:00:00"/>
    <n v="1"/>
    <d v="2025-12-06T00:00:00"/>
    <n v="210"/>
    <s v="IN89"/>
  </r>
  <r>
    <x v="0"/>
    <n v="246779413202"/>
    <x v="15"/>
    <n v="0.78"/>
    <n v="67.5"/>
    <s v="C: ASCENDAS27 P: A023951 I 246779413202"/>
    <s v="18/04/2025"/>
    <s v="USD"/>
    <d v="2025-06-01T00:00:00"/>
    <n v="1"/>
    <d v="2025-12-06T00:00:00"/>
    <n v="230"/>
    <s v="IN89"/>
  </r>
  <r>
    <x v="0"/>
    <n v="246779412994"/>
    <x v="15"/>
    <n v="-2297.27"/>
    <n v="-199959.93"/>
    <m/>
    <s v="18/04/2025"/>
    <s v="USD"/>
    <d v="2025-06-01T00:00:00"/>
    <n v="1"/>
    <s v="30/06/2025"/>
    <n v="210"/>
    <s v="IN89"/>
  </r>
  <r>
    <x v="0"/>
    <n v="246779413023"/>
    <x v="15"/>
    <n v="-91.89"/>
    <n v="-7998.33"/>
    <m/>
    <s v="18/04/2025"/>
    <s v="USD"/>
    <d v="2025-06-01T00:00:00"/>
    <n v="1"/>
    <s v="30/06/2025"/>
    <n v="210"/>
    <s v="IN89"/>
  </r>
  <r>
    <x v="0"/>
    <n v="246779413024"/>
    <x v="15"/>
    <n v="-50.54"/>
    <n v="-4399.12"/>
    <m/>
    <s v="18/04/2025"/>
    <s v="USD"/>
    <d v="2025-06-01T00:00:00"/>
    <n v="1"/>
    <s v="30/06/2025"/>
    <n v="210"/>
    <s v="IN89"/>
  </r>
  <r>
    <x v="0"/>
    <n v="246779413024"/>
    <x v="15"/>
    <n v="1.01"/>
    <n v="87.91"/>
    <s v="C: ASCENDAS27 P: A023951 I 246779413024"/>
    <s v="18/04/2025"/>
    <s v="USD"/>
    <d v="2025-06-01T00:00:00"/>
    <n v="1"/>
    <s v="30/06/2025"/>
    <n v="230"/>
    <s v="IN89"/>
  </r>
  <r>
    <x v="0"/>
    <n v="246779412994"/>
    <x v="15"/>
    <n v="45.95"/>
    <n v="3999.6"/>
    <s v="C: ASCENDAS27 P: A023951 I 246779412994"/>
    <s v="18/04/2025"/>
    <s v="USD"/>
    <d v="2025-06-01T00:00:00"/>
    <n v="1"/>
    <s v="30/06/2025"/>
    <n v="230"/>
    <s v="IN89"/>
  </r>
  <r>
    <x v="0"/>
    <n v="246779413023"/>
    <x v="15"/>
    <n v="1.84"/>
    <n v="160.16"/>
    <s v="C: ASCENDAS27 P: A023951 I 246779413023"/>
    <s v="18/04/2025"/>
    <s v="USD"/>
    <d v="2025-06-01T00:00:00"/>
    <n v="1"/>
    <s v="30/06/2025"/>
    <n v="230"/>
    <s v="IN89"/>
  </r>
  <r>
    <x v="0"/>
    <n v="246779412994"/>
    <x v="15"/>
    <n v="0"/>
    <n v="2370.4299999999998"/>
    <s v="C: ASCENDAS27 P: Matching"/>
    <s v="18/04/2025"/>
    <s v="USD"/>
    <d v="2025-06-01T00:00:00"/>
    <n v="26"/>
    <s v="30/06/2025"/>
    <n v="271"/>
    <s v="IN89"/>
  </r>
  <r>
    <x v="0"/>
    <n v="246779413023"/>
    <x v="15"/>
    <n v="0"/>
    <n v="94.81"/>
    <s v="C: ASCENDAS27 P: Matching"/>
    <s v="18/04/2025"/>
    <s v="USD"/>
    <d v="2025-06-01T00:00:00"/>
    <n v="30"/>
    <s v="30/06/2025"/>
    <n v="271"/>
    <s v="IN89"/>
  </r>
  <r>
    <x v="0"/>
    <n v="246779413024"/>
    <x v="15"/>
    <n v="0"/>
    <n v="52.15"/>
    <s v="C: ASCENDAS27 P: Matching"/>
    <s v="18/04/2025"/>
    <s v="USD"/>
    <d v="2025-06-01T00:00:00"/>
    <n v="62"/>
    <s v="30/06/2025"/>
    <n v="271"/>
    <s v="IN89"/>
  </r>
  <r>
    <x v="0"/>
    <n v="246779410081"/>
    <x v="16"/>
    <n v="-52.38"/>
    <n v="-4532.9399999999996"/>
    <m/>
    <s v="21/03/2025"/>
    <s v="USD"/>
    <d v="2025-06-01T00:00:00"/>
    <n v="1"/>
    <s v="30/06/2025"/>
    <n v="210"/>
    <s v="IN89"/>
  </r>
  <r>
    <x v="0"/>
    <n v="246779410081"/>
    <x v="16"/>
    <n v="1.05"/>
    <n v="90.87"/>
    <s v="C: ASCENDAS27 P: A023951 I 246779410081"/>
    <s v="21/03/2025"/>
    <s v="USD"/>
    <d v="2025-06-01T00:00:00"/>
    <n v="1"/>
    <s v="30/06/2025"/>
    <n v="230"/>
    <s v="IN89"/>
  </r>
  <r>
    <x v="0"/>
    <n v="246779410081"/>
    <x v="16"/>
    <n v="0"/>
    <n v="28.23"/>
    <s v="C: ASCENDAS27 P: Matching"/>
    <s v="21/03/2025"/>
    <s v="USD"/>
    <d v="2025-06-01T00:00:00"/>
    <n v="96"/>
    <s v="30/06/2025"/>
    <n v="271"/>
    <s v="IN89"/>
  </r>
  <r>
    <x v="0"/>
    <n v="256779418424"/>
    <x v="17"/>
    <n v="-1334.62"/>
    <n v="-118326.74"/>
    <s v="USD CURRENCY"/>
    <s v="17/11/2025"/>
    <s v="USD"/>
    <d v="2025-12-01T00:00:00"/>
    <n v="1"/>
    <s v="15/12/2025"/>
    <n v="210"/>
    <s v="IN89"/>
  </r>
  <r>
    <x v="0"/>
    <n v="256779418433"/>
    <x v="17"/>
    <n v="-351.43"/>
    <n v="-31157.61"/>
    <s v="USD CURRENCY"/>
    <s v="17/11/2025"/>
    <s v="USD"/>
    <d v="2025-12-01T00:00:00"/>
    <n v="1"/>
    <s v="15/12/2025"/>
    <n v="210"/>
    <s v="IN89"/>
  </r>
  <r>
    <x v="0"/>
    <n v="256779418433"/>
    <x v="17"/>
    <n v="7.03"/>
    <n v="623.28"/>
    <s v="C: ASCENDAS27 P: A023951 I 256779418433"/>
    <s v="17/11/2025"/>
    <s v="USD"/>
    <d v="2025-12-01T00:00:00"/>
    <n v="1"/>
    <s v="15/12/2025"/>
    <n v="230"/>
    <s v="IN89"/>
  </r>
  <r>
    <x v="0"/>
    <n v="256779418424"/>
    <x v="17"/>
    <n v="26.69"/>
    <n v="2366.3200000000002"/>
    <s v="C: ASCENDAS27 P: A023951 I 256779418424"/>
    <s v="17/11/2025"/>
    <s v="USD"/>
    <d v="2025-12-01T00:00:00"/>
    <n v="1"/>
    <s v="15/12/2025"/>
    <n v="230"/>
    <s v="IN89"/>
  </r>
  <r>
    <x v="0"/>
    <n v="256779417597"/>
    <x v="18"/>
    <n v="-1055.04"/>
    <n v="-92476.28"/>
    <m/>
    <s v="18/10/2025"/>
    <s v="USD"/>
    <d v="2025-10-01T00:00:00"/>
    <n v="1"/>
    <s v="29/10/2025"/>
    <n v="210"/>
    <s v="IN89"/>
  </r>
  <r>
    <x v="0"/>
    <n v="256779417597"/>
    <x v="18"/>
    <n v="21.1"/>
    <n v="1849.46"/>
    <s v="C: ASCENDAS27 P: A023951 I 256779417597"/>
    <s v="18/10/2025"/>
    <s v="USD"/>
    <d v="2025-10-01T00:00:00"/>
    <n v="1"/>
    <s v="29/10/2025"/>
    <n v="230"/>
    <s v="IN89"/>
  </r>
  <r>
    <x v="0"/>
    <n v="256779417597"/>
    <x v="18"/>
    <n v="0"/>
    <n v="-621.04"/>
    <s v="C: ASCENDAS27 P: Matching"/>
    <s v="18/10/2025"/>
    <s v="USD"/>
    <d v="2025-10-01T00:00:00"/>
    <n v="68"/>
    <s v="31/10/2025"/>
    <n v="271"/>
    <s v="IN89"/>
  </r>
  <r>
    <x v="0"/>
    <n v="256779417580"/>
    <x v="18"/>
    <n v="-184.38"/>
    <n v="-184.38"/>
    <m/>
    <s v="18/10/2025"/>
    <s v="USD"/>
    <d v="2025-11-01T00:00:00"/>
    <n v="1"/>
    <d v="2025-11-11T00:00:00"/>
    <n v="210"/>
    <s v="IN89"/>
  </r>
  <r>
    <x v="0"/>
    <n v="256779417557"/>
    <x v="18"/>
    <n v="-725.96"/>
    <n v="-63631.79"/>
    <m/>
    <s v="18/10/2025"/>
    <s v="USD"/>
    <d v="2025-11-01T00:00:00"/>
    <n v="1"/>
    <d v="2025-11-11T00:00:00"/>
    <n v="210"/>
    <s v="IN89"/>
  </r>
  <r>
    <x v="0"/>
    <n v="256779417517"/>
    <x v="18"/>
    <n v="-4.68"/>
    <n v="-410.21"/>
    <m/>
    <s v="18/10/2025"/>
    <s v="USD"/>
    <d v="2025-11-01T00:00:00"/>
    <n v="1"/>
    <d v="2025-11-11T00:00:00"/>
    <n v="210"/>
    <s v="IN89"/>
  </r>
  <r>
    <x v="0"/>
    <n v="256779417580"/>
    <x v="18"/>
    <n v="3.69"/>
    <n v="3.69"/>
    <s v="C: ASCENDAS27 P: A023951 I 256779417580"/>
    <s v="18/10/2025"/>
    <s v="USD"/>
    <d v="2025-11-01T00:00:00"/>
    <n v="1"/>
    <d v="2025-11-11T00:00:00"/>
    <n v="230"/>
    <s v="IN89"/>
  </r>
  <r>
    <x v="0"/>
    <n v="256779417517"/>
    <x v="18"/>
    <n v="0.09"/>
    <n v="7.89"/>
    <s v="C: ASCENDAS27 P: A023951 I 256779417517"/>
    <s v="18/10/2025"/>
    <s v="USD"/>
    <d v="2025-11-01T00:00:00"/>
    <n v="1"/>
    <d v="2025-11-11T00:00:00"/>
    <n v="230"/>
    <s v="IN89"/>
  </r>
  <r>
    <x v="0"/>
    <n v="256779417557"/>
    <x v="18"/>
    <n v="14.52"/>
    <n v="1272.71"/>
    <s v="C: ASCENDAS27 P: A023951 I 256779417557"/>
    <s v="18/10/2025"/>
    <s v="USD"/>
    <d v="2025-11-01T00:00:00"/>
    <n v="1"/>
    <d v="2025-11-11T00:00:00"/>
    <n v="230"/>
    <s v="IN89"/>
  </r>
  <r>
    <x v="0"/>
    <s v="256779417580_D"/>
    <x v="18"/>
    <n v="-184.38"/>
    <n v="-16161.26"/>
    <s v="gst correction"/>
    <s v="18/10/2025"/>
    <s v="USD"/>
    <d v="2026-01-01T00:00:00"/>
    <n v="1"/>
    <s v="31/01/2026"/>
    <n v="210"/>
    <s v="IN89"/>
  </r>
  <r>
    <x v="0"/>
    <s v="256779417580_D"/>
    <x v="18"/>
    <n v="3.69"/>
    <n v="323.44"/>
    <s v="C: ASCENDAS27 P: A023951 I 256779417580_D"/>
    <s v="18/10/2025"/>
    <s v="USD"/>
    <d v="2026-01-01T00:00:00"/>
    <n v="1"/>
    <s v="31/01/2026"/>
    <n v="230"/>
    <s v="IN89"/>
  </r>
  <r>
    <x v="0"/>
    <s v="256779417580_D"/>
    <x v="18"/>
    <n v="0"/>
    <n v="-718.94"/>
    <s v="C: ASCENDAS27 P: Matching"/>
    <s v="18/10/2025"/>
    <s v="USD"/>
    <d v="2026-01-01T00:00:00"/>
    <n v="104"/>
    <s v="31/01/2026"/>
    <n v="271"/>
    <s v="IN89"/>
  </r>
  <r>
    <x v="0"/>
    <n v="256779415442"/>
    <x v="19"/>
    <n v="-1.59"/>
    <n v="-136.72"/>
    <m/>
    <s v="17/08/2025"/>
    <s v="USD"/>
    <d v="2025-10-01T00:00:00"/>
    <n v="1"/>
    <s v="29/10/2025"/>
    <n v="210"/>
    <s v="IN89"/>
  </r>
  <r>
    <x v="0"/>
    <n v="256779415426"/>
    <x v="19"/>
    <n v="-464.73"/>
    <n v="-39961.910000000003"/>
    <m/>
    <s v="17/08/2025"/>
    <s v="USD"/>
    <d v="2025-10-01T00:00:00"/>
    <n v="1"/>
    <s v="29/10/2025"/>
    <n v="210"/>
    <s v="IN89"/>
  </r>
  <r>
    <x v="0"/>
    <n v="256779415517"/>
    <x v="19"/>
    <n v="-116.74"/>
    <n v="-10038.42"/>
    <m/>
    <s v="17/08/2025"/>
    <s v="USD"/>
    <d v="2025-10-01T00:00:00"/>
    <n v="1"/>
    <s v="29/10/2025"/>
    <n v="210"/>
    <s v="IN89"/>
  </r>
  <r>
    <x v="0"/>
    <n v="256779415453"/>
    <x v="19"/>
    <n v="-293.45999999999998"/>
    <n v="-25234.48"/>
    <m/>
    <s v="17/08/2025"/>
    <s v="USD"/>
    <d v="2025-10-01T00:00:00"/>
    <n v="1"/>
    <s v="29/10/2025"/>
    <n v="210"/>
    <s v="IN89"/>
  </r>
  <r>
    <x v="0"/>
    <n v="256779415474"/>
    <x v="19"/>
    <n v="-608.41"/>
    <n v="-52316.88"/>
    <m/>
    <s v="17/08/2025"/>
    <s v="USD"/>
    <d v="2025-10-01T00:00:00"/>
    <n v="1"/>
    <s v="29/10/2025"/>
    <n v="210"/>
    <s v="IN89"/>
  </r>
  <r>
    <x v="0"/>
    <n v="256779415474"/>
    <x v="19"/>
    <n v="12.17"/>
    <n v="1046.49"/>
    <s v="C: ASCENDAS27 P: A023951 I 256779415474"/>
    <s v="17/08/2025"/>
    <s v="USD"/>
    <d v="2025-10-01T00:00:00"/>
    <n v="1"/>
    <s v="29/10/2025"/>
    <n v="230"/>
    <s v="IN89"/>
  </r>
  <r>
    <x v="0"/>
    <n v="256779415442"/>
    <x v="19"/>
    <n v="0.03"/>
    <n v="2.58"/>
    <s v="C: ASCENDAS27 P: A023951 I 256779415442"/>
    <s v="17/08/2025"/>
    <s v="USD"/>
    <d v="2025-10-01T00:00:00"/>
    <n v="1"/>
    <s v="29/10/2025"/>
    <n v="230"/>
    <s v="IN89"/>
  </r>
  <r>
    <x v="0"/>
    <n v="256779415453"/>
    <x v="19"/>
    <n v="5.87"/>
    <n v="504.76"/>
    <s v="C: ASCENDAS27 P: A023951 I 256779415453"/>
    <s v="17/08/2025"/>
    <s v="USD"/>
    <d v="2025-10-01T00:00:00"/>
    <n v="1"/>
    <s v="29/10/2025"/>
    <n v="230"/>
    <s v="IN89"/>
  </r>
  <r>
    <x v="0"/>
    <n v="256779415517"/>
    <x v="19"/>
    <n v="2.33"/>
    <n v="200.36"/>
    <s v="C: ASCENDAS27 P: A023951 I 256779415517"/>
    <s v="17/08/2025"/>
    <s v="USD"/>
    <d v="2025-10-01T00:00:00"/>
    <n v="1"/>
    <s v="29/10/2025"/>
    <n v="230"/>
    <s v="IN89"/>
  </r>
  <r>
    <x v="0"/>
    <n v="256779415426"/>
    <x v="19"/>
    <n v="9.2899999999999991"/>
    <n v="798.84"/>
    <s v="C: ASCENDAS27 P: A023951 I 256779415426"/>
    <s v="17/08/2025"/>
    <s v="USD"/>
    <d v="2025-10-01T00:00:00"/>
    <n v="1"/>
    <s v="29/10/2025"/>
    <n v="230"/>
    <s v="IN89"/>
  </r>
  <r>
    <x v="0"/>
    <n v="256779415442"/>
    <x v="19"/>
    <n v="0"/>
    <n v="-3.53"/>
    <s v="C: ASCENDAS27 P: Matching"/>
    <s v="17/08/2025"/>
    <s v="USD"/>
    <d v="2025-10-01T00:00:00"/>
    <n v="66"/>
    <s v="31/10/2025"/>
    <n v="271"/>
    <s v="IN89"/>
  </r>
  <r>
    <x v="0"/>
    <n v="256779415426"/>
    <x v="19"/>
    <n v="0"/>
    <n v="-1030.68"/>
    <s v="C: ASCENDAS27 P: Matching"/>
    <s v="17/08/2025"/>
    <s v="USD"/>
    <d v="2025-10-01T00:00:00"/>
    <n v="70"/>
    <s v="31/10/2025"/>
    <n v="271"/>
    <s v="IN89"/>
  </r>
  <r>
    <x v="0"/>
    <n v="256779415517"/>
    <x v="19"/>
    <n v="0"/>
    <n v="-258.92"/>
    <s v="C: ASCENDAS27 P: Matching"/>
    <s v="17/08/2025"/>
    <s v="USD"/>
    <d v="2025-10-01T00:00:00"/>
    <n v="72"/>
    <s v="31/10/2025"/>
    <n v="271"/>
    <s v="IN89"/>
  </r>
  <r>
    <x v="0"/>
    <n v="256779415453"/>
    <x v="19"/>
    <n v="0"/>
    <n v="-650.84"/>
    <s v="C: ASCENDAS27 P: Matching"/>
    <s v="17/08/2025"/>
    <s v="USD"/>
    <d v="2025-10-01T00:00:00"/>
    <n v="74"/>
    <s v="31/10/2025"/>
    <n v="271"/>
    <s v="IN89"/>
  </r>
  <r>
    <x v="0"/>
    <n v="256779415474"/>
    <x v="19"/>
    <n v="0"/>
    <n v="-1349.32"/>
    <s v="C: ASCENDAS27 P: Matching"/>
    <s v="17/08/2025"/>
    <s v="USD"/>
    <d v="2025-10-01T00:00:00"/>
    <n v="76"/>
    <s v="31/10/2025"/>
    <n v="271"/>
    <s v="IN89"/>
  </r>
  <r>
    <x v="0"/>
    <n v="256779414431"/>
    <x v="20"/>
    <n v="-52.38"/>
    <n v="-4455.66"/>
    <m/>
    <s v="18/07/2025"/>
    <s v="USD"/>
    <d v="2025-11-01T00:00:00"/>
    <n v="1"/>
    <s v="30/11/2025"/>
    <n v="210"/>
    <s v="IN89"/>
  </r>
  <r>
    <x v="0"/>
    <n v="256779414431"/>
    <x v="20"/>
    <n v="1.05"/>
    <n v="89.32"/>
    <s v="C: ASCENDAS27 P: A023951 I 256779414431"/>
    <s v="18/07/2025"/>
    <s v="USD"/>
    <d v="2025-11-01T00:00:00"/>
    <n v="1"/>
    <s v="30/11/2025"/>
    <n v="230"/>
    <s v="IN89"/>
  </r>
  <r>
    <x v="0"/>
    <n v="256779414431"/>
    <x v="20"/>
    <n v="0"/>
    <n v="-209.97"/>
    <s v="C: ASCENDAS27 P: Matching"/>
    <s v="18/07/2025"/>
    <s v="USD"/>
    <d v="2025-11-01T00:00:00"/>
    <n v="60"/>
    <s v="30/11/2025"/>
    <n v="271"/>
    <s v="IN89"/>
  </r>
  <r>
    <x v="0"/>
    <n v="246779411742"/>
    <x v="21"/>
    <n v="-23.27"/>
    <n v="-2025.48"/>
    <s v="NO EXCHANGE RATE"/>
    <s v="16/04/2025"/>
    <s v="USD"/>
    <d v="2025-06-01T00:00:00"/>
    <n v="1"/>
    <d v="2025-11-06T00:00:00"/>
    <n v="210"/>
    <s v="IN89"/>
  </r>
  <r>
    <x v="0"/>
    <n v="246779411742"/>
    <x v="21"/>
    <n v="0.47"/>
    <n v="40.909999999999997"/>
    <s v="C: ASCENDAS27 P: A023951 I 246779411742"/>
    <s v="16/04/2025"/>
    <s v="USD"/>
    <d v="2025-06-01T00:00:00"/>
    <n v="1"/>
    <d v="2025-11-06T00:00:00"/>
    <n v="230"/>
    <s v="IN89"/>
  </r>
  <r>
    <x v="0"/>
    <n v="246779411737"/>
    <x v="21"/>
    <n v="-28.54"/>
    <n v="-2484.19"/>
    <m/>
    <s v="16/04/2025"/>
    <s v="USD"/>
    <d v="2025-06-01T00:00:00"/>
    <n v="1"/>
    <d v="2025-12-06T00:00:00"/>
    <n v="210"/>
    <s v="IN89"/>
  </r>
  <r>
    <x v="0"/>
    <n v="246779411734"/>
    <x v="21"/>
    <n v="-22.83"/>
    <n v="-1987.18"/>
    <m/>
    <s v="16/04/2025"/>
    <s v="USD"/>
    <d v="2025-06-01T00:00:00"/>
    <n v="1"/>
    <d v="2025-12-06T00:00:00"/>
    <n v="210"/>
    <s v="IN89"/>
  </r>
  <r>
    <x v="0"/>
    <n v="246779411732"/>
    <x v="21"/>
    <n v="-28.54"/>
    <n v="-2484.19"/>
    <m/>
    <s v="16/04/2025"/>
    <s v="USD"/>
    <d v="2025-06-01T00:00:00"/>
    <n v="1"/>
    <d v="2025-12-06T00:00:00"/>
    <n v="210"/>
    <s v="IN89"/>
  </r>
  <r>
    <x v="0"/>
    <n v="246779411729"/>
    <x v="21"/>
    <n v="-34.25"/>
    <n v="-2981.2"/>
    <s v="NO EXCHANGE RATE"/>
    <s v="16/04/2025"/>
    <s v="USD"/>
    <d v="2025-06-01T00:00:00"/>
    <n v="1"/>
    <d v="2025-12-06T00:00:00"/>
    <n v="210"/>
    <s v="IN89"/>
  </r>
  <r>
    <x v="0"/>
    <n v="246779411724"/>
    <x v="21"/>
    <n v="-68.5"/>
    <n v="-5962.41"/>
    <m/>
    <s v="16/04/2025"/>
    <s v="USD"/>
    <d v="2025-06-01T00:00:00"/>
    <n v="1"/>
    <d v="2025-12-06T00:00:00"/>
    <n v="210"/>
    <s v="IN89"/>
  </r>
  <r>
    <x v="0"/>
    <n v="246779411721"/>
    <x v="21"/>
    <n v="-525.63"/>
    <n v="-45752.1"/>
    <m/>
    <s v="16/04/2025"/>
    <s v="USD"/>
    <d v="2025-06-01T00:00:00"/>
    <n v="1"/>
    <d v="2025-12-06T00:00:00"/>
    <n v="210"/>
    <s v="IN89"/>
  </r>
  <r>
    <x v="0"/>
    <n v="246779411741"/>
    <x v="21"/>
    <n v="-240"/>
    <n v="-20890.18"/>
    <m/>
    <s v="16/04/2025"/>
    <s v="USD"/>
    <d v="2025-06-01T00:00:00"/>
    <n v="1"/>
    <d v="2025-12-06T00:00:00"/>
    <n v="210"/>
    <s v="IN89"/>
  </r>
  <r>
    <x v="0"/>
    <n v="246779411735"/>
    <x v="21"/>
    <n v="-479.25"/>
    <n v="-41715.08"/>
    <m/>
    <s v="16/04/2025"/>
    <s v="USD"/>
    <d v="2025-06-01T00:00:00"/>
    <n v="1"/>
    <d v="2025-12-06T00:00:00"/>
    <n v="210"/>
    <s v="IN89"/>
  </r>
  <r>
    <x v="0"/>
    <n v="246779411733"/>
    <x v="21"/>
    <n v="-17.12"/>
    <n v="-1490.17"/>
    <m/>
    <s v="16/04/2025"/>
    <s v="USD"/>
    <d v="2025-06-01T00:00:00"/>
    <n v="1"/>
    <d v="2025-12-06T00:00:00"/>
    <n v="210"/>
    <s v="IN89"/>
  </r>
  <r>
    <x v="0"/>
    <n v="246779411727"/>
    <x v="21"/>
    <n v="-17.12"/>
    <n v="-1490.17"/>
    <m/>
    <s v="16/04/2025"/>
    <s v="USD"/>
    <d v="2025-06-01T00:00:00"/>
    <n v="1"/>
    <d v="2025-12-06T00:00:00"/>
    <n v="210"/>
    <s v="IN89"/>
  </r>
  <r>
    <x v="0"/>
    <n v="246779411726"/>
    <x v="21"/>
    <n v="-28.54"/>
    <n v="-2484.19"/>
    <m/>
    <s v="16/04/2025"/>
    <s v="USD"/>
    <d v="2025-06-01T00:00:00"/>
    <n v="1"/>
    <d v="2025-12-06T00:00:00"/>
    <n v="210"/>
    <s v="IN89"/>
  </r>
  <r>
    <x v="0"/>
    <n v="246779411720"/>
    <x v="21"/>
    <n v="-17.12"/>
    <n v="-1490.17"/>
    <m/>
    <s v="16/04/2025"/>
    <s v="USD"/>
    <d v="2025-06-01T00:00:00"/>
    <n v="1"/>
    <d v="2025-12-06T00:00:00"/>
    <n v="210"/>
    <s v="IN89"/>
  </r>
  <r>
    <x v="0"/>
    <n v="246779411718"/>
    <x v="21"/>
    <n v="-22.95"/>
    <n v="-1997.62"/>
    <m/>
    <s v="16/04/2025"/>
    <s v="USD"/>
    <d v="2025-06-01T00:00:00"/>
    <n v="1"/>
    <d v="2025-12-06T00:00:00"/>
    <n v="210"/>
    <s v="IN89"/>
  </r>
  <r>
    <x v="0"/>
    <n v="246779411637"/>
    <x v="21"/>
    <n v="-429.65"/>
    <n v="-37397.769999999997"/>
    <m/>
    <s v="16/04/2025"/>
    <s v="USD"/>
    <d v="2025-06-01T00:00:00"/>
    <n v="1"/>
    <d v="2025-12-06T00:00:00"/>
    <n v="210"/>
    <s v="IN89"/>
  </r>
  <r>
    <x v="0"/>
    <n v="246779411717"/>
    <x v="21"/>
    <n v="-45.67"/>
    <n v="-3975.23"/>
    <m/>
    <s v="16/04/2025"/>
    <s v="USD"/>
    <d v="2025-06-01T00:00:00"/>
    <n v="1"/>
    <d v="2025-12-06T00:00:00"/>
    <n v="210"/>
    <s v="IN89"/>
  </r>
  <r>
    <x v="0"/>
    <n v="246779411601"/>
    <x v="21"/>
    <n v="-23.39"/>
    <n v="-2035.92"/>
    <m/>
    <s v="16/04/2025"/>
    <s v="USD"/>
    <d v="2025-06-01T00:00:00"/>
    <n v="1"/>
    <d v="2025-12-06T00:00:00"/>
    <n v="210"/>
    <s v="IN89"/>
  </r>
  <r>
    <x v="0"/>
    <n v="246779411740"/>
    <x v="21"/>
    <n v="-22.83"/>
    <n v="-1987.18"/>
    <m/>
    <s v="16/04/2025"/>
    <s v="USD"/>
    <d v="2025-06-01T00:00:00"/>
    <n v="1"/>
    <d v="2025-12-06T00:00:00"/>
    <n v="210"/>
    <s v="IN89"/>
  </r>
  <r>
    <x v="0"/>
    <n v="246779411913"/>
    <x v="21"/>
    <n v="-28.41"/>
    <n v="-2472.88"/>
    <m/>
    <s v="16/04/2025"/>
    <s v="USD"/>
    <d v="2025-06-01T00:00:00"/>
    <n v="1"/>
    <d v="2025-12-06T00:00:00"/>
    <n v="210"/>
    <s v="IN89"/>
  </r>
  <r>
    <x v="0"/>
    <n v="246779411597"/>
    <x v="21"/>
    <n v="-57.29"/>
    <n v="-4986.66"/>
    <m/>
    <s v="16/04/2025"/>
    <s v="USD"/>
    <d v="2025-06-01T00:00:00"/>
    <n v="1"/>
    <d v="2025-12-06T00:00:00"/>
    <n v="210"/>
    <s v="IN89"/>
  </r>
  <r>
    <x v="0"/>
    <n v="246779411739"/>
    <x v="21"/>
    <n v="-34.25"/>
    <n v="-2981.2"/>
    <s v="NO EXCHANGE RATE"/>
    <s v="16/04/2025"/>
    <s v="USD"/>
    <d v="2025-06-01T00:00:00"/>
    <n v="1"/>
    <d v="2025-12-06T00:00:00"/>
    <n v="210"/>
    <s v="IN89"/>
  </r>
  <r>
    <x v="0"/>
    <n v="246779411914"/>
    <x v="21"/>
    <n v="-260"/>
    <n v="-22631.03"/>
    <m/>
    <s v="16/04/2025"/>
    <s v="USD"/>
    <d v="2025-06-01T00:00:00"/>
    <n v="1"/>
    <d v="2025-12-06T00:00:00"/>
    <n v="210"/>
    <s v="IN89"/>
  </r>
  <r>
    <x v="0"/>
    <n v="246779411596"/>
    <x v="21"/>
    <n v="-74.47"/>
    <n v="-6482.05"/>
    <m/>
    <s v="16/04/2025"/>
    <s v="USD"/>
    <d v="2025-06-01T00:00:00"/>
    <n v="1"/>
    <d v="2025-12-06T00:00:00"/>
    <n v="210"/>
    <s v="IN89"/>
  </r>
  <r>
    <x v="0"/>
    <n v="246779411738"/>
    <x v="21"/>
    <n v="-28.54"/>
    <n v="-2484.19"/>
    <m/>
    <s v="16/04/2025"/>
    <s v="USD"/>
    <d v="2025-06-01T00:00:00"/>
    <n v="1"/>
    <d v="2025-12-06T00:00:00"/>
    <n v="210"/>
    <s v="IN89"/>
  </r>
  <r>
    <x v="0"/>
    <n v="246779412040"/>
    <x v="21"/>
    <n v="-16.82"/>
    <n v="-1464.05"/>
    <s v="NO EXCHANGE RATE / 14 DAYS OLDER"/>
    <s v="16/04/2025"/>
    <s v="USD"/>
    <d v="2025-06-01T00:00:00"/>
    <n v="1"/>
    <d v="2025-12-06T00:00:00"/>
    <n v="210"/>
    <s v="IN89"/>
  </r>
  <r>
    <x v="0"/>
    <n v="246779411736"/>
    <x v="21"/>
    <n v="-22.83"/>
    <n v="-1987.18"/>
    <m/>
    <s v="16/04/2025"/>
    <s v="USD"/>
    <d v="2025-06-01T00:00:00"/>
    <n v="1"/>
    <d v="2025-12-06T00:00:00"/>
    <n v="210"/>
    <s v="IN89"/>
  </r>
  <r>
    <x v="0"/>
    <n v="246779411899"/>
    <x v="21"/>
    <n v="-62.49"/>
    <n v="-5439.28"/>
    <m/>
    <s v="16/04/2025"/>
    <s v="USD"/>
    <d v="2025-06-01T00:00:00"/>
    <n v="1"/>
    <d v="2025-12-06T00:00:00"/>
    <n v="210"/>
    <s v="IN89"/>
  </r>
  <r>
    <x v="0"/>
    <n v="246779411896"/>
    <x v="21"/>
    <n v="-39.770000000000003"/>
    <n v="-3461.68"/>
    <m/>
    <s v="16/04/2025"/>
    <s v="USD"/>
    <d v="2025-06-01T00:00:00"/>
    <n v="1"/>
    <d v="2025-12-06T00:00:00"/>
    <n v="210"/>
    <s v="IN89"/>
  </r>
  <r>
    <x v="0"/>
    <n v="246779411902"/>
    <x v="21"/>
    <n v="-2.13"/>
    <n v="-185.4"/>
    <m/>
    <s v="16/04/2025"/>
    <s v="USD"/>
    <d v="2025-06-01T00:00:00"/>
    <n v="1"/>
    <d v="2025-12-06T00:00:00"/>
    <n v="210"/>
    <s v="IN89"/>
  </r>
  <r>
    <x v="0"/>
    <n v="246779411723"/>
    <x v="21"/>
    <n v="-45.67"/>
    <n v="-3975.23"/>
    <s v="NO EXCHANGE RATE"/>
    <s v="16/04/2025"/>
    <s v="USD"/>
    <d v="2025-06-01T00:00:00"/>
    <n v="1"/>
    <d v="2025-12-06T00:00:00"/>
    <n v="210"/>
    <s v="IN89"/>
  </r>
  <r>
    <x v="0"/>
    <n v="246779411722"/>
    <x v="21"/>
    <n v="-39.96"/>
    <n v="-3478.21"/>
    <m/>
    <s v="16/04/2025"/>
    <s v="USD"/>
    <d v="2025-06-01T00:00:00"/>
    <n v="1"/>
    <d v="2025-12-06T00:00:00"/>
    <n v="210"/>
    <s v="IN89"/>
  </r>
  <r>
    <x v="0"/>
    <n v="246779411907"/>
    <x v="21"/>
    <n v="-17.04"/>
    <n v="-1483.2"/>
    <m/>
    <s v="16/04/2025"/>
    <s v="USD"/>
    <d v="2025-06-01T00:00:00"/>
    <n v="1"/>
    <d v="2025-12-06T00:00:00"/>
    <n v="210"/>
    <s v="IN89"/>
  </r>
  <r>
    <x v="0"/>
    <n v="246779411909"/>
    <x v="21"/>
    <n v="-28.41"/>
    <n v="-2472.88"/>
    <m/>
    <s v="16/04/2025"/>
    <s v="USD"/>
    <d v="2025-06-01T00:00:00"/>
    <n v="1"/>
    <d v="2025-12-06T00:00:00"/>
    <n v="210"/>
    <s v="IN89"/>
  </r>
  <r>
    <x v="0"/>
    <n v="246779411600"/>
    <x v="21"/>
    <n v="-2.6"/>
    <n v="-226.31"/>
    <m/>
    <s v="16/04/2025"/>
    <s v="USD"/>
    <d v="2025-06-01T00:00:00"/>
    <n v="1"/>
    <d v="2025-12-06T00:00:00"/>
    <n v="210"/>
    <s v="IN89"/>
  </r>
  <r>
    <x v="0"/>
    <n v="246779411595"/>
    <x v="21"/>
    <n v="-51.56"/>
    <n v="-4487.91"/>
    <m/>
    <s v="16/04/2025"/>
    <s v="USD"/>
    <d v="2025-06-01T00:00:00"/>
    <n v="1"/>
    <d v="2025-12-06T00:00:00"/>
    <n v="210"/>
    <s v="IN89"/>
  </r>
  <r>
    <x v="0"/>
    <n v="246779411594"/>
    <x v="21"/>
    <n v="-17.190000000000001"/>
    <n v="-1496.26"/>
    <m/>
    <s v="16/04/2025"/>
    <s v="USD"/>
    <d v="2025-06-01T00:00:00"/>
    <n v="1"/>
    <d v="2025-12-06T00:00:00"/>
    <n v="210"/>
    <s v="IN89"/>
  </r>
  <r>
    <x v="0"/>
    <n v="246779411599"/>
    <x v="21"/>
    <n v="-37.950000000000003"/>
    <n v="-3303.26"/>
    <m/>
    <s v="16/04/2025"/>
    <s v="USD"/>
    <d v="2025-06-01T00:00:00"/>
    <n v="1"/>
    <d v="2025-12-06T00:00:00"/>
    <n v="210"/>
    <s v="IN89"/>
  </r>
  <r>
    <x v="0"/>
    <n v="246779412111"/>
    <x v="21"/>
    <n v="-420.46"/>
    <n v="-36597.85"/>
    <m/>
    <s v="16/04/2025"/>
    <s v="USD"/>
    <d v="2025-06-01T00:00:00"/>
    <n v="1"/>
    <d v="2025-12-06T00:00:00"/>
    <n v="210"/>
    <s v="IN89"/>
  </r>
  <r>
    <x v="0"/>
    <n v="246779411895"/>
    <x v="21"/>
    <n v="-4.26"/>
    <n v="-370.8"/>
    <m/>
    <s v="16/04/2025"/>
    <s v="USD"/>
    <d v="2025-06-01T00:00:00"/>
    <n v="1"/>
    <d v="2025-12-06T00:00:00"/>
    <n v="210"/>
    <s v="IN89"/>
  </r>
  <r>
    <x v="0"/>
    <n v="246779412046"/>
    <x v="21"/>
    <n v="-16.82"/>
    <n v="-1464.05"/>
    <m/>
    <s v="16/04/2025"/>
    <s v="USD"/>
    <d v="2025-06-01T00:00:00"/>
    <n v="1"/>
    <d v="2025-12-06T00:00:00"/>
    <n v="210"/>
    <s v="IN89"/>
  </r>
  <r>
    <x v="0"/>
    <n v="246779411897"/>
    <x v="21"/>
    <n v="-22.72"/>
    <n v="-1977.6"/>
    <m/>
    <s v="16/04/2025"/>
    <s v="USD"/>
    <d v="2025-06-01T00:00:00"/>
    <n v="1"/>
    <d v="2025-12-06T00:00:00"/>
    <n v="210"/>
    <s v="IN89"/>
  </r>
  <r>
    <x v="0"/>
    <n v="246779412044"/>
    <x v="21"/>
    <n v="-30.37"/>
    <n v="-2643.48"/>
    <m/>
    <s v="16/04/2025"/>
    <s v="USD"/>
    <d v="2025-06-01T00:00:00"/>
    <n v="1"/>
    <d v="2025-12-06T00:00:00"/>
    <n v="210"/>
    <s v="IN89"/>
  </r>
  <r>
    <x v="0"/>
    <n v="246779411898"/>
    <x v="21"/>
    <n v="-7.1"/>
    <n v="-618"/>
    <m/>
    <s v="16/04/2025"/>
    <s v="USD"/>
    <d v="2025-06-01T00:00:00"/>
    <n v="1"/>
    <d v="2025-12-06T00:00:00"/>
    <n v="210"/>
    <s v="IN89"/>
  </r>
  <r>
    <x v="0"/>
    <n v="246779412043"/>
    <x v="21"/>
    <n v="-16.82"/>
    <n v="-1464.05"/>
    <m/>
    <s v="16/04/2025"/>
    <s v="USD"/>
    <d v="2025-06-01T00:00:00"/>
    <n v="1"/>
    <d v="2025-12-06T00:00:00"/>
    <n v="210"/>
    <s v="IN89"/>
  </r>
  <r>
    <x v="0"/>
    <n v="246779411915"/>
    <x v="21"/>
    <n v="-23.17"/>
    <n v="-2016.77"/>
    <m/>
    <s v="16/04/2025"/>
    <s v="USD"/>
    <d v="2025-06-01T00:00:00"/>
    <n v="1"/>
    <d v="2025-12-06T00:00:00"/>
    <n v="210"/>
    <s v="IN89"/>
  </r>
  <r>
    <x v="0"/>
    <n v="246779412041"/>
    <x v="21"/>
    <n v="-33.64"/>
    <n v="-2928.11"/>
    <s v="NO EXCHANGE RATE / 14 DAYS OLDER"/>
    <s v="16/04/2025"/>
    <s v="USD"/>
    <d v="2025-06-01T00:00:00"/>
    <n v="1"/>
    <d v="2025-12-06T00:00:00"/>
    <n v="210"/>
    <s v="IN89"/>
  </r>
  <r>
    <x v="0"/>
    <n v="246779411900"/>
    <x v="21"/>
    <n v="-73.849999999999994"/>
    <n v="-6428.08"/>
    <m/>
    <s v="16/04/2025"/>
    <s v="USD"/>
    <d v="2025-06-01T00:00:00"/>
    <n v="1"/>
    <d v="2025-12-06T00:00:00"/>
    <n v="210"/>
    <s v="IN89"/>
  </r>
  <r>
    <x v="0"/>
    <n v="246779412048"/>
    <x v="21"/>
    <n v="-22.78"/>
    <n v="-1982.83"/>
    <m/>
    <s v="16/04/2025"/>
    <s v="USD"/>
    <d v="2025-06-01T00:00:00"/>
    <n v="1"/>
    <d v="2025-12-06T00:00:00"/>
    <n v="210"/>
    <s v="IN89"/>
  </r>
  <r>
    <x v="0"/>
    <n v="246779411903"/>
    <x v="21"/>
    <n v="-3.55"/>
    <n v="-309"/>
    <m/>
    <s v="16/04/2025"/>
    <s v="USD"/>
    <d v="2025-06-01T00:00:00"/>
    <n v="1"/>
    <d v="2025-12-06T00:00:00"/>
    <n v="210"/>
    <s v="IN89"/>
  </r>
  <r>
    <x v="0"/>
    <n v="246779411910"/>
    <x v="21"/>
    <n v="-28.41"/>
    <n v="-2472.88"/>
    <m/>
    <s v="16/04/2025"/>
    <s v="USD"/>
    <d v="2025-06-01T00:00:00"/>
    <n v="1"/>
    <d v="2025-12-06T00:00:00"/>
    <n v="210"/>
    <s v="IN89"/>
  </r>
  <r>
    <x v="0"/>
    <n v="246779411598"/>
    <x v="21"/>
    <n v="-91.66"/>
    <n v="-7978.31"/>
    <m/>
    <s v="16/04/2025"/>
    <s v="USD"/>
    <d v="2025-06-01T00:00:00"/>
    <n v="1"/>
    <d v="2025-12-06T00:00:00"/>
    <n v="210"/>
    <s v="IN89"/>
  </r>
  <r>
    <x v="0"/>
    <n v="246779411593"/>
    <x v="21"/>
    <n v="-40.1"/>
    <n v="-3490.4"/>
    <m/>
    <s v="16/04/2025"/>
    <s v="USD"/>
    <d v="2025-06-01T00:00:00"/>
    <n v="1"/>
    <d v="2025-12-06T00:00:00"/>
    <n v="210"/>
    <s v="IN89"/>
  </r>
  <r>
    <x v="0"/>
    <n v="246779412045"/>
    <x v="21"/>
    <n v="-230"/>
    <n v="-20019.759999999998"/>
    <s v="NO EXCHANGE RATE / 14 DAYS OLDER"/>
    <s v="16/04/2025"/>
    <s v="USD"/>
    <d v="2025-06-01T00:00:00"/>
    <n v="1"/>
    <d v="2025-12-06T00:00:00"/>
    <n v="210"/>
    <s v="IN89"/>
  </r>
  <r>
    <x v="0"/>
    <n v="246779412042"/>
    <x v="21"/>
    <n v="-16.82"/>
    <n v="-1464.05"/>
    <s v="NO EXCHANGE RATE / 14 DAYS OLDER"/>
    <s v="16/04/2025"/>
    <s v="USD"/>
    <d v="2025-06-01T00:00:00"/>
    <n v="1"/>
    <d v="2025-12-06T00:00:00"/>
    <n v="210"/>
    <s v="IN89"/>
  </r>
  <r>
    <x v="0"/>
    <n v="246779412038"/>
    <x v="21"/>
    <n v="-33.64"/>
    <n v="-2928.11"/>
    <s v="NO EXCHANGE RATE / 14 DAYS OLDER"/>
    <s v="16/04/2025"/>
    <s v="USD"/>
    <d v="2025-06-01T00:00:00"/>
    <n v="1"/>
    <d v="2025-12-06T00:00:00"/>
    <n v="210"/>
    <s v="IN89"/>
  </r>
  <r>
    <x v="0"/>
    <n v="246779411901"/>
    <x v="21"/>
    <n v="-12.78"/>
    <n v="-1112.4000000000001"/>
    <m/>
    <s v="16/04/2025"/>
    <s v="USD"/>
    <d v="2025-06-01T00:00:00"/>
    <n v="1"/>
    <d v="2025-12-06T00:00:00"/>
    <n v="210"/>
    <s v="IN89"/>
  </r>
  <r>
    <x v="0"/>
    <n v="246779411906"/>
    <x v="21"/>
    <n v="-34.090000000000003"/>
    <n v="-2967.28"/>
    <m/>
    <s v="16/04/2025"/>
    <s v="USD"/>
    <d v="2025-06-01T00:00:00"/>
    <n v="1"/>
    <d v="2025-12-06T00:00:00"/>
    <n v="210"/>
    <s v="IN89"/>
  </r>
  <r>
    <x v="0"/>
    <n v="246779411911"/>
    <x v="21"/>
    <n v="-29.83"/>
    <n v="-2596.48"/>
    <m/>
    <s v="16/04/2025"/>
    <s v="USD"/>
    <d v="2025-06-01T00:00:00"/>
    <n v="1"/>
    <d v="2025-12-06T00:00:00"/>
    <n v="210"/>
    <s v="IN89"/>
  </r>
  <r>
    <x v="0"/>
    <n v="246779411731"/>
    <x v="21"/>
    <n v="-22.83"/>
    <n v="-1987.18"/>
    <m/>
    <s v="16/04/2025"/>
    <s v="USD"/>
    <d v="2025-06-01T00:00:00"/>
    <n v="1"/>
    <d v="2025-12-06T00:00:00"/>
    <n v="210"/>
    <s v="IN89"/>
  </r>
  <r>
    <x v="0"/>
    <n v="246779411725"/>
    <x v="21"/>
    <n v="-22.83"/>
    <n v="-1987.18"/>
    <m/>
    <s v="16/04/2025"/>
    <s v="USD"/>
    <d v="2025-06-01T00:00:00"/>
    <n v="1"/>
    <d v="2025-12-06T00:00:00"/>
    <n v="210"/>
    <s v="IN89"/>
  </r>
  <r>
    <x v="0"/>
    <n v="246779411905"/>
    <x v="21"/>
    <n v="-7.1"/>
    <n v="-618"/>
    <m/>
    <s v="16/04/2025"/>
    <s v="USD"/>
    <d v="2025-06-01T00:00:00"/>
    <n v="1"/>
    <d v="2025-12-06T00:00:00"/>
    <n v="210"/>
    <s v="IN89"/>
  </r>
  <r>
    <x v="0"/>
    <n v="246779411719"/>
    <x v="21"/>
    <n v="-28.54"/>
    <n v="-2484.19"/>
    <m/>
    <s v="16/04/2025"/>
    <s v="USD"/>
    <d v="2025-06-01T00:00:00"/>
    <n v="1"/>
    <d v="2025-12-06T00:00:00"/>
    <n v="210"/>
    <s v="IN89"/>
  </r>
  <r>
    <x v="0"/>
    <n v="246779411728"/>
    <x v="21"/>
    <n v="-11.42"/>
    <n v="-994.02"/>
    <m/>
    <s v="16/04/2025"/>
    <s v="USD"/>
    <d v="2025-06-01T00:00:00"/>
    <n v="1"/>
    <d v="2025-12-06T00:00:00"/>
    <n v="210"/>
    <s v="IN89"/>
  </r>
  <r>
    <x v="0"/>
    <n v="246779411601"/>
    <x v="21"/>
    <n v="0.47"/>
    <n v="40.909999999999997"/>
    <s v="C: ASCENDAS27 P: A023951 I 246779411601"/>
    <s v="16/04/2025"/>
    <s v="USD"/>
    <d v="2025-06-01T00:00:00"/>
    <n v="1"/>
    <d v="2025-12-06T00:00:00"/>
    <n v="230"/>
    <s v="IN89"/>
  </r>
  <r>
    <x v="0"/>
    <n v="246779411717"/>
    <x v="21"/>
    <n v="0.91"/>
    <n v="79.209999999999994"/>
    <s v="C: ASCENDAS27 P: A023951 I 246779411717"/>
    <s v="16/04/2025"/>
    <s v="USD"/>
    <d v="2025-06-01T00:00:00"/>
    <n v="1"/>
    <d v="2025-12-06T00:00:00"/>
    <n v="230"/>
    <s v="IN89"/>
  </r>
  <r>
    <x v="0"/>
    <n v="246779411913"/>
    <x v="21"/>
    <n v="0.56999999999999995"/>
    <n v="49.61"/>
    <s v="C: ASCENDAS27 P: A023951 I 246779411913"/>
    <s v="16/04/2025"/>
    <s v="USD"/>
    <d v="2025-06-01T00:00:00"/>
    <n v="1"/>
    <d v="2025-12-06T00:00:00"/>
    <n v="230"/>
    <s v="IN89"/>
  </r>
  <r>
    <x v="0"/>
    <n v="246779411740"/>
    <x v="21"/>
    <n v="0.46"/>
    <n v="40.04"/>
    <s v="C: ASCENDAS27 P: A023951 I 246779411740"/>
    <s v="16/04/2025"/>
    <s v="USD"/>
    <d v="2025-06-01T00:00:00"/>
    <n v="1"/>
    <d v="2025-12-06T00:00:00"/>
    <n v="230"/>
    <s v="IN89"/>
  </r>
  <r>
    <x v="0"/>
    <n v="246779412111"/>
    <x v="21"/>
    <n v="8.41"/>
    <n v="732.03"/>
    <s v="C: ASCENDAS27 P: A023951 I 246779412111"/>
    <s v="16/04/2025"/>
    <s v="USD"/>
    <d v="2025-06-01T00:00:00"/>
    <n v="1"/>
    <d v="2025-12-06T00:00:00"/>
    <n v="230"/>
    <s v="IN89"/>
  </r>
  <r>
    <x v="0"/>
    <n v="246779411722"/>
    <x v="21"/>
    <n v="0.8"/>
    <n v="69.63"/>
    <s v="C: ASCENDAS27 P: A023951 I 246779411722"/>
    <s v="16/04/2025"/>
    <s v="USD"/>
    <d v="2025-06-01T00:00:00"/>
    <n v="1"/>
    <d v="2025-12-06T00:00:00"/>
    <n v="230"/>
    <s v="IN89"/>
  </r>
  <r>
    <x v="0"/>
    <n v="246779412041"/>
    <x v="21"/>
    <n v="0.67"/>
    <n v="58.32"/>
    <s v="C: ASCENDAS27 P: A023951 I 246779412041"/>
    <s v="16/04/2025"/>
    <s v="USD"/>
    <d v="2025-06-01T00:00:00"/>
    <n v="1"/>
    <d v="2025-12-06T00:00:00"/>
    <n v="230"/>
    <s v="IN89"/>
  </r>
  <r>
    <x v="0"/>
    <n v="246779411898"/>
    <x v="21"/>
    <n v="0.14000000000000001"/>
    <n v="12.19"/>
    <s v="C: ASCENDAS27 P: A023951 I 246779411898"/>
    <s v="16/04/2025"/>
    <s v="USD"/>
    <d v="2025-06-01T00:00:00"/>
    <n v="1"/>
    <d v="2025-12-06T00:00:00"/>
    <n v="230"/>
    <s v="IN89"/>
  </r>
  <r>
    <x v="0"/>
    <n v="246779411729"/>
    <x v="21"/>
    <n v="0.69"/>
    <n v="60.06"/>
    <s v="C: ASCENDAS27 P: A023951 I 246779411729"/>
    <s v="16/04/2025"/>
    <s v="USD"/>
    <d v="2025-06-01T00:00:00"/>
    <n v="1"/>
    <d v="2025-12-06T00:00:00"/>
    <n v="230"/>
    <s v="IN89"/>
  </r>
  <r>
    <x v="0"/>
    <n v="246779411737"/>
    <x v="21"/>
    <n v="0.56999999999999995"/>
    <n v="49.61"/>
    <s v="C: ASCENDAS27 P: A023951 I 246779411737"/>
    <s v="16/04/2025"/>
    <s v="USD"/>
    <d v="2025-06-01T00:00:00"/>
    <n v="1"/>
    <d v="2025-12-06T00:00:00"/>
    <n v="230"/>
    <s v="IN89"/>
  </r>
  <r>
    <x v="0"/>
    <n v="246779411595"/>
    <x v="21"/>
    <n v="1.03"/>
    <n v="89.65"/>
    <s v="C: ASCENDAS27 P: A023951 I 246779411595"/>
    <s v="16/04/2025"/>
    <s v="USD"/>
    <d v="2025-06-01T00:00:00"/>
    <n v="1"/>
    <d v="2025-12-06T00:00:00"/>
    <n v="230"/>
    <s v="IN89"/>
  </r>
  <r>
    <x v="0"/>
    <n v="246779411727"/>
    <x v="21"/>
    <n v="0.34"/>
    <n v="29.59"/>
    <s v="C: ASCENDAS27 P: A023951 I 246779411727"/>
    <s v="16/04/2025"/>
    <s v="USD"/>
    <d v="2025-06-01T00:00:00"/>
    <n v="1"/>
    <d v="2025-12-06T00:00:00"/>
    <n v="230"/>
    <s v="IN89"/>
  </r>
  <r>
    <x v="0"/>
    <n v="246779411736"/>
    <x v="21"/>
    <n v="0.46"/>
    <n v="40.04"/>
    <s v="C: ASCENDAS27 P: A023951 I 246779411736"/>
    <s v="16/04/2025"/>
    <s v="USD"/>
    <d v="2025-06-01T00:00:00"/>
    <n v="1"/>
    <d v="2025-12-06T00:00:00"/>
    <n v="230"/>
    <s v="IN89"/>
  </r>
  <r>
    <x v="0"/>
    <n v="246779411732"/>
    <x v="21"/>
    <n v="0.56999999999999995"/>
    <n v="49.61"/>
    <s v="C: ASCENDAS27 P: A023951 I 246779411732"/>
    <s v="16/04/2025"/>
    <s v="USD"/>
    <d v="2025-06-01T00:00:00"/>
    <n v="1"/>
    <d v="2025-12-06T00:00:00"/>
    <n v="230"/>
    <s v="IN89"/>
  </r>
  <r>
    <x v="0"/>
    <n v="246779411899"/>
    <x v="21"/>
    <n v="1.25"/>
    <n v="108.8"/>
    <s v="C: ASCENDAS27 P: A023951 I 246779411899"/>
    <s v="16/04/2025"/>
    <s v="USD"/>
    <d v="2025-06-01T00:00:00"/>
    <n v="1"/>
    <d v="2025-12-06T00:00:00"/>
    <n v="230"/>
    <s v="IN89"/>
  </r>
  <r>
    <x v="0"/>
    <n v="246779411914"/>
    <x v="21"/>
    <n v="5.2"/>
    <n v="452.62"/>
    <s v="C: ASCENDAS27 P: A023951 I 246779411914"/>
    <s v="16/04/2025"/>
    <s v="USD"/>
    <d v="2025-06-01T00:00:00"/>
    <n v="1"/>
    <d v="2025-12-06T00:00:00"/>
    <n v="230"/>
    <s v="IN89"/>
  </r>
  <r>
    <x v="0"/>
    <n v="246779411895"/>
    <x v="21"/>
    <n v="0.09"/>
    <n v="7.83"/>
    <s v="C: ASCENDAS27 P: A023951 I 246779411895"/>
    <s v="16/04/2025"/>
    <s v="USD"/>
    <d v="2025-06-01T00:00:00"/>
    <n v="1"/>
    <d v="2025-12-06T00:00:00"/>
    <n v="230"/>
    <s v="IN89"/>
  </r>
  <r>
    <x v="0"/>
    <n v="246779411723"/>
    <x v="21"/>
    <n v="0.91"/>
    <n v="79.209999999999994"/>
    <s v="C: ASCENDAS27 P: A023951 I 246779411723"/>
    <s v="16/04/2025"/>
    <s v="USD"/>
    <d v="2025-06-01T00:00:00"/>
    <n v="1"/>
    <d v="2025-12-06T00:00:00"/>
    <n v="230"/>
    <s v="IN89"/>
  </r>
  <r>
    <x v="0"/>
    <n v="246779411897"/>
    <x v="21"/>
    <n v="0.45"/>
    <n v="39.17"/>
    <s v="C: ASCENDAS27 P: A023951 I 246779411897"/>
    <s v="16/04/2025"/>
    <s v="USD"/>
    <d v="2025-06-01T00:00:00"/>
    <n v="1"/>
    <d v="2025-12-06T00:00:00"/>
    <n v="230"/>
    <s v="IN89"/>
  </r>
  <r>
    <x v="0"/>
    <n v="246779412038"/>
    <x v="21"/>
    <n v="0.67"/>
    <n v="58.32"/>
    <s v="C: ASCENDAS27 P: A023951 I 246779412038"/>
    <s v="16/04/2025"/>
    <s v="USD"/>
    <d v="2025-06-01T00:00:00"/>
    <n v="1"/>
    <d v="2025-12-06T00:00:00"/>
    <n v="230"/>
    <s v="IN89"/>
  </r>
  <r>
    <x v="0"/>
    <n v="246779411909"/>
    <x v="21"/>
    <n v="0.56999999999999995"/>
    <n v="49.61"/>
    <s v="C: ASCENDAS27 P: A023951 I 246779411909"/>
    <s v="16/04/2025"/>
    <s v="USD"/>
    <d v="2025-06-01T00:00:00"/>
    <n v="1"/>
    <d v="2025-12-06T00:00:00"/>
    <n v="230"/>
    <s v="IN89"/>
  </r>
  <r>
    <x v="0"/>
    <n v="246779412042"/>
    <x v="21"/>
    <n v="0.34"/>
    <n v="29.59"/>
    <s v="C: ASCENDAS27 P: A023951 I 246779412042"/>
    <s v="16/04/2025"/>
    <s v="USD"/>
    <d v="2025-06-01T00:00:00"/>
    <n v="1"/>
    <d v="2025-12-06T00:00:00"/>
    <n v="230"/>
    <s v="IN89"/>
  </r>
  <r>
    <x v="0"/>
    <n v="246779411900"/>
    <x v="21"/>
    <n v="1.48"/>
    <n v="128.82"/>
    <s v="C: ASCENDAS27 P: A023951 I 246779411900"/>
    <s v="16/04/2025"/>
    <s v="USD"/>
    <d v="2025-06-01T00:00:00"/>
    <n v="1"/>
    <d v="2025-12-06T00:00:00"/>
    <n v="230"/>
    <s v="IN89"/>
  </r>
  <r>
    <x v="0"/>
    <n v="246779412048"/>
    <x v="21"/>
    <n v="0.46"/>
    <n v="40.04"/>
    <s v="C: ASCENDAS27 P: A023951 I 246779412048"/>
    <s v="16/04/2025"/>
    <s v="USD"/>
    <d v="2025-06-01T00:00:00"/>
    <n v="1"/>
    <d v="2025-12-06T00:00:00"/>
    <n v="230"/>
    <s v="IN89"/>
  </r>
  <r>
    <x v="0"/>
    <n v="246779412046"/>
    <x v="21"/>
    <n v="0.34"/>
    <n v="29.59"/>
    <s v="C: ASCENDAS27 P: A023951 I 246779412046"/>
    <s v="16/04/2025"/>
    <s v="USD"/>
    <d v="2025-06-01T00:00:00"/>
    <n v="1"/>
    <d v="2025-12-06T00:00:00"/>
    <n v="230"/>
    <s v="IN89"/>
  </r>
  <r>
    <x v="0"/>
    <n v="246779411597"/>
    <x v="21"/>
    <n v="1.1499999999999999"/>
    <n v="100.1"/>
    <s v="C: ASCENDAS27 P: A023951 I 246779411597"/>
    <s v="16/04/2025"/>
    <s v="USD"/>
    <d v="2025-06-01T00:00:00"/>
    <n v="1"/>
    <d v="2025-12-06T00:00:00"/>
    <n v="230"/>
    <s v="IN89"/>
  </r>
  <r>
    <x v="0"/>
    <n v="246779411637"/>
    <x v="21"/>
    <n v="8.59"/>
    <n v="747.69"/>
    <s v="C: ASCENDAS27 P: A023951 I 246779411637"/>
    <s v="16/04/2025"/>
    <s v="USD"/>
    <d v="2025-06-01T00:00:00"/>
    <n v="1"/>
    <d v="2025-12-06T00:00:00"/>
    <n v="230"/>
    <s v="IN89"/>
  </r>
  <r>
    <x v="0"/>
    <n v="246779411721"/>
    <x v="21"/>
    <n v="10.51"/>
    <n v="914.82"/>
    <s v="C: ASCENDAS27 P: A023951 I 246779411721"/>
    <s v="16/04/2025"/>
    <s v="USD"/>
    <d v="2025-06-01T00:00:00"/>
    <n v="1"/>
    <d v="2025-12-06T00:00:00"/>
    <n v="230"/>
    <s v="IN89"/>
  </r>
  <r>
    <x v="0"/>
    <n v="246779411720"/>
    <x v="21"/>
    <n v="0.34"/>
    <n v="29.59"/>
    <s v="C: ASCENDAS27 P: A023951 I 246779411720"/>
    <s v="16/04/2025"/>
    <s v="USD"/>
    <d v="2025-06-01T00:00:00"/>
    <n v="1"/>
    <d v="2025-12-06T00:00:00"/>
    <n v="230"/>
    <s v="IN89"/>
  </r>
  <r>
    <x v="0"/>
    <n v="246779412043"/>
    <x v="21"/>
    <n v="0.34"/>
    <n v="29.59"/>
    <s v="C: ASCENDAS27 P: A023951 I 246779412043"/>
    <s v="16/04/2025"/>
    <s v="USD"/>
    <d v="2025-06-01T00:00:00"/>
    <n v="1"/>
    <d v="2025-12-06T00:00:00"/>
    <n v="230"/>
    <s v="IN89"/>
  </r>
  <r>
    <x v="0"/>
    <n v="246779411718"/>
    <x v="21"/>
    <n v="0.46"/>
    <n v="40.04"/>
    <s v="C: ASCENDAS27 P: A023951 I 246779411718"/>
    <s v="16/04/2025"/>
    <s v="USD"/>
    <d v="2025-06-01T00:00:00"/>
    <n v="1"/>
    <d v="2025-12-06T00:00:00"/>
    <n v="230"/>
    <s v="IN89"/>
  </r>
  <r>
    <x v="0"/>
    <n v="246779411896"/>
    <x v="21"/>
    <n v="0.8"/>
    <n v="69.63"/>
    <s v="C: ASCENDAS27 P: A023951 I 246779411896"/>
    <s v="16/04/2025"/>
    <s v="USD"/>
    <d v="2025-06-01T00:00:00"/>
    <n v="1"/>
    <d v="2025-12-06T00:00:00"/>
    <n v="230"/>
    <s v="IN89"/>
  </r>
  <r>
    <x v="0"/>
    <n v="246779411738"/>
    <x v="21"/>
    <n v="0.56999999999999995"/>
    <n v="49.61"/>
    <s v="C: ASCENDAS27 P: A023951 I 246779411738"/>
    <s v="16/04/2025"/>
    <s v="USD"/>
    <d v="2025-06-01T00:00:00"/>
    <n v="1"/>
    <d v="2025-12-06T00:00:00"/>
    <n v="230"/>
    <s v="IN89"/>
  </r>
  <r>
    <x v="0"/>
    <n v="246779411598"/>
    <x v="21"/>
    <n v="1.83"/>
    <n v="159.29"/>
    <s v="C: ASCENDAS27 P: A023951 I 246779411598"/>
    <s v="16/04/2025"/>
    <s v="USD"/>
    <d v="2025-06-01T00:00:00"/>
    <n v="1"/>
    <d v="2025-12-06T00:00:00"/>
    <n v="230"/>
    <s v="IN89"/>
  </r>
  <r>
    <x v="0"/>
    <n v="246779411903"/>
    <x v="21"/>
    <n v="7.0000000000000007E-2"/>
    <n v="6.09"/>
    <s v="C: ASCENDAS27 P: A023951 I 246779411903"/>
    <s v="16/04/2025"/>
    <s v="USD"/>
    <d v="2025-06-01T00:00:00"/>
    <n v="1"/>
    <d v="2025-12-06T00:00:00"/>
    <n v="230"/>
    <s v="IN89"/>
  </r>
  <r>
    <x v="0"/>
    <n v="246779411593"/>
    <x v="21"/>
    <n v="0.8"/>
    <n v="69.63"/>
    <s v="C: ASCENDAS27 P: A023951 I 246779411593"/>
    <s v="16/04/2025"/>
    <s v="USD"/>
    <d v="2025-06-01T00:00:00"/>
    <n v="1"/>
    <d v="2025-12-06T00:00:00"/>
    <n v="230"/>
    <s v="IN89"/>
  </r>
  <r>
    <x v="0"/>
    <n v="246779411915"/>
    <x v="21"/>
    <n v="0.46"/>
    <n v="40.04"/>
    <s v="C: ASCENDAS27 P: A023951 I 246779411915"/>
    <s v="16/04/2025"/>
    <s v="USD"/>
    <d v="2025-06-01T00:00:00"/>
    <n v="1"/>
    <d v="2025-12-06T00:00:00"/>
    <n v="230"/>
    <s v="IN89"/>
  </r>
  <r>
    <x v="0"/>
    <n v="246779411739"/>
    <x v="21"/>
    <n v="0.69"/>
    <n v="60.06"/>
    <s v="C: ASCENDAS27 P: A023951 I 246779411739"/>
    <s v="16/04/2025"/>
    <s v="USD"/>
    <d v="2025-06-01T00:00:00"/>
    <n v="1"/>
    <d v="2025-12-06T00:00:00"/>
    <n v="230"/>
    <s v="IN89"/>
  </r>
  <r>
    <x v="0"/>
    <n v="246779412040"/>
    <x v="21"/>
    <n v="0.34"/>
    <n v="29.59"/>
    <s v="C: ASCENDAS27 P: A023951 I 246779412040"/>
    <s v="16/04/2025"/>
    <s v="USD"/>
    <d v="2025-06-01T00:00:00"/>
    <n v="1"/>
    <d v="2025-12-06T00:00:00"/>
    <n v="230"/>
    <s v="IN89"/>
  </r>
  <r>
    <x v="0"/>
    <n v="246779412045"/>
    <x v="21"/>
    <n v="4.5999999999999996"/>
    <n v="400.4"/>
    <s v="C: ASCENDAS27 P: A023951 I 246779412045"/>
    <s v="16/04/2025"/>
    <s v="USD"/>
    <d v="2025-06-01T00:00:00"/>
    <n v="1"/>
    <d v="2025-12-06T00:00:00"/>
    <n v="230"/>
    <s v="IN89"/>
  </r>
  <r>
    <x v="0"/>
    <n v="246779411596"/>
    <x v="21"/>
    <n v="1.49"/>
    <n v="129.69"/>
    <s v="C: ASCENDAS27 P: A023951 I 246779411596"/>
    <s v="16/04/2025"/>
    <s v="USD"/>
    <d v="2025-06-01T00:00:00"/>
    <n v="1"/>
    <d v="2025-12-06T00:00:00"/>
    <n v="230"/>
    <s v="IN89"/>
  </r>
  <r>
    <x v="0"/>
    <n v="246779411733"/>
    <x v="21"/>
    <n v="0.34"/>
    <n v="29.59"/>
    <s v="C: ASCENDAS27 P: A023951 I 246779411733"/>
    <s v="16/04/2025"/>
    <s v="USD"/>
    <d v="2025-06-01T00:00:00"/>
    <n v="1"/>
    <d v="2025-12-06T00:00:00"/>
    <n v="230"/>
    <s v="IN89"/>
  </r>
  <r>
    <x v="0"/>
    <n v="246779411594"/>
    <x v="21"/>
    <n v="0.34"/>
    <n v="29.59"/>
    <s v="C: ASCENDAS27 P: A023951 I 246779411594"/>
    <s v="16/04/2025"/>
    <s v="USD"/>
    <d v="2025-06-01T00:00:00"/>
    <n v="1"/>
    <d v="2025-12-06T00:00:00"/>
    <n v="230"/>
    <s v="IN89"/>
  </r>
  <r>
    <x v="0"/>
    <n v="246779411734"/>
    <x v="21"/>
    <n v="0.46"/>
    <n v="40.04"/>
    <s v="C: ASCENDAS27 P: A023951 I 246779411734"/>
    <s v="16/04/2025"/>
    <s v="USD"/>
    <d v="2025-06-01T00:00:00"/>
    <n v="1"/>
    <d v="2025-12-06T00:00:00"/>
    <n v="230"/>
    <s v="IN89"/>
  </r>
  <r>
    <x v="0"/>
    <n v="246779411741"/>
    <x v="21"/>
    <n v="4.8"/>
    <n v="417.8"/>
    <s v="C: ASCENDAS27 P: A023951 I 246779411741"/>
    <s v="16/04/2025"/>
    <s v="USD"/>
    <d v="2025-06-01T00:00:00"/>
    <n v="1"/>
    <d v="2025-12-06T00:00:00"/>
    <n v="230"/>
    <s v="IN89"/>
  </r>
  <r>
    <x v="0"/>
    <n v="246779411902"/>
    <x v="21"/>
    <n v="0.04"/>
    <n v="3.48"/>
    <s v="C: ASCENDAS27 P: A023951 I 246779411902"/>
    <s v="16/04/2025"/>
    <s v="USD"/>
    <d v="2025-06-01T00:00:00"/>
    <n v="1"/>
    <d v="2025-12-06T00:00:00"/>
    <n v="230"/>
    <s v="IN89"/>
  </r>
  <r>
    <x v="0"/>
    <n v="246779411910"/>
    <x v="21"/>
    <n v="0.56999999999999995"/>
    <n v="49.61"/>
    <s v="C: ASCENDAS27 P: A023951 I 246779411910"/>
    <s v="16/04/2025"/>
    <s v="USD"/>
    <d v="2025-06-01T00:00:00"/>
    <n v="1"/>
    <d v="2025-12-06T00:00:00"/>
    <n v="230"/>
    <s v="IN89"/>
  </r>
  <r>
    <x v="0"/>
    <n v="246779411600"/>
    <x v="21"/>
    <n v="0.05"/>
    <n v="4.3499999999999996"/>
    <s v="C: ASCENDAS27 P: A023951 I 246779411600"/>
    <s v="16/04/2025"/>
    <s v="USD"/>
    <d v="2025-06-01T00:00:00"/>
    <n v="1"/>
    <d v="2025-12-06T00:00:00"/>
    <n v="230"/>
    <s v="IN89"/>
  </r>
  <r>
    <x v="0"/>
    <n v="246779411907"/>
    <x v="21"/>
    <n v="0.34"/>
    <n v="29.59"/>
    <s v="C: ASCENDAS27 P: A023951 I 246779411907"/>
    <s v="16/04/2025"/>
    <s v="USD"/>
    <d v="2025-06-01T00:00:00"/>
    <n v="1"/>
    <d v="2025-12-06T00:00:00"/>
    <n v="230"/>
    <s v="IN89"/>
  </r>
  <r>
    <x v="0"/>
    <n v="246779412044"/>
    <x v="21"/>
    <n v="0.61"/>
    <n v="53.1"/>
    <s v="C: ASCENDAS27 P: A023951 I 246779412044"/>
    <s v="16/04/2025"/>
    <s v="USD"/>
    <d v="2025-06-01T00:00:00"/>
    <n v="1"/>
    <d v="2025-12-06T00:00:00"/>
    <n v="230"/>
    <s v="IN89"/>
  </r>
  <r>
    <x v="0"/>
    <n v="246779411724"/>
    <x v="21"/>
    <n v="1.37"/>
    <n v="119.25"/>
    <s v="C: ASCENDAS27 P: A023951 I 246779411724"/>
    <s v="16/04/2025"/>
    <s v="USD"/>
    <d v="2025-06-01T00:00:00"/>
    <n v="1"/>
    <d v="2025-12-06T00:00:00"/>
    <n v="230"/>
    <s v="IN89"/>
  </r>
  <r>
    <x v="0"/>
    <n v="246779411726"/>
    <x v="21"/>
    <n v="0.56999999999999995"/>
    <n v="49.61"/>
    <s v="C: ASCENDAS27 P: A023951 I 246779411726"/>
    <s v="16/04/2025"/>
    <s v="USD"/>
    <d v="2025-06-01T00:00:00"/>
    <n v="1"/>
    <d v="2025-12-06T00:00:00"/>
    <n v="230"/>
    <s v="IN89"/>
  </r>
  <r>
    <x v="0"/>
    <n v="246779411599"/>
    <x v="21"/>
    <n v="0.76"/>
    <n v="66.150000000000006"/>
    <s v="C: ASCENDAS27 P: A023951 I 246779411599"/>
    <s v="16/04/2025"/>
    <s v="USD"/>
    <d v="2025-06-01T00:00:00"/>
    <n v="1"/>
    <d v="2025-12-06T00:00:00"/>
    <n v="230"/>
    <s v="IN89"/>
  </r>
  <r>
    <x v="0"/>
    <n v="246779411735"/>
    <x v="21"/>
    <n v="9.59"/>
    <n v="834.74"/>
    <s v="C: ASCENDAS27 P: A023951 I 246779411735"/>
    <s v="16/04/2025"/>
    <s v="USD"/>
    <d v="2025-06-01T00:00:00"/>
    <n v="1"/>
    <d v="2025-12-06T00:00:00"/>
    <n v="230"/>
    <s v="IN89"/>
  </r>
  <r>
    <x v="0"/>
    <n v="246779411725"/>
    <x v="21"/>
    <n v="0.46"/>
    <n v="40.04"/>
    <s v="C: ASCENDAS27 P: A023951 I 246779411725"/>
    <s v="16/04/2025"/>
    <s v="USD"/>
    <d v="2025-06-01T00:00:00"/>
    <n v="1"/>
    <d v="2025-12-06T00:00:00"/>
    <n v="230"/>
    <s v="IN89"/>
  </r>
  <r>
    <x v="0"/>
    <n v="246779411911"/>
    <x v="21"/>
    <n v="0.6"/>
    <n v="52.23"/>
    <s v="C: ASCENDAS27 P: A023951 I 246779411911"/>
    <s v="16/04/2025"/>
    <s v="USD"/>
    <d v="2025-06-01T00:00:00"/>
    <n v="1"/>
    <d v="2025-12-06T00:00:00"/>
    <n v="230"/>
    <s v="IN89"/>
  </r>
  <r>
    <x v="0"/>
    <n v="246779411901"/>
    <x v="21"/>
    <n v="0.26"/>
    <n v="22.63"/>
    <s v="C: ASCENDAS27 P: A023951 I 246779411901"/>
    <s v="16/04/2025"/>
    <s v="USD"/>
    <d v="2025-06-01T00:00:00"/>
    <n v="1"/>
    <d v="2025-12-06T00:00:00"/>
    <n v="230"/>
    <s v="IN89"/>
  </r>
  <r>
    <x v="0"/>
    <n v="246779411905"/>
    <x v="21"/>
    <n v="0.14000000000000001"/>
    <n v="12.19"/>
    <s v="C: ASCENDAS27 P: A023951 I 246779411905"/>
    <s v="16/04/2025"/>
    <s v="USD"/>
    <d v="2025-06-01T00:00:00"/>
    <n v="1"/>
    <d v="2025-12-06T00:00:00"/>
    <n v="230"/>
    <s v="IN89"/>
  </r>
  <r>
    <x v="0"/>
    <n v="246779411731"/>
    <x v="21"/>
    <n v="0.46"/>
    <n v="40.04"/>
    <s v="C: ASCENDAS27 P: A023951 I 246779411731"/>
    <s v="16/04/2025"/>
    <s v="USD"/>
    <d v="2025-06-01T00:00:00"/>
    <n v="1"/>
    <d v="2025-12-06T00:00:00"/>
    <n v="230"/>
    <s v="IN89"/>
  </r>
  <r>
    <x v="0"/>
    <n v="246779411719"/>
    <x v="21"/>
    <n v="0.56999999999999995"/>
    <n v="49.61"/>
    <s v="C: ASCENDAS27 P: A023951 I 246779411719"/>
    <s v="16/04/2025"/>
    <s v="USD"/>
    <d v="2025-06-01T00:00:00"/>
    <n v="1"/>
    <d v="2025-12-06T00:00:00"/>
    <n v="230"/>
    <s v="IN89"/>
  </r>
  <r>
    <x v="0"/>
    <n v="246779411906"/>
    <x v="21"/>
    <n v="0.68"/>
    <n v="59.19"/>
    <s v="C: ASCENDAS27 P: A023951 I 246779411906"/>
    <s v="16/04/2025"/>
    <s v="USD"/>
    <d v="2025-06-01T00:00:00"/>
    <n v="1"/>
    <d v="2025-12-06T00:00:00"/>
    <n v="230"/>
    <s v="IN89"/>
  </r>
  <r>
    <x v="0"/>
    <n v="246779411904"/>
    <x v="21"/>
    <n v="-58.94"/>
    <n v="-5130.28"/>
    <m/>
    <s v="16/04/2025"/>
    <s v="USD"/>
    <d v="2025-06-01T00:00:00"/>
    <n v="1"/>
    <d v="2025-12-06T00:00:00"/>
    <n v="210"/>
    <s v="IN89"/>
  </r>
  <r>
    <x v="0"/>
    <n v="246779411728"/>
    <x v="21"/>
    <n v="0.23"/>
    <n v="20.02"/>
    <s v="C: ASCENDAS27 P: A023951 I 246779411728"/>
    <s v="16/04/2025"/>
    <s v="USD"/>
    <d v="2025-06-01T00:00:00"/>
    <n v="1"/>
    <d v="2025-12-06T00:00:00"/>
    <n v="230"/>
    <s v="IN89"/>
  </r>
  <r>
    <x v="0"/>
    <n v="246779411912"/>
    <x v="21"/>
    <n v="-11.36"/>
    <n v="-988.8"/>
    <m/>
    <s v="16/04/2025"/>
    <s v="USD"/>
    <d v="2025-06-01T00:00:00"/>
    <n v="1"/>
    <d v="2025-12-06T00:00:00"/>
    <n v="210"/>
    <s v="IN89"/>
  </r>
  <r>
    <x v="0"/>
    <n v="246779411904"/>
    <x v="21"/>
    <n v="1.18"/>
    <n v="102.71"/>
    <s v="C: ASCENDAS27 P: A023951 I 246779411904"/>
    <s v="16/04/2025"/>
    <s v="USD"/>
    <d v="2025-06-01T00:00:00"/>
    <n v="1"/>
    <d v="2025-12-06T00:00:00"/>
    <n v="230"/>
    <s v="IN89"/>
  </r>
  <r>
    <x v="0"/>
    <n v="246779411912"/>
    <x v="21"/>
    <n v="0.23"/>
    <n v="20.02"/>
    <s v="C: ASCENDAS27 P: A023951 I 246779411912"/>
    <s v="16/04/2025"/>
    <s v="USD"/>
    <d v="2025-06-01T00:00:00"/>
    <n v="1"/>
    <d v="2025-12-06T00:00:00"/>
    <n v="230"/>
    <s v="IN89"/>
  </r>
  <r>
    <x v="0"/>
    <n v="246779412036"/>
    <x v="21"/>
    <n v="-28.03"/>
    <n v="-2439.8000000000002"/>
    <m/>
    <s v="16/04/2025"/>
    <s v="USD"/>
    <d v="2025-06-01T00:00:00"/>
    <n v="1"/>
    <d v="2025-12-06T00:00:00"/>
    <n v="210"/>
    <s v="IN89"/>
  </r>
  <r>
    <x v="0"/>
    <n v="246779412034"/>
    <x v="21"/>
    <n v="-33.64"/>
    <n v="-2928.11"/>
    <m/>
    <s v="16/04/2025"/>
    <s v="USD"/>
    <d v="2025-06-01T00:00:00"/>
    <n v="1"/>
    <d v="2025-12-06T00:00:00"/>
    <n v="210"/>
    <s v="IN89"/>
  </r>
  <r>
    <x v="0"/>
    <n v="246779412039"/>
    <x v="21"/>
    <n v="-56.06"/>
    <n v="-4879.6000000000004"/>
    <m/>
    <s v="16/04/2025"/>
    <s v="USD"/>
    <d v="2025-06-01T00:00:00"/>
    <n v="1"/>
    <d v="2025-12-06T00:00:00"/>
    <n v="210"/>
    <s v="IN89"/>
  </r>
  <r>
    <x v="0"/>
    <n v="246779412028"/>
    <x v="21"/>
    <n v="-28.03"/>
    <n v="-2439.8000000000002"/>
    <m/>
    <s v="16/04/2025"/>
    <s v="USD"/>
    <d v="2025-06-01T00:00:00"/>
    <n v="1"/>
    <d v="2025-12-06T00:00:00"/>
    <n v="210"/>
    <s v="IN89"/>
  </r>
  <r>
    <x v="0"/>
    <n v="246779412037"/>
    <x v="21"/>
    <n v="-44.85"/>
    <n v="-3903.85"/>
    <s v="NO EXCHANGE RATE / 14 DAYS OLDER"/>
    <s v="16/04/2025"/>
    <s v="USD"/>
    <d v="2025-06-01T00:00:00"/>
    <n v="1"/>
    <d v="2025-12-06T00:00:00"/>
    <n v="210"/>
    <s v="IN89"/>
  </r>
  <r>
    <x v="0"/>
    <n v="246779412032"/>
    <x v="21"/>
    <n v="-33.64"/>
    <n v="-2928.11"/>
    <m/>
    <s v="16/04/2025"/>
    <s v="USD"/>
    <d v="2025-06-01T00:00:00"/>
    <n v="1"/>
    <d v="2025-12-06T00:00:00"/>
    <n v="210"/>
    <s v="IN89"/>
  </r>
  <r>
    <x v="0"/>
    <n v="246779412030"/>
    <x v="21"/>
    <n v="-16.82"/>
    <n v="-1464.05"/>
    <m/>
    <s v="16/04/2025"/>
    <s v="USD"/>
    <d v="2025-06-01T00:00:00"/>
    <n v="1"/>
    <d v="2025-12-06T00:00:00"/>
    <n v="210"/>
    <s v="IN89"/>
  </r>
  <r>
    <x v="0"/>
    <n v="246779412035"/>
    <x v="21"/>
    <n v="-72.88"/>
    <n v="-6343.65"/>
    <m/>
    <s v="16/04/2025"/>
    <s v="USD"/>
    <d v="2025-06-01T00:00:00"/>
    <n v="1"/>
    <d v="2025-12-06T00:00:00"/>
    <n v="210"/>
    <s v="IN89"/>
  </r>
  <r>
    <x v="0"/>
    <n v="246779412031"/>
    <x v="21"/>
    <n v="-28.03"/>
    <n v="-2439.8000000000002"/>
    <s v="NO EXCHANGE RATE / 14 DAYS OLDER"/>
    <s v="16/04/2025"/>
    <s v="USD"/>
    <d v="2025-06-01T00:00:00"/>
    <n v="1"/>
    <d v="2025-12-06T00:00:00"/>
    <n v="210"/>
    <s v="IN89"/>
  </r>
  <r>
    <x v="0"/>
    <n v="246779412029"/>
    <x v="21"/>
    <n v="-22.42"/>
    <n v="-1951.49"/>
    <m/>
    <s v="16/04/2025"/>
    <s v="USD"/>
    <d v="2025-06-01T00:00:00"/>
    <n v="1"/>
    <d v="2025-12-06T00:00:00"/>
    <n v="210"/>
    <s v="IN89"/>
  </r>
  <r>
    <x v="0"/>
    <n v="246779412032"/>
    <x v="21"/>
    <n v="0.67"/>
    <n v="58.32"/>
    <s v="C: ASCENDAS27 P: A023951 I 246779412032"/>
    <s v="16/04/2025"/>
    <s v="USD"/>
    <d v="2025-06-01T00:00:00"/>
    <n v="1"/>
    <d v="2025-12-06T00:00:00"/>
    <n v="230"/>
    <s v="IN89"/>
  </r>
  <r>
    <x v="0"/>
    <n v="246779412037"/>
    <x v="21"/>
    <n v="0.9"/>
    <n v="78.34"/>
    <s v="C: ASCENDAS27 P: A023951 I 246779412037"/>
    <s v="16/04/2025"/>
    <s v="USD"/>
    <d v="2025-06-01T00:00:00"/>
    <n v="1"/>
    <d v="2025-12-06T00:00:00"/>
    <n v="230"/>
    <s v="IN89"/>
  </r>
  <r>
    <x v="0"/>
    <n v="246779412030"/>
    <x v="21"/>
    <n v="0.34"/>
    <n v="29.59"/>
    <s v="C: ASCENDAS27 P: A023951 I 246779412030"/>
    <s v="16/04/2025"/>
    <s v="USD"/>
    <d v="2025-06-01T00:00:00"/>
    <n v="1"/>
    <d v="2025-12-06T00:00:00"/>
    <n v="230"/>
    <s v="IN89"/>
  </r>
  <r>
    <x v="0"/>
    <n v="246779412034"/>
    <x v="21"/>
    <n v="0.67"/>
    <n v="58.32"/>
    <s v="C: ASCENDAS27 P: A023951 I 246779412034"/>
    <s v="16/04/2025"/>
    <s v="USD"/>
    <d v="2025-06-01T00:00:00"/>
    <n v="1"/>
    <d v="2025-12-06T00:00:00"/>
    <n v="230"/>
    <s v="IN89"/>
  </r>
  <r>
    <x v="0"/>
    <n v="246779412039"/>
    <x v="21"/>
    <n v="1.1200000000000001"/>
    <n v="97.49"/>
    <s v="C: ASCENDAS27 P: A023951 I 246779412039"/>
    <s v="16/04/2025"/>
    <s v="USD"/>
    <d v="2025-06-01T00:00:00"/>
    <n v="1"/>
    <d v="2025-12-06T00:00:00"/>
    <n v="230"/>
    <s v="IN89"/>
  </r>
  <r>
    <x v="0"/>
    <n v="246779412036"/>
    <x v="21"/>
    <n v="0.56000000000000005"/>
    <n v="48.74"/>
    <s v="C: ASCENDAS27 P: A023951 I 246779412036"/>
    <s v="16/04/2025"/>
    <s v="USD"/>
    <d v="2025-06-01T00:00:00"/>
    <n v="1"/>
    <d v="2025-12-06T00:00:00"/>
    <n v="230"/>
    <s v="IN89"/>
  </r>
  <r>
    <x v="0"/>
    <n v="246779412028"/>
    <x v="21"/>
    <n v="0.56000000000000005"/>
    <n v="48.74"/>
    <s v="C: ASCENDAS27 P: A023951 I 246779412028"/>
    <s v="16/04/2025"/>
    <s v="USD"/>
    <d v="2025-06-01T00:00:00"/>
    <n v="1"/>
    <d v="2025-12-06T00:00:00"/>
    <n v="230"/>
    <s v="IN89"/>
  </r>
  <r>
    <x v="0"/>
    <n v="246779412031"/>
    <x v="21"/>
    <n v="0.56000000000000005"/>
    <n v="48.74"/>
    <s v="C: ASCENDAS27 P: A023951 I 246779412031"/>
    <s v="16/04/2025"/>
    <s v="USD"/>
    <d v="2025-06-01T00:00:00"/>
    <n v="1"/>
    <d v="2025-12-06T00:00:00"/>
    <n v="230"/>
    <s v="IN89"/>
  </r>
  <r>
    <x v="0"/>
    <n v="246779412029"/>
    <x v="21"/>
    <n v="0.45"/>
    <n v="39.17"/>
    <s v="C: ASCENDAS27 P: A023951 I 246779412029"/>
    <s v="16/04/2025"/>
    <s v="USD"/>
    <d v="2025-06-01T00:00:00"/>
    <n v="1"/>
    <d v="2025-12-06T00:00:00"/>
    <n v="230"/>
    <s v="IN89"/>
  </r>
  <r>
    <x v="0"/>
    <n v="246779412035"/>
    <x v="21"/>
    <n v="1.46"/>
    <n v="127.08"/>
    <s v="C: ASCENDAS27 P: A023951 I 246779412035"/>
    <s v="16/04/2025"/>
    <s v="USD"/>
    <d v="2025-06-01T00:00:00"/>
    <n v="1"/>
    <d v="2025-12-06T00:00:00"/>
    <n v="230"/>
    <s v="IN89"/>
  </r>
  <r>
    <x v="0"/>
    <n v="246779411973"/>
    <x v="21"/>
    <n v="-426.09"/>
    <n v="-37087.9"/>
    <m/>
    <s v="16/04/2025"/>
    <s v="USD"/>
    <d v="2025-06-01T00:00:00"/>
    <n v="1"/>
    <s v="30/06/2025"/>
    <n v="210"/>
    <s v="IN89"/>
  </r>
  <r>
    <x v="0"/>
    <n v="246779412033"/>
    <x v="21"/>
    <n v="-22.42"/>
    <n v="-1951.49"/>
    <m/>
    <s v="16/04/2025"/>
    <s v="USD"/>
    <d v="2025-06-01T00:00:00"/>
    <n v="1"/>
    <s v="30/06/2025"/>
    <n v="210"/>
    <s v="IN89"/>
  </r>
  <r>
    <x v="0"/>
    <n v="246779412047"/>
    <x v="21"/>
    <n v="-28.03"/>
    <n v="-2439.8000000000002"/>
    <m/>
    <s v="16/04/2025"/>
    <s v="USD"/>
    <d v="2025-06-01T00:00:00"/>
    <n v="1"/>
    <s v="30/06/2025"/>
    <n v="210"/>
    <s v="IN89"/>
  </r>
  <r>
    <x v="0"/>
    <n v="246779411908"/>
    <x v="21"/>
    <n v="-28.41"/>
    <n v="-2472.88"/>
    <m/>
    <s v="16/04/2025"/>
    <s v="USD"/>
    <d v="2025-06-01T00:00:00"/>
    <n v="1"/>
    <s v="30/06/2025"/>
    <n v="210"/>
    <s v="IN89"/>
  </r>
  <r>
    <x v="0"/>
    <n v="246779411973"/>
    <x v="21"/>
    <n v="8.52"/>
    <n v="741.6"/>
    <s v="C: ASCENDAS27 P: A023951 I 246779411973"/>
    <s v="16/04/2025"/>
    <s v="USD"/>
    <d v="2025-06-01T00:00:00"/>
    <n v="1"/>
    <s v="30/06/2025"/>
    <n v="230"/>
    <s v="IN89"/>
  </r>
  <r>
    <x v="0"/>
    <n v="246779412047"/>
    <x v="21"/>
    <n v="0.56000000000000005"/>
    <n v="48.74"/>
    <s v="C: ASCENDAS27 P: A023951 I 246779412047"/>
    <s v="16/04/2025"/>
    <s v="USD"/>
    <d v="2025-06-01T00:00:00"/>
    <n v="1"/>
    <s v="30/06/2025"/>
    <n v="230"/>
    <s v="IN89"/>
  </r>
  <r>
    <x v="0"/>
    <n v="246779411908"/>
    <x v="21"/>
    <n v="0.56999999999999995"/>
    <n v="49.61"/>
    <s v="C: ASCENDAS27 P: A023951 I 246779411908"/>
    <s v="16/04/2025"/>
    <s v="USD"/>
    <d v="2025-06-01T00:00:00"/>
    <n v="1"/>
    <s v="30/06/2025"/>
    <n v="230"/>
    <s v="IN89"/>
  </r>
  <r>
    <x v="0"/>
    <n v="246779412033"/>
    <x v="21"/>
    <n v="0.45"/>
    <n v="39.17"/>
    <s v="C: ASCENDAS27 P: A023951 I 246779412033"/>
    <s v="16/04/2025"/>
    <s v="USD"/>
    <d v="2025-06-01T00:00:00"/>
    <n v="1"/>
    <s v="30/06/2025"/>
    <n v="230"/>
    <s v="IN89"/>
  </r>
  <r>
    <x v="0"/>
    <n v="246779411973"/>
    <x v="21"/>
    <n v="0"/>
    <n v="439.66"/>
    <s v="C: ASCENDAS27 P: Matching"/>
    <s v="16/04/2025"/>
    <s v="USD"/>
    <d v="2025-06-01T00:00:00"/>
    <n v="4"/>
    <s v="30/06/2025"/>
    <n v="271"/>
    <s v="IN89"/>
  </r>
  <r>
    <x v="0"/>
    <n v="246779412033"/>
    <x v="21"/>
    <n v="0"/>
    <n v="23.13"/>
    <s v="C: ASCENDAS27 P: Matching"/>
    <s v="16/04/2025"/>
    <s v="USD"/>
    <d v="2025-06-01T00:00:00"/>
    <n v="6"/>
    <s v="30/06/2025"/>
    <n v="271"/>
    <s v="IN89"/>
  </r>
  <r>
    <x v="0"/>
    <n v="246779412047"/>
    <x v="21"/>
    <n v="0"/>
    <n v="28.93"/>
    <s v="C: ASCENDAS27 P: Matching"/>
    <s v="16/04/2025"/>
    <s v="USD"/>
    <d v="2025-06-01T00:00:00"/>
    <n v="86"/>
    <s v="30/06/2025"/>
    <n v="271"/>
    <s v="IN89"/>
  </r>
  <r>
    <x v="0"/>
    <n v="246779411908"/>
    <x v="21"/>
    <n v="0"/>
    <n v="29.32"/>
    <s v="C: ASCENDAS27 P: Matching"/>
    <s v="16/04/2025"/>
    <s v="USD"/>
    <d v="2025-06-01T00:00:00"/>
    <n v="94"/>
    <s v="30/06/2025"/>
    <n v="271"/>
    <s v="IN89"/>
  </r>
  <r>
    <x v="0"/>
    <n v="246779411730"/>
    <x v="21"/>
    <n v="-11.42"/>
    <n v="-994.02"/>
    <m/>
    <s v="16/04/2025"/>
    <s v="USD"/>
    <d v="2025-11-01T00:00:00"/>
    <n v="1"/>
    <s v="30/11/2025"/>
    <n v="210"/>
    <s v="IN89"/>
  </r>
  <r>
    <x v="0"/>
    <n v="246779411789"/>
    <x v="21"/>
    <n v="-428.11"/>
    <n v="-37263.730000000003"/>
    <m/>
    <s v="16/04/2025"/>
    <s v="USD"/>
    <d v="2025-11-01T00:00:00"/>
    <n v="1"/>
    <s v="30/11/2025"/>
    <n v="210"/>
    <s v="IN89"/>
  </r>
  <r>
    <x v="0"/>
    <n v="246779411789"/>
    <x v="21"/>
    <n v="8.56"/>
    <n v="745.08"/>
    <s v="C: ASCENDAS27 P: A023951 I 246779411789"/>
    <s v="16/04/2025"/>
    <s v="USD"/>
    <d v="2025-11-01T00:00:00"/>
    <n v="1"/>
    <s v="30/11/2025"/>
    <n v="230"/>
    <s v="IN89"/>
  </r>
  <r>
    <x v="0"/>
    <n v="246779411730"/>
    <x v="21"/>
    <n v="0.23"/>
    <n v="20.02"/>
    <s v="C: ASCENDAS27 P: A023951 I 246779411730"/>
    <s v="16/04/2025"/>
    <s v="USD"/>
    <d v="2025-11-01T00:00:00"/>
    <n v="1"/>
    <s v="30/11/2025"/>
    <n v="230"/>
    <s v="IN89"/>
  </r>
  <r>
    <x v="0"/>
    <n v="246779411730"/>
    <x v="21"/>
    <n v="0"/>
    <n v="-23.64"/>
    <s v="C: ASCENDAS27 P: Matching"/>
    <s v="16/04/2025"/>
    <s v="USD"/>
    <d v="2025-11-01T00:00:00"/>
    <n v="52"/>
    <s v="30/11/2025"/>
    <n v="271"/>
    <s v="IN89"/>
  </r>
  <r>
    <x v="0"/>
    <n v="246779411789"/>
    <x v="21"/>
    <n v="0"/>
    <n v="-886.24"/>
    <s v="C: ASCENDAS27 P: Matching"/>
    <s v="16/04/2025"/>
    <s v="USD"/>
    <d v="2025-11-01T00:00:00"/>
    <n v="54"/>
    <s v="30/11/2025"/>
    <n v="271"/>
    <s v="IN89"/>
  </r>
  <r>
    <x v="0"/>
    <n v="256779412012"/>
    <x v="22"/>
    <n v="0"/>
    <n v="-1051.22"/>
    <s v="NO EXCHANGE RATE"/>
    <s v="16/05/2025"/>
    <s v="INR"/>
    <d v="2025-06-01T00:00:00"/>
    <n v="1"/>
    <d v="2025-12-06T00:00:00"/>
    <n v="210"/>
    <s v="IN89"/>
  </r>
  <r>
    <x v="0"/>
    <n v="256779412012"/>
    <x v="22"/>
    <n v="0"/>
    <n v="22"/>
    <s v="C: ASCENDAS27 P: A023951 I 256779412012"/>
    <s v="16/05/2025"/>
    <s v="INR"/>
    <d v="2025-06-01T00:00:00"/>
    <n v="1"/>
    <d v="2025-12-06T00:00:00"/>
    <n v="230"/>
    <s v="IN89"/>
  </r>
  <r>
    <x v="0"/>
    <n v="256779412092"/>
    <x v="22"/>
    <n v="-289.17"/>
    <n v="-24789.67"/>
    <m/>
    <s v="16/05/2025"/>
    <s v="USD"/>
    <d v="2025-06-01T00:00:00"/>
    <n v="1"/>
    <s v="30/06/2025"/>
    <n v="210"/>
    <s v="IN89"/>
  </r>
  <r>
    <x v="0"/>
    <n v="256779412053"/>
    <x v="22"/>
    <n v="-985.93"/>
    <n v="-84520.79"/>
    <m/>
    <s v="16/05/2025"/>
    <s v="USD"/>
    <d v="2025-06-01T00:00:00"/>
    <n v="1"/>
    <s v="30/06/2025"/>
    <n v="210"/>
    <s v="IN89"/>
  </r>
  <r>
    <x v="0"/>
    <n v="256779412091"/>
    <x v="22"/>
    <n v="-96.4"/>
    <n v="-8264.08"/>
    <m/>
    <s v="16/05/2025"/>
    <s v="USD"/>
    <d v="2025-06-01T00:00:00"/>
    <n v="1"/>
    <s v="30/06/2025"/>
    <n v="210"/>
    <s v="IN89"/>
  </r>
  <r>
    <x v="0"/>
    <n v="256779412123"/>
    <x v="22"/>
    <n v="-3318.21"/>
    <n v="-284460.08"/>
    <m/>
    <s v="16/05/2025"/>
    <s v="USD"/>
    <d v="2025-06-01T00:00:00"/>
    <n v="1"/>
    <s v="30/06/2025"/>
    <n v="210"/>
    <s v="IN89"/>
  </r>
  <r>
    <x v="0"/>
    <n v="256779411969"/>
    <x v="22"/>
    <n v="-79.08"/>
    <n v="-6779.29"/>
    <m/>
    <s v="16/05/2025"/>
    <s v="USD"/>
    <d v="2025-06-01T00:00:00"/>
    <n v="1"/>
    <s v="30/06/2025"/>
    <n v="210"/>
    <s v="IN89"/>
  </r>
  <r>
    <x v="0"/>
    <n v="256779412053"/>
    <x v="22"/>
    <n v="19.72"/>
    <n v="1690.54"/>
    <s v="C: ASCENDAS27 P: A023951 I 256779412053"/>
    <s v="16/05/2025"/>
    <s v="USD"/>
    <d v="2025-06-01T00:00:00"/>
    <n v="1"/>
    <s v="30/06/2025"/>
    <n v="230"/>
    <s v="IN89"/>
  </r>
  <r>
    <x v="0"/>
    <n v="256779411969"/>
    <x v="22"/>
    <n v="1.58"/>
    <n v="135.44999999999999"/>
    <s v="C: ASCENDAS27 P: A023951 I 256779411969"/>
    <s v="16/05/2025"/>
    <s v="USD"/>
    <d v="2025-06-01T00:00:00"/>
    <n v="1"/>
    <s v="30/06/2025"/>
    <n v="230"/>
    <s v="IN89"/>
  </r>
  <r>
    <x v="0"/>
    <n v="256779412092"/>
    <x v="22"/>
    <n v="5.78"/>
    <n v="495.5"/>
    <s v="C: ASCENDAS27 P: A023951 I 256779412092"/>
    <s v="16/05/2025"/>
    <s v="USD"/>
    <d v="2025-06-01T00:00:00"/>
    <n v="1"/>
    <s v="30/06/2025"/>
    <n v="230"/>
    <s v="IN89"/>
  </r>
  <r>
    <x v="0"/>
    <n v="256779412123"/>
    <x v="22"/>
    <n v="66.36"/>
    <n v="5688.84"/>
    <s v="C: ASCENDAS27 P: A023951 I 256779412123"/>
    <s v="16/05/2025"/>
    <s v="USD"/>
    <d v="2025-06-01T00:00:00"/>
    <n v="1"/>
    <s v="30/06/2025"/>
    <n v="230"/>
    <s v="IN89"/>
  </r>
  <r>
    <x v="0"/>
    <n v="256779412091"/>
    <x v="22"/>
    <n v="1.93"/>
    <n v="165.45"/>
    <s v="C: ASCENDAS27 P: A023951 I 256779412091"/>
    <s v="16/05/2025"/>
    <s v="USD"/>
    <d v="2025-06-01T00:00:00"/>
    <n v="1"/>
    <s v="30/06/2025"/>
    <n v="230"/>
    <s v="IN89"/>
  </r>
  <r>
    <x v="0"/>
    <n v="256779412092"/>
    <x v="22"/>
    <n v="0"/>
    <n v="-74.400000000000006"/>
    <s v="C: ASCENDAS27 P: Matching"/>
    <s v="16/05/2025"/>
    <s v="USD"/>
    <d v="2025-06-01T00:00:00"/>
    <n v="38"/>
    <s v="30/06/2025"/>
    <n v="271"/>
    <s v="IN89"/>
  </r>
  <r>
    <x v="0"/>
    <n v="256779412053"/>
    <x v="22"/>
    <n v="0"/>
    <n v="-253.67"/>
    <s v="C: ASCENDAS27 P: Matching"/>
    <s v="16/05/2025"/>
    <s v="USD"/>
    <d v="2025-06-01T00:00:00"/>
    <n v="44"/>
    <s v="30/06/2025"/>
    <n v="271"/>
    <s v="IN89"/>
  </r>
  <r>
    <x v="0"/>
    <n v="256779412091"/>
    <x v="22"/>
    <n v="0"/>
    <n v="-24.8"/>
    <s v="C: ASCENDAS27 P: Matching"/>
    <s v="16/05/2025"/>
    <s v="USD"/>
    <d v="2025-06-01T00:00:00"/>
    <n v="64"/>
    <s v="30/06/2025"/>
    <n v="271"/>
    <s v="IN89"/>
  </r>
  <r>
    <x v="0"/>
    <n v="256779412123"/>
    <x v="22"/>
    <n v="0"/>
    <n v="-853.75"/>
    <s v="C: ASCENDAS27 P: Matching"/>
    <s v="16/05/2025"/>
    <s v="USD"/>
    <d v="2025-06-01T00:00:00"/>
    <n v="68"/>
    <s v="30/06/2025"/>
    <n v="271"/>
    <s v="IN89"/>
  </r>
  <r>
    <x v="0"/>
    <n v="256779411969"/>
    <x v="22"/>
    <n v="0"/>
    <n v="-20.350000000000001"/>
    <s v="C: ASCENDAS27 P: Matching"/>
    <s v="16/05/2025"/>
    <s v="USD"/>
    <d v="2025-06-01T00:00:00"/>
    <n v="82"/>
    <s v="30/06/2025"/>
    <n v="271"/>
    <s v="IN89"/>
  </r>
  <r>
    <x v="0"/>
    <n v="256779411867"/>
    <x v="22"/>
    <n v="-295"/>
    <n v="-25289.46"/>
    <m/>
    <s v="16/05/2025"/>
    <s v="USD"/>
    <d v="2025-09-01T00:00:00"/>
    <n v="1"/>
    <s v="30/09/2025"/>
    <n v="210"/>
    <s v="IN89"/>
  </r>
  <r>
    <x v="0"/>
    <n v="256779411867"/>
    <x v="22"/>
    <n v="5.9"/>
    <n v="505.79"/>
    <s v="C: ASCENDAS27 P: A023951 I 256779411867"/>
    <s v="16/05/2025"/>
    <s v="USD"/>
    <d v="2025-09-01T00:00:00"/>
    <n v="1"/>
    <s v="30/09/2025"/>
    <n v="230"/>
    <s v="IN89"/>
  </r>
  <r>
    <x v="0"/>
    <n v="256779411867"/>
    <x v="22"/>
    <n v="0"/>
    <n v="-847.79"/>
    <s v="C: ASCENDAS27 P: Matching"/>
    <s v="16/05/2025"/>
    <s v="USD"/>
    <d v="2025-09-01T00:00:00"/>
    <n v="4"/>
    <s v="30/09/2025"/>
    <n v="271"/>
    <s v="IN89"/>
  </r>
  <r>
    <x v="0"/>
    <n v="256779411970"/>
    <x v="22"/>
    <n v="-8.66"/>
    <n v="-742.4"/>
    <m/>
    <s v="16/05/2025"/>
    <s v="USD"/>
    <d v="2025-10-01T00:00:00"/>
    <n v="1"/>
    <s v="29/10/2025"/>
    <n v="210"/>
    <s v="IN89"/>
  </r>
  <r>
    <x v="0"/>
    <n v="256779411970"/>
    <x v="22"/>
    <n v="0.17"/>
    <n v="14.57"/>
    <s v="C: ASCENDAS27 P: A023951 I 256779411970"/>
    <s v="16/05/2025"/>
    <s v="USD"/>
    <d v="2025-10-01T00:00:00"/>
    <n v="1"/>
    <s v="29/10/2025"/>
    <n v="230"/>
    <s v="IN89"/>
  </r>
  <r>
    <x v="0"/>
    <n v="256779411867"/>
    <x v="22"/>
    <n v="0"/>
    <n v="117.64"/>
    <s v="C: ASCENDAS27 P: Matching"/>
    <s v="16/05/2025"/>
    <s v="USD"/>
    <d v="2025-10-01T00:00:00"/>
    <n v="2"/>
    <s v="31/10/2025"/>
    <n v="271"/>
    <s v="IN89"/>
  </r>
  <r>
    <x v="0"/>
    <n v="256779411970"/>
    <x v="22"/>
    <n v="0"/>
    <n v="-21.43"/>
    <s v="C: ASCENDAS27 P: Matching"/>
    <s v="16/05/2025"/>
    <s v="USD"/>
    <d v="2025-10-01T00:00:00"/>
    <n v="22"/>
    <s v="31/10/2025"/>
    <n v="271"/>
    <s v="IN89"/>
  </r>
  <r>
    <x v="0"/>
    <n v="256779411867"/>
    <x v="22"/>
    <n v="0"/>
    <n v="-260.83"/>
    <s v="C: ASCENDAS27 P: Matching"/>
    <s v="16/05/2025"/>
    <s v="USD"/>
    <d v="2025-11-01T00:00:00"/>
    <n v="2"/>
    <s v="30/11/2025"/>
    <n v="271"/>
    <s v="IN89"/>
  </r>
  <r>
    <x v="0"/>
    <n v="256779411867"/>
    <x v="22"/>
    <n v="0"/>
    <n v="-212.77"/>
    <s v="C: ASCENDAS27 P: Matching"/>
    <s v="16/05/2025"/>
    <s v="USD"/>
    <d v="2025-12-01T00:00:00"/>
    <n v="2"/>
    <s v="31/12/2025"/>
    <n v="271"/>
    <s v="IN89"/>
  </r>
  <r>
    <x v="0"/>
    <n v="256779411867"/>
    <x v="22"/>
    <n v="0"/>
    <n v="-503.02"/>
    <s v="C: ASCENDAS27 P: Matching"/>
    <s v="16/05/2025"/>
    <s v="USD"/>
    <d v="2026-01-01T00:00:00"/>
    <n v="2"/>
    <s v="31/01/2026"/>
    <n v="271"/>
    <s v="IN89"/>
  </r>
  <r>
    <x v="0"/>
    <n v="256779411468"/>
    <x v="23"/>
    <n v="-26.55"/>
    <n v="-2276.0500000000002"/>
    <m/>
    <s v="15/05/2025"/>
    <s v="USD"/>
    <d v="2025-06-01T00:00:00"/>
    <n v="1"/>
    <d v="2025-12-06T00:00:00"/>
    <n v="210"/>
    <s v="IN89"/>
  </r>
  <r>
    <x v="0"/>
    <n v="256779411468"/>
    <x v="23"/>
    <n v="0.53"/>
    <n v="45.44"/>
    <s v="C: ASCENDAS27 P: A023951 I 256779411468"/>
    <s v="15/05/2025"/>
    <s v="USD"/>
    <d v="2025-06-01T00:00:00"/>
    <n v="1"/>
    <d v="2025-12-06T00:00:00"/>
    <n v="230"/>
    <s v="IN89"/>
  </r>
  <r>
    <x v="0"/>
    <n v="256779411467"/>
    <x v="23"/>
    <n v="-35.4"/>
    <n v="-3034.73"/>
    <m/>
    <s v="15/05/2025"/>
    <s v="USD"/>
    <d v="2025-09-01T00:00:00"/>
    <n v="1"/>
    <s v="30/09/2025"/>
    <n v="210"/>
    <s v="IN89"/>
  </r>
  <r>
    <x v="0"/>
    <n v="256779411467"/>
    <x v="23"/>
    <n v="0.71"/>
    <n v="60.87"/>
    <s v="C: ASCENDAS27 P: A023951 I 256779411467"/>
    <s v="15/05/2025"/>
    <s v="USD"/>
    <d v="2025-09-01T00:00:00"/>
    <n v="1"/>
    <s v="30/09/2025"/>
    <n v="230"/>
    <s v="IN89"/>
  </r>
  <r>
    <x v="0"/>
    <n v="256779411467"/>
    <x v="23"/>
    <n v="0"/>
    <n v="-101.74"/>
    <s v="C: ASCENDAS27 P: Matching"/>
    <s v="15/05/2025"/>
    <s v="USD"/>
    <d v="2025-09-01T00:00:00"/>
    <n v="52"/>
    <s v="30/09/2025"/>
    <n v="271"/>
    <s v="IN89"/>
  </r>
  <r>
    <x v="0"/>
    <n v="256779411467"/>
    <x v="23"/>
    <n v="0"/>
    <n v="14.12"/>
    <s v="C: ASCENDAS27 P: Matching"/>
    <s v="15/05/2025"/>
    <s v="USD"/>
    <d v="2025-10-01T00:00:00"/>
    <n v="10"/>
    <s v="31/10/2025"/>
    <n v="271"/>
    <s v="IN89"/>
  </r>
  <r>
    <x v="0"/>
    <n v="256779411467"/>
    <x v="23"/>
    <n v="0"/>
    <n v="-31.3"/>
    <s v="C: ASCENDAS27 P: Matching"/>
    <s v="15/05/2025"/>
    <s v="USD"/>
    <d v="2025-11-01T00:00:00"/>
    <n v="16"/>
    <s v="30/11/2025"/>
    <n v="271"/>
    <s v="IN89"/>
  </r>
  <r>
    <x v="0"/>
    <n v="256779411466"/>
    <x v="23"/>
    <n v="-35.4"/>
    <n v="-3034.73"/>
    <m/>
    <s v="15/05/2025"/>
    <s v="USD"/>
    <d v="2025-12-01T00:00:00"/>
    <n v="1"/>
    <s v="15/12/2025"/>
    <n v="210"/>
    <s v="IN89"/>
  </r>
  <r>
    <x v="0"/>
    <n v="256779411465"/>
    <x v="23"/>
    <n v="-32.450000000000003"/>
    <n v="-2781.84"/>
    <m/>
    <s v="15/05/2025"/>
    <s v="USD"/>
    <d v="2025-12-01T00:00:00"/>
    <n v="1"/>
    <s v="15/12/2025"/>
    <n v="210"/>
    <s v="IN89"/>
  </r>
  <r>
    <x v="0"/>
    <n v="256779411465"/>
    <x v="23"/>
    <n v="0.65"/>
    <n v="55.72"/>
    <s v="C: ASCENDAS27 P: A023951 I 256779411465"/>
    <s v="15/05/2025"/>
    <s v="USD"/>
    <d v="2025-12-01T00:00:00"/>
    <n v="1"/>
    <s v="15/12/2025"/>
    <n v="230"/>
    <s v="IN89"/>
  </r>
  <r>
    <x v="0"/>
    <n v="256779411466"/>
    <x v="23"/>
    <n v="0.71"/>
    <n v="60.87"/>
    <s v="C: ASCENDAS27 P: A023951 I 256779411466"/>
    <s v="15/05/2025"/>
    <s v="USD"/>
    <d v="2025-12-01T00:00:00"/>
    <n v="1"/>
    <s v="15/12/2025"/>
    <n v="230"/>
    <s v="IN89"/>
  </r>
  <r>
    <x v="0"/>
    <n v="256779411463"/>
    <x v="23"/>
    <n v="-23.6"/>
    <n v="-2023.16"/>
    <m/>
    <s v="15/05/2025"/>
    <s v="USD"/>
    <d v="2025-12-01T00:00:00"/>
    <n v="1"/>
    <s v="15/12/2025"/>
    <n v="210"/>
    <s v="IN89"/>
  </r>
  <r>
    <x v="0"/>
    <n v="256779411463"/>
    <x v="23"/>
    <n v="0.47"/>
    <n v="40.29"/>
    <s v="C: ASCENDAS27 P: A023951 I 256779411463"/>
    <s v="15/05/2025"/>
    <s v="USD"/>
    <d v="2025-12-01T00:00:00"/>
    <n v="1"/>
    <s v="15/12/2025"/>
    <n v="230"/>
    <s v="IN89"/>
  </r>
  <r>
    <x v="0"/>
    <n v="256779411467"/>
    <x v="23"/>
    <n v="0"/>
    <n v="-25.53"/>
    <s v="C: ASCENDAS27 P: Matching"/>
    <s v="15/05/2025"/>
    <s v="USD"/>
    <d v="2025-12-01T00:00:00"/>
    <n v="16"/>
    <s v="31/12/2025"/>
    <n v="271"/>
    <s v="IN89"/>
  </r>
  <r>
    <x v="0"/>
    <n v="256779411466"/>
    <x v="23"/>
    <n v="0"/>
    <n v="-144.44999999999999"/>
    <s v="C: ASCENDAS27 P: Matching"/>
    <s v="15/05/2025"/>
    <s v="USD"/>
    <d v="2025-12-01T00:00:00"/>
    <n v="50"/>
    <s v="31/12/2025"/>
    <n v="271"/>
    <s v="IN89"/>
  </r>
  <r>
    <x v="0"/>
    <n v="256779411465"/>
    <x v="23"/>
    <n v="0"/>
    <n v="-132.41"/>
    <s v="C: ASCENDAS27 P: Matching"/>
    <s v="15/05/2025"/>
    <s v="USD"/>
    <d v="2025-12-01T00:00:00"/>
    <n v="52"/>
    <s v="31/12/2025"/>
    <n v="271"/>
    <s v="IN89"/>
  </r>
  <r>
    <x v="0"/>
    <n v="256779411463"/>
    <x v="23"/>
    <n v="0"/>
    <n v="-96.3"/>
    <s v="C: ASCENDAS27 P: Matching"/>
    <s v="15/05/2025"/>
    <s v="USD"/>
    <d v="2025-12-01T00:00:00"/>
    <n v="66"/>
    <s v="31/12/2025"/>
    <n v="271"/>
    <s v="IN89"/>
  </r>
  <r>
    <x v="0"/>
    <n v="256779411467"/>
    <x v="23"/>
    <n v="0"/>
    <n v="-60.36"/>
    <s v="C: ASCENDAS27 P: Matching"/>
    <s v="15/05/2025"/>
    <s v="USD"/>
    <d v="2026-01-01T00:00:00"/>
    <n v="16"/>
    <s v="31/01/2026"/>
    <n v="271"/>
    <s v="IN89"/>
  </r>
  <r>
    <x v="0"/>
    <n v="256779411466"/>
    <x v="23"/>
    <n v="0"/>
    <n v="-60.36"/>
    <s v="C: ASCENDAS27 P: Matching"/>
    <s v="15/05/2025"/>
    <s v="USD"/>
    <d v="2026-01-01T00:00:00"/>
    <n v="46"/>
    <s v="31/01/2026"/>
    <n v="271"/>
    <s v="IN89"/>
  </r>
  <r>
    <x v="0"/>
    <n v="256779411465"/>
    <x v="23"/>
    <n v="0"/>
    <n v="-55.33"/>
    <s v="C: ASCENDAS27 P: Matching"/>
    <s v="15/05/2025"/>
    <s v="USD"/>
    <d v="2026-01-01T00:00:00"/>
    <n v="48"/>
    <s v="31/01/2026"/>
    <n v="271"/>
    <s v="IN89"/>
  </r>
  <r>
    <x v="0"/>
    <n v="256779411463"/>
    <x v="23"/>
    <n v="0"/>
    <n v="-40.25"/>
    <s v="C: ASCENDAS27 P: Matching"/>
    <s v="15/05/2025"/>
    <s v="USD"/>
    <d v="2026-01-01T00:00:00"/>
    <n v="50"/>
    <s v="31/01/2026"/>
    <n v="271"/>
    <s v="IN89"/>
  </r>
  <r>
    <x v="0"/>
    <n v="246779411407"/>
    <x v="24"/>
    <n v="-57.23"/>
    <n v="-4981.4399999999996"/>
    <m/>
    <s v="13/04/2025"/>
    <s v="USD"/>
    <d v="2025-06-01T00:00:00"/>
    <n v="1"/>
    <d v="2025-12-06T00:00:00"/>
    <n v="210"/>
    <s v="IN89"/>
  </r>
  <r>
    <x v="0"/>
    <n v="246779411410"/>
    <x v="24"/>
    <n v="-40.06"/>
    <n v="-3486.92"/>
    <m/>
    <s v="13/04/2025"/>
    <s v="USD"/>
    <d v="2025-06-01T00:00:00"/>
    <n v="1"/>
    <d v="2025-12-06T00:00:00"/>
    <n v="210"/>
    <s v="IN89"/>
  </r>
  <r>
    <x v="0"/>
    <n v="246779411413"/>
    <x v="24"/>
    <n v="-40.06"/>
    <n v="-3486.92"/>
    <m/>
    <s v="13/04/2025"/>
    <s v="USD"/>
    <d v="2025-06-01T00:00:00"/>
    <n v="1"/>
    <d v="2025-12-06T00:00:00"/>
    <n v="210"/>
    <s v="IN89"/>
  </r>
  <r>
    <x v="0"/>
    <n v="246779411414"/>
    <x v="24"/>
    <n v="-28.62"/>
    <n v="-2491.15"/>
    <m/>
    <s v="13/04/2025"/>
    <s v="USD"/>
    <d v="2025-06-01T00:00:00"/>
    <n v="1"/>
    <d v="2025-12-06T00:00:00"/>
    <n v="210"/>
    <s v="IN89"/>
  </r>
  <r>
    <x v="0"/>
    <n v="246779411415"/>
    <x v="24"/>
    <n v="-22.89"/>
    <n v="-1992.4"/>
    <m/>
    <s v="13/04/2025"/>
    <s v="USD"/>
    <d v="2025-06-01T00:00:00"/>
    <n v="1"/>
    <d v="2025-12-06T00:00:00"/>
    <n v="210"/>
    <s v="IN89"/>
  </r>
  <r>
    <x v="0"/>
    <n v="246779411417"/>
    <x v="24"/>
    <n v="-68.680000000000007"/>
    <n v="-5978.07"/>
    <m/>
    <s v="13/04/2025"/>
    <s v="USD"/>
    <d v="2025-06-01T00:00:00"/>
    <n v="1"/>
    <d v="2025-12-06T00:00:00"/>
    <n v="210"/>
    <s v="IN89"/>
  </r>
  <r>
    <x v="0"/>
    <n v="246779411419"/>
    <x v="24"/>
    <n v="-23.35"/>
    <n v="-2032.44"/>
    <m/>
    <s v="13/04/2025"/>
    <s v="USD"/>
    <d v="2025-06-01T00:00:00"/>
    <n v="1"/>
    <d v="2025-12-06T00:00:00"/>
    <n v="210"/>
    <s v="IN89"/>
  </r>
  <r>
    <x v="0"/>
    <n v="246779411409"/>
    <x v="24"/>
    <n v="-249.55"/>
    <n v="-21721.43"/>
    <s v="NO EXCHANGE RATE"/>
    <s v="13/04/2025"/>
    <s v="USD"/>
    <d v="2025-06-01T00:00:00"/>
    <n v="1"/>
    <d v="2025-12-06T00:00:00"/>
    <n v="210"/>
    <s v="IN89"/>
  </r>
  <r>
    <x v="0"/>
    <n v="246779411408"/>
    <x v="24"/>
    <n v="-40.06"/>
    <n v="-3486.92"/>
    <m/>
    <s v="13/04/2025"/>
    <s v="USD"/>
    <d v="2025-06-01T00:00:00"/>
    <n v="1"/>
    <d v="2025-12-06T00:00:00"/>
    <n v="210"/>
    <s v="IN89"/>
  </r>
  <r>
    <x v="0"/>
    <n v="246779411411"/>
    <x v="24"/>
    <n v="-45.79"/>
    <n v="-3985.67"/>
    <m/>
    <s v="13/04/2025"/>
    <s v="USD"/>
    <d v="2025-06-01T00:00:00"/>
    <n v="1"/>
    <d v="2025-12-06T00:00:00"/>
    <n v="210"/>
    <s v="IN89"/>
  </r>
  <r>
    <x v="0"/>
    <n v="246779411412"/>
    <x v="24"/>
    <n v="-20.03"/>
    <n v="-1743.46"/>
    <m/>
    <s v="13/04/2025"/>
    <s v="USD"/>
    <d v="2025-06-01T00:00:00"/>
    <n v="1"/>
    <d v="2025-12-06T00:00:00"/>
    <n v="210"/>
    <s v="IN89"/>
  </r>
  <r>
    <x v="0"/>
    <n v="246779411416"/>
    <x v="24"/>
    <n v="-114.46"/>
    <n v="-9962.8700000000008"/>
    <m/>
    <s v="13/04/2025"/>
    <s v="USD"/>
    <d v="2025-06-01T00:00:00"/>
    <n v="1"/>
    <d v="2025-12-06T00:00:00"/>
    <n v="210"/>
    <s v="IN89"/>
  </r>
  <r>
    <x v="0"/>
    <n v="246779411418"/>
    <x v="24"/>
    <n v="-312.5"/>
    <n v="-27200.75"/>
    <m/>
    <s v="13/04/2025"/>
    <s v="USD"/>
    <d v="2025-06-01T00:00:00"/>
    <n v="1"/>
    <d v="2025-12-06T00:00:00"/>
    <n v="210"/>
    <s v="IN89"/>
  </r>
  <r>
    <x v="0"/>
    <n v="246779411414"/>
    <x v="24"/>
    <n v="0.56999999999999995"/>
    <n v="49.61"/>
    <s v="C: ASCENDAS27 P: A023951 I 246779411414"/>
    <s v="13/04/2025"/>
    <s v="USD"/>
    <d v="2025-06-01T00:00:00"/>
    <n v="1"/>
    <d v="2025-12-06T00:00:00"/>
    <n v="230"/>
    <s v="IN89"/>
  </r>
  <r>
    <x v="0"/>
    <n v="246779411408"/>
    <x v="24"/>
    <n v="0.8"/>
    <n v="69.63"/>
    <s v="C: ASCENDAS27 P: A023951 I 246779411408"/>
    <s v="13/04/2025"/>
    <s v="USD"/>
    <d v="2025-06-01T00:00:00"/>
    <n v="1"/>
    <d v="2025-12-06T00:00:00"/>
    <n v="230"/>
    <s v="IN89"/>
  </r>
  <r>
    <x v="0"/>
    <n v="246779411413"/>
    <x v="24"/>
    <n v="0.8"/>
    <n v="69.63"/>
    <s v="C: ASCENDAS27 P: A023951 I 246779411413"/>
    <s v="13/04/2025"/>
    <s v="USD"/>
    <d v="2025-06-01T00:00:00"/>
    <n v="1"/>
    <d v="2025-12-06T00:00:00"/>
    <n v="230"/>
    <s v="IN89"/>
  </r>
  <r>
    <x v="0"/>
    <n v="246779411410"/>
    <x v="24"/>
    <n v="0.8"/>
    <n v="69.63"/>
    <s v="C: ASCENDAS27 P: A023951 I 246779411410"/>
    <s v="13/04/2025"/>
    <s v="USD"/>
    <d v="2025-06-01T00:00:00"/>
    <n v="1"/>
    <d v="2025-12-06T00:00:00"/>
    <n v="230"/>
    <s v="IN89"/>
  </r>
  <r>
    <x v="0"/>
    <n v="246779411416"/>
    <x v="24"/>
    <n v="2.29"/>
    <n v="199.33"/>
    <s v="C: ASCENDAS27 P: A023951 I 246779411416"/>
    <s v="13/04/2025"/>
    <s v="USD"/>
    <d v="2025-06-01T00:00:00"/>
    <n v="1"/>
    <d v="2025-12-06T00:00:00"/>
    <n v="230"/>
    <s v="IN89"/>
  </r>
  <r>
    <x v="0"/>
    <n v="246779411409"/>
    <x v="24"/>
    <n v="4.99"/>
    <n v="434.34"/>
    <s v="C: ASCENDAS27 P: A023951 I 246779411409"/>
    <s v="13/04/2025"/>
    <s v="USD"/>
    <d v="2025-06-01T00:00:00"/>
    <n v="1"/>
    <d v="2025-12-06T00:00:00"/>
    <n v="230"/>
    <s v="IN89"/>
  </r>
  <r>
    <x v="0"/>
    <n v="246779411411"/>
    <x v="24"/>
    <n v="0.92"/>
    <n v="80.08"/>
    <s v="C: ASCENDAS27 P: A023951 I 246779411411"/>
    <s v="13/04/2025"/>
    <s v="USD"/>
    <d v="2025-06-01T00:00:00"/>
    <n v="1"/>
    <d v="2025-12-06T00:00:00"/>
    <n v="230"/>
    <s v="IN89"/>
  </r>
  <r>
    <x v="0"/>
    <n v="246779411418"/>
    <x v="24"/>
    <n v="6.25"/>
    <n v="544.02"/>
    <s v="C: ASCENDAS27 P: A023951 I 246779411418"/>
    <s v="13/04/2025"/>
    <s v="USD"/>
    <d v="2025-06-01T00:00:00"/>
    <n v="1"/>
    <d v="2025-12-06T00:00:00"/>
    <n v="230"/>
    <s v="IN89"/>
  </r>
  <r>
    <x v="0"/>
    <n v="246779411415"/>
    <x v="24"/>
    <n v="0.46"/>
    <n v="40.04"/>
    <s v="C: ASCENDAS27 P: A023951 I 246779411415"/>
    <s v="13/04/2025"/>
    <s v="USD"/>
    <d v="2025-06-01T00:00:00"/>
    <n v="1"/>
    <d v="2025-12-06T00:00:00"/>
    <n v="230"/>
    <s v="IN89"/>
  </r>
  <r>
    <x v="0"/>
    <n v="246779411419"/>
    <x v="24"/>
    <n v="0.47"/>
    <n v="40.909999999999997"/>
    <s v="C: ASCENDAS27 P: A023951 I 246779411419"/>
    <s v="13/04/2025"/>
    <s v="USD"/>
    <d v="2025-06-01T00:00:00"/>
    <n v="1"/>
    <d v="2025-12-06T00:00:00"/>
    <n v="230"/>
    <s v="IN89"/>
  </r>
  <r>
    <x v="0"/>
    <n v="246779411417"/>
    <x v="24"/>
    <n v="1.37"/>
    <n v="119.25"/>
    <s v="C: ASCENDAS27 P: A023951 I 246779411417"/>
    <s v="13/04/2025"/>
    <s v="USD"/>
    <d v="2025-06-01T00:00:00"/>
    <n v="1"/>
    <d v="2025-12-06T00:00:00"/>
    <n v="230"/>
    <s v="IN89"/>
  </r>
  <r>
    <x v="0"/>
    <n v="246779411407"/>
    <x v="24"/>
    <n v="1.1399999999999999"/>
    <n v="99.23"/>
    <s v="C: ASCENDAS27 P: A023951 I 246779411407"/>
    <s v="13/04/2025"/>
    <s v="USD"/>
    <d v="2025-06-01T00:00:00"/>
    <n v="1"/>
    <d v="2025-12-06T00:00:00"/>
    <n v="230"/>
    <s v="IN89"/>
  </r>
  <r>
    <x v="0"/>
    <n v="246779411412"/>
    <x v="24"/>
    <n v="0.4"/>
    <n v="34.82"/>
    <s v="C: ASCENDAS27 P: A023951 I 246779411412"/>
    <s v="13/04/2025"/>
    <s v="USD"/>
    <d v="2025-06-01T00:00:00"/>
    <n v="1"/>
    <d v="2025-12-06T00:00:00"/>
    <n v="230"/>
    <s v="IN89"/>
  </r>
  <r>
    <x v="0"/>
    <s v="246779411409_D"/>
    <x v="24"/>
    <n v="-249.55"/>
    <n v="-21721.43"/>
    <s v="VAT FLAG CORRECTION"/>
    <s v="13/04/2025"/>
    <s v="USD"/>
    <d v="2025-07-01T00:00:00"/>
    <n v="1"/>
    <s v="22/07/2025"/>
    <n v="210"/>
    <s v="IN89"/>
  </r>
  <r>
    <x v="0"/>
    <s v="246779411409_D"/>
    <x v="24"/>
    <n v="4.99"/>
    <n v="434.34"/>
    <s v="C: ASCENDAS27 P: A023951 I 246779411409_D"/>
    <s v="13/04/2025"/>
    <s v="USD"/>
    <d v="2025-07-01T00:00:00"/>
    <n v="1"/>
    <s v="22/07/2025"/>
    <n v="230"/>
    <s v="IN89"/>
  </r>
  <r>
    <x v="0"/>
    <n v="246779411312"/>
    <x v="25"/>
    <n v="-27"/>
    <n v="-2350.15"/>
    <m/>
    <d v="2025-12-04T00:00:00"/>
    <s v="USD"/>
    <d v="2025-06-01T00:00:00"/>
    <n v="1"/>
    <d v="2025-12-06T00:00:00"/>
    <n v="210"/>
    <s v="IN89"/>
  </r>
  <r>
    <x v="0"/>
    <n v="246779411312"/>
    <x v="25"/>
    <n v="0.54"/>
    <n v="47"/>
    <s v="C: ASCENDAS27 P: A023951 I 246779411312"/>
    <d v="2025-12-04T00:00:00"/>
    <s v="USD"/>
    <d v="2025-06-01T00:00:00"/>
    <n v="1"/>
    <d v="2025-12-06T00:00:00"/>
    <n v="230"/>
    <s v="IN89"/>
  </r>
  <r>
    <x v="0"/>
    <n v="256779415389"/>
    <x v="26"/>
    <n v="-170.62"/>
    <n v="-15094.75"/>
    <m/>
    <d v="2025-09-08T00:00:00"/>
    <s v="USD"/>
    <d v="2025-09-01T00:00:00"/>
    <n v="1"/>
    <s v="30/09/2025"/>
    <n v="210"/>
    <s v="IN89"/>
  </r>
  <r>
    <x v="0"/>
    <n v="256779415346"/>
    <x v="26"/>
    <n v="-17.5"/>
    <n v="-1548.23"/>
    <m/>
    <d v="2025-09-08T00:00:00"/>
    <s v="USD"/>
    <d v="2025-09-01T00:00:00"/>
    <n v="1"/>
    <s v="30/09/2025"/>
    <n v="210"/>
    <s v="IN89"/>
  </r>
  <r>
    <x v="0"/>
    <n v="256779415350"/>
    <x v="26"/>
    <n v="-22.5"/>
    <n v="-1990.58"/>
    <m/>
    <d v="2025-09-08T00:00:00"/>
    <s v="USD"/>
    <d v="2025-09-01T00:00:00"/>
    <n v="1"/>
    <s v="30/09/2025"/>
    <n v="210"/>
    <s v="IN89"/>
  </r>
  <r>
    <x v="0"/>
    <n v="256779415316"/>
    <x v="26"/>
    <n v="-60"/>
    <n v="-5308.2"/>
    <m/>
    <d v="2025-09-08T00:00:00"/>
    <s v="USD"/>
    <d v="2025-09-01T00:00:00"/>
    <n v="1"/>
    <s v="30/09/2025"/>
    <n v="210"/>
    <s v="IN89"/>
  </r>
  <r>
    <x v="0"/>
    <n v="256779415355"/>
    <x v="26"/>
    <n v="-21.37"/>
    <n v="-1890.6"/>
    <m/>
    <d v="2025-09-08T00:00:00"/>
    <s v="USD"/>
    <d v="2025-09-01T00:00:00"/>
    <n v="1"/>
    <s v="30/09/2025"/>
    <n v="210"/>
    <s v="IN89"/>
  </r>
  <r>
    <x v="0"/>
    <n v="256779415303"/>
    <x v="26"/>
    <n v="-100"/>
    <n v="-8847"/>
    <m/>
    <d v="2025-09-08T00:00:00"/>
    <s v="USD"/>
    <d v="2025-09-01T00:00:00"/>
    <n v="1"/>
    <s v="30/09/2025"/>
    <n v="210"/>
    <s v="IN89"/>
  </r>
  <r>
    <x v="0"/>
    <n v="256779415333"/>
    <x v="26"/>
    <n v="-22.5"/>
    <n v="-1990.58"/>
    <m/>
    <d v="2025-09-08T00:00:00"/>
    <s v="USD"/>
    <d v="2025-09-01T00:00:00"/>
    <n v="1"/>
    <s v="30/09/2025"/>
    <n v="210"/>
    <s v="IN89"/>
  </r>
  <r>
    <x v="0"/>
    <n v="256779415304"/>
    <x v="26"/>
    <n v="-30"/>
    <n v="-2654.1"/>
    <m/>
    <d v="2025-09-08T00:00:00"/>
    <s v="USD"/>
    <d v="2025-09-01T00:00:00"/>
    <n v="1"/>
    <s v="30/09/2025"/>
    <n v="210"/>
    <s v="IN89"/>
  </r>
  <r>
    <x v="0"/>
    <n v="256779415377"/>
    <x v="26"/>
    <n v="-50"/>
    <n v="-4423.5"/>
    <m/>
    <d v="2025-09-08T00:00:00"/>
    <s v="USD"/>
    <d v="2025-09-01T00:00:00"/>
    <n v="1"/>
    <s v="30/09/2025"/>
    <n v="210"/>
    <s v="IN89"/>
  </r>
  <r>
    <x v="0"/>
    <n v="256779415298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80"/>
    <x v="26"/>
    <n v="-200"/>
    <n v="-17694"/>
    <m/>
    <d v="2025-09-08T00:00:00"/>
    <s v="USD"/>
    <d v="2025-09-01T00:00:00"/>
    <n v="1"/>
    <s v="30/09/2025"/>
    <n v="210"/>
    <s v="IN89"/>
  </r>
  <r>
    <x v="0"/>
    <n v="256779415341"/>
    <x v="26"/>
    <n v="-15"/>
    <n v="-1327.05"/>
    <m/>
    <d v="2025-09-08T00:00:00"/>
    <s v="USD"/>
    <d v="2025-09-01T00:00:00"/>
    <n v="1"/>
    <s v="30/09/2025"/>
    <n v="210"/>
    <s v="IN89"/>
  </r>
  <r>
    <x v="0"/>
    <n v="256779415385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293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59"/>
    <x v="26"/>
    <n v="-200"/>
    <n v="-17694"/>
    <m/>
    <d v="2025-09-08T00:00:00"/>
    <s v="USD"/>
    <d v="2025-09-01T00:00:00"/>
    <n v="1"/>
    <s v="30/09/2025"/>
    <n v="210"/>
    <s v="IN89"/>
  </r>
  <r>
    <x v="0"/>
    <n v="256779415374"/>
    <x v="26"/>
    <n v="-469.38"/>
    <n v="-41526.050000000003"/>
    <m/>
    <d v="2025-09-08T00:00:00"/>
    <s v="USD"/>
    <d v="2025-09-01T00:00:00"/>
    <n v="1"/>
    <s v="30/09/2025"/>
    <n v="210"/>
    <s v="IN89"/>
  </r>
  <r>
    <x v="0"/>
    <n v="256779415338"/>
    <x v="26"/>
    <n v="-12.5"/>
    <n v="-1105.8800000000001"/>
    <m/>
    <d v="2025-09-08T00:00:00"/>
    <s v="USD"/>
    <d v="2025-09-01T00:00:00"/>
    <n v="1"/>
    <s v="30/09/2025"/>
    <n v="210"/>
    <s v="IN89"/>
  </r>
  <r>
    <x v="0"/>
    <n v="256779415344"/>
    <x v="26"/>
    <n v="-25"/>
    <n v="-2211.75"/>
    <m/>
    <d v="2025-09-08T00:00:00"/>
    <s v="USD"/>
    <d v="2025-09-01T00:00:00"/>
    <n v="1"/>
    <s v="30/09/2025"/>
    <n v="210"/>
    <s v="IN89"/>
  </r>
  <r>
    <x v="0"/>
    <n v="256779415345"/>
    <x v="26"/>
    <n v="-25"/>
    <n v="-2211.75"/>
    <m/>
    <d v="2025-09-08T00:00:00"/>
    <s v="USD"/>
    <d v="2025-09-01T00:00:00"/>
    <n v="1"/>
    <s v="30/09/2025"/>
    <n v="210"/>
    <s v="IN89"/>
  </r>
  <r>
    <x v="0"/>
    <n v="256779415388"/>
    <x v="26"/>
    <n v="-2261.63"/>
    <n v="-200086.41"/>
    <m/>
    <d v="2025-09-08T00:00:00"/>
    <s v="USD"/>
    <d v="2025-09-01T00:00:00"/>
    <n v="1"/>
    <s v="30/09/2025"/>
    <n v="210"/>
    <s v="IN89"/>
  </r>
  <r>
    <x v="0"/>
    <n v="256779415310"/>
    <x v="26"/>
    <n v="-30"/>
    <n v="-2654.1"/>
    <m/>
    <d v="2025-09-08T00:00:00"/>
    <s v="USD"/>
    <d v="2025-09-01T00:00:00"/>
    <n v="1"/>
    <s v="30/09/2025"/>
    <n v="210"/>
    <s v="IN89"/>
  </r>
  <r>
    <x v="0"/>
    <n v="256779415379"/>
    <x v="26"/>
    <n v="-233.11"/>
    <n v="-20623.240000000002"/>
    <m/>
    <d v="2025-09-08T00:00:00"/>
    <s v="USD"/>
    <d v="2025-09-01T00:00:00"/>
    <n v="1"/>
    <s v="30/09/2025"/>
    <n v="210"/>
    <s v="IN89"/>
  </r>
  <r>
    <x v="0"/>
    <n v="256779415384"/>
    <x v="26"/>
    <n v="-350"/>
    <n v="-30964.5"/>
    <m/>
    <d v="2025-09-08T00:00:00"/>
    <s v="USD"/>
    <d v="2025-09-01T00:00:00"/>
    <n v="1"/>
    <s v="30/09/2025"/>
    <n v="210"/>
    <s v="IN89"/>
  </r>
  <r>
    <x v="0"/>
    <n v="256779415339"/>
    <x v="26"/>
    <n v="-27.39"/>
    <n v="-2423.19"/>
    <m/>
    <d v="2025-09-08T00:00:00"/>
    <s v="USD"/>
    <d v="2025-09-01T00:00:00"/>
    <n v="1"/>
    <s v="30/09/2025"/>
    <n v="210"/>
    <s v="IN89"/>
  </r>
  <r>
    <x v="0"/>
    <n v="256779415393"/>
    <x v="26"/>
    <n v="-60"/>
    <n v="-5308.2"/>
    <m/>
    <d v="2025-09-08T00:00:00"/>
    <s v="USD"/>
    <d v="2025-09-01T00:00:00"/>
    <n v="1"/>
    <s v="30/09/2025"/>
    <n v="210"/>
    <s v="IN89"/>
  </r>
  <r>
    <x v="0"/>
    <n v="256779415357"/>
    <x v="26"/>
    <n v="-207.27"/>
    <n v="-18337.18"/>
    <m/>
    <d v="2025-09-08T00:00:00"/>
    <s v="USD"/>
    <d v="2025-09-01T00:00:00"/>
    <n v="1"/>
    <s v="30/09/2025"/>
    <n v="210"/>
    <s v="IN89"/>
  </r>
  <r>
    <x v="0"/>
    <n v="256779415300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75"/>
    <x v="26"/>
    <n v="-360"/>
    <n v="-31849.200000000001"/>
    <m/>
    <d v="2025-09-08T00:00:00"/>
    <s v="USD"/>
    <d v="2025-09-01T00:00:00"/>
    <n v="1"/>
    <s v="30/09/2025"/>
    <n v="210"/>
    <s v="IN89"/>
  </r>
  <r>
    <x v="0"/>
    <n v="256779415349"/>
    <x v="26"/>
    <n v="-27.5"/>
    <n v="-2432.9299999999998"/>
    <m/>
    <d v="2025-09-08T00:00:00"/>
    <s v="USD"/>
    <d v="2025-09-01T00:00:00"/>
    <n v="1"/>
    <s v="30/09/2025"/>
    <n v="210"/>
    <s v="IN89"/>
  </r>
  <r>
    <x v="0"/>
    <n v="256779415308"/>
    <x v="26"/>
    <n v="-30"/>
    <n v="-2654.1"/>
    <m/>
    <d v="2025-09-08T00:00:00"/>
    <s v="USD"/>
    <d v="2025-09-01T00:00:00"/>
    <n v="1"/>
    <s v="30/09/2025"/>
    <n v="210"/>
    <s v="IN89"/>
  </r>
  <r>
    <x v="0"/>
    <n v="256779415360"/>
    <x v="26"/>
    <n v="-60"/>
    <n v="-5308.2"/>
    <m/>
    <d v="2025-09-08T00:00:00"/>
    <s v="USD"/>
    <d v="2025-09-01T00:00:00"/>
    <n v="1"/>
    <s v="30/09/2025"/>
    <n v="210"/>
    <s v="IN89"/>
  </r>
  <r>
    <x v="0"/>
    <n v="256779415318"/>
    <x v="26"/>
    <n v="-254.65"/>
    <n v="-22528.89"/>
    <m/>
    <d v="2025-09-08T00:00:00"/>
    <s v="USD"/>
    <d v="2025-09-01T00:00:00"/>
    <n v="1"/>
    <s v="30/09/2025"/>
    <n v="210"/>
    <s v="IN89"/>
  </r>
  <r>
    <x v="0"/>
    <n v="256779415378"/>
    <x v="26"/>
    <n v="-120"/>
    <n v="-10616.4"/>
    <m/>
    <d v="2025-09-08T00:00:00"/>
    <s v="USD"/>
    <d v="2025-09-01T00:00:00"/>
    <n v="1"/>
    <s v="30/09/2025"/>
    <n v="210"/>
    <s v="IN89"/>
  </r>
  <r>
    <x v="0"/>
    <n v="256779415391"/>
    <x v="26"/>
    <n v="-820.07"/>
    <n v="-72551.59"/>
    <m/>
    <d v="2025-09-08T00:00:00"/>
    <s v="USD"/>
    <d v="2025-09-01T00:00:00"/>
    <n v="1"/>
    <s v="30/09/2025"/>
    <n v="210"/>
    <s v="IN89"/>
  </r>
  <r>
    <x v="0"/>
    <n v="256779415334"/>
    <x v="26"/>
    <n v="-22.5"/>
    <n v="-1990.58"/>
    <m/>
    <d v="2025-09-08T00:00:00"/>
    <s v="USD"/>
    <d v="2025-09-01T00:00:00"/>
    <n v="1"/>
    <s v="30/09/2025"/>
    <n v="210"/>
    <s v="IN89"/>
  </r>
  <r>
    <x v="0"/>
    <n v="256779415371"/>
    <x v="26"/>
    <n v="-43.32"/>
    <n v="-3832.52"/>
    <m/>
    <d v="2025-09-08T00:00:00"/>
    <s v="USD"/>
    <d v="2025-09-01T00:00:00"/>
    <n v="1"/>
    <s v="30/09/2025"/>
    <n v="210"/>
    <s v="IN89"/>
  </r>
  <r>
    <x v="0"/>
    <n v="256779415305"/>
    <x v="26"/>
    <n v="-30"/>
    <n v="-2654.1"/>
    <m/>
    <d v="2025-09-08T00:00:00"/>
    <s v="USD"/>
    <d v="2025-09-01T00:00:00"/>
    <n v="1"/>
    <s v="30/09/2025"/>
    <n v="210"/>
    <s v="IN89"/>
  </r>
  <r>
    <x v="0"/>
    <n v="256779415315"/>
    <x v="26"/>
    <n v="-120"/>
    <n v="-10616.4"/>
    <m/>
    <d v="2025-09-08T00:00:00"/>
    <s v="USD"/>
    <d v="2025-09-01T00:00:00"/>
    <n v="1"/>
    <s v="30/09/2025"/>
    <n v="210"/>
    <s v="IN89"/>
  </r>
  <r>
    <x v="0"/>
    <n v="256779415356"/>
    <x v="26"/>
    <n v="-72"/>
    <n v="-6369.84"/>
    <m/>
    <d v="2025-09-08T00:00:00"/>
    <s v="USD"/>
    <d v="2025-09-01T00:00:00"/>
    <n v="1"/>
    <s v="30/09/2025"/>
    <n v="210"/>
    <s v="IN89"/>
  </r>
  <r>
    <x v="0"/>
    <n v="256779415383"/>
    <x v="26"/>
    <n v="-155.80000000000001"/>
    <n v="-13783.63"/>
    <m/>
    <d v="2025-09-08T00:00:00"/>
    <s v="USD"/>
    <d v="2025-09-01T00:00:00"/>
    <n v="1"/>
    <s v="30/09/2025"/>
    <n v="210"/>
    <s v="IN89"/>
  </r>
  <r>
    <x v="0"/>
    <n v="256779415372"/>
    <x v="26"/>
    <n v="-155.38"/>
    <n v="-13746.47"/>
    <m/>
    <d v="2025-09-08T00:00:00"/>
    <s v="USD"/>
    <d v="2025-09-01T00:00:00"/>
    <n v="1"/>
    <s v="30/09/2025"/>
    <n v="210"/>
    <s v="IN89"/>
  </r>
  <r>
    <x v="0"/>
    <n v="256779415361"/>
    <x v="26"/>
    <n v="-67.5"/>
    <n v="-5971.73"/>
    <m/>
    <d v="2025-09-08T00:00:00"/>
    <s v="USD"/>
    <d v="2025-09-01T00:00:00"/>
    <n v="1"/>
    <s v="30/09/2025"/>
    <n v="210"/>
    <s v="IN89"/>
  </r>
  <r>
    <x v="0"/>
    <n v="256779415317"/>
    <x v="26"/>
    <n v="-200"/>
    <n v="-17694"/>
    <m/>
    <d v="2025-09-08T00:00:00"/>
    <s v="USD"/>
    <d v="2025-09-01T00:00:00"/>
    <n v="1"/>
    <s v="30/09/2025"/>
    <n v="210"/>
    <s v="IN89"/>
  </r>
  <r>
    <x v="0"/>
    <n v="256779415394"/>
    <x v="26"/>
    <n v="-96"/>
    <n v="-8493.1200000000008"/>
    <m/>
    <d v="2025-09-08T00:00:00"/>
    <s v="USD"/>
    <d v="2025-09-01T00:00:00"/>
    <n v="1"/>
    <s v="30/09/2025"/>
    <n v="210"/>
    <s v="IN89"/>
  </r>
  <r>
    <x v="0"/>
    <n v="256779415314"/>
    <x v="26"/>
    <n v="-179.14"/>
    <n v="-15848.52"/>
    <m/>
    <d v="2025-09-08T00:00:00"/>
    <s v="USD"/>
    <d v="2025-09-01T00:00:00"/>
    <n v="1"/>
    <s v="30/09/2025"/>
    <n v="210"/>
    <s v="IN89"/>
  </r>
  <r>
    <x v="0"/>
    <n v="256779415352"/>
    <x v="26"/>
    <n v="-155.91999999999999"/>
    <n v="-13794.24"/>
    <m/>
    <d v="2025-09-08T00:00:00"/>
    <s v="USD"/>
    <d v="2025-09-01T00:00:00"/>
    <n v="1"/>
    <s v="30/09/2025"/>
    <n v="210"/>
    <s v="IN89"/>
  </r>
  <r>
    <x v="0"/>
    <n v="256779415342"/>
    <x v="26"/>
    <n v="-2.5"/>
    <n v="-221.18"/>
    <m/>
    <d v="2025-09-08T00:00:00"/>
    <s v="USD"/>
    <d v="2025-09-01T00:00:00"/>
    <n v="1"/>
    <s v="30/09/2025"/>
    <n v="210"/>
    <s v="IN89"/>
  </r>
  <r>
    <x v="0"/>
    <n v="256779415376"/>
    <x v="26"/>
    <n v="-60"/>
    <n v="-5308.2"/>
    <m/>
    <d v="2025-09-08T00:00:00"/>
    <s v="USD"/>
    <d v="2025-09-01T00:00:00"/>
    <n v="1"/>
    <s v="30/09/2025"/>
    <n v="210"/>
    <s v="IN89"/>
  </r>
  <r>
    <x v="0"/>
    <n v="256779415336"/>
    <x v="26"/>
    <n v="-5"/>
    <n v="-442.35"/>
    <m/>
    <d v="2025-09-08T00:00:00"/>
    <s v="USD"/>
    <d v="2025-09-01T00:00:00"/>
    <n v="1"/>
    <s v="30/09/2025"/>
    <n v="210"/>
    <s v="IN89"/>
  </r>
  <r>
    <x v="0"/>
    <n v="256779415382"/>
    <x v="26"/>
    <n v="-117.64"/>
    <n v="-10407.61"/>
    <m/>
    <d v="2025-09-08T00:00:00"/>
    <s v="USD"/>
    <d v="2025-09-01T00:00:00"/>
    <n v="1"/>
    <s v="30/09/2025"/>
    <n v="210"/>
    <s v="IN89"/>
  </r>
  <r>
    <x v="0"/>
    <n v="256779415295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26"/>
    <x v="26"/>
    <n v="-185.05"/>
    <n v="-16371.37"/>
    <m/>
    <d v="2025-09-08T00:00:00"/>
    <s v="USD"/>
    <d v="2025-09-01T00:00:00"/>
    <n v="1"/>
    <s v="30/09/2025"/>
    <n v="210"/>
    <s v="IN89"/>
  </r>
  <r>
    <x v="0"/>
    <n v="256779415306"/>
    <x v="26"/>
    <n v="-30"/>
    <n v="-2654.1"/>
    <m/>
    <d v="2025-09-08T00:00:00"/>
    <s v="USD"/>
    <d v="2025-09-01T00:00:00"/>
    <n v="1"/>
    <s v="30/09/2025"/>
    <n v="210"/>
    <s v="IN89"/>
  </r>
  <r>
    <x v="0"/>
    <n v="256779415390"/>
    <x v="26"/>
    <n v="-110.96"/>
    <n v="-9816.6299999999992"/>
    <m/>
    <d v="2025-09-08T00:00:00"/>
    <s v="USD"/>
    <d v="2025-09-01T00:00:00"/>
    <n v="1"/>
    <s v="30/09/2025"/>
    <n v="210"/>
    <s v="IN89"/>
  </r>
  <r>
    <x v="0"/>
    <n v="256779415340"/>
    <x v="26"/>
    <n v="-25.84"/>
    <n v="-2286.06"/>
    <m/>
    <d v="2025-09-08T00:00:00"/>
    <s v="USD"/>
    <d v="2025-09-01T00:00:00"/>
    <n v="1"/>
    <s v="30/09/2025"/>
    <n v="210"/>
    <s v="IN89"/>
  </r>
  <r>
    <x v="0"/>
    <n v="256779415343"/>
    <x v="26"/>
    <n v="-1"/>
    <n v="-88.47"/>
    <m/>
    <d v="2025-09-08T00:00:00"/>
    <s v="USD"/>
    <d v="2025-09-01T00:00:00"/>
    <n v="1"/>
    <s v="30/09/2025"/>
    <n v="210"/>
    <s v="IN89"/>
  </r>
  <r>
    <x v="0"/>
    <n v="256779415395"/>
    <x v="26"/>
    <n v="-205.72"/>
    <n v="-18200.05"/>
    <m/>
    <d v="2025-09-08T00:00:00"/>
    <s v="USD"/>
    <d v="2025-09-01T00:00:00"/>
    <n v="1"/>
    <s v="30/09/2025"/>
    <n v="210"/>
    <s v="IN89"/>
  </r>
  <r>
    <x v="0"/>
    <n v="256779415381"/>
    <x v="26"/>
    <n v="-60"/>
    <n v="-5308.2"/>
    <m/>
    <d v="2025-09-08T00:00:00"/>
    <s v="USD"/>
    <d v="2025-09-01T00:00:00"/>
    <n v="1"/>
    <s v="30/09/2025"/>
    <n v="210"/>
    <s v="IN89"/>
  </r>
  <r>
    <x v="0"/>
    <n v="256779415392"/>
    <x v="26"/>
    <n v="-200"/>
    <n v="-17694"/>
    <m/>
    <d v="2025-09-08T00:00:00"/>
    <s v="USD"/>
    <d v="2025-09-01T00:00:00"/>
    <n v="1"/>
    <s v="30/09/2025"/>
    <n v="210"/>
    <s v="IN89"/>
  </r>
  <r>
    <x v="0"/>
    <n v="256779415358"/>
    <x v="26"/>
    <n v="-96"/>
    <n v="-8493.1200000000008"/>
    <m/>
    <d v="2025-09-08T00:00:00"/>
    <s v="USD"/>
    <d v="2025-09-01T00:00:00"/>
    <n v="1"/>
    <s v="30/09/2025"/>
    <n v="210"/>
    <s v="IN89"/>
  </r>
  <r>
    <x v="0"/>
    <n v="256779415337"/>
    <x v="26"/>
    <n v="-17.5"/>
    <n v="-1548.23"/>
    <m/>
    <d v="2025-09-08T00:00:00"/>
    <s v="USD"/>
    <d v="2025-09-01T00:00:00"/>
    <n v="1"/>
    <s v="30/09/2025"/>
    <n v="210"/>
    <s v="IN89"/>
  </r>
  <r>
    <x v="0"/>
    <n v="256779415362"/>
    <x v="26"/>
    <n v="-3"/>
    <n v="-265.41000000000003"/>
    <m/>
    <d v="2025-09-08T00:00:00"/>
    <s v="USD"/>
    <d v="2025-09-01T00:00:00"/>
    <n v="1"/>
    <s v="30/09/2025"/>
    <n v="210"/>
    <s v="IN89"/>
  </r>
  <r>
    <x v="0"/>
    <n v="256779415373"/>
    <x v="26"/>
    <n v="-2.63"/>
    <n v="-232.68"/>
    <m/>
    <d v="2025-09-08T00:00:00"/>
    <s v="USD"/>
    <d v="2025-09-01T00:00:00"/>
    <n v="1"/>
    <s v="30/09/2025"/>
    <n v="210"/>
    <s v="IN89"/>
  </r>
  <r>
    <x v="0"/>
    <n v="256779415386"/>
    <x v="26"/>
    <n v="-7.5"/>
    <n v="-663.53"/>
    <m/>
    <d v="2025-09-08T00:00:00"/>
    <s v="USD"/>
    <d v="2025-09-01T00:00:00"/>
    <n v="1"/>
    <s v="30/09/2025"/>
    <n v="210"/>
    <s v="IN89"/>
  </r>
  <r>
    <x v="0"/>
    <n v="256779415348"/>
    <x v="26"/>
    <n v="-7.5"/>
    <n v="-663.53"/>
    <m/>
    <d v="2025-09-08T00:00:00"/>
    <s v="USD"/>
    <d v="2025-09-01T00:00:00"/>
    <n v="1"/>
    <s v="30/09/2025"/>
    <n v="210"/>
    <s v="IN89"/>
  </r>
  <r>
    <x v="0"/>
    <n v="256779415369"/>
    <x v="26"/>
    <n v="-3"/>
    <n v="-265.41000000000003"/>
    <m/>
    <d v="2025-09-08T00:00:00"/>
    <s v="USD"/>
    <d v="2025-09-01T00:00:00"/>
    <n v="1"/>
    <s v="30/09/2025"/>
    <n v="210"/>
    <s v="IN89"/>
  </r>
  <r>
    <x v="0"/>
    <n v="256779415364"/>
    <x v="26"/>
    <n v="-200"/>
    <n v="-17694"/>
    <m/>
    <d v="2025-09-08T00:00:00"/>
    <s v="USD"/>
    <d v="2025-09-01T00:00:00"/>
    <n v="1"/>
    <s v="30/09/2025"/>
    <n v="210"/>
    <s v="IN89"/>
  </r>
  <r>
    <x v="0"/>
    <n v="256779415299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35"/>
    <x v="26"/>
    <n v="-25"/>
    <n v="-2211.75"/>
    <m/>
    <d v="2025-09-08T00:00:00"/>
    <s v="USD"/>
    <d v="2025-09-01T00:00:00"/>
    <n v="1"/>
    <s v="30/09/2025"/>
    <n v="210"/>
    <s v="IN89"/>
  </r>
  <r>
    <x v="0"/>
    <n v="256779415292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70"/>
    <x v="26"/>
    <n v="-72"/>
    <n v="-6369.84"/>
    <m/>
    <d v="2025-09-08T00:00:00"/>
    <s v="USD"/>
    <d v="2025-09-01T00:00:00"/>
    <n v="1"/>
    <s v="30/09/2025"/>
    <n v="210"/>
    <s v="IN89"/>
  </r>
  <r>
    <x v="0"/>
    <n v="256779415294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07"/>
    <x v="26"/>
    <n v="-30"/>
    <n v="-2654.1"/>
    <m/>
    <d v="2025-09-08T00:00:00"/>
    <s v="USD"/>
    <d v="2025-09-01T00:00:00"/>
    <n v="1"/>
    <s v="30/09/2025"/>
    <n v="210"/>
    <s v="IN89"/>
  </r>
  <r>
    <x v="0"/>
    <n v="256779415347"/>
    <x v="26"/>
    <n v="-20"/>
    <n v="-1769.4"/>
    <m/>
    <d v="2025-09-08T00:00:00"/>
    <s v="USD"/>
    <d v="2025-09-01T00:00:00"/>
    <n v="1"/>
    <s v="30/09/2025"/>
    <n v="210"/>
    <s v="IN89"/>
  </r>
  <r>
    <x v="0"/>
    <n v="256779415317"/>
    <x v="26"/>
    <n v="4"/>
    <n v="353.88"/>
    <s v="C: ASCENDAS27 P: A023951 I 256779415317"/>
    <d v="2025-09-08T00:00:00"/>
    <s v="USD"/>
    <d v="2025-09-01T00:00:00"/>
    <n v="1"/>
    <s v="30/09/2025"/>
    <n v="230"/>
    <s v="IN89"/>
  </r>
  <r>
    <x v="0"/>
    <n v="256779415346"/>
    <x v="26"/>
    <n v="0.35"/>
    <n v="30.96"/>
    <s v="C: ASCENDAS27 P: A023951 I 256779415346"/>
    <d v="2025-09-08T00:00:00"/>
    <s v="USD"/>
    <d v="2025-09-01T00:00:00"/>
    <n v="1"/>
    <s v="30/09/2025"/>
    <n v="230"/>
    <s v="IN89"/>
  </r>
  <r>
    <x v="0"/>
    <n v="256779415339"/>
    <x v="26"/>
    <n v="0.55000000000000004"/>
    <n v="48.66"/>
    <s v="C: ASCENDAS27 P: A023951 I 256779415339"/>
    <d v="2025-09-08T00:00:00"/>
    <s v="USD"/>
    <d v="2025-09-01T00:00:00"/>
    <n v="1"/>
    <s v="30/09/2025"/>
    <n v="230"/>
    <s v="IN89"/>
  </r>
  <r>
    <x v="0"/>
    <n v="256779415371"/>
    <x v="26"/>
    <n v="0.87"/>
    <n v="76.97"/>
    <s v="C: ASCENDAS27 P: A023951 I 256779415371"/>
    <d v="2025-09-08T00:00:00"/>
    <s v="USD"/>
    <d v="2025-09-01T00:00:00"/>
    <n v="1"/>
    <s v="30/09/2025"/>
    <n v="230"/>
    <s v="IN89"/>
  </r>
  <r>
    <x v="0"/>
    <n v="256779415338"/>
    <x v="26"/>
    <n v="0.25"/>
    <n v="22.12"/>
    <s v="C: ASCENDAS27 P: A023951 I 256779415338"/>
    <d v="2025-09-08T00:00:00"/>
    <s v="USD"/>
    <d v="2025-09-01T00:00:00"/>
    <n v="1"/>
    <s v="30/09/2025"/>
    <n v="230"/>
    <s v="IN89"/>
  </r>
  <r>
    <x v="0"/>
    <n v="256779415359"/>
    <x v="26"/>
    <n v="4"/>
    <n v="353.88"/>
    <s v="C: ASCENDAS27 P: A023951 I 256779415359"/>
    <d v="2025-09-08T00:00:00"/>
    <s v="USD"/>
    <d v="2025-09-01T00:00:00"/>
    <n v="1"/>
    <s v="30/09/2025"/>
    <n v="230"/>
    <s v="IN89"/>
  </r>
  <r>
    <x v="0"/>
    <n v="256779415381"/>
    <x v="26"/>
    <n v="1.2"/>
    <n v="106.16"/>
    <s v="C: ASCENDAS27 P: A023951 I 256779415381"/>
    <d v="2025-09-08T00:00:00"/>
    <s v="USD"/>
    <d v="2025-09-01T00:00:00"/>
    <n v="1"/>
    <s v="30/09/2025"/>
    <n v="230"/>
    <s v="IN89"/>
  </r>
  <r>
    <x v="0"/>
    <n v="256779415391"/>
    <x v="26"/>
    <n v="16.399999999999999"/>
    <n v="1450.91"/>
    <s v="C: ASCENDAS27 P: A023951 I 256779415391"/>
    <d v="2025-09-08T00:00:00"/>
    <s v="USD"/>
    <d v="2025-09-01T00:00:00"/>
    <n v="1"/>
    <s v="30/09/2025"/>
    <n v="230"/>
    <s v="IN89"/>
  </r>
  <r>
    <x v="0"/>
    <n v="256779415358"/>
    <x v="26"/>
    <n v="1.92"/>
    <n v="169.86"/>
    <s v="C: ASCENDAS27 P: A023951 I 256779415358"/>
    <d v="2025-09-08T00:00:00"/>
    <s v="USD"/>
    <d v="2025-09-01T00:00:00"/>
    <n v="1"/>
    <s v="30/09/2025"/>
    <n v="230"/>
    <s v="IN89"/>
  </r>
  <r>
    <x v="0"/>
    <n v="256779415305"/>
    <x v="26"/>
    <n v="0.6"/>
    <n v="53.08"/>
    <s v="C: ASCENDAS27 P: A023951 I 256779415305"/>
    <d v="2025-09-08T00:00:00"/>
    <s v="USD"/>
    <d v="2025-09-01T00:00:00"/>
    <n v="1"/>
    <s v="30/09/2025"/>
    <n v="230"/>
    <s v="IN89"/>
  </r>
  <r>
    <x v="0"/>
    <n v="256779415345"/>
    <x v="26"/>
    <n v="0.5"/>
    <n v="44.24"/>
    <s v="C: ASCENDAS27 P: A023951 I 256779415345"/>
    <d v="2025-09-08T00:00:00"/>
    <s v="USD"/>
    <d v="2025-09-01T00:00:00"/>
    <n v="1"/>
    <s v="30/09/2025"/>
    <n v="230"/>
    <s v="IN89"/>
  </r>
  <r>
    <x v="0"/>
    <n v="256779415300"/>
    <x v="26"/>
    <n v="0.48"/>
    <n v="42.47"/>
    <s v="C: ASCENDAS27 P: A023951 I 256779415300"/>
    <d v="2025-09-08T00:00:00"/>
    <s v="USD"/>
    <d v="2025-09-01T00:00:00"/>
    <n v="1"/>
    <s v="30/09/2025"/>
    <n v="230"/>
    <s v="IN89"/>
  </r>
  <r>
    <x v="0"/>
    <n v="256779415352"/>
    <x v="26"/>
    <n v="3.12"/>
    <n v="276.02999999999997"/>
    <s v="C: ASCENDAS27 P: A023951 I 256779415352"/>
    <d v="2025-09-08T00:00:00"/>
    <s v="USD"/>
    <d v="2025-09-01T00:00:00"/>
    <n v="1"/>
    <s v="30/09/2025"/>
    <n v="230"/>
    <s v="IN89"/>
  </r>
  <r>
    <x v="0"/>
    <n v="256779415304"/>
    <x v="26"/>
    <n v="0.6"/>
    <n v="53.08"/>
    <s v="C: ASCENDAS27 P: A023951 I 256779415304"/>
    <d v="2025-09-08T00:00:00"/>
    <s v="USD"/>
    <d v="2025-09-01T00:00:00"/>
    <n v="1"/>
    <s v="30/09/2025"/>
    <n v="230"/>
    <s v="IN89"/>
  </r>
  <r>
    <x v="0"/>
    <n v="256779415379"/>
    <x v="26"/>
    <n v="4.66"/>
    <n v="412.27"/>
    <s v="C: ASCENDAS27 P: A023951 I 256779415379"/>
    <d v="2025-09-08T00:00:00"/>
    <s v="USD"/>
    <d v="2025-09-01T00:00:00"/>
    <n v="1"/>
    <s v="30/09/2025"/>
    <n v="230"/>
    <s v="IN89"/>
  </r>
  <r>
    <x v="0"/>
    <n v="256779415303"/>
    <x v="26"/>
    <n v="2"/>
    <n v="176.94"/>
    <s v="C: ASCENDAS27 P: A023951 I 256779415303"/>
    <d v="2025-09-08T00:00:00"/>
    <s v="USD"/>
    <d v="2025-09-01T00:00:00"/>
    <n v="1"/>
    <s v="30/09/2025"/>
    <n v="230"/>
    <s v="IN89"/>
  </r>
  <r>
    <x v="0"/>
    <n v="256779415377"/>
    <x v="26"/>
    <n v="1"/>
    <n v="88.47"/>
    <s v="C: ASCENDAS27 P: A023951 I 256779415377"/>
    <d v="2025-09-08T00:00:00"/>
    <s v="USD"/>
    <d v="2025-09-01T00:00:00"/>
    <n v="1"/>
    <s v="30/09/2025"/>
    <n v="230"/>
    <s v="IN89"/>
  </r>
  <r>
    <x v="0"/>
    <n v="256779415392"/>
    <x v="26"/>
    <n v="4"/>
    <n v="353.88"/>
    <s v="C: ASCENDAS27 P: A023951 I 256779415392"/>
    <d v="2025-09-08T00:00:00"/>
    <s v="USD"/>
    <d v="2025-09-01T00:00:00"/>
    <n v="1"/>
    <s v="30/09/2025"/>
    <n v="230"/>
    <s v="IN89"/>
  </r>
  <r>
    <x v="0"/>
    <n v="256779415393"/>
    <x v="26"/>
    <n v="1.2"/>
    <n v="106.16"/>
    <s v="C: ASCENDAS27 P: A023951 I 256779415393"/>
    <d v="2025-09-08T00:00:00"/>
    <s v="USD"/>
    <d v="2025-09-01T00:00:00"/>
    <n v="1"/>
    <s v="30/09/2025"/>
    <n v="230"/>
    <s v="IN89"/>
  </r>
  <r>
    <x v="0"/>
    <n v="256779415362"/>
    <x v="26"/>
    <n v="0.06"/>
    <n v="5.31"/>
    <s v="C: ASCENDAS27 P: A023951 I 256779415362"/>
    <d v="2025-09-08T00:00:00"/>
    <s v="USD"/>
    <d v="2025-09-01T00:00:00"/>
    <n v="1"/>
    <s v="30/09/2025"/>
    <n v="230"/>
    <s v="IN89"/>
  </r>
  <r>
    <x v="0"/>
    <n v="256779415315"/>
    <x v="26"/>
    <n v="2.4"/>
    <n v="212.33"/>
    <s v="C: ASCENDAS27 P: A023951 I 256779415315"/>
    <d v="2025-09-08T00:00:00"/>
    <s v="USD"/>
    <d v="2025-09-01T00:00:00"/>
    <n v="1"/>
    <s v="30/09/2025"/>
    <n v="230"/>
    <s v="IN89"/>
  </r>
  <r>
    <x v="0"/>
    <n v="256779415378"/>
    <x v="26"/>
    <n v="2.4"/>
    <n v="212.33"/>
    <s v="C: ASCENDAS27 P: A023951 I 256779415378"/>
    <d v="2025-09-08T00:00:00"/>
    <s v="USD"/>
    <d v="2025-09-01T00:00:00"/>
    <n v="1"/>
    <s v="30/09/2025"/>
    <n v="230"/>
    <s v="IN89"/>
  </r>
  <r>
    <x v="0"/>
    <n v="256779415356"/>
    <x v="26"/>
    <n v="1.44"/>
    <n v="127.4"/>
    <s v="C: ASCENDAS27 P: A023951 I 256779415356"/>
    <d v="2025-09-08T00:00:00"/>
    <s v="USD"/>
    <d v="2025-09-01T00:00:00"/>
    <n v="1"/>
    <s v="30/09/2025"/>
    <n v="230"/>
    <s v="IN89"/>
  </r>
  <r>
    <x v="0"/>
    <n v="256779415383"/>
    <x v="26"/>
    <n v="3.12"/>
    <n v="276.02999999999997"/>
    <s v="C: ASCENDAS27 P: A023951 I 256779415383"/>
    <d v="2025-09-08T00:00:00"/>
    <s v="USD"/>
    <d v="2025-09-01T00:00:00"/>
    <n v="1"/>
    <s v="30/09/2025"/>
    <n v="230"/>
    <s v="IN89"/>
  </r>
  <r>
    <x v="0"/>
    <n v="256779415375"/>
    <x v="26"/>
    <n v="7.2"/>
    <n v="636.98"/>
    <s v="C: ASCENDAS27 P: A023951 I 256779415375"/>
    <d v="2025-09-08T00:00:00"/>
    <s v="USD"/>
    <d v="2025-09-01T00:00:00"/>
    <n v="1"/>
    <s v="30/09/2025"/>
    <n v="230"/>
    <s v="IN89"/>
  </r>
  <r>
    <x v="0"/>
    <n v="256779415373"/>
    <x v="26"/>
    <n v="0.05"/>
    <n v="4.42"/>
    <s v="C: ASCENDAS27 P: A023951 I 256779415373"/>
    <d v="2025-09-08T00:00:00"/>
    <s v="USD"/>
    <d v="2025-09-01T00:00:00"/>
    <n v="1"/>
    <s v="30/09/2025"/>
    <n v="230"/>
    <s v="IN89"/>
  </r>
  <r>
    <x v="0"/>
    <n v="256779415342"/>
    <x v="26"/>
    <n v="0.05"/>
    <n v="4.42"/>
    <s v="C: ASCENDAS27 P: A023951 I 256779415342"/>
    <d v="2025-09-08T00:00:00"/>
    <s v="USD"/>
    <d v="2025-09-01T00:00:00"/>
    <n v="1"/>
    <s v="30/09/2025"/>
    <n v="230"/>
    <s v="IN89"/>
  </r>
  <r>
    <x v="0"/>
    <n v="256779415372"/>
    <x v="26"/>
    <n v="3.11"/>
    <n v="275.14"/>
    <s v="C: ASCENDAS27 P: A023951 I 256779415372"/>
    <d v="2025-09-08T00:00:00"/>
    <s v="USD"/>
    <d v="2025-09-01T00:00:00"/>
    <n v="1"/>
    <s v="30/09/2025"/>
    <n v="230"/>
    <s v="IN89"/>
  </r>
  <r>
    <x v="0"/>
    <n v="256779415369"/>
    <x v="26"/>
    <n v="0.06"/>
    <n v="5.31"/>
    <s v="C: ASCENDAS27 P: A023951 I 256779415369"/>
    <d v="2025-09-08T00:00:00"/>
    <s v="USD"/>
    <d v="2025-09-01T00:00:00"/>
    <n v="1"/>
    <s v="30/09/2025"/>
    <n v="230"/>
    <s v="IN89"/>
  </r>
  <r>
    <x v="0"/>
    <n v="256779415361"/>
    <x v="26"/>
    <n v="1.35"/>
    <n v="119.43"/>
    <s v="C: ASCENDAS27 P: A023951 I 256779415361"/>
    <d v="2025-09-08T00:00:00"/>
    <s v="USD"/>
    <d v="2025-09-01T00:00:00"/>
    <n v="1"/>
    <s v="30/09/2025"/>
    <n v="230"/>
    <s v="IN89"/>
  </r>
  <r>
    <x v="0"/>
    <n v="256779415306"/>
    <x v="26"/>
    <n v="0.6"/>
    <n v="53.08"/>
    <s v="C: ASCENDAS27 P: A023951 I 256779415306"/>
    <d v="2025-09-08T00:00:00"/>
    <s v="USD"/>
    <d v="2025-09-01T00:00:00"/>
    <n v="1"/>
    <s v="30/09/2025"/>
    <n v="230"/>
    <s v="IN89"/>
  </r>
  <r>
    <x v="0"/>
    <n v="256779415333"/>
    <x v="26"/>
    <n v="0.45"/>
    <n v="39.81"/>
    <s v="C: ASCENDAS27 P: A023951 I 256779415333"/>
    <d v="2025-09-08T00:00:00"/>
    <s v="USD"/>
    <d v="2025-09-01T00:00:00"/>
    <n v="1"/>
    <s v="30/09/2025"/>
    <n v="230"/>
    <s v="IN89"/>
  </r>
  <r>
    <x v="0"/>
    <n v="256779415298"/>
    <x v="26"/>
    <n v="0.48"/>
    <n v="42.47"/>
    <s v="C: ASCENDAS27 P: A023951 I 256779415298"/>
    <d v="2025-09-08T00:00:00"/>
    <s v="USD"/>
    <d v="2025-09-01T00:00:00"/>
    <n v="1"/>
    <s v="30/09/2025"/>
    <n v="230"/>
    <s v="IN89"/>
  </r>
  <r>
    <x v="0"/>
    <n v="256779415386"/>
    <x v="26"/>
    <n v="0.15"/>
    <n v="13.27"/>
    <s v="C: ASCENDAS27 P: A023951 I 256779415386"/>
    <d v="2025-09-08T00:00:00"/>
    <s v="USD"/>
    <d v="2025-09-01T00:00:00"/>
    <n v="1"/>
    <s v="30/09/2025"/>
    <n v="230"/>
    <s v="IN89"/>
  </r>
  <r>
    <x v="0"/>
    <n v="256779415336"/>
    <x v="26"/>
    <n v="0.1"/>
    <n v="8.85"/>
    <s v="C: ASCENDAS27 P: A023951 I 256779415336"/>
    <d v="2025-09-08T00:00:00"/>
    <s v="USD"/>
    <d v="2025-09-01T00:00:00"/>
    <n v="1"/>
    <s v="30/09/2025"/>
    <n v="230"/>
    <s v="IN89"/>
  </r>
  <r>
    <x v="0"/>
    <n v="256779415341"/>
    <x v="26"/>
    <n v="0.3"/>
    <n v="26.54"/>
    <s v="C: ASCENDAS27 P: A023951 I 256779415341"/>
    <d v="2025-09-08T00:00:00"/>
    <s v="USD"/>
    <d v="2025-09-01T00:00:00"/>
    <n v="1"/>
    <s v="30/09/2025"/>
    <n v="230"/>
    <s v="IN89"/>
  </r>
  <r>
    <x v="0"/>
    <n v="256779415380"/>
    <x v="26"/>
    <n v="4"/>
    <n v="353.88"/>
    <s v="C: ASCENDAS27 P: A023951 I 256779415380"/>
    <d v="2025-09-08T00:00:00"/>
    <s v="USD"/>
    <d v="2025-09-01T00:00:00"/>
    <n v="1"/>
    <s v="30/09/2025"/>
    <n v="230"/>
    <s v="IN89"/>
  </r>
  <r>
    <x v="0"/>
    <n v="256779415318"/>
    <x v="26"/>
    <n v="5.09"/>
    <n v="450.31"/>
    <s v="C: ASCENDAS27 P: A023951 I 256779415318"/>
    <d v="2025-09-08T00:00:00"/>
    <s v="USD"/>
    <d v="2025-09-01T00:00:00"/>
    <n v="1"/>
    <s v="30/09/2025"/>
    <n v="230"/>
    <s v="IN89"/>
  </r>
  <r>
    <x v="0"/>
    <n v="256779415384"/>
    <x v="26"/>
    <n v="7"/>
    <n v="619.29"/>
    <s v="C: ASCENDAS27 P: A023951 I 256779415384"/>
    <d v="2025-09-08T00:00:00"/>
    <s v="USD"/>
    <d v="2025-09-01T00:00:00"/>
    <n v="1"/>
    <s v="30/09/2025"/>
    <n v="230"/>
    <s v="IN89"/>
  </r>
  <r>
    <x v="0"/>
    <n v="256779415344"/>
    <x v="26"/>
    <n v="0.5"/>
    <n v="44.24"/>
    <s v="C: ASCENDAS27 P: A023951 I 256779415344"/>
    <d v="2025-09-08T00:00:00"/>
    <s v="USD"/>
    <d v="2025-09-01T00:00:00"/>
    <n v="1"/>
    <s v="30/09/2025"/>
    <n v="230"/>
    <s v="IN89"/>
  </r>
  <r>
    <x v="0"/>
    <n v="256779415382"/>
    <x v="26"/>
    <n v="2.35"/>
    <n v="207.9"/>
    <s v="C: ASCENDAS27 P: A023951 I 256779415382"/>
    <d v="2025-09-08T00:00:00"/>
    <s v="USD"/>
    <d v="2025-09-01T00:00:00"/>
    <n v="1"/>
    <s v="30/09/2025"/>
    <n v="230"/>
    <s v="IN89"/>
  </r>
  <r>
    <x v="0"/>
    <n v="256779415314"/>
    <x v="26"/>
    <n v="3.58"/>
    <n v="316.72000000000003"/>
    <s v="C: ASCENDAS27 P: A023951 I 256779415314"/>
    <d v="2025-09-08T00:00:00"/>
    <s v="USD"/>
    <d v="2025-09-01T00:00:00"/>
    <n v="1"/>
    <s v="30/09/2025"/>
    <n v="230"/>
    <s v="IN89"/>
  </r>
  <r>
    <x v="0"/>
    <n v="256779415355"/>
    <x v="26"/>
    <n v="0.43"/>
    <n v="38.04"/>
    <s v="C: ASCENDAS27 P: A023951 I 256779415355"/>
    <d v="2025-09-08T00:00:00"/>
    <s v="USD"/>
    <d v="2025-09-01T00:00:00"/>
    <n v="1"/>
    <s v="30/09/2025"/>
    <n v="230"/>
    <s v="IN89"/>
  </r>
  <r>
    <x v="0"/>
    <n v="256779415376"/>
    <x v="26"/>
    <n v="1.2"/>
    <n v="106.16"/>
    <s v="C: ASCENDAS27 P: A023951 I 256779415376"/>
    <d v="2025-09-08T00:00:00"/>
    <s v="USD"/>
    <d v="2025-09-01T00:00:00"/>
    <n v="1"/>
    <s v="30/09/2025"/>
    <n v="230"/>
    <s v="IN89"/>
  </r>
  <r>
    <x v="0"/>
    <n v="256779415334"/>
    <x v="26"/>
    <n v="0.45"/>
    <n v="39.81"/>
    <s v="C: ASCENDAS27 P: A023951 I 256779415334"/>
    <d v="2025-09-08T00:00:00"/>
    <s v="USD"/>
    <d v="2025-09-01T00:00:00"/>
    <n v="1"/>
    <s v="30/09/2025"/>
    <n v="230"/>
    <s v="IN89"/>
  </r>
  <r>
    <x v="0"/>
    <n v="256779415337"/>
    <x v="26"/>
    <n v="0.35"/>
    <n v="30.96"/>
    <s v="C: ASCENDAS27 P: A023951 I 256779415337"/>
    <d v="2025-09-08T00:00:00"/>
    <s v="USD"/>
    <d v="2025-09-01T00:00:00"/>
    <n v="1"/>
    <s v="30/09/2025"/>
    <n v="230"/>
    <s v="IN89"/>
  </r>
  <r>
    <x v="0"/>
    <n v="256779415357"/>
    <x v="26"/>
    <n v="4.1500000000000004"/>
    <n v="367.15"/>
    <s v="C: ASCENDAS27 P: A023951 I 256779415357"/>
    <d v="2025-09-08T00:00:00"/>
    <s v="USD"/>
    <d v="2025-09-01T00:00:00"/>
    <n v="1"/>
    <s v="30/09/2025"/>
    <n v="230"/>
    <s v="IN89"/>
  </r>
  <r>
    <x v="0"/>
    <n v="256779415340"/>
    <x v="26"/>
    <n v="0.52"/>
    <n v="46"/>
    <s v="C: ASCENDAS27 P: A023951 I 256779415340"/>
    <d v="2025-09-08T00:00:00"/>
    <s v="USD"/>
    <d v="2025-09-01T00:00:00"/>
    <n v="1"/>
    <s v="30/09/2025"/>
    <n v="230"/>
    <s v="IN89"/>
  </r>
  <r>
    <x v="0"/>
    <n v="256779415343"/>
    <x v="26"/>
    <n v="0.02"/>
    <n v="1.77"/>
    <s v="C: ASCENDAS27 P: A023951 I 256779415343"/>
    <d v="2025-09-08T00:00:00"/>
    <s v="USD"/>
    <d v="2025-09-01T00:00:00"/>
    <n v="1"/>
    <s v="30/09/2025"/>
    <n v="230"/>
    <s v="IN89"/>
  </r>
  <r>
    <x v="0"/>
    <n v="256779415308"/>
    <x v="26"/>
    <n v="0.6"/>
    <n v="53.08"/>
    <s v="C: ASCENDAS27 P: A023951 I 256779415308"/>
    <d v="2025-09-08T00:00:00"/>
    <s v="USD"/>
    <d v="2025-09-01T00:00:00"/>
    <n v="1"/>
    <s v="30/09/2025"/>
    <n v="230"/>
    <s v="IN89"/>
  </r>
  <r>
    <x v="0"/>
    <n v="256779415310"/>
    <x v="26"/>
    <n v="0.6"/>
    <n v="53.08"/>
    <s v="C: ASCENDAS27 P: A023951 I 256779415310"/>
    <d v="2025-09-08T00:00:00"/>
    <s v="USD"/>
    <d v="2025-09-01T00:00:00"/>
    <n v="1"/>
    <s v="30/09/2025"/>
    <n v="230"/>
    <s v="IN89"/>
  </r>
  <r>
    <x v="0"/>
    <n v="256779415349"/>
    <x v="26"/>
    <n v="0.55000000000000004"/>
    <n v="48.66"/>
    <s v="C: ASCENDAS27 P: A023951 I 256779415349"/>
    <d v="2025-09-08T00:00:00"/>
    <s v="USD"/>
    <d v="2025-09-01T00:00:00"/>
    <n v="1"/>
    <s v="30/09/2025"/>
    <n v="230"/>
    <s v="IN89"/>
  </r>
  <r>
    <x v="0"/>
    <n v="256779415295"/>
    <x v="26"/>
    <n v="0.48"/>
    <n v="42.47"/>
    <s v="C: ASCENDAS27 P: A023951 I 256779415295"/>
    <d v="2025-09-08T00:00:00"/>
    <s v="USD"/>
    <d v="2025-09-01T00:00:00"/>
    <n v="1"/>
    <s v="30/09/2025"/>
    <n v="230"/>
    <s v="IN89"/>
  </r>
  <r>
    <x v="0"/>
    <n v="256779415389"/>
    <x v="26"/>
    <n v="3.41"/>
    <n v="301.68"/>
    <s v="C: ASCENDAS27 P: A023951 I 256779415389"/>
    <d v="2025-09-08T00:00:00"/>
    <s v="USD"/>
    <d v="2025-09-01T00:00:00"/>
    <n v="1"/>
    <s v="30/09/2025"/>
    <n v="230"/>
    <s v="IN89"/>
  </r>
  <r>
    <x v="0"/>
    <n v="256779415388"/>
    <x v="26"/>
    <n v="45.23"/>
    <n v="4001.5"/>
    <s v="C: ASCENDAS27 P: A023951 I 256779415388"/>
    <d v="2025-09-08T00:00:00"/>
    <s v="USD"/>
    <d v="2025-09-01T00:00:00"/>
    <n v="1"/>
    <s v="30/09/2025"/>
    <n v="230"/>
    <s v="IN89"/>
  </r>
  <r>
    <x v="0"/>
    <n v="256779415348"/>
    <x v="26"/>
    <n v="0.15"/>
    <n v="13.27"/>
    <s v="C: ASCENDAS27 P: A023951 I 256779415348"/>
    <d v="2025-09-08T00:00:00"/>
    <s v="USD"/>
    <d v="2025-09-01T00:00:00"/>
    <n v="1"/>
    <s v="30/09/2025"/>
    <n v="230"/>
    <s v="IN89"/>
  </r>
  <r>
    <x v="0"/>
    <n v="256779415390"/>
    <x v="26"/>
    <n v="2.2200000000000002"/>
    <n v="196.4"/>
    <s v="C: ASCENDAS27 P: A023951 I 256779415390"/>
    <d v="2025-09-08T00:00:00"/>
    <s v="USD"/>
    <d v="2025-09-01T00:00:00"/>
    <n v="1"/>
    <s v="30/09/2025"/>
    <n v="230"/>
    <s v="IN89"/>
  </r>
  <r>
    <x v="0"/>
    <n v="256779415395"/>
    <x v="26"/>
    <n v="4.1100000000000003"/>
    <n v="363.61"/>
    <s v="C: ASCENDAS27 P: A023951 I 256779415395"/>
    <d v="2025-09-08T00:00:00"/>
    <s v="USD"/>
    <d v="2025-09-01T00:00:00"/>
    <n v="1"/>
    <s v="30/09/2025"/>
    <n v="230"/>
    <s v="IN89"/>
  </r>
  <r>
    <x v="0"/>
    <n v="256779415326"/>
    <x v="26"/>
    <n v="3.7"/>
    <n v="327.33999999999997"/>
    <s v="C: ASCENDAS27 P: A023951 I 256779415326"/>
    <d v="2025-09-08T00:00:00"/>
    <s v="USD"/>
    <d v="2025-09-01T00:00:00"/>
    <n v="1"/>
    <s v="30/09/2025"/>
    <n v="230"/>
    <s v="IN89"/>
  </r>
  <r>
    <x v="0"/>
    <n v="256779415350"/>
    <x v="26"/>
    <n v="0.45"/>
    <n v="39.81"/>
    <s v="C: ASCENDAS27 P: A023951 I 256779415350"/>
    <d v="2025-09-08T00:00:00"/>
    <s v="USD"/>
    <d v="2025-09-01T00:00:00"/>
    <n v="1"/>
    <s v="30/09/2025"/>
    <n v="230"/>
    <s v="IN89"/>
  </r>
  <r>
    <x v="0"/>
    <n v="256779415394"/>
    <x v="26"/>
    <n v="1.92"/>
    <n v="169.86"/>
    <s v="C: ASCENDAS27 P: A023951 I 256779415394"/>
    <d v="2025-09-08T00:00:00"/>
    <s v="USD"/>
    <d v="2025-09-01T00:00:00"/>
    <n v="1"/>
    <s v="30/09/2025"/>
    <n v="230"/>
    <s v="IN89"/>
  </r>
  <r>
    <x v="0"/>
    <n v="256779415360"/>
    <x v="26"/>
    <n v="1.2"/>
    <n v="106.16"/>
    <s v="C: ASCENDAS27 P: A023951 I 256779415360"/>
    <d v="2025-09-08T00:00:00"/>
    <s v="USD"/>
    <d v="2025-09-01T00:00:00"/>
    <n v="1"/>
    <s v="30/09/2025"/>
    <n v="230"/>
    <s v="IN89"/>
  </r>
  <r>
    <x v="0"/>
    <n v="256779415294"/>
    <x v="26"/>
    <n v="0.48"/>
    <n v="42.47"/>
    <s v="C: ASCENDAS27 P: A023951 I 256779415294"/>
    <d v="2025-09-08T00:00:00"/>
    <s v="USD"/>
    <d v="2025-09-01T00:00:00"/>
    <n v="1"/>
    <s v="30/09/2025"/>
    <n v="230"/>
    <s v="IN89"/>
  </r>
  <r>
    <x v="0"/>
    <n v="256779415370"/>
    <x v="26"/>
    <n v="1.44"/>
    <n v="127.4"/>
    <s v="C: ASCENDAS27 P: A023951 I 256779415370"/>
    <d v="2025-09-08T00:00:00"/>
    <s v="USD"/>
    <d v="2025-09-01T00:00:00"/>
    <n v="1"/>
    <s v="30/09/2025"/>
    <n v="230"/>
    <s v="IN89"/>
  </r>
  <r>
    <x v="0"/>
    <n v="256779415335"/>
    <x v="26"/>
    <n v="0.5"/>
    <n v="44.24"/>
    <s v="C: ASCENDAS27 P: A023951 I 256779415335"/>
    <d v="2025-09-08T00:00:00"/>
    <s v="USD"/>
    <d v="2025-09-01T00:00:00"/>
    <n v="1"/>
    <s v="30/09/2025"/>
    <n v="230"/>
    <s v="IN89"/>
  </r>
  <r>
    <x v="0"/>
    <n v="256779415364"/>
    <x v="26"/>
    <n v="4"/>
    <n v="353.88"/>
    <s v="C: ASCENDAS27 P: A023951 I 256779415364"/>
    <d v="2025-09-08T00:00:00"/>
    <s v="USD"/>
    <d v="2025-09-01T00:00:00"/>
    <n v="1"/>
    <s v="30/09/2025"/>
    <n v="230"/>
    <s v="IN89"/>
  </r>
  <r>
    <x v="0"/>
    <n v="256779415299"/>
    <x v="26"/>
    <n v="0.48"/>
    <n v="42.47"/>
    <s v="C: ASCENDAS27 P: A023951 I 256779415299"/>
    <d v="2025-09-08T00:00:00"/>
    <s v="USD"/>
    <d v="2025-09-01T00:00:00"/>
    <n v="1"/>
    <s v="30/09/2025"/>
    <n v="230"/>
    <s v="IN89"/>
  </r>
  <r>
    <x v="0"/>
    <n v="256779415307"/>
    <x v="26"/>
    <n v="0.6"/>
    <n v="53.08"/>
    <s v="C: ASCENDAS27 P: A023951 I 256779415307"/>
    <d v="2025-09-08T00:00:00"/>
    <s v="USD"/>
    <d v="2025-09-01T00:00:00"/>
    <n v="1"/>
    <s v="30/09/2025"/>
    <n v="230"/>
    <s v="IN89"/>
  </r>
  <r>
    <x v="0"/>
    <n v="256779415347"/>
    <x v="26"/>
    <n v="0.4"/>
    <n v="35.39"/>
    <s v="C: ASCENDAS27 P: A023951 I 256779415347"/>
    <d v="2025-09-08T00:00:00"/>
    <s v="USD"/>
    <d v="2025-09-01T00:00:00"/>
    <n v="1"/>
    <s v="30/09/2025"/>
    <n v="230"/>
    <s v="IN89"/>
  </r>
  <r>
    <x v="0"/>
    <n v="256779415297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291"/>
    <x v="26"/>
    <n v="-24"/>
    <n v="-2123.2800000000002"/>
    <m/>
    <d v="2025-09-08T00:00:00"/>
    <s v="USD"/>
    <d v="2025-09-01T00:00:00"/>
    <n v="1"/>
    <s v="30/09/2025"/>
    <n v="210"/>
    <s v="IN89"/>
  </r>
  <r>
    <x v="0"/>
    <n v="256779415316"/>
    <x v="26"/>
    <n v="1.2"/>
    <n v="106.16"/>
    <s v="C: ASCENDAS27 P: A023951 I 256779415316"/>
    <d v="2025-09-08T00:00:00"/>
    <s v="USD"/>
    <d v="2025-09-01T00:00:00"/>
    <n v="1"/>
    <s v="30/09/2025"/>
    <n v="230"/>
    <s v="IN89"/>
  </r>
  <r>
    <x v="0"/>
    <n v="256779415297"/>
    <x v="26"/>
    <n v="0.48"/>
    <n v="42.47"/>
    <s v="C: ASCENDAS27 P: A023951 I 256779415297"/>
    <d v="2025-09-08T00:00:00"/>
    <s v="USD"/>
    <d v="2025-09-01T00:00:00"/>
    <n v="1"/>
    <s v="30/09/2025"/>
    <n v="230"/>
    <s v="IN89"/>
  </r>
  <r>
    <x v="0"/>
    <n v="256779415292"/>
    <x v="26"/>
    <n v="0.48"/>
    <n v="42.47"/>
    <s v="C: ASCENDAS27 P: A023951 I 256779415292"/>
    <d v="2025-09-08T00:00:00"/>
    <s v="USD"/>
    <d v="2025-09-01T00:00:00"/>
    <n v="1"/>
    <s v="30/09/2025"/>
    <n v="230"/>
    <s v="IN89"/>
  </r>
  <r>
    <x v="0"/>
    <n v="256779415389"/>
    <x v="26"/>
    <n v="0"/>
    <n v="-31.68"/>
    <s v="C: ASCENDAS27 P: Matching"/>
    <d v="2025-09-08T00:00:00"/>
    <s v="USD"/>
    <d v="2025-09-01T00:00:00"/>
    <n v="6"/>
    <s v="30/09/2025"/>
    <n v="271"/>
    <s v="IN89"/>
  </r>
  <r>
    <x v="0"/>
    <n v="256779415346"/>
    <x v="26"/>
    <n v="0"/>
    <n v="-3.24"/>
    <s v="C: ASCENDAS27 P: Matching"/>
    <d v="2025-09-08T00:00:00"/>
    <s v="USD"/>
    <d v="2025-09-01T00:00:00"/>
    <n v="8"/>
    <s v="30/09/2025"/>
    <n v="271"/>
    <s v="IN89"/>
  </r>
  <r>
    <x v="0"/>
    <n v="256779415350"/>
    <x v="26"/>
    <n v="0"/>
    <n v="-4.17"/>
    <s v="C: ASCENDAS27 P: Matching"/>
    <d v="2025-09-08T00:00:00"/>
    <s v="USD"/>
    <d v="2025-09-01T00:00:00"/>
    <n v="10"/>
    <s v="30/09/2025"/>
    <n v="271"/>
    <s v="IN89"/>
  </r>
  <r>
    <x v="0"/>
    <n v="256779415316"/>
    <x v="26"/>
    <n v="0"/>
    <n v="-11.14"/>
    <s v="C: ASCENDAS27 P: Matching"/>
    <d v="2025-09-08T00:00:00"/>
    <s v="USD"/>
    <d v="2025-09-01T00:00:00"/>
    <n v="12"/>
    <s v="30/09/2025"/>
    <n v="271"/>
    <s v="IN89"/>
  </r>
  <r>
    <x v="0"/>
    <n v="256779415355"/>
    <x v="26"/>
    <n v="0"/>
    <n v="-3.97"/>
    <s v="C: ASCENDAS27 P: Matching"/>
    <d v="2025-09-08T00:00:00"/>
    <s v="USD"/>
    <d v="2025-09-01T00:00:00"/>
    <n v="14"/>
    <s v="30/09/2025"/>
    <n v="271"/>
    <s v="IN89"/>
  </r>
  <r>
    <x v="0"/>
    <n v="256779415303"/>
    <x v="26"/>
    <n v="0"/>
    <n v="-18.57"/>
    <s v="C: ASCENDAS27 P: Matching"/>
    <d v="2025-09-08T00:00:00"/>
    <s v="USD"/>
    <d v="2025-09-01T00:00:00"/>
    <n v="18"/>
    <s v="30/09/2025"/>
    <n v="271"/>
    <s v="IN89"/>
  </r>
  <r>
    <x v="0"/>
    <n v="256779415333"/>
    <x v="26"/>
    <n v="0"/>
    <n v="-4.17"/>
    <s v="C: ASCENDAS27 P: Matching"/>
    <d v="2025-09-08T00:00:00"/>
    <s v="USD"/>
    <d v="2025-09-01T00:00:00"/>
    <n v="20"/>
    <s v="30/09/2025"/>
    <n v="271"/>
    <s v="IN89"/>
  </r>
  <r>
    <x v="0"/>
    <n v="256779415304"/>
    <x v="26"/>
    <n v="0"/>
    <n v="-5.57"/>
    <s v="C: ASCENDAS27 P: Matching"/>
    <d v="2025-09-08T00:00:00"/>
    <s v="USD"/>
    <d v="2025-09-01T00:00:00"/>
    <n v="22"/>
    <s v="30/09/2025"/>
    <n v="271"/>
    <s v="IN89"/>
  </r>
  <r>
    <x v="0"/>
    <n v="256779415377"/>
    <x v="26"/>
    <n v="0"/>
    <n v="-9.2899999999999991"/>
    <s v="C: ASCENDAS27 P: Matching"/>
    <d v="2025-09-08T00:00:00"/>
    <s v="USD"/>
    <d v="2025-09-01T00:00:00"/>
    <n v="24"/>
    <s v="30/09/2025"/>
    <n v="271"/>
    <s v="IN89"/>
  </r>
  <r>
    <x v="0"/>
    <n v="256779415298"/>
    <x v="26"/>
    <n v="0"/>
    <n v="-4.46"/>
    <s v="C: ASCENDAS27 P: Matching"/>
    <d v="2025-09-08T00:00:00"/>
    <s v="USD"/>
    <d v="2025-09-01T00:00:00"/>
    <n v="28"/>
    <s v="30/09/2025"/>
    <n v="271"/>
    <s v="IN89"/>
  </r>
  <r>
    <x v="0"/>
    <n v="256779415380"/>
    <x v="26"/>
    <n v="0"/>
    <n v="-37.14"/>
    <s v="C: ASCENDAS27 P: Matching"/>
    <d v="2025-09-08T00:00:00"/>
    <s v="USD"/>
    <d v="2025-09-01T00:00:00"/>
    <n v="30"/>
    <s v="30/09/2025"/>
    <n v="271"/>
    <s v="IN89"/>
  </r>
  <r>
    <x v="0"/>
    <n v="256779415341"/>
    <x v="26"/>
    <n v="0"/>
    <n v="-2.78"/>
    <s v="C: ASCENDAS27 P: Matching"/>
    <d v="2025-09-08T00:00:00"/>
    <s v="USD"/>
    <d v="2025-09-01T00:00:00"/>
    <n v="32"/>
    <s v="30/09/2025"/>
    <n v="271"/>
    <s v="IN89"/>
  </r>
  <r>
    <x v="0"/>
    <n v="256779415359"/>
    <x v="26"/>
    <n v="0"/>
    <n v="-37.14"/>
    <s v="C: ASCENDAS27 P: Matching"/>
    <d v="2025-09-08T00:00:00"/>
    <s v="USD"/>
    <d v="2025-09-01T00:00:00"/>
    <n v="34"/>
    <s v="30/09/2025"/>
    <n v="271"/>
    <s v="IN89"/>
  </r>
  <r>
    <x v="0"/>
    <n v="256779415338"/>
    <x v="26"/>
    <n v="0"/>
    <n v="-2.3199999999999998"/>
    <s v="C: ASCENDAS27 P: Matching"/>
    <d v="2025-09-08T00:00:00"/>
    <s v="USD"/>
    <d v="2025-09-01T00:00:00"/>
    <n v="36"/>
    <s v="30/09/2025"/>
    <n v="271"/>
    <s v="IN89"/>
  </r>
  <r>
    <x v="0"/>
    <n v="256779415344"/>
    <x v="26"/>
    <n v="0"/>
    <n v="-4.6500000000000004"/>
    <s v="C: ASCENDAS27 P: Matching"/>
    <d v="2025-09-08T00:00:00"/>
    <s v="USD"/>
    <d v="2025-09-01T00:00:00"/>
    <n v="38"/>
    <s v="30/09/2025"/>
    <n v="271"/>
    <s v="IN89"/>
  </r>
  <r>
    <x v="0"/>
    <n v="256779415345"/>
    <x v="26"/>
    <n v="0"/>
    <n v="-4.6500000000000004"/>
    <s v="C: ASCENDAS27 P: Matching"/>
    <d v="2025-09-08T00:00:00"/>
    <s v="USD"/>
    <d v="2025-09-01T00:00:00"/>
    <n v="40"/>
    <s v="30/09/2025"/>
    <n v="271"/>
    <s v="IN89"/>
  </r>
  <r>
    <x v="0"/>
    <n v="256779415388"/>
    <x v="26"/>
    <n v="0"/>
    <n v="-420"/>
    <s v="C: ASCENDAS27 P: Matching"/>
    <d v="2025-09-08T00:00:00"/>
    <s v="USD"/>
    <d v="2025-09-01T00:00:00"/>
    <n v="42"/>
    <s v="30/09/2025"/>
    <n v="271"/>
    <s v="IN89"/>
  </r>
  <r>
    <x v="0"/>
    <n v="256779415310"/>
    <x v="26"/>
    <n v="0"/>
    <n v="-5.57"/>
    <s v="C: ASCENDAS27 P: Matching"/>
    <d v="2025-09-08T00:00:00"/>
    <s v="USD"/>
    <d v="2025-09-01T00:00:00"/>
    <n v="44"/>
    <s v="30/09/2025"/>
    <n v="271"/>
    <s v="IN89"/>
  </r>
  <r>
    <x v="0"/>
    <n v="256779415379"/>
    <x v="26"/>
    <n v="0"/>
    <n v="-43.29"/>
    <s v="C: ASCENDAS27 P: Matching"/>
    <d v="2025-09-08T00:00:00"/>
    <s v="USD"/>
    <d v="2025-09-01T00:00:00"/>
    <n v="46"/>
    <s v="30/09/2025"/>
    <n v="271"/>
    <s v="IN89"/>
  </r>
  <r>
    <x v="0"/>
    <n v="256779415384"/>
    <x v="26"/>
    <n v="0"/>
    <n v="-65"/>
    <s v="C: ASCENDAS27 P: Matching"/>
    <d v="2025-09-08T00:00:00"/>
    <s v="USD"/>
    <d v="2025-09-01T00:00:00"/>
    <n v="48"/>
    <s v="30/09/2025"/>
    <n v="271"/>
    <s v="IN89"/>
  </r>
  <r>
    <x v="0"/>
    <n v="256779415339"/>
    <x v="26"/>
    <n v="0"/>
    <n v="-5.09"/>
    <s v="C: ASCENDAS27 P: Matching"/>
    <d v="2025-09-08T00:00:00"/>
    <s v="USD"/>
    <d v="2025-09-01T00:00:00"/>
    <n v="50"/>
    <s v="30/09/2025"/>
    <n v="271"/>
    <s v="IN89"/>
  </r>
  <r>
    <x v="0"/>
    <n v="256779415393"/>
    <x v="26"/>
    <n v="0"/>
    <n v="-11.14"/>
    <s v="C: ASCENDAS27 P: Matching"/>
    <d v="2025-09-08T00:00:00"/>
    <s v="USD"/>
    <d v="2025-09-01T00:00:00"/>
    <n v="54"/>
    <s v="30/09/2025"/>
    <n v="271"/>
    <s v="IN89"/>
  </r>
  <r>
    <x v="0"/>
    <n v="256779415357"/>
    <x v="26"/>
    <n v="0"/>
    <n v="-38.49"/>
    <s v="C: ASCENDAS27 P: Matching"/>
    <d v="2025-09-08T00:00:00"/>
    <s v="USD"/>
    <d v="2025-09-01T00:00:00"/>
    <n v="56"/>
    <s v="30/09/2025"/>
    <n v="271"/>
    <s v="IN89"/>
  </r>
  <r>
    <x v="0"/>
    <n v="256779415300"/>
    <x v="26"/>
    <n v="0"/>
    <n v="-4.46"/>
    <s v="C: ASCENDAS27 P: Matching"/>
    <d v="2025-09-08T00:00:00"/>
    <s v="USD"/>
    <d v="2025-09-01T00:00:00"/>
    <n v="60"/>
    <s v="30/09/2025"/>
    <n v="271"/>
    <s v="IN89"/>
  </r>
  <r>
    <x v="0"/>
    <n v="256779415375"/>
    <x v="26"/>
    <n v="0"/>
    <n v="-66.849999999999994"/>
    <s v="C: ASCENDAS27 P: Matching"/>
    <d v="2025-09-08T00:00:00"/>
    <s v="USD"/>
    <d v="2025-09-01T00:00:00"/>
    <n v="62"/>
    <s v="30/09/2025"/>
    <n v="271"/>
    <s v="IN89"/>
  </r>
  <r>
    <x v="0"/>
    <n v="256779415349"/>
    <x v="26"/>
    <n v="0"/>
    <n v="-5.0999999999999996"/>
    <s v="C: ASCENDAS27 P: Matching"/>
    <d v="2025-09-08T00:00:00"/>
    <s v="USD"/>
    <d v="2025-09-01T00:00:00"/>
    <n v="66"/>
    <s v="30/09/2025"/>
    <n v="271"/>
    <s v="IN89"/>
  </r>
  <r>
    <x v="0"/>
    <n v="256779415308"/>
    <x v="26"/>
    <n v="0"/>
    <n v="-5.57"/>
    <s v="C: ASCENDAS27 P: Matching"/>
    <d v="2025-09-08T00:00:00"/>
    <s v="USD"/>
    <d v="2025-09-01T00:00:00"/>
    <n v="68"/>
    <s v="30/09/2025"/>
    <n v="271"/>
    <s v="IN89"/>
  </r>
  <r>
    <x v="0"/>
    <n v="256779415360"/>
    <x v="26"/>
    <n v="0"/>
    <n v="-11.14"/>
    <s v="C: ASCENDAS27 P: Matching"/>
    <d v="2025-09-08T00:00:00"/>
    <s v="USD"/>
    <d v="2025-09-01T00:00:00"/>
    <n v="72"/>
    <s v="30/09/2025"/>
    <n v="271"/>
    <s v="IN89"/>
  </r>
  <r>
    <x v="0"/>
    <n v="256779415318"/>
    <x v="26"/>
    <n v="0"/>
    <n v="-47.28"/>
    <s v="C: ASCENDAS27 P: Matching"/>
    <d v="2025-09-08T00:00:00"/>
    <s v="USD"/>
    <d v="2025-09-01T00:00:00"/>
    <n v="74"/>
    <s v="30/09/2025"/>
    <n v="271"/>
    <s v="IN89"/>
  </r>
  <r>
    <x v="0"/>
    <n v="256779415378"/>
    <x v="26"/>
    <n v="0"/>
    <n v="-22.29"/>
    <s v="C: ASCENDAS27 P: Matching"/>
    <d v="2025-09-08T00:00:00"/>
    <s v="USD"/>
    <d v="2025-09-01T00:00:00"/>
    <n v="76"/>
    <s v="30/09/2025"/>
    <n v="271"/>
    <s v="IN89"/>
  </r>
  <r>
    <x v="0"/>
    <n v="256779415391"/>
    <x v="26"/>
    <n v="0"/>
    <n v="-152.30000000000001"/>
    <s v="C: ASCENDAS27 P: Matching"/>
    <d v="2025-09-08T00:00:00"/>
    <s v="USD"/>
    <d v="2025-09-01T00:00:00"/>
    <n v="78"/>
    <s v="30/09/2025"/>
    <n v="271"/>
    <s v="IN89"/>
  </r>
  <r>
    <x v="0"/>
    <n v="256779415334"/>
    <x v="26"/>
    <n v="0"/>
    <n v="-4.17"/>
    <s v="C: ASCENDAS27 P: Matching"/>
    <d v="2025-09-08T00:00:00"/>
    <s v="USD"/>
    <d v="2025-09-01T00:00:00"/>
    <n v="80"/>
    <s v="30/09/2025"/>
    <n v="271"/>
    <s v="IN89"/>
  </r>
  <r>
    <x v="0"/>
    <n v="256779415371"/>
    <x v="26"/>
    <n v="0"/>
    <n v="-8.0500000000000007"/>
    <s v="C: ASCENDAS27 P: Matching"/>
    <d v="2025-09-08T00:00:00"/>
    <s v="USD"/>
    <d v="2025-09-01T00:00:00"/>
    <n v="82"/>
    <s v="30/09/2025"/>
    <n v="271"/>
    <s v="IN89"/>
  </r>
  <r>
    <x v="0"/>
    <n v="256779415315"/>
    <x v="26"/>
    <n v="0"/>
    <n v="-22.29"/>
    <s v="C: ASCENDAS27 P: Matching"/>
    <d v="2025-09-08T00:00:00"/>
    <s v="USD"/>
    <d v="2025-09-01T00:00:00"/>
    <n v="84"/>
    <s v="30/09/2025"/>
    <n v="271"/>
    <s v="IN89"/>
  </r>
  <r>
    <x v="0"/>
    <n v="256779415305"/>
    <x v="26"/>
    <n v="0"/>
    <n v="-5.57"/>
    <s v="C: ASCENDAS27 P: Matching"/>
    <d v="2025-09-08T00:00:00"/>
    <s v="USD"/>
    <d v="2025-09-01T00:00:00"/>
    <n v="86"/>
    <s v="30/09/2025"/>
    <n v="271"/>
    <s v="IN89"/>
  </r>
  <r>
    <x v="0"/>
    <n v="256779415356"/>
    <x v="26"/>
    <n v="0"/>
    <n v="-13.37"/>
    <s v="C: ASCENDAS27 P: Matching"/>
    <d v="2025-09-08T00:00:00"/>
    <s v="USD"/>
    <d v="2025-09-01T00:00:00"/>
    <n v="88"/>
    <s v="30/09/2025"/>
    <n v="271"/>
    <s v="IN89"/>
  </r>
  <r>
    <x v="0"/>
    <n v="256779415383"/>
    <x v="26"/>
    <n v="0"/>
    <n v="-28.93"/>
    <s v="C: ASCENDAS27 P: Matching"/>
    <d v="2025-09-08T00:00:00"/>
    <s v="USD"/>
    <d v="2025-09-01T00:00:00"/>
    <n v="90"/>
    <s v="30/09/2025"/>
    <n v="271"/>
    <s v="IN89"/>
  </r>
  <r>
    <x v="0"/>
    <n v="256779415372"/>
    <x v="26"/>
    <n v="0"/>
    <n v="-28.85"/>
    <s v="C: ASCENDAS27 P: Matching"/>
    <d v="2025-09-08T00:00:00"/>
    <s v="USD"/>
    <d v="2025-09-01T00:00:00"/>
    <n v="92"/>
    <s v="30/09/2025"/>
    <n v="271"/>
    <s v="IN89"/>
  </r>
  <r>
    <x v="0"/>
    <n v="256779415361"/>
    <x v="26"/>
    <n v="0"/>
    <n v="-12.53"/>
    <s v="C: ASCENDAS27 P: Matching"/>
    <d v="2025-09-08T00:00:00"/>
    <s v="USD"/>
    <d v="2025-09-01T00:00:00"/>
    <n v="94"/>
    <s v="30/09/2025"/>
    <n v="271"/>
    <s v="IN89"/>
  </r>
  <r>
    <x v="0"/>
    <n v="256779415317"/>
    <x v="26"/>
    <n v="0"/>
    <n v="-37.14"/>
    <s v="C: ASCENDAS27 P: Matching"/>
    <d v="2025-09-08T00:00:00"/>
    <s v="USD"/>
    <d v="2025-09-01T00:00:00"/>
    <n v="96"/>
    <s v="30/09/2025"/>
    <n v="271"/>
    <s v="IN89"/>
  </r>
  <r>
    <x v="0"/>
    <n v="256779415394"/>
    <x v="26"/>
    <n v="0"/>
    <n v="-17.829999999999998"/>
    <s v="C: ASCENDAS27 P: Matching"/>
    <d v="2025-09-08T00:00:00"/>
    <s v="USD"/>
    <d v="2025-09-01T00:00:00"/>
    <n v="98"/>
    <s v="30/09/2025"/>
    <n v="271"/>
    <s v="IN89"/>
  </r>
  <r>
    <x v="0"/>
    <n v="256779415314"/>
    <x v="26"/>
    <n v="0"/>
    <n v="-33.26"/>
    <s v="C: ASCENDAS27 P: Matching"/>
    <d v="2025-09-08T00:00:00"/>
    <s v="USD"/>
    <d v="2025-09-01T00:00:00"/>
    <n v="100"/>
    <s v="30/09/2025"/>
    <n v="271"/>
    <s v="IN89"/>
  </r>
  <r>
    <x v="0"/>
    <n v="256779415352"/>
    <x v="26"/>
    <n v="0"/>
    <n v="-28.96"/>
    <s v="C: ASCENDAS27 P: Matching"/>
    <d v="2025-09-08T00:00:00"/>
    <s v="USD"/>
    <d v="2025-09-01T00:00:00"/>
    <n v="102"/>
    <s v="30/09/2025"/>
    <n v="271"/>
    <s v="IN89"/>
  </r>
  <r>
    <x v="0"/>
    <n v="256779415342"/>
    <x v="26"/>
    <n v="0"/>
    <n v="-0.46"/>
    <s v="C: ASCENDAS27 P: Matching"/>
    <d v="2025-09-08T00:00:00"/>
    <s v="USD"/>
    <d v="2025-09-01T00:00:00"/>
    <n v="106"/>
    <s v="30/09/2025"/>
    <n v="271"/>
    <s v="IN89"/>
  </r>
  <r>
    <x v="0"/>
    <n v="256779415376"/>
    <x v="26"/>
    <n v="0"/>
    <n v="-11.14"/>
    <s v="C: ASCENDAS27 P: Matching"/>
    <d v="2025-09-08T00:00:00"/>
    <s v="USD"/>
    <d v="2025-09-01T00:00:00"/>
    <n v="108"/>
    <s v="30/09/2025"/>
    <n v="271"/>
    <s v="IN89"/>
  </r>
  <r>
    <x v="0"/>
    <n v="256779415336"/>
    <x v="26"/>
    <n v="0"/>
    <n v="-0.93"/>
    <s v="C: ASCENDAS27 P: Matching"/>
    <d v="2025-09-08T00:00:00"/>
    <s v="USD"/>
    <d v="2025-09-01T00:00:00"/>
    <n v="110"/>
    <s v="30/09/2025"/>
    <n v="271"/>
    <s v="IN89"/>
  </r>
  <r>
    <x v="0"/>
    <n v="256779415382"/>
    <x v="26"/>
    <n v="0"/>
    <n v="-21.84"/>
    <s v="C: ASCENDAS27 P: Matching"/>
    <d v="2025-09-08T00:00:00"/>
    <s v="USD"/>
    <d v="2025-09-01T00:00:00"/>
    <n v="114"/>
    <s v="30/09/2025"/>
    <n v="271"/>
    <s v="IN89"/>
  </r>
  <r>
    <x v="0"/>
    <n v="256779415295"/>
    <x v="26"/>
    <n v="0"/>
    <n v="-4.46"/>
    <s v="C: ASCENDAS27 P: Matching"/>
    <d v="2025-09-08T00:00:00"/>
    <s v="USD"/>
    <d v="2025-09-01T00:00:00"/>
    <n v="116"/>
    <s v="30/09/2025"/>
    <n v="271"/>
    <s v="IN89"/>
  </r>
  <r>
    <x v="0"/>
    <n v="256779415326"/>
    <x v="26"/>
    <n v="0"/>
    <n v="-34.369999999999997"/>
    <s v="C: ASCENDAS27 P: Matching"/>
    <d v="2025-09-08T00:00:00"/>
    <s v="USD"/>
    <d v="2025-09-01T00:00:00"/>
    <n v="118"/>
    <s v="30/09/2025"/>
    <n v="271"/>
    <s v="IN89"/>
  </r>
  <r>
    <x v="0"/>
    <n v="256779415306"/>
    <x v="26"/>
    <n v="0"/>
    <n v="-5.57"/>
    <s v="C: ASCENDAS27 P: Matching"/>
    <d v="2025-09-08T00:00:00"/>
    <s v="USD"/>
    <d v="2025-09-01T00:00:00"/>
    <n v="120"/>
    <s v="30/09/2025"/>
    <n v="271"/>
    <s v="IN89"/>
  </r>
  <r>
    <x v="0"/>
    <n v="256779415390"/>
    <x v="26"/>
    <n v="0"/>
    <n v="-20.6"/>
    <s v="C: ASCENDAS27 P: Matching"/>
    <d v="2025-09-08T00:00:00"/>
    <s v="USD"/>
    <d v="2025-09-01T00:00:00"/>
    <n v="122"/>
    <s v="30/09/2025"/>
    <n v="271"/>
    <s v="IN89"/>
  </r>
  <r>
    <x v="0"/>
    <n v="256779415340"/>
    <x v="26"/>
    <n v="0"/>
    <n v="-4.8"/>
    <s v="C: ASCENDAS27 P: Matching"/>
    <d v="2025-09-08T00:00:00"/>
    <s v="USD"/>
    <d v="2025-09-01T00:00:00"/>
    <n v="124"/>
    <s v="30/09/2025"/>
    <n v="271"/>
    <s v="IN89"/>
  </r>
  <r>
    <x v="0"/>
    <n v="256779415343"/>
    <x v="26"/>
    <n v="0"/>
    <n v="-0.19"/>
    <s v="C: ASCENDAS27 P: Matching"/>
    <d v="2025-09-08T00:00:00"/>
    <s v="USD"/>
    <d v="2025-09-01T00:00:00"/>
    <n v="126"/>
    <s v="30/09/2025"/>
    <n v="271"/>
    <s v="IN89"/>
  </r>
  <r>
    <x v="0"/>
    <n v="256779415395"/>
    <x v="26"/>
    <n v="0"/>
    <n v="-38.200000000000003"/>
    <s v="C: ASCENDAS27 P: Matching"/>
    <d v="2025-09-08T00:00:00"/>
    <s v="USD"/>
    <d v="2025-09-01T00:00:00"/>
    <n v="128"/>
    <s v="30/09/2025"/>
    <n v="271"/>
    <s v="IN89"/>
  </r>
  <r>
    <x v="0"/>
    <n v="256779415381"/>
    <x v="26"/>
    <n v="0"/>
    <n v="-11.14"/>
    <s v="C: ASCENDAS27 P: Matching"/>
    <d v="2025-09-08T00:00:00"/>
    <s v="USD"/>
    <d v="2025-09-01T00:00:00"/>
    <n v="130"/>
    <s v="30/09/2025"/>
    <n v="271"/>
    <s v="IN89"/>
  </r>
  <r>
    <x v="0"/>
    <n v="256779415392"/>
    <x v="26"/>
    <n v="0"/>
    <n v="-37.14"/>
    <s v="C: ASCENDAS27 P: Matching"/>
    <d v="2025-09-08T00:00:00"/>
    <s v="USD"/>
    <d v="2025-09-01T00:00:00"/>
    <n v="132"/>
    <s v="30/09/2025"/>
    <n v="271"/>
    <s v="IN89"/>
  </r>
  <r>
    <x v="0"/>
    <n v="256779415358"/>
    <x v="26"/>
    <n v="0"/>
    <n v="-17.829999999999998"/>
    <s v="C: ASCENDAS27 P: Matching"/>
    <d v="2025-09-08T00:00:00"/>
    <s v="USD"/>
    <d v="2025-09-01T00:00:00"/>
    <n v="134"/>
    <s v="30/09/2025"/>
    <n v="271"/>
    <s v="IN89"/>
  </r>
  <r>
    <x v="0"/>
    <n v="256779415337"/>
    <x v="26"/>
    <n v="0"/>
    <n v="-3.24"/>
    <s v="C: ASCENDAS27 P: Matching"/>
    <d v="2025-09-08T00:00:00"/>
    <s v="USD"/>
    <d v="2025-09-01T00:00:00"/>
    <n v="136"/>
    <s v="30/09/2025"/>
    <n v="271"/>
    <s v="IN89"/>
  </r>
  <r>
    <x v="0"/>
    <n v="256779415362"/>
    <x v="26"/>
    <n v="0"/>
    <n v="-0.56000000000000005"/>
    <s v="C: ASCENDAS27 P: Matching"/>
    <d v="2025-09-08T00:00:00"/>
    <s v="USD"/>
    <d v="2025-09-01T00:00:00"/>
    <n v="138"/>
    <s v="30/09/2025"/>
    <n v="271"/>
    <s v="IN89"/>
  </r>
  <r>
    <x v="0"/>
    <n v="256779415373"/>
    <x v="26"/>
    <n v="0"/>
    <n v="-0.48"/>
    <s v="C: ASCENDAS27 P: Matching"/>
    <d v="2025-09-08T00:00:00"/>
    <s v="USD"/>
    <d v="2025-09-01T00:00:00"/>
    <n v="140"/>
    <s v="30/09/2025"/>
    <n v="271"/>
    <s v="IN89"/>
  </r>
  <r>
    <x v="0"/>
    <n v="256779415386"/>
    <x v="26"/>
    <n v="0"/>
    <n v="-1.39"/>
    <s v="C: ASCENDAS27 P: Matching"/>
    <d v="2025-09-08T00:00:00"/>
    <s v="USD"/>
    <d v="2025-09-01T00:00:00"/>
    <n v="142"/>
    <s v="30/09/2025"/>
    <n v="271"/>
    <s v="IN89"/>
  </r>
  <r>
    <x v="0"/>
    <n v="256779415348"/>
    <x v="26"/>
    <n v="0"/>
    <n v="-1.39"/>
    <s v="C: ASCENDAS27 P: Matching"/>
    <d v="2025-09-08T00:00:00"/>
    <s v="USD"/>
    <d v="2025-09-01T00:00:00"/>
    <n v="144"/>
    <s v="30/09/2025"/>
    <n v="271"/>
    <s v="IN89"/>
  </r>
  <r>
    <x v="0"/>
    <n v="256779415369"/>
    <x v="26"/>
    <n v="0"/>
    <n v="-0.56000000000000005"/>
    <s v="C: ASCENDAS27 P: Matching"/>
    <d v="2025-09-08T00:00:00"/>
    <s v="USD"/>
    <d v="2025-09-01T00:00:00"/>
    <n v="146"/>
    <s v="30/09/2025"/>
    <n v="271"/>
    <s v="IN89"/>
  </r>
  <r>
    <x v="0"/>
    <n v="256779415364"/>
    <x v="26"/>
    <n v="0"/>
    <n v="-37.14"/>
    <s v="C: ASCENDAS27 P: Matching"/>
    <d v="2025-09-08T00:00:00"/>
    <s v="USD"/>
    <d v="2025-09-01T00:00:00"/>
    <n v="148"/>
    <s v="30/09/2025"/>
    <n v="271"/>
    <s v="IN89"/>
  </r>
  <r>
    <x v="0"/>
    <n v="256779415299"/>
    <x v="26"/>
    <n v="0"/>
    <n v="-4.46"/>
    <s v="C: ASCENDAS27 P: Matching"/>
    <d v="2025-09-08T00:00:00"/>
    <s v="USD"/>
    <d v="2025-09-01T00:00:00"/>
    <n v="150"/>
    <s v="30/09/2025"/>
    <n v="271"/>
    <s v="IN89"/>
  </r>
  <r>
    <x v="0"/>
    <n v="256779415335"/>
    <x v="26"/>
    <n v="0"/>
    <n v="-4.6500000000000004"/>
    <s v="C: ASCENDAS27 P: Matching"/>
    <d v="2025-09-08T00:00:00"/>
    <s v="USD"/>
    <d v="2025-09-01T00:00:00"/>
    <n v="152"/>
    <s v="30/09/2025"/>
    <n v="271"/>
    <s v="IN89"/>
  </r>
  <r>
    <x v="0"/>
    <n v="256779415292"/>
    <x v="26"/>
    <n v="0"/>
    <n v="-4.46"/>
    <s v="C: ASCENDAS27 P: Matching"/>
    <d v="2025-09-08T00:00:00"/>
    <s v="USD"/>
    <d v="2025-09-01T00:00:00"/>
    <n v="154"/>
    <s v="30/09/2025"/>
    <n v="271"/>
    <s v="IN89"/>
  </r>
  <r>
    <x v="0"/>
    <n v="256779415370"/>
    <x v="26"/>
    <n v="0"/>
    <n v="-13.37"/>
    <s v="C: ASCENDAS27 P: Matching"/>
    <d v="2025-09-08T00:00:00"/>
    <s v="USD"/>
    <d v="2025-09-01T00:00:00"/>
    <n v="156"/>
    <s v="30/09/2025"/>
    <n v="271"/>
    <s v="IN89"/>
  </r>
  <r>
    <x v="0"/>
    <n v="256779415294"/>
    <x v="26"/>
    <n v="0"/>
    <n v="-4.46"/>
    <s v="C: ASCENDAS27 P: Matching"/>
    <d v="2025-09-08T00:00:00"/>
    <s v="USD"/>
    <d v="2025-09-01T00:00:00"/>
    <n v="158"/>
    <s v="30/09/2025"/>
    <n v="271"/>
    <s v="IN89"/>
  </r>
  <r>
    <x v="0"/>
    <n v="256779415307"/>
    <x v="26"/>
    <n v="0"/>
    <n v="-5.57"/>
    <s v="C: ASCENDAS27 P: Matching"/>
    <d v="2025-09-08T00:00:00"/>
    <s v="USD"/>
    <d v="2025-09-01T00:00:00"/>
    <n v="160"/>
    <s v="30/09/2025"/>
    <n v="271"/>
    <s v="IN89"/>
  </r>
  <r>
    <x v="0"/>
    <n v="256779415347"/>
    <x v="26"/>
    <n v="0"/>
    <n v="-3.72"/>
    <s v="C: ASCENDAS27 P: Matching"/>
    <d v="2025-09-08T00:00:00"/>
    <s v="USD"/>
    <d v="2025-09-01T00:00:00"/>
    <n v="162"/>
    <s v="30/09/2025"/>
    <n v="271"/>
    <s v="IN89"/>
  </r>
  <r>
    <x v="0"/>
    <n v="256779415297"/>
    <x v="26"/>
    <n v="0"/>
    <n v="-4.46"/>
    <s v="C: ASCENDAS27 P: Matching"/>
    <d v="2025-09-08T00:00:00"/>
    <s v="USD"/>
    <d v="2025-09-01T00:00:00"/>
    <n v="164"/>
    <s v="30/09/2025"/>
    <n v="271"/>
    <s v="IN89"/>
  </r>
  <r>
    <x v="0"/>
    <n v="256779415312"/>
    <x v="26"/>
    <n v="-200"/>
    <n v="-17694"/>
    <m/>
    <d v="2025-09-08T00:00:00"/>
    <s v="USD"/>
    <d v="2025-10-01T00:00:00"/>
    <n v="1"/>
    <s v="29/10/2025"/>
    <n v="210"/>
    <s v="IN89"/>
  </r>
  <r>
    <x v="0"/>
    <n v="256779415327"/>
    <x v="26"/>
    <n v="-20"/>
    <n v="-1769.4"/>
    <m/>
    <d v="2025-09-08T00:00:00"/>
    <s v="USD"/>
    <d v="2025-10-01T00:00:00"/>
    <n v="1"/>
    <s v="29/10/2025"/>
    <n v="210"/>
    <s v="IN89"/>
  </r>
  <r>
    <x v="0"/>
    <n v="256779415351"/>
    <x v="26"/>
    <n v="-17.03"/>
    <n v="-1464.4"/>
    <m/>
    <d v="2025-09-08T00:00:00"/>
    <s v="USD"/>
    <d v="2025-10-01T00:00:00"/>
    <n v="1"/>
    <s v="29/10/2025"/>
    <n v="210"/>
    <s v="IN89"/>
  </r>
  <r>
    <x v="0"/>
    <n v="256779415324"/>
    <x v="26"/>
    <n v="-146.65"/>
    <n v="-12974.13"/>
    <m/>
    <d v="2025-09-08T00:00:00"/>
    <s v="USD"/>
    <d v="2025-10-01T00:00:00"/>
    <n v="1"/>
    <s v="29/10/2025"/>
    <n v="210"/>
    <s v="IN89"/>
  </r>
  <r>
    <x v="0"/>
    <n v="256779415322"/>
    <x v="26"/>
    <n v="-192"/>
    <n v="-16986.240000000002"/>
    <m/>
    <d v="2025-09-08T00:00:00"/>
    <s v="USD"/>
    <d v="2025-10-01T00:00:00"/>
    <n v="1"/>
    <s v="29/10/2025"/>
    <n v="210"/>
    <s v="IN89"/>
  </r>
  <r>
    <x v="0"/>
    <n v="256779415366"/>
    <x v="26"/>
    <n v="-192"/>
    <n v="-16986.240000000002"/>
    <m/>
    <d v="2025-09-08T00:00:00"/>
    <s v="USD"/>
    <d v="2025-10-01T00:00:00"/>
    <n v="1"/>
    <s v="29/10/2025"/>
    <n v="210"/>
    <s v="IN89"/>
  </r>
  <r>
    <x v="0"/>
    <n v="256779415365"/>
    <x v="26"/>
    <n v="-313"/>
    <n v="-27691.11"/>
    <m/>
    <d v="2025-09-08T00:00:00"/>
    <s v="USD"/>
    <d v="2025-10-01T00:00:00"/>
    <n v="1"/>
    <s v="29/10/2025"/>
    <n v="210"/>
    <s v="IN89"/>
  </r>
  <r>
    <x v="0"/>
    <n v="256779415311"/>
    <x v="26"/>
    <n v="-77.48"/>
    <n v="-6854.66"/>
    <m/>
    <d v="2025-09-08T00:00:00"/>
    <s v="USD"/>
    <d v="2025-10-01T00:00:00"/>
    <n v="1"/>
    <s v="29/10/2025"/>
    <n v="210"/>
    <s v="IN89"/>
  </r>
  <r>
    <x v="0"/>
    <n v="256779415368"/>
    <x v="26"/>
    <n v="-60"/>
    <n v="-5308.2"/>
    <m/>
    <d v="2025-09-08T00:00:00"/>
    <s v="USD"/>
    <d v="2025-10-01T00:00:00"/>
    <n v="1"/>
    <s v="29/10/2025"/>
    <n v="210"/>
    <s v="IN89"/>
  </r>
  <r>
    <x v="0"/>
    <n v="256779415320"/>
    <x v="26"/>
    <n v="-12.5"/>
    <n v="-1105.8800000000001"/>
    <m/>
    <d v="2025-09-08T00:00:00"/>
    <s v="USD"/>
    <d v="2025-10-01T00:00:00"/>
    <n v="1"/>
    <s v="29/10/2025"/>
    <n v="210"/>
    <s v="IN89"/>
  </r>
  <r>
    <x v="0"/>
    <n v="256779415301"/>
    <x v="26"/>
    <n v="-30"/>
    <n v="-2654.1"/>
    <m/>
    <d v="2025-09-08T00:00:00"/>
    <s v="USD"/>
    <d v="2025-10-01T00:00:00"/>
    <n v="1"/>
    <s v="29/10/2025"/>
    <n v="210"/>
    <s v="IN89"/>
  </r>
  <r>
    <x v="0"/>
    <n v="256779415329"/>
    <x v="26"/>
    <n v="-27.5"/>
    <n v="-2432.9299999999998"/>
    <m/>
    <d v="2025-09-08T00:00:00"/>
    <s v="USD"/>
    <d v="2025-10-01T00:00:00"/>
    <n v="1"/>
    <s v="29/10/2025"/>
    <n v="210"/>
    <s v="IN89"/>
  </r>
  <r>
    <x v="0"/>
    <n v="256779415367"/>
    <x v="26"/>
    <n v="-200"/>
    <n v="-17694"/>
    <m/>
    <d v="2025-09-08T00:00:00"/>
    <s v="USD"/>
    <d v="2025-10-01T00:00:00"/>
    <n v="1"/>
    <s v="29/10/2025"/>
    <n v="210"/>
    <s v="IN89"/>
  </r>
  <r>
    <x v="0"/>
    <n v="256779415353"/>
    <x v="26"/>
    <n v="-200"/>
    <n v="-17694"/>
    <m/>
    <d v="2025-09-08T00:00:00"/>
    <s v="USD"/>
    <d v="2025-10-01T00:00:00"/>
    <n v="1"/>
    <s v="29/10/2025"/>
    <n v="210"/>
    <s v="IN89"/>
  </r>
  <r>
    <x v="0"/>
    <n v="256779415330"/>
    <x v="26"/>
    <n v="-22.5"/>
    <n v="-1990.58"/>
    <m/>
    <d v="2025-09-08T00:00:00"/>
    <s v="USD"/>
    <d v="2025-10-01T00:00:00"/>
    <n v="1"/>
    <s v="29/10/2025"/>
    <n v="210"/>
    <s v="IN89"/>
  </r>
  <r>
    <x v="0"/>
    <n v="256779415354"/>
    <x v="26"/>
    <n v="-60"/>
    <n v="-5308.2"/>
    <m/>
    <d v="2025-09-08T00:00:00"/>
    <s v="USD"/>
    <d v="2025-10-01T00:00:00"/>
    <n v="1"/>
    <s v="29/10/2025"/>
    <n v="210"/>
    <s v="IN89"/>
  </r>
  <r>
    <x v="0"/>
    <n v="256779415387"/>
    <x v="26"/>
    <n v="-70.900000000000006"/>
    <n v="-6096.66"/>
    <m/>
    <d v="2025-09-08T00:00:00"/>
    <s v="USD"/>
    <d v="2025-10-01T00:00:00"/>
    <n v="1"/>
    <s v="29/10/2025"/>
    <n v="210"/>
    <s v="IN89"/>
  </r>
  <r>
    <x v="0"/>
    <n v="256779415313"/>
    <x v="26"/>
    <n v="-60"/>
    <n v="-5308.2"/>
    <m/>
    <d v="2025-09-08T00:00:00"/>
    <s v="USD"/>
    <d v="2025-10-01T00:00:00"/>
    <n v="1"/>
    <s v="29/10/2025"/>
    <n v="210"/>
    <s v="IN89"/>
  </r>
  <r>
    <x v="0"/>
    <n v="256779415323"/>
    <x v="26"/>
    <n v="-211.75"/>
    <n v="-18733.52"/>
    <m/>
    <d v="2025-09-08T00:00:00"/>
    <s v="USD"/>
    <d v="2025-10-01T00:00:00"/>
    <n v="1"/>
    <s v="29/10/2025"/>
    <n v="210"/>
    <s v="IN89"/>
  </r>
  <r>
    <x v="0"/>
    <n v="256779415309"/>
    <x v="26"/>
    <n v="-30"/>
    <n v="-2654.1"/>
    <m/>
    <d v="2025-09-08T00:00:00"/>
    <s v="USD"/>
    <d v="2025-10-01T00:00:00"/>
    <n v="1"/>
    <s v="29/10/2025"/>
    <n v="210"/>
    <s v="IN89"/>
  </r>
  <r>
    <x v="0"/>
    <n v="256779415302"/>
    <x v="26"/>
    <n v="-30"/>
    <n v="-2654.1"/>
    <m/>
    <d v="2025-09-08T00:00:00"/>
    <s v="USD"/>
    <d v="2025-10-01T00:00:00"/>
    <n v="1"/>
    <s v="29/10/2025"/>
    <n v="210"/>
    <s v="IN89"/>
  </r>
  <r>
    <x v="0"/>
    <n v="256779415289"/>
    <x v="26"/>
    <n v="-250"/>
    <n v="-22117.5"/>
    <m/>
    <d v="2025-09-08T00:00:00"/>
    <s v="USD"/>
    <d v="2025-10-01T00:00:00"/>
    <n v="1"/>
    <s v="29/10/2025"/>
    <n v="210"/>
    <s v="IN89"/>
  </r>
  <r>
    <x v="0"/>
    <n v="256779415325"/>
    <x v="26"/>
    <n v="-192"/>
    <n v="-16986.240000000002"/>
    <m/>
    <d v="2025-09-08T00:00:00"/>
    <s v="USD"/>
    <d v="2025-10-01T00:00:00"/>
    <n v="1"/>
    <s v="29/10/2025"/>
    <n v="210"/>
    <s v="IN89"/>
  </r>
  <r>
    <x v="0"/>
    <n v="256779415353"/>
    <x v="26"/>
    <n v="4"/>
    <n v="353.88"/>
    <s v="C: ASCENDAS27 P: A023951 I 256779415353"/>
    <d v="2025-09-08T00:00:00"/>
    <s v="USD"/>
    <d v="2025-10-01T00:00:00"/>
    <n v="1"/>
    <s v="29/10/2025"/>
    <n v="230"/>
    <s v="IN89"/>
  </r>
  <r>
    <x v="0"/>
    <n v="256779415330"/>
    <x v="26"/>
    <n v="0.45"/>
    <n v="39.81"/>
    <s v="C: ASCENDAS27 P: A023951 I 256779415330"/>
    <d v="2025-09-08T00:00:00"/>
    <s v="USD"/>
    <d v="2025-10-01T00:00:00"/>
    <n v="1"/>
    <s v="29/10/2025"/>
    <n v="230"/>
    <s v="IN89"/>
  </r>
  <r>
    <x v="0"/>
    <n v="256779415366"/>
    <x v="26"/>
    <n v="3.84"/>
    <n v="339.72"/>
    <s v="C: ASCENDAS27 P: A023951 I 256779415366"/>
    <d v="2025-09-08T00:00:00"/>
    <s v="USD"/>
    <d v="2025-10-01T00:00:00"/>
    <n v="1"/>
    <s v="29/10/2025"/>
    <n v="230"/>
    <s v="IN89"/>
  </r>
  <r>
    <x v="0"/>
    <n v="256779415311"/>
    <x v="26"/>
    <n v="1.55"/>
    <n v="137.13"/>
    <s v="C: ASCENDAS27 P: A023951 I 256779415311"/>
    <d v="2025-09-08T00:00:00"/>
    <s v="USD"/>
    <d v="2025-10-01T00:00:00"/>
    <n v="1"/>
    <s v="29/10/2025"/>
    <n v="230"/>
    <s v="IN89"/>
  </r>
  <r>
    <x v="0"/>
    <n v="256779415320"/>
    <x v="26"/>
    <n v="0.25"/>
    <n v="22.12"/>
    <s v="C: ASCENDAS27 P: A023951 I 256779415320"/>
    <d v="2025-09-08T00:00:00"/>
    <s v="USD"/>
    <d v="2025-10-01T00:00:00"/>
    <n v="1"/>
    <s v="29/10/2025"/>
    <n v="230"/>
    <s v="IN89"/>
  </r>
  <r>
    <x v="0"/>
    <n v="256779415329"/>
    <x v="26"/>
    <n v="0.55000000000000004"/>
    <n v="48.66"/>
    <s v="C: ASCENDAS27 P: A023951 I 256779415329"/>
    <d v="2025-09-08T00:00:00"/>
    <s v="USD"/>
    <d v="2025-10-01T00:00:00"/>
    <n v="1"/>
    <s v="29/10/2025"/>
    <n v="230"/>
    <s v="IN89"/>
  </r>
  <r>
    <x v="0"/>
    <n v="256779415327"/>
    <x v="26"/>
    <n v="0.4"/>
    <n v="35.39"/>
    <s v="C: ASCENDAS27 P: A023951 I 256779415327"/>
    <d v="2025-09-08T00:00:00"/>
    <s v="USD"/>
    <d v="2025-10-01T00:00:00"/>
    <n v="1"/>
    <s v="29/10/2025"/>
    <n v="230"/>
    <s v="IN89"/>
  </r>
  <r>
    <x v="0"/>
    <n v="256779415367"/>
    <x v="26"/>
    <n v="4"/>
    <n v="353.88"/>
    <s v="C: ASCENDAS27 P: A023951 I 256779415367"/>
    <d v="2025-09-08T00:00:00"/>
    <s v="USD"/>
    <d v="2025-10-01T00:00:00"/>
    <n v="1"/>
    <s v="29/10/2025"/>
    <n v="230"/>
    <s v="IN89"/>
  </r>
  <r>
    <x v="0"/>
    <n v="256779415368"/>
    <x v="26"/>
    <n v="1.2"/>
    <n v="106.16"/>
    <s v="C: ASCENDAS27 P: A023951 I 256779415368"/>
    <d v="2025-09-08T00:00:00"/>
    <s v="USD"/>
    <d v="2025-10-01T00:00:00"/>
    <n v="1"/>
    <s v="29/10/2025"/>
    <n v="230"/>
    <s v="IN89"/>
  </r>
  <r>
    <x v="0"/>
    <n v="256779415312"/>
    <x v="26"/>
    <n v="4"/>
    <n v="353.88"/>
    <s v="C: ASCENDAS27 P: A023951 I 256779415312"/>
    <d v="2025-09-08T00:00:00"/>
    <s v="USD"/>
    <d v="2025-10-01T00:00:00"/>
    <n v="1"/>
    <s v="29/10/2025"/>
    <n v="230"/>
    <s v="IN89"/>
  </r>
  <r>
    <x v="0"/>
    <n v="256779415301"/>
    <x v="26"/>
    <n v="0.6"/>
    <n v="53.08"/>
    <s v="C: ASCENDAS27 P: A023951 I 256779415301"/>
    <d v="2025-09-08T00:00:00"/>
    <s v="USD"/>
    <d v="2025-10-01T00:00:00"/>
    <n v="1"/>
    <s v="29/10/2025"/>
    <n v="230"/>
    <s v="IN89"/>
  </r>
  <r>
    <x v="0"/>
    <n v="256779415324"/>
    <x v="26"/>
    <n v="2.93"/>
    <n v="259.22000000000003"/>
    <s v="C: ASCENDAS27 P: A023951 I 256779415324"/>
    <d v="2025-09-08T00:00:00"/>
    <s v="USD"/>
    <d v="2025-10-01T00:00:00"/>
    <n v="1"/>
    <s v="29/10/2025"/>
    <n v="230"/>
    <s v="IN89"/>
  </r>
  <r>
    <x v="0"/>
    <n v="256779415322"/>
    <x v="26"/>
    <n v="3.84"/>
    <n v="339.72"/>
    <s v="C: ASCENDAS27 P: A023951 I 256779415322"/>
    <d v="2025-09-08T00:00:00"/>
    <s v="USD"/>
    <d v="2025-10-01T00:00:00"/>
    <n v="1"/>
    <s v="29/10/2025"/>
    <n v="230"/>
    <s v="IN89"/>
  </r>
  <r>
    <x v="0"/>
    <n v="256779415354"/>
    <x v="26"/>
    <n v="1.2"/>
    <n v="106.16"/>
    <s v="C: ASCENDAS27 P: A023951 I 256779415354"/>
    <d v="2025-09-08T00:00:00"/>
    <s v="USD"/>
    <d v="2025-10-01T00:00:00"/>
    <n v="1"/>
    <s v="29/10/2025"/>
    <n v="230"/>
    <s v="IN89"/>
  </r>
  <r>
    <x v="0"/>
    <n v="256779415351"/>
    <x v="26"/>
    <n v="0.34"/>
    <n v="29.24"/>
    <s v="C: ASCENDAS27 P: A023951 I 256779415351"/>
    <d v="2025-09-08T00:00:00"/>
    <s v="USD"/>
    <d v="2025-10-01T00:00:00"/>
    <n v="1"/>
    <s v="29/10/2025"/>
    <n v="230"/>
    <s v="IN89"/>
  </r>
  <r>
    <x v="0"/>
    <n v="256779415365"/>
    <x v="26"/>
    <n v="6.26"/>
    <n v="553.82000000000005"/>
    <s v="C: ASCENDAS27 P: A023951 I 256779415365"/>
    <d v="2025-09-08T00:00:00"/>
    <s v="USD"/>
    <d v="2025-10-01T00:00:00"/>
    <n v="1"/>
    <s v="29/10/2025"/>
    <n v="230"/>
    <s v="IN89"/>
  </r>
  <r>
    <x v="0"/>
    <n v="256779415323"/>
    <x v="26"/>
    <n v="4.24"/>
    <n v="375.11"/>
    <s v="C: ASCENDAS27 P: A023951 I 256779415323"/>
    <d v="2025-09-08T00:00:00"/>
    <s v="USD"/>
    <d v="2025-10-01T00:00:00"/>
    <n v="1"/>
    <s v="29/10/2025"/>
    <n v="230"/>
    <s v="IN89"/>
  </r>
  <r>
    <x v="0"/>
    <n v="256779415387"/>
    <x v="26"/>
    <n v="1.42"/>
    <n v="122.11"/>
    <s v="C: ASCENDAS27 P: A023951 I 256779415387"/>
    <d v="2025-09-08T00:00:00"/>
    <s v="USD"/>
    <d v="2025-10-01T00:00:00"/>
    <n v="1"/>
    <s v="29/10/2025"/>
    <n v="230"/>
    <s v="IN89"/>
  </r>
  <r>
    <x v="0"/>
    <n v="256779415289"/>
    <x v="26"/>
    <n v="5"/>
    <n v="442.35"/>
    <s v="C: ASCENDAS27 P: A023951 I 256779415289"/>
    <d v="2025-09-08T00:00:00"/>
    <s v="USD"/>
    <d v="2025-10-01T00:00:00"/>
    <n v="1"/>
    <s v="29/10/2025"/>
    <n v="230"/>
    <s v="IN89"/>
  </r>
  <r>
    <x v="0"/>
    <n v="256779415302"/>
    <x v="26"/>
    <n v="0.6"/>
    <n v="53.08"/>
    <s v="C: ASCENDAS27 P: A023951 I 256779415302"/>
    <d v="2025-09-08T00:00:00"/>
    <s v="USD"/>
    <d v="2025-10-01T00:00:00"/>
    <n v="1"/>
    <s v="29/10/2025"/>
    <n v="230"/>
    <s v="IN89"/>
  </r>
  <r>
    <x v="0"/>
    <n v="256779415313"/>
    <x v="26"/>
    <n v="1.2"/>
    <n v="106.16"/>
    <s v="C: ASCENDAS27 P: A023951 I 256779415313"/>
    <d v="2025-09-08T00:00:00"/>
    <s v="USD"/>
    <d v="2025-10-01T00:00:00"/>
    <n v="1"/>
    <s v="29/10/2025"/>
    <n v="230"/>
    <s v="IN89"/>
  </r>
  <r>
    <x v="0"/>
    <n v="256779415309"/>
    <x v="26"/>
    <n v="0.6"/>
    <n v="53.08"/>
    <s v="C: ASCENDAS27 P: A023951 I 256779415309"/>
    <d v="2025-09-08T00:00:00"/>
    <s v="USD"/>
    <d v="2025-10-01T00:00:00"/>
    <n v="1"/>
    <s v="29/10/2025"/>
    <n v="230"/>
    <s v="IN89"/>
  </r>
  <r>
    <x v="0"/>
    <n v="256779415325"/>
    <x v="26"/>
    <n v="3.84"/>
    <n v="339.72"/>
    <s v="C: ASCENDAS27 P: A023951 I 256779415325"/>
    <d v="2025-09-08T00:00:00"/>
    <s v="USD"/>
    <d v="2025-10-01T00:00:00"/>
    <n v="1"/>
    <s v="29/10/2025"/>
    <n v="230"/>
    <s v="IN89"/>
  </r>
  <r>
    <x v="0"/>
    <n v="256779415331"/>
    <x v="26"/>
    <n v="-22.5"/>
    <n v="-1990.58"/>
    <m/>
    <d v="2025-09-08T00:00:00"/>
    <s v="USD"/>
    <d v="2025-10-01T00:00:00"/>
    <n v="1"/>
    <s v="29/10/2025"/>
    <n v="210"/>
    <s v="IN89"/>
  </r>
  <r>
    <x v="0"/>
    <n v="256779415331"/>
    <x v="26"/>
    <n v="0.45"/>
    <n v="39.81"/>
    <s v="C: ASCENDAS27 P: A023951 I 256779415331"/>
    <d v="2025-09-08T00:00:00"/>
    <s v="USD"/>
    <d v="2025-10-01T00:00:00"/>
    <n v="1"/>
    <s v="29/10/2025"/>
    <n v="230"/>
    <s v="IN89"/>
  </r>
  <r>
    <x v="0"/>
    <n v="256779415290"/>
    <x v="26"/>
    <n v="-24"/>
    <n v="-2123.2800000000002"/>
    <m/>
    <d v="2025-09-08T00:00:00"/>
    <s v="USD"/>
    <d v="2025-10-01T00:00:00"/>
    <n v="1"/>
    <s v="29/10/2025"/>
    <n v="210"/>
    <s v="IN89"/>
  </r>
  <r>
    <x v="0"/>
    <n v="256779415290"/>
    <x v="26"/>
    <n v="0.48"/>
    <n v="42.47"/>
    <s v="C: ASCENDAS27 P: A023951 I 256779415290"/>
    <d v="2025-09-08T00:00:00"/>
    <s v="USD"/>
    <d v="2025-10-01T00:00:00"/>
    <n v="1"/>
    <s v="29/10/2025"/>
    <n v="230"/>
    <s v="IN89"/>
  </r>
  <r>
    <x v="0"/>
    <n v="256779415303"/>
    <x v="26"/>
    <n v="0"/>
    <n v="39.880000000000003"/>
    <s v="C: ASCENDAS27 P: Matching"/>
    <d v="2025-09-08T00:00:00"/>
    <s v="USD"/>
    <d v="2025-10-01T00:00:00"/>
    <n v="4"/>
    <s v="31/10/2025"/>
    <n v="271"/>
    <s v="IN89"/>
  </r>
  <r>
    <x v="0"/>
    <n v="256779415304"/>
    <x v="26"/>
    <n v="0"/>
    <n v="11.96"/>
    <s v="C: ASCENDAS27 P: Matching"/>
    <d v="2025-09-08T00:00:00"/>
    <s v="USD"/>
    <d v="2025-10-01T00:00:00"/>
    <n v="6"/>
    <s v="31/10/2025"/>
    <n v="271"/>
    <s v="IN89"/>
  </r>
  <r>
    <x v="0"/>
    <n v="256779415339"/>
    <x v="26"/>
    <n v="0"/>
    <n v="10.92"/>
    <s v="C: ASCENDAS27 P: Matching"/>
    <d v="2025-09-08T00:00:00"/>
    <s v="USD"/>
    <d v="2025-10-01T00:00:00"/>
    <n v="8"/>
    <s v="31/10/2025"/>
    <n v="271"/>
    <s v="IN89"/>
  </r>
  <r>
    <x v="0"/>
    <n v="256779415308"/>
    <x v="26"/>
    <n v="0"/>
    <n v="11.96"/>
    <s v="C: ASCENDAS27 P: Matching"/>
    <d v="2025-09-08T00:00:00"/>
    <s v="USD"/>
    <d v="2025-10-01T00:00:00"/>
    <n v="12"/>
    <s v="31/10/2025"/>
    <n v="271"/>
    <s v="IN89"/>
  </r>
  <r>
    <x v="0"/>
    <n v="256779415305"/>
    <x v="26"/>
    <n v="0"/>
    <n v="11.96"/>
    <s v="C: ASCENDAS27 P: Matching"/>
    <d v="2025-09-08T00:00:00"/>
    <s v="USD"/>
    <d v="2025-10-01T00:00:00"/>
    <n v="14"/>
    <s v="31/10/2025"/>
    <n v="271"/>
    <s v="IN89"/>
  </r>
  <r>
    <x v="0"/>
    <n v="256779415306"/>
    <x v="26"/>
    <n v="0"/>
    <n v="11.96"/>
    <s v="C: ASCENDAS27 P: Matching"/>
    <d v="2025-09-08T00:00:00"/>
    <s v="USD"/>
    <d v="2025-10-01T00:00:00"/>
    <n v="16"/>
    <s v="31/10/2025"/>
    <n v="271"/>
    <s v="IN89"/>
  </r>
  <r>
    <x v="0"/>
    <n v="256779415307"/>
    <x v="26"/>
    <n v="0"/>
    <n v="11.96"/>
    <s v="C: ASCENDAS27 P: Matching"/>
    <d v="2025-09-08T00:00:00"/>
    <s v="USD"/>
    <d v="2025-10-01T00:00:00"/>
    <n v="18"/>
    <s v="31/10/2025"/>
    <n v="271"/>
    <s v="IN89"/>
  </r>
  <r>
    <x v="0"/>
    <n v="256779415312"/>
    <x v="26"/>
    <n v="0"/>
    <n v="42.62"/>
    <s v="C: ASCENDAS27 P: Matching"/>
    <d v="2025-09-08T00:00:00"/>
    <s v="USD"/>
    <d v="2025-10-01T00:00:00"/>
    <n v="20"/>
    <s v="31/10/2025"/>
    <n v="271"/>
    <s v="IN89"/>
  </r>
  <r>
    <x v="0"/>
    <n v="256779415327"/>
    <x v="26"/>
    <n v="0"/>
    <n v="4.26"/>
    <s v="C: ASCENDAS27 P: Matching"/>
    <d v="2025-09-08T00:00:00"/>
    <s v="USD"/>
    <d v="2025-10-01T00:00:00"/>
    <n v="24"/>
    <s v="31/10/2025"/>
    <n v="271"/>
    <s v="IN89"/>
  </r>
  <r>
    <x v="0"/>
    <n v="256779415351"/>
    <x v="26"/>
    <n v="0"/>
    <n v="-37.78"/>
    <s v="C: ASCENDAS27 P: Matching"/>
    <d v="2025-09-08T00:00:00"/>
    <s v="USD"/>
    <d v="2025-10-01T00:00:00"/>
    <n v="26"/>
    <s v="31/10/2025"/>
    <n v="271"/>
    <s v="IN89"/>
  </r>
  <r>
    <x v="0"/>
    <n v="256779415324"/>
    <x v="26"/>
    <n v="0"/>
    <n v="31.25"/>
    <s v="C: ASCENDAS27 P: Matching"/>
    <d v="2025-09-08T00:00:00"/>
    <s v="USD"/>
    <d v="2025-10-01T00:00:00"/>
    <n v="28"/>
    <s v="31/10/2025"/>
    <n v="271"/>
    <s v="IN89"/>
  </r>
  <r>
    <x v="0"/>
    <n v="256779415322"/>
    <x v="26"/>
    <n v="0"/>
    <n v="40.92"/>
    <s v="C: ASCENDAS27 P: Matching"/>
    <d v="2025-09-08T00:00:00"/>
    <s v="USD"/>
    <d v="2025-10-01T00:00:00"/>
    <n v="30"/>
    <s v="31/10/2025"/>
    <n v="271"/>
    <s v="IN89"/>
  </r>
  <r>
    <x v="0"/>
    <n v="256779415366"/>
    <x v="26"/>
    <n v="0"/>
    <n v="40.92"/>
    <s v="C: ASCENDAS27 P: Matching"/>
    <d v="2025-09-08T00:00:00"/>
    <s v="USD"/>
    <d v="2025-10-01T00:00:00"/>
    <n v="32"/>
    <s v="31/10/2025"/>
    <n v="271"/>
    <s v="IN89"/>
  </r>
  <r>
    <x v="0"/>
    <n v="256779415365"/>
    <x v="26"/>
    <n v="0"/>
    <n v="66.7"/>
    <s v="C: ASCENDAS27 P: Matching"/>
    <d v="2025-09-08T00:00:00"/>
    <s v="USD"/>
    <d v="2025-10-01T00:00:00"/>
    <n v="34"/>
    <s v="31/10/2025"/>
    <n v="271"/>
    <s v="IN89"/>
  </r>
  <r>
    <x v="0"/>
    <n v="256779415311"/>
    <x v="26"/>
    <n v="0"/>
    <n v="16.510000000000002"/>
    <s v="C: ASCENDAS27 P: Matching"/>
    <d v="2025-09-08T00:00:00"/>
    <s v="USD"/>
    <d v="2025-10-01T00:00:00"/>
    <n v="36"/>
    <s v="31/10/2025"/>
    <n v="271"/>
    <s v="IN89"/>
  </r>
  <r>
    <x v="0"/>
    <n v="256779415368"/>
    <x v="26"/>
    <n v="0"/>
    <n v="12.79"/>
    <s v="C: ASCENDAS27 P: Matching"/>
    <d v="2025-09-08T00:00:00"/>
    <s v="USD"/>
    <d v="2025-10-01T00:00:00"/>
    <n v="38"/>
    <s v="31/10/2025"/>
    <n v="271"/>
    <s v="IN89"/>
  </r>
  <r>
    <x v="0"/>
    <n v="256779415320"/>
    <x v="26"/>
    <n v="0"/>
    <n v="2.67"/>
    <s v="C: ASCENDAS27 P: Matching"/>
    <d v="2025-09-08T00:00:00"/>
    <s v="USD"/>
    <d v="2025-10-01T00:00:00"/>
    <n v="40"/>
    <s v="31/10/2025"/>
    <n v="271"/>
    <s v="IN89"/>
  </r>
  <r>
    <x v="0"/>
    <n v="256779415301"/>
    <x v="26"/>
    <n v="0"/>
    <n v="6.39"/>
    <s v="C: ASCENDAS27 P: Matching"/>
    <d v="2025-09-08T00:00:00"/>
    <s v="USD"/>
    <d v="2025-10-01T00:00:00"/>
    <n v="42"/>
    <s v="31/10/2025"/>
    <n v="271"/>
    <s v="IN89"/>
  </r>
  <r>
    <x v="0"/>
    <n v="256779415329"/>
    <x v="26"/>
    <n v="0"/>
    <n v="5.86"/>
    <s v="C: ASCENDAS27 P: Matching"/>
    <d v="2025-09-08T00:00:00"/>
    <s v="USD"/>
    <d v="2025-10-01T00:00:00"/>
    <n v="44"/>
    <s v="31/10/2025"/>
    <n v="271"/>
    <s v="IN89"/>
  </r>
  <r>
    <x v="0"/>
    <n v="256779415367"/>
    <x v="26"/>
    <n v="0"/>
    <n v="42.62"/>
    <s v="C: ASCENDAS27 P: Matching"/>
    <d v="2025-09-08T00:00:00"/>
    <s v="USD"/>
    <d v="2025-10-01T00:00:00"/>
    <n v="46"/>
    <s v="31/10/2025"/>
    <n v="271"/>
    <s v="IN89"/>
  </r>
  <r>
    <x v="0"/>
    <n v="256779415353"/>
    <x v="26"/>
    <n v="0"/>
    <n v="42.62"/>
    <s v="C: ASCENDAS27 P: Matching"/>
    <d v="2025-09-08T00:00:00"/>
    <s v="USD"/>
    <d v="2025-10-01T00:00:00"/>
    <n v="48"/>
    <s v="31/10/2025"/>
    <n v="271"/>
    <s v="IN89"/>
  </r>
  <r>
    <x v="0"/>
    <n v="256779415330"/>
    <x v="26"/>
    <n v="0"/>
    <n v="4.8"/>
    <s v="C: ASCENDAS27 P: Matching"/>
    <d v="2025-09-08T00:00:00"/>
    <s v="USD"/>
    <d v="2025-10-01T00:00:00"/>
    <n v="50"/>
    <s v="31/10/2025"/>
    <n v="271"/>
    <s v="IN89"/>
  </r>
  <r>
    <x v="0"/>
    <n v="256779415354"/>
    <x v="26"/>
    <n v="0"/>
    <n v="12.79"/>
    <s v="C: ASCENDAS27 P: Matching"/>
    <d v="2025-09-08T00:00:00"/>
    <s v="USD"/>
    <d v="2025-10-01T00:00:00"/>
    <n v="52"/>
    <s v="31/10/2025"/>
    <n v="271"/>
    <s v="IN89"/>
  </r>
  <r>
    <x v="0"/>
    <n v="256779415387"/>
    <x v="26"/>
    <n v="0"/>
    <n v="-157.24"/>
    <s v="C: ASCENDAS27 P: Matching"/>
    <d v="2025-09-08T00:00:00"/>
    <s v="USD"/>
    <d v="2025-10-01T00:00:00"/>
    <n v="80"/>
    <s v="31/10/2025"/>
    <n v="271"/>
    <s v="IN89"/>
  </r>
  <r>
    <x v="0"/>
    <n v="256779415313"/>
    <x v="26"/>
    <n v="0"/>
    <n v="12.79"/>
    <s v="C: ASCENDAS27 P: Matching"/>
    <d v="2025-09-08T00:00:00"/>
    <s v="USD"/>
    <d v="2025-10-01T00:00:00"/>
    <n v="86"/>
    <s v="31/10/2025"/>
    <n v="271"/>
    <s v="IN89"/>
  </r>
  <r>
    <x v="0"/>
    <n v="256779415323"/>
    <x v="26"/>
    <n v="0"/>
    <n v="45.12"/>
    <s v="C: ASCENDAS27 P: Matching"/>
    <d v="2025-09-08T00:00:00"/>
    <s v="USD"/>
    <d v="2025-10-01T00:00:00"/>
    <n v="88"/>
    <s v="31/10/2025"/>
    <n v="271"/>
    <s v="IN89"/>
  </r>
  <r>
    <x v="0"/>
    <n v="256779415309"/>
    <x v="26"/>
    <n v="0"/>
    <n v="6.39"/>
    <s v="C: ASCENDAS27 P: Matching"/>
    <d v="2025-09-08T00:00:00"/>
    <s v="USD"/>
    <d v="2025-10-01T00:00:00"/>
    <n v="90"/>
    <s v="31/10/2025"/>
    <n v="271"/>
    <s v="IN89"/>
  </r>
  <r>
    <x v="0"/>
    <n v="256779415302"/>
    <x v="26"/>
    <n v="0"/>
    <n v="6.39"/>
    <s v="C: ASCENDAS27 P: Matching"/>
    <d v="2025-09-08T00:00:00"/>
    <s v="USD"/>
    <d v="2025-10-01T00:00:00"/>
    <n v="92"/>
    <s v="31/10/2025"/>
    <n v="271"/>
    <s v="IN89"/>
  </r>
  <r>
    <x v="0"/>
    <n v="256779415289"/>
    <x v="26"/>
    <n v="0"/>
    <n v="53.27"/>
    <s v="C: ASCENDAS27 P: Matching"/>
    <d v="2025-09-08T00:00:00"/>
    <s v="USD"/>
    <d v="2025-10-01T00:00:00"/>
    <n v="94"/>
    <s v="31/10/2025"/>
    <n v="271"/>
    <s v="IN89"/>
  </r>
  <r>
    <x v="0"/>
    <n v="256779415325"/>
    <x v="26"/>
    <n v="0"/>
    <n v="40.92"/>
    <s v="C: ASCENDAS27 P: Matching"/>
    <d v="2025-09-08T00:00:00"/>
    <s v="USD"/>
    <d v="2025-10-01T00:00:00"/>
    <n v="96"/>
    <s v="31/10/2025"/>
    <n v="271"/>
    <s v="IN89"/>
  </r>
  <r>
    <x v="0"/>
    <n v="256779415331"/>
    <x v="26"/>
    <n v="0"/>
    <n v="4.8"/>
    <s v="C: ASCENDAS27 P: Matching"/>
    <d v="2025-09-08T00:00:00"/>
    <s v="USD"/>
    <d v="2025-10-01T00:00:00"/>
    <n v="98"/>
    <s v="31/10/2025"/>
    <n v="271"/>
    <s v="IN89"/>
  </r>
  <r>
    <x v="0"/>
    <n v="256779415290"/>
    <x v="26"/>
    <n v="0"/>
    <n v="5.1100000000000003"/>
    <s v="C: ASCENDAS27 P: Matching"/>
    <d v="2025-09-08T00:00:00"/>
    <s v="USD"/>
    <d v="2025-10-01T00:00:00"/>
    <n v="100"/>
    <s v="31/10/2025"/>
    <n v="271"/>
    <s v="IN89"/>
  </r>
  <r>
    <x v="0"/>
    <n v="256779415319"/>
    <x v="26"/>
    <n v="-140.16999999999999"/>
    <n v="-12400.84"/>
    <m/>
    <d v="2025-09-08T00:00:00"/>
    <s v="USD"/>
    <d v="2025-11-01T00:00:00"/>
    <n v="1"/>
    <s v="14/11/2025"/>
    <n v="210"/>
    <s v="IN89"/>
  </r>
  <r>
    <x v="0"/>
    <n v="256779415319"/>
    <x v="26"/>
    <n v="2.8"/>
    <n v="247.72"/>
    <s v="C: ASCENDAS27 P: A023951 I 256779415319"/>
    <d v="2025-09-08T00:00:00"/>
    <s v="USD"/>
    <d v="2025-11-01T00:00:00"/>
    <n v="1"/>
    <s v="14/11/2025"/>
    <n v="230"/>
    <s v="IN89"/>
  </r>
  <r>
    <x v="0"/>
    <n v="256779415303"/>
    <x v="26"/>
    <n v="0"/>
    <n v="-88.42"/>
    <s v="C: ASCENDAS27 P: Matching"/>
    <d v="2025-09-08T00:00:00"/>
    <s v="USD"/>
    <d v="2025-11-01T00:00:00"/>
    <n v="4"/>
    <s v="30/11/2025"/>
    <n v="271"/>
    <s v="IN89"/>
  </r>
  <r>
    <x v="0"/>
    <n v="256779415304"/>
    <x v="26"/>
    <n v="0"/>
    <n v="-26.52"/>
    <s v="C: ASCENDAS27 P: Matching"/>
    <d v="2025-09-08T00:00:00"/>
    <s v="USD"/>
    <d v="2025-11-01T00:00:00"/>
    <n v="6"/>
    <s v="30/11/2025"/>
    <n v="271"/>
    <s v="IN89"/>
  </r>
  <r>
    <x v="0"/>
    <n v="256779415385"/>
    <x v="26"/>
    <n v="0"/>
    <n v="-0.32"/>
    <s v="C: ASCENDAS27 P: Matching"/>
    <d v="2025-09-08T00:00:00"/>
    <s v="USD"/>
    <d v="2025-11-01T00:00:00"/>
    <n v="8"/>
    <s v="30/11/2025"/>
    <n v="271"/>
    <s v="IN89"/>
  </r>
  <r>
    <x v="0"/>
    <n v="256779415293"/>
    <x v="26"/>
    <n v="0"/>
    <n v="-0.32"/>
    <s v="C: ASCENDAS27 P: Matching"/>
    <d v="2025-09-08T00:00:00"/>
    <s v="USD"/>
    <d v="2025-11-01T00:00:00"/>
    <n v="10"/>
    <s v="30/11/2025"/>
    <n v="271"/>
    <s v="IN89"/>
  </r>
  <r>
    <x v="0"/>
    <n v="256779415374"/>
    <x v="26"/>
    <n v="0"/>
    <n v="-6.43"/>
    <s v="C: ASCENDAS27 P: Matching"/>
    <d v="2025-09-08T00:00:00"/>
    <s v="USD"/>
    <d v="2025-11-01T00:00:00"/>
    <n v="12"/>
    <s v="30/11/2025"/>
    <n v="271"/>
    <s v="IN89"/>
  </r>
  <r>
    <x v="0"/>
    <n v="256779415339"/>
    <x v="26"/>
    <n v="0"/>
    <n v="-24.21"/>
    <s v="C: ASCENDAS27 P: Matching"/>
    <d v="2025-09-08T00:00:00"/>
    <s v="USD"/>
    <d v="2025-11-01T00:00:00"/>
    <n v="14"/>
    <s v="30/11/2025"/>
    <n v="271"/>
    <s v="IN89"/>
  </r>
  <r>
    <x v="0"/>
    <n v="256779415308"/>
    <x v="26"/>
    <n v="0"/>
    <n v="-26.52"/>
    <s v="C: ASCENDAS27 P: Matching"/>
    <d v="2025-09-08T00:00:00"/>
    <s v="USD"/>
    <d v="2025-11-01T00:00:00"/>
    <n v="18"/>
    <s v="30/11/2025"/>
    <n v="271"/>
    <s v="IN89"/>
  </r>
  <r>
    <x v="0"/>
    <n v="256779415305"/>
    <x v="26"/>
    <n v="0"/>
    <n v="-26.52"/>
    <s v="C: ASCENDAS27 P: Matching"/>
    <d v="2025-09-08T00:00:00"/>
    <s v="USD"/>
    <d v="2025-11-01T00:00:00"/>
    <n v="20"/>
    <s v="30/11/2025"/>
    <n v="271"/>
    <s v="IN89"/>
  </r>
  <r>
    <x v="0"/>
    <n v="256779415306"/>
    <x v="26"/>
    <n v="0"/>
    <n v="-26.52"/>
    <s v="C: ASCENDAS27 P: Matching"/>
    <d v="2025-09-08T00:00:00"/>
    <s v="USD"/>
    <d v="2025-11-01T00:00:00"/>
    <n v="22"/>
    <s v="30/11/2025"/>
    <n v="271"/>
    <s v="IN89"/>
  </r>
  <r>
    <x v="0"/>
    <n v="256779415307"/>
    <x v="26"/>
    <n v="0"/>
    <n v="-26.52"/>
    <s v="C: ASCENDAS27 P: Matching"/>
    <d v="2025-09-08T00:00:00"/>
    <s v="USD"/>
    <d v="2025-11-01T00:00:00"/>
    <n v="24"/>
    <s v="30/11/2025"/>
    <n v="271"/>
    <s v="IN89"/>
  </r>
  <r>
    <x v="0"/>
    <n v="256779415291"/>
    <x v="26"/>
    <n v="0"/>
    <n v="-0.32"/>
    <s v="C: ASCENDAS27 P: Matching"/>
    <d v="2025-09-08T00:00:00"/>
    <s v="USD"/>
    <d v="2025-11-01T00:00:00"/>
    <n v="26"/>
    <s v="30/11/2025"/>
    <n v="271"/>
    <s v="IN89"/>
  </r>
  <r>
    <x v="0"/>
    <n v="256779415319"/>
    <x v="26"/>
    <n v="0"/>
    <n v="-94.07"/>
    <s v="C: ASCENDAS27 P: Matching"/>
    <d v="2025-09-08T00:00:00"/>
    <s v="USD"/>
    <d v="2025-11-01T00:00:00"/>
    <n v="48"/>
    <s v="30/11/2025"/>
    <n v="271"/>
    <s v="IN89"/>
  </r>
  <r>
    <x v="0"/>
    <n v="256779415332"/>
    <x v="26"/>
    <n v="-2.5"/>
    <n v="-221.18"/>
    <m/>
    <d v="2025-09-08T00:00:00"/>
    <s v="USD"/>
    <d v="2025-12-01T00:00:00"/>
    <n v="1"/>
    <s v="31/12/2025"/>
    <n v="210"/>
    <s v="IN89"/>
  </r>
  <r>
    <x v="0"/>
    <n v="256779415332"/>
    <x v="26"/>
    <n v="0.05"/>
    <n v="4.42"/>
    <s v="C: ASCENDAS27 P: A023951 I 256779415332"/>
    <d v="2025-09-08T00:00:00"/>
    <s v="USD"/>
    <d v="2025-12-01T00:00:00"/>
    <n v="1"/>
    <s v="31/12/2025"/>
    <n v="230"/>
    <s v="IN89"/>
  </r>
  <r>
    <x v="0"/>
    <n v="256779415328"/>
    <x v="26"/>
    <n v="-22.5"/>
    <n v="-1990.58"/>
    <m/>
    <d v="2025-09-08T00:00:00"/>
    <s v="USD"/>
    <d v="2025-12-01T00:00:00"/>
    <n v="1"/>
    <s v="31/12/2025"/>
    <n v="210"/>
    <s v="IN89"/>
  </r>
  <r>
    <x v="0"/>
    <n v="256779415328"/>
    <x v="26"/>
    <n v="0.45"/>
    <n v="39.81"/>
    <s v="C: ASCENDAS27 P: A023951 I 256779415328"/>
    <d v="2025-09-08T00:00:00"/>
    <s v="USD"/>
    <d v="2025-12-01T00:00:00"/>
    <n v="1"/>
    <s v="31/12/2025"/>
    <n v="230"/>
    <s v="IN89"/>
  </r>
  <r>
    <x v="0"/>
    <n v="256779415303"/>
    <x v="26"/>
    <n v="0"/>
    <n v="-72.12"/>
    <s v="C: ASCENDAS27 P: Matching"/>
    <d v="2025-09-08T00:00:00"/>
    <s v="USD"/>
    <d v="2025-12-01T00:00:00"/>
    <n v="4"/>
    <s v="31/12/2025"/>
    <n v="271"/>
    <s v="IN89"/>
  </r>
  <r>
    <x v="0"/>
    <n v="256779415304"/>
    <x v="26"/>
    <n v="0"/>
    <n v="-21.64"/>
    <s v="C: ASCENDAS27 P: Matching"/>
    <d v="2025-09-08T00:00:00"/>
    <s v="USD"/>
    <d v="2025-12-01T00:00:00"/>
    <n v="6"/>
    <s v="31/12/2025"/>
    <n v="271"/>
    <s v="IN89"/>
  </r>
  <r>
    <x v="0"/>
    <n v="256779415385"/>
    <x v="26"/>
    <n v="0"/>
    <n v="-0.36"/>
    <s v="C: ASCENDAS27 P: Matching"/>
    <d v="2025-09-08T00:00:00"/>
    <s v="USD"/>
    <d v="2025-12-01T00:00:00"/>
    <n v="8"/>
    <s v="31/12/2025"/>
    <n v="271"/>
    <s v="IN89"/>
  </r>
  <r>
    <x v="0"/>
    <n v="256779415293"/>
    <x v="26"/>
    <n v="0"/>
    <n v="-0.36"/>
    <s v="C: ASCENDAS27 P: Matching"/>
    <d v="2025-09-08T00:00:00"/>
    <s v="USD"/>
    <d v="2025-12-01T00:00:00"/>
    <n v="10"/>
    <s v="31/12/2025"/>
    <n v="271"/>
    <s v="IN89"/>
  </r>
  <r>
    <x v="0"/>
    <n v="256779415374"/>
    <x v="26"/>
    <n v="0"/>
    <n v="-6.91"/>
    <s v="C: ASCENDAS27 P: Matching"/>
    <d v="2025-09-08T00:00:00"/>
    <s v="USD"/>
    <d v="2025-12-01T00:00:00"/>
    <n v="12"/>
    <s v="31/12/2025"/>
    <n v="271"/>
    <s v="IN89"/>
  </r>
  <r>
    <x v="0"/>
    <n v="256779415339"/>
    <x v="26"/>
    <n v="0"/>
    <n v="-19.760000000000002"/>
    <s v="C: ASCENDAS27 P: Matching"/>
    <d v="2025-09-08T00:00:00"/>
    <s v="USD"/>
    <d v="2025-12-01T00:00:00"/>
    <n v="14"/>
    <s v="31/12/2025"/>
    <n v="271"/>
    <s v="IN89"/>
  </r>
  <r>
    <x v="0"/>
    <n v="256779415308"/>
    <x v="26"/>
    <n v="0"/>
    <n v="-21.64"/>
    <s v="C: ASCENDAS27 P: Matching"/>
    <d v="2025-09-08T00:00:00"/>
    <s v="USD"/>
    <d v="2025-12-01T00:00:00"/>
    <n v="18"/>
    <s v="31/12/2025"/>
    <n v="271"/>
    <s v="IN89"/>
  </r>
  <r>
    <x v="0"/>
    <n v="256779415305"/>
    <x v="26"/>
    <n v="0"/>
    <n v="-21.64"/>
    <s v="C: ASCENDAS27 P: Matching"/>
    <d v="2025-09-08T00:00:00"/>
    <s v="USD"/>
    <d v="2025-12-01T00:00:00"/>
    <n v="20"/>
    <s v="31/12/2025"/>
    <n v="271"/>
    <s v="IN89"/>
  </r>
  <r>
    <x v="0"/>
    <n v="256779415306"/>
    <x v="26"/>
    <n v="0"/>
    <n v="-21.64"/>
    <s v="C: ASCENDAS27 P: Matching"/>
    <d v="2025-09-08T00:00:00"/>
    <s v="USD"/>
    <d v="2025-12-01T00:00:00"/>
    <n v="22"/>
    <s v="31/12/2025"/>
    <n v="271"/>
    <s v="IN89"/>
  </r>
  <r>
    <x v="0"/>
    <n v="256779415307"/>
    <x v="26"/>
    <n v="0"/>
    <n v="-21.64"/>
    <s v="C: ASCENDAS27 P: Matching"/>
    <d v="2025-09-08T00:00:00"/>
    <s v="USD"/>
    <d v="2025-12-01T00:00:00"/>
    <n v="24"/>
    <s v="31/12/2025"/>
    <n v="271"/>
    <s v="IN89"/>
  </r>
  <r>
    <x v="0"/>
    <n v="256779415291"/>
    <x v="26"/>
    <n v="0"/>
    <n v="-0.36"/>
    <s v="C: ASCENDAS27 P: Matching"/>
    <d v="2025-09-08T00:00:00"/>
    <s v="USD"/>
    <d v="2025-12-01T00:00:00"/>
    <n v="26"/>
    <s v="31/12/2025"/>
    <n v="271"/>
    <s v="IN89"/>
  </r>
  <r>
    <x v="0"/>
    <n v="256779415332"/>
    <x v="26"/>
    <n v="0"/>
    <n v="-3.47"/>
    <s v="C: ASCENDAS27 P: Matching"/>
    <d v="2025-09-08T00:00:00"/>
    <s v="USD"/>
    <d v="2025-12-01T00:00:00"/>
    <n v="78"/>
    <s v="31/12/2025"/>
    <n v="271"/>
    <s v="IN89"/>
  </r>
  <r>
    <x v="0"/>
    <n v="256779415328"/>
    <x v="26"/>
    <n v="0"/>
    <n v="-31.32"/>
    <s v="C: ASCENDAS27 P: Matching"/>
    <d v="2025-09-08T00:00:00"/>
    <s v="USD"/>
    <d v="2025-12-01T00:00:00"/>
    <n v="80"/>
    <s v="31/12/2025"/>
    <n v="271"/>
    <s v="IN89"/>
  </r>
  <r>
    <x v="0"/>
    <n v="256779415321"/>
    <x v="26"/>
    <n v="-212.5"/>
    <n v="-18799.88"/>
    <m/>
    <d v="2025-09-08T00:00:00"/>
    <s v="USD"/>
    <d v="2026-01-01T00:00:00"/>
    <n v="1"/>
    <s v="27/01/2026"/>
    <n v="210"/>
    <s v="IN89"/>
  </r>
  <r>
    <x v="0"/>
    <n v="256779415321"/>
    <x v="26"/>
    <n v="4.25"/>
    <n v="376"/>
    <s v="C: ASCENDAS27 P: A023951 I 256779415321"/>
    <d v="2025-09-08T00:00:00"/>
    <s v="USD"/>
    <d v="2026-01-01T00:00:00"/>
    <n v="1"/>
    <s v="27/01/2026"/>
    <n v="230"/>
    <s v="IN89"/>
  </r>
  <r>
    <x v="0"/>
    <n v="256779415303"/>
    <x v="26"/>
    <n v="0"/>
    <n v="-170.52"/>
    <s v="C: ASCENDAS27 P: Matching"/>
    <d v="2025-09-08T00:00:00"/>
    <s v="USD"/>
    <d v="2026-01-01T00:00:00"/>
    <n v="4"/>
    <s v="31/01/2026"/>
    <n v="271"/>
    <s v="IN89"/>
  </r>
  <r>
    <x v="0"/>
    <n v="256779415304"/>
    <x v="26"/>
    <n v="0"/>
    <n v="-51.15"/>
    <s v="C: ASCENDAS27 P: Matching"/>
    <d v="2025-09-08T00:00:00"/>
    <s v="USD"/>
    <d v="2026-01-01T00:00:00"/>
    <n v="6"/>
    <s v="31/01/2026"/>
    <n v="271"/>
    <s v="IN89"/>
  </r>
  <r>
    <x v="0"/>
    <n v="256779415385"/>
    <x v="26"/>
    <n v="0"/>
    <n v="-0.83"/>
    <s v="C: ASCENDAS27 P: Matching"/>
    <d v="2025-09-08T00:00:00"/>
    <s v="USD"/>
    <d v="2026-01-01T00:00:00"/>
    <n v="8"/>
    <s v="31/01/2026"/>
    <n v="271"/>
    <s v="IN89"/>
  </r>
  <r>
    <x v="0"/>
    <n v="256779415293"/>
    <x v="26"/>
    <n v="0"/>
    <n v="-0.83"/>
    <s v="C: ASCENDAS27 P: Matching"/>
    <d v="2025-09-08T00:00:00"/>
    <s v="USD"/>
    <d v="2026-01-01T00:00:00"/>
    <n v="10"/>
    <s v="31/01/2026"/>
    <n v="271"/>
    <s v="IN89"/>
  </r>
  <r>
    <x v="0"/>
    <n v="256779415374"/>
    <x v="26"/>
    <n v="0"/>
    <n v="-16.34"/>
    <s v="C: ASCENDAS27 P: Matching"/>
    <d v="2025-09-08T00:00:00"/>
    <s v="USD"/>
    <d v="2026-01-01T00:00:00"/>
    <n v="12"/>
    <s v="31/01/2026"/>
    <n v="271"/>
    <s v="IN89"/>
  </r>
  <r>
    <x v="0"/>
    <n v="256779415339"/>
    <x v="26"/>
    <n v="0"/>
    <n v="-46.7"/>
    <s v="C: ASCENDAS27 P: Matching"/>
    <d v="2025-09-08T00:00:00"/>
    <s v="USD"/>
    <d v="2026-01-01T00:00:00"/>
    <n v="14"/>
    <s v="31/01/2026"/>
    <n v="271"/>
    <s v="IN89"/>
  </r>
  <r>
    <x v="0"/>
    <n v="256779415308"/>
    <x v="26"/>
    <n v="0"/>
    <n v="-51.15"/>
    <s v="C: ASCENDAS27 P: Matching"/>
    <d v="2025-09-08T00:00:00"/>
    <s v="USD"/>
    <d v="2026-01-01T00:00:00"/>
    <n v="18"/>
    <s v="31/01/2026"/>
    <n v="271"/>
    <s v="IN89"/>
  </r>
  <r>
    <x v="0"/>
    <n v="256779415305"/>
    <x v="26"/>
    <n v="0"/>
    <n v="-51.15"/>
    <s v="C: ASCENDAS27 P: Matching"/>
    <d v="2025-09-08T00:00:00"/>
    <s v="USD"/>
    <d v="2026-01-01T00:00:00"/>
    <n v="20"/>
    <s v="31/01/2026"/>
    <n v="271"/>
    <s v="IN89"/>
  </r>
  <r>
    <x v="0"/>
    <n v="256779415306"/>
    <x v="26"/>
    <n v="0"/>
    <n v="-51.15"/>
    <s v="C: ASCENDAS27 P: Matching"/>
    <d v="2025-09-08T00:00:00"/>
    <s v="USD"/>
    <d v="2026-01-01T00:00:00"/>
    <n v="22"/>
    <s v="31/01/2026"/>
    <n v="271"/>
    <s v="IN89"/>
  </r>
  <r>
    <x v="0"/>
    <n v="256779415307"/>
    <x v="26"/>
    <n v="0"/>
    <n v="-51.15"/>
    <s v="C: ASCENDAS27 P: Matching"/>
    <d v="2025-09-08T00:00:00"/>
    <s v="USD"/>
    <d v="2026-01-01T00:00:00"/>
    <n v="24"/>
    <s v="31/01/2026"/>
    <n v="271"/>
    <s v="IN89"/>
  </r>
  <r>
    <x v="0"/>
    <n v="256779415291"/>
    <x v="26"/>
    <n v="0"/>
    <n v="-0.83"/>
    <s v="C: ASCENDAS27 P: Matching"/>
    <d v="2025-09-08T00:00:00"/>
    <s v="USD"/>
    <d v="2026-01-01T00:00:00"/>
    <n v="26"/>
    <s v="31/01/2026"/>
    <n v="271"/>
    <s v="IN89"/>
  </r>
  <r>
    <x v="0"/>
    <n v="256779415321"/>
    <x v="26"/>
    <n v="0"/>
    <n v="-658.22"/>
    <s v="C: ASCENDAS27 P: Matching"/>
    <d v="2025-09-08T00:00:00"/>
    <s v="USD"/>
    <d v="2026-01-01T00:00:00"/>
    <n v="54"/>
    <s v="31/01/2026"/>
    <n v="271"/>
    <s v="IN89"/>
  </r>
  <r>
    <x v="0"/>
    <n v="256779414358"/>
    <x v="27"/>
    <n v="-2339.4299999999998"/>
    <n v="-199001.51"/>
    <s v="SUPPLIER GSTIN NOT FOUND"/>
    <d v="2025-10-07T00:00:00"/>
    <s v="USD"/>
    <d v="2026-01-01T00:00:00"/>
    <n v="1"/>
    <s v="27/01/2026"/>
    <n v="210"/>
    <s v="IN89"/>
  </r>
  <r>
    <x v="0"/>
    <n v="256779414359"/>
    <x v="27"/>
    <n v="-93.58"/>
    <n v="-7960.3"/>
    <m/>
    <d v="2025-10-07T00:00:00"/>
    <s v="USD"/>
    <d v="2026-01-01T00:00:00"/>
    <n v="1"/>
    <s v="27/01/2026"/>
    <n v="210"/>
    <s v="IN89"/>
  </r>
  <r>
    <x v="0"/>
    <n v="256779414360"/>
    <x v="27"/>
    <n v="-51.47"/>
    <n v="-4378.25"/>
    <s v="SUPPLIER GSTIN NOT FOUND"/>
    <d v="2025-10-07T00:00:00"/>
    <s v="USD"/>
    <d v="2026-01-01T00:00:00"/>
    <n v="1"/>
    <s v="27/01/2026"/>
    <n v="210"/>
    <s v="IN89"/>
  </r>
  <r>
    <x v="0"/>
    <n v="256779414359"/>
    <x v="27"/>
    <n v="1.87"/>
    <n v="159.07"/>
    <s v="C: ASCENDAS27 P: A023951 I 256779414359"/>
    <d v="2025-10-07T00:00:00"/>
    <s v="USD"/>
    <d v="2026-01-01T00:00:00"/>
    <n v="1"/>
    <s v="27/01/2026"/>
    <n v="230"/>
    <s v="IN89"/>
  </r>
  <r>
    <x v="0"/>
    <n v="256779414358"/>
    <x v="27"/>
    <n v="46.79"/>
    <n v="3980.15"/>
    <s v="C: ASCENDAS27 P: A023951 I 256779414358"/>
    <d v="2025-10-07T00:00:00"/>
    <s v="USD"/>
    <d v="2026-01-01T00:00:00"/>
    <n v="1"/>
    <s v="27/01/2026"/>
    <n v="230"/>
    <s v="IN89"/>
  </r>
  <r>
    <x v="0"/>
    <n v="256779414360"/>
    <x v="27"/>
    <n v="1.03"/>
    <n v="87.62"/>
    <s v="C: ASCENDAS27 P: A023951 I 256779414360"/>
    <d v="2025-10-07T00:00:00"/>
    <s v="USD"/>
    <d v="2026-01-01T00:00:00"/>
    <n v="1"/>
    <s v="27/01/2026"/>
    <n v="230"/>
    <s v="IN89"/>
  </r>
  <r>
    <x v="0"/>
    <n v="256779414358"/>
    <x v="27"/>
    <n v="0"/>
    <n v="-15054.92"/>
    <s v="C: ASCENDAS27 P: Matching"/>
    <d v="2025-10-07T00:00:00"/>
    <s v="USD"/>
    <d v="2026-01-01T00:00:00"/>
    <n v="58"/>
    <s v="31/01/2026"/>
    <n v="271"/>
    <s v="IN89"/>
  </r>
  <r>
    <x v="0"/>
    <n v="256779414359"/>
    <x v="27"/>
    <n v="0"/>
    <n v="-602.22"/>
    <s v="C: ASCENDAS27 P: Matching"/>
    <d v="2025-10-07T00:00:00"/>
    <s v="USD"/>
    <d v="2026-01-01T00:00:00"/>
    <n v="60"/>
    <s v="31/01/2026"/>
    <n v="271"/>
    <s v="IN89"/>
  </r>
  <r>
    <x v="0"/>
    <n v="256779414360"/>
    <x v="27"/>
    <n v="0"/>
    <n v="-331.22"/>
    <s v="C: ASCENDAS27 P: Matching"/>
    <d v="2025-10-07T00:00:00"/>
    <s v="USD"/>
    <d v="2026-01-01T00:00:00"/>
    <n v="66"/>
    <s v="31/01/2026"/>
    <n v="271"/>
    <s v="IN89"/>
  </r>
  <r>
    <x v="0"/>
    <n v="256779413240"/>
    <x v="28"/>
    <n v="-424.03"/>
    <n v="-36201.339999999997"/>
    <m/>
    <d v="2025-09-06T00:00:00"/>
    <s v="USD"/>
    <d v="2025-11-01T00:00:00"/>
    <n v="1"/>
    <s v="30/11/2025"/>
    <n v="210"/>
    <s v="IN89"/>
  </r>
  <r>
    <x v="0"/>
    <n v="256779413146"/>
    <x v="28"/>
    <n v="0"/>
    <n v="-200000"/>
    <m/>
    <d v="2025-09-06T00:00:00"/>
    <s v="INR"/>
    <d v="2025-11-01T00:00:00"/>
    <n v="1"/>
    <s v="30/11/2025"/>
    <n v="210"/>
    <s v="IN89"/>
  </r>
  <r>
    <x v="0"/>
    <n v="256779413148"/>
    <x v="28"/>
    <n v="0"/>
    <n v="-4400"/>
    <m/>
    <d v="2025-09-06T00:00:00"/>
    <s v="INR"/>
    <d v="2025-11-01T00:00:00"/>
    <n v="1"/>
    <s v="30/11/2025"/>
    <n v="210"/>
    <s v="IN89"/>
  </r>
  <r>
    <x v="0"/>
    <n v="256779413147"/>
    <x v="28"/>
    <n v="0"/>
    <n v="-8000"/>
    <m/>
    <d v="2025-09-06T00:00:00"/>
    <s v="INR"/>
    <d v="2025-11-01T00:00:00"/>
    <n v="1"/>
    <s v="30/11/2025"/>
    <n v="210"/>
    <s v="IN89"/>
  </r>
  <r>
    <x v="0"/>
    <n v="256779413250"/>
    <x v="28"/>
    <n v="-423.28"/>
    <n v="-36137.300000000003"/>
    <m/>
    <d v="2025-09-06T00:00:00"/>
    <s v="USD"/>
    <d v="2025-11-01T00:00:00"/>
    <n v="1"/>
    <s v="30/11/2025"/>
    <n v="210"/>
    <s v="IN89"/>
  </r>
  <r>
    <x v="0"/>
    <n v="256779413148"/>
    <x v="28"/>
    <n v="0"/>
    <n v="88"/>
    <s v="C: ASCENDAS27 P: A023951 I 256779413148"/>
    <d v="2025-09-06T00:00:00"/>
    <s v="INR"/>
    <d v="2025-11-01T00:00:00"/>
    <n v="1"/>
    <s v="30/11/2025"/>
    <n v="230"/>
    <s v="IN89"/>
  </r>
  <r>
    <x v="0"/>
    <n v="256779413146"/>
    <x v="28"/>
    <n v="0"/>
    <n v="4000"/>
    <s v="C: ASCENDAS27 P: A023951 I 256779413146"/>
    <d v="2025-09-06T00:00:00"/>
    <s v="INR"/>
    <d v="2025-11-01T00:00:00"/>
    <n v="1"/>
    <s v="30/11/2025"/>
    <n v="230"/>
    <s v="IN89"/>
  </r>
  <r>
    <x v="0"/>
    <n v="256779413147"/>
    <x v="28"/>
    <n v="0"/>
    <n v="160"/>
    <s v="C: ASCENDAS27 P: A023951 I 256779413147"/>
    <d v="2025-09-06T00:00:00"/>
    <s v="INR"/>
    <d v="2025-11-01T00:00:00"/>
    <n v="1"/>
    <s v="30/11/2025"/>
    <n v="230"/>
    <s v="IN89"/>
  </r>
  <r>
    <x v="0"/>
    <n v="256779413250"/>
    <x v="28"/>
    <n v="8.4700000000000006"/>
    <n v="723.12"/>
    <s v="C: ASCENDAS27 P: A023951 I 256779413250"/>
    <d v="2025-09-06T00:00:00"/>
    <s v="USD"/>
    <d v="2025-11-01T00:00:00"/>
    <n v="1"/>
    <s v="30/11/2025"/>
    <n v="230"/>
    <s v="IN89"/>
  </r>
  <r>
    <x v="0"/>
    <n v="256779413240"/>
    <x v="28"/>
    <n v="8.48"/>
    <n v="723.98"/>
    <s v="C: ASCENDAS27 P: A023951 I 256779413240"/>
    <d v="2025-09-06T00:00:00"/>
    <s v="USD"/>
    <d v="2025-11-01T00:00:00"/>
    <n v="1"/>
    <s v="30/11/2025"/>
    <n v="230"/>
    <s v="IN89"/>
  </r>
  <r>
    <x v="0"/>
    <n v="256779413240"/>
    <x v="28"/>
    <n v="0"/>
    <n v="-1570.91"/>
    <s v="C: ASCENDAS27 P: Matching"/>
    <d v="2025-09-06T00:00:00"/>
    <s v="USD"/>
    <d v="2025-11-01T00:00:00"/>
    <n v="56"/>
    <s v="30/11/2025"/>
    <n v="271"/>
    <s v="IN89"/>
  </r>
  <r>
    <x v="0"/>
    <n v="256779413250"/>
    <x v="28"/>
    <n v="0"/>
    <n v="-1568.11"/>
    <s v="C: ASCENDAS27 P: Matching"/>
    <d v="2025-09-06T00:00:00"/>
    <s v="USD"/>
    <d v="2025-11-01T00:00:00"/>
    <n v="64"/>
    <s v="30/11/2025"/>
    <n v="271"/>
    <s v="IN89"/>
  </r>
  <r>
    <x v="0"/>
    <n v="256779419995"/>
    <x v="29"/>
    <n v="-187.19"/>
    <n v="-16688.88"/>
    <m/>
    <d v="2026-08-01T00:00:00"/>
    <s v="USD"/>
    <d v="2026-01-01T00:00:00"/>
    <n v="1"/>
    <s v="28/01/2026"/>
    <n v="210"/>
    <s v="IN89"/>
  </r>
  <r>
    <x v="0"/>
    <n v="256779419995"/>
    <x v="29"/>
    <n v="3.74"/>
    <n v="333.44"/>
    <s v="C: ASCENDAS27 P: A023951 I 256779419995"/>
    <d v="2026-08-01T00:00:00"/>
    <s v="USD"/>
    <d v="2026-01-01T00:00:00"/>
    <n v="1"/>
    <s v="28/01/2026"/>
    <n v="230"/>
    <s v="IN89"/>
  </r>
  <r>
    <x v="0"/>
    <n v="256779419995"/>
    <x v="29"/>
    <n v="0"/>
    <n v="-454.22"/>
    <s v="C: ASCENDAS27 P: Matching"/>
    <d v="2026-08-01T00:00:00"/>
    <s v="USD"/>
    <d v="2026-01-01T00:00:00"/>
    <n v="70"/>
    <s v="31/01/2026"/>
    <n v="271"/>
    <s v="IN89"/>
  </r>
  <r>
    <x v="0"/>
    <n v="256779419858"/>
    <x v="30"/>
    <n v="-147.37"/>
    <n v="-13138.74"/>
    <s v="USD CURRENCY"/>
    <d v="2026-07-01T00:00:00"/>
    <s v="USD"/>
    <d v="2026-01-01T00:00:00"/>
    <n v="1"/>
    <s v="28/01/2026"/>
    <n v="210"/>
    <s v="IN89"/>
  </r>
  <r>
    <x v="0"/>
    <n v="256779419858"/>
    <x v="30"/>
    <n v="2.95"/>
    <n v="263.01"/>
    <s v="C: ASCENDAS27 P: A023951 I 256779419858"/>
    <d v="2026-07-01T00:00:00"/>
    <s v="USD"/>
    <d v="2026-01-01T00:00:00"/>
    <n v="1"/>
    <s v="28/01/2026"/>
    <n v="230"/>
    <s v="IN89"/>
  </r>
  <r>
    <x v="0"/>
    <n v="256779419858"/>
    <x v="30"/>
    <n v="0"/>
    <n v="-290.25"/>
    <s v="C: ASCENDAS27 P: Matching"/>
    <d v="2026-07-01T00:00:00"/>
    <s v="USD"/>
    <d v="2026-01-01T00:00:00"/>
    <n v="72"/>
    <s v="31/01/2026"/>
    <n v="271"/>
    <s v="IN89"/>
  </r>
  <r>
    <x v="0"/>
    <n v="256779419858"/>
    <x v="30"/>
    <n v="0"/>
    <n v="-67.33"/>
    <s v="C: ASCENDAS27 P: Matching"/>
    <d v="2026-07-01T00:00:00"/>
    <s v="USD"/>
    <d v="2026-01-01T00:00:00"/>
    <n v="74"/>
    <s v="31/01/2026"/>
    <n v="271"/>
    <s v="IN89"/>
  </r>
  <r>
    <x v="0"/>
    <n v="256779416255"/>
    <x v="31"/>
    <n v="-392"/>
    <n v="-33959.32"/>
    <m/>
    <d v="2025-07-09T00:00:00"/>
    <s v="USD"/>
    <d v="2025-10-01T00:00:00"/>
    <n v="1"/>
    <s v="31/10/2025"/>
    <n v="210"/>
    <s v="IN89"/>
  </r>
  <r>
    <x v="0"/>
    <n v="256779416169"/>
    <x v="31"/>
    <n v="-257"/>
    <n v="-22264.14"/>
    <m/>
    <d v="2025-07-09T00:00:00"/>
    <s v="USD"/>
    <d v="2025-10-01T00:00:00"/>
    <n v="1"/>
    <s v="31/10/2025"/>
    <n v="210"/>
    <s v="IN89"/>
  </r>
  <r>
    <x v="0"/>
    <n v="256779416442"/>
    <x v="31"/>
    <n v="-1053"/>
    <n v="-91222.35"/>
    <m/>
    <d v="2025-07-09T00:00:00"/>
    <s v="USD"/>
    <d v="2025-10-01T00:00:00"/>
    <n v="1"/>
    <s v="31/10/2025"/>
    <n v="210"/>
    <s v="IN89"/>
  </r>
  <r>
    <x v="0"/>
    <n v="256779416214"/>
    <x v="31"/>
    <n v="-212"/>
    <n v="-18365.75"/>
    <m/>
    <d v="2025-07-09T00:00:00"/>
    <s v="USD"/>
    <d v="2025-10-01T00:00:00"/>
    <n v="1"/>
    <s v="31/10/2025"/>
    <n v="210"/>
    <s v="IN89"/>
  </r>
  <r>
    <x v="0"/>
    <n v="256779416454"/>
    <x v="31"/>
    <n v="-411"/>
    <n v="-35605.300000000003"/>
    <m/>
    <d v="2025-07-09T00:00:00"/>
    <s v="USD"/>
    <d v="2025-10-01T00:00:00"/>
    <n v="1"/>
    <s v="31/10/2025"/>
    <n v="210"/>
    <s v="IN89"/>
  </r>
  <r>
    <x v="0"/>
    <n v="256779416442"/>
    <x v="31"/>
    <n v="21.06"/>
    <n v="1824.45"/>
    <s v="C: ASCENDAS27 P: A023951 I 256779416442"/>
    <d v="2025-07-09T00:00:00"/>
    <s v="USD"/>
    <d v="2025-10-01T00:00:00"/>
    <n v="1"/>
    <s v="31/10/2025"/>
    <n v="230"/>
    <s v="IN89"/>
  </r>
  <r>
    <x v="0"/>
    <n v="256779416169"/>
    <x v="31"/>
    <n v="5.14"/>
    <n v="445.28"/>
    <s v="C: ASCENDAS27 P: A023951 I 256779416169"/>
    <d v="2025-07-09T00:00:00"/>
    <s v="USD"/>
    <d v="2025-10-01T00:00:00"/>
    <n v="1"/>
    <s v="31/10/2025"/>
    <n v="230"/>
    <s v="IN89"/>
  </r>
  <r>
    <x v="0"/>
    <n v="256779416214"/>
    <x v="31"/>
    <n v="4.24"/>
    <n v="367.31"/>
    <s v="C: ASCENDAS27 P: A023951 I 256779416214"/>
    <d v="2025-07-09T00:00:00"/>
    <s v="USD"/>
    <d v="2025-10-01T00:00:00"/>
    <n v="1"/>
    <s v="31/10/2025"/>
    <n v="230"/>
    <s v="IN89"/>
  </r>
  <r>
    <x v="0"/>
    <n v="256779416454"/>
    <x v="31"/>
    <n v="8.2200000000000006"/>
    <n v="712.11"/>
    <s v="C: ASCENDAS27 P: A023951 I 256779416454"/>
    <d v="2025-07-09T00:00:00"/>
    <s v="USD"/>
    <d v="2025-10-01T00:00:00"/>
    <n v="1"/>
    <s v="31/10/2025"/>
    <n v="230"/>
    <s v="IN89"/>
  </r>
  <r>
    <x v="0"/>
    <n v="256779416255"/>
    <x v="31"/>
    <n v="7.84"/>
    <n v="679.19"/>
    <s v="C: ASCENDAS27 P: A023951 I 256779416255"/>
    <d v="2025-07-09T00:00:00"/>
    <s v="USD"/>
    <d v="2025-10-01T00:00:00"/>
    <n v="1"/>
    <s v="31/10/2025"/>
    <n v="230"/>
    <s v="IN89"/>
  </r>
  <r>
    <x v="0"/>
    <n v="256779416096"/>
    <x v="31"/>
    <n v="-7386.34"/>
    <n v="-639885.32999999996"/>
    <m/>
    <d v="2025-07-09T00:00:00"/>
    <s v="USD"/>
    <d v="2025-10-01T00:00:00"/>
    <n v="1"/>
    <s v="31/10/2025"/>
    <n v="210"/>
    <s v="IN89"/>
  </r>
  <r>
    <x v="0"/>
    <n v="256779416096"/>
    <x v="31"/>
    <n v="147.72999999999999"/>
    <n v="12797.98"/>
    <s v="C: ASCENDAS27 P: A023951 I 256779416096"/>
    <d v="2025-07-09T00:00:00"/>
    <s v="USD"/>
    <d v="2025-10-01T00:00:00"/>
    <n v="1"/>
    <s v="31/10/2025"/>
    <n v="230"/>
    <s v="IN89"/>
  </r>
  <r>
    <x v="0"/>
    <n v="256779416255"/>
    <x v="31"/>
    <n v="0"/>
    <n v="-622.98"/>
    <s v="C: ASCENDAS27 P: Matching"/>
    <d v="2025-07-09T00:00:00"/>
    <s v="USD"/>
    <d v="2025-10-01T00:00:00"/>
    <n v="102"/>
    <s v="31/10/2025"/>
    <n v="271"/>
    <s v="IN89"/>
  </r>
  <r>
    <x v="0"/>
    <n v="256779416169"/>
    <x v="31"/>
    <n v="0"/>
    <n v="-408.43"/>
    <s v="C: ASCENDAS27 P: Matching"/>
    <d v="2025-07-09T00:00:00"/>
    <s v="USD"/>
    <d v="2025-10-01T00:00:00"/>
    <n v="104"/>
    <s v="31/10/2025"/>
    <n v="271"/>
    <s v="IN89"/>
  </r>
  <r>
    <x v="0"/>
    <n v="256779416442"/>
    <x v="31"/>
    <n v="0"/>
    <n v="-1673.46"/>
    <s v="C: ASCENDAS27 P: Matching"/>
    <d v="2025-07-09T00:00:00"/>
    <s v="USD"/>
    <d v="2025-10-01T00:00:00"/>
    <n v="106"/>
    <s v="31/10/2025"/>
    <n v="271"/>
    <s v="IN89"/>
  </r>
  <r>
    <x v="0"/>
    <n v="256779416214"/>
    <x v="31"/>
    <n v="0"/>
    <n v="-336.91"/>
    <s v="C: ASCENDAS27 P: Matching"/>
    <d v="2025-07-09T00:00:00"/>
    <s v="USD"/>
    <d v="2025-10-01T00:00:00"/>
    <n v="108"/>
    <s v="31/10/2025"/>
    <n v="271"/>
    <s v="IN89"/>
  </r>
  <r>
    <x v="0"/>
    <n v="256779416454"/>
    <x v="31"/>
    <n v="0"/>
    <n v="-653.17999999999995"/>
    <s v="C: ASCENDAS27 P: Matching"/>
    <d v="2025-07-09T00:00:00"/>
    <s v="USD"/>
    <d v="2025-10-01T00:00:00"/>
    <n v="110"/>
    <s v="31/10/2025"/>
    <n v="271"/>
    <s v="IN89"/>
  </r>
  <r>
    <x v="0"/>
    <n v="256779416096"/>
    <x v="31"/>
    <n v="0"/>
    <n v="-11738.6"/>
    <s v="C: ASCENDAS27 P: Matching"/>
    <d v="2025-07-09T00:00:00"/>
    <s v="USD"/>
    <d v="2025-10-01T00:00:00"/>
    <n v="112"/>
    <s v="31/10/2025"/>
    <n v="271"/>
    <s v="IN89"/>
  </r>
  <r>
    <x v="0"/>
    <n v="256779416137"/>
    <x v="31"/>
    <n v="-55"/>
    <n v="-4764.7"/>
    <s v="14 DAYS OLDER; NO EXCHANGE RATE PROVIDEDE"/>
    <d v="2025-07-09T00:00:00"/>
    <s v="USD"/>
    <d v="2025-11-01T00:00:00"/>
    <n v="1"/>
    <s v="24/11/2025"/>
    <n v="210"/>
    <s v="IN89"/>
  </r>
  <r>
    <x v="0"/>
    <n v="256779416137"/>
    <x v="31"/>
    <n v="1.1000000000000001"/>
    <n v="95.29"/>
    <s v="C: ASCENDAS27 P: A023951 I 256779416137"/>
    <d v="2025-07-09T00:00:00"/>
    <s v="USD"/>
    <d v="2025-11-01T00:00:00"/>
    <n v="1"/>
    <s v="24/11/2025"/>
    <n v="230"/>
    <s v="IN89"/>
  </r>
  <r>
    <x v="0"/>
    <n v="256779416255"/>
    <x v="31"/>
    <n v="0"/>
    <n v="-346.59"/>
    <s v="C: ASCENDAS27 P: Matching"/>
    <d v="2025-07-09T00:00:00"/>
    <s v="USD"/>
    <d v="2025-11-01T00:00:00"/>
    <n v="32"/>
    <s v="30/11/2025"/>
    <n v="271"/>
    <s v="IN89"/>
  </r>
  <r>
    <x v="0"/>
    <n v="256779416169"/>
    <x v="31"/>
    <n v="0"/>
    <n v="-227.23"/>
    <s v="C: ASCENDAS27 P: Matching"/>
    <d v="2025-07-09T00:00:00"/>
    <s v="USD"/>
    <d v="2025-11-01T00:00:00"/>
    <n v="34"/>
    <s v="30/11/2025"/>
    <n v="271"/>
    <s v="IN89"/>
  </r>
  <r>
    <x v="0"/>
    <n v="256779416442"/>
    <x v="31"/>
    <n v="0"/>
    <n v="-931.02"/>
    <s v="C: ASCENDAS27 P: Matching"/>
    <d v="2025-07-09T00:00:00"/>
    <s v="USD"/>
    <d v="2025-11-01T00:00:00"/>
    <n v="36"/>
    <s v="30/11/2025"/>
    <n v="271"/>
    <s v="IN89"/>
  </r>
  <r>
    <x v="0"/>
    <n v="256779416214"/>
    <x v="31"/>
    <n v="0"/>
    <n v="-187.45"/>
    <s v="C: ASCENDAS27 P: Matching"/>
    <d v="2025-07-09T00:00:00"/>
    <s v="USD"/>
    <d v="2025-11-01T00:00:00"/>
    <n v="38"/>
    <s v="30/11/2025"/>
    <n v="271"/>
    <s v="IN89"/>
  </r>
  <r>
    <x v="0"/>
    <n v="256779416454"/>
    <x v="31"/>
    <n v="0"/>
    <n v="-363.39"/>
    <s v="C: ASCENDAS27 P: Matching"/>
    <d v="2025-07-09T00:00:00"/>
    <s v="USD"/>
    <d v="2025-11-01T00:00:00"/>
    <n v="40"/>
    <s v="30/11/2025"/>
    <n v="271"/>
    <s v="IN89"/>
  </r>
  <r>
    <x v="0"/>
    <n v="256779416137"/>
    <x v="31"/>
    <n v="0"/>
    <n v="-136.03"/>
    <s v="C: ASCENDAS27 P: Matching"/>
    <d v="2025-07-09T00:00:00"/>
    <s v="USD"/>
    <d v="2025-11-01T00:00:00"/>
    <n v="50"/>
    <s v="30/11/2025"/>
    <n v="271"/>
    <s v="IN89"/>
  </r>
  <r>
    <x v="0"/>
    <n v="256779416255"/>
    <x v="31"/>
    <n v="0"/>
    <n v="-282.73"/>
    <s v="C: ASCENDAS27 P: Matching"/>
    <d v="2025-07-09T00:00:00"/>
    <s v="USD"/>
    <d v="2025-12-01T00:00:00"/>
    <n v="32"/>
    <s v="31/12/2025"/>
    <n v="271"/>
    <s v="IN89"/>
  </r>
  <r>
    <x v="0"/>
    <n v="256779416169"/>
    <x v="31"/>
    <n v="0"/>
    <n v="-185.36"/>
    <s v="C: ASCENDAS27 P: Matching"/>
    <d v="2025-07-09T00:00:00"/>
    <s v="USD"/>
    <d v="2025-12-01T00:00:00"/>
    <n v="34"/>
    <s v="31/12/2025"/>
    <n v="271"/>
    <s v="IN89"/>
  </r>
  <r>
    <x v="0"/>
    <n v="256779416442"/>
    <x v="31"/>
    <n v="0"/>
    <n v="-759.48"/>
    <s v="C: ASCENDAS27 P: Matching"/>
    <d v="2025-07-09T00:00:00"/>
    <s v="USD"/>
    <d v="2025-12-01T00:00:00"/>
    <n v="36"/>
    <s v="31/12/2025"/>
    <n v="271"/>
    <s v="IN89"/>
  </r>
  <r>
    <x v="0"/>
    <n v="256779416214"/>
    <x v="31"/>
    <n v="0"/>
    <n v="-152.9"/>
    <s v="C: ASCENDAS27 P: Matching"/>
    <d v="2025-07-09T00:00:00"/>
    <s v="USD"/>
    <d v="2025-12-01T00:00:00"/>
    <n v="38"/>
    <s v="31/12/2025"/>
    <n v="271"/>
    <s v="IN89"/>
  </r>
  <r>
    <x v="0"/>
    <n v="256779416454"/>
    <x v="31"/>
    <n v="0"/>
    <n v="-296.44"/>
    <s v="C: ASCENDAS27 P: Matching"/>
    <d v="2025-07-09T00:00:00"/>
    <s v="USD"/>
    <d v="2025-12-01T00:00:00"/>
    <n v="40"/>
    <s v="31/12/2025"/>
    <n v="271"/>
    <s v="IN89"/>
  </r>
  <r>
    <x v="0"/>
    <n v="256779416137"/>
    <x v="31"/>
    <n v="0"/>
    <n v="-39.67"/>
    <s v="C: ASCENDAS27 P: Matching"/>
    <d v="2025-07-09T00:00:00"/>
    <s v="USD"/>
    <d v="2025-12-01T00:00:00"/>
    <n v="48"/>
    <s v="31/12/2025"/>
    <n v="271"/>
    <s v="IN89"/>
  </r>
  <r>
    <x v="0"/>
    <n v="256779416255"/>
    <x v="31"/>
    <n v="0"/>
    <n v="-668.43"/>
    <s v="C: ASCENDAS27 P: Matching"/>
    <d v="2025-07-09T00:00:00"/>
    <s v="USD"/>
    <d v="2026-01-01T00:00:00"/>
    <n v="32"/>
    <s v="31/01/2026"/>
    <n v="271"/>
    <s v="IN89"/>
  </r>
  <r>
    <x v="0"/>
    <n v="256779416169"/>
    <x v="31"/>
    <n v="0"/>
    <n v="-438.24"/>
    <s v="C: ASCENDAS27 P: Matching"/>
    <d v="2025-07-09T00:00:00"/>
    <s v="USD"/>
    <d v="2026-01-01T00:00:00"/>
    <n v="34"/>
    <s v="31/01/2026"/>
    <n v="271"/>
    <s v="IN89"/>
  </r>
  <r>
    <x v="0"/>
    <n v="256779416442"/>
    <x v="31"/>
    <n v="0"/>
    <n v="-1795.56"/>
    <s v="C: ASCENDAS27 P: Matching"/>
    <d v="2025-07-09T00:00:00"/>
    <s v="USD"/>
    <d v="2026-01-01T00:00:00"/>
    <n v="36"/>
    <s v="31/01/2026"/>
    <n v="271"/>
    <s v="IN89"/>
  </r>
  <r>
    <x v="0"/>
    <n v="256779416214"/>
    <x v="31"/>
    <n v="0"/>
    <n v="-361.5"/>
    <s v="C: ASCENDAS27 P: Matching"/>
    <d v="2025-07-09T00:00:00"/>
    <s v="USD"/>
    <d v="2026-01-01T00:00:00"/>
    <n v="38"/>
    <s v="31/01/2026"/>
    <n v="271"/>
    <s v="IN89"/>
  </r>
  <r>
    <x v="0"/>
    <n v="256779416454"/>
    <x v="31"/>
    <n v="0"/>
    <n v="-700.83"/>
    <s v="C: ASCENDAS27 P: Matching"/>
    <d v="2025-07-09T00:00:00"/>
    <s v="USD"/>
    <d v="2026-01-01T00:00:00"/>
    <n v="40"/>
    <s v="31/01/2026"/>
    <n v="271"/>
    <s v="IN89"/>
  </r>
  <r>
    <x v="0"/>
    <n v="256779416137"/>
    <x v="31"/>
    <n v="0"/>
    <n v="-93.79"/>
    <s v="C: ASCENDAS27 P: Matching"/>
    <d v="2025-07-09T00:00:00"/>
    <s v="USD"/>
    <d v="2026-01-01T00:00:00"/>
    <n v="44"/>
    <s v="31/01/2026"/>
    <n v="271"/>
    <s v="IN89"/>
  </r>
  <r>
    <x v="0"/>
    <n v="256779418176"/>
    <x v="32"/>
    <n v="-639.04999999999995"/>
    <n v="-56657.85"/>
    <s v="USD CURRENCY"/>
    <d v="2025-06-11T00:00:00"/>
    <s v="USD"/>
    <d v="2026-01-01T00:00:00"/>
    <n v="1"/>
    <s v="27/01/2026"/>
    <n v="210"/>
    <s v="IN89"/>
  </r>
  <r>
    <x v="0"/>
    <n v="256779418176"/>
    <x v="32"/>
    <n v="12.78"/>
    <n v="1133.07"/>
    <s v="C: ASCENDAS27 P: A023951 I 256779418176"/>
    <d v="2025-06-11T00:00:00"/>
    <s v="USD"/>
    <d v="2026-01-01T00:00:00"/>
    <n v="1"/>
    <s v="27/01/2026"/>
    <n v="230"/>
    <s v="IN89"/>
  </r>
  <r>
    <x v="0"/>
    <n v="256779419983"/>
    <x v="33"/>
    <n v="-55.63"/>
    <n v="-4959.68"/>
    <s v="USD CURRENCY"/>
    <d v="2026-05-01T00:00:00"/>
    <s v="USD"/>
    <d v="2026-01-01T00:00:00"/>
    <n v="1"/>
    <s v="28/01/2026"/>
    <n v="210"/>
    <s v="IN89"/>
  </r>
  <r>
    <x v="0"/>
    <n v="256779419983"/>
    <x v="33"/>
    <n v="1.1100000000000001"/>
    <n v="98.96"/>
    <s v="C: ASCENDAS27 P: A023951 I 256779419983"/>
    <d v="2026-05-01T00:00:00"/>
    <s v="USD"/>
    <d v="2026-01-01T00:00:00"/>
    <n v="1"/>
    <s v="28/01/2026"/>
    <n v="230"/>
    <s v="IN89"/>
  </r>
  <r>
    <x v="0"/>
    <n v="256779419983"/>
    <x v="33"/>
    <n v="0"/>
    <n v="-134.99"/>
    <s v="C: ASCENDAS27 P: Matching"/>
    <d v="2026-05-01T00:00:00"/>
    <s v="USD"/>
    <d v="2026-01-01T00:00:00"/>
    <n v="98"/>
    <s v="31/01/2026"/>
    <n v="271"/>
    <s v="IN89"/>
  </r>
  <r>
    <x v="0"/>
    <n v="256779418006"/>
    <x v="34"/>
    <n v="-4667.07"/>
    <n v="-413780.08"/>
    <s v="USD CURRENCY"/>
    <d v="2025-05-11T00:00:00"/>
    <s v="USD"/>
    <d v="2026-01-01T00:00:00"/>
    <n v="1"/>
    <s v="27/01/2026"/>
    <n v="210"/>
    <s v="IN89"/>
  </r>
  <r>
    <x v="0"/>
    <n v="256779418006"/>
    <x v="34"/>
    <n v="93.34"/>
    <n v="8275.48"/>
    <s v="C: ASCENDAS27 P: A023951 I 256779418006"/>
    <d v="2025-05-11T00:00:00"/>
    <s v="USD"/>
    <d v="2026-01-01T00:00:00"/>
    <n v="1"/>
    <s v="27/01/2026"/>
    <n v="230"/>
    <s v="IN89"/>
  </r>
  <r>
    <x v="0"/>
    <n v="246779410904"/>
    <x v="35"/>
    <n v="-1665.82"/>
    <n v="-144997"/>
    <m/>
    <d v="2025-05-04T00:00:00"/>
    <s v="USD"/>
    <d v="2025-06-01T00:00:00"/>
    <n v="1"/>
    <d v="2025-12-06T00:00:00"/>
    <n v="210"/>
    <s v="IN89"/>
  </r>
  <r>
    <x v="0"/>
    <n v="246779410904"/>
    <x v="35"/>
    <n v="33.32"/>
    <n v="2900.25"/>
    <s v="C: ASCENDAS27 P: A023951 I 246779410904"/>
    <d v="2025-05-04T00:00:00"/>
    <s v="USD"/>
    <d v="2025-06-01T00:00:00"/>
    <n v="1"/>
    <d v="2025-12-06T00:00:00"/>
    <n v="230"/>
    <s v="IN89"/>
  </r>
  <r>
    <x v="0"/>
    <n v="246779410882"/>
    <x v="35"/>
    <n v="-2232.73"/>
    <n v="-194342.21"/>
    <m/>
    <d v="2025-05-04T00:00:00"/>
    <s v="USD"/>
    <d v="2025-06-01T00:00:00"/>
    <n v="1"/>
    <s v="30/06/2025"/>
    <n v="210"/>
    <s v="IN89"/>
  </r>
  <r>
    <x v="0"/>
    <n v="246779410882"/>
    <x v="35"/>
    <n v="44.65"/>
    <n v="3886.44"/>
    <s v="C: ASCENDAS27 P: A023951 I 246779410882"/>
    <d v="2025-05-04T00:00:00"/>
    <s v="USD"/>
    <d v="2025-06-01T00:00:00"/>
    <n v="1"/>
    <s v="30/06/2025"/>
    <n v="230"/>
    <s v="IN89"/>
  </r>
  <r>
    <x v="0"/>
    <n v="246779410882"/>
    <x v="35"/>
    <n v="0"/>
    <n v="2303.84"/>
    <s v="C: ASCENDAS27 P: Matching"/>
    <d v="2025-05-04T00:00:00"/>
    <s v="USD"/>
    <d v="2025-06-01T00:00:00"/>
    <n v="50"/>
    <s v="30/06/2025"/>
    <n v="271"/>
    <s v="IN89"/>
  </r>
  <r>
    <x v="0"/>
    <n v="256779419908"/>
    <x v="36"/>
    <n v="-375.94"/>
    <n v="-33516.85"/>
    <s v="USD CURRENCY"/>
    <d v="2026-04-01T00:00:00"/>
    <s v="USD"/>
    <d v="2026-01-01T00:00:00"/>
    <n v="1"/>
    <s v="28/01/2026"/>
    <n v="210"/>
    <s v="IN89"/>
  </r>
  <r>
    <x v="0"/>
    <n v="256779419808"/>
    <x v="36"/>
    <n v="-27.95"/>
    <n v="-2491.88"/>
    <m/>
    <d v="2026-04-01T00:00:00"/>
    <s v="USD"/>
    <d v="2026-01-01T00:00:00"/>
    <n v="1"/>
    <s v="28/01/2026"/>
    <n v="210"/>
    <s v="IN89"/>
  </r>
  <r>
    <x v="0"/>
    <n v="256779419908"/>
    <x v="36"/>
    <n v="7.52"/>
    <n v="670.44"/>
    <s v="C: ASCENDAS27 P: A023951 I 256779419908"/>
    <d v="2026-04-01T00:00:00"/>
    <s v="USD"/>
    <d v="2026-01-01T00:00:00"/>
    <n v="1"/>
    <s v="28/01/2026"/>
    <n v="230"/>
    <s v="IN89"/>
  </r>
  <r>
    <x v="0"/>
    <n v="256779419808"/>
    <x v="36"/>
    <n v="0.56000000000000005"/>
    <n v="49.93"/>
    <s v="C: ASCENDAS27 P: A023951 I 256779419808"/>
    <d v="2026-04-01T00:00:00"/>
    <s v="USD"/>
    <d v="2026-01-01T00:00:00"/>
    <n v="1"/>
    <s v="28/01/2026"/>
    <n v="230"/>
    <s v="IN89"/>
  </r>
  <r>
    <x v="0"/>
    <n v="256779419908"/>
    <x v="36"/>
    <n v="0"/>
    <n v="-912.18"/>
    <s v="C: ASCENDAS27 P: Matching"/>
    <d v="2026-04-01T00:00:00"/>
    <s v="USD"/>
    <d v="2026-01-01T00:00:00"/>
    <n v="76"/>
    <s v="31/01/2026"/>
    <n v="271"/>
    <s v="IN89"/>
  </r>
  <r>
    <x v="0"/>
    <n v="256779419808"/>
    <x v="36"/>
    <n v="0"/>
    <n v="-67.819999999999993"/>
    <s v="C: ASCENDAS27 P: Matching"/>
    <d v="2026-04-01T00:00:00"/>
    <s v="USD"/>
    <d v="2026-01-01T00:00:00"/>
    <n v="94"/>
    <s v="31/01/2026"/>
    <n v="271"/>
    <s v="IN89"/>
  </r>
  <r>
    <x v="0"/>
    <n v="256779419211"/>
    <x v="37"/>
    <n v="-28.18"/>
    <n v="-2486.96"/>
    <s v="USD CURRENCY"/>
    <d v="2025-05-12T00:00:00"/>
    <s v="USD"/>
    <d v="2025-12-01T00:00:00"/>
    <n v="1"/>
    <s v="15/12/2025"/>
    <n v="210"/>
    <s v="IN89"/>
  </r>
  <r>
    <x v="0"/>
    <n v="256779419211"/>
    <x v="37"/>
    <n v="0.56000000000000005"/>
    <n v="49.42"/>
    <s v="C: ASCENDAS27 P: A023951 I 256779419211"/>
    <d v="2025-05-12T00:00:00"/>
    <s v="USD"/>
    <d v="2025-12-01T00:00:00"/>
    <n v="1"/>
    <s v="15/12/2025"/>
    <n v="230"/>
    <s v="IN89"/>
  </r>
  <r>
    <x v="0"/>
    <n v="256779419165"/>
    <x v="37"/>
    <n v="-191.57"/>
    <n v="-16906.55"/>
    <s v="USD CURRENCY"/>
    <d v="2025-05-12T00:00:00"/>
    <s v="USD"/>
    <d v="2025-12-01T00:00:00"/>
    <n v="1"/>
    <s v="19/12/2025"/>
    <n v="210"/>
    <s v="IN89"/>
  </r>
  <r>
    <x v="0"/>
    <n v="256779419192"/>
    <x v="37"/>
    <n v="-171.87"/>
    <n v="-15167.97"/>
    <s v="USD CURRENCY"/>
    <d v="2025-05-12T00:00:00"/>
    <s v="USD"/>
    <d v="2025-12-01T00:00:00"/>
    <n v="1"/>
    <s v="19/12/2025"/>
    <n v="210"/>
    <s v="IN89"/>
  </r>
  <r>
    <x v="0"/>
    <n v="256779418777"/>
    <x v="37"/>
    <n v="-2272.64"/>
    <n v="-200566.32"/>
    <s v="USD CURRENCY"/>
    <d v="2025-05-12T00:00:00"/>
    <s v="USD"/>
    <d v="2025-12-01T00:00:00"/>
    <n v="1"/>
    <s v="19/12/2025"/>
    <n v="210"/>
    <s v="IN89"/>
  </r>
  <r>
    <x v="0"/>
    <n v="256779418779"/>
    <x v="37"/>
    <n v="-50"/>
    <n v="-4412.63"/>
    <s v="USD CURRENCY"/>
    <d v="2025-05-12T00:00:00"/>
    <s v="USD"/>
    <d v="2025-12-01T00:00:00"/>
    <n v="1"/>
    <s v="19/12/2025"/>
    <n v="210"/>
    <s v="IN89"/>
  </r>
  <r>
    <x v="0"/>
    <n v="256779419165"/>
    <x v="37"/>
    <n v="3.83"/>
    <n v="338.01"/>
    <s v="C: ASCENDAS27 P: A023951 I 256779419165"/>
    <d v="2025-05-12T00:00:00"/>
    <s v="USD"/>
    <d v="2025-12-01T00:00:00"/>
    <n v="1"/>
    <s v="19/12/2025"/>
    <n v="230"/>
    <s v="IN89"/>
  </r>
  <r>
    <x v="0"/>
    <n v="256779419192"/>
    <x v="37"/>
    <n v="3.44"/>
    <n v="303.58999999999997"/>
    <s v="C: ASCENDAS27 P: A023951 I 256779419192"/>
    <d v="2025-05-12T00:00:00"/>
    <s v="USD"/>
    <d v="2025-12-01T00:00:00"/>
    <n v="1"/>
    <s v="19/12/2025"/>
    <n v="230"/>
    <s v="IN89"/>
  </r>
  <r>
    <x v="0"/>
    <n v="256779418777"/>
    <x v="37"/>
    <n v="45.45"/>
    <n v="4011.08"/>
    <s v="C: ASCENDAS27 P: A023951 I 256779418777"/>
    <d v="2025-05-12T00:00:00"/>
    <s v="USD"/>
    <d v="2025-12-01T00:00:00"/>
    <n v="1"/>
    <s v="19/12/2025"/>
    <n v="230"/>
    <s v="IN89"/>
  </r>
  <r>
    <x v="0"/>
    <n v="256779418779"/>
    <x v="37"/>
    <n v="1"/>
    <n v="88.25"/>
    <s v="C: ASCENDAS27 P: A023951 I 256779418779"/>
    <d v="2025-05-12T00:00:00"/>
    <s v="USD"/>
    <d v="2025-12-01T00:00:00"/>
    <n v="1"/>
    <s v="19/12/2025"/>
    <n v="230"/>
    <s v="IN89"/>
  </r>
  <r>
    <x v="0"/>
    <n v="256779419165"/>
    <x v="37"/>
    <n v="0"/>
    <n v="-307.55"/>
    <s v="C: ASCENDAS27 P: Matching"/>
    <d v="2025-05-12T00:00:00"/>
    <s v="USD"/>
    <d v="2025-12-01T00:00:00"/>
    <n v="68"/>
    <s v="31/12/2025"/>
    <n v="271"/>
    <s v="IN89"/>
  </r>
  <r>
    <x v="0"/>
    <n v="256779419192"/>
    <x v="37"/>
    <n v="0"/>
    <n v="-275.92"/>
    <s v="C: ASCENDAS27 P: Matching"/>
    <d v="2025-05-12T00:00:00"/>
    <s v="USD"/>
    <d v="2025-12-01T00:00:00"/>
    <n v="70"/>
    <s v="31/12/2025"/>
    <n v="271"/>
    <s v="IN89"/>
  </r>
  <r>
    <x v="0"/>
    <n v="256779418777"/>
    <x v="37"/>
    <n v="0"/>
    <n v="-3648.54"/>
    <s v="C: ASCENDAS27 P: Matching"/>
    <d v="2025-05-12T00:00:00"/>
    <s v="USD"/>
    <d v="2025-12-01T00:00:00"/>
    <n v="72"/>
    <s v="31/12/2025"/>
    <n v="271"/>
    <s v="IN89"/>
  </r>
  <r>
    <x v="0"/>
    <n v="256779418779"/>
    <x v="37"/>
    <n v="0"/>
    <n v="-80.27"/>
    <s v="C: ASCENDAS27 P: Matching"/>
    <d v="2025-05-12T00:00:00"/>
    <s v="USD"/>
    <d v="2025-12-01T00:00:00"/>
    <n v="74"/>
    <s v="31/12/2025"/>
    <n v="271"/>
    <s v="IN89"/>
  </r>
  <r>
    <x v="0"/>
    <n v="256779418778"/>
    <x v="37"/>
    <n v="-90.91"/>
    <n v="-8023.04"/>
    <s v="USD CURRENCY"/>
    <d v="2025-05-12T00:00:00"/>
    <s v="USD"/>
    <d v="2026-01-01T00:00:00"/>
    <n v="1"/>
    <s v="27/01/2026"/>
    <n v="210"/>
    <s v="IN89"/>
  </r>
  <r>
    <x v="0"/>
    <n v="256779418892"/>
    <x v="37"/>
    <n v="-1683.97"/>
    <n v="-148614.68"/>
    <s v="USD CURRENCY"/>
    <d v="2025-05-12T00:00:00"/>
    <s v="USD"/>
    <d v="2026-01-01T00:00:00"/>
    <n v="1"/>
    <s v="27/01/2026"/>
    <n v="210"/>
    <s v="IN89"/>
  </r>
  <r>
    <x v="0"/>
    <n v="256779418778"/>
    <x v="37"/>
    <n v="1.82"/>
    <n v="160.62"/>
    <s v="C: ASCENDAS27 P: A023951 I 256779418778"/>
    <d v="2025-05-12T00:00:00"/>
    <s v="USD"/>
    <d v="2026-01-01T00:00:00"/>
    <n v="1"/>
    <s v="27/01/2026"/>
    <n v="230"/>
    <s v="IN89"/>
  </r>
  <r>
    <x v="0"/>
    <n v="256779418892"/>
    <x v="37"/>
    <n v="33.68"/>
    <n v="2972.35"/>
    <s v="C: ASCENDAS27 P: A023951 I 256779418892"/>
    <d v="2025-05-12T00:00:00"/>
    <s v="USD"/>
    <d v="2026-01-01T00:00:00"/>
    <n v="1"/>
    <s v="27/01/2026"/>
    <n v="230"/>
    <s v="IN89"/>
  </r>
  <r>
    <x v="0"/>
    <n v="256779418904"/>
    <x v="37"/>
    <n v="-1273.92"/>
    <n v="-112426.72"/>
    <s v="USD CURRENCY"/>
    <d v="2025-05-12T00:00:00"/>
    <s v="USD"/>
    <d v="2026-01-01T00:00:00"/>
    <n v="1"/>
    <s v="27/01/2026"/>
    <n v="210"/>
    <s v="IN89"/>
  </r>
  <r>
    <x v="0"/>
    <n v="256779418904"/>
    <x v="37"/>
    <n v="25.48"/>
    <n v="2248.6799999999998"/>
    <s v="C: ASCENDAS27 P: A023951 I 256779418904"/>
    <d v="2025-05-12T00:00:00"/>
    <s v="USD"/>
    <d v="2026-01-01T00:00:00"/>
    <n v="1"/>
    <s v="27/01/2026"/>
    <n v="230"/>
    <s v="IN89"/>
  </r>
  <r>
    <x v="0"/>
    <n v="256779418778"/>
    <x v="37"/>
    <n v="0"/>
    <n v="-300.95999999999998"/>
    <s v="C: ASCENDAS27 P: Matching"/>
    <d v="2025-05-12T00:00:00"/>
    <s v="USD"/>
    <d v="2026-01-01T00:00:00"/>
    <n v="56"/>
    <s v="31/01/2026"/>
    <n v="271"/>
    <s v="IN89"/>
  </r>
  <r>
    <x v="0"/>
    <n v="256779417971"/>
    <x v="38"/>
    <n v="-94.81"/>
    <n v="-8405.81"/>
    <s v="USD CURRENCY"/>
    <d v="2025-04-11T00:00:00"/>
    <s v="USD"/>
    <d v="2025-12-01T00:00:00"/>
    <n v="1"/>
    <s v="14/12/2025"/>
    <n v="210"/>
    <s v="IN89"/>
  </r>
  <r>
    <x v="0"/>
    <n v="256779417971"/>
    <x v="38"/>
    <n v="1.9"/>
    <n v="168.45"/>
    <s v="C: ASCENDAS27 P: A023951 I 256779417971"/>
    <d v="2025-04-11T00:00:00"/>
    <s v="USD"/>
    <d v="2025-12-01T00:00:00"/>
    <n v="1"/>
    <s v="14/12/2025"/>
    <n v="230"/>
    <s v="IN89"/>
  </r>
  <r>
    <x v="0"/>
    <n v="256779417875"/>
    <x v="38"/>
    <n v="-2267.81"/>
    <n v="-201062.89"/>
    <s v="USD CURRENCY"/>
    <d v="2025-04-11T00:00:00"/>
    <s v="USD"/>
    <d v="2025-12-01T00:00:00"/>
    <n v="1"/>
    <s v="15/12/2025"/>
    <n v="210"/>
    <s v="IN89"/>
  </r>
  <r>
    <x v="0"/>
    <n v="256779417876"/>
    <x v="38"/>
    <n v="-90.71"/>
    <n v="-8042.3"/>
    <s v="USD CURRENCY"/>
    <d v="2025-04-11T00:00:00"/>
    <s v="USD"/>
    <d v="2025-12-01T00:00:00"/>
    <n v="1"/>
    <s v="15/12/2025"/>
    <n v="210"/>
    <s v="IN89"/>
  </r>
  <r>
    <x v="0"/>
    <n v="256779417877"/>
    <x v="38"/>
    <n v="-49.89"/>
    <n v="-4423.22"/>
    <s v="USD CURRENCY"/>
    <d v="2025-04-11T00:00:00"/>
    <s v="USD"/>
    <d v="2025-12-01T00:00:00"/>
    <n v="1"/>
    <s v="15/12/2025"/>
    <n v="210"/>
    <s v="IN89"/>
  </r>
  <r>
    <x v="0"/>
    <n v="256779418391"/>
    <x v="38"/>
    <n v="-38.51"/>
    <n v="-3414.28"/>
    <s v="USD CURRENCY"/>
    <d v="2025-04-11T00:00:00"/>
    <s v="USD"/>
    <d v="2025-12-01T00:00:00"/>
    <n v="1"/>
    <s v="15/12/2025"/>
    <n v="210"/>
    <s v="IN89"/>
  </r>
  <r>
    <x v="0"/>
    <n v="256779417931"/>
    <x v="38"/>
    <n v="-288.83999999999997"/>
    <n v="-25608.41"/>
    <s v="USD CURRENCY"/>
    <d v="2025-04-11T00:00:00"/>
    <s v="USD"/>
    <d v="2025-12-01T00:00:00"/>
    <n v="1"/>
    <s v="15/12/2025"/>
    <n v="210"/>
    <s v="IN89"/>
  </r>
  <r>
    <x v="0"/>
    <n v="256779417875"/>
    <x v="38"/>
    <n v="45.36"/>
    <n v="4021.59"/>
    <s v="C: ASCENDAS27 P: A023951 I 256779417875"/>
    <d v="2025-04-11T00:00:00"/>
    <s v="USD"/>
    <d v="2025-12-01T00:00:00"/>
    <n v="1"/>
    <s v="15/12/2025"/>
    <n v="230"/>
    <s v="IN89"/>
  </r>
  <r>
    <x v="0"/>
    <n v="256779417876"/>
    <x v="38"/>
    <n v="1.81"/>
    <n v="160.47"/>
    <s v="C: ASCENDAS27 P: A023951 I 256779417876"/>
    <d v="2025-04-11T00:00:00"/>
    <s v="USD"/>
    <d v="2025-12-01T00:00:00"/>
    <n v="1"/>
    <s v="15/12/2025"/>
    <n v="230"/>
    <s v="IN89"/>
  </r>
  <r>
    <x v="0"/>
    <n v="256779417931"/>
    <x v="38"/>
    <n v="5.78"/>
    <n v="512.45000000000005"/>
    <s v="C: ASCENDAS27 P: A023951 I 256779417931"/>
    <d v="2025-04-11T00:00:00"/>
    <s v="USD"/>
    <d v="2025-12-01T00:00:00"/>
    <n v="1"/>
    <s v="15/12/2025"/>
    <n v="230"/>
    <s v="IN89"/>
  </r>
  <r>
    <x v="0"/>
    <n v="256779418391"/>
    <x v="38"/>
    <n v="0.77"/>
    <n v="68.27"/>
    <s v="C: ASCENDAS27 P: A023951 I 256779418391"/>
    <d v="2025-04-11T00:00:00"/>
    <s v="USD"/>
    <d v="2025-12-01T00:00:00"/>
    <n v="1"/>
    <s v="15/12/2025"/>
    <n v="230"/>
    <s v="IN89"/>
  </r>
  <r>
    <x v="0"/>
    <n v="256779417877"/>
    <x v="38"/>
    <n v="1"/>
    <n v="88.66"/>
    <s v="C: ASCENDAS27 P: A023951 I 256779417877"/>
    <d v="2025-04-11T00:00:00"/>
    <s v="USD"/>
    <d v="2025-12-01T00:00:00"/>
    <n v="1"/>
    <s v="15/12/2025"/>
    <n v="230"/>
    <s v="IN89"/>
  </r>
  <r>
    <x v="0"/>
    <n v="256779417892"/>
    <x v="38"/>
    <n v="-58.45"/>
    <n v="-5182.1499999999996"/>
    <s v="USD CURRENCY"/>
    <d v="2025-04-11T00:00:00"/>
    <s v="USD"/>
    <d v="2025-12-01T00:00:00"/>
    <n v="1"/>
    <s v="15/12/2025"/>
    <n v="210"/>
    <s v="IN89"/>
  </r>
  <r>
    <x v="0"/>
    <n v="256779417892"/>
    <x v="38"/>
    <n v="1.17"/>
    <n v="103.73"/>
    <s v="C: ASCENDAS27 P: A023951 I 256779417892"/>
    <d v="2025-04-11T00:00:00"/>
    <s v="USD"/>
    <d v="2025-12-01T00:00:00"/>
    <n v="1"/>
    <s v="15/12/2025"/>
    <n v="230"/>
    <s v="IN89"/>
  </r>
  <r>
    <x v="0"/>
    <n v="256779417875"/>
    <x v="38"/>
    <n v="0"/>
    <n v="-2736.39"/>
    <s v="C: ASCENDAS27 P: Matching"/>
    <d v="2025-04-11T00:00:00"/>
    <s v="USD"/>
    <d v="2025-12-01T00:00:00"/>
    <n v="60"/>
    <s v="31/12/2025"/>
    <n v="271"/>
    <s v="IN89"/>
  </r>
  <r>
    <x v="0"/>
    <n v="256779417876"/>
    <x v="38"/>
    <n v="0"/>
    <n v="-109.46"/>
    <s v="C: ASCENDAS27 P: Matching"/>
    <d v="2025-04-11T00:00:00"/>
    <s v="USD"/>
    <d v="2025-12-01T00:00:00"/>
    <n v="62"/>
    <s v="31/12/2025"/>
    <n v="271"/>
    <s v="IN89"/>
  </r>
  <r>
    <x v="0"/>
    <n v="256779417877"/>
    <x v="38"/>
    <n v="0"/>
    <n v="-60.2"/>
    <s v="C: ASCENDAS27 P: Matching"/>
    <d v="2025-04-11T00:00:00"/>
    <s v="USD"/>
    <d v="2025-12-01T00:00:00"/>
    <n v="64"/>
    <s v="31/12/2025"/>
    <n v="271"/>
    <s v="IN89"/>
  </r>
  <r>
    <x v="0"/>
    <n v="256779419971"/>
    <x v="39"/>
    <n v="-90.19"/>
    <n v="-8040.87"/>
    <s v="USD CUURENCY"/>
    <d v="2026-03-01T00:00:00"/>
    <s v="USD"/>
    <d v="2026-01-01T00:00:00"/>
    <n v="1"/>
    <s v="28/01/2026"/>
    <n v="210"/>
    <s v="IN89"/>
  </r>
  <r>
    <x v="0"/>
    <n v="256779419972"/>
    <x v="39"/>
    <n v="-49.61"/>
    <n v="-4422.97"/>
    <m/>
    <d v="2026-03-01T00:00:00"/>
    <s v="USD"/>
    <d v="2026-01-01T00:00:00"/>
    <n v="1"/>
    <s v="28/01/2026"/>
    <n v="210"/>
    <s v="IN89"/>
  </r>
  <r>
    <x v="0"/>
    <n v="256779419970"/>
    <x v="39"/>
    <n v="-2254.79"/>
    <n v="-201025.31"/>
    <s v="USD CURRENCY"/>
    <d v="2026-03-01T00:00:00"/>
    <s v="USD"/>
    <d v="2026-01-01T00:00:00"/>
    <n v="1"/>
    <s v="28/01/2026"/>
    <n v="210"/>
    <s v="IN89"/>
  </r>
  <r>
    <x v="0"/>
    <n v="256779419972"/>
    <x v="39"/>
    <n v="0.99"/>
    <n v="88.26"/>
    <s v="C: ASCENDAS27 P: A023951 I 256779419972"/>
    <d v="2026-03-01T00:00:00"/>
    <s v="USD"/>
    <d v="2026-01-01T00:00:00"/>
    <n v="1"/>
    <s v="28/01/2026"/>
    <n v="230"/>
    <s v="IN89"/>
  </r>
  <r>
    <x v="0"/>
    <n v="256779419970"/>
    <x v="39"/>
    <n v="45.1"/>
    <n v="4020.88"/>
    <s v="C: ASCENDAS27 P: A023951 I 256779419970"/>
    <d v="2026-03-01T00:00:00"/>
    <s v="USD"/>
    <d v="2026-01-01T00:00:00"/>
    <n v="1"/>
    <s v="28/01/2026"/>
    <n v="230"/>
    <s v="IN89"/>
  </r>
  <r>
    <x v="0"/>
    <n v="256779419971"/>
    <x v="39"/>
    <n v="1.8"/>
    <n v="160.47999999999999"/>
    <s v="C: ASCENDAS27 P: A023951 I 256779419971"/>
    <d v="2026-03-01T00:00:00"/>
    <s v="USD"/>
    <d v="2026-01-01T00:00:00"/>
    <n v="1"/>
    <s v="28/01/2026"/>
    <n v="230"/>
    <s v="IN89"/>
  </r>
  <r>
    <x v="0"/>
    <n v="256779419971"/>
    <x v="39"/>
    <n v="0"/>
    <n v="-218.85"/>
    <s v="C: ASCENDAS27 P: Matching"/>
    <d v="2026-03-01T00:00:00"/>
    <s v="USD"/>
    <d v="2026-01-01T00:00:00"/>
    <n v="86"/>
    <s v="31/01/2026"/>
    <n v="271"/>
    <s v="IN89"/>
  </r>
  <r>
    <x v="0"/>
    <n v="256779419972"/>
    <x v="39"/>
    <n v="0"/>
    <n v="-120.38"/>
    <s v="C: ASCENDAS27 P: Matching"/>
    <d v="2026-03-01T00:00:00"/>
    <s v="USD"/>
    <d v="2026-01-01T00:00:00"/>
    <n v="96"/>
    <s v="31/01/2026"/>
    <n v="271"/>
    <s v="IN89"/>
  </r>
  <r>
    <x v="0"/>
    <n v="256779419970"/>
    <x v="39"/>
    <n v="0"/>
    <n v="-5471.08"/>
    <s v="C: ASCENDAS27 P: Matching"/>
    <d v="2026-03-01T00:00:00"/>
    <s v="USD"/>
    <d v="2026-01-01T00:00:00"/>
    <n v="100"/>
    <s v="31/01/2026"/>
    <n v="271"/>
    <s v="IN89"/>
  </r>
  <r>
    <x v="0"/>
    <n v="256779416909"/>
    <x v="40"/>
    <n v="-989.55"/>
    <n v="-87733"/>
    <m/>
    <d v="2025-03-11T00:00:00"/>
    <s v="USD"/>
    <d v="2025-12-01T00:00:00"/>
    <n v="1"/>
    <s v="31/12/2025"/>
    <n v="210"/>
    <s v="IN89"/>
  </r>
  <r>
    <x v="0"/>
    <n v="256779416909"/>
    <x v="40"/>
    <n v="19.79"/>
    <n v="1754.57"/>
    <s v="C: ASCENDAS27 P: A023951 I 256779416909"/>
    <d v="2025-03-11T00:00:00"/>
    <s v="USD"/>
    <d v="2025-12-01T00:00:00"/>
    <n v="1"/>
    <s v="31/12/2025"/>
    <n v="230"/>
    <s v="IN89"/>
  </r>
  <r>
    <x v="0"/>
    <n v="256779416909"/>
    <x v="40"/>
    <n v="0"/>
    <n v="-1194.02"/>
    <s v="C: ASCENDAS27 P: Matching"/>
    <d v="2025-03-11T00:00:00"/>
    <s v="USD"/>
    <d v="2025-12-01T00:00:00"/>
    <n v="84"/>
    <s v="31/12/2025"/>
    <n v="271"/>
    <s v="IN89"/>
  </r>
  <r>
    <x v="0"/>
    <n v="256779417134"/>
    <x v="41"/>
    <n v="-536.44000000000005"/>
    <n v="-47020"/>
    <m/>
    <d v="2025-04-10T00:00:00"/>
    <s v="USD"/>
    <d v="2025-10-01T00:00:00"/>
    <n v="1"/>
    <s v="29/10/2025"/>
    <n v="210"/>
    <s v="IN89"/>
  </r>
  <r>
    <x v="0"/>
    <n v="256779417200"/>
    <x v="41"/>
    <n v="-100.74"/>
    <n v="-8830.0499999999993"/>
    <m/>
    <d v="2025-04-10T00:00:00"/>
    <s v="USD"/>
    <d v="2025-10-01T00:00:00"/>
    <n v="1"/>
    <s v="29/10/2025"/>
    <n v="210"/>
    <s v="IN89"/>
  </r>
  <r>
    <x v="0"/>
    <n v="256779417238"/>
    <x v="41"/>
    <n v="-608.78"/>
    <n v="-53360.74"/>
    <m/>
    <d v="2025-04-10T00:00:00"/>
    <s v="USD"/>
    <d v="2025-10-01T00:00:00"/>
    <n v="1"/>
    <s v="29/10/2025"/>
    <n v="210"/>
    <s v="IN89"/>
  </r>
  <r>
    <x v="0"/>
    <n v="256779417137"/>
    <x v="41"/>
    <n v="-409.79"/>
    <n v="-35918.879999999997"/>
    <m/>
    <d v="2025-04-10T00:00:00"/>
    <s v="USD"/>
    <d v="2025-10-01T00:00:00"/>
    <n v="1"/>
    <s v="29/10/2025"/>
    <n v="210"/>
    <s v="IN89"/>
  </r>
  <r>
    <x v="0"/>
    <n v="256779417137"/>
    <x v="41"/>
    <n v="8.1999999999999993"/>
    <n v="718.75"/>
    <s v="C: ASCENDAS27 P: A023951 I 256779417137"/>
    <d v="2025-04-10T00:00:00"/>
    <s v="USD"/>
    <d v="2025-10-01T00:00:00"/>
    <n v="1"/>
    <s v="29/10/2025"/>
    <n v="230"/>
    <s v="IN89"/>
  </r>
  <r>
    <x v="0"/>
    <n v="256779417134"/>
    <x v="41"/>
    <n v="10.73"/>
    <n v="940.51"/>
    <s v="C: ASCENDAS27 P: A023951 I 256779417134"/>
    <d v="2025-04-10T00:00:00"/>
    <s v="USD"/>
    <d v="2025-10-01T00:00:00"/>
    <n v="1"/>
    <s v="29/10/2025"/>
    <n v="230"/>
    <s v="IN89"/>
  </r>
  <r>
    <x v="0"/>
    <n v="256779417200"/>
    <x v="41"/>
    <n v="2.0099999999999998"/>
    <n v="176.18"/>
    <s v="C: ASCENDAS27 P: A023951 I 256779417200"/>
    <d v="2025-04-10T00:00:00"/>
    <s v="USD"/>
    <d v="2025-10-01T00:00:00"/>
    <n v="1"/>
    <s v="29/10/2025"/>
    <n v="230"/>
    <s v="IN89"/>
  </r>
  <r>
    <x v="0"/>
    <n v="256779417238"/>
    <x v="41"/>
    <n v="12.18"/>
    <n v="1067.5999999999999"/>
    <s v="C: ASCENDAS27 P: A023951 I 256779417238"/>
    <d v="2025-04-10T00:00:00"/>
    <s v="USD"/>
    <d v="2025-10-01T00:00:00"/>
    <n v="1"/>
    <s v="29/10/2025"/>
    <n v="230"/>
    <s v="IN89"/>
  </r>
  <r>
    <x v="0"/>
    <n v="256779417134"/>
    <x v="41"/>
    <n v="0"/>
    <n v="-315.77"/>
    <s v="C: ASCENDAS27 P: Matching"/>
    <d v="2025-04-10T00:00:00"/>
    <s v="USD"/>
    <d v="2025-10-01T00:00:00"/>
    <n v="54"/>
    <s v="31/10/2025"/>
    <n v="271"/>
    <s v="IN89"/>
  </r>
  <r>
    <x v="0"/>
    <n v="256779417200"/>
    <x v="41"/>
    <n v="0"/>
    <n v="-59.31"/>
    <s v="C: ASCENDAS27 P: Matching"/>
    <d v="2025-04-10T00:00:00"/>
    <s v="USD"/>
    <d v="2025-10-01T00:00:00"/>
    <n v="56"/>
    <s v="31/10/2025"/>
    <n v="271"/>
    <s v="IN89"/>
  </r>
  <r>
    <x v="0"/>
    <n v="256779417238"/>
    <x v="41"/>
    <n v="0"/>
    <n v="-358.34"/>
    <s v="C: ASCENDAS27 P: Matching"/>
    <d v="2025-04-10T00:00:00"/>
    <s v="USD"/>
    <d v="2025-10-01T00:00:00"/>
    <n v="58"/>
    <s v="31/10/2025"/>
    <n v="271"/>
    <s v="IN89"/>
  </r>
  <r>
    <x v="0"/>
    <n v="256779417137"/>
    <x v="41"/>
    <n v="0"/>
    <n v="-241.22"/>
    <s v="C: ASCENDAS27 P: Matching"/>
    <d v="2025-04-10T00:00:00"/>
    <s v="USD"/>
    <d v="2025-10-01T00:00:00"/>
    <n v="62"/>
    <s v="31/10/2025"/>
    <n v="271"/>
    <s v="IN89"/>
  </r>
  <r>
    <x v="0"/>
    <n v="256779417349"/>
    <x v="41"/>
    <n v="-91.41"/>
    <n v="-8012.26"/>
    <m/>
    <d v="2025-04-10T00:00:00"/>
    <s v="USD"/>
    <d v="2025-11-01T00:00:00"/>
    <n v="1"/>
    <d v="2025-11-11T00:00:00"/>
    <n v="210"/>
    <s v="IN89"/>
  </r>
  <r>
    <x v="0"/>
    <n v="256779417158"/>
    <x v="41"/>
    <n v="-110"/>
    <n v="-9641.7099999999991"/>
    <m/>
    <d v="2025-04-10T00:00:00"/>
    <s v="USD"/>
    <d v="2025-11-01T00:00:00"/>
    <n v="1"/>
    <d v="2025-11-11T00:00:00"/>
    <n v="210"/>
    <s v="IN89"/>
  </r>
  <r>
    <x v="0"/>
    <n v="256779417350"/>
    <x v="41"/>
    <n v="-50"/>
    <n v="-4382.6000000000004"/>
    <m/>
    <d v="2025-04-10T00:00:00"/>
    <s v="USD"/>
    <d v="2025-11-01T00:00:00"/>
    <n v="1"/>
    <d v="2025-11-11T00:00:00"/>
    <n v="210"/>
    <s v="IN89"/>
  </r>
  <r>
    <x v="0"/>
    <n v="256779417257"/>
    <x v="41"/>
    <n v="-22.77"/>
    <n v="-1995.83"/>
    <m/>
    <d v="2025-04-10T00:00:00"/>
    <s v="USD"/>
    <d v="2025-11-01T00:00:00"/>
    <n v="1"/>
    <d v="2025-11-11T00:00:00"/>
    <n v="210"/>
    <s v="IN89"/>
  </r>
  <r>
    <x v="0"/>
    <n v="256779417348"/>
    <x v="41"/>
    <n v="-2285.34"/>
    <n v="-200314.44"/>
    <m/>
    <d v="2025-04-10T00:00:00"/>
    <s v="USD"/>
    <d v="2025-11-01T00:00:00"/>
    <n v="1"/>
    <d v="2025-11-11T00:00:00"/>
    <n v="210"/>
    <s v="IN89"/>
  </r>
  <r>
    <x v="0"/>
    <n v="256779417257"/>
    <x v="41"/>
    <n v="0.46"/>
    <n v="40.32"/>
    <s v="C: ASCENDAS27 P: A023951 I 256779417257"/>
    <d v="2025-04-10T00:00:00"/>
    <s v="USD"/>
    <d v="2025-11-01T00:00:00"/>
    <n v="1"/>
    <d v="2025-11-11T00:00:00"/>
    <n v="230"/>
    <s v="IN89"/>
  </r>
  <r>
    <x v="0"/>
    <n v="256779417350"/>
    <x v="41"/>
    <n v="1"/>
    <n v="87.65"/>
    <s v="C: ASCENDAS27 P: A023951 I 256779417350"/>
    <d v="2025-04-10T00:00:00"/>
    <s v="USD"/>
    <d v="2025-11-01T00:00:00"/>
    <n v="1"/>
    <d v="2025-11-11T00:00:00"/>
    <n v="230"/>
    <s v="IN89"/>
  </r>
  <r>
    <x v="0"/>
    <n v="256779417349"/>
    <x v="41"/>
    <n v="1.83"/>
    <n v="160.4"/>
    <s v="C: ASCENDAS27 P: A023951 I 256779417349"/>
    <d v="2025-04-10T00:00:00"/>
    <s v="USD"/>
    <d v="2025-11-01T00:00:00"/>
    <n v="1"/>
    <d v="2025-11-11T00:00:00"/>
    <n v="230"/>
    <s v="IN89"/>
  </r>
  <r>
    <x v="0"/>
    <n v="256779417348"/>
    <x v="41"/>
    <n v="45.71"/>
    <n v="4006.57"/>
    <s v="C: ASCENDAS27 P: A023951 I 256779417348"/>
    <d v="2025-04-10T00:00:00"/>
    <s v="USD"/>
    <d v="2025-11-01T00:00:00"/>
    <n v="1"/>
    <d v="2025-11-11T00:00:00"/>
    <n v="230"/>
    <s v="IN89"/>
  </r>
  <r>
    <x v="0"/>
    <n v="256779417158"/>
    <x v="41"/>
    <n v="2.2000000000000002"/>
    <n v="192.83"/>
    <s v="C: ASCENDAS27 P: A023951 I 256779417158"/>
    <d v="2025-04-10T00:00:00"/>
    <s v="USD"/>
    <d v="2025-11-01T00:00:00"/>
    <n v="1"/>
    <d v="2025-11-11T00:00:00"/>
    <n v="230"/>
    <s v="IN89"/>
  </r>
  <r>
    <x v="0"/>
    <n v="256779417349"/>
    <x v="41"/>
    <n v="0"/>
    <n v="-134.63"/>
    <s v="C: ASCENDAS27 P: Matching"/>
    <d v="2025-04-10T00:00:00"/>
    <s v="USD"/>
    <d v="2025-11-01T00:00:00"/>
    <n v="42"/>
    <s v="30/11/2025"/>
    <n v="271"/>
    <s v="IN89"/>
  </r>
  <r>
    <x v="0"/>
    <n v="256779417350"/>
    <x v="41"/>
    <n v="0"/>
    <n v="-73.63"/>
    <s v="C: ASCENDAS27 P: Matching"/>
    <d v="2025-04-10T00:00:00"/>
    <s v="USD"/>
    <d v="2025-11-01T00:00:00"/>
    <n v="44"/>
    <s v="30/11/2025"/>
    <n v="271"/>
    <s v="IN89"/>
  </r>
  <r>
    <x v="0"/>
    <n v="256779417348"/>
    <x v="41"/>
    <n v="0"/>
    <n v="-3365.85"/>
    <s v="C: ASCENDAS27 P: Matching"/>
    <d v="2025-04-10T00:00:00"/>
    <s v="USD"/>
    <d v="2025-11-01T00:00:00"/>
    <n v="46"/>
    <s v="30/11/2025"/>
    <n v="271"/>
    <s v="IN89"/>
  </r>
  <r>
    <x v="0"/>
    <n v="256779417317"/>
    <x v="41"/>
    <n v="-170.85"/>
    <n v="-14975.33"/>
    <m/>
    <d v="2025-04-10T00:00:00"/>
    <s v="USD"/>
    <d v="2025-12-01T00:00:00"/>
    <n v="1"/>
    <s v="15/12/2025"/>
    <n v="210"/>
    <s v="IN89"/>
  </r>
  <r>
    <x v="0"/>
    <n v="256779417317"/>
    <x v="41"/>
    <n v="3.42"/>
    <n v="299.77"/>
    <s v="C: ASCENDAS27 P: A023951 I 256779417317"/>
    <d v="2025-04-10T00:00:00"/>
    <s v="USD"/>
    <d v="2025-12-01T00:00:00"/>
    <n v="1"/>
    <s v="15/12/2025"/>
    <n v="230"/>
    <s v="IN89"/>
  </r>
  <r>
    <x v="0"/>
    <n v="256779417280"/>
    <x v="41"/>
    <n v="-249.98"/>
    <n v="-21911.23"/>
    <m/>
    <d v="2025-04-10T00:00:00"/>
    <s v="USD"/>
    <d v="2025-12-01T00:00:00"/>
    <n v="1"/>
    <s v="15/12/2025"/>
    <n v="210"/>
    <s v="IN89"/>
  </r>
  <r>
    <x v="0"/>
    <n v="256779417280"/>
    <x v="41"/>
    <n v="5"/>
    <n v="438.26"/>
    <s v="C: ASCENDAS27 P: A023951 I 256779417280"/>
    <d v="2025-04-10T00:00:00"/>
    <s v="USD"/>
    <d v="2025-12-01T00:00:00"/>
    <n v="1"/>
    <s v="15/12/2025"/>
    <n v="230"/>
    <s v="IN89"/>
  </r>
  <r>
    <x v="0"/>
    <n v="256779417349"/>
    <x v="41"/>
    <n v="0"/>
    <n v="-65.92"/>
    <s v="C: ASCENDAS27 P: Matching"/>
    <d v="2025-04-10T00:00:00"/>
    <s v="USD"/>
    <d v="2025-12-01T00:00:00"/>
    <n v="42"/>
    <s v="31/12/2025"/>
    <n v="271"/>
    <s v="IN89"/>
  </r>
  <r>
    <x v="0"/>
    <n v="256779417350"/>
    <x v="41"/>
    <n v="0"/>
    <n v="-36.07"/>
    <s v="C: ASCENDAS27 P: Matching"/>
    <d v="2025-04-10T00:00:00"/>
    <s v="USD"/>
    <d v="2025-12-01T00:00:00"/>
    <n v="44"/>
    <s v="31/12/2025"/>
    <n v="271"/>
    <s v="IN89"/>
  </r>
  <r>
    <x v="0"/>
    <n v="256779417348"/>
    <x v="41"/>
    <n v="0"/>
    <n v="-1648.3"/>
    <s v="C: ASCENDAS27 P: Matching"/>
    <d v="2025-04-10T00:00:00"/>
    <s v="USD"/>
    <d v="2025-12-01T00:00:00"/>
    <n v="46"/>
    <s v="31/12/2025"/>
    <n v="271"/>
    <s v="IN89"/>
  </r>
  <r>
    <x v="0"/>
    <n v="256779417350"/>
    <x v="41"/>
    <n v="0"/>
    <n v="-85.26"/>
    <s v="C: ASCENDAS27 P: Matching"/>
    <d v="2025-04-10T00:00:00"/>
    <s v="USD"/>
    <d v="2026-01-01T00:00:00"/>
    <n v="42"/>
    <s v="31/01/2026"/>
    <n v="271"/>
    <s v="IN89"/>
  </r>
  <r>
    <x v="0"/>
    <n v="256779415209"/>
    <x v="42"/>
    <n v="-63.26"/>
    <n v="-5596.61"/>
    <m/>
    <d v="2025-03-08T00:00:00"/>
    <s v="USD"/>
    <d v="2025-09-01T00:00:00"/>
    <n v="1"/>
    <s v="30/09/2025"/>
    <n v="210"/>
    <s v="IN89"/>
  </r>
  <r>
    <x v="0"/>
    <n v="256779415270"/>
    <x v="42"/>
    <n v="-420.86"/>
    <n v="-37233.480000000003"/>
    <m/>
    <d v="2025-03-08T00:00:00"/>
    <s v="USD"/>
    <d v="2025-09-01T00:00:00"/>
    <n v="1"/>
    <s v="30/09/2025"/>
    <n v="210"/>
    <s v="IN89"/>
  </r>
  <r>
    <x v="0"/>
    <n v="256779415208"/>
    <x v="42"/>
    <n v="-183.43"/>
    <n v="-16228.05"/>
    <m/>
    <d v="2025-03-08T00:00:00"/>
    <s v="USD"/>
    <d v="2025-09-01T00:00:00"/>
    <n v="1"/>
    <s v="30/09/2025"/>
    <n v="210"/>
    <s v="IN89"/>
  </r>
  <r>
    <x v="0"/>
    <n v="256779415210"/>
    <x v="42"/>
    <n v="-9629.6299999999992"/>
    <n v="-851933.37"/>
    <m/>
    <d v="2025-03-08T00:00:00"/>
    <s v="USD"/>
    <d v="2025-09-01T00:00:00"/>
    <n v="1"/>
    <s v="30/09/2025"/>
    <n v="210"/>
    <s v="IN89"/>
  </r>
  <r>
    <x v="0"/>
    <n v="256779415270"/>
    <x v="42"/>
    <n v="8.42"/>
    <n v="744.92"/>
    <s v="C: ASCENDAS27 P: A023951 I 256779415270"/>
    <d v="2025-03-08T00:00:00"/>
    <s v="USD"/>
    <d v="2025-09-01T00:00:00"/>
    <n v="1"/>
    <s v="30/09/2025"/>
    <n v="230"/>
    <s v="IN89"/>
  </r>
  <r>
    <x v="0"/>
    <n v="256779415209"/>
    <x v="42"/>
    <n v="1.27"/>
    <n v="112.36"/>
    <s v="C: ASCENDAS27 P: A023951 I 256779415209"/>
    <d v="2025-03-08T00:00:00"/>
    <s v="USD"/>
    <d v="2025-09-01T00:00:00"/>
    <n v="1"/>
    <s v="30/09/2025"/>
    <n v="230"/>
    <s v="IN89"/>
  </r>
  <r>
    <x v="0"/>
    <n v="256779415208"/>
    <x v="42"/>
    <n v="3.67"/>
    <n v="324.68"/>
    <s v="C: ASCENDAS27 P: A023951 I 256779415208"/>
    <d v="2025-03-08T00:00:00"/>
    <s v="USD"/>
    <d v="2025-09-01T00:00:00"/>
    <n v="1"/>
    <s v="30/09/2025"/>
    <n v="230"/>
    <s v="IN89"/>
  </r>
  <r>
    <x v="0"/>
    <n v="256779415210"/>
    <x v="42"/>
    <n v="192.59"/>
    <n v="17038.439999999999"/>
    <s v="C: ASCENDAS27 P: A023951 I 256779415210"/>
    <d v="2025-03-08T00:00:00"/>
    <s v="USD"/>
    <d v="2025-09-01T00:00:00"/>
    <n v="1"/>
    <s v="30/09/2025"/>
    <n v="230"/>
    <s v="IN89"/>
  </r>
  <r>
    <x v="0"/>
    <n v="256779415209"/>
    <x v="42"/>
    <n v="0"/>
    <n v="-11.75"/>
    <s v="C: ASCENDAS27 P: Matching"/>
    <d v="2025-03-08T00:00:00"/>
    <s v="USD"/>
    <d v="2025-09-01T00:00:00"/>
    <n v="16"/>
    <s v="30/09/2025"/>
    <n v="271"/>
    <s v="IN89"/>
  </r>
  <r>
    <x v="0"/>
    <n v="256779415270"/>
    <x v="42"/>
    <n v="0"/>
    <n v="-78.16"/>
    <s v="C: ASCENDAS27 P: Matching"/>
    <d v="2025-03-08T00:00:00"/>
    <s v="USD"/>
    <d v="2025-09-01T00:00:00"/>
    <n v="26"/>
    <s v="30/09/2025"/>
    <n v="271"/>
    <s v="IN89"/>
  </r>
  <r>
    <x v="0"/>
    <n v="256779415208"/>
    <x v="42"/>
    <n v="0"/>
    <n v="-34.06"/>
    <s v="C: ASCENDAS27 P: Matching"/>
    <d v="2025-03-08T00:00:00"/>
    <s v="USD"/>
    <d v="2025-09-01T00:00:00"/>
    <n v="104"/>
    <s v="30/09/2025"/>
    <n v="271"/>
    <s v="IN89"/>
  </r>
  <r>
    <x v="0"/>
    <n v="256779415210"/>
    <x v="42"/>
    <n v="0"/>
    <n v="-1788.28"/>
    <s v="C: ASCENDAS27 P: Matching"/>
    <d v="2025-03-08T00:00:00"/>
    <s v="USD"/>
    <d v="2025-09-01T00:00:00"/>
    <n v="112"/>
    <s v="30/09/2025"/>
    <n v="271"/>
    <s v="IN89"/>
  </r>
  <r>
    <x v="0"/>
    <n v="256779415012"/>
    <x v="42"/>
    <n v="-184"/>
    <n v="-15822.07"/>
    <m/>
    <d v="2025-03-08T00:00:00"/>
    <s v="USD"/>
    <d v="2025-10-01T00:00:00"/>
    <n v="1"/>
    <s v="29/10/2025"/>
    <n v="210"/>
    <s v="IN89"/>
  </r>
  <r>
    <x v="0"/>
    <n v="256779415261"/>
    <x v="42"/>
    <n v="-292.26"/>
    <n v="-25131.29"/>
    <m/>
    <d v="2025-03-08T00:00:00"/>
    <s v="USD"/>
    <d v="2025-10-01T00:00:00"/>
    <n v="1"/>
    <s v="29/10/2025"/>
    <n v="210"/>
    <s v="IN89"/>
  </r>
  <r>
    <x v="0"/>
    <n v="256779415012"/>
    <x v="42"/>
    <n v="3.68"/>
    <n v="316.44"/>
    <s v="C: ASCENDAS27 P: A023951 I 256779415012"/>
    <d v="2025-03-08T00:00:00"/>
    <s v="USD"/>
    <d v="2025-10-01T00:00:00"/>
    <n v="1"/>
    <s v="29/10/2025"/>
    <n v="230"/>
    <s v="IN89"/>
  </r>
  <r>
    <x v="0"/>
    <n v="256779415261"/>
    <x v="42"/>
    <n v="5.85"/>
    <n v="503.04"/>
    <s v="C: ASCENDAS27 P: A023951 I 256779415261"/>
    <d v="2025-03-08T00:00:00"/>
    <s v="USD"/>
    <d v="2025-10-01T00:00:00"/>
    <n v="1"/>
    <s v="29/10/2025"/>
    <n v="230"/>
    <s v="IN89"/>
  </r>
  <r>
    <x v="0"/>
    <n v="256779415012"/>
    <x v="42"/>
    <n v="0"/>
    <n v="-408.07"/>
    <s v="C: ASCENDAS27 P: Matching"/>
    <d v="2025-03-08T00:00:00"/>
    <s v="USD"/>
    <d v="2025-10-01T00:00:00"/>
    <n v="60"/>
    <s v="31/10/2025"/>
    <n v="271"/>
    <s v="IN89"/>
  </r>
  <r>
    <x v="0"/>
    <n v="256779415261"/>
    <x v="42"/>
    <n v="0"/>
    <n v="-648.16999999999996"/>
    <s v="C: ASCENDAS27 P: Matching"/>
    <d v="2025-03-08T00:00:00"/>
    <s v="USD"/>
    <d v="2025-10-01T00:00:00"/>
    <n v="78"/>
    <s v="31/10/2025"/>
    <n v="271"/>
    <s v="IN89"/>
  </r>
  <r>
    <x v="0"/>
    <n v="256779414859"/>
    <x v="42"/>
    <n v="-318.47000000000003"/>
    <n v="-27385.08"/>
    <m/>
    <d v="2025-03-08T00:00:00"/>
    <s v="USD"/>
    <d v="2025-11-01T00:00:00"/>
    <n v="1"/>
    <d v="2025-11-11T00:00:00"/>
    <n v="210"/>
    <s v="IN89"/>
  </r>
  <r>
    <x v="0"/>
    <n v="256779414859"/>
    <x v="42"/>
    <n v="6.37"/>
    <n v="547.75"/>
    <s v="C: ASCENDAS27 P: A023951 I 256779414859"/>
    <d v="2025-03-08T00:00:00"/>
    <s v="USD"/>
    <d v="2025-11-01T00:00:00"/>
    <n v="1"/>
    <d v="2025-11-11T00:00:00"/>
    <n v="230"/>
    <s v="IN89"/>
  </r>
  <r>
    <x v="0"/>
    <n v="256779415012"/>
    <x v="42"/>
    <n v="0"/>
    <n v="-162.69"/>
    <s v="C: ASCENDAS27 P: Matching"/>
    <d v="2025-03-08T00:00:00"/>
    <s v="USD"/>
    <d v="2025-11-01T00:00:00"/>
    <n v="28"/>
    <s v="30/11/2025"/>
    <n v="271"/>
    <s v="IN89"/>
  </r>
  <r>
    <x v="0"/>
    <n v="256779415261"/>
    <x v="42"/>
    <n v="0"/>
    <n v="-258.39999999999998"/>
    <s v="C: ASCENDAS27 P: Matching"/>
    <d v="2025-03-08T00:00:00"/>
    <s v="USD"/>
    <d v="2025-11-01T00:00:00"/>
    <n v="30"/>
    <s v="30/11/2025"/>
    <n v="271"/>
    <s v="IN89"/>
  </r>
  <r>
    <x v="0"/>
    <n v="256779415012"/>
    <x v="42"/>
    <n v="0"/>
    <n v="-132.71"/>
    <s v="C: ASCENDAS27 P: Matching"/>
    <d v="2025-03-08T00:00:00"/>
    <s v="USD"/>
    <d v="2025-12-01T00:00:00"/>
    <n v="28"/>
    <s v="31/12/2025"/>
    <n v="271"/>
    <s v="IN89"/>
  </r>
  <r>
    <x v="0"/>
    <n v="256779415261"/>
    <x v="42"/>
    <n v="0"/>
    <n v="-210.79"/>
    <s v="C: ASCENDAS27 P: Matching"/>
    <d v="2025-03-08T00:00:00"/>
    <s v="USD"/>
    <d v="2025-12-01T00:00:00"/>
    <n v="30"/>
    <s v="31/12/2025"/>
    <n v="271"/>
    <s v="IN89"/>
  </r>
  <r>
    <x v="0"/>
    <n v="256779414918"/>
    <x v="42"/>
    <n v="-51.16"/>
    <n v="-4399.22"/>
    <m/>
    <d v="2025-03-08T00:00:00"/>
    <s v="USD"/>
    <d v="2026-01-01T00:00:00"/>
    <n v="1"/>
    <s v="27/01/2026"/>
    <n v="210"/>
    <s v="IN89"/>
  </r>
  <r>
    <x v="0"/>
    <n v="256779414917"/>
    <x v="42"/>
    <n v="-93.02"/>
    <n v="-7998.74"/>
    <s v="GSTIN NOT FOUND"/>
    <d v="2025-03-08T00:00:00"/>
    <s v="USD"/>
    <d v="2026-01-01T00:00:00"/>
    <n v="1"/>
    <s v="27/01/2026"/>
    <n v="210"/>
    <s v="IN89"/>
  </r>
  <r>
    <x v="0"/>
    <n v="256779414917"/>
    <x v="42"/>
    <n v="1.86"/>
    <n v="159.94"/>
    <s v="C: ASCENDAS27 P: A023951 I 256779414917"/>
    <d v="2025-03-08T00:00:00"/>
    <s v="USD"/>
    <d v="2026-01-01T00:00:00"/>
    <n v="1"/>
    <s v="27/01/2026"/>
    <n v="230"/>
    <s v="IN89"/>
  </r>
  <r>
    <x v="0"/>
    <n v="256779414918"/>
    <x v="42"/>
    <n v="1.02"/>
    <n v="87.71"/>
    <s v="C: ASCENDAS27 P: A023951 I 256779414918"/>
    <d v="2025-03-08T00:00:00"/>
    <s v="USD"/>
    <d v="2026-01-01T00:00:00"/>
    <n v="1"/>
    <s v="27/01/2026"/>
    <n v="230"/>
    <s v="IN89"/>
  </r>
  <r>
    <x v="0"/>
    <n v="256779414916"/>
    <x v="42"/>
    <n v="-2325.56"/>
    <n v="-199973.77"/>
    <s v="GSTIN NOT FOUND"/>
    <d v="2025-03-08T00:00:00"/>
    <s v="USD"/>
    <d v="2026-01-01T00:00:00"/>
    <n v="1"/>
    <s v="27/01/2026"/>
    <n v="210"/>
    <s v="IN89"/>
  </r>
  <r>
    <x v="0"/>
    <n v="256779414916"/>
    <x v="42"/>
    <n v="46.51"/>
    <n v="3999.37"/>
    <s v="C: ASCENDAS27 P: A023951 I 256779414916"/>
    <d v="2025-03-08T00:00:00"/>
    <s v="USD"/>
    <d v="2026-01-01T00:00:00"/>
    <n v="1"/>
    <s v="27/01/2026"/>
    <n v="230"/>
    <s v="IN89"/>
  </r>
  <r>
    <x v="0"/>
    <n v="256779415012"/>
    <x v="42"/>
    <n v="0"/>
    <n v="-313.75"/>
    <s v="C: ASCENDAS27 P: Matching"/>
    <d v="2025-03-08T00:00:00"/>
    <s v="USD"/>
    <d v="2026-01-01T00:00:00"/>
    <n v="28"/>
    <s v="31/01/2026"/>
    <n v="271"/>
    <s v="IN89"/>
  </r>
  <r>
    <x v="0"/>
    <n v="256779415261"/>
    <x v="42"/>
    <n v="0"/>
    <n v="-498.35"/>
    <s v="C: ASCENDAS27 P: Matching"/>
    <d v="2025-03-08T00:00:00"/>
    <s v="USD"/>
    <d v="2026-01-01T00:00:00"/>
    <n v="30"/>
    <s v="31/01/2026"/>
    <n v="271"/>
    <s v="IN89"/>
  </r>
  <r>
    <x v="0"/>
    <n v="256779414918"/>
    <x v="42"/>
    <n v="0"/>
    <n v="-282.85000000000002"/>
    <s v="C: ASCENDAS27 P: Matching"/>
    <d v="2025-03-08T00:00:00"/>
    <s v="USD"/>
    <d v="2026-01-01T00:00:00"/>
    <n v="62"/>
    <s v="31/01/2026"/>
    <n v="271"/>
    <s v="IN89"/>
  </r>
  <r>
    <x v="0"/>
    <n v="256779414917"/>
    <x v="42"/>
    <n v="0"/>
    <n v="-514.26"/>
    <s v="C: ASCENDAS27 P: Matching"/>
    <d v="2025-03-08T00:00:00"/>
    <s v="USD"/>
    <d v="2026-01-01T00:00:00"/>
    <n v="64"/>
    <s v="31/01/2026"/>
    <n v="271"/>
    <s v="IN89"/>
  </r>
  <r>
    <x v="0"/>
    <n v="256779414916"/>
    <x v="42"/>
    <n v="0"/>
    <n v="-12856.62"/>
    <s v="C: ASCENDAS27 P: Matching"/>
    <d v="2025-03-08T00:00:00"/>
    <s v="USD"/>
    <d v="2026-01-01T00:00:00"/>
    <n v="68"/>
    <s v="31/01/2026"/>
    <n v="271"/>
    <s v="IN89"/>
  </r>
  <r>
    <x v="0"/>
    <n v="256779410818"/>
    <x v="43"/>
    <n v="0"/>
    <n v="-1231.96"/>
    <s v="NO EXCHANGE RATE"/>
    <d v="2025-04-05T00:00:00"/>
    <s v="INR"/>
    <d v="2025-06-01T00:00:00"/>
    <n v="1"/>
    <d v="2025-12-06T00:00:00"/>
    <n v="210"/>
    <s v="IN89"/>
  </r>
  <r>
    <x v="0"/>
    <n v="256779410818"/>
    <x v="43"/>
    <n v="0"/>
    <n v="25"/>
    <s v="C: ASCENDAS27 P: A023951 I 256779410818"/>
    <d v="2025-04-05T00:00:00"/>
    <s v="INR"/>
    <d v="2025-06-01T00:00:00"/>
    <n v="1"/>
    <d v="2025-12-06T00:00:00"/>
    <n v="230"/>
    <s v="IN89"/>
  </r>
  <r>
    <x v="0"/>
    <n v="256779410801"/>
    <x v="43"/>
    <n v="-2829.48"/>
    <n v="-242562.74"/>
    <m/>
    <d v="2025-04-05T00:00:00"/>
    <s v="USD"/>
    <d v="2025-06-01T00:00:00"/>
    <n v="1"/>
    <s v="30/06/2025"/>
    <n v="210"/>
    <s v="IN89"/>
  </r>
  <r>
    <x v="0"/>
    <n v="256779410801"/>
    <x v="43"/>
    <n v="56.59"/>
    <n v="4851.29"/>
    <s v="C: ASCENDAS27 P: A023951 I 256779410801"/>
    <d v="2025-04-05T00:00:00"/>
    <s v="USD"/>
    <d v="2025-06-01T00:00:00"/>
    <n v="1"/>
    <s v="30/06/2025"/>
    <n v="230"/>
    <s v="IN89"/>
  </r>
  <r>
    <x v="0"/>
    <n v="256779410801"/>
    <x v="43"/>
    <n v="0"/>
    <n v="-728"/>
    <s v="C: ASCENDAS27 P: Matching"/>
    <d v="2025-04-05T00:00:00"/>
    <s v="USD"/>
    <d v="2025-06-01T00:00:00"/>
    <n v="12"/>
    <s v="30/06/2025"/>
    <n v="271"/>
    <s v="IN89"/>
  </r>
  <r>
    <x v="0"/>
    <n v="246779410826"/>
    <x v="44"/>
    <n v="-3"/>
    <n v="-261.13"/>
    <m/>
    <d v="2025-03-04T00:00:00"/>
    <s v="USD"/>
    <d v="2025-06-01T00:00:00"/>
    <n v="1"/>
    <d v="2025-12-06T00:00:00"/>
    <n v="210"/>
    <s v="IN89"/>
  </r>
  <r>
    <x v="0"/>
    <n v="246779410826"/>
    <x v="44"/>
    <n v="0.06"/>
    <n v="5.22"/>
    <s v="C: ASCENDAS27 P: A023951 I 246779410826"/>
    <d v="2025-03-04T00:00:00"/>
    <s v="USD"/>
    <d v="2025-06-01T00:00:00"/>
    <n v="1"/>
    <d v="2025-12-06T00:00:00"/>
    <n v="230"/>
    <s v="IN89"/>
  </r>
  <r>
    <x v="0"/>
    <n v="246779410743"/>
    <x v="44"/>
    <n v="-3"/>
    <n v="-261.13"/>
    <m/>
    <d v="2025-03-04T00:00:00"/>
    <s v="USD"/>
    <d v="2025-06-01T00:00:00"/>
    <n v="1"/>
    <s v="30/06/2025"/>
    <n v="210"/>
    <s v="IN89"/>
  </r>
  <r>
    <x v="0"/>
    <n v="246779410743"/>
    <x v="44"/>
    <n v="0.06"/>
    <n v="5.22"/>
    <s v="C: ASCENDAS27 P: A023951 I 246779410743"/>
    <d v="2025-03-04T00:00:00"/>
    <s v="USD"/>
    <d v="2025-06-01T00:00:00"/>
    <n v="1"/>
    <s v="30/06/2025"/>
    <n v="230"/>
    <s v="IN89"/>
  </r>
  <r>
    <x v="0"/>
    <n v="246779410743"/>
    <x v="44"/>
    <n v="0"/>
    <n v="3.1"/>
    <s v="C: ASCENDAS27 P: Matching"/>
    <d v="2025-03-04T00:00:00"/>
    <s v="USD"/>
    <d v="2025-06-01T00:00:00"/>
    <n v="90"/>
    <s v="30/06/2025"/>
    <n v="271"/>
    <s v="IN89"/>
  </r>
  <r>
    <x v="0"/>
    <n v="246779410665"/>
    <x v="44"/>
    <n v="-3.54"/>
    <n v="-308.13"/>
    <s v="NO EXCHANGE RATE"/>
    <d v="2025-03-04T00:00:00"/>
    <s v="USD"/>
    <d v="2025-12-01T00:00:00"/>
    <n v="1"/>
    <s v="31/12/2025"/>
    <n v="210"/>
    <s v="IN89"/>
  </r>
  <r>
    <x v="0"/>
    <n v="246779410665"/>
    <x v="44"/>
    <n v="7.0000000000000007E-2"/>
    <n v="6.09"/>
    <s v="C: ASCENDAS27 P: A023951 I 246779410665"/>
    <d v="2025-03-04T00:00:00"/>
    <s v="USD"/>
    <d v="2025-12-01T00:00:00"/>
    <n v="1"/>
    <s v="31/12/2025"/>
    <n v="230"/>
    <s v="IN89"/>
  </r>
  <r>
    <x v="0"/>
    <n v="246779410665"/>
    <x v="44"/>
    <n v="0"/>
    <n v="-9.8800000000000008"/>
    <s v="C: ASCENDAS27 P: Matching"/>
    <d v="2025-03-04T00:00:00"/>
    <s v="USD"/>
    <d v="2025-12-01T00:00:00"/>
    <n v="82"/>
    <s v="31/12/2025"/>
    <n v="271"/>
    <s v="IN89"/>
  </r>
  <r>
    <x v="0"/>
    <n v="246779410665"/>
    <x v="44"/>
    <n v="0"/>
    <n v="-6.04"/>
    <s v="C: ASCENDAS27 P: Matching"/>
    <d v="2025-03-04T00:00:00"/>
    <s v="USD"/>
    <d v="2026-01-01T00:00:00"/>
    <n v="52"/>
    <s v="31/01/2026"/>
    <n v="271"/>
    <s v="IN89"/>
  </r>
  <r>
    <x v="0"/>
    <n v="256779419122"/>
    <x v="45"/>
    <n v="-670.42"/>
    <n v="-59439.1"/>
    <s v="USD CURRENCY"/>
    <d v="2025-03-12T00:00:00"/>
    <s v="USD"/>
    <d v="2025-12-01T00:00:00"/>
    <n v="1"/>
    <s v="19/12/2025"/>
    <n v="210"/>
    <s v="IN89"/>
  </r>
  <r>
    <x v="0"/>
    <n v="256779419122"/>
    <x v="45"/>
    <n v="13.41"/>
    <n v="1188.92"/>
    <s v="C: ASCENDAS27 P: A023951 I 256779419122"/>
    <d v="2025-03-12T00:00:00"/>
    <s v="USD"/>
    <d v="2025-12-01T00:00:00"/>
    <n v="1"/>
    <s v="19/12/2025"/>
    <n v="230"/>
    <s v="IN89"/>
  </r>
  <r>
    <x v="0"/>
    <n v="256779419122"/>
    <x v="45"/>
    <n v="0"/>
    <n v="-808.94"/>
    <s v="C: ASCENDAS27 P: Matching"/>
    <d v="2025-03-12T00:00:00"/>
    <s v="USD"/>
    <d v="2025-12-01T00:00:00"/>
    <n v="76"/>
    <s v="31/12/2025"/>
    <n v="271"/>
    <s v="IN89"/>
  </r>
  <r>
    <x v="0"/>
    <n v="256779410262"/>
    <x v="46"/>
    <n v="0"/>
    <n v="-93.33"/>
    <s v="NO EXCHANGE RATE"/>
    <d v="2025-03-05T00:00:00"/>
    <s v="INR"/>
    <d v="2025-06-01T00:00:00"/>
    <n v="1"/>
    <d v="2025-12-06T00:00:00"/>
    <n v="210"/>
    <s v="IN89"/>
  </r>
  <r>
    <x v="0"/>
    <n v="256779410263"/>
    <x v="46"/>
    <n v="0"/>
    <n v="-51.33"/>
    <s v="NO EXCHANGE RATE"/>
    <d v="2025-03-05T00:00:00"/>
    <s v="INR"/>
    <d v="2025-06-01T00:00:00"/>
    <n v="1"/>
    <d v="2025-12-06T00:00:00"/>
    <n v="210"/>
    <s v="IN89"/>
  </r>
  <r>
    <x v="0"/>
    <n v="256779410262"/>
    <x v="46"/>
    <n v="0"/>
    <n v="2"/>
    <s v="C: ASCENDAS27 P: A023951 I 256779410262"/>
    <d v="2025-03-05T00:00:00"/>
    <s v="INR"/>
    <d v="2025-06-01T00:00:00"/>
    <n v="1"/>
    <d v="2025-12-06T00:00:00"/>
    <n v="230"/>
    <s v="IN89"/>
  </r>
  <r>
    <x v="0"/>
    <n v="256779410263"/>
    <x v="46"/>
    <n v="0"/>
    <n v="2"/>
    <s v="C: ASCENDAS27 P: A023951 I 256779410263"/>
    <d v="2025-03-05T00:00:00"/>
    <s v="INR"/>
    <d v="2025-06-01T00:00:00"/>
    <n v="1"/>
    <d v="2025-12-06T00:00:00"/>
    <n v="230"/>
    <s v="IN89"/>
  </r>
  <r>
    <x v="0"/>
    <n v="256779410196"/>
    <x v="46"/>
    <n v="-246.52"/>
    <n v="-21133.41"/>
    <m/>
    <d v="2025-03-05T00:00:00"/>
    <s v="USD"/>
    <d v="2025-06-01T00:00:00"/>
    <n v="1"/>
    <s v="30/06/2025"/>
    <n v="210"/>
    <s v="IN89"/>
  </r>
  <r>
    <x v="0"/>
    <n v="256779410303"/>
    <x v="46"/>
    <n v="-91.45"/>
    <n v="-7839.73"/>
    <m/>
    <d v="2025-03-05T00:00:00"/>
    <s v="USD"/>
    <d v="2025-06-01T00:00:00"/>
    <n v="1"/>
    <s v="30/06/2025"/>
    <n v="210"/>
    <s v="IN89"/>
  </r>
  <r>
    <x v="0"/>
    <n v="256779410304"/>
    <x v="46"/>
    <n v="-50.3"/>
    <n v="-4312.07"/>
    <m/>
    <d v="2025-03-05T00:00:00"/>
    <s v="USD"/>
    <d v="2025-06-01T00:00:00"/>
    <n v="1"/>
    <s v="30/06/2025"/>
    <n v="210"/>
    <s v="IN89"/>
  </r>
  <r>
    <x v="0"/>
    <n v="256779410196"/>
    <x v="46"/>
    <n v="4.93"/>
    <n v="422.63"/>
    <s v="C: ASCENDAS27 P: A023951 I 256779410196"/>
    <d v="2025-03-05T00:00:00"/>
    <s v="USD"/>
    <d v="2025-06-01T00:00:00"/>
    <n v="1"/>
    <s v="30/06/2025"/>
    <n v="230"/>
    <s v="IN89"/>
  </r>
  <r>
    <x v="0"/>
    <n v="256779410303"/>
    <x v="46"/>
    <n v="1.83"/>
    <n v="156.88"/>
    <s v="C: ASCENDAS27 P: A023951 I 256779410303"/>
    <d v="2025-03-05T00:00:00"/>
    <s v="USD"/>
    <d v="2025-06-01T00:00:00"/>
    <n v="1"/>
    <s v="30/06/2025"/>
    <n v="230"/>
    <s v="IN89"/>
  </r>
  <r>
    <x v="0"/>
    <n v="256779410304"/>
    <x v="46"/>
    <n v="1.01"/>
    <n v="86.58"/>
    <s v="C: ASCENDAS27 P: A023951 I 256779410304"/>
    <d v="2025-03-05T00:00:00"/>
    <s v="USD"/>
    <d v="2025-06-01T00:00:00"/>
    <n v="1"/>
    <s v="30/06/2025"/>
    <n v="230"/>
    <s v="IN89"/>
  </r>
  <r>
    <x v="0"/>
    <n v="256779410196"/>
    <x v="46"/>
    <n v="0"/>
    <n v="-63.43"/>
    <s v="C: ASCENDAS27 P: Matching"/>
    <d v="2025-03-05T00:00:00"/>
    <s v="USD"/>
    <d v="2025-06-01T00:00:00"/>
    <n v="34"/>
    <s v="30/06/2025"/>
    <n v="271"/>
    <s v="IN89"/>
  </r>
  <r>
    <x v="0"/>
    <n v="256779410303"/>
    <x v="46"/>
    <n v="0"/>
    <n v="-23.53"/>
    <s v="C: ASCENDAS27 P: Matching"/>
    <d v="2025-03-05T00:00:00"/>
    <s v="USD"/>
    <d v="2025-06-01T00:00:00"/>
    <n v="40"/>
    <s v="30/06/2025"/>
    <n v="271"/>
    <s v="IN89"/>
  </r>
  <r>
    <x v="0"/>
    <n v="256779410304"/>
    <x v="46"/>
    <n v="0"/>
    <n v="-12.93"/>
    <s v="C: ASCENDAS27 P: Matching"/>
    <d v="2025-03-05T00:00:00"/>
    <s v="USD"/>
    <d v="2025-06-01T00:00:00"/>
    <n v="60"/>
    <s v="30/06/2025"/>
    <n v="271"/>
    <s v="IN89"/>
  </r>
  <r>
    <x v="0"/>
    <n v="246779410436"/>
    <x v="47"/>
    <n v="-1332.41"/>
    <n v="-115976.18"/>
    <m/>
    <d v="2025-02-04T00:00:00"/>
    <s v="USD"/>
    <d v="2025-06-01T00:00:00"/>
    <n v="1"/>
    <d v="2025-12-06T00:00:00"/>
    <n v="210"/>
    <s v="IN89"/>
  </r>
  <r>
    <x v="0"/>
    <n v="246779410413"/>
    <x v="47"/>
    <n v="-694.12"/>
    <n v="-60417.88"/>
    <m/>
    <d v="2025-02-04T00:00:00"/>
    <s v="USD"/>
    <d v="2025-06-01T00:00:00"/>
    <n v="1"/>
    <d v="2025-12-06T00:00:00"/>
    <n v="210"/>
    <s v="IN89"/>
  </r>
  <r>
    <x v="0"/>
    <n v="246779410413"/>
    <x v="47"/>
    <n v="13.88"/>
    <n v="1208.1500000000001"/>
    <s v="C: ASCENDAS27 P: A023951 I 246779410413"/>
    <d v="2025-02-04T00:00:00"/>
    <s v="USD"/>
    <d v="2025-06-01T00:00:00"/>
    <n v="1"/>
    <d v="2025-12-06T00:00:00"/>
    <n v="230"/>
    <s v="IN89"/>
  </r>
  <r>
    <x v="0"/>
    <n v="246779410436"/>
    <x v="47"/>
    <n v="26.65"/>
    <n v="2319.6799999999998"/>
    <s v="C: ASCENDAS27 P: A023951 I 246779410436"/>
    <d v="2025-02-04T00:00:00"/>
    <s v="USD"/>
    <d v="2025-06-01T00:00:00"/>
    <n v="1"/>
    <d v="2025-12-06T00:00:00"/>
    <n v="230"/>
    <s v="IN89"/>
  </r>
  <r>
    <x v="0"/>
    <n v="246779410389"/>
    <x v="47"/>
    <n v="-542.08000000000004"/>
    <n v="-47183.95"/>
    <s v="NO EXCHANGE RATE"/>
    <d v="2025-02-04T00:00:00"/>
    <s v="USD"/>
    <d v="2025-06-01T00:00:00"/>
    <n v="1"/>
    <d v="2025-12-06T00:00:00"/>
    <n v="210"/>
    <s v="IN89"/>
  </r>
  <r>
    <x v="0"/>
    <n v="246779410389"/>
    <x v="47"/>
    <n v="10.84"/>
    <n v="943.54"/>
    <s v="C: ASCENDAS27 P: A023951 I 246779410389"/>
    <d v="2025-02-04T00:00:00"/>
    <s v="USD"/>
    <d v="2025-06-01T00:00:00"/>
    <n v="1"/>
    <d v="2025-12-06T00:00:00"/>
    <n v="230"/>
    <s v="IN89"/>
  </r>
  <r>
    <x v="0"/>
    <n v="256779413931"/>
    <x v="48"/>
    <n v="-395.23"/>
    <n v="-33619.879999999997"/>
    <m/>
    <d v="2025-02-07T00:00:00"/>
    <s v="USD"/>
    <d v="2025-11-01T00:00:00"/>
    <n v="1"/>
    <s v="30/11/2025"/>
    <n v="210"/>
    <s v="IN89"/>
  </r>
  <r>
    <x v="0"/>
    <n v="256779413972"/>
    <x v="48"/>
    <n v="0"/>
    <n v="-262"/>
    <m/>
    <d v="2025-02-07T00:00:00"/>
    <s v="INR"/>
    <d v="2025-11-01T00:00:00"/>
    <n v="1"/>
    <s v="30/11/2025"/>
    <n v="210"/>
    <s v="IN89"/>
  </r>
  <r>
    <x v="0"/>
    <n v="256779413972"/>
    <x v="48"/>
    <n v="0"/>
    <n v="6"/>
    <s v="C: ASCENDAS27 P: A023951 I 256779413972"/>
    <d v="2025-02-07T00:00:00"/>
    <s v="INR"/>
    <d v="2025-11-01T00:00:00"/>
    <n v="1"/>
    <s v="30/11/2025"/>
    <n v="230"/>
    <s v="IN89"/>
  </r>
  <r>
    <x v="0"/>
    <n v="256779413931"/>
    <x v="48"/>
    <n v="7.9"/>
    <n v="672.01"/>
    <s v="C: ASCENDAS27 P: A023951 I 256779413931"/>
    <d v="2025-02-07T00:00:00"/>
    <s v="USD"/>
    <d v="2025-11-01T00:00:00"/>
    <n v="1"/>
    <s v="30/11/2025"/>
    <n v="230"/>
    <s v="IN89"/>
  </r>
  <r>
    <x v="0"/>
    <n v="256779413931"/>
    <x v="48"/>
    <n v="0"/>
    <n v="-1584.45"/>
    <s v="C: ASCENDAS27 P: Matching"/>
    <d v="2025-02-07T00:00:00"/>
    <s v="USD"/>
    <d v="2025-11-01T00:00:00"/>
    <n v="62"/>
    <s v="30/11/2025"/>
    <n v="271"/>
    <s v="IN89"/>
  </r>
  <r>
    <x v="0"/>
    <n v="256779416028"/>
    <x v="49"/>
    <n v="-2324.77"/>
    <n v="-201396.93"/>
    <s v="USD CURRENCY"/>
    <s v="31/08/2025"/>
    <s v="USD"/>
    <d v="2025-12-01T00:00:00"/>
    <n v="1"/>
    <s v="15/12/2025"/>
    <n v="210"/>
    <s v="IN89"/>
  </r>
  <r>
    <x v="0"/>
    <n v="256779416029"/>
    <x v="49"/>
    <n v="-92.99"/>
    <n v="-8055.81"/>
    <s v="USD CURRENCY"/>
    <s v="31/08/2025"/>
    <s v="USD"/>
    <d v="2025-12-01T00:00:00"/>
    <n v="1"/>
    <s v="15/12/2025"/>
    <n v="210"/>
    <s v="IN89"/>
  </r>
  <r>
    <x v="0"/>
    <n v="256779416030"/>
    <x v="49"/>
    <n v="-51.14"/>
    <n v="-4430.3"/>
    <s v="USD CURRENCY"/>
    <s v="31/08/2025"/>
    <s v="USD"/>
    <d v="2025-12-01T00:00:00"/>
    <n v="1"/>
    <s v="15/12/2025"/>
    <n v="210"/>
    <s v="IN89"/>
  </r>
  <r>
    <x v="0"/>
    <n v="256779416030"/>
    <x v="49"/>
    <n v="1.02"/>
    <n v="88.36"/>
    <s v="C: ASCENDAS27 P: A023951 I 256779416030"/>
    <s v="31/08/2025"/>
    <s v="USD"/>
    <d v="2025-12-01T00:00:00"/>
    <n v="1"/>
    <s v="15/12/2025"/>
    <n v="230"/>
    <s v="IN89"/>
  </r>
  <r>
    <x v="0"/>
    <n v="256779416028"/>
    <x v="49"/>
    <n v="46.5"/>
    <n v="4028.34"/>
    <s v="C: ASCENDAS27 P: A023951 I 256779416028"/>
    <s v="31/08/2025"/>
    <s v="USD"/>
    <d v="2025-12-01T00:00:00"/>
    <n v="1"/>
    <s v="15/12/2025"/>
    <n v="230"/>
    <s v="IN89"/>
  </r>
  <r>
    <x v="0"/>
    <n v="256779416029"/>
    <x v="49"/>
    <n v="1.86"/>
    <n v="161.13"/>
    <s v="C: ASCENDAS27 P: A023951 I 256779416029"/>
    <s v="31/08/2025"/>
    <s v="USD"/>
    <d v="2025-12-01T00:00:00"/>
    <n v="1"/>
    <s v="15/12/2025"/>
    <n v="230"/>
    <s v="IN89"/>
  </r>
  <r>
    <x v="0"/>
    <n v="256779416028"/>
    <x v="49"/>
    <n v="0"/>
    <n v="-7426.8"/>
    <s v="C: ASCENDAS27 P: Matching"/>
    <s v="31/08/2025"/>
    <s v="USD"/>
    <d v="2025-12-01T00:00:00"/>
    <n v="54"/>
    <s v="31/12/2025"/>
    <n v="271"/>
    <s v="IN89"/>
  </r>
  <r>
    <x v="0"/>
    <n v="256779416029"/>
    <x v="49"/>
    <n v="0"/>
    <n v="-297.06"/>
    <s v="C: ASCENDAS27 P: Matching"/>
    <s v="31/08/2025"/>
    <s v="USD"/>
    <d v="2025-12-01T00:00:00"/>
    <n v="56"/>
    <s v="31/12/2025"/>
    <n v="271"/>
    <s v="IN89"/>
  </r>
  <r>
    <x v="0"/>
    <n v="256779416030"/>
    <x v="49"/>
    <n v="0"/>
    <n v="-163.38"/>
    <s v="C: ASCENDAS27 P: Matching"/>
    <s v="31/08/2025"/>
    <s v="USD"/>
    <d v="2025-12-01T00:00:00"/>
    <n v="58"/>
    <s v="31/12/2025"/>
    <n v="271"/>
    <s v="IN89"/>
  </r>
  <r>
    <x v="1"/>
    <n v="2439105"/>
    <x v="14"/>
    <n v="0"/>
    <n v="1760137.77"/>
    <s v="Outwards remit C-A023951 USD20175.95@87.24"/>
    <m/>
    <s v="INR"/>
    <d v="2025-06-01T00:00:00"/>
    <m/>
    <m/>
    <m/>
    <n v="52421432"/>
  </r>
  <r>
    <x v="2"/>
    <s v="246779411409_R"/>
    <x v="24"/>
    <n v="249.55"/>
    <n v="21721.43"/>
    <s v="NO EXCHANGE RATE"/>
    <m/>
    <s v="USD"/>
    <d v="2025-07-01T00:00:00"/>
    <m/>
    <m/>
    <m/>
    <n v="53826350"/>
  </r>
  <r>
    <x v="1"/>
    <n v="2512590"/>
    <x v="50"/>
    <n v="0"/>
    <n v="2396201.27"/>
    <s v="Outwards remit C-A023951 USD 27632.46@86.72"/>
    <m/>
    <s v="INR"/>
    <d v="2025-07-01T00:00:00"/>
    <m/>
    <m/>
    <m/>
    <n v="54915840"/>
  </r>
  <r>
    <x v="1"/>
    <n v="2513416"/>
    <x v="50"/>
    <n v="0"/>
    <n v="2396201.27"/>
    <s v="PAYMENT BATCH OF JUL'25"/>
    <m/>
    <s v="INR"/>
    <d v="2025-07-01T00:00:00"/>
    <m/>
    <m/>
    <m/>
    <n v="54947512"/>
  </r>
  <r>
    <x v="1"/>
    <n v="2516019"/>
    <x v="51"/>
    <n v="0"/>
    <n v="-2396201.27"/>
    <s v="PAYMENT BATCH OF JUL'25"/>
    <m/>
    <s v="INR"/>
    <d v="2025-07-01T00:00:00"/>
    <m/>
    <m/>
    <m/>
    <n v="54956542"/>
  </r>
  <r>
    <x v="2"/>
    <s v="246779411409_R"/>
    <x v="24"/>
    <n v="0"/>
    <n v="-2.0499999999999998"/>
    <s v="C: ASCENDAS27 P: Matching"/>
    <m/>
    <s v="USD"/>
    <d v="2025-07-01T00:00:00"/>
    <m/>
    <m/>
    <m/>
    <n v="54969548"/>
  </r>
  <r>
    <x v="1"/>
    <n v="2667796"/>
    <x v="52"/>
    <n v="0"/>
    <n v="1721315.82"/>
    <s v="Outwards remit C-A023951 USD19499.67@88.27"/>
    <m/>
    <s v="INR"/>
    <d v="2025-10-01T00:00:00"/>
    <m/>
    <m/>
    <m/>
    <n v="61574185"/>
  </r>
  <r>
    <x v="1"/>
    <n v="2717597"/>
    <x v="53"/>
    <n v="0"/>
    <n v="1899719.56"/>
    <s v="Outwards remit C-I001611 USD 21,525.94@88.25257138"/>
    <m/>
    <s v="INR"/>
    <d v="2025-11-01T00:00:00"/>
    <m/>
    <m/>
    <m/>
    <n v="63769663"/>
  </r>
  <r>
    <x v="1"/>
    <n v="2771552"/>
    <x v="54"/>
    <n v="0"/>
    <n v="715665.04"/>
    <s v="Outwards remit C-A023951 USD 8,027.22@89.154780497"/>
    <m/>
    <s v="INR"/>
    <d v="2025-12-01T00:00:00"/>
    <m/>
    <m/>
    <m/>
    <n v="66083232"/>
  </r>
  <r>
    <x v="2"/>
    <s v="256779417580_R"/>
    <x v="18"/>
    <n v="184.38"/>
    <n v="184.38"/>
    <m/>
    <m/>
    <s v="USD"/>
    <d v="2026-01-01T00:00:00"/>
    <m/>
    <m/>
    <m/>
    <n v="68208016"/>
  </r>
  <r>
    <x v="1"/>
    <n v="2829968"/>
    <x v="55"/>
    <n v="0"/>
    <n v="1869680.81"/>
    <s v="Outwards remit C-A023951 USD 20,799.48@1"/>
    <m/>
    <s v="INR"/>
    <d v="2026-01-01T00:00:00"/>
    <m/>
    <m/>
    <m/>
    <n v="68345876"/>
  </r>
  <r>
    <x v="3"/>
    <n v="2830735"/>
    <x v="56"/>
    <n v="0"/>
    <n v="-7756"/>
    <s v="Exchange rate diference for JUN'25  USD 20175.95"/>
    <m/>
    <s v="INR"/>
    <d v="2026-01-01T00:00:00"/>
    <m/>
    <m/>
    <m/>
    <n v="68369723"/>
  </r>
  <r>
    <x v="3"/>
    <n v="2830736"/>
    <x v="56"/>
    <n v="0"/>
    <n v="-15004"/>
    <s v="Exchange rate diference for JUL'25  USD 27632.46"/>
    <m/>
    <s v="INR"/>
    <d v="2026-01-01T00:00:00"/>
    <m/>
    <m/>
    <m/>
    <n v="68369723"/>
  </r>
  <r>
    <x v="1"/>
    <n v="2830737"/>
    <x v="56"/>
    <n v="0"/>
    <n v="8452"/>
    <s v="Exchange rate diference for OCT'25  USD 19499.67"/>
    <m/>
    <s v="INR"/>
    <d v="2026-01-01T00:00:00"/>
    <m/>
    <m/>
    <m/>
    <n v="68369723"/>
  </r>
  <r>
    <x v="3"/>
    <n v="2830738"/>
    <x v="56"/>
    <n v="0"/>
    <n v="-17437"/>
    <s v="Exchange rate diference for NOV'25  USD 21525.94"/>
    <m/>
    <s v="INR"/>
    <d v="2026-01-01T00:00:00"/>
    <m/>
    <m/>
    <m/>
    <n v="68369723"/>
  </r>
  <r>
    <x v="3"/>
    <n v="2830739"/>
    <x v="56"/>
    <n v="0"/>
    <n v="-5206"/>
    <s v="Exchange rate diference for DEC'25  USD 8027.22"/>
    <m/>
    <s v="INR"/>
    <d v="2026-01-01T00:00:00"/>
    <m/>
    <m/>
    <m/>
    <n v="68369723"/>
  </r>
  <r>
    <x v="2"/>
    <s v="256779417580_R"/>
    <x v="18"/>
    <n v="-3.69"/>
    <n v="-3.69"/>
    <s v="C: ASCENDAS27 P: A023951 C 256779"/>
    <m/>
    <s v="USD"/>
    <d v="2026-01-01T00:00:00"/>
    <m/>
    <m/>
    <m/>
    <n v="68389624"/>
  </r>
  <r>
    <x v="2"/>
    <s v="256779417580_R"/>
    <x v="18"/>
    <n v="0"/>
    <n v="16376.07"/>
    <s v="C: ASCENDAS27 P: Matching"/>
    <m/>
    <s v="USD"/>
    <d v="2026-01-01T00:00:00"/>
    <m/>
    <m/>
    <m/>
    <n v="684591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6">
  <r>
    <s v="KUEHNE+NAGEL PVT. LTD."/>
    <n v="2025"/>
    <d v="2025-07-10T00:00:00"/>
    <x v="0"/>
    <x v="0"/>
    <n v="256779421326"/>
    <s v="USD"/>
    <n v="-70.8"/>
    <s v="INR"/>
    <n v="-6088.85"/>
    <s v="Credit note raised against INV 256779414309"/>
  </r>
  <r>
    <s v="KUEHNE+NAGEL PVT. LTD."/>
    <n v="2025"/>
    <d v="2025-07-10T00:00:00"/>
    <x v="0"/>
    <x v="0"/>
    <n v="256779421327"/>
    <s v="USD"/>
    <n v="-113.28"/>
    <s v="INR"/>
    <n v="-9742.16"/>
    <s v="Credit note raised against INV 256779414309"/>
  </r>
  <r>
    <s v="KUEHNE+NAGEL PVT. LTD."/>
    <n v="2025"/>
    <d v="2025-07-10T00:00:00"/>
    <x v="0"/>
    <x v="0"/>
    <n v="256779421328"/>
    <s v="USD"/>
    <n v="-242.75"/>
    <s v="INR"/>
    <n v="-20876.66"/>
    <s v="Credit note raised against INV 256779414309"/>
  </r>
  <r>
    <s v="KUEHNE+NAGEL PVT. LTD."/>
    <n v="2025"/>
    <d v="2025-09-04T00:00:00"/>
    <x v="1"/>
    <x v="1"/>
    <n v="256779416909"/>
    <s v="USD"/>
    <n v="989.55"/>
    <s v="INR"/>
    <n v="86599.81"/>
    <s v="CODC Inbound chgs - 16-31 Aug  25"/>
  </r>
  <r>
    <s v="KUEHNE+NAGEL PVT. LTD."/>
    <n v="2025"/>
    <d v="2025-09-04T00:00:00"/>
    <x v="1"/>
    <x v="1"/>
    <n v="256779417134"/>
    <s v="USD"/>
    <n v="536.44000000000005"/>
    <s v="INR"/>
    <n v="46946.19"/>
    <s v="VAS - 16-31 Aug 25"/>
  </r>
  <r>
    <s v="KUEHNE+NAGEL PVT. LTD."/>
    <n v="2025"/>
    <d v="2025-09-04T00:00:00"/>
    <x v="1"/>
    <x v="1"/>
    <n v="256779417137"/>
    <s v="USD"/>
    <n v="409.79"/>
    <s v="INR"/>
    <n v="35862.5"/>
    <s v="WEIGHMENT - 16-31 Aug 25"/>
  </r>
  <r>
    <s v="KUEHNE+NAGEL PVT. LTD."/>
    <n v="2025"/>
    <d v="2025-09-04T00:00:00"/>
    <x v="1"/>
    <x v="1"/>
    <n v="256779417158"/>
    <s v="USD"/>
    <n v="110"/>
    <s v="INR"/>
    <n v="9626.58"/>
    <s v="Intra 16-31 Aug 25"/>
  </r>
  <r>
    <s v="KUEHNE+NAGEL PVT. LTD."/>
    <n v="2025"/>
    <d v="2025-09-04T00:00:00"/>
    <x v="1"/>
    <x v="1"/>
    <n v="256779417200"/>
    <s v="USD"/>
    <n v="100.74"/>
    <s v="INR"/>
    <n v="8816.19"/>
    <s v="Empty Lolo Chgs - 01 - 31 AUG 25"/>
  </r>
  <r>
    <s v="KUEHNE+NAGEL PVT. LTD."/>
    <n v="2025"/>
    <d v="2025-09-04T00:00:00"/>
    <x v="1"/>
    <x v="1"/>
    <n v="256779417238"/>
    <s v="USD"/>
    <n v="608.78"/>
    <s v="INR"/>
    <n v="53276.97"/>
    <s v="PORT SSR Chgs Aug 25"/>
  </r>
  <r>
    <s v="KUEHNE+NAGEL PVT. LTD."/>
    <n v="2025"/>
    <d v="2025-09-04T00:00:00"/>
    <x v="1"/>
    <x v="1"/>
    <n v="256779417250"/>
    <s v="USD"/>
    <n v="50"/>
    <s v="INR"/>
    <n v="4375.72"/>
    <s v="Scanning  Chgs - 16 - 31 Aug 25"/>
  </r>
  <r>
    <s v="KUEHNE+NAGEL PVT. LTD."/>
    <n v="2025"/>
    <d v="2025-09-04T00:00:00"/>
    <x v="1"/>
    <x v="1"/>
    <n v="256779417257"/>
    <s v="USD"/>
    <n v="22.77"/>
    <s v="INR"/>
    <n v="1992.7"/>
    <s v="Bond Stamp Paper Chgs 01 - 31 Aug 25"/>
  </r>
  <r>
    <s v="KUEHNE+NAGEL PVT. LTD."/>
    <n v="2025"/>
    <d v="2025-09-04T00:00:00"/>
    <x v="1"/>
    <x v="1"/>
    <n v="256779417280"/>
    <s v="USD"/>
    <n v="249.98"/>
    <s v="INR"/>
    <n v="21876.83"/>
    <s v="LCL Chgs - 16 - 31 AUG 25"/>
  </r>
  <r>
    <s v="KUEHNE+NAGEL PVT. LTD."/>
    <n v="2025"/>
    <d v="2025-09-04T00:00:00"/>
    <x v="1"/>
    <x v="1"/>
    <n v="256779417317"/>
    <s v="USD"/>
    <n v="170.85"/>
    <s v="INR"/>
    <n v="14951.82"/>
    <s v="Outbound chgs - 16 - 31 Aug 25"/>
  </r>
  <r>
    <s v="KUEHNE+NAGEL PVT. LTD."/>
    <n v="2025"/>
    <d v="2025-07-04T00:00:00"/>
    <x v="1"/>
    <x v="2"/>
    <n v="256779414859"/>
    <s v="USD"/>
    <n v="318.47000000000003"/>
    <s v="INR"/>
    <n v="27388.63"/>
    <s v="LCL Chgs - 16 - 30 JUN 25"/>
  </r>
  <r>
    <s v="KUEHNE+NAGEL PVT. LTD."/>
    <n v="2025"/>
    <d v="2025-07-04T00:00:00"/>
    <x v="1"/>
    <x v="2"/>
    <n v="256779415012"/>
    <s v="USD"/>
    <n v="184.3"/>
    <s v="INR"/>
    <n v="15849.92"/>
    <s v="Outbound chgs - 16 - 30 Jun 25"/>
  </r>
  <r>
    <s v="KUEHNE+NAGEL PVT. LTD."/>
    <n v="2025"/>
    <d v="2025-07-04T00:00:00"/>
    <x v="1"/>
    <x v="2"/>
    <n v="256779415208"/>
    <s v="USD"/>
    <n v="183.43"/>
    <s v="INR"/>
    <n v="15775.1"/>
    <s v="Unit Storage - 1-30 June 25"/>
  </r>
  <r>
    <s v="KUEHNE+NAGEL PVT. LTD."/>
    <n v="2025"/>
    <d v="2025-07-04T00:00:00"/>
    <x v="1"/>
    <x v="2"/>
    <n v="256779415209"/>
    <s v="USD"/>
    <n v="63.26"/>
    <s v="INR"/>
    <n v="5440.4"/>
    <s v="Unit Storage - 1-30 June 25"/>
  </r>
  <r>
    <s v="KUEHNE+NAGEL PVT. LTD."/>
    <n v="2025"/>
    <d v="2025-07-04T00:00:00"/>
    <x v="1"/>
    <x v="2"/>
    <n v="256779415210"/>
    <s v="USD"/>
    <n v="9629.6299999999992"/>
    <s v="INR"/>
    <n v="828154.63"/>
    <s v="Unit Storage - 1-30 June 25"/>
  </r>
  <r>
    <s v="KUEHNE+NAGEL PVT. LTD."/>
    <n v="2025"/>
    <d v="2025-07-04T00:00:00"/>
    <x v="1"/>
    <x v="2"/>
    <n v="256779415261"/>
    <s v="USD"/>
    <n v="292.95999999999998"/>
    <s v="INR"/>
    <n v="25194.76"/>
    <s v="VAS - 16-30 June 25"/>
  </r>
  <r>
    <s v="KUEHNE+NAGEL PVT. LTD."/>
    <n v="2025"/>
    <d v="2025-07-04T00:00:00"/>
    <x v="1"/>
    <x v="2"/>
    <n v="256779415270"/>
    <s v="USD"/>
    <n v="420.86"/>
    <s v="INR"/>
    <n v="36194.239999999998"/>
    <s v="Weighment- 16-30 June 25"/>
  </r>
  <r>
    <s v="KUEHNE+NAGEL PVT. LTD."/>
    <n v="2025"/>
    <d v="2025-11-05T00:00:00"/>
    <x v="1"/>
    <x v="3"/>
    <n v="256779418816"/>
    <s v="USD"/>
    <n v="891"/>
    <s v="INR"/>
    <n v="78411.02"/>
    <s v="VAS-16 -31 Oct 25"/>
  </r>
  <r>
    <s v="KUEHNE+NAGEL PVT. LTD."/>
    <n v="2025"/>
    <d v="2025-11-05T00:00:00"/>
    <x v="1"/>
    <x v="3"/>
    <n v="256779418872"/>
    <s v="USD"/>
    <n v="5939.04"/>
    <s v="INR"/>
    <n v="522655.65"/>
    <s v="Unit Storage - 1-31 Oct 2025"/>
  </r>
  <r>
    <s v="KUEHNE+NAGEL PVT. LTD."/>
    <n v="2025"/>
    <d v="2025-11-05T00:00:00"/>
    <x v="1"/>
    <x v="3"/>
    <n v="256779418892"/>
    <s v="USD"/>
    <n v="1683.97"/>
    <s v="INR"/>
    <n v="148195.07"/>
    <s v="CODC Inbound chgs - 16-31 Oct 25"/>
  </r>
  <r>
    <s v="KUEHNE+NAGEL PVT. LTD."/>
    <n v="2025"/>
    <d v="2025-11-05T00:00:00"/>
    <x v="1"/>
    <x v="3"/>
    <n v="256779418904"/>
    <s v="USD"/>
    <n v="1273.92"/>
    <s v="INR"/>
    <n v="112109.28"/>
    <s v="CODC Out chgs -16-31 Oct 25"/>
  </r>
  <r>
    <s v="KUEHNE+NAGEL PVT. LTD."/>
    <n v="2025"/>
    <d v="2025-11-05T00:00:00"/>
    <x v="1"/>
    <x v="3"/>
    <n v="256779419165"/>
    <s v="USD"/>
    <n v="191.57"/>
    <s v="INR"/>
    <n v="16858.810000000001"/>
    <s v="Outbound chgs - 16 - 31 Oct 25"/>
  </r>
  <r>
    <s v="KUEHNE+NAGEL PVT. LTD."/>
    <n v="2025"/>
    <d v="2025-11-05T00:00:00"/>
    <x v="1"/>
    <x v="3"/>
    <n v="256779419192"/>
    <s v="USD"/>
    <n v="171.87"/>
    <s v="INR"/>
    <n v="15125.14"/>
    <s v="Empty Lolo Chgs - 01 - 31 OCT 25"/>
  </r>
  <r>
    <s v="KUEHNE+NAGEL PVT. LTD."/>
    <n v="2025"/>
    <d v="2025-11-05T00:00:00"/>
    <x v="1"/>
    <x v="3"/>
    <n v="256779419211"/>
    <s v="USD"/>
    <n v="28.18"/>
    <s v="INR"/>
    <n v="2479.94"/>
    <s v="Internet Activity Chgs - Oct 25"/>
  </r>
  <r>
    <s v="KUEHNE+NAGEL PVT. LTD."/>
    <n v="2025"/>
    <d v="2025-11-05T00:00:00"/>
    <x v="1"/>
    <x v="3"/>
    <n v="256779419222"/>
    <s v="USD"/>
    <n v="3537"/>
    <s v="INR"/>
    <n v="311267.99"/>
    <s v="PORT SSR Chgs Oct 25"/>
  </r>
  <r>
    <s v="KUEHNE+NAGEL PVT. LTD."/>
    <n v="2025"/>
    <d v="2025-11-03T00:00:00"/>
    <x v="1"/>
    <x v="4"/>
    <n v="256779419122"/>
    <s v="USD"/>
    <n v="670.42"/>
    <s v="INR"/>
    <n v="58999.23"/>
    <s v="LCL Chgs - 16 - 31 OCT 25"/>
  </r>
  <r>
    <s v="KUEHNE+NAGEL PVT. LTD."/>
    <n v="2025"/>
    <d v="2025-11-03T00:00:00"/>
    <x v="0"/>
    <x v="4"/>
    <n v="256779422067"/>
    <s v="USD"/>
    <n v="-4608.8"/>
    <s v="INR"/>
    <n v="-405590.02"/>
    <s v="CN issued against 256779417093"/>
  </r>
  <r>
    <s v="KUEHNE+NAGEL PVT. LTD."/>
    <n v="2025"/>
    <d v="2025-08-08T00:00:00"/>
    <x v="1"/>
    <x v="5"/>
    <n v="256779416096"/>
    <s v="USD"/>
    <n v="7386.34"/>
    <s v="INR"/>
    <n v="635447.72"/>
    <s v="Unit Storage - 1-31 July 25"/>
  </r>
  <r>
    <s v="KUEHNE+NAGEL PVT. LTD."/>
    <n v="2025"/>
    <d v="2025-08-08T00:00:00"/>
    <x v="1"/>
    <x v="5"/>
    <n v="256779416137"/>
    <s v="USD"/>
    <n v="55.28"/>
    <s v="INR"/>
    <n v="4755.75"/>
    <s v="Empty Lolo Chgs - 01 - 31 JUL 25"/>
  </r>
  <r>
    <s v="KUEHNE+NAGEL PVT. LTD."/>
    <n v="2025"/>
    <d v="2025-08-08T00:00:00"/>
    <x v="1"/>
    <x v="5"/>
    <n v="256779416169"/>
    <s v="USD"/>
    <n v="256.97000000000003"/>
    <s v="INR"/>
    <n v="22107.16"/>
    <s v="LCL Chgs - 16 - 31 JUL 25"/>
  </r>
  <r>
    <s v="KUEHNE+NAGEL PVT. LTD."/>
    <n v="2025"/>
    <d v="2025-08-08T00:00:00"/>
    <x v="1"/>
    <x v="5"/>
    <n v="256779416214"/>
    <s v="USD"/>
    <n v="212.34"/>
    <s v="INR"/>
    <n v="18267.64"/>
    <s v="Outbound chgs - 16 - 31 Jul 25"/>
  </r>
  <r>
    <s v="KUEHNE+NAGEL PVT. LTD."/>
    <n v="2025"/>
    <d v="2025-08-08T00:00:00"/>
    <x v="1"/>
    <x v="5"/>
    <n v="256779416255"/>
    <s v="USD"/>
    <n v="392.28"/>
    <s v="INR"/>
    <n v="33747.9"/>
    <s v="CODC Out chgs - 16 - 31 Jul 25"/>
  </r>
  <r>
    <s v="KUEHNE+NAGEL PVT. LTD."/>
    <n v="2025"/>
    <d v="2025-08-08T00:00:00"/>
    <x v="1"/>
    <x v="5"/>
    <n v="256779416442"/>
    <s v="USD"/>
    <n v="1053.3399999999999"/>
    <s v="INR"/>
    <n v="90618.97"/>
    <s v="VAS 16-31 July 25"/>
  </r>
  <r>
    <s v="KUEHNE+NAGEL PVT. LTD."/>
    <n v="2025"/>
    <d v="2025-08-08T00:00:00"/>
    <x v="1"/>
    <x v="5"/>
    <n v="256779416454"/>
    <s v="USD"/>
    <n v="411.19"/>
    <s v="INR"/>
    <n v="35374.730000000003"/>
    <s v="Weighment - 16-31 July 25"/>
  </r>
  <r>
    <s v="KUEHNE+NAGEL PVT. LTD."/>
    <n v="2025"/>
    <d v="2025-06-04T00:00:00"/>
    <x v="1"/>
    <x v="6"/>
    <n v="256779414156"/>
    <s v="USD"/>
    <n v="83.66"/>
    <s v="INR"/>
    <n v="7152.16"/>
    <s v="CODC Inbound chgs - 16 - 31 May 25"/>
  </r>
  <r>
    <s v="KUEHNE+NAGEL PVT. LTD."/>
    <n v="2025"/>
    <d v="2025-06-04T00:00:00"/>
    <x v="1"/>
    <x v="6"/>
    <n v="256779414173"/>
    <s v="USD"/>
    <n v="2668.72"/>
    <s v="INR"/>
    <n v="228150.95"/>
    <s v="PORT SSR Chgs - 16 - 31 May 25"/>
  </r>
  <r>
    <s v="KUEHNE+NAGEL PVT. LTD."/>
    <n v="2025"/>
    <d v="2025-06-04T00:00:00"/>
    <x v="1"/>
    <x v="6"/>
    <n v="256779414206"/>
    <s v="USD"/>
    <n v="201.33"/>
    <s v="INR"/>
    <n v="17211.86"/>
    <s v="Outbound chgs - 16 - 31 MAY 25"/>
  </r>
  <r>
    <s v="KUEHNE+NAGEL PVT. LTD."/>
    <n v="2025"/>
    <d v="2025-06-04T00:00:00"/>
    <x v="1"/>
    <x v="6"/>
    <n v="256779414260"/>
    <s v="USD"/>
    <n v="130.93"/>
    <s v="INR"/>
    <n v="11193.31"/>
    <s v="Detention Chgs - 01 - 15 MAY 25"/>
  </r>
  <r>
    <s v="KUEHNE+NAGEL PVT. LTD."/>
    <n v="2025"/>
    <d v="2025-06-04T00:00:00"/>
    <x v="1"/>
    <x v="6"/>
    <n v="256779414271"/>
    <s v="USD"/>
    <n v="967.68"/>
    <s v="INR"/>
    <n v="82727.72"/>
    <s v="Empty Lolo Chgs - 01 - 31 MAY 25"/>
  </r>
  <r>
    <s v="KUEHNE+NAGEL PVT. LTD."/>
    <n v="2025"/>
    <d v="2025-06-04T00:00:00"/>
    <x v="1"/>
    <x v="6"/>
    <n v="256779414309"/>
    <s v="USD"/>
    <n v="662.83"/>
    <s v="INR"/>
    <n v="56665.85"/>
    <s v="Transportation In Chgs - 16-31 MAY 25"/>
  </r>
  <r>
    <s v="KUEHNE+NAGEL PVT. LTD."/>
    <n v="2025"/>
    <d v="2025-05-14T00:00:00"/>
    <x v="0"/>
    <x v="7"/>
    <n v="256779420272"/>
    <s v="USD"/>
    <n v="-40.06"/>
    <s v="INR"/>
    <n v="-3472.85"/>
    <s v="Credit note against 246779412202"/>
  </r>
  <r>
    <s v="KUEHNE+NAGEL PVT. LTD."/>
    <n v="2025"/>
    <d v="2025-05-14T00:00:00"/>
    <x v="0"/>
    <x v="7"/>
    <n v="256779420273"/>
    <s v="USD"/>
    <n v="-28.62"/>
    <s v="INR"/>
    <n v="-2481.1"/>
    <s v="Credit note against 246779412203"/>
  </r>
  <r>
    <s v="KUEHNE+NAGEL PVT. LTD."/>
    <n v="2025"/>
    <d v="2025-05-14T00:00:00"/>
    <x v="0"/>
    <x v="7"/>
    <n v="256779420275"/>
    <s v="USD"/>
    <n v="-114.46"/>
    <s v="INR"/>
    <n v="-9922.68"/>
    <s v="Credit note against 246779412205"/>
  </r>
  <r>
    <s v="KUEHNE+NAGEL PVT. LTD."/>
    <n v="2025"/>
    <d v="2025-05-14T00:00:00"/>
    <x v="0"/>
    <x v="7"/>
    <n v="256779420276"/>
    <s v="USD"/>
    <n v="-68.680000000000007"/>
    <s v="INR"/>
    <n v="-5953.96"/>
    <s v="Credit note against 246779412206"/>
  </r>
  <r>
    <s v="KUEHNE+NAGEL PVT. LTD."/>
    <n v="2025"/>
    <d v="2025-05-14T00:00:00"/>
    <x v="0"/>
    <x v="7"/>
    <n v="256779420268"/>
    <s v="USD"/>
    <n v="-249.55"/>
    <s v="INR"/>
    <n v="-21633.8"/>
    <s v="Credit note against 246779412198"/>
  </r>
  <r>
    <s v="KUEHNE+NAGEL PVT. LTD."/>
    <n v="2025"/>
    <d v="2025-05-14T00:00:00"/>
    <x v="0"/>
    <x v="7"/>
    <n v="256779420269"/>
    <s v="USD"/>
    <n v="-40.06"/>
    <s v="INR"/>
    <n v="-3472.85"/>
    <s v="Credit note against 246779412199"/>
  </r>
  <r>
    <s v="KUEHNE+NAGEL PVT. LTD."/>
    <n v="2025"/>
    <d v="2025-05-14T00:00:00"/>
    <x v="0"/>
    <x v="7"/>
    <n v="256779420274"/>
    <s v="USD"/>
    <n v="-22.89"/>
    <s v="INR"/>
    <n v="-1984.36"/>
    <s v="Credit note against 246779412204"/>
  </r>
  <r>
    <s v="KUEHNE+NAGEL PVT. LTD."/>
    <n v="2025"/>
    <d v="2025-05-14T00:00:00"/>
    <x v="0"/>
    <x v="7"/>
    <n v="256779420277"/>
    <s v="USD"/>
    <n v="-312.5"/>
    <s v="INR"/>
    <n v="-27091.02"/>
    <s v="Credit note against 246779412207"/>
  </r>
  <r>
    <s v="KUEHNE+NAGEL PVT. LTD."/>
    <n v="2025"/>
    <d v="2025-05-14T00:00:00"/>
    <x v="0"/>
    <x v="7"/>
    <n v="256779420278"/>
    <s v="USD"/>
    <n v="-23.35"/>
    <s v="INR"/>
    <n v="-2024.24"/>
    <s v="Credit note against 246779412208"/>
  </r>
  <r>
    <s v="KUEHNE+NAGEL PVT. LTD."/>
    <n v="2025"/>
    <d v="2025-05-14T00:00:00"/>
    <x v="0"/>
    <x v="7"/>
    <n v="256779420266"/>
    <s v="USD"/>
    <n v="-57.23"/>
    <s v="INR"/>
    <n v="-4961.34"/>
    <s v="Credit note against 246779412196"/>
  </r>
  <r>
    <s v="KUEHNE+NAGEL PVT. LTD."/>
    <n v="2025"/>
    <d v="2025-05-14T00:00:00"/>
    <x v="0"/>
    <x v="7"/>
    <n v="256779420267"/>
    <s v="USD"/>
    <n v="-40.06"/>
    <s v="INR"/>
    <n v="-3472.85"/>
    <s v="Credit note against 246779412197"/>
  </r>
  <r>
    <s v="KUEHNE+NAGEL PVT. LTD."/>
    <n v="2025"/>
    <d v="2025-05-14T00:00:00"/>
    <x v="0"/>
    <x v="7"/>
    <n v="256779420270"/>
    <s v="USD"/>
    <n v="-45.79"/>
    <s v="INR"/>
    <n v="-3969.59"/>
    <s v="Credit note against 246779412200"/>
  </r>
  <r>
    <s v="KUEHNE+NAGEL PVT. LTD."/>
    <n v="2025"/>
    <d v="2025-05-14T00:00:00"/>
    <x v="0"/>
    <x v="7"/>
    <n v="256779420271"/>
    <s v="USD"/>
    <n v="-20.03"/>
    <s v="INR"/>
    <n v="-1736.43"/>
    <s v="Credit note against 246779412201"/>
  </r>
  <r>
    <s v="KUEHNE+NAGEL PVT. LTD."/>
    <n v="2025"/>
    <d v="2025-05-14T00:00:00"/>
    <x v="0"/>
    <x v="7"/>
    <n v="256779420492"/>
    <s v="USD"/>
    <n v="-2333.1799999999998"/>
    <s v="INR"/>
    <n v="-202804.25"/>
    <s v="Credit note against 256779410231"/>
  </r>
  <r>
    <s v="KUEHNE+NAGEL PVT. LTD."/>
    <n v="2025"/>
    <d v="2025-05-14T00:00:00"/>
    <x v="0"/>
    <x v="7"/>
    <n v="256779420526"/>
    <s v="USD"/>
    <n v="-2286.2399999999998"/>
    <s v="INR"/>
    <n v="-198724.14"/>
    <s v="Credit note against 256779410272"/>
  </r>
  <r>
    <s v="KUEHNE+NAGEL PVT. LTD."/>
    <n v="2025"/>
    <d v="2025-05-16T00:00:00"/>
    <x v="1"/>
    <x v="8"/>
    <n v="256779413280"/>
    <s v="USD"/>
    <n v="59"/>
    <s v="INR"/>
    <n v="5073.04"/>
    <s v="Scanning  Chgs - 16 - 31 Apr 25"/>
  </r>
  <r>
    <s v="KUEHNE+NAGEL PVT. LTD."/>
    <n v="2025"/>
    <d v="2025-05-16T00:00:00"/>
    <x v="1"/>
    <x v="8"/>
    <n v="256779413308"/>
    <s v="USD"/>
    <n v="723.47"/>
    <s v="INR"/>
    <n v="62206.63"/>
    <s v="LCL Chgs - 16 - 30 Apr 25"/>
  </r>
  <r>
    <s v="KUEHNE+NAGEL PVT. LTD."/>
    <n v="2025"/>
    <d v="2025-05-16T00:00:00"/>
    <x v="1"/>
    <x v="8"/>
    <n v="256779413348"/>
    <s v="USD"/>
    <n v="138.82"/>
    <s v="INR"/>
    <n v="11936.26"/>
    <s v="Outbound chgs - 16 - 30 Apr 25"/>
  </r>
  <r>
    <s v="KUEHNE+NAGEL PVT. LTD."/>
    <n v="2025"/>
    <d v="2025-12-09T00:00:00"/>
    <x v="1"/>
    <x v="9"/>
    <n v="256779419995"/>
    <s v="USD"/>
    <n v="187.19"/>
    <s v="INR"/>
    <n v="16603.78"/>
    <s v="CODC LCL Chgs -16-30 Nov 25"/>
  </r>
  <r>
    <s v="KUEHNE+NAGEL PVT. LTD."/>
    <n v="2025"/>
    <d v="2025-05-28T00:00:00"/>
    <x v="1"/>
    <x v="10"/>
    <n v="256779413908"/>
    <s v="USD"/>
    <n v="3200.83"/>
    <s v="INR"/>
    <n v="275219.21000000002"/>
    <s v="Storage Chgs - 01 - 31 Apr 25"/>
  </r>
  <r>
    <s v="KUEHNE+NAGEL PVT. LTD."/>
    <n v="2025"/>
    <d v="2025-07-18T00:00:00"/>
    <x v="1"/>
    <x v="11"/>
    <n v="256779415426"/>
    <s v="USD"/>
    <n v="464.73"/>
    <s v="INR"/>
    <n v="39967.089999999997"/>
    <s v="PORT SSR Chgs Apr &amp; May 25"/>
  </r>
  <r>
    <s v="KUEHNE+NAGEL PVT. LTD."/>
    <n v="2025"/>
    <d v="2025-07-18T00:00:00"/>
    <x v="1"/>
    <x v="11"/>
    <n v="256779415442"/>
    <s v="USD"/>
    <n v="1.59"/>
    <s v="INR"/>
    <n v="136.74"/>
    <s v="CODC Inbound Chgs - 01 - 15 July 25"/>
  </r>
  <r>
    <s v="KUEHNE+NAGEL PVT. LTD."/>
    <n v="2025"/>
    <d v="2025-07-18T00:00:00"/>
    <x v="1"/>
    <x v="11"/>
    <n v="256779415453"/>
    <s v="USD"/>
    <n v="293.45999999999998"/>
    <s v="INR"/>
    <n v="25237.759999999998"/>
    <s v="CODC Out chgs - 01 - 15 July 25"/>
  </r>
  <r>
    <s v="KUEHNE+NAGEL PVT. LTD."/>
    <n v="2025"/>
    <d v="2025-07-18T00:00:00"/>
    <x v="1"/>
    <x v="11"/>
    <n v="256779415474"/>
    <s v="USD"/>
    <n v="608.41"/>
    <s v="INR"/>
    <n v="52323.67"/>
    <s v="Transportation In Chgs - 01 - 15 JUL 25"/>
  </r>
  <r>
    <s v="KUEHNE+NAGEL PVT. LTD."/>
    <n v="2025"/>
    <d v="2025-07-18T00:00:00"/>
    <x v="1"/>
    <x v="11"/>
    <n v="256779415517"/>
    <s v="USD"/>
    <n v="116.74"/>
    <s v="INR"/>
    <n v="10039.719999999999"/>
    <s v="Outbound chgs - 01 - 15 Jul 25"/>
  </r>
  <r>
    <s v="KUEHNE+NAGEL PVT. LTD."/>
    <n v="2025"/>
    <d v="2025-07-18T00:00:00"/>
    <x v="1"/>
    <x v="11"/>
    <n v="256779415792"/>
    <s v="USD"/>
    <n v="608.41"/>
    <s v="INR"/>
    <n v="52323.67"/>
    <s v="Transportation In Chgs - 01 - 15 JUL 25"/>
  </r>
  <r>
    <s v="KUEHNE+NAGEL PVT. LTD."/>
    <n v="2025"/>
    <d v="2025-03-13T00:00:00"/>
    <x v="1"/>
    <x v="12"/>
    <n v="246779411312"/>
    <s v="USD"/>
    <n v="27"/>
    <s v="INR"/>
    <n v="2340.66"/>
    <s v="Scanning Charges for the month of October, 2024"/>
  </r>
  <r>
    <s v="KUEHNE+NAGEL PVT. LTD."/>
    <n v="2025"/>
    <d v="2025-03-20T00:00:00"/>
    <x v="1"/>
    <x v="13"/>
    <n v="246779413730"/>
    <s v="USD"/>
    <n v="3.2"/>
    <s v="INR"/>
    <n v="277.41000000000003"/>
    <s v="Outbound Handling charges for Jan 2025"/>
  </r>
  <r>
    <s v="KUEHNE+NAGEL PVT. LTD."/>
    <n v="2025"/>
    <d v="2025-03-20T00:00:00"/>
    <x v="1"/>
    <x v="13"/>
    <n v="246779413747"/>
    <s v="USD"/>
    <n v="2.74"/>
    <s v="INR"/>
    <n v="237.53"/>
    <s v="Outbound Handling charges for Feb 2025"/>
  </r>
  <r>
    <s v="KUEHNE+NAGEL PVT. LTD."/>
    <n v="2025"/>
    <d v="2025-03-20T00:00:00"/>
    <x v="1"/>
    <x v="13"/>
    <n v="246779413815"/>
    <s v="USD"/>
    <n v="50"/>
    <s v="INR"/>
    <n v="4334.5600000000004"/>
    <s v="Scanning Charges for the month of Feb 2025"/>
  </r>
  <r>
    <s v="KUEHNE+NAGEL PVT. LTD."/>
    <n v="2025"/>
    <d v="2025-03-20T00:00:00"/>
    <x v="1"/>
    <x v="13"/>
    <n v="246779413920"/>
    <s v="USD"/>
    <n v="22.5"/>
    <s v="INR"/>
    <n v="1950.55"/>
    <s v="Outbound Handling charges for Feb 2025"/>
  </r>
  <r>
    <s v="KUEHNE+NAGEL PVT. LTD."/>
    <n v="2025"/>
    <d v="2025-03-20T00:00:00"/>
    <x v="1"/>
    <x v="13"/>
    <n v="246779413936"/>
    <s v="USD"/>
    <n v="27.5"/>
    <s v="INR"/>
    <n v="2384.0100000000002"/>
    <s v="Outbound Handling charges for Feb 2025"/>
  </r>
  <r>
    <s v="KUEHNE+NAGEL PVT. LTD."/>
    <n v="2025"/>
    <d v="2025-03-20T00:00:00"/>
    <x v="1"/>
    <x v="13"/>
    <n v="246779413941"/>
    <s v="USD"/>
    <n v="30"/>
    <s v="INR"/>
    <n v="2600.7399999999998"/>
    <s v="Outbound Handling charges for Feb 2025"/>
  </r>
  <r>
    <s v="KUEHNE+NAGEL PVT. LTD."/>
    <n v="2025"/>
    <d v="2025-03-20T00:00:00"/>
    <x v="1"/>
    <x v="13"/>
    <n v="246779414384"/>
    <s v="USD"/>
    <n v="182.5"/>
    <s v="INR"/>
    <n v="15821.15"/>
    <s v="Inbound Handling charges for Nov 2024"/>
  </r>
  <r>
    <s v="KUEHNE+NAGEL PVT. LTD."/>
    <n v="2025"/>
    <d v="2025-03-20T00:00:00"/>
    <x v="1"/>
    <x v="13"/>
    <n v="246779414385"/>
    <s v="USD"/>
    <n v="240"/>
    <s v="INR"/>
    <n v="20805.900000000001"/>
    <s v="LCL Movement Charges for Nov 2024"/>
  </r>
  <r>
    <s v="KUEHNE+NAGEL PVT. LTD."/>
    <n v="2025"/>
    <d v="2025-03-20T00:00:00"/>
    <x v="1"/>
    <x v="13"/>
    <n v="246779414057"/>
    <s v="USD"/>
    <n v="43.07"/>
    <s v="INR"/>
    <n v="3733.79"/>
    <s v="Inbound Handling charges for Jan 2025"/>
  </r>
  <r>
    <s v="KUEHNE+NAGEL PVT. LTD."/>
    <n v="2025"/>
    <d v="2025-03-20T00:00:00"/>
    <x v="1"/>
    <x v="13"/>
    <n v="246779414058"/>
    <s v="USD"/>
    <n v="398.23"/>
    <s v="INR"/>
    <n v="34523.06"/>
    <s v="Inbound Handling charges for Jan 2025"/>
  </r>
  <r>
    <s v="KUEHNE+NAGEL PVT. LTD."/>
    <n v="2025"/>
    <d v="2025-03-20T00:00:00"/>
    <x v="1"/>
    <x v="13"/>
    <n v="246779414120"/>
    <s v="USD"/>
    <n v="250.75"/>
    <s v="INR"/>
    <n v="21737.83"/>
    <s v="Inbound Handling charges for  Sep 2024"/>
  </r>
  <r>
    <s v="KUEHNE+NAGEL PVT. LTD."/>
    <n v="2025"/>
    <d v="2025-03-20T00:00:00"/>
    <x v="1"/>
    <x v="13"/>
    <n v="246779414121"/>
    <s v="USD"/>
    <n v="226.56"/>
    <s v="INR"/>
    <n v="19640.77"/>
    <s v="LCL charges for  Sep 2024"/>
  </r>
  <r>
    <s v="KUEHNE+NAGEL PVT. LTD."/>
    <n v="2025"/>
    <d v="2025-03-20T00:00:00"/>
    <x v="1"/>
    <x v="13"/>
    <n v="246779414122"/>
    <s v="USD"/>
    <n v="35.4"/>
    <s v="INR"/>
    <n v="3068.87"/>
    <s v="Cy-WH Destuff charges for Sep 2024"/>
  </r>
  <r>
    <s v="KUEHNE+NAGEL PVT. LTD."/>
    <n v="2025"/>
    <d v="2025-03-20T00:00:00"/>
    <x v="1"/>
    <x v="13"/>
    <n v="246779414204"/>
    <s v="USD"/>
    <n v="249.87"/>
    <s v="INR"/>
    <n v="21661.55"/>
    <s v="Outbound Handling charges for Sep 2024"/>
  </r>
  <r>
    <s v="KUEHNE+NAGEL PVT. LTD."/>
    <n v="2025"/>
    <d v="2025-03-20T00:00:00"/>
    <x v="1"/>
    <x v="13"/>
    <n v="246779414460"/>
    <s v="USD"/>
    <n v="173.05"/>
    <s v="INR"/>
    <n v="15001.92"/>
    <s v="Inbound Handling charges for Jan 2025"/>
  </r>
  <r>
    <s v="KUEHNE+NAGEL PVT. LTD."/>
    <n v="2025"/>
    <d v="2025-03-20T00:00:00"/>
    <x v="1"/>
    <x v="13"/>
    <n v="246779414461"/>
    <s v="USD"/>
    <n v="226.56"/>
    <s v="INR"/>
    <n v="19640.77"/>
    <s v="LCL charges for Jan 2025"/>
  </r>
  <r>
    <s v="KUEHNE+NAGEL PVT. LTD."/>
    <n v="2025"/>
    <d v="2025-03-20T00:00:00"/>
    <x v="1"/>
    <x v="13"/>
    <n v="246779414525"/>
    <s v="USD"/>
    <n v="211.39"/>
    <s v="INR"/>
    <n v="18325.669999999998"/>
    <s v="Inbound Handling charges for Feb 2025"/>
  </r>
  <r>
    <s v="KUEHNE+NAGEL PVT. LTD."/>
    <n v="2025"/>
    <d v="2025-03-20T00:00:00"/>
    <x v="1"/>
    <x v="13"/>
    <n v="246779414526"/>
    <s v="USD"/>
    <n v="141.6"/>
    <s v="INR"/>
    <n v="12275.48"/>
    <s v="LCL Movement Charges for Feb 2025"/>
  </r>
  <r>
    <s v="KUEHNE+NAGEL PVT. LTD."/>
    <n v="2025"/>
    <d v="2025-03-20T00:00:00"/>
    <x v="1"/>
    <x v="13"/>
    <n v="246779414527"/>
    <s v="USD"/>
    <n v="70.8"/>
    <s v="INR"/>
    <n v="6137.74"/>
    <s v="Empty transportation Charges for Feb 2025"/>
  </r>
  <r>
    <s v="KUEHNE+NAGEL PVT. LTD."/>
    <n v="2025"/>
    <d v="2025-03-20T00:00:00"/>
    <x v="1"/>
    <x v="13"/>
    <n v="246779414528"/>
    <s v="USD"/>
    <n v="236"/>
    <s v="INR"/>
    <n v="20459.14"/>
    <s v="Transportation Charges for Feb 2025"/>
  </r>
  <r>
    <s v="KUEHNE+NAGEL PVT. LTD."/>
    <n v="2025"/>
    <d v="2025-03-20T00:00:00"/>
    <x v="1"/>
    <x v="13"/>
    <n v="246779414781"/>
    <s v="USD"/>
    <n v="218.36"/>
    <s v="INR"/>
    <n v="18929.900000000001"/>
    <s v="Outbound Handling charges for Feb 2025"/>
  </r>
  <r>
    <s v="KUEHNE+NAGEL PVT. LTD."/>
    <n v="2025"/>
    <d v="2025-03-20T00:00:00"/>
    <x v="1"/>
    <x v="13"/>
    <n v="246779414863"/>
    <s v="USD"/>
    <n v="23.6"/>
    <s v="INR"/>
    <n v="2045.91"/>
    <s v="Outbound Handling charges for Jan 2025"/>
  </r>
  <r>
    <s v="KUEHNE+NAGEL PVT. LTD."/>
    <n v="2025"/>
    <d v="2025-03-20T00:00:00"/>
    <x v="1"/>
    <x v="13"/>
    <n v="246779414864"/>
    <s v="USD"/>
    <n v="26.55"/>
    <s v="INR"/>
    <n v="2301.65"/>
    <s v="Outbound Handling charges for Jan 2025"/>
  </r>
  <r>
    <s v="KUEHNE+NAGEL PVT. LTD."/>
    <n v="2025"/>
    <d v="2025-03-20T00:00:00"/>
    <x v="1"/>
    <x v="13"/>
    <n v="246779414865"/>
    <s v="USD"/>
    <n v="32.450000000000003"/>
    <s v="INR"/>
    <n v="2813.13"/>
    <s v="Outbound Handling charges for Jan 2025"/>
  </r>
  <r>
    <s v="KUEHNE+NAGEL PVT. LTD."/>
    <n v="2025"/>
    <d v="2025-03-20T00:00:00"/>
    <x v="1"/>
    <x v="13"/>
    <n v="246779414866"/>
    <s v="USD"/>
    <n v="26.55"/>
    <s v="INR"/>
    <n v="2301.65"/>
    <s v="Outbound Handling charges for Jan 2025"/>
  </r>
  <r>
    <s v="KUEHNE+NAGEL PVT. LTD."/>
    <n v="2025"/>
    <d v="2025-03-20T00:00:00"/>
    <x v="1"/>
    <x v="13"/>
    <n v="246779414867"/>
    <s v="USD"/>
    <n v="26.55"/>
    <s v="INR"/>
    <n v="2301.65"/>
    <s v="Outbound Handling charges for Jan 2025"/>
  </r>
  <r>
    <s v="KUEHNE+NAGEL PVT. LTD."/>
    <n v="2025"/>
    <d v="2025-03-20T00:00:00"/>
    <x v="1"/>
    <x v="13"/>
    <n v="246779414868"/>
    <s v="USD"/>
    <n v="2.95"/>
    <s v="INR"/>
    <n v="255.74"/>
    <s v="Outbound Handling charges for Jan 2025"/>
  </r>
  <r>
    <s v="KUEHNE+NAGEL PVT. LTD."/>
    <n v="2025"/>
    <d v="2025-03-20T00:00:00"/>
    <x v="1"/>
    <x v="13"/>
    <n v="246779414869"/>
    <s v="USD"/>
    <n v="35.4"/>
    <s v="INR"/>
    <n v="3068.87"/>
    <s v="Outbound Handling charges for Jan 2025"/>
  </r>
  <r>
    <s v="KUEHNE+NAGEL PVT. LTD."/>
    <n v="2025"/>
    <d v="2025-03-20T00:00:00"/>
    <x v="1"/>
    <x v="13"/>
    <n v="246779413889"/>
    <s v="USD"/>
    <n v="42.5"/>
    <s v="INR"/>
    <n v="3684.38"/>
    <s v="Outbound Handling charges for Feb 2025"/>
  </r>
  <r>
    <s v="KUEHNE+NAGEL PVT. LTD."/>
    <n v="2025"/>
    <d v="2025-03-20T00:00:00"/>
    <x v="1"/>
    <x v="13"/>
    <n v="246779414662"/>
    <s v="USD"/>
    <n v="275"/>
    <s v="INR"/>
    <n v="23840.1"/>
    <s v="Outbound Handling charges for Nov 2024"/>
  </r>
  <r>
    <s v="KUEHNE+NAGEL PVT. LTD."/>
    <n v="2025"/>
    <d v="2025-03-20T00:00:00"/>
    <x v="1"/>
    <x v="13"/>
    <n v="246779414663"/>
    <s v="USD"/>
    <n v="45"/>
    <s v="INR"/>
    <n v="3901.11"/>
    <s v="CY-MOVEMENT CHARGES for Nov 2024"/>
  </r>
  <r>
    <s v="KUEHNE+NAGEL PVT. LTD."/>
    <n v="2025"/>
    <d v="2025-03-20T00:00:00"/>
    <x v="1"/>
    <x v="13"/>
    <n v="246779414590"/>
    <s v="USD"/>
    <n v="300.49"/>
    <s v="INR"/>
    <n v="26049.86"/>
    <s v="Outbound Handling charges for Oct 2024"/>
  </r>
  <r>
    <s v="KUEHNE+NAGEL PVT. LTD."/>
    <n v="2025"/>
    <d v="2025-03-20T00:00:00"/>
    <x v="1"/>
    <x v="13"/>
    <n v="246779414726"/>
    <s v="USD"/>
    <n v="165.4"/>
    <s v="INR"/>
    <n v="14338.73"/>
    <s v="Outbound Handling charges for Jan 2025"/>
  </r>
  <r>
    <s v="KUEHNE+NAGEL PVT. LTD."/>
    <n v="2025"/>
    <d v="2025-02-20T00:00:00"/>
    <x v="1"/>
    <x v="14"/>
    <n v="246779410010"/>
    <s v="USD"/>
    <n v="2380.9499999999998"/>
    <s v="INR"/>
    <n v="205484.7"/>
    <s v="Fixed Rental charges for Aug 2024"/>
  </r>
  <r>
    <s v="KUEHNE+NAGEL PVT. LTD."/>
    <n v="2025"/>
    <d v="2025-02-20T00:00:00"/>
    <x v="1"/>
    <x v="14"/>
    <n v="246779410030"/>
    <s v="USD"/>
    <n v="2380.9499999999998"/>
    <s v="INR"/>
    <n v="205484.7"/>
    <s v="Fixed Rental charges for Sept 2024"/>
  </r>
  <r>
    <s v="KUEHNE+NAGEL PVT. LTD."/>
    <n v="2025"/>
    <d v="2025-02-20T00:00:00"/>
    <x v="1"/>
    <x v="14"/>
    <n v="246779410063"/>
    <s v="USD"/>
    <n v="95.24"/>
    <s v="INR"/>
    <n v="8219.56"/>
    <s v="Office space charges for Sept 2024"/>
  </r>
  <r>
    <s v="KUEHNE+NAGEL PVT. LTD."/>
    <n v="2025"/>
    <d v="2025-02-20T00:00:00"/>
    <x v="1"/>
    <x v="14"/>
    <n v="246779410064"/>
    <s v="USD"/>
    <n v="52.38"/>
    <s v="INR"/>
    <n v="4520.59"/>
    <s v="Utility charge- Electricity for Sept 2024"/>
  </r>
  <r>
    <s v="KUEHNE+NAGEL PVT. LTD."/>
    <n v="2025"/>
    <d v="2025-02-20T00:00:00"/>
    <x v="1"/>
    <x v="14"/>
    <n v="246779410080"/>
    <s v="USD"/>
    <n v="95.24"/>
    <s v="INR"/>
    <n v="8219.56"/>
    <s v="Office space charges - Aug, 2024"/>
  </r>
  <r>
    <s v="KUEHNE+NAGEL PVT. LTD."/>
    <n v="2025"/>
    <d v="2025-02-20T00:00:00"/>
    <x v="1"/>
    <x v="14"/>
    <n v="246779410098"/>
    <s v="USD"/>
    <n v="2380.9499999999998"/>
    <s v="INR"/>
    <n v="205484.7"/>
    <s v="Fixed Rental charges for Nov 2024"/>
  </r>
  <r>
    <s v="KUEHNE+NAGEL PVT. LTD."/>
    <n v="2025"/>
    <d v="2025-02-20T00:00:00"/>
    <x v="1"/>
    <x v="14"/>
    <n v="246779410131"/>
    <s v="USD"/>
    <n v="95.24"/>
    <s v="INR"/>
    <n v="8219.56"/>
    <s v="Office space charges for Nov 2024"/>
  </r>
  <r>
    <s v="KUEHNE+NAGEL PVT. LTD."/>
    <n v="2025"/>
    <d v="2025-02-20T00:00:00"/>
    <x v="1"/>
    <x v="14"/>
    <n v="246779410132"/>
    <s v="USD"/>
    <n v="52.38"/>
    <s v="INR"/>
    <n v="4520.59"/>
    <s v="Utility charge- Electricity for Nov 2024"/>
  </r>
  <r>
    <s v="KUEHNE+NAGEL PVT. LTD."/>
    <n v="2025"/>
    <d v="2025-02-20T00:00:00"/>
    <x v="1"/>
    <x v="14"/>
    <n v="246779410141"/>
    <s v="USD"/>
    <n v="2380.9499999999998"/>
    <s v="INR"/>
    <n v="205484.7"/>
    <s v="Fixed Rental charges for Dec 2024"/>
  </r>
  <r>
    <s v="KUEHNE+NAGEL PVT. LTD."/>
    <n v="2025"/>
    <d v="2025-02-20T00:00:00"/>
    <x v="1"/>
    <x v="14"/>
    <n v="246779410174"/>
    <s v="USD"/>
    <n v="95.24"/>
    <s v="INR"/>
    <n v="8219.56"/>
    <s v="Office space charges for Dec 2024"/>
  </r>
  <r>
    <s v="KUEHNE+NAGEL PVT. LTD."/>
    <n v="2025"/>
    <d v="2025-02-20T00:00:00"/>
    <x v="1"/>
    <x v="14"/>
    <n v="246779410175"/>
    <s v="USD"/>
    <n v="52.38"/>
    <s v="INR"/>
    <n v="4520.59"/>
    <s v="Utility charge- Electricity for Dec 2024"/>
  </r>
  <r>
    <s v="KUEHNE+NAGEL PVT. LTD."/>
    <n v="2025"/>
    <d v="2025-02-20T00:00:00"/>
    <x v="1"/>
    <x v="14"/>
    <n v="246779410184"/>
    <s v="USD"/>
    <n v="2333.1799999999998"/>
    <s v="INR"/>
    <n v="201361.97"/>
    <s v="Fixed Rental charges for Jan 2025"/>
  </r>
  <r>
    <s v="KUEHNE+NAGEL PVT. LTD."/>
    <n v="2025"/>
    <d v="2025-02-20T00:00:00"/>
    <x v="1"/>
    <x v="14"/>
    <n v="246779410217"/>
    <s v="USD"/>
    <n v="93.33"/>
    <s v="INR"/>
    <n v="8054.72"/>
    <s v="Office space charges for Jan 2025"/>
  </r>
  <r>
    <s v="KUEHNE+NAGEL PVT. LTD."/>
    <n v="2025"/>
    <d v="2025-02-20T00:00:00"/>
    <x v="1"/>
    <x v="14"/>
    <n v="246779410218"/>
    <s v="USD"/>
    <n v="51.33"/>
    <s v="INR"/>
    <n v="4429.97"/>
    <s v="Utility charge- Electricity for Jan 2025"/>
  </r>
  <r>
    <s v="KUEHNE+NAGEL PVT. LTD."/>
    <n v="2025"/>
    <d v="2025-02-20T00:00:00"/>
    <x v="1"/>
    <x v="14"/>
    <n v="246779410260"/>
    <s v="USD"/>
    <n v="91.45"/>
    <s v="INR"/>
    <n v="7892.47"/>
    <s v="Office space charges for Feb 2025"/>
  </r>
  <r>
    <s v="KUEHNE+NAGEL PVT. LTD."/>
    <n v="2025"/>
    <d v="2025-02-20T00:00:00"/>
    <x v="1"/>
    <x v="14"/>
    <n v="246779410261"/>
    <s v="USD"/>
    <n v="50.3"/>
    <s v="INR"/>
    <n v="4341.07"/>
    <s v="Utility charge- Electricity for Feb 2025"/>
  </r>
  <r>
    <s v="KUEHNE+NAGEL PVT. LTD."/>
    <n v="2025"/>
    <d v="2025-02-20T00:00:00"/>
    <x v="1"/>
    <x v="14"/>
    <n v="246779410311"/>
    <s v="USD"/>
    <n v="95.24"/>
    <s v="INR"/>
    <n v="8219.56"/>
    <s v="Office space charges for Oct 2024"/>
  </r>
  <r>
    <s v="KUEHNE+NAGEL PVT. LTD."/>
    <n v="2025"/>
    <d v="2025-02-20T00:00:00"/>
    <x v="1"/>
    <x v="14"/>
    <n v="246779410312"/>
    <s v="USD"/>
    <n v="52.38"/>
    <s v="INR"/>
    <n v="4520.59"/>
    <s v="Utility charge- Electricity for Oct 2024"/>
  </r>
  <r>
    <s v="KUEHNE+NAGEL PVT. LTD."/>
    <n v="2025"/>
    <d v="2025-02-20T00:00:00"/>
    <x v="1"/>
    <x v="14"/>
    <n v="246779410315"/>
    <s v="USD"/>
    <n v="2380.9499999999998"/>
    <s v="INR"/>
    <n v="205484.7"/>
    <s v="Fixed Rental charges for Oct 2024"/>
  </r>
  <r>
    <s v="KUEHNE+NAGEL PVT. LTD."/>
    <n v="2025"/>
    <d v="2025-02-20T00:00:00"/>
    <x v="1"/>
    <x v="14"/>
    <n v="246779410227"/>
    <s v="USD"/>
    <n v="2286.2399999999998"/>
    <s v="INR"/>
    <n v="197310.88"/>
    <s v="Fixed Rental charges for Feb 2025"/>
  </r>
  <r>
    <s v="KUEHNE+NAGEL PVT. LTD."/>
    <n v="2025"/>
    <d v="2025-08-20T00:00:00"/>
    <x v="1"/>
    <x v="15"/>
    <n v="256779416593"/>
    <s v="USD"/>
    <n v="810"/>
    <s v="INR"/>
    <n v="69684.399999999994"/>
    <s v="Empty Cont Out Chgs - 16 - 31 Jul 25"/>
  </r>
  <r>
    <s v="KUEHNE+NAGEL PVT. LTD."/>
    <n v="2025"/>
    <d v="2025-08-20T00:00:00"/>
    <x v="1"/>
    <x v="15"/>
    <n v="256779416600"/>
    <s v="USD"/>
    <n v="737.41"/>
    <s v="INR"/>
    <n v="63439.47"/>
    <s v="CODC Inbound chgs - 1 -15 Aug  25"/>
  </r>
  <r>
    <s v="KUEHNE+NAGEL PVT. LTD."/>
    <n v="2025"/>
    <d v="2025-08-20T00:00:00"/>
    <x v="1"/>
    <x v="15"/>
    <n v="256779416801"/>
    <s v="USD"/>
    <n v="110"/>
    <s v="INR"/>
    <n v="9463.31"/>
    <s v="INTRA-Aug 25- 1-15"/>
  </r>
  <r>
    <s v="KUEHNE+NAGEL PVT. LTD."/>
    <n v="2025"/>
    <d v="2025-08-20T00:00:00"/>
    <x v="1"/>
    <x v="15"/>
    <n v="256779416807"/>
    <s v="USD"/>
    <n v="248.96"/>
    <s v="INR"/>
    <n v="21418.06"/>
    <s v="VAS-Aug 25- 1-15"/>
  </r>
  <r>
    <s v="KUEHNE+NAGEL PVT. LTD."/>
    <n v="2025"/>
    <d v="2025-08-20T00:00:00"/>
    <x v="1"/>
    <x v="15"/>
    <n v="256779416814"/>
    <s v="USD"/>
    <n v="230"/>
    <s v="INR"/>
    <n v="19786.93"/>
    <s v="Transportation In Chgs - 01 - 15 Aug 25"/>
  </r>
  <r>
    <s v="KUEHNE+NAGEL PVT. LTD."/>
    <n v="2025"/>
    <d v="2025-08-20T00:00:00"/>
    <x v="1"/>
    <x v="15"/>
    <n v="256779416838"/>
    <s v="USD"/>
    <n v="685.03"/>
    <s v="INR"/>
    <n v="58933.21"/>
    <s v="LCL Chgs - 01 - 15 AUG 25"/>
  </r>
  <r>
    <s v="KUEHNE+NAGEL PVT. LTD."/>
    <n v="2025"/>
    <d v="2025-08-20T00:00:00"/>
    <x v="1"/>
    <x v="15"/>
    <n v="256779416869"/>
    <s v="USD"/>
    <n v="115.98"/>
    <s v="INR"/>
    <n v="9977.77"/>
    <s v="Outbound chgs - 01 - 15 Aug 25"/>
  </r>
  <r>
    <s v="KUEHNE+NAGEL PVT. LTD."/>
    <n v="2025"/>
    <d v="2025-12-08T00:00:00"/>
    <x v="1"/>
    <x v="16"/>
    <n v="256779419858"/>
    <s v="USD"/>
    <n v="147.37"/>
    <s v="INR"/>
    <n v="13071.74"/>
    <s v="LCL Chgs - 16 - 30 NOV 25"/>
  </r>
  <r>
    <s v="KUEHNE+NAGEL PVT. LTD."/>
    <n v="2025"/>
    <d v="2025-02-19T00:00:00"/>
    <x v="1"/>
    <x v="17"/>
    <n v="246779410081"/>
    <s v="USD"/>
    <n v="52.38"/>
    <s v="INR"/>
    <n v="4520.59"/>
    <s v="Utility charge- Electricity - Aug, 2024"/>
  </r>
  <r>
    <s v="KUEHNE+NAGEL PVT. LTD."/>
    <n v="2025"/>
    <d v="2025-05-20T00:00:00"/>
    <x v="1"/>
    <x v="18"/>
    <n v="256779413835"/>
    <s v="USD"/>
    <n v="206.02"/>
    <s v="INR"/>
    <n v="17714.36"/>
    <s v="VAS -1-15 May 25, Ex.rate 85.43"/>
  </r>
  <r>
    <s v="KUEHNE+NAGEL PVT. LTD."/>
    <n v="2025"/>
    <d v="2025-05-20T00:00:00"/>
    <x v="1"/>
    <x v="18"/>
    <n v="256779413480"/>
    <s v="USD"/>
    <n v="183.84"/>
    <s v="INR"/>
    <n v="15807.24"/>
    <s v="Outbound chgs - 01 - 15 MAY 25"/>
  </r>
  <r>
    <s v="KUEHNE+NAGEL PVT. LTD."/>
    <n v="2025"/>
    <d v="2025-05-20T00:00:00"/>
    <x v="1"/>
    <x v="18"/>
    <n v="256779413879"/>
    <s v="USD"/>
    <n v="37.17"/>
    <s v="INR"/>
    <n v="3196.01"/>
    <s v="LCL Chgs - 01-15 MAY 25"/>
  </r>
  <r>
    <s v="KUEHNE+NAGEL PVT. LTD."/>
    <n v="2025"/>
    <d v="2025-08-04T00:00:00"/>
    <x v="0"/>
    <x v="19"/>
    <n v="256779421623"/>
    <s v="USD"/>
    <n v="-608.41"/>
    <s v="INR"/>
    <n v="-52323.67"/>
    <s v="Credit note raised against 256779415792"/>
  </r>
  <r>
    <s v="KUEHNE+NAGEL PVT. LTD."/>
    <n v="2025"/>
    <d v="2025-04-03T00:00:00"/>
    <x v="1"/>
    <x v="20"/>
    <n v="256779410196"/>
    <s v="USD"/>
    <n v="246.52"/>
    <s v="INR"/>
    <n v="21427.97"/>
    <s v="VAS Activity -1 -15 Mar 25, Ex Rate. 87.01"/>
  </r>
  <r>
    <s v="KUEHNE+NAGEL PVT. LTD."/>
    <n v="2025"/>
    <d v="2025-04-03T00:00:00"/>
    <x v="1"/>
    <x v="20"/>
    <n v="256779410262"/>
    <s v="USD"/>
    <n v="93.33"/>
    <s v="INR"/>
    <n v="8112.41"/>
    <s v="Office space charges for Jan 2025"/>
  </r>
  <r>
    <s v="KUEHNE+NAGEL PVT. LTD."/>
    <n v="2025"/>
    <d v="2025-04-03T00:00:00"/>
    <x v="1"/>
    <x v="20"/>
    <n v="256779410263"/>
    <s v="USD"/>
    <n v="51.33"/>
    <s v="INR"/>
    <n v="4461.7"/>
    <s v="Utility charge- Electricity for Jan 2025"/>
  </r>
  <r>
    <s v="KUEHNE+NAGEL PVT. LTD."/>
    <n v="2025"/>
    <d v="2025-04-03T00:00:00"/>
    <x v="1"/>
    <x v="20"/>
    <n v="256779410272"/>
    <s v="USD"/>
    <n v="2286.2399999999998"/>
    <s v="INR"/>
    <n v="198724.14"/>
    <s v="Fixed Rental charges for Feb 2025"/>
  </r>
  <r>
    <s v="KUEHNE+NAGEL PVT. LTD."/>
    <n v="2025"/>
    <d v="2025-04-03T00:00:00"/>
    <x v="1"/>
    <x v="20"/>
    <n v="256779410303"/>
    <s v="USD"/>
    <n v="91.45"/>
    <s v="INR"/>
    <n v="7949"/>
    <s v="Office space charges for Feb 2025"/>
  </r>
  <r>
    <s v="KUEHNE+NAGEL PVT. LTD."/>
    <n v="2025"/>
    <d v="2025-04-03T00:00:00"/>
    <x v="1"/>
    <x v="20"/>
    <n v="256779410304"/>
    <s v="USD"/>
    <n v="50.3"/>
    <s v="INR"/>
    <n v="4372.17"/>
    <s v="Utility charge- Electricity for Feb 2025"/>
  </r>
  <r>
    <s v="KUEHNE+NAGEL PVT. LTD."/>
    <n v="2025"/>
    <d v="2025-04-03T00:00:00"/>
    <x v="1"/>
    <x v="20"/>
    <n v="256779410076"/>
    <s v="USD"/>
    <n v="25.22"/>
    <s v="INR"/>
    <n v="2192.17"/>
    <s v="Inbound Handling charges for Mar 2025"/>
  </r>
  <r>
    <s v="KUEHNE+NAGEL PVT. LTD."/>
    <n v="2025"/>
    <d v="2025-04-03T00:00:00"/>
    <x v="1"/>
    <x v="20"/>
    <n v="256779410077"/>
    <s v="USD"/>
    <n v="84.96"/>
    <s v="INR"/>
    <n v="7384.88"/>
    <s v="LCL charges for Mar 2025"/>
  </r>
  <r>
    <s v="KUEHNE+NAGEL PVT. LTD."/>
    <n v="2025"/>
    <d v="2025-04-03T00:00:00"/>
    <x v="1"/>
    <x v="20"/>
    <n v="256779410127"/>
    <s v="USD"/>
    <n v="183.99"/>
    <s v="INR"/>
    <n v="15992.75"/>
    <s v="Outbound Handling charges for Mar 25"/>
  </r>
  <r>
    <s v="KUEHNE+NAGEL PVT. LTD."/>
    <n v="2025"/>
    <d v="2025-04-03T00:00:00"/>
    <x v="1"/>
    <x v="20"/>
    <n v="256779410213"/>
    <s v="USD"/>
    <n v="236"/>
    <s v="INR"/>
    <n v="20513.55"/>
    <s v="Transportation Inbound charges for Jan 2025"/>
  </r>
  <r>
    <s v="KUEHNE+NAGEL PVT. LTD."/>
    <n v="2025"/>
    <d v="2025-04-03T00:00:00"/>
    <x v="1"/>
    <x v="20"/>
    <n v="256779410214"/>
    <s v="USD"/>
    <n v="70.8"/>
    <s v="INR"/>
    <n v="6154.06"/>
    <s v="Empty Cont Out charges for Jan 2025"/>
  </r>
  <r>
    <s v="KUEHNE+NAGEL PVT. LTD."/>
    <n v="2025"/>
    <d v="2025-04-03T00:00:00"/>
    <x v="1"/>
    <x v="20"/>
    <n v="256779410231"/>
    <s v="USD"/>
    <n v="2333.1799999999998"/>
    <s v="INR"/>
    <n v="202804.25"/>
    <s v="Fixed Rental charges for Jan 2025"/>
  </r>
  <r>
    <s v="KUEHNE+NAGEL PVT. LTD."/>
    <n v="2025"/>
    <d v="2025-10-20T00:00:00"/>
    <x v="1"/>
    <x v="21"/>
    <n v="256779418653"/>
    <s v="USD"/>
    <n v="170.68"/>
    <s v="INR"/>
    <n v="15052.4"/>
    <s v="LCL Chgs - 01 - 15 OCT 25"/>
  </r>
  <r>
    <s v="KUEHNE+NAGEL PVT. LTD."/>
    <n v="2025"/>
    <d v="2025-10-20T00:00:00"/>
    <x v="1"/>
    <x v="21"/>
    <n v="256779418692"/>
    <s v="USD"/>
    <n v="531.26"/>
    <s v="INR"/>
    <n v="46852.23"/>
    <s v="Outbound chgs - 01 - 15 Oct 25"/>
  </r>
  <r>
    <s v="KUEHNE+NAGEL PVT. LTD."/>
    <n v="2025"/>
    <d v="2025-04-21T00:00:00"/>
    <x v="1"/>
    <x v="22"/>
    <n v="256779412155"/>
    <s v="USD"/>
    <n v="2330.73"/>
    <s v="INR"/>
    <n v="199999.94"/>
    <s v="Fixed Storage Charges for April 2025"/>
  </r>
  <r>
    <s v="KUEHNE+NAGEL PVT. LTD."/>
    <n v="2025"/>
    <d v="2025-04-21T00:00:00"/>
    <x v="1"/>
    <x v="22"/>
    <n v="256779412184"/>
    <s v="USD"/>
    <n v="93.23"/>
    <s v="INR"/>
    <n v="8000.07"/>
    <s v="Fixed Storage Charges for April 2025"/>
  </r>
  <r>
    <s v="KUEHNE+NAGEL PVT. LTD."/>
    <n v="2025"/>
    <d v="2025-04-21T00:00:00"/>
    <x v="1"/>
    <x v="22"/>
    <n v="256779412185"/>
    <s v="USD"/>
    <n v="51.28"/>
    <s v="INR"/>
    <n v="4400.34"/>
    <s v="Fixed Storage Charges for April 2025"/>
  </r>
  <r>
    <s v="KUEHNE+NAGEL PVT. LTD."/>
    <n v="2025"/>
    <d v="2025-04-21T00:00:00"/>
    <x v="1"/>
    <x v="22"/>
    <n v="256779412189"/>
    <s v="INR"/>
    <n v="262.20999999999998"/>
    <s v="INR"/>
    <n v="262.20999999999998"/>
    <s v="Fixed Storage Charges for April 2025"/>
  </r>
  <r>
    <s v="KUEHNE+NAGEL PVT. LTD."/>
    <n v="2025"/>
    <d v="2025-07-24T00:00:00"/>
    <x v="0"/>
    <x v="23"/>
    <n v="256779421498"/>
    <s v="USD"/>
    <n v="-95.24"/>
    <s v="INR"/>
    <n v="-8190.7"/>
    <s v="Credit note raised against 256779414430"/>
  </r>
  <r>
    <s v="KUEHNE+NAGEL PVT. LTD."/>
    <n v="2025"/>
    <d v="2025-07-24T00:00:00"/>
    <x v="0"/>
    <x v="23"/>
    <n v="256779421512"/>
    <s v="USD"/>
    <n v="-2333.1799999999998"/>
    <s v="INR"/>
    <n v="-200655.04"/>
    <s v="Credit note raised against 256779414445"/>
  </r>
  <r>
    <s v="KUEHNE+NAGEL PVT. LTD."/>
    <n v="2025"/>
    <d v="2025-05-23T00:00:00"/>
    <x v="0"/>
    <x v="24"/>
    <n v="256779421106"/>
    <s v="USD"/>
    <n v="-707.71"/>
    <s v="INR"/>
    <n v="-60851.519999999997"/>
    <s v="Credit Note against 256779413161"/>
  </r>
  <r>
    <s v="KUEHNE+NAGEL PVT. LTD."/>
    <n v="2025"/>
    <d v="2025-05-23T00:00:00"/>
    <x v="0"/>
    <x v="24"/>
    <n v="256779421109"/>
    <s v="USD"/>
    <n v="-3.78"/>
    <s v="INR"/>
    <n v="-325.02"/>
    <s v="Credit Note against 256779413169"/>
  </r>
  <r>
    <s v="KUEHNE+NAGEL PVT. LTD."/>
    <n v="2025"/>
    <d v="2025-05-21T00:00:00"/>
    <x v="1"/>
    <x v="25"/>
    <n v="256779413391"/>
    <s v="USD"/>
    <n v="253.29"/>
    <s v="INR"/>
    <n v="21778.81"/>
    <s v="InKPI-CODC-1-15 May 25-BOE9821502"/>
  </r>
  <r>
    <s v="KUEHNE+NAGEL PVT. LTD."/>
    <n v="2025"/>
    <d v="2025-05-21T00:00:00"/>
    <x v="1"/>
    <x v="25"/>
    <n v="256779413392"/>
    <s v="USD"/>
    <n v="218.17"/>
    <s v="INR"/>
    <n v="18759.060000000001"/>
    <s v="InKPI-CODC-1-15 May 25-BOE9821502"/>
  </r>
  <r>
    <s v="KUEHNE+NAGEL PVT. LTD."/>
    <n v="2025"/>
    <d v="2025-05-21T00:00:00"/>
    <x v="1"/>
    <x v="25"/>
    <n v="256779413393"/>
    <s v="USD"/>
    <n v="229.87"/>
    <s v="INR"/>
    <n v="19765.07"/>
    <s v="InKPI-CODC-1-15 May 25-BOE9821502"/>
  </r>
  <r>
    <s v="KUEHNE+NAGEL PVT. LTD."/>
    <n v="2025"/>
    <d v="2025-05-21T00:00:00"/>
    <x v="1"/>
    <x v="25"/>
    <n v="256779413394"/>
    <s v="USD"/>
    <n v="218.17"/>
    <s v="INR"/>
    <n v="18759.060000000001"/>
    <s v="InKPI-CODC-1-15 May 25-BOE9821502"/>
  </r>
  <r>
    <s v="KUEHNE+NAGEL PVT. LTD."/>
    <n v="2025"/>
    <d v="2025-05-21T00:00:00"/>
    <x v="1"/>
    <x v="25"/>
    <n v="256779413395"/>
    <s v="USD"/>
    <n v="264.98"/>
    <s v="INR"/>
    <n v="22783.96"/>
    <s v="InKPI-CODC-1-15 May 25-BOE9921502"/>
  </r>
  <r>
    <s v="KUEHNE+NAGEL PVT. LTD."/>
    <n v="2025"/>
    <d v="2025-05-21T00:00:00"/>
    <x v="1"/>
    <x v="25"/>
    <n v="256779413396"/>
    <s v="USD"/>
    <n v="218.17"/>
    <s v="INR"/>
    <n v="18759.060000000001"/>
    <s v="InKPI-CODC-1-15 May 25-BOE9921502"/>
  </r>
  <r>
    <s v="KUEHNE+NAGEL PVT. LTD."/>
    <n v="2025"/>
    <d v="2025-05-21T00:00:00"/>
    <x v="1"/>
    <x v="25"/>
    <n v="256779413397"/>
    <s v="USD"/>
    <n v="229.87"/>
    <s v="INR"/>
    <n v="19765.07"/>
    <s v="InKPI-CODC-1-15 May 25-BOE9921502"/>
  </r>
  <r>
    <s v="KUEHNE+NAGEL PVT. LTD."/>
    <n v="2025"/>
    <d v="2025-05-21T00:00:00"/>
    <x v="1"/>
    <x v="25"/>
    <n v="256779413398"/>
    <s v="USD"/>
    <n v="218.17"/>
    <s v="INR"/>
    <n v="18759.060000000001"/>
    <s v="InKPI-CODC-1-15 May 25-BOE9921502"/>
  </r>
  <r>
    <s v="KUEHNE+NAGEL PVT. LTD."/>
    <n v="2025"/>
    <d v="2025-05-21T00:00:00"/>
    <x v="1"/>
    <x v="25"/>
    <n v="256779413399"/>
    <s v="USD"/>
    <n v="229.87"/>
    <s v="INR"/>
    <n v="19765.07"/>
    <s v="InKPI-CODC-1-15 May 25-BOE9921502"/>
  </r>
  <r>
    <s v="KUEHNE+NAGEL PVT. LTD."/>
    <n v="2025"/>
    <d v="2025-05-21T00:00:00"/>
    <x v="1"/>
    <x v="25"/>
    <n v="256779413400"/>
    <s v="USD"/>
    <n v="218.17"/>
    <s v="INR"/>
    <n v="18759.060000000001"/>
    <s v="InKPI-CODC-1-15 May 25-BOE9921502"/>
  </r>
  <r>
    <s v="KUEHNE+NAGEL PVT. LTD."/>
    <n v="2025"/>
    <d v="2025-05-21T00:00:00"/>
    <x v="1"/>
    <x v="25"/>
    <n v="256779413401"/>
    <s v="USD"/>
    <n v="229.87"/>
    <s v="INR"/>
    <n v="19765.07"/>
    <s v="InKPI-CODC-1-15 May 25-BOE9921502"/>
  </r>
  <r>
    <s v="KUEHNE+NAGEL PVT. LTD."/>
    <n v="2025"/>
    <d v="2025-05-21T00:00:00"/>
    <x v="1"/>
    <x v="25"/>
    <n v="256779413402"/>
    <s v="USD"/>
    <n v="229.87"/>
    <s v="INR"/>
    <n v="19765.07"/>
    <s v="InKPI-CODC-1-15 May 25-BOE9921502"/>
  </r>
  <r>
    <s v="KUEHNE+NAGEL PVT. LTD."/>
    <n v="2025"/>
    <d v="2025-05-21T00:00:00"/>
    <x v="1"/>
    <x v="25"/>
    <n v="256779413403"/>
    <s v="USD"/>
    <n v="402.88"/>
    <s v="INR"/>
    <n v="34641.11"/>
    <s v="InKPI-CODC-1-15 May 25-BOE9918629"/>
  </r>
  <r>
    <s v="KUEHNE+NAGEL PVT. LTD."/>
    <n v="2025"/>
    <d v="2025-08-21T00:00:00"/>
    <x v="0"/>
    <x v="26"/>
    <n v="256779421698"/>
    <s v="USD"/>
    <n v="-30"/>
    <s v="INR"/>
    <n v="-2580.9"/>
    <s v="CN ISSUED TOWARDS BILL NO.256779415304"/>
  </r>
  <r>
    <s v="KUEHNE+NAGEL PVT. LTD."/>
    <n v="2025"/>
    <d v="2025-08-21T00:00:00"/>
    <x v="0"/>
    <x v="26"/>
    <n v="256779421699"/>
    <s v="USD"/>
    <n v="-30"/>
    <s v="INR"/>
    <n v="-2580.9"/>
    <s v="CN ISSUED TOWARDS BILL NO.256779415305"/>
  </r>
  <r>
    <s v="KUEHNE+NAGEL PVT. LTD."/>
    <n v="2025"/>
    <d v="2025-08-21T00:00:00"/>
    <x v="0"/>
    <x v="26"/>
    <n v="256779421700"/>
    <s v="USD"/>
    <n v="-30"/>
    <s v="INR"/>
    <n v="-2580.9"/>
    <s v="CN ISSUED TOWARDS BILL NO.256779415306"/>
  </r>
  <r>
    <s v="KUEHNE+NAGEL PVT. LTD."/>
    <n v="2025"/>
    <d v="2025-08-21T00:00:00"/>
    <x v="0"/>
    <x v="26"/>
    <n v="256779421701"/>
    <s v="USD"/>
    <n v="-30"/>
    <s v="INR"/>
    <n v="-2580.9"/>
    <s v="CN ISSUED TOWARDS BILL NO.256779415307"/>
  </r>
  <r>
    <s v="KUEHNE+NAGEL PVT. LTD."/>
    <n v="2025"/>
    <d v="2025-08-21T00:00:00"/>
    <x v="0"/>
    <x v="26"/>
    <n v="256779421702"/>
    <s v="USD"/>
    <n v="-30"/>
    <s v="INR"/>
    <n v="-2580.9"/>
    <s v="CN ISSUED TOWARDS BILL NO.256779415308"/>
  </r>
  <r>
    <s v="KUEHNE+NAGEL PVT. LTD."/>
    <n v="2025"/>
    <d v="2025-08-21T00:00:00"/>
    <x v="0"/>
    <x v="26"/>
    <n v="256779421703"/>
    <s v="USD"/>
    <n v="-27.39"/>
    <s v="INR"/>
    <n v="-2356.36"/>
    <s v="CN ISSUED TOWARDS BILL NO.256779415339"/>
  </r>
  <r>
    <s v="KUEHNE+NAGEL PVT. LTD."/>
    <n v="2025"/>
    <d v="2025-08-21T00:00:00"/>
    <x v="0"/>
    <x v="26"/>
    <n v="256779421705"/>
    <s v="USD"/>
    <n v="-212.5"/>
    <s v="INR"/>
    <n v="-18281.400000000001"/>
    <s v="CN ISSUED TOWARDS BILL NO.256779415321"/>
  </r>
  <r>
    <s v="KUEHNE+NAGEL PVT. LTD."/>
    <n v="2025"/>
    <d v="2025-08-21T00:00:00"/>
    <x v="0"/>
    <x v="26"/>
    <n v="256779421706"/>
    <s v="USD"/>
    <n v="-362.02"/>
    <s v="INR"/>
    <n v="-31144.62"/>
    <s v="CN ISSUED TOWARDS BILL NO.256779415374"/>
  </r>
  <r>
    <s v="KUEHNE+NAGEL PVT. LTD."/>
    <n v="2025"/>
    <d v="2025-08-21T00:00:00"/>
    <x v="0"/>
    <x v="26"/>
    <n v="256779421707"/>
    <s v="USD"/>
    <n v="-228.75"/>
    <s v="INR"/>
    <n v="-19679.39"/>
    <s v="CN ISSUED TOWARDS BILL NO.246779414662"/>
  </r>
  <r>
    <s v="KUEHNE+NAGEL PVT. LTD."/>
    <n v="2025"/>
    <d v="2025-08-21T00:00:00"/>
    <x v="0"/>
    <x v="26"/>
    <n v="256779421708"/>
    <s v="USD"/>
    <n v="-281.5"/>
    <s v="INR"/>
    <n v="-24217.48"/>
    <s v="CN ISSUED TOWARDS BILL NO.256779415365"/>
  </r>
  <r>
    <s v="KUEHNE+NAGEL PVT. LTD."/>
    <n v="2025"/>
    <d v="2025-04-24T00:00:00"/>
    <x v="1"/>
    <x v="27"/>
    <n v="256779412776"/>
    <s v="USD"/>
    <n v="632.46"/>
    <s v="INR"/>
    <n v="54974.57"/>
    <s v="VAS 1-15 April-25,Ex.Rate-85.69"/>
  </r>
  <r>
    <s v="KUEHNE+NAGEL PVT. LTD."/>
    <n v="2025"/>
    <d v="2025-06-18T00:00:00"/>
    <x v="1"/>
    <x v="28"/>
    <n v="256779414431"/>
    <s v="USD"/>
    <n v="52.38"/>
    <s v="INR"/>
    <n v="4478.01"/>
    <s v="Utility charge- Electricity for Nov 2024"/>
  </r>
  <r>
    <s v="KUEHNE+NAGEL PVT. LTD."/>
    <n v="2025"/>
    <d v="2025-06-18T00:00:00"/>
    <x v="1"/>
    <x v="28"/>
    <n v="256779414430"/>
    <s v="USD"/>
    <n v="95.24"/>
    <s v="INR"/>
    <n v="8142.14"/>
    <s v="Office space charges for Nov 2024"/>
  </r>
  <r>
    <s v="KUEHNE+NAGEL PVT. LTD."/>
    <n v="2025"/>
    <d v="2025-06-18T00:00:00"/>
    <x v="1"/>
    <x v="28"/>
    <n v="256779414445"/>
    <s v="USD"/>
    <n v="2333.1799999999998"/>
    <s v="INR"/>
    <n v="199465.38"/>
    <s v="Fixed Rental charges for Jan 2025"/>
  </r>
  <r>
    <s v="KUEHNE+NAGEL PVT. LTD."/>
    <n v="2025"/>
    <d v="2025-10-21T00:00:00"/>
    <x v="1"/>
    <x v="29"/>
    <n v="256779418474"/>
    <s v="USD"/>
    <n v="562.38"/>
    <s v="INR"/>
    <n v="49596.73"/>
    <s v="VAS  -1-15 Oct 2025"/>
  </r>
  <r>
    <s v="KUEHNE+NAGEL PVT. LTD."/>
    <n v="2025"/>
    <d v="2025-10-21T00:00:00"/>
    <x v="1"/>
    <x v="29"/>
    <n v="256779418480"/>
    <s v="USD"/>
    <n v="13.59"/>
    <s v="INR"/>
    <n v="1198.51"/>
    <s v="Weighment  -1-15 Oct 2025"/>
  </r>
  <r>
    <s v="KUEHNE+NAGEL PVT. LTD."/>
    <n v="2025"/>
    <d v="2025-10-21T00:00:00"/>
    <x v="1"/>
    <x v="29"/>
    <n v="256779418489"/>
    <s v="USD"/>
    <n v="562.38"/>
    <s v="INR"/>
    <n v="49596.73"/>
    <s v="VAS  -1-15 Oct 2025"/>
  </r>
  <r>
    <s v="KUEHNE+NAGEL PVT. LTD."/>
    <n v="2025"/>
    <d v="2025-10-21T00:00:00"/>
    <x v="1"/>
    <x v="29"/>
    <n v="256779418495"/>
    <s v="USD"/>
    <n v="13.59"/>
    <s v="INR"/>
    <n v="1198.51"/>
    <s v="Weighment  -1-15 Oct 2025"/>
  </r>
  <r>
    <s v="KUEHNE+NAGEL PVT. LTD."/>
    <n v="2025"/>
    <d v="2025-03-19T00:00:00"/>
    <x v="1"/>
    <x v="30"/>
    <n v="246779412994"/>
    <s v="USD"/>
    <n v="2297.27"/>
    <s v="INR"/>
    <n v="199153.23"/>
    <s v="Fixed Storage Charges for Mar 2025"/>
  </r>
  <r>
    <s v="KUEHNE+NAGEL PVT. LTD."/>
    <n v="2025"/>
    <d v="2025-03-19T00:00:00"/>
    <x v="1"/>
    <x v="30"/>
    <n v="246779413023"/>
    <s v="USD"/>
    <n v="91.89"/>
    <s v="INR"/>
    <n v="7966.06"/>
    <s v="Fixed Storage Charges for Mar 2025"/>
  </r>
  <r>
    <s v="KUEHNE+NAGEL PVT. LTD."/>
    <n v="2025"/>
    <d v="2025-03-19T00:00:00"/>
    <x v="1"/>
    <x v="30"/>
    <n v="246779413024"/>
    <s v="USD"/>
    <n v="50.54"/>
    <s v="INR"/>
    <n v="4381.38"/>
    <s v="Fixed Storage Charges for Mar 2025"/>
  </r>
  <r>
    <s v="KUEHNE+NAGEL PVT. LTD."/>
    <n v="2025"/>
    <d v="2025-03-19T00:00:00"/>
    <x v="1"/>
    <x v="30"/>
    <n v="246779413202"/>
    <s v="USD"/>
    <n v="39.06"/>
    <s v="INR"/>
    <n v="3386.16"/>
    <s v="CAAU8009071-Port SSR Shifting Jan 2025. Exch rate"/>
  </r>
  <r>
    <s v="KUEHNE+NAGEL PVT. LTD."/>
    <n v="2025"/>
    <d v="2025-03-19T00:00:00"/>
    <x v="1"/>
    <x v="30"/>
    <n v="246779413317"/>
    <s v="USD"/>
    <n v="20.100000000000001"/>
    <s v="INR"/>
    <n v="1742.49"/>
    <s v="WHSU5159898-Port SSR Storage Feb 2025. Exch rate -"/>
  </r>
  <r>
    <s v="KUEHNE+NAGEL PVT. LTD."/>
    <n v="2025"/>
    <d v="2025-06-19T00:00:00"/>
    <x v="1"/>
    <x v="31"/>
    <n v="256779414741"/>
    <s v="USD"/>
    <n v="579.79"/>
    <s v="INR"/>
    <n v="49566.7"/>
    <s v="VAS 1-15 June 25, Exch 86.10"/>
  </r>
  <r>
    <s v="KUEHNE+NAGEL PVT. LTD."/>
    <n v="2025"/>
    <d v="2025-11-20T00:00:00"/>
    <x v="1"/>
    <x v="32"/>
    <n v="256779419620"/>
    <s v="USD"/>
    <n v="102.39"/>
    <s v="INR"/>
    <n v="9010.67"/>
    <s v="Outbound chgs - 01 - 15 Nov 25"/>
  </r>
  <r>
    <s v="KUEHNE+NAGEL PVT. LTD."/>
    <n v="2025"/>
    <d v="2025-11-20T00:00:00"/>
    <x v="1"/>
    <x v="32"/>
    <n v="256779419531"/>
    <s v="USD"/>
    <n v="417.77"/>
    <s v="INR"/>
    <n v="36765.18"/>
    <s v="CODC LCL Chgs -1-15 Nov 25"/>
  </r>
  <r>
    <s v="KUEHNE+NAGEL PVT. LTD."/>
    <n v="2025"/>
    <d v="2025-11-20T00:00:00"/>
    <x v="1"/>
    <x v="32"/>
    <n v="256779419542"/>
    <s v="USD"/>
    <n v="409.4"/>
    <s v="INR"/>
    <n v="36028.589999999997"/>
    <s v="CODC Out chgs -1-15 Nov 25"/>
  </r>
  <r>
    <s v="KUEHNE+NAGEL PVT. LTD."/>
    <n v="2025"/>
    <d v="2025-11-20T00:00:00"/>
    <x v="1"/>
    <x v="32"/>
    <n v="256779419581"/>
    <s v="USD"/>
    <n v="156.19999999999999"/>
    <s v="INR"/>
    <n v="13746.13"/>
    <s v="LCL Chgs - 01 - 15 NOV 25"/>
  </r>
  <r>
    <s v="KUEHNE+NAGEL PVT. LTD."/>
    <n v="2025"/>
    <d v="2025-04-22T00:00:00"/>
    <x v="1"/>
    <x v="33"/>
    <n v="256779412524"/>
    <s v="USD"/>
    <n v="36.5"/>
    <s v="INR"/>
    <n v="3172.65"/>
    <s v="Inbound Handling charges for Feb 2025"/>
  </r>
  <r>
    <s v="KUEHNE+NAGEL PVT. LTD."/>
    <n v="2025"/>
    <d v="2025-04-22T00:00:00"/>
    <x v="1"/>
    <x v="33"/>
    <n v="256779412529"/>
    <s v="USD"/>
    <n v="29.57"/>
    <s v="INR"/>
    <n v="2570.2800000000002"/>
    <s v="Inbound Handling charges for Feb 2025"/>
  </r>
  <r>
    <s v="KUEHNE+NAGEL PVT. LTD."/>
    <n v="2025"/>
    <d v="2025-04-22T00:00:00"/>
    <x v="1"/>
    <x v="33"/>
    <n v="256779412536"/>
    <s v="USD"/>
    <n v="37.020000000000003"/>
    <s v="INR"/>
    <n v="3217.85"/>
    <s v="Inbound Handling charges for Feb 2025"/>
  </r>
  <r>
    <s v="KUEHNE+NAGEL PVT. LTD."/>
    <n v="2025"/>
    <d v="2025-04-22T00:00:00"/>
    <x v="1"/>
    <x v="33"/>
    <n v="256779412537"/>
    <s v="USD"/>
    <n v="407.58"/>
    <s v="INR"/>
    <n v="35427.599999999999"/>
    <s v="Inbound Handling charges for Feb 2025"/>
  </r>
  <r>
    <s v="KUEHNE+NAGEL PVT. LTD."/>
    <n v="2025"/>
    <d v="2025-04-22T00:00:00"/>
    <x v="1"/>
    <x v="33"/>
    <n v="256779412562"/>
    <s v="USD"/>
    <n v="54.65"/>
    <s v="INR"/>
    <n v="4750.28"/>
    <s v="Inbound Handling charges for Feb 2025"/>
  </r>
  <r>
    <s v="KUEHNE+NAGEL PVT. LTD."/>
    <n v="2025"/>
    <d v="2025-04-22T00:00:00"/>
    <x v="1"/>
    <x v="33"/>
    <n v="256779412563"/>
    <s v="USD"/>
    <n v="27"/>
    <s v="INR"/>
    <n v="2346.89"/>
    <s v="Inbound Handling charges for Feb 2025"/>
  </r>
  <r>
    <s v="KUEHNE+NAGEL PVT. LTD."/>
    <n v="2025"/>
    <d v="2025-04-22T00:00:00"/>
    <x v="1"/>
    <x v="33"/>
    <n v="256779412564"/>
    <s v="USD"/>
    <n v="55.2"/>
    <s v="INR"/>
    <n v="4798.08"/>
    <s v="Inbound Handling charges for Feb 2025"/>
  </r>
  <r>
    <s v="KUEHNE+NAGEL PVT. LTD."/>
    <n v="2025"/>
    <d v="2025-04-22T00:00:00"/>
    <x v="1"/>
    <x v="33"/>
    <n v="256779412570"/>
    <s v="USD"/>
    <n v="43.38"/>
    <s v="INR"/>
    <n v="3770.67"/>
    <s v="Inbound Handling charges for Feb 2025"/>
  </r>
  <r>
    <s v="KUEHNE+NAGEL PVT. LTD."/>
    <n v="2025"/>
    <d v="2025-04-22T00:00:00"/>
    <x v="1"/>
    <x v="33"/>
    <n v="256779412576"/>
    <s v="USD"/>
    <n v="46"/>
    <s v="INR"/>
    <n v="3998.4"/>
    <s v="Inbound Handling charges for Feb 2025"/>
  </r>
  <r>
    <s v="KUEHNE+NAGEL PVT. LTD."/>
    <n v="2025"/>
    <d v="2025-04-22T00:00:00"/>
    <x v="1"/>
    <x v="33"/>
    <n v="256779412577"/>
    <s v="USD"/>
    <n v="46"/>
    <s v="INR"/>
    <n v="3998.4"/>
    <s v="Inbound Handling charges for Feb 2025"/>
  </r>
  <r>
    <s v="KUEHNE+NAGEL PVT. LTD."/>
    <n v="2025"/>
    <d v="2025-04-22T00:00:00"/>
    <x v="1"/>
    <x v="33"/>
    <n v="256779412579"/>
    <s v="USD"/>
    <n v="57.6"/>
    <s v="INR"/>
    <n v="5006.7"/>
    <s v="Inbound Handling charges for Feb 2025"/>
  </r>
  <r>
    <s v="KUEHNE+NAGEL PVT. LTD."/>
    <n v="2025"/>
    <d v="2025-04-22T00:00:00"/>
    <x v="1"/>
    <x v="33"/>
    <n v="256779412580"/>
    <s v="USD"/>
    <n v="40.5"/>
    <s v="INR"/>
    <n v="3520.33"/>
    <s v="Inbound Handling charges for Feb 2025"/>
  </r>
  <r>
    <s v="KUEHNE+NAGEL PVT. LTD."/>
    <n v="2025"/>
    <d v="2025-04-22T00:00:00"/>
    <x v="1"/>
    <x v="33"/>
    <n v="256779412581"/>
    <s v="USD"/>
    <n v="51.5"/>
    <s v="INR"/>
    <n v="4476.47"/>
    <s v="Inbound Handling charges for Feb 2025"/>
  </r>
  <r>
    <s v="KUEHNE+NAGEL PVT. LTD."/>
    <n v="2025"/>
    <d v="2025-04-22T00:00:00"/>
    <x v="1"/>
    <x v="33"/>
    <n v="256779412583"/>
    <s v="USD"/>
    <n v="51.75"/>
    <s v="INR"/>
    <n v="4498.2"/>
    <s v="Inbound Handling charges for Feb 2025"/>
  </r>
  <r>
    <s v="KUEHNE+NAGEL PVT. LTD."/>
    <n v="2025"/>
    <d v="2025-04-22T00:00:00"/>
    <x v="1"/>
    <x v="33"/>
    <n v="256779412585"/>
    <s v="USD"/>
    <n v="48.75"/>
    <s v="INR"/>
    <n v="4237.4399999999996"/>
    <s v="Inbound Handling charges for Feb 2025"/>
  </r>
  <r>
    <s v="KUEHNE+NAGEL PVT. LTD."/>
    <n v="2025"/>
    <d v="2025-04-22T00:00:00"/>
    <x v="1"/>
    <x v="33"/>
    <n v="256779412586"/>
    <s v="USD"/>
    <n v="51.5"/>
    <s v="INR"/>
    <n v="4476.47"/>
    <s v="Inbound Handling charges for Feb 2025"/>
  </r>
  <r>
    <s v="KUEHNE+NAGEL PVT. LTD."/>
    <n v="2025"/>
    <d v="2025-04-22T00:00:00"/>
    <x v="1"/>
    <x v="33"/>
    <n v="256779412609"/>
    <s v="USD"/>
    <n v="700.06"/>
    <s v="INR"/>
    <n v="60850.49"/>
    <s v="Inbound Handling charges for 31 Mar 2025"/>
  </r>
  <r>
    <s v="KUEHNE+NAGEL PVT. LTD."/>
    <n v="2025"/>
    <d v="2025-04-22T00:00:00"/>
    <x v="1"/>
    <x v="33"/>
    <n v="256779412649"/>
    <s v="USD"/>
    <n v="79.650000000000006"/>
    <s v="INR"/>
    <n v="6923.32"/>
    <s v="Outbound Handling charges for 31 Mar 25"/>
  </r>
  <r>
    <s v="KUEHNE+NAGEL PVT. LTD."/>
    <n v="2025"/>
    <d v="2025-09-18T00:00:00"/>
    <x v="1"/>
    <x v="34"/>
    <n v="256779417517"/>
    <s v="USD"/>
    <n v="4.68"/>
    <s v="INR"/>
    <n v="409.57"/>
    <s v="Outbound chgs - 01 - 15 Sep 25"/>
  </r>
  <r>
    <s v="KUEHNE+NAGEL PVT. LTD."/>
    <n v="2025"/>
    <d v="2025-09-18T00:00:00"/>
    <x v="1"/>
    <x v="34"/>
    <n v="256779417557"/>
    <s v="USD"/>
    <n v="725.96"/>
    <s v="INR"/>
    <n v="63531.9"/>
    <s v="LCL Chgs - 01 - 15 SEP 25"/>
  </r>
  <r>
    <s v="KUEHNE+NAGEL PVT. LTD."/>
    <n v="2025"/>
    <d v="2025-09-18T00:00:00"/>
    <x v="1"/>
    <x v="34"/>
    <n v="256779417580"/>
    <s v="USD"/>
    <n v="184.38"/>
    <s v="INR"/>
    <n v="16135.89"/>
    <s v="CODC Inbound chgs - 1-15  Sep  25"/>
  </r>
  <r>
    <s v="KUEHNE+NAGEL PVT. LTD."/>
    <n v="2025"/>
    <d v="2025-09-18T00:00:00"/>
    <x v="1"/>
    <x v="34"/>
    <n v="256779417597"/>
    <s v="USD"/>
    <n v="1055.04"/>
    <s v="INR"/>
    <n v="92331.12"/>
    <s v="CODC Out chgs -1-15 Sep 25"/>
  </r>
  <r>
    <s v="KUEHNE+NAGEL PVT. LTD."/>
    <n v="2025"/>
    <d v="2025-12-05T00:00:00"/>
    <x v="1"/>
    <x v="35"/>
    <n v="256779419808"/>
    <s v="USD"/>
    <n v="27.95"/>
    <s v="INR"/>
    <n v="2479.17"/>
    <s v="Internet Activity Chgs - Nov 25"/>
  </r>
  <r>
    <s v="KUEHNE+NAGEL PVT. LTD."/>
    <n v="2025"/>
    <d v="2025-12-05T00:00:00"/>
    <x v="1"/>
    <x v="35"/>
    <n v="256779419908"/>
    <s v="USD"/>
    <n v="375.94"/>
    <s v="INR"/>
    <n v="33345.93"/>
    <s v="Outbound chgs - 16 - 30 Nov 25"/>
  </r>
  <r>
    <s v="KUEHNE+NAGEL PVT. LTD."/>
    <n v="2025"/>
    <d v="2025-05-22T00:00:00"/>
    <x v="0"/>
    <x v="36"/>
    <n v="256779420844"/>
    <s v="INR"/>
    <n v="-262.20999999999998"/>
    <s v="INR"/>
    <n v="-262.20999999999998"/>
    <s v="Credit Note against 256779412140"/>
  </r>
  <r>
    <s v="KUEHNE+NAGEL PVT. LTD."/>
    <n v="2025"/>
    <d v="2025-05-22T00:00:00"/>
    <x v="0"/>
    <x v="36"/>
    <n v="256779420845"/>
    <s v="USD"/>
    <n v="-466.37"/>
    <s v="INR"/>
    <n v="-40430.199999999997"/>
    <s v="Credit Note against 246779413076"/>
  </r>
  <r>
    <s v="KUEHNE+NAGEL PVT. LTD."/>
    <n v="2025"/>
    <d v="2025-09-22T00:00:00"/>
    <x v="1"/>
    <x v="37"/>
    <n v="256779417744"/>
    <s v="USD"/>
    <n v="870"/>
    <s v="INR"/>
    <n v="76137.47"/>
    <s v="Transportation IN Chargs"/>
  </r>
  <r>
    <s v="KUEHNE+NAGEL PVT. LTD."/>
    <n v="2025"/>
    <d v="2025-09-22T00:00:00"/>
    <x v="1"/>
    <x v="37"/>
    <n v="256779417801"/>
    <s v="USD"/>
    <n v="4755.47"/>
    <s v="INR"/>
    <n v="416171.77"/>
    <s v="Unit - Storage - Aug 25"/>
  </r>
  <r>
    <s v="KUEHNE+NAGEL PVT. LTD."/>
    <n v="2025"/>
    <d v="2025-04-23T00:00:00"/>
    <x v="1"/>
    <x v="38"/>
    <n v="256779412884"/>
    <s v="USD"/>
    <n v="136.08000000000001"/>
    <s v="INR"/>
    <n v="11828.32"/>
    <s v="LCL Chgs - 01 - 15 Apr 25"/>
  </r>
  <r>
    <s v="KUEHNE+NAGEL PVT. LTD."/>
    <n v="2025"/>
    <d v="2025-04-23T00:00:00"/>
    <x v="1"/>
    <x v="38"/>
    <n v="256779412918"/>
    <s v="USD"/>
    <n v="183.35"/>
    <s v="INR"/>
    <n v="15937.12"/>
    <s v="Outbound chgs - 01 - 15 Apr 25"/>
  </r>
  <r>
    <s v="KUEHNE+NAGEL PVT. LTD."/>
    <n v="2025"/>
    <d v="2025-04-23T00:00:00"/>
    <x v="1"/>
    <x v="38"/>
    <n v="256779412948"/>
    <s v="USD"/>
    <n v="3.1"/>
    <s v="INR"/>
    <n v="269.45999999999998"/>
    <s v="Outbound chgs - 01 - 15 Apr 25"/>
  </r>
  <r>
    <s v="KUEHNE+NAGEL PVT. LTD."/>
    <n v="2025"/>
    <d v="2025-03-21T00:00:00"/>
    <x v="1"/>
    <x v="39"/>
    <n v="246779414296"/>
    <s v="USD"/>
    <n v="553.87"/>
    <s v="INR"/>
    <n v="48015.69"/>
    <s v="Inbound Handling charges for Oct 2024"/>
  </r>
  <r>
    <s v="KUEHNE+NAGEL PVT. LTD."/>
    <n v="2025"/>
    <d v="2025-03-21T00:00:00"/>
    <x v="1"/>
    <x v="39"/>
    <n v="246779414297"/>
    <s v="USD"/>
    <n v="424.8"/>
    <s v="INR"/>
    <n v="36826.449999999997"/>
    <s v="LCL Movement Charges for Oct 2024"/>
  </r>
  <r>
    <s v="KUEHNE+NAGEL PVT. LTD."/>
    <n v="2025"/>
    <d v="2025-03-21T00:00:00"/>
    <x v="1"/>
    <x v="39"/>
    <n v="246779414298"/>
    <s v="USD"/>
    <n v="70.8"/>
    <s v="INR"/>
    <n v="6137.74"/>
    <s v="CY-MOVEMENT CHARGES for Oct 2024"/>
  </r>
  <r>
    <s v="KUEHNE+NAGEL PVT. LTD."/>
    <n v="2025"/>
    <d v="2025-06-02T00:00:00"/>
    <x v="1"/>
    <x v="40"/>
    <n v="256779413931"/>
    <s v="USD"/>
    <n v="395.23"/>
    <s v="INR"/>
    <n v="33788.519999999997"/>
    <s v="Port SSR Charges - Shifting for Aug to D"/>
  </r>
  <r>
    <s v="KUEHNE+NAGEL PVT. LTD."/>
    <n v="2025"/>
    <d v="2025-06-02T00:00:00"/>
    <x v="1"/>
    <x v="40"/>
    <n v="256779413972"/>
    <s v="INR"/>
    <n v="262.20999999999998"/>
    <s v="INR"/>
    <n v="262.20999999999998"/>
    <s v="Fixed Internet Charges for April,2025"/>
  </r>
  <r>
    <s v="KUEHNE+NAGEL PVT. LTD."/>
    <n v="2025"/>
    <d v="2025-10-07T00:00:00"/>
    <x v="1"/>
    <x v="41"/>
    <n v="256779418176"/>
    <s v="USD"/>
    <n v="639.04999999999995"/>
    <s v="INR"/>
    <n v="56358.31"/>
    <s v="VAS-16-30 Sept 25"/>
  </r>
  <r>
    <s v="KUEHNE+NAGEL PVT. LTD."/>
    <n v="2025"/>
    <d v="2025-10-07T00:00:00"/>
    <x v="1"/>
    <x v="41"/>
    <n v="256779418185"/>
    <s v="USD"/>
    <n v="405.44"/>
    <s v="INR"/>
    <n v="35756.07"/>
    <s v="Weighment-16-30 Sept 25"/>
  </r>
  <r>
    <s v="KUEHNE+NAGEL PVT. LTD."/>
    <n v="2025"/>
    <d v="2025-07-19T00:00:00"/>
    <x v="1"/>
    <x v="42"/>
    <n v="256779415769"/>
    <s v="USD"/>
    <n v="234.91"/>
    <s v="INR"/>
    <n v="20202.419999999998"/>
    <s v="VAS - 1-15 July 25"/>
  </r>
  <r>
    <s v="KUEHNE+NAGEL PVT. LTD."/>
    <n v="2025"/>
    <d v="2025-05-10T00:00:00"/>
    <x v="1"/>
    <x v="43"/>
    <n v="256779413240"/>
    <s v="USD"/>
    <n v="424.03"/>
    <s v="INR"/>
    <n v="36459.67"/>
    <s v="VAS - 16-30 April 25, Ex.Rate-85.05"/>
  </r>
  <r>
    <s v="KUEHNE+NAGEL PVT. LTD."/>
    <n v="2025"/>
    <d v="2025-05-10T00:00:00"/>
    <x v="1"/>
    <x v="43"/>
    <n v="256779413250"/>
    <s v="USD"/>
    <n v="423.28"/>
    <s v="INR"/>
    <n v="36395.18"/>
    <s v="Weighment-16-30 April25, Ex.Rate-85.05"/>
  </r>
  <r>
    <s v="KUEHNE+NAGEL PVT. LTD."/>
    <n v="2025"/>
    <d v="2025-05-10T00:00:00"/>
    <x v="1"/>
    <x v="43"/>
    <n v="256779413161"/>
    <s v="USD"/>
    <n v="707.71"/>
    <s v="INR"/>
    <n v="60851.519999999997"/>
    <s v="CODC Inbound chgs - 16 - 30 Apr 25"/>
  </r>
  <r>
    <s v="KUEHNE+NAGEL PVT. LTD."/>
    <n v="2025"/>
    <d v="2025-05-10T00:00:00"/>
    <x v="1"/>
    <x v="43"/>
    <n v="256779413169"/>
    <s v="USD"/>
    <n v="3.78"/>
    <s v="INR"/>
    <n v="325.02"/>
    <s v="CODC Out chgs - 16 - 30 Apr 25"/>
  </r>
  <r>
    <s v="KUEHNE+NAGEL PVT. LTD."/>
    <n v="2025"/>
    <d v="2025-12-06T00:00:00"/>
    <x v="1"/>
    <x v="44"/>
    <n v="256779419983"/>
    <s v="USD"/>
    <n v="55.63"/>
    <s v="INR"/>
    <n v="4934.3900000000003"/>
    <s v="PORT SSR Chgs Nov 25"/>
  </r>
  <r>
    <s v="KUEHNE+NAGEL PVT. LTD."/>
    <n v="2025"/>
    <d v="2025-10-18T00:00:00"/>
    <x v="1"/>
    <x v="45"/>
    <n v="256779418424"/>
    <s v="USD"/>
    <n v="1334.62"/>
    <s v="INR"/>
    <n v="117701.17"/>
    <s v="CODC Inbound chgs - 1-15 Oct 25"/>
  </r>
  <r>
    <s v="KUEHNE+NAGEL PVT. LTD."/>
    <n v="2025"/>
    <d v="2025-10-18T00:00:00"/>
    <x v="1"/>
    <x v="45"/>
    <n v="256779418433"/>
    <s v="USD"/>
    <n v="351.43"/>
    <s v="INR"/>
    <n v="30992.880000000001"/>
    <s v="CODC Out chgs -1-15 Oct 25"/>
  </r>
  <r>
    <s v="KUEHNE+NAGEL PVT. LTD."/>
    <n v="2025"/>
    <d v="2025-06-07T00:00:00"/>
    <x v="1"/>
    <x v="46"/>
    <n v="256779414253"/>
    <s v="USD"/>
    <n v="9947.26"/>
    <s v="INR"/>
    <n v="850399.02"/>
    <s v="Unit storage -1-31 May 25"/>
  </r>
  <r>
    <s v="KUEHNE+NAGEL PVT. LTD."/>
    <n v="2025"/>
    <d v="2025-10-06T00:00:00"/>
    <x v="1"/>
    <x v="47"/>
    <n v="256779418006"/>
    <s v="USD"/>
    <n v="4667.07"/>
    <s v="INR"/>
    <n v="411592.5"/>
    <s v="Unit Storage - 1-30 Sept 2025"/>
  </r>
  <r>
    <s v="KUEHNE+NAGEL PVT. LTD."/>
    <n v="2025"/>
    <d v="2025-10-05T00:00:00"/>
    <x v="1"/>
    <x v="48"/>
    <n v="256779417892"/>
    <s v="USD"/>
    <n v="58.45"/>
    <s v="INR"/>
    <n v="5154.75"/>
    <s v="Empty Lolo Chgs - 01 - 30 SEP 25"/>
  </r>
  <r>
    <s v="KUEHNE+NAGEL PVT. LTD."/>
    <n v="2025"/>
    <d v="2025-10-05T00:00:00"/>
    <x v="1"/>
    <x v="48"/>
    <n v="256779417931"/>
    <s v="USD"/>
    <n v="288.83999999999997"/>
    <s v="INR"/>
    <n v="25473.02"/>
    <s v="LCL Chgs - 16 - 30 SEP 25"/>
  </r>
  <r>
    <s v="KUEHNE+NAGEL PVT. LTD."/>
    <n v="2025"/>
    <d v="2025-10-05T00:00:00"/>
    <x v="1"/>
    <x v="48"/>
    <n v="256779417971"/>
    <s v="USD"/>
    <n v="94.81"/>
    <s v="INR"/>
    <n v="8361.3700000000008"/>
    <s v="Outbound chgs - 16 - 30 Sep 25"/>
  </r>
  <r>
    <s v="KUEHNE+NAGEL PVT. LTD."/>
    <n v="2025"/>
    <d v="2025-10-05T00:00:00"/>
    <x v="1"/>
    <x v="48"/>
    <n v="256779418357"/>
    <s v="USD"/>
    <n v="394.19"/>
    <s v="INR"/>
    <n v="34763.919999999998"/>
    <s v="Internet Activity Chgs - Aug 24 to Sep 25"/>
  </r>
  <r>
    <s v="KUEHNE+NAGEL PVT. LTD."/>
    <n v="2025"/>
    <d v="2025-10-05T00:00:00"/>
    <x v="1"/>
    <x v="48"/>
    <n v="256779418391"/>
    <s v="USD"/>
    <n v="38.51"/>
    <s v="INR"/>
    <n v="3396.23"/>
    <s v="PORT SSR Chgs Sep 25"/>
  </r>
  <r>
    <s v="KUEHNE+NAGEL PVT. LTD."/>
    <n v="2025"/>
    <d v="2025-10-05T00:00:00"/>
    <x v="1"/>
    <x v="48"/>
    <n v="256779418068"/>
    <s v="USD"/>
    <n v="94.81"/>
    <s v="INR"/>
    <n v="8361.3700000000008"/>
    <s v="Outbound chgs - 16 - 30 Sep 25"/>
  </r>
  <r>
    <s v="KUEHNE+NAGEL PVT. LTD."/>
    <n v="2025"/>
    <d v="2025-09-06T00:00:00"/>
    <x v="1"/>
    <x v="49"/>
    <n v="256779417093"/>
    <s v="USD"/>
    <n v="4608.8"/>
    <s v="INR"/>
    <n v="403336.04"/>
    <s v="Unit-Storage-1-31 Aug 25"/>
  </r>
  <r>
    <s v="KUEHNE+NAGEL PVT. LTD."/>
    <n v="2025"/>
    <d v="2025-05-18T00:00:00"/>
    <x v="1"/>
    <x v="50"/>
    <n v="256779413859"/>
    <s v="USD"/>
    <n v="413"/>
    <s v="INR"/>
    <n v="35511.269999999997"/>
    <s v="Scanning  Chgs - 01 - 15 May 25"/>
  </r>
  <r>
    <s v="KUEHNE+NAGEL PVT. LTD."/>
    <n v="2026"/>
    <d v="2026-01-02T00:00:00"/>
    <x v="1"/>
    <x v="51"/>
    <n v="256779440007"/>
    <s v="USD"/>
    <n v="1332.49"/>
    <s v="INR"/>
    <n v="120914.33"/>
    <s v="Unit Storage - 1-30 Nov 2025"/>
  </r>
  <r>
    <s v="KUEHNE+NAGEL PVT. LTD."/>
    <n v="2026"/>
    <d v="2026-01-05T00:00:00"/>
    <x v="0"/>
    <x v="52"/>
    <n v="256779422164"/>
    <s v="USD"/>
    <n v="-562.38"/>
    <s v="INR"/>
    <n v="-51032.13"/>
    <s v="Credit note for Duplicate invoice -256779418489"/>
  </r>
  <r>
    <s v="KUEHNE+NAGEL PVT. LTD."/>
    <n v="2026"/>
    <d v="2026-01-05T00:00:00"/>
    <x v="0"/>
    <x v="52"/>
    <n v="256779422170"/>
    <s v="USD"/>
    <n v="-13.59"/>
    <s v="INR"/>
    <n v="-1233.2"/>
    <s v="Credit note for Duplicate invoice -256779418495"/>
  </r>
  <r>
    <s v="KUEHNE+NAGEL PVT. LTD."/>
    <n v="2026"/>
    <d v="2026-01-05T00:00:00"/>
    <x v="1"/>
    <x v="52"/>
    <n v="256779440060"/>
    <s v="USD"/>
    <n v="198.57"/>
    <s v="INR"/>
    <n v="18018.87"/>
    <s v="CODC LCL Chgs -01-15 Dec 25"/>
  </r>
  <r>
    <s v="KUEHNE+NAGEL PVT. LTD."/>
    <n v="2026"/>
    <d v="2026-01-05T00:00:00"/>
    <x v="1"/>
    <x v="52"/>
    <n v="256779440067"/>
    <s v="USD"/>
    <n v="100.07"/>
    <s v="INR"/>
    <n v="9080.67"/>
    <s v="CODC Out chgs -1-15 Dec 25"/>
  </r>
  <r>
    <s v="KUEHNE+NAGEL PVT. LTD."/>
    <n v="2026"/>
    <d v="2026-01-05T00:00:00"/>
    <x v="1"/>
    <x v="52"/>
    <n v="256779440078"/>
    <s v="USD"/>
    <n v="78.75"/>
    <s v="INR"/>
    <n v="7146.02"/>
    <s v="Outbound chgs - 01 - 15 Dec 25"/>
  </r>
  <r>
    <s v="KUEHNE+NAGEL PVT. LTD."/>
    <n v="2026"/>
    <d v="2026-01-05T00:00:00"/>
    <x v="1"/>
    <x v="52"/>
    <n v="256779440116"/>
    <s v="USD"/>
    <n v="498.28"/>
    <s v="INR"/>
    <n v="45215.49"/>
    <s v="LCL Chgs - 01 - 15 DEC 25"/>
  </r>
  <r>
    <s v="KUEHNE+NAGEL PVT. LTD."/>
    <n v="2026"/>
    <d v="2026-01-08T00:00:00"/>
    <x v="2"/>
    <x v="53"/>
    <s v=""/>
    <s v="INR"/>
    <n v="-719881.09"/>
    <s v="INR"/>
    <n v="-719881.09"/>
    <s v=""/>
  </r>
  <r>
    <s v="KUEHNE+NAGEL PVT. LTD."/>
    <n v="2026"/>
    <d v="2026-01-09T00:00:00"/>
    <x v="1"/>
    <x v="54"/>
    <n v="256779440126"/>
    <s v="USD"/>
    <n v="122.48"/>
    <s v="INR"/>
    <n v="11114.22"/>
    <s v="CODC Out chgs -1-15 Nov 25"/>
  </r>
  <r>
    <s v="KUEHNE+NAGEL PVT. LTD."/>
    <n v="2026"/>
    <d v="2026-01-09T00:00:00"/>
    <x v="1"/>
    <x v="54"/>
    <n v="256779440136"/>
    <s v="USD"/>
    <n v="27.81"/>
    <s v="INR"/>
    <n v="2523.5700000000002"/>
    <s v="Internet Activity Chgs - Dec 25"/>
  </r>
  <r>
    <s v="KUEHNE+NAGEL PVT. LTD."/>
    <n v="2026"/>
    <d v="2026-01-06T00:00:00"/>
    <x v="1"/>
    <x v="55"/>
    <n v="256779440150"/>
    <s v="USD"/>
    <n v="112.85"/>
    <s v="INR"/>
    <n v="10240.36"/>
    <s v="Empty Lolo Chgs - 01 - 31 DEC 25"/>
  </r>
  <r>
    <s v="KUEHNE+NAGEL PVT. LTD."/>
    <n v="2026"/>
    <d v="2026-01-06T00:00:00"/>
    <x v="1"/>
    <x v="55"/>
    <n v="256779440159"/>
    <s v="USD"/>
    <n v="160.22"/>
    <s v="INR"/>
    <n v="14538.87"/>
    <s v="PORT SSR Chgs Dec 25"/>
  </r>
  <r>
    <s v="KUEHNE+NAGEL PVT. LTD."/>
    <n v="2026"/>
    <d v="2026-01-06T00:00:00"/>
    <x v="1"/>
    <x v="55"/>
    <n v="256779440208"/>
    <s v="USD"/>
    <n v="650.12"/>
    <s v="INR"/>
    <n v="58993.93"/>
    <s v="LCL Chgs - 16 - 31 DEC 25"/>
  </r>
  <r>
    <s v="KUEHNE+NAGEL PVT. LTD."/>
    <n v="2026"/>
    <d v="2026-01-12T00:00:00"/>
    <x v="1"/>
    <x v="56"/>
    <n v="256779440227"/>
    <s v="USD"/>
    <n v="304.07"/>
    <s v="INR"/>
    <n v="27592.27"/>
    <s v="Outbound chgs - 16 - 31 Dec 25"/>
  </r>
  <r>
    <s v="KUEHNE+NAGEL PVT. LTD."/>
    <n v="2026"/>
    <d v="2026-01-06T00:00:00"/>
    <x v="1"/>
    <x v="55"/>
    <n v="256779440238"/>
    <s v="USD"/>
    <n v="1083.58"/>
    <s v="INR"/>
    <n v="98327.45"/>
    <s v="Unit Storage - 1-31 DEC 2025"/>
  </r>
  <r>
    <s v="KUEHNE+NAGEL PVT. LTD."/>
    <n v="2026"/>
    <d v="2026-01-12T00:00:00"/>
    <x v="1"/>
    <x v="56"/>
    <n v="256779440285"/>
    <s v="USD"/>
    <n v="535.29"/>
    <s v="INR"/>
    <n v="48573.9"/>
    <s v="VAS-Dec 25 - 16-31"/>
  </r>
  <r>
    <s v="KUEHNE+NAGEL PVT. LTD."/>
    <n v="2026"/>
    <d v="2026-01-06T00:00:00"/>
    <x v="1"/>
    <x v="55"/>
    <n v="256779440309"/>
    <s v="INR"/>
    <n v="200000"/>
    <s v="INR"/>
    <n v="200000"/>
    <s v="Fixed Storage Charges for January 2026"/>
  </r>
  <r>
    <s v="KUEHNE+NAGEL PVT. LTD."/>
    <n v="2026"/>
    <d v="2026-01-06T00:00:00"/>
    <x v="1"/>
    <x v="55"/>
    <n v="256779440310"/>
    <s v="INR"/>
    <n v="8000"/>
    <s v="INR"/>
    <n v="8000"/>
    <s v="Fixed Storage Charges for January 2026"/>
  </r>
  <r>
    <s v="KUEHNE+NAGEL PVT. LTD."/>
    <n v="2026"/>
    <d v="2026-01-06T00:00:00"/>
    <x v="1"/>
    <x v="55"/>
    <n v="256779440311"/>
    <s v="INR"/>
    <n v="4400"/>
    <s v="INR"/>
    <n v="4400"/>
    <s v="Fixed Storage Charges for January 2026"/>
  </r>
  <r>
    <s v="KUEHNE+NAGEL PVT. LTD."/>
    <n v="2026"/>
    <d v="2026-01-13T00:00:00"/>
    <x v="1"/>
    <x v="57"/>
    <n v="256779440363"/>
    <s v="USD"/>
    <n v="937.45"/>
    <s v="INR"/>
    <n v="85067.16"/>
    <s v="VAS - NOV 25,16-30"/>
  </r>
  <r>
    <s v="KUEHNE+NAGEL PVT. LTD."/>
    <n v="2026"/>
    <d v="2026-01-21T00:00:00"/>
    <x v="1"/>
    <x v="58"/>
    <n v="256779440381"/>
    <s v="USD"/>
    <n v="6.79"/>
    <s v="INR"/>
    <n v="616.15"/>
    <s v="CODC Out chgs -1-15 JAN 26"/>
  </r>
  <r>
    <s v="KUEHNE+NAGEL PVT. LTD."/>
    <n v="2026"/>
    <d v="2026-01-21T00:00:00"/>
    <x v="1"/>
    <x v="58"/>
    <n v="256779440388"/>
    <s v="USD"/>
    <n v="57.29"/>
    <s v="INR"/>
    <n v="5198.67"/>
    <s v="CODC LCL Chgs -1-15 JAN 26"/>
  </r>
  <r>
    <s v="KUEHNE+NAGEL PVT. LTD."/>
    <n v="2026"/>
    <d v="2026-01-23T00:00:00"/>
    <x v="1"/>
    <x v="59"/>
    <n v="256779440411"/>
    <s v="USD"/>
    <n v="554.49"/>
    <s v="INR"/>
    <n v="50316.160000000003"/>
    <s v="LCL Chgs - 01 - 15 JAN 26"/>
  </r>
  <r>
    <s v="KUEHNE+NAGEL PVT. LTD."/>
    <n v="2026"/>
    <d v="2026-01-23T00:00:00"/>
    <x v="1"/>
    <x v="59"/>
    <n v="256779440427"/>
    <s v="USD"/>
    <n v="44.06"/>
    <s v="INR"/>
    <n v="3998.14"/>
    <s v="Outbound chgs - 01 - 15 JAN 26"/>
  </r>
  <r>
    <s v="KUEHNE+NAGEL PVT. LTD."/>
    <n v="2026"/>
    <d v="2026-01-27T00:00:00"/>
    <x v="1"/>
    <x v="60"/>
    <n v="256779440443"/>
    <s v="USD"/>
    <n v="18.41"/>
    <s v="INR"/>
    <n v="1670.58"/>
    <s v="VAS-1-15 Jan 2026"/>
  </r>
  <r>
    <s v="KUEHNE+NAGEL PVT. LTD."/>
    <n v="2025"/>
    <d v="2025-07-10T00:00:00"/>
    <x v="1"/>
    <x v="0"/>
    <n v="256779415364"/>
    <s v="USD"/>
    <n v="200"/>
    <s v="INR"/>
    <n v="17200.13"/>
    <s v="CY Longstanding Transportation chgs for 31 MAR 202"/>
  </r>
  <r>
    <s v="KUEHNE+NAGEL PVT. LTD."/>
    <n v="2025"/>
    <d v="2025-07-10T00:00:00"/>
    <x v="1"/>
    <x v="0"/>
    <n v="256779415365"/>
    <s v="USD"/>
    <n v="313"/>
    <s v="INR"/>
    <n v="26918.21"/>
    <s v="Inbound Handling charges for Dec 2024"/>
  </r>
  <r>
    <s v="KUEHNE+NAGEL PVT. LTD."/>
    <n v="2025"/>
    <d v="2025-07-10T00:00:00"/>
    <x v="1"/>
    <x v="0"/>
    <n v="256779415366"/>
    <s v="USD"/>
    <n v="192"/>
    <s v="INR"/>
    <n v="16512.13"/>
    <s v="LCL charges for Dec 2024"/>
  </r>
  <r>
    <s v="KUEHNE+NAGEL PVT. LTD."/>
    <n v="2025"/>
    <d v="2025-07-10T00:00:00"/>
    <x v="1"/>
    <x v="0"/>
    <n v="256779415367"/>
    <s v="USD"/>
    <n v="200"/>
    <s v="INR"/>
    <n v="17200.13"/>
    <s v="Transportation Inbound charges for Dec 2024"/>
  </r>
  <r>
    <s v="KUEHNE+NAGEL PVT. LTD."/>
    <n v="2025"/>
    <d v="2025-07-10T00:00:00"/>
    <x v="1"/>
    <x v="0"/>
    <n v="256779415368"/>
    <s v="USD"/>
    <n v="60"/>
    <s v="INR"/>
    <n v="5160.04"/>
    <s v="Empty Cont. Outbound charges for Dec 2024"/>
  </r>
  <r>
    <s v="KUEHNE+NAGEL PVT. LTD."/>
    <n v="2025"/>
    <d v="2025-07-10T00:00:00"/>
    <x v="1"/>
    <x v="0"/>
    <n v="256779415369"/>
    <s v="USD"/>
    <n v="3"/>
    <s v="INR"/>
    <n v="258"/>
    <s v="Outbound Handling for Oct 2024"/>
  </r>
  <r>
    <s v="KUEHNE+NAGEL PVT. LTD."/>
    <n v="2025"/>
    <d v="2025-07-10T00:00:00"/>
    <x v="1"/>
    <x v="0"/>
    <n v="256779415370"/>
    <s v="USD"/>
    <n v="72"/>
    <s v="INR"/>
    <n v="6192.05"/>
    <s v="LCL Chgs - 01 - 15 Apr 25 ( BOE9231261 / 9272978 /"/>
  </r>
  <r>
    <s v="KUEHNE+NAGEL PVT. LTD."/>
    <n v="2025"/>
    <d v="2025-07-10T00:00:00"/>
    <x v="1"/>
    <x v="0"/>
    <n v="256779415371"/>
    <s v="USD"/>
    <n v="43.32"/>
    <s v="INR"/>
    <n v="3725.55"/>
    <s v="Inbound chgs - 01 - 15 Apr 25 ( BOE9231261 / 92729"/>
  </r>
  <r>
    <s v="KUEHNE+NAGEL PVT. LTD."/>
    <n v="2025"/>
    <d v="2025-07-10T00:00:00"/>
    <x v="1"/>
    <x v="0"/>
    <n v="256779415372"/>
    <s v="USD"/>
    <n v="155.38"/>
    <s v="INR"/>
    <n v="13362.78"/>
    <s v="Outbound chgs - 01 - 15 Apr 25 ( DTA8744354 )"/>
  </r>
  <r>
    <s v="KUEHNE+NAGEL PVT. LTD."/>
    <n v="2025"/>
    <d v="2025-07-10T00:00:00"/>
    <x v="1"/>
    <x v="0"/>
    <n v="256779415373"/>
    <s v="USD"/>
    <n v="2.63"/>
    <s v="INR"/>
    <n v="226.18"/>
    <s v="CODC Outbound chgs - 01 - 15 Apr 25 ( DTA9177079 )"/>
  </r>
  <r>
    <s v="KUEHNE+NAGEL PVT. LTD."/>
    <n v="2025"/>
    <d v="2025-07-10T00:00:00"/>
    <x v="1"/>
    <x v="0"/>
    <n v="256779415374"/>
    <s v="USD"/>
    <n v="469.38"/>
    <s v="INR"/>
    <n v="40366.99"/>
    <s v="Inbound Handling charges for Oct 2024"/>
  </r>
  <r>
    <s v="KUEHNE+NAGEL PVT. LTD."/>
    <n v="2025"/>
    <d v="2025-07-10T00:00:00"/>
    <x v="1"/>
    <x v="0"/>
    <n v="256779415375"/>
    <s v="USD"/>
    <n v="360"/>
    <s v="INR"/>
    <n v="30960.240000000002"/>
    <s v="LCL Movement Charges for Oct 2024"/>
  </r>
  <r>
    <s v="KUEHNE+NAGEL PVT. LTD."/>
    <n v="2025"/>
    <d v="2025-07-10T00:00:00"/>
    <x v="1"/>
    <x v="0"/>
    <n v="256779415376"/>
    <s v="USD"/>
    <n v="60"/>
    <s v="INR"/>
    <n v="5160.04"/>
    <s v="CY-MOVEMENT CHARGES for Oct 2024"/>
  </r>
  <r>
    <s v="KUEHNE+NAGEL PVT. LTD."/>
    <n v="2025"/>
    <d v="2025-07-10T00:00:00"/>
    <x v="0"/>
    <x v="0"/>
    <n v="256779421222"/>
    <s v="USD"/>
    <n v="-295"/>
    <s v="INR"/>
    <n v="-25370.2"/>
    <s v="Credit note raised against INV 256779411867"/>
  </r>
  <r>
    <s v="KUEHNE+NAGEL PVT. LTD."/>
    <n v="2025"/>
    <d v="2025-07-10T00:00:00"/>
    <x v="0"/>
    <x v="0"/>
    <n v="256779421223"/>
    <s v="USD"/>
    <n v="-28.32"/>
    <s v="INR"/>
    <n v="-2435.54"/>
    <s v="Credit note raised against INV 246779414057"/>
  </r>
  <r>
    <s v="KUEHNE+NAGEL PVT. LTD."/>
    <n v="2025"/>
    <d v="2025-07-10T00:00:00"/>
    <x v="0"/>
    <x v="0"/>
    <n v="256779421224"/>
    <s v="USD"/>
    <n v="-28.32"/>
    <s v="INR"/>
    <n v="-2435.54"/>
    <s v="Credit note raised against INV 256779411091"/>
  </r>
  <r>
    <s v="KUEHNE+NAGEL PVT. LTD."/>
    <n v="2025"/>
    <d v="2025-07-10T00:00:00"/>
    <x v="0"/>
    <x v="0"/>
    <n v="256779421225"/>
    <s v="USD"/>
    <n v="-28.32"/>
    <s v="INR"/>
    <n v="-2435.54"/>
    <s v="Credit note raised against INV 256779411092"/>
  </r>
  <r>
    <s v="KUEHNE+NAGEL PVT. LTD."/>
    <n v="2025"/>
    <d v="2025-07-10T00:00:00"/>
    <x v="0"/>
    <x v="0"/>
    <n v="256779421226"/>
    <s v="USD"/>
    <n v="-28.32"/>
    <s v="INR"/>
    <n v="-2435.54"/>
    <s v="Credit note raised against INV 256779411093"/>
  </r>
  <r>
    <s v="KUEHNE+NAGEL PVT. LTD."/>
    <n v="2025"/>
    <d v="2025-07-10T00:00:00"/>
    <x v="0"/>
    <x v="0"/>
    <n v="256779421227"/>
    <s v="USD"/>
    <n v="-28.32"/>
    <s v="INR"/>
    <n v="-2435.54"/>
    <s v="Credit note raised against INV 256779411094"/>
  </r>
  <r>
    <s v="KUEHNE+NAGEL PVT. LTD."/>
    <n v="2025"/>
    <d v="2025-07-10T00:00:00"/>
    <x v="0"/>
    <x v="0"/>
    <n v="256779421228"/>
    <s v="USD"/>
    <n v="-28.32"/>
    <s v="INR"/>
    <n v="-2435.54"/>
    <s v="Credit note raised against INV 256779411095"/>
  </r>
  <r>
    <s v="KUEHNE+NAGEL PVT. LTD."/>
    <n v="2025"/>
    <d v="2025-07-10T00:00:00"/>
    <x v="0"/>
    <x v="0"/>
    <n v="256779421229"/>
    <s v="USD"/>
    <n v="-28.32"/>
    <s v="INR"/>
    <n v="-2435.54"/>
    <s v="Credit note raised against INV 256779411096"/>
  </r>
  <r>
    <s v="KUEHNE+NAGEL PVT. LTD."/>
    <n v="2025"/>
    <d v="2025-07-10T00:00:00"/>
    <x v="0"/>
    <x v="0"/>
    <n v="256779421230"/>
    <s v="USD"/>
    <n v="-28.32"/>
    <s v="INR"/>
    <n v="-2435.54"/>
    <s v="Credit note raised against INV 256779411098"/>
  </r>
  <r>
    <s v="KUEHNE+NAGEL PVT. LTD."/>
    <n v="2025"/>
    <d v="2025-07-10T00:00:00"/>
    <x v="0"/>
    <x v="0"/>
    <n v="256779421231"/>
    <s v="USD"/>
    <n v="-28.32"/>
    <s v="INR"/>
    <n v="-2435.54"/>
    <s v="Credit note raised against INV 256779411099"/>
  </r>
  <r>
    <s v="KUEHNE+NAGEL PVT. LTD."/>
    <n v="2025"/>
    <d v="2025-07-10T00:00:00"/>
    <x v="0"/>
    <x v="0"/>
    <n v="256779421232"/>
    <s v="USD"/>
    <n v="-28.32"/>
    <s v="INR"/>
    <n v="-2435.54"/>
    <s v="Credit note raised against INV 256779411100"/>
  </r>
  <r>
    <s v="KUEHNE+NAGEL PVT. LTD."/>
    <n v="2025"/>
    <d v="2025-07-10T00:00:00"/>
    <x v="0"/>
    <x v="0"/>
    <n v="256779421233"/>
    <s v="USD"/>
    <n v="-28.32"/>
    <s v="INR"/>
    <n v="-2435.54"/>
    <s v="Credit note raised against INV 256779411101"/>
  </r>
  <r>
    <s v="KUEHNE+NAGEL PVT. LTD."/>
    <n v="2025"/>
    <d v="2025-07-10T00:00:00"/>
    <x v="0"/>
    <x v="0"/>
    <n v="256779421234"/>
    <s v="USD"/>
    <n v="-35.4"/>
    <s v="INR"/>
    <n v="-3044.42"/>
    <s v="Credit note raised against INV 246779414122"/>
  </r>
  <r>
    <s v="KUEHNE+NAGEL PVT. LTD."/>
    <n v="2025"/>
    <d v="2025-07-10T00:00:00"/>
    <x v="0"/>
    <x v="0"/>
    <n v="256779421235"/>
    <s v="USD"/>
    <n v="-35.4"/>
    <s v="INR"/>
    <n v="-3044.42"/>
    <s v="Credit note raised against INV 246779414869"/>
  </r>
  <r>
    <s v="KUEHNE+NAGEL PVT. LTD."/>
    <n v="2025"/>
    <d v="2025-07-10T00:00:00"/>
    <x v="0"/>
    <x v="0"/>
    <n v="256779421237"/>
    <s v="USD"/>
    <n v="-35.4"/>
    <s v="INR"/>
    <n v="-3044.42"/>
    <s v="Credit note raised against INV 256779411458"/>
  </r>
  <r>
    <s v="KUEHNE+NAGEL PVT. LTD."/>
    <n v="2025"/>
    <d v="2025-07-10T00:00:00"/>
    <x v="0"/>
    <x v="0"/>
    <n v="256779421238"/>
    <s v="USD"/>
    <n v="-35.4"/>
    <s v="INR"/>
    <n v="-3044.42"/>
    <s v="Credit note raised against INV 256779411461"/>
  </r>
  <r>
    <s v="KUEHNE+NAGEL PVT. LTD."/>
    <n v="2025"/>
    <d v="2025-07-10T00:00:00"/>
    <x v="0"/>
    <x v="0"/>
    <n v="256779421239"/>
    <s v="USD"/>
    <n v="-35.4"/>
    <s v="INR"/>
    <n v="-3044.42"/>
    <s v="Credit note raised against INV 256779411466"/>
  </r>
  <r>
    <s v="KUEHNE+NAGEL PVT. LTD."/>
    <n v="2025"/>
    <d v="2025-07-10T00:00:00"/>
    <x v="0"/>
    <x v="0"/>
    <n v="256779421240"/>
    <s v="USD"/>
    <n v="-35.4"/>
    <s v="INR"/>
    <n v="-3044.42"/>
    <s v="Credit note raised against INV 256779411467"/>
  </r>
  <r>
    <s v="KUEHNE+NAGEL PVT. LTD."/>
    <n v="2025"/>
    <d v="2025-07-10T00:00:00"/>
    <x v="0"/>
    <x v="0"/>
    <n v="256779421241"/>
    <s v="USD"/>
    <n v="-35.4"/>
    <s v="INR"/>
    <n v="-3044.42"/>
    <s v="Credit note raised against INV 256779411469"/>
  </r>
  <r>
    <s v="KUEHNE+NAGEL PVT. LTD."/>
    <n v="2025"/>
    <d v="2025-07-10T00:00:00"/>
    <x v="0"/>
    <x v="0"/>
    <n v="256779421242"/>
    <s v="USD"/>
    <n v="-35.4"/>
    <s v="INR"/>
    <n v="-3044.42"/>
    <s v="Credit note raised against INV 256779411797"/>
  </r>
  <r>
    <s v="KUEHNE+NAGEL PVT. LTD."/>
    <n v="2025"/>
    <d v="2025-07-10T00:00:00"/>
    <x v="0"/>
    <x v="0"/>
    <n v="256779421243"/>
    <s v="USD"/>
    <n v="-35.4"/>
    <s v="INR"/>
    <n v="-3044.42"/>
    <s v="Credit note raised against INV 256779412609"/>
  </r>
  <r>
    <s v="KUEHNE+NAGEL PVT. LTD."/>
    <n v="2025"/>
    <d v="2025-07-10T00:00:00"/>
    <x v="0"/>
    <x v="0"/>
    <n v="256779421244"/>
    <s v="USD"/>
    <n v="-91.43"/>
    <s v="INR"/>
    <n v="-7863.04"/>
    <s v="Credit note raised against INV 246779414058"/>
  </r>
  <r>
    <s v="KUEHNE+NAGEL PVT. LTD."/>
    <n v="2025"/>
    <d v="2025-07-10T00:00:00"/>
    <x v="0"/>
    <x v="0"/>
    <n v="256779421245"/>
    <s v="USD"/>
    <n v="-236"/>
    <s v="INR"/>
    <n v="-20296.16"/>
    <s v="Credit note raised against INV 246779414058"/>
  </r>
  <r>
    <s v="KUEHNE+NAGEL PVT. LTD."/>
    <n v="2025"/>
    <d v="2025-07-10T00:00:00"/>
    <x v="0"/>
    <x v="0"/>
    <n v="256779421246"/>
    <s v="USD"/>
    <n v="-70.8"/>
    <s v="INR"/>
    <n v="-6088.85"/>
    <s v="Credit note raised against INV 246779414058"/>
  </r>
  <r>
    <s v="KUEHNE+NAGEL PVT. LTD."/>
    <n v="2025"/>
    <d v="2025-07-10T00:00:00"/>
    <x v="0"/>
    <x v="0"/>
    <n v="256779421247"/>
    <s v="USD"/>
    <n v="-211.39"/>
    <s v="INR"/>
    <n v="-18179.68"/>
    <s v="Credit note raised against INV 246779414525"/>
  </r>
  <r>
    <s v="KUEHNE+NAGEL PVT. LTD."/>
    <n v="2025"/>
    <d v="2025-07-10T00:00:00"/>
    <x v="0"/>
    <x v="0"/>
    <n v="256779421248"/>
    <s v="USD"/>
    <n v="-141.6"/>
    <s v="INR"/>
    <n v="-12177.69"/>
    <s v="Credit note raised against INV 246779414526"/>
  </r>
  <r>
    <s v="KUEHNE+NAGEL PVT. LTD."/>
    <n v="2025"/>
    <d v="2025-07-10T00:00:00"/>
    <x v="0"/>
    <x v="0"/>
    <n v="256779421249"/>
    <s v="USD"/>
    <n v="-70.8"/>
    <s v="INR"/>
    <n v="-6088.85"/>
    <s v="Credit note raised against INV 246779414527"/>
  </r>
  <r>
    <s v="KUEHNE+NAGEL PVT. LTD."/>
    <n v="2025"/>
    <d v="2025-07-10T00:00:00"/>
    <x v="0"/>
    <x v="0"/>
    <n v="256779421250"/>
    <s v="USD"/>
    <n v="-236"/>
    <s v="INR"/>
    <n v="-20296.16"/>
    <s v="Credit note raised against INV 246779414528"/>
  </r>
  <r>
    <s v="KUEHNE+NAGEL PVT. LTD."/>
    <n v="2025"/>
    <d v="2025-07-10T00:00:00"/>
    <x v="0"/>
    <x v="0"/>
    <n v="256779421251"/>
    <s v="USD"/>
    <n v="-300.49"/>
    <s v="INR"/>
    <n v="-25842.34"/>
    <s v="Credit note raised against INV 246779414590"/>
  </r>
  <r>
    <s v="KUEHNE+NAGEL PVT. LTD."/>
    <n v="2025"/>
    <d v="2025-07-10T00:00:00"/>
    <x v="0"/>
    <x v="0"/>
    <n v="256779421252"/>
    <s v="USD"/>
    <n v="-165.4"/>
    <s v="INR"/>
    <n v="-14224.51"/>
    <s v="Credit note raised against INV 246779414726"/>
  </r>
  <r>
    <s v="KUEHNE+NAGEL PVT. LTD."/>
    <n v="2025"/>
    <d v="2025-07-10T00:00:00"/>
    <x v="0"/>
    <x v="0"/>
    <n v="256779421253"/>
    <s v="USD"/>
    <n v="-14.75"/>
    <s v="INR"/>
    <n v="-1268.51"/>
    <s v="Credit note raised against INV 246779414057"/>
  </r>
  <r>
    <s v="KUEHNE+NAGEL PVT. LTD."/>
    <n v="2025"/>
    <d v="2025-07-10T00:00:00"/>
    <x v="0"/>
    <x v="0"/>
    <n v="256779421254"/>
    <s v="USD"/>
    <n v="-250.75"/>
    <s v="INR"/>
    <n v="-21564.67"/>
    <s v="Credit note raised against INV 246779414120"/>
  </r>
  <r>
    <s v="KUEHNE+NAGEL PVT. LTD."/>
    <n v="2025"/>
    <d v="2025-07-10T00:00:00"/>
    <x v="0"/>
    <x v="0"/>
    <n v="256779421255"/>
    <s v="USD"/>
    <n v="-226.56"/>
    <s v="INR"/>
    <n v="-19484.310000000001"/>
    <s v="Credit note raised against INV 246779414121"/>
  </r>
  <r>
    <s v="KUEHNE+NAGEL PVT. LTD."/>
    <n v="2025"/>
    <d v="2025-07-10T00:00:00"/>
    <x v="0"/>
    <x v="0"/>
    <n v="256779421256"/>
    <s v="USD"/>
    <n v="-249.87"/>
    <s v="INR"/>
    <n v="-21488.99"/>
    <s v="Credit note raised against INV 246779414204"/>
  </r>
  <r>
    <s v="KUEHNE+NAGEL PVT. LTD."/>
    <n v="2025"/>
    <d v="2025-07-10T00:00:00"/>
    <x v="0"/>
    <x v="0"/>
    <n v="256779421257"/>
    <s v="USD"/>
    <n v="-173.05"/>
    <s v="INR"/>
    <n v="-14882.42"/>
    <s v="Credit note raised against INV 246779414460"/>
  </r>
  <r>
    <s v="KUEHNE+NAGEL PVT. LTD."/>
    <n v="2025"/>
    <d v="2025-07-10T00:00:00"/>
    <x v="0"/>
    <x v="0"/>
    <n v="256779421258"/>
    <s v="USD"/>
    <n v="-226.56"/>
    <s v="INR"/>
    <n v="-19484.310000000001"/>
    <s v="Credit note raised against INV 246779414461"/>
  </r>
  <r>
    <s v="KUEHNE+NAGEL PVT. LTD."/>
    <n v="2025"/>
    <d v="2025-07-10T00:00:00"/>
    <x v="0"/>
    <x v="0"/>
    <n v="256779421259"/>
    <s v="USD"/>
    <n v="-218.36"/>
    <s v="INR"/>
    <n v="-18779.11"/>
    <s v="Credit note raised against INV 246779414781"/>
  </r>
  <r>
    <s v="KUEHNE+NAGEL PVT. LTD."/>
    <n v="2025"/>
    <d v="2025-07-10T00:00:00"/>
    <x v="0"/>
    <x v="0"/>
    <n v="256779421260"/>
    <s v="USD"/>
    <n v="-23.6"/>
    <s v="INR"/>
    <n v="-2029.62"/>
    <s v="Credit note raised against INV 246779414863"/>
  </r>
  <r>
    <s v="KUEHNE+NAGEL PVT. LTD."/>
    <n v="2025"/>
    <d v="2025-07-10T00:00:00"/>
    <x v="0"/>
    <x v="0"/>
    <n v="256779421261"/>
    <s v="USD"/>
    <n v="-26.55"/>
    <s v="INR"/>
    <n v="-2283.3200000000002"/>
    <s v="Credit note raised against INV 246779414864"/>
  </r>
  <r>
    <s v="KUEHNE+NAGEL PVT. LTD."/>
    <n v="2025"/>
    <d v="2025-07-10T00:00:00"/>
    <x v="0"/>
    <x v="0"/>
    <n v="256779421262"/>
    <s v="USD"/>
    <n v="-32.450000000000003"/>
    <s v="INR"/>
    <n v="-2790.72"/>
    <s v="Credit note raised against INV 246779414865"/>
  </r>
  <r>
    <s v="KUEHNE+NAGEL PVT. LTD."/>
    <n v="2025"/>
    <d v="2025-07-10T00:00:00"/>
    <x v="0"/>
    <x v="0"/>
    <n v="256779421263"/>
    <s v="USD"/>
    <n v="-26.55"/>
    <s v="INR"/>
    <n v="-2283.3200000000002"/>
    <s v="Credit note raised against INV 246779414866"/>
  </r>
  <r>
    <s v="KUEHNE+NAGEL PVT. LTD."/>
    <n v="2025"/>
    <d v="2025-07-10T00:00:00"/>
    <x v="0"/>
    <x v="0"/>
    <n v="256779421264"/>
    <s v="USD"/>
    <n v="-26.55"/>
    <s v="INR"/>
    <n v="-2283.3200000000002"/>
    <s v="Credit note raised against INV 246779414867"/>
  </r>
  <r>
    <s v="KUEHNE+NAGEL PVT. LTD."/>
    <n v="2025"/>
    <d v="2025-07-10T00:00:00"/>
    <x v="0"/>
    <x v="0"/>
    <n v="256779421265"/>
    <s v="USD"/>
    <n v="-2.95"/>
    <s v="INR"/>
    <n v="-253.7"/>
    <s v="Credit note raised against INV 246779414868"/>
  </r>
  <r>
    <s v="KUEHNE+NAGEL PVT. LTD."/>
    <n v="2025"/>
    <d v="2025-07-10T00:00:00"/>
    <x v="0"/>
    <x v="0"/>
    <n v="256779421266"/>
    <s v="USD"/>
    <n v="-26.55"/>
    <s v="INR"/>
    <n v="-2283.3200000000002"/>
    <s v="Credit note raised against INV 256779411091"/>
  </r>
  <r>
    <s v="KUEHNE+NAGEL PVT. LTD."/>
    <n v="2025"/>
    <d v="2025-07-10T00:00:00"/>
    <x v="0"/>
    <x v="0"/>
    <n v="256779421267"/>
    <s v="USD"/>
    <n v="-26.55"/>
    <s v="INR"/>
    <n v="-2283.3200000000002"/>
    <s v="Credit note raised against INV 256779411092"/>
  </r>
  <r>
    <s v="KUEHNE+NAGEL PVT. LTD."/>
    <n v="2025"/>
    <d v="2025-07-10T00:00:00"/>
    <x v="0"/>
    <x v="0"/>
    <n v="256779421268"/>
    <s v="USD"/>
    <n v="-29.5"/>
    <s v="INR"/>
    <n v="-2537.02"/>
    <s v="Credit note raised against INV 256779411093"/>
  </r>
  <r>
    <s v="KUEHNE+NAGEL PVT. LTD."/>
    <n v="2025"/>
    <d v="2025-07-10T00:00:00"/>
    <x v="0"/>
    <x v="0"/>
    <n v="256779421269"/>
    <s v="USD"/>
    <n v="-5.9"/>
    <s v="INR"/>
    <n v="-507.4"/>
    <s v="Credit note raised against INV 256779411094"/>
  </r>
  <r>
    <s v="KUEHNE+NAGEL PVT. LTD."/>
    <n v="2025"/>
    <d v="2025-07-10T00:00:00"/>
    <x v="0"/>
    <x v="0"/>
    <n v="256779421270"/>
    <s v="USD"/>
    <n v="-20.65"/>
    <s v="INR"/>
    <n v="-1775.91"/>
    <s v="Credit note raised against INV 256779411095"/>
  </r>
  <r>
    <s v="KUEHNE+NAGEL PVT. LTD."/>
    <n v="2025"/>
    <d v="2025-07-10T00:00:00"/>
    <x v="0"/>
    <x v="0"/>
    <n v="256779421271"/>
    <s v="USD"/>
    <n v="-14.75"/>
    <s v="INR"/>
    <n v="-1268.51"/>
    <s v="Credit note raised against INV 256779411096"/>
  </r>
  <r>
    <s v="KUEHNE+NAGEL PVT. LTD."/>
    <n v="2025"/>
    <d v="2025-07-10T00:00:00"/>
    <x v="0"/>
    <x v="0"/>
    <n v="256779421272"/>
    <s v="USD"/>
    <n v="-32.32"/>
    <s v="INR"/>
    <n v="-2779.54"/>
    <s v="Credit note raised against INV 256779411098"/>
  </r>
  <r>
    <s v="KUEHNE+NAGEL PVT. LTD."/>
    <n v="2025"/>
    <d v="2025-07-10T00:00:00"/>
    <x v="0"/>
    <x v="0"/>
    <n v="256779421273"/>
    <s v="USD"/>
    <n v="-30.49"/>
    <s v="INR"/>
    <n v="-2622.16"/>
    <s v="Credit note raised against INV 256779411099"/>
  </r>
  <r>
    <s v="KUEHNE+NAGEL PVT. LTD."/>
    <n v="2025"/>
    <d v="2025-07-10T00:00:00"/>
    <x v="0"/>
    <x v="0"/>
    <n v="256779421274"/>
    <s v="USD"/>
    <n v="-17.7"/>
    <s v="INR"/>
    <n v="-1522.21"/>
    <s v="Credit note raised against INV 256779411100"/>
  </r>
  <r>
    <s v="KUEHNE+NAGEL PVT. LTD."/>
    <n v="2025"/>
    <d v="2025-07-10T00:00:00"/>
    <x v="0"/>
    <x v="0"/>
    <n v="256779421275"/>
    <s v="USD"/>
    <n v="-2.95"/>
    <s v="INR"/>
    <n v="-253.7"/>
    <s v="Credit note raised against INV 256779411101"/>
  </r>
  <r>
    <s v="KUEHNE+NAGEL PVT. LTD."/>
    <n v="2025"/>
    <d v="2025-07-10T00:00:00"/>
    <x v="0"/>
    <x v="0"/>
    <n v="256779421276"/>
    <s v="USD"/>
    <n v="-1.18"/>
    <s v="INR"/>
    <n v="-101.48"/>
    <s v="Credit note raised against INV 256779411101"/>
  </r>
  <r>
    <s v="KUEHNE+NAGEL PVT. LTD."/>
    <n v="2025"/>
    <d v="2025-07-10T00:00:00"/>
    <x v="0"/>
    <x v="0"/>
    <n v="256779421277"/>
    <s v="USD"/>
    <n v="-29.5"/>
    <s v="INR"/>
    <n v="-2537.02"/>
    <s v="Credit note raised against INV 256779411459"/>
  </r>
  <r>
    <s v="KUEHNE+NAGEL PVT. LTD."/>
    <n v="2025"/>
    <d v="2025-07-10T00:00:00"/>
    <x v="0"/>
    <x v="0"/>
    <n v="256779421278"/>
    <s v="USD"/>
    <n v="-29.5"/>
    <s v="INR"/>
    <n v="-2537.02"/>
    <s v="Credit note raised against INV 256779411460"/>
  </r>
  <r>
    <s v="KUEHNE+NAGEL PVT. LTD."/>
    <n v="2025"/>
    <d v="2025-07-10T00:00:00"/>
    <x v="0"/>
    <x v="0"/>
    <n v="256779421279"/>
    <s v="USD"/>
    <n v="-20.65"/>
    <s v="INR"/>
    <n v="-1775.91"/>
    <s v="Credit note raised against INV 256779411462"/>
  </r>
  <r>
    <s v="KUEHNE+NAGEL PVT. LTD."/>
    <n v="2025"/>
    <d v="2025-07-10T00:00:00"/>
    <x v="0"/>
    <x v="0"/>
    <n v="256779421280"/>
    <s v="USD"/>
    <n v="-23.6"/>
    <s v="INR"/>
    <n v="-2029.62"/>
    <s v="Credit note raised against INV 256779411463"/>
  </r>
  <r>
    <s v="KUEHNE+NAGEL PVT. LTD."/>
    <n v="2025"/>
    <d v="2025-07-10T00:00:00"/>
    <x v="0"/>
    <x v="0"/>
    <n v="256779421281"/>
    <s v="USD"/>
    <n v="-8.85"/>
    <s v="INR"/>
    <n v="-761.11"/>
    <s v="Credit note raised against INV 256779411464"/>
  </r>
  <r>
    <s v="KUEHNE+NAGEL PVT. LTD."/>
    <n v="2025"/>
    <d v="2025-07-10T00:00:00"/>
    <x v="0"/>
    <x v="0"/>
    <n v="256779421282"/>
    <s v="USD"/>
    <n v="-32.450000000000003"/>
    <s v="INR"/>
    <n v="-2790.72"/>
    <s v="Credit note raised against INV 256779411465"/>
  </r>
  <r>
    <s v="KUEHNE+NAGEL PVT. LTD."/>
    <n v="2025"/>
    <d v="2025-07-10T00:00:00"/>
    <x v="0"/>
    <x v="0"/>
    <n v="256779421283"/>
    <s v="USD"/>
    <n v="-26.55"/>
    <s v="INR"/>
    <n v="-2283.3200000000002"/>
    <s v="Credit note raised against INV 256779411468"/>
  </r>
  <r>
    <s v="KUEHNE+NAGEL PVT. LTD."/>
    <n v="2025"/>
    <d v="2025-07-10T00:00:00"/>
    <x v="0"/>
    <x v="0"/>
    <n v="256779421284"/>
    <s v="USD"/>
    <n v="-20.100000000000001"/>
    <s v="INR"/>
    <n v="-1728.61"/>
    <s v="Credit note raised against INV 246779413317"/>
  </r>
  <r>
    <s v="KUEHNE+NAGEL PVT. LTD."/>
    <n v="2025"/>
    <d v="2025-07-10T00:00:00"/>
    <x v="0"/>
    <x v="0"/>
    <n v="256779421285"/>
    <s v="USD"/>
    <n v="-183.99"/>
    <s v="INR"/>
    <n v="-15823.26"/>
    <s v="Credit note raised against INV 256779410127"/>
  </r>
  <r>
    <s v="KUEHNE+NAGEL PVT. LTD."/>
    <n v="2025"/>
    <d v="2025-07-10T00:00:00"/>
    <x v="0"/>
    <x v="0"/>
    <n v="256779421286"/>
    <s v="USD"/>
    <n v="-236"/>
    <s v="INR"/>
    <n v="-20296.16"/>
    <s v="Credit note raised against INV 256779410213"/>
  </r>
  <r>
    <s v="KUEHNE+NAGEL PVT. LTD."/>
    <n v="2025"/>
    <d v="2025-07-10T00:00:00"/>
    <x v="0"/>
    <x v="0"/>
    <n v="256779421287"/>
    <s v="USD"/>
    <n v="-70.8"/>
    <s v="INR"/>
    <n v="-6088.85"/>
    <s v="Credit note raised against INV 256779410214"/>
  </r>
  <r>
    <s v="KUEHNE+NAGEL PVT. LTD."/>
    <n v="2025"/>
    <d v="2025-07-10T00:00:00"/>
    <x v="0"/>
    <x v="0"/>
    <n v="256779421288"/>
    <s v="USD"/>
    <n v="-25.22"/>
    <s v="INR"/>
    <n v="-2168.94"/>
    <s v="Credit note raised against INV 256779410076"/>
  </r>
  <r>
    <s v="KUEHNE+NAGEL PVT. LTD."/>
    <n v="2025"/>
    <d v="2025-07-10T00:00:00"/>
    <x v="0"/>
    <x v="0"/>
    <n v="256779421289"/>
    <s v="USD"/>
    <n v="-84.96"/>
    <s v="INR"/>
    <n v="-7306.62"/>
    <s v="Credit note raised against INV 256779410077"/>
  </r>
  <r>
    <s v="KUEHNE+NAGEL PVT. LTD."/>
    <n v="2025"/>
    <d v="2025-07-10T00:00:00"/>
    <x v="0"/>
    <x v="0"/>
    <n v="256779421290"/>
    <s v="USD"/>
    <n v="-244.58"/>
    <s v="INR"/>
    <n v="-21034.04"/>
    <s v="Credit note raised against INV 256779412609"/>
  </r>
  <r>
    <s v="KUEHNE+NAGEL PVT. LTD."/>
    <n v="2025"/>
    <d v="2025-07-10T00:00:00"/>
    <x v="0"/>
    <x v="0"/>
    <n v="256779421291"/>
    <s v="USD"/>
    <n v="-113.28"/>
    <s v="INR"/>
    <n v="-9742.16"/>
    <s v="Credit note raised against INV 256779412609"/>
  </r>
  <r>
    <s v="KUEHNE+NAGEL PVT. LTD."/>
    <n v="2025"/>
    <d v="2025-07-10T00:00:00"/>
    <x v="0"/>
    <x v="0"/>
    <n v="256779421292"/>
    <s v="USD"/>
    <n v="-236"/>
    <s v="INR"/>
    <n v="-20296.16"/>
    <s v="Credit note raised against INV 256779412609"/>
  </r>
  <r>
    <s v="KUEHNE+NAGEL PVT. LTD."/>
    <n v="2025"/>
    <d v="2025-07-10T00:00:00"/>
    <x v="0"/>
    <x v="0"/>
    <n v="256779421293"/>
    <s v="USD"/>
    <n v="-70.8"/>
    <s v="INR"/>
    <n v="-6088.85"/>
    <s v="Credit note raised against INV 256779412609"/>
  </r>
  <r>
    <s v="KUEHNE+NAGEL PVT. LTD."/>
    <n v="2025"/>
    <d v="2025-07-10T00:00:00"/>
    <x v="0"/>
    <x v="0"/>
    <n v="256779421294"/>
    <s v="USD"/>
    <n v="-79.650000000000006"/>
    <s v="INR"/>
    <n v="-6849.95"/>
    <s v="Credit note raised against INV 256779412649"/>
  </r>
  <r>
    <s v="KUEHNE+NAGEL PVT. LTD."/>
    <n v="2025"/>
    <d v="2025-07-10T00:00:00"/>
    <x v="0"/>
    <x v="0"/>
    <n v="256779421295"/>
    <s v="USD"/>
    <n v="-3.54"/>
    <s v="INR"/>
    <n v="-304.44"/>
    <s v="Credit note raised against INV 246779410482"/>
  </r>
  <r>
    <s v="KUEHNE+NAGEL PVT. LTD."/>
    <n v="2025"/>
    <d v="2025-07-10T00:00:00"/>
    <x v="0"/>
    <x v="0"/>
    <n v="256779421296"/>
    <s v="USD"/>
    <n v="-3.54"/>
    <s v="INR"/>
    <n v="-304.44"/>
    <s v="Credit note raised against INV 246779410483"/>
  </r>
  <r>
    <s v="KUEHNE+NAGEL PVT. LTD."/>
    <n v="2025"/>
    <d v="2025-07-10T00:00:00"/>
    <x v="0"/>
    <x v="0"/>
    <n v="256779421297"/>
    <s v="USD"/>
    <n v="-236"/>
    <s v="INR"/>
    <n v="-20296.16"/>
    <s v="Credit note raised against INV 256779411722"/>
  </r>
  <r>
    <s v="KUEHNE+NAGEL PVT. LTD."/>
    <n v="2025"/>
    <d v="2025-07-10T00:00:00"/>
    <x v="0"/>
    <x v="0"/>
    <n v="256779421298"/>
    <s v="USD"/>
    <n v="-369.34"/>
    <s v="INR"/>
    <n v="-31763.49"/>
    <s v="Credit note raised against INV 256779411795"/>
  </r>
  <r>
    <s v="KUEHNE+NAGEL PVT. LTD."/>
    <n v="2025"/>
    <d v="2025-07-10T00:00:00"/>
    <x v="0"/>
    <x v="0"/>
    <n v="256779421299"/>
    <s v="USD"/>
    <n v="-226.56"/>
    <s v="INR"/>
    <n v="-19484.310000000001"/>
    <s v="Credit note raised against INV 256779411796"/>
  </r>
  <r>
    <s v="KUEHNE+NAGEL PVT. LTD."/>
    <n v="2025"/>
    <d v="2025-07-10T00:00:00"/>
    <x v="0"/>
    <x v="0"/>
    <n v="256779421300"/>
    <s v="USD"/>
    <n v="-236"/>
    <s v="INR"/>
    <n v="-20296.16"/>
    <s v="Credit note raised against INV 256779411798"/>
  </r>
  <r>
    <s v="KUEHNE+NAGEL PVT. LTD."/>
    <n v="2025"/>
    <d v="2025-07-10T00:00:00"/>
    <x v="0"/>
    <x v="0"/>
    <n v="256779421301"/>
    <s v="USD"/>
    <n v="-70.8"/>
    <s v="INR"/>
    <n v="-6088.85"/>
    <s v="Credit note raised against INV 256779411799"/>
  </r>
  <r>
    <s v="KUEHNE+NAGEL PVT. LTD."/>
    <n v="2025"/>
    <d v="2025-07-10T00:00:00"/>
    <x v="0"/>
    <x v="0"/>
    <n v="256779421302"/>
    <s v="USD"/>
    <n v="-3.54"/>
    <s v="INR"/>
    <n v="-304.44"/>
    <s v="Credit note raised against INV 246779410665"/>
  </r>
  <r>
    <s v="KUEHNE+NAGEL PVT. LTD."/>
    <n v="2025"/>
    <d v="2025-07-10T00:00:00"/>
    <x v="0"/>
    <x v="0"/>
    <n v="256779421303"/>
    <s v="USD"/>
    <n v="-84.96"/>
    <s v="INR"/>
    <n v="-7306.62"/>
    <s v="Credit note raised against INV 256779412884"/>
  </r>
  <r>
    <s v="KUEHNE+NAGEL PVT. LTD."/>
    <n v="2025"/>
    <d v="2025-07-10T00:00:00"/>
    <x v="0"/>
    <x v="0"/>
    <n v="256779421304"/>
    <s v="USD"/>
    <n v="-51.12"/>
    <s v="INR"/>
    <n v="-4396.3500000000004"/>
    <s v="Credit note raised against INV 256779412884"/>
  </r>
  <r>
    <s v="KUEHNE+NAGEL PVT. LTD."/>
    <n v="2025"/>
    <d v="2025-07-10T00:00:00"/>
    <x v="0"/>
    <x v="0"/>
    <n v="256779421305"/>
    <s v="USD"/>
    <n v="-183.35"/>
    <s v="INR"/>
    <n v="-15768.22"/>
    <s v="Credit note raised against INV 256779412918"/>
  </r>
  <r>
    <s v="KUEHNE+NAGEL PVT. LTD."/>
    <n v="2025"/>
    <d v="2025-07-10T00:00:00"/>
    <x v="0"/>
    <x v="0"/>
    <n v="256779421306"/>
    <s v="USD"/>
    <n v="-3.1"/>
    <s v="INR"/>
    <n v="-266.60000000000002"/>
    <s v="Credit note raised against INV 256779412948"/>
  </r>
  <r>
    <s v="KUEHNE+NAGEL PVT. LTD."/>
    <n v="2025"/>
    <d v="2025-07-10T00:00:00"/>
    <x v="0"/>
    <x v="0"/>
    <n v="256779421307"/>
    <s v="USD"/>
    <n v="-553.87"/>
    <s v="INR"/>
    <n v="-47633.19"/>
    <s v="Credit note raised against INV 246779414296"/>
  </r>
  <r>
    <s v="KUEHNE+NAGEL PVT. LTD."/>
    <n v="2025"/>
    <d v="2025-07-10T00:00:00"/>
    <x v="0"/>
    <x v="0"/>
    <n v="256779421308"/>
    <s v="USD"/>
    <n v="-424.8"/>
    <s v="INR"/>
    <n v="-36533.08"/>
    <s v="Credit note raised against INV 246779414297"/>
  </r>
  <r>
    <s v="KUEHNE+NAGEL PVT. LTD."/>
    <n v="2025"/>
    <d v="2025-07-10T00:00:00"/>
    <x v="0"/>
    <x v="0"/>
    <n v="256779421309"/>
    <s v="USD"/>
    <n v="-70.8"/>
    <s v="INR"/>
    <n v="-6088.85"/>
    <s v="Credit note raised against INV 246779414298"/>
  </r>
  <r>
    <s v="KUEHNE+NAGEL PVT. LTD."/>
    <n v="2025"/>
    <d v="2025-07-10T00:00:00"/>
    <x v="1"/>
    <x v="0"/>
    <n v="256779415304"/>
    <s v="USD"/>
    <n v="30"/>
    <s v="INR"/>
    <n v="2580.02"/>
    <s v="Outbound Handling Charges Aug 2024"/>
  </r>
  <r>
    <s v="KUEHNE+NAGEL PVT. LTD."/>
    <n v="2025"/>
    <d v="2025-07-10T00:00:00"/>
    <x v="1"/>
    <x v="0"/>
    <n v="256779415305"/>
    <s v="USD"/>
    <n v="30"/>
    <s v="INR"/>
    <n v="2580.02"/>
    <s v="Outbound Handling Charges Aug 2024"/>
  </r>
  <r>
    <s v="KUEHNE+NAGEL PVT. LTD."/>
    <n v="2025"/>
    <d v="2025-07-10T00:00:00"/>
    <x v="1"/>
    <x v="0"/>
    <n v="256779415306"/>
    <s v="USD"/>
    <n v="30"/>
    <s v="INR"/>
    <n v="2580.02"/>
    <s v="Outbound Handling Charges Aug 2024"/>
  </r>
  <r>
    <s v="KUEHNE+NAGEL PVT. LTD."/>
    <n v="2025"/>
    <d v="2025-07-10T00:00:00"/>
    <x v="1"/>
    <x v="0"/>
    <n v="256779415307"/>
    <s v="USD"/>
    <n v="30"/>
    <s v="INR"/>
    <n v="2580.02"/>
    <s v="Outbound Handling Charges Aug 2024"/>
  </r>
  <r>
    <s v="KUEHNE+NAGEL PVT. LTD."/>
    <n v="2025"/>
    <d v="2025-07-10T00:00:00"/>
    <x v="1"/>
    <x v="0"/>
    <n v="256779415308"/>
    <s v="USD"/>
    <n v="30"/>
    <s v="INR"/>
    <n v="2580.02"/>
    <s v="Outbound Handling Charges Aug 2024"/>
  </r>
  <r>
    <s v="KUEHNE+NAGEL PVT. LTD."/>
    <n v="2025"/>
    <d v="2025-07-10T00:00:00"/>
    <x v="1"/>
    <x v="0"/>
    <n v="256779415321"/>
    <s v="USD"/>
    <n v="212.5"/>
    <s v="INR"/>
    <n v="18275.14"/>
    <s v="Inbound Handling charges for  Sep 2024"/>
  </r>
  <r>
    <s v="KUEHNE+NAGEL PVT. LTD."/>
    <n v="2025"/>
    <d v="2025-07-10T00:00:00"/>
    <x v="1"/>
    <x v="0"/>
    <n v="256779415339"/>
    <s v="USD"/>
    <n v="27.39"/>
    <s v="INR"/>
    <n v="2355.56"/>
    <s v="Inbound Handling for August 24"/>
  </r>
  <r>
    <s v="KUEHNE+NAGEL PVT. LTD."/>
    <n v="2025"/>
    <d v="2025-07-10T00:00:00"/>
    <x v="1"/>
    <x v="0"/>
    <n v="256779415377"/>
    <s v="USD"/>
    <n v="50"/>
    <s v="INR"/>
    <n v="4300.03"/>
    <s v="Scanning Chgs - 16 - 31 Apr 25 ( BOE9523237 )"/>
  </r>
  <r>
    <s v="KUEHNE+NAGEL PVT. LTD."/>
    <n v="2025"/>
    <d v="2025-07-10T00:00:00"/>
    <x v="1"/>
    <x v="0"/>
    <n v="256779415378"/>
    <s v="USD"/>
    <n v="120"/>
    <s v="INR"/>
    <n v="10320.08"/>
    <s v="LCL Chgs - 16 - 30 Apr 25 ( BOE9471796/9501725 )"/>
  </r>
  <r>
    <s v="KUEHNE+NAGEL PVT. LTD."/>
    <n v="2025"/>
    <d v="2025-07-10T00:00:00"/>
    <x v="1"/>
    <x v="0"/>
    <n v="256779415379"/>
    <s v="USD"/>
    <n v="233.11"/>
    <s v="INR"/>
    <n v="20047.62"/>
    <s v="Inbound chgs -16 - 30 Apr 25 ( BOE9471796/9501725"/>
  </r>
  <r>
    <s v="KUEHNE+NAGEL PVT. LTD."/>
    <n v="2025"/>
    <d v="2025-07-10T00:00:00"/>
    <x v="1"/>
    <x v="0"/>
    <n v="256779415380"/>
    <s v="USD"/>
    <n v="200"/>
    <s v="INR"/>
    <n v="17200.13"/>
    <s v="Transportation In Chgs - 16 - 30 Apr 25 ( BOE94717"/>
  </r>
  <r>
    <s v="KUEHNE+NAGEL PVT. LTD."/>
    <n v="2025"/>
    <d v="2025-07-10T00:00:00"/>
    <x v="1"/>
    <x v="0"/>
    <n v="256779415381"/>
    <s v="USD"/>
    <n v="60"/>
    <s v="INR"/>
    <n v="5160.04"/>
    <s v="Empty Cont Out - 16 - 30 Apr 25 ( BOE9471796/95017"/>
  </r>
  <r>
    <s v="KUEHNE+NAGEL PVT. LTD."/>
    <n v="2025"/>
    <d v="2025-07-10T00:00:00"/>
    <x v="1"/>
    <x v="0"/>
    <n v="256779415382"/>
    <s v="USD"/>
    <n v="117.64"/>
    <s v="INR"/>
    <n v="10117.120000000001"/>
    <s v="Outbound chgs - 16 - 30 Apr 25 ( DTA9452390 )"/>
  </r>
  <r>
    <s v="KUEHNE+NAGEL PVT. LTD."/>
    <n v="2025"/>
    <d v="2025-07-10T00:00:00"/>
    <x v="1"/>
    <x v="0"/>
    <n v="256779415383"/>
    <s v="USD"/>
    <n v="155.80000000000001"/>
    <s v="INR"/>
    <n v="13398.9"/>
    <s v="Outbound chgs - 01 - 15 MAY 25 ( DTA9652445/951659"/>
  </r>
  <r>
    <s v="KUEHNE+NAGEL PVT. LTD."/>
    <n v="2025"/>
    <d v="2025-07-10T00:00:00"/>
    <x v="1"/>
    <x v="0"/>
    <n v="256779415384"/>
    <s v="USD"/>
    <n v="350"/>
    <s v="INR"/>
    <n v="30100.23"/>
    <s v="Scanning  Chgs - 01 - 15 May 25 (BOE9821502)"/>
  </r>
  <r>
    <s v="KUEHNE+NAGEL PVT. LTD."/>
    <n v="2025"/>
    <d v="2025-07-10T00:00:00"/>
    <x v="1"/>
    <x v="0"/>
    <n v="256779415385"/>
    <s v="USD"/>
    <n v="24"/>
    <s v="INR"/>
    <n v="2064.02"/>
    <s v="LCL Chgs - 01-15 MAY 25 ( BOE9963613 )"/>
  </r>
  <r>
    <s v="KUEHNE+NAGEL PVT. LTD."/>
    <n v="2025"/>
    <d v="2025-07-10T00:00:00"/>
    <x v="1"/>
    <x v="0"/>
    <n v="256779415386"/>
    <s v="USD"/>
    <n v="7.5"/>
    <s v="INR"/>
    <n v="645.01"/>
    <s v="Inbound chgs -01-15 MAY 25 ( BOE9963613 )"/>
  </r>
  <r>
    <s v="KUEHNE+NAGEL PVT. LTD."/>
    <n v="2025"/>
    <d v="2025-07-10T00:00:00"/>
    <x v="1"/>
    <x v="0"/>
    <n v="256779415387"/>
    <s v="USD"/>
    <n v="70.900000000000006"/>
    <s v="INR"/>
    <n v="6097.45"/>
    <s v="CODC Inbound chgs - 16 - 31 May 25 ( 9918629 )"/>
  </r>
  <r>
    <s v="KUEHNE+NAGEL PVT. LTD."/>
    <n v="2025"/>
    <d v="2025-07-10T00:00:00"/>
    <x v="1"/>
    <x v="0"/>
    <n v="256779415388"/>
    <s v="USD"/>
    <n v="2261.63"/>
    <s v="INR"/>
    <n v="194501.7"/>
    <s v="PORT SSR Chgs - 16 - 31 May 25"/>
  </r>
  <r>
    <s v="KUEHNE+NAGEL PVT. LTD."/>
    <n v="2025"/>
    <d v="2025-07-10T00:00:00"/>
    <x v="1"/>
    <x v="0"/>
    <n v="256779415389"/>
    <s v="USD"/>
    <n v="170.62"/>
    <s v="INR"/>
    <n v="14673.43"/>
    <s v="Outbound chgs - 16 - 31 MAY 25 ( DTA2037850 )"/>
  </r>
  <r>
    <s v="KUEHNE+NAGEL PVT. LTD."/>
    <n v="2025"/>
    <d v="2025-07-10T00:00:00"/>
    <x v="1"/>
    <x v="0"/>
    <n v="256779415390"/>
    <s v="USD"/>
    <n v="110.96"/>
    <s v="INR"/>
    <n v="9542.6299999999992"/>
    <s v="Detention Chgs - 01 - 15 MAY 25"/>
  </r>
  <r>
    <s v="KUEHNE+NAGEL PVT. LTD."/>
    <n v="2025"/>
    <d v="2025-07-10T00:00:00"/>
    <x v="1"/>
    <x v="0"/>
    <n v="256779415391"/>
    <s v="USD"/>
    <n v="820.07"/>
    <s v="INR"/>
    <n v="70526.570000000007"/>
    <s v="Empty Lolo Chgs - 01 - 31 MAY 25"/>
  </r>
  <r>
    <s v="KUEHNE+NAGEL PVT. LTD."/>
    <n v="2025"/>
    <d v="2025-07-10T00:00:00"/>
    <x v="1"/>
    <x v="0"/>
    <n v="256779415392"/>
    <s v="USD"/>
    <n v="200"/>
    <s v="INR"/>
    <n v="17200.13"/>
    <s v="Transportation In Chgs - 16-31 MAY 25"/>
  </r>
  <r>
    <s v="KUEHNE+NAGEL PVT. LTD."/>
    <n v="2025"/>
    <d v="2025-07-10T00:00:00"/>
    <x v="1"/>
    <x v="0"/>
    <n v="256779415393"/>
    <s v="USD"/>
    <n v="60"/>
    <s v="INR"/>
    <n v="5160.04"/>
    <s v="Empty Cont Out - 16-31 MAY 25"/>
  </r>
  <r>
    <s v="KUEHNE+NAGEL PVT. LTD."/>
    <n v="2025"/>
    <d v="2025-07-10T00:00:00"/>
    <x v="1"/>
    <x v="0"/>
    <n v="256779415394"/>
    <s v="USD"/>
    <n v="96"/>
    <s v="INR"/>
    <n v="8256.06"/>
    <s v="LCL Chgs - 16-31 MAY 25"/>
  </r>
  <r>
    <s v="KUEHNE+NAGEL PVT. LTD."/>
    <n v="2025"/>
    <d v="2025-07-10T00:00:00"/>
    <x v="1"/>
    <x v="0"/>
    <n v="256779415395"/>
    <s v="USD"/>
    <n v="205.72"/>
    <s v="INR"/>
    <n v="17692.060000000001"/>
    <s v="Inbound chgs -16-31 MAY 25"/>
  </r>
  <r>
    <s v="KUEHNE+NAGEL PVT. LTD."/>
    <n v="2025"/>
    <d v="2025-07-10T00:00:00"/>
    <x v="0"/>
    <x v="0"/>
    <n v="256779421310"/>
    <s v="USD"/>
    <n v="-59"/>
    <s v="INR"/>
    <n v="-5074.04"/>
    <s v="Credit note raised against INV 256779413280"/>
  </r>
  <r>
    <s v="KUEHNE+NAGEL PVT. LTD."/>
    <n v="2025"/>
    <d v="2025-07-10T00:00:00"/>
    <x v="0"/>
    <x v="0"/>
    <n v="256779421311"/>
    <s v="USD"/>
    <n v="-141.6"/>
    <s v="INR"/>
    <n v="-12177.69"/>
    <s v="Credit note raised against INV 256779413308"/>
  </r>
  <r>
    <s v="KUEHNE+NAGEL PVT. LTD."/>
    <n v="2025"/>
    <d v="2025-07-10T00:00:00"/>
    <x v="0"/>
    <x v="0"/>
    <n v="256779421312"/>
    <s v="USD"/>
    <n v="-275.07"/>
    <s v="INR"/>
    <n v="-23656.2"/>
    <s v="Credit note raised against INV 256779413308"/>
  </r>
  <r>
    <s v="KUEHNE+NAGEL PVT. LTD."/>
    <n v="2025"/>
    <d v="2025-07-10T00:00:00"/>
    <x v="0"/>
    <x v="0"/>
    <n v="256779421313"/>
    <s v="USD"/>
    <n v="-236"/>
    <s v="INR"/>
    <n v="-20296.16"/>
    <s v="Credit note raised against INV 256779413308"/>
  </r>
  <r>
    <s v="KUEHNE+NAGEL PVT. LTD."/>
    <n v="2025"/>
    <d v="2025-07-10T00:00:00"/>
    <x v="0"/>
    <x v="0"/>
    <n v="256779421314"/>
    <s v="USD"/>
    <n v="-70.8"/>
    <s v="INR"/>
    <n v="-6088.85"/>
    <s v="Credit note raised against INV 256779413308"/>
  </r>
  <r>
    <s v="KUEHNE+NAGEL PVT. LTD."/>
    <n v="2025"/>
    <d v="2025-07-10T00:00:00"/>
    <x v="0"/>
    <x v="0"/>
    <n v="256779421315"/>
    <s v="USD"/>
    <n v="-138.82"/>
    <s v="INR"/>
    <n v="-11938.61"/>
    <s v="Credit note raised against INV 256779413348"/>
  </r>
  <r>
    <s v="KUEHNE+NAGEL PVT. LTD."/>
    <n v="2025"/>
    <d v="2025-07-10T00:00:00"/>
    <x v="0"/>
    <x v="0"/>
    <n v="256779421316"/>
    <s v="USD"/>
    <n v="-183.84"/>
    <s v="INR"/>
    <n v="-15810.36"/>
    <s v="Credit note raised against INV 256779413480"/>
  </r>
  <r>
    <s v="KUEHNE+NAGEL PVT. LTD."/>
    <n v="2025"/>
    <d v="2025-07-10T00:00:00"/>
    <x v="0"/>
    <x v="0"/>
    <n v="256779421317"/>
    <s v="USD"/>
    <n v="-413"/>
    <s v="INR"/>
    <n v="-35518.28"/>
    <s v="Credit note raised against INV 256779413859"/>
  </r>
  <r>
    <s v="KUEHNE+NAGEL PVT. LTD."/>
    <n v="2025"/>
    <d v="2025-07-10T00:00:00"/>
    <x v="0"/>
    <x v="0"/>
    <n v="256779421318"/>
    <s v="USD"/>
    <n v="-28.32"/>
    <s v="INR"/>
    <n v="-2435.54"/>
    <s v="Credit note raised against INV 256779413879"/>
  </r>
  <r>
    <s v="KUEHNE+NAGEL PVT. LTD."/>
    <n v="2025"/>
    <d v="2025-07-10T00:00:00"/>
    <x v="0"/>
    <x v="0"/>
    <n v="256779421319"/>
    <s v="USD"/>
    <n v="-8.85"/>
    <s v="INR"/>
    <n v="-761.11"/>
    <s v="Credit note raised against INV 256779413879"/>
  </r>
  <r>
    <s v="KUEHNE+NAGEL PVT. LTD."/>
    <n v="2025"/>
    <d v="2025-07-10T00:00:00"/>
    <x v="0"/>
    <x v="0"/>
    <n v="256779421320"/>
    <s v="USD"/>
    <n v="-83.66"/>
    <s v="INR"/>
    <n v="-7194.82"/>
    <s v="Credit note raised against INV 256779414156"/>
  </r>
  <r>
    <s v="KUEHNE+NAGEL PVT. LTD."/>
    <n v="2025"/>
    <d v="2025-07-10T00:00:00"/>
    <x v="0"/>
    <x v="0"/>
    <n v="256779421321"/>
    <s v="USD"/>
    <n v="-2668.72"/>
    <s v="INR"/>
    <n v="-229511.71"/>
    <s v="Credit note raised against INV 256779414173"/>
  </r>
  <r>
    <s v="KUEHNE+NAGEL PVT. LTD."/>
    <n v="2025"/>
    <d v="2025-07-10T00:00:00"/>
    <x v="0"/>
    <x v="0"/>
    <n v="256779421322"/>
    <s v="USD"/>
    <n v="-201.33"/>
    <s v="INR"/>
    <n v="-17314.509999999998"/>
    <s v="Credit note raised against INV 256779414206"/>
  </r>
  <r>
    <s v="KUEHNE+NAGEL PVT. LTD."/>
    <n v="2025"/>
    <d v="2025-07-10T00:00:00"/>
    <x v="0"/>
    <x v="0"/>
    <n v="256779421323"/>
    <s v="USD"/>
    <n v="-130.93"/>
    <s v="INR"/>
    <n v="-11260.07"/>
    <s v="Credit note raised against INV 256779414260"/>
  </r>
  <r>
    <s v="KUEHNE+NAGEL PVT. LTD."/>
    <n v="2025"/>
    <d v="2025-07-10T00:00:00"/>
    <x v="0"/>
    <x v="0"/>
    <n v="256779421324"/>
    <s v="USD"/>
    <n v="-967.68"/>
    <s v="INR"/>
    <n v="-83221.13"/>
    <s v="Credit note raised against INV 256779414271"/>
  </r>
  <r>
    <s v="KUEHNE+NAGEL PVT. LTD."/>
    <n v="2025"/>
    <d v="2025-07-10T00:00:00"/>
    <x v="0"/>
    <x v="0"/>
    <n v="256779421325"/>
    <s v="USD"/>
    <n v="-236"/>
    <s v="INR"/>
    <n v="-20296.16"/>
    <s v="Credit note raised against INV 256779414309"/>
  </r>
  <r>
    <s v="KUEHNE+NAGEL PVT. LTD."/>
    <n v="2025"/>
    <d v="2025-03-17T00:00:00"/>
    <x v="1"/>
    <x v="61"/>
    <n v="246779411739"/>
    <s v="USD"/>
    <n v="34.25"/>
    <s v="INR"/>
    <n v="2969.18"/>
    <s v="VAS Activity Charges for the month of October, 24"/>
  </r>
  <r>
    <s v="KUEHNE+NAGEL PVT. LTD."/>
    <n v="2025"/>
    <d v="2025-03-17T00:00:00"/>
    <x v="1"/>
    <x v="61"/>
    <n v="246779411740"/>
    <s v="USD"/>
    <n v="22.83"/>
    <s v="INR"/>
    <n v="1979.16"/>
    <s v="VAS Activity Charges for the month of October, 24"/>
  </r>
  <r>
    <s v="KUEHNE+NAGEL PVT. LTD."/>
    <n v="2025"/>
    <d v="2025-03-17T00:00:00"/>
    <x v="1"/>
    <x v="61"/>
    <n v="246779411741"/>
    <s v="USD"/>
    <n v="240"/>
    <s v="INR"/>
    <n v="20805.900000000001"/>
    <s v="VAS Activity Charges for the month of October, 24"/>
  </r>
  <r>
    <s v="KUEHNE+NAGEL PVT. LTD."/>
    <n v="2025"/>
    <d v="2025-03-17T00:00:00"/>
    <x v="1"/>
    <x v="61"/>
    <n v="246779411742"/>
    <s v="USD"/>
    <n v="23.27"/>
    <s v="INR"/>
    <n v="2017.31"/>
    <s v="VAS Activity Charges for the month of October, 24"/>
  </r>
  <r>
    <s v="KUEHNE+NAGEL PVT. LTD."/>
    <n v="2025"/>
    <d v="2025-03-17T00:00:00"/>
    <x v="1"/>
    <x v="61"/>
    <n v="246779411789"/>
    <s v="USD"/>
    <n v="428.11"/>
    <s v="INR"/>
    <n v="37113.4"/>
    <s v="VAS Activity Charges for the month of October, 24"/>
  </r>
  <r>
    <s v="KUEHNE+NAGEL PVT. LTD."/>
    <n v="2025"/>
    <d v="2025-03-17T00:00:00"/>
    <x v="1"/>
    <x v="61"/>
    <n v="246779411895"/>
    <s v="USD"/>
    <n v="4.26"/>
    <s v="INR"/>
    <n v="369.3"/>
    <s v="VAS Activity Charges for the month of November, 24"/>
  </r>
  <r>
    <s v="KUEHNE+NAGEL PVT. LTD."/>
    <n v="2025"/>
    <d v="2025-03-17T00:00:00"/>
    <x v="1"/>
    <x v="61"/>
    <n v="246779411896"/>
    <s v="USD"/>
    <n v="39.770000000000003"/>
    <s v="INR"/>
    <n v="3447.71"/>
    <s v="VAS Activity Charges for the month of November, 24"/>
  </r>
  <r>
    <s v="KUEHNE+NAGEL PVT. LTD."/>
    <n v="2025"/>
    <d v="2025-03-17T00:00:00"/>
    <x v="1"/>
    <x v="61"/>
    <n v="246779411915"/>
    <s v="USD"/>
    <n v="23.17"/>
    <s v="INR"/>
    <n v="2008.64"/>
    <s v="VAS Activity Charges for the month of November, 24"/>
  </r>
  <r>
    <s v="KUEHNE+NAGEL PVT. LTD."/>
    <n v="2025"/>
    <d v="2025-03-17T00:00:00"/>
    <x v="1"/>
    <x v="61"/>
    <n v="246779411973"/>
    <s v="USD"/>
    <n v="426.09"/>
    <s v="INR"/>
    <n v="36938.28"/>
    <s v="VAS Activity Charges for the month of November, 24"/>
  </r>
  <r>
    <s v="KUEHNE+NAGEL PVT. LTD."/>
    <n v="2025"/>
    <d v="2025-03-17T00:00:00"/>
    <x v="1"/>
    <x v="61"/>
    <n v="246779412044"/>
    <s v="USD"/>
    <n v="30.37"/>
    <s v="INR"/>
    <n v="2632.81"/>
    <s v="VAS Activity Charges for the month of December, 24"/>
  </r>
  <r>
    <s v="KUEHNE+NAGEL PVT. LTD."/>
    <n v="2025"/>
    <d v="2025-03-17T00:00:00"/>
    <x v="1"/>
    <x v="61"/>
    <n v="246779412046"/>
    <s v="USD"/>
    <n v="16.82"/>
    <s v="INR"/>
    <n v="1458.15"/>
    <s v="VAS Activity Charges for the month of December, 24"/>
  </r>
  <r>
    <s v="KUEHNE+NAGEL PVT. LTD."/>
    <n v="2025"/>
    <d v="2025-04-15T00:00:00"/>
    <x v="1"/>
    <x v="62"/>
    <n v="256779411091"/>
    <s v="USD"/>
    <n v="54.87"/>
    <s v="INR"/>
    <n v="4769.3999999999996"/>
    <s v="LCL Charges August 2024"/>
  </r>
  <r>
    <s v="KUEHNE+NAGEL PVT. LTD."/>
    <n v="2025"/>
    <d v="2025-04-15T00:00:00"/>
    <x v="1"/>
    <x v="62"/>
    <n v="256779411092"/>
    <s v="USD"/>
    <n v="54.87"/>
    <s v="INR"/>
    <n v="4769.3999999999996"/>
    <s v="LCL Charges August 2024"/>
  </r>
  <r>
    <s v="KUEHNE+NAGEL PVT. LTD."/>
    <n v="2025"/>
    <d v="2025-04-15T00:00:00"/>
    <x v="1"/>
    <x v="62"/>
    <n v="256779411093"/>
    <s v="USD"/>
    <n v="57.82"/>
    <s v="INR"/>
    <n v="5025.82"/>
    <s v="LCL Charges August 2024"/>
  </r>
  <r>
    <s v="KUEHNE+NAGEL PVT. LTD."/>
    <n v="2025"/>
    <d v="2025-04-15T00:00:00"/>
    <x v="1"/>
    <x v="62"/>
    <n v="256779411094"/>
    <s v="USD"/>
    <n v="34.22"/>
    <s v="INR"/>
    <n v="2974.46"/>
    <s v="LCL Charges August 2024"/>
  </r>
  <r>
    <s v="KUEHNE+NAGEL PVT. LTD."/>
    <n v="2025"/>
    <d v="2025-04-15T00:00:00"/>
    <x v="1"/>
    <x v="62"/>
    <n v="256779411095"/>
    <s v="USD"/>
    <n v="48.97"/>
    <s v="INR"/>
    <n v="4256.5600000000004"/>
    <s v="LCL Charges August 2024"/>
  </r>
  <r>
    <s v="KUEHNE+NAGEL PVT. LTD."/>
    <n v="2025"/>
    <d v="2025-04-15T00:00:00"/>
    <x v="1"/>
    <x v="62"/>
    <n v="256779411096"/>
    <s v="USD"/>
    <n v="43.07"/>
    <s v="INR"/>
    <n v="3743.72"/>
    <s v="LCL Charges August 2024"/>
  </r>
  <r>
    <s v="KUEHNE+NAGEL PVT. LTD."/>
    <n v="2025"/>
    <d v="2025-04-15T00:00:00"/>
    <x v="1"/>
    <x v="62"/>
    <n v="256779411098"/>
    <s v="USD"/>
    <n v="60.64"/>
    <s v="INR"/>
    <n v="5270.94"/>
    <s v="LCL Charges August 2024"/>
  </r>
  <r>
    <s v="KUEHNE+NAGEL PVT. LTD."/>
    <n v="2025"/>
    <d v="2025-04-15T00:00:00"/>
    <x v="1"/>
    <x v="62"/>
    <n v="256779411099"/>
    <s v="USD"/>
    <n v="58.81"/>
    <s v="INR"/>
    <n v="5111.87"/>
    <s v="LCL Charges August 2024"/>
  </r>
  <r>
    <s v="KUEHNE+NAGEL PVT. LTD."/>
    <n v="2025"/>
    <d v="2025-04-15T00:00:00"/>
    <x v="1"/>
    <x v="62"/>
    <n v="256779411100"/>
    <s v="USD"/>
    <n v="46.02"/>
    <s v="INR"/>
    <n v="4000.14"/>
    <s v="LCL Charges August 2024"/>
  </r>
  <r>
    <s v="KUEHNE+NAGEL PVT. LTD."/>
    <n v="2025"/>
    <d v="2025-04-15T00:00:00"/>
    <x v="1"/>
    <x v="62"/>
    <n v="256779411101"/>
    <s v="USD"/>
    <n v="32.450000000000003"/>
    <s v="INR"/>
    <n v="2820.61"/>
    <s v="LCL Charges August 2024"/>
  </r>
  <r>
    <s v="KUEHNE+NAGEL PVT. LTD."/>
    <n v="2025"/>
    <d v="2025-04-15T00:00:00"/>
    <x v="1"/>
    <x v="62"/>
    <n v="256779411458"/>
    <s v="USD"/>
    <n v="35.4"/>
    <s v="INR"/>
    <n v="3077.03"/>
    <s v="Outbound Handling Charges Aug 2024"/>
  </r>
  <r>
    <s v="KUEHNE+NAGEL PVT. LTD."/>
    <n v="2025"/>
    <d v="2025-04-15T00:00:00"/>
    <x v="1"/>
    <x v="62"/>
    <n v="256779411459"/>
    <s v="USD"/>
    <n v="29.5"/>
    <s v="INR"/>
    <n v="2564.19"/>
    <s v="Outbound Handling Charges Aug 2024"/>
  </r>
  <r>
    <s v="KUEHNE+NAGEL PVT. LTD."/>
    <n v="2025"/>
    <d v="2025-04-15T00:00:00"/>
    <x v="1"/>
    <x v="62"/>
    <n v="256779411460"/>
    <s v="USD"/>
    <n v="29.5"/>
    <s v="INR"/>
    <n v="2564.19"/>
    <s v="Outbound Handling Charges Aug 2024"/>
  </r>
  <r>
    <s v="KUEHNE+NAGEL PVT. LTD."/>
    <n v="2025"/>
    <d v="2025-04-15T00:00:00"/>
    <x v="1"/>
    <x v="62"/>
    <n v="256779411461"/>
    <s v="USD"/>
    <n v="35.4"/>
    <s v="INR"/>
    <n v="3077.03"/>
    <s v="Outbound Handling Charges Aug 2024"/>
  </r>
  <r>
    <s v="KUEHNE+NAGEL PVT. LTD."/>
    <n v="2025"/>
    <d v="2025-04-15T00:00:00"/>
    <x v="1"/>
    <x v="62"/>
    <n v="256779411462"/>
    <s v="USD"/>
    <n v="20.65"/>
    <s v="INR"/>
    <n v="1794.94"/>
    <s v="Outbound Handling Charges Aug 2024"/>
  </r>
  <r>
    <s v="KUEHNE+NAGEL PVT. LTD."/>
    <n v="2025"/>
    <d v="2025-04-15T00:00:00"/>
    <x v="1"/>
    <x v="62"/>
    <n v="256779411463"/>
    <s v="USD"/>
    <n v="23.6"/>
    <s v="INR"/>
    <n v="2051.35"/>
    <s v="Outbound Handling Charges Aug 2024"/>
  </r>
  <r>
    <s v="KUEHNE+NAGEL PVT. LTD."/>
    <n v="2025"/>
    <d v="2025-04-15T00:00:00"/>
    <x v="1"/>
    <x v="62"/>
    <n v="256779411464"/>
    <s v="USD"/>
    <n v="8.85"/>
    <s v="INR"/>
    <n v="769.26"/>
    <s v="Outbound Handling Charges Aug 2024"/>
  </r>
  <r>
    <s v="KUEHNE+NAGEL PVT. LTD."/>
    <n v="2025"/>
    <d v="2025-04-15T00:00:00"/>
    <x v="1"/>
    <x v="62"/>
    <n v="256779411465"/>
    <s v="USD"/>
    <n v="32.450000000000003"/>
    <s v="INR"/>
    <n v="2820.61"/>
    <s v="Outbound Handling Charges Aug 2024"/>
  </r>
  <r>
    <s v="KUEHNE+NAGEL PVT. LTD."/>
    <n v="2025"/>
    <d v="2025-04-15T00:00:00"/>
    <x v="1"/>
    <x v="62"/>
    <n v="256779411466"/>
    <s v="USD"/>
    <n v="35.4"/>
    <s v="INR"/>
    <n v="3077.03"/>
    <s v="Outbound Handling Charges Aug 2024"/>
  </r>
  <r>
    <s v="KUEHNE+NAGEL PVT. LTD."/>
    <n v="2025"/>
    <d v="2025-04-15T00:00:00"/>
    <x v="1"/>
    <x v="62"/>
    <n v="256779411467"/>
    <s v="USD"/>
    <n v="35.4"/>
    <s v="INR"/>
    <n v="3077.03"/>
    <s v="Outbound Handling Charges Aug 2024"/>
  </r>
  <r>
    <s v="KUEHNE+NAGEL PVT. LTD."/>
    <n v="2025"/>
    <d v="2025-04-15T00:00:00"/>
    <x v="1"/>
    <x v="62"/>
    <n v="256779411468"/>
    <s v="USD"/>
    <n v="26.55"/>
    <s v="INR"/>
    <n v="2307.77"/>
    <s v="Outbound Handling Charges Aug 2024"/>
  </r>
  <r>
    <s v="KUEHNE+NAGEL PVT. LTD."/>
    <n v="2025"/>
    <d v="2025-04-15T00:00:00"/>
    <x v="1"/>
    <x v="62"/>
    <n v="256779411469"/>
    <s v="USD"/>
    <n v="35.4"/>
    <s v="INR"/>
    <n v="3077.03"/>
    <s v="Outbound Handling Charges Aug 2024"/>
  </r>
  <r>
    <s v="KUEHNE+NAGEL PVT. LTD."/>
    <n v="2025"/>
    <d v="2025-10-17T00:00:00"/>
    <x v="0"/>
    <x v="63"/>
    <n v="256779422006"/>
    <s v="USD"/>
    <n v="-94.81"/>
    <s v="INR"/>
    <n v="-8361.3700000000008"/>
    <s v="Credit note raised against 256779418068"/>
  </r>
  <r>
    <s v="KUEHNE+NAGEL PVT. LTD."/>
    <n v="2025"/>
    <d v="2025-04-16T00:00:00"/>
    <x v="1"/>
    <x v="64"/>
    <n v="256779411969"/>
    <s v="USD"/>
    <n v="79.08"/>
    <s v="INR"/>
    <n v="6873.78"/>
    <s v="WHSU5018375-Port SSR Shifting Mar 2025. Exch rate"/>
  </r>
  <r>
    <s v="KUEHNE+NAGEL PVT. LTD."/>
    <n v="2025"/>
    <d v="2025-04-16T00:00:00"/>
    <x v="1"/>
    <x v="64"/>
    <n v="256779411970"/>
    <s v="USD"/>
    <n v="8.66"/>
    <s v="INR"/>
    <n v="752.74"/>
    <s v="WHSU5018375-Port SSR Shifting Mar 2025. Exch rate"/>
  </r>
  <r>
    <s v="KUEHNE+NAGEL PVT. LTD."/>
    <n v="2025"/>
    <d v="2025-04-16T00:00:00"/>
    <x v="1"/>
    <x v="64"/>
    <n v="256779412012"/>
    <s v="USD"/>
    <n v="1051.22"/>
    <s v="INR"/>
    <n v="91373.96"/>
    <s v="VAS Activity - Jan 25, Ex Rate. 86.64"/>
  </r>
  <r>
    <s v="KUEHNE+NAGEL PVT. LTD."/>
    <n v="2025"/>
    <d v="2025-04-16T00:00:00"/>
    <x v="1"/>
    <x v="64"/>
    <n v="256779412053"/>
    <s v="USD"/>
    <n v="985.93"/>
    <s v="INR"/>
    <n v="85698.83"/>
    <s v="VAS Activity - Feb 25, Ex Rate. 87.40"/>
  </r>
  <r>
    <s v="KUEHNE+NAGEL PVT. LTD."/>
    <n v="2025"/>
    <d v="2025-04-16T00:00:00"/>
    <x v="1"/>
    <x v="64"/>
    <n v="256779412091"/>
    <s v="USD"/>
    <n v="96.4"/>
    <s v="INR"/>
    <n v="8379.26"/>
    <s v="VAS Activity - Mar 25, 16-31, Ex Rate. 85.58"/>
  </r>
  <r>
    <s v="KUEHNE+NAGEL PVT. LTD."/>
    <n v="2025"/>
    <d v="2025-04-16T00:00:00"/>
    <x v="1"/>
    <x v="64"/>
    <n v="256779412092"/>
    <s v="USD"/>
    <n v="289.17"/>
    <s v="INR"/>
    <n v="25135.18"/>
    <s v="VAS Activity - Mar 25, 16-31, Ex Rate. 85.58"/>
  </r>
  <r>
    <s v="KUEHNE+NAGEL PVT. LTD."/>
    <n v="2025"/>
    <d v="2025-04-16T00:00:00"/>
    <x v="1"/>
    <x v="64"/>
    <n v="256779412123"/>
    <s v="USD"/>
    <n v="3318.21"/>
    <s v="INR"/>
    <n v="288424.84999999998"/>
    <s v="Storage Charges Mar, 25 Exch Rate 85.58"/>
  </r>
  <r>
    <s v="KUEHNE+NAGEL PVT. LTD."/>
    <n v="2025"/>
    <d v="2025-04-16T00:00:00"/>
    <x v="1"/>
    <x v="64"/>
    <n v="256779411722"/>
    <s v="USD"/>
    <n v="236"/>
    <s v="INR"/>
    <n v="20513.55"/>
    <s v="CY Longstanding Transportation chgs for 31 MAR 202"/>
  </r>
  <r>
    <s v="KUEHNE+NAGEL PVT. LTD."/>
    <n v="2025"/>
    <d v="2025-04-16T00:00:00"/>
    <x v="1"/>
    <x v="64"/>
    <n v="256779411795"/>
    <s v="USD"/>
    <n v="369.34"/>
    <s v="INR"/>
    <n v="32103.7"/>
    <s v="Inbound Handling charges for Dec 2024"/>
  </r>
  <r>
    <s v="KUEHNE+NAGEL PVT. LTD."/>
    <n v="2025"/>
    <d v="2025-04-16T00:00:00"/>
    <x v="1"/>
    <x v="64"/>
    <n v="256779411796"/>
    <s v="USD"/>
    <n v="226.56"/>
    <s v="INR"/>
    <n v="19693.009999999998"/>
    <s v="LCL charges for Dec 2024"/>
  </r>
  <r>
    <s v="KUEHNE+NAGEL PVT. LTD."/>
    <n v="2025"/>
    <d v="2025-04-16T00:00:00"/>
    <x v="1"/>
    <x v="64"/>
    <n v="256779411797"/>
    <s v="USD"/>
    <n v="35.4"/>
    <s v="INR"/>
    <n v="3077.03"/>
    <s v="Cy-WH Destuff charges for Dec 2024"/>
  </r>
  <r>
    <s v="KUEHNE+NAGEL PVT. LTD."/>
    <n v="2025"/>
    <d v="2025-04-16T00:00:00"/>
    <x v="1"/>
    <x v="64"/>
    <n v="256779411798"/>
    <s v="USD"/>
    <n v="236"/>
    <s v="INR"/>
    <n v="20513.55"/>
    <s v="Transportation Inbound charges for Dec 2024"/>
  </r>
  <r>
    <s v="KUEHNE+NAGEL PVT. LTD."/>
    <n v="2025"/>
    <d v="2025-04-16T00:00:00"/>
    <x v="1"/>
    <x v="64"/>
    <n v="256779411799"/>
    <s v="USD"/>
    <n v="70.8"/>
    <s v="INR"/>
    <n v="6154.06"/>
    <s v="Empty Cont. Outbound charges for Dec 2024"/>
  </r>
  <r>
    <s v="KUEHNE+NAGEL PVT. LTD."/>
    <n v="2025"/>
    <d v="2025-04-16T00:00:00"/>
    <x v="1"/>
    <x v="64"/>
    <n v="256779411867"/>
    <s v="USD"/>
    <n v="295"/>
    <s v="INR"/>
    <n v="25641.94"/>
    <s v="Outbound Handling charges for Dec 2024"/>
  </r>
  <r>
    <s v="KUEHNE+NAGEL PVT. LTD."/>
    <n v="2025"/>
    <d v="2025-07-25T00:00:00"/>
    <x v="1"/>
    <x v="65"/>
    <n v="256779415989"/>
    <s v="USD"/>
    <n v="299.83999999999997"/>
    <s v="INR"/>
    <n v="25786.44"/>
    <s v="VAS 16-31 May 25 Ex.85.48"/>
  </r>
  <r>
    <s v="KUEHNE+NAGEL PVT. LTD."/>
    <n v="2025"/>
    <d v="2025-07-25T00:00:00"/>
    <x v="1"/>
    <x v="65"/>
    <n v="256779416007"/>
    <s v="USD"/>
    <n v="421.15"/>
    <s v="INR"/>
    <n v="36219.18"/>
    <s v="Weighment -16-31 May 25, Ex.85.48"/>
  </r>
  <r>
    <s v="KUEHNE+NAGEL PVT. LTD."/>
    <n v="2025"/>
    <d v="2025-03-14T00:00:00"/>
    <x v="1"/>
    <x v="66"/>
    <n v="246779411407"/>
    <s v="USD"/>
    <n v="57.23"/>
    <s v="INR"/>
    <n v="4961.34"/>
    <s v="VAS Activity Charges for the month of August, 24"/>
  </r>
  <r>
    <s v="KUEHNE+NAGEL PVT. LTD."/>
    <n v="2025"/>
    <d v="2025-03-14T00:00:00"/>
    <x v="1"/>
    <x v="66"/>
    <n v="246779411411"/>
    <s v="USD"/>
    <n v="45.79"/>
    <s v="INR"/>
    <n v="3969.59"/>
    <s v="VAS Activity Charges for the month of August, 24"/>
  </r>
  <r>
    <s v="KUEHNE+NAGEL PVT. LTD."/>
    <n v="2025"/>
    <d v="2025-03-14T00:00:00"/>
    <x v="1"/>
    <x v="66"/>
    <n v="246779411412"/>
    <s v="USD"/>
    <n v="20.03"/>
    <s v="INR"/>
    <n v="1736.43"/>
    <s v="VAS Activity Charges for the month of August, 24"/>
  </r>
  <r>
    <s v="KUEHNE+NAGEL PVT. LTD."/>
    <n v="2025"/>
    <d v="2025-03-14T00:00:00"/>
    <x v="1"/>
    <x v="66"/>
    <n v="246779411413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1415"/>
    <s v="USD"/>
    <n v="22.89"/>
    <s v="INR"/>
    <n v="1984.36"/>
    <s v="VAS Activity Charges for the month of August, 24"/>
  </r>
  <r>
    <s v="KUEHNE+NAGEL PVT. LTD."/>
    <n v="2025"/>
    <d v="2025-03-14T00:00:00"/>
    <x v="1"/>
    <x v="66"/>
    <n v="246779411419"/>
    <s v="USD"/>
    <n v="23.35"/>
    <s v="INR"/>
    <n v="2024.24"/>
    <s v="VAS Activity Charges for the month of August, 24"/>
  </r>
  <r>
    <s v="KUEHNE+NAGEL PVT. LTD."/>
    <n v="2025"/>
    <d v="2025-03-14T00:00:00"/>
    <x v="1"/>
    <x v="66"/>
    <n v="246779412207"/>
    <s v="USD"/>
    <n v="312.5"/>
    <s v="INR"/>
    <n v="27091.02"/>
    <s v="VAS Activity Charges for the month of August, 24"/>
  </r>
  <r>
    <s v="KUEHNE+NAGEL PVT. LTD."/>
    <n v="2025"/>
    <d v="2025-03-14T00:00:00"/>
    <x v="1"/>
    <x v="66"/>
    <n v="246779412208"/>
    <s v="USD"/>
    <n v="23.35"/>
    <s v="INR"/>
    <n v="2024.24"/>
    <s v="VAS Activity Charges for the month of August, 24"/>
  </r>
  <r>
    <s v="KUEHNE+NAGEL PVT. LTD."/>
    <n v="2025"/>
    <d v="2025-03-14T00:00:00"/>
    <x v="1"/>
    <x v="66"/>
    <n v="246779412197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2198"/>
    <s v="USD"/>
    <n v="249.55"/>
    <s v="INR"/>
    <n v="21633.8"/>
    <s v="VAS Activity Charges for the month of August, 24"/>
  </r>
  <r>
    <s v="KUEHNE+NAGEL PVT. LTD."/>
    <n v="2025"/>
    <d v="2025-03-14T00:00:00"/>
    <x v="1"/>
    <x v="66"/>
    <n v="246779412199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2200"/>
    <s v="USD"/>
    <n v="45.79"/>
    <s v="INR"/>
    <n v="3969.59"/>
    <s v="VAS Activity Charges for the month of August, 24"/>
  </r>
  <r>
    <s v="KUEHNE+NAGEL PVT. LTD."/>
    <n v="2025"/>
    <d v="2025-03-14T00:00:00"/>
    <x v="1"/>
    <x v="66"/>
    <n v="246779411408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1409"/>
    <s v="USD"/>
    <n v="249.55"/>
    <s v="INR"/>
    <n v="21633.8"/>
    <s v="VAS Activity Charges for the month of August, 24"/>
  </r>
  <r>
    <s v="KUEHNE+NAGEL PVT. LTD."/>
    <n v="2025"/>
    <d v="2025-03-14T00:00:00"/>
    <x v="1"/>
    <x v="66"/>
    <n v="246779411410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1414"/>
    <s v="USD"/>
    <n v="28.62"/>
    <s v="INR"/>
    <n v="2481.1"/>
    <s v="VAS Activity Charges for the month of August, 24"/>
  </r>
  <r>
    <s v="KUEHNE+NAGEL PVT. LTD."/>
    <n v="2025"/>
    <d v="2025-03-14T00:00:00"/>
    <x v="1"/>
    <x v="66"/>
    <n v="246779411416"/>
    <s v="USD"/>
    <n v="114.46"/>
    <s v="INR"/>
    <n v="9922.68"/>
    <s v="VAS Activity Charges for the month of August, 24"/>
  </r>
  <r>
    <s v="KUEHNE+NAGEL PVT. LTD."/>
    <n v="2025"/>
    <d v="2025-03-14T00:00:00"/>
    <x v="1"/>
    <x v="66"/>
    <n v="246779411417"/>
    <s v="USD"/>
    <n v="68.680000000000007"/>
    <s v="INR"/>
    <n v="5953.96"/>
    <s v="VAS Activity Charges for the month of August, 24"/>
  </r>
  <r>
    <s v="KUEHNE+NAGEL PVT. LTD."/>
    <n v="2025"/>
    <d v="2025-03-14T00:00:00"/>
    <x v="1"/>
    <x v="66"/>
    <n v="246779411418"/>
    <s v="USD"/>
    <n v="312.5"/>
    <s v="INR"/>
    <n v="27091.02"/>
    <s v="VAS Activity Charges for the month of August, 24"/>
  </r>
  <r>
    <s v="KUEHNE+NAGEL PVT. LTD."/>
    <n v="2025"/>
    <d v="2025-03-14T00:00:00"/>
    <x v="1"/>
    <x v="66"/>
    <n v="246779412202"/>
    <s v="USD"/>
    <n v="40.06"/>
    <s v="INR"/>
    <n v="3472.85"/>
    <s v="VAS Activity Charges for the month of August, 24"/>
  </r>
  <r>
    <s v="KUEHNE+NAGEL PVT. LTD."/>
    <n v="2025"/>
    <d v="2025-03-14T00:00:00"/>
    <x v="1"/>
    <x v="66"/>
    <n v="246779412203"/>
    <s v="USD"/>
    <n v="28.62"/>
    <s v="INR"/>
    <n v="2481.1"/>
    <s v="VAS Activity Charges for the month of August, 24"/>
  </r>
  <r>
    <s v="KUEHNE+NAGEL PVT. LTD."/>
    <n v="2025"/>
    <d v="2025-03-14T00:00:00"/>
    <x v="1"/>
    <x v="66"/>
    <n v="246779412204"/>
    <s v="USD"/>
    <n v="22.89"/>
    <s v="INR"/>
    <n v="1984.36"/>
    <s v="VAS Activity Charges for the month of August, 24"/>
  </r>
  <r>
    <s v="KUEHNE+NAGEL PVT. LTD."/>
    <n v="2025"/>
    <d v="2025-03-14T00:00:00"/>
    <x v="1"/>
    <x v="66"/>
    <n v="246779412205"/>
    <s v="USD"/>
    <n v="114.46"/>
    <s v="INR"/>
    <n v="9922.68"/>
    <s v="VAS Activity Charges for the month of August, 24"/>
  </r>
  <r>
    <s v="KUEHNE+NAGEL PVT. LTD."/>
    <n v="2025"/>
    <d v="2025-03-14T00:00:00"/>
    <x v="1"/>
    <x v="66"/>
    <n v="246779412206"/>
    <s v="USD"/>
    <n v="68.680000000000007"/>
    <s v="INR"/>
    <n v="5953.96"/>
    <s v="VAS Activity Charges for the month of August, 24"/>
  </r>
  <r>
    <s v="KUEHNE+NAGEL PVT. LTD."/>
    <n v="2025"/>
    <d v="2025-03-14T00:00:00"/>
    <x v="1"/>
    <x v="66"/>
    <n v="246779412196"/>
    <s v="USD"/>
    <n v="57.23"/>
    <s v="INR"/>
    <n v="4961.34"/>
    <s v="VAS Activity Charges for the month of August, 24"/>
  </r>
  <r>
    <s v="KUEHNE+NAGEL PVT. LTD."/>
    <n v="2025"/>
    <d v="2025-03-14T00:00:00"/>
    <x v="1"/>
    <x v="66"/>
    <n v="246779412201"/>
    <s v="USD"/>
    <n v="20.03"/>
    <s v="INR"/>
    <n v="1736.43"/>
    <s v="VAS Activity Charges for the month of August, 24"/>
  </r>
  <r>
    <s v="KUEHNE+NAGEL PVT. LTD."/>
    <n v="2025"/>
    <d v="2025-07-10T00:00:00"/>
    <x v="1"/>
    <x v="0"/>
    <n v="256779415289"/>
    <s v="USD"/>
    <n v="250"/>
    <s v="INR"/>
    <n v="21500.17"/>
    <s v="Outbound Handling charges for Dec 2024"/>
  </r>
  <r>
    <s v="KUEHNE+NAGEL PVT. LTD."/>
    <n v="2025"/>
    <d v="2025-07-10T00:00:00"/>
    <x v="1"/>
    <x v="0"/>
    <n v="256779415290"/>
    <s v="USD"/>
    <n v="24"/>
    <s v="INR"/>
    <n v="2064.02"/>
    <s v="LCL charges for Jan 2025"/>
  </r>
  <r>
    <s v="KUEHNE+NAGEL PVT. LTD."/>
    <n v="2025"/>
    <d v="2025-07-10T00:00:00"/>
    <x v="1"/>
    <x v="0"/>
    <n v="256779415291"/>
    <s v="USD"/>
    <n v="24"/>
    <s v="INR"/>
    <n v="2064.02"/>
    <s v="LCL Charges August 2024"/>
  </r>
  <r>
    <s v="KUEHNE+NAGEL PVT. LTD."/>
    <n v="2025"/>
    <d v="2025-07-10T00:00:00"/>
    <x v="1"/>
    <x v="0"/>
    <n v="256779415292"/>
    <s v="USD"/>
    <n v="24"/>
    <s v="INR"/>
    <n v="2064.02"/>
    <s v="LCL Charges August 2024"/>
  </r>
  <r>
    <s v="KUEHNE+NAGEL PVT. LTD."/>
    <n v="2025"/>
    <d v="2025-07-10T00:00:00"/>
    <x v="1"/>
    <x v="0"/>
    <n v="256779415293"/>
    <s v="USD"/>
    <n v="24"/>
    <s v="INR"/>
    <n v="2064.02"/>
    <s v="LCL Charges August 2024"/>
  </r>
  <r>
    <s v="KUEHNE+NAGEL PVT. LTD."/>
    <n v="2025"/>
    <d v="2025-07-10T00:00:00"/>
    <x v="1"/>
    <x v="0"/>
    <n v="256779415294"/>
    <s v="USD"/>
    <n v="24"/>
    <s v="INR"/>
    <n v="2064.02"/>
    <s v="LCL Charges August 2024"/>
  </r>
  <r>
    <s v="KUEHNE+NAGEL PVT. LTD."/>
    <n v="2025"/>
    <d v="2025-07-10T00:00:00"/>
    <x v="1"/>
    <x v="0"/>
    <n v="256779415295"/>
    <s v="USD"/>
    <n v="24"/>
    <s v="INR"/>
    <n v="2064.02"/>
    <s v="LCL Charges August 2024"/>
  </r>
  <r>
    <s v="KUEHNE+NAGEL PVT. LTD."/>
    <n v="2025"/>
    <d v="2025-07-10T00:00:00"/>
    <x v="1"/>
    <x v="0"/>
    <n v="256779415296"/>
    <s v="USD"/>
    <n v="24"/>
    <s v="INR"/>
    <n v="2064.02"/>
    <s v="LCL Charges August 2024"/>
  </r>
  <r>
    <s v="KUEHNE+NAGEL PVT. LTD."/>
    <n v="2025"/>
    <d v="2025-07-10T00:00:00"/>
    <x v="1"/>
    <x v="0"/>
    <n v="256779415297"/>
    <s v="USD"/>
    <n v="24"/>
    <s v="INR"/>
    <n v="2064.02"/>
    <s v="LCL Charges August 2024"/>
  </r>
  <r>
    <s v="KUEHNE+NAGEL PVT. LTD."/>
    <n v="2025"/>
    <d v="2025-07-10T00:00:00"/>
    <x v="1"/>
    <x v="0"/>
    <n v="256779415298"/>
    <s v="USD"/>
    <n v="24"/>
    <s v="INR"/>
    <n v="2064.02"/>
    <s v="LCL Charges August 2024"/>
  </r>
  <r>
    <s v="KUEHNE+NAGEL PVT. LTD."/>
    <n v="2025"/>
    <d v="2025-07-10T00:00:00"/>
    <x v="1"/>
    <x v="0"/>
    <n v="256779415299"/>
    <s v="USD"/>
    <n v="24"/>
    <s v="INR"/>
    <n v="2064.02"/>
    <s v="LCL Charges August 2024"/>
  </r>
  <r>
    <s v="KUEHNE+NAGEL PVT. LTD."/>
    <n v="2025"/>
    <d v="2025-07-10T00:00:00"/>
    <x v="1"/>
    <x v="0"/>
    <n v="256779415300"/>
    <s v="USD"/>
    <n v="24"/>
    <s v="INR"/>
    <n v="2064.02"/>
    <s v="LCL Charges August 2024"/>
  </r>
  <r>
    <s v="KUEHNE+NAGEL PVT. LTD."/>
    <n v="2025"/>
    <d v="2025-07-10T00:00:00"/>
    <x v="1"/>
    <x v="0"/>
    <n v="256779415301"/>
    <s v="USD"/>
    <n v="30"/>
    <s v="INR"/>
    <n v="2580.02"/>
    <s v="Cy-WH Destuff charges for Sep 2024"/>
  </r>
  <r>
    <s v="KUEHNE+NAGEL PVT. LTD."/>
    <n v="2025"/>
    <d v="2025-07-10T00:00:00"/>
    <x v="1"/>
    <x v="0"/>
    <n v="256779415302"/>
    <s v="USD"/>
    <n v="30"/>
    <s v="INR"/>
    <n v="2580.02"/>
    <s v="Outbound Handling charges for Jan 2025"/>
  </r>
  <r>
    <s v="KUEHNE+NAGEL PVT. LTD."/>
    <n v="2025"/>
    <d v="2025-07-10T00:00:00"/>
    <x v="1"/>
    <x v="0"/>
    <n v="256779415309"/>
    <s v="USD"/>
    <n v="30"/>
    <s v="INR"/>
    <n v="2580.02"/>
    <s v="Cy-WH Destuff charges for Dec 2024"/>
  </r>
  <r>
    <s v="KUEHNE+NAGEL PVT. LTD."/>
    <n v="2025"/>
    <d v="2025-07-10T00:00:00"/>
    <x v="1"/>
    <x v="0"/>
    <n v="256779415310"/>
    <s v="USD"/>
    <n v="30"/>
    <s v="INR"/>
    <n v="2580.02"/>
    <s v="Cy-WH Destuff charges for 31 Mar 2025"/>
  </r>
  <r>
    <s v="KUEHNE+NAGEL PVT. LTD."/>
    <n v="2025"/>
    <d v="2025-07-10T00:00:00"/>
    <x v="1"/>
    <x v="0"/>
    <n v="256779415311"/>
    <s v="USD"/>
    <n v="77.48"/>
    <s v="INR"/>
    <n v="6663.33"/>
    <s v="Inbound Handling charges for Jan 2025"/>
  </r>
  <r>
    <s v="KUEHNE+NAGEL PVT. LTD."/>
    <n v="2025"/>
    <d v="2025-07-10T00:00:00"/>
    <x v="1"/>
    <x v="0"/>
    <n v="256779415312"/>
    <s v="USD"/>
    <n v="200"/>
    <s v="INR"/>
    <n v="17200.13"/>
    <s v="Transportation Inbound charges for Jan 2025"/>
  </r>
  <r>
    <s v="KUEHNE+NAGEL PVT. LTD."/>
    <n v="2025"/>
    <d v="2025-07-10T00:00:00"/>
    <x v="1"/>
    <x v="0"/>
    <n v="256779415313"/>
    <s v="USD"/>
    <n v="60"/>
    <s v="INR"/>
    <n v="5160.04"/>
    <s v="Empty Cont Outbound charges for Jan 2025"/>
  </r>
  <r>
    <s v="KUEHNE+NAGEL PVT. LTD."/>
    <n v="2025"/>
    <d v="2025-07-10T00:00:00"/>
    <x v="1"/>
    <x v="0"/>
    <n v="256779415314"/>
    <s v="USD"/>
    <n v="179.14"/>
    <s v="INR"/>
    <n v="15406.16"/>
    <s v="Inbound Handling charges for Feb 2025"/>
  </r>
  <r>
    <s v="KUEHNE+NAGEL PVT. LTD."/>
    <n v="2025"/>
    <d v="2025-07-10T00:00:00"/>
    <x v="1"/>
    <x v="0"/>
    <n v="256779415315"/>
    <s v="USD"/>
    <n v="120"/>
    <s v="INR"/>
    <n v="10320.08"/>
    <s v="LCL Movement Charges for Feb 2025"/>
  </r>
  <r>
    <s v="KUEHNE+NAGEL PVT. LTD."/>
    <n v="2025"/>
    <d v="2025-07-10T00:00:00"/>
    <x v="1"/>
    <x v="0"/>
    <n v="256779415316"/>
    <s v="USD"/>
    <n v="60"/>
    <s v="INR"/>
    <n v="5160.04"/>
    <s v="Empty transportation Charges for Feb 2025"/>
  </r>
  <r>
    <s v="KUEHNE+NAGEL PVT. LTD."/>
    <n v="2025"/>
    <d v="2025-07-10T00:00:00"/>
    <x v="1"/>
    <x v="0"/>
    <n v="256779415317"/>
    <s v="USD"/>
    <n v="200"/>
    <s v="INR"/>
    <n v="17200.13"/>
    <s v="Transportation Charges for Feb 2025"/>
  </r>
  <r>
    <s v="KUEHNE+NAGEL PVT. LTD."/>
    <n v="2025"/>
    <d v="2025-07-10T00:00:00"/>
    <x v="1"/>
    <x v="0"/>
    <n v="256779415318"/>
    <s v="USD"/>
    <n v="254.65"/>
    <s v="INR"/>
    <n v="21900.07"/>
    <s v="Outbound Handling charges for Oct 2024"/>
  </r>
  <r>
    <s v="KUEHNE+NAGEL PVT. LTD."/>
    <n v="2025"/>
    <d v="2025-07-10T00:00:00"/>
    <x v="1"/>
    <x v="0"/>
    <n v="256779415319"/>
    <s v="USD"/>
    <n v="140.16999999999999"/>
    <s v="INR"/>
    <n v="12054.71"/>
    <s v="Outbound Handling charges for Jan 2025"/>
  </r>
  <r>
    <s v="KUEHNE+NAGEL PVT. LTD."/>
    <n v="2025"/>
    <d v="2025-07-10T00:00:00"/>
    <x v="1"/>
    <x v="0"/>
    <n v="256779415320"/>
    <s v="USD"/>
    <n v="12.5"/>
    <s v="INR"/>
    <n v="1075.01"/>
    <s v="Inbound Handling charges for Jan 2025"/>
  </r>
  <r>
    <s v="KUEHNE+NAGEL PVT. LTD."/>
    <n v="2025"/>
    <d v="2025-07-10T00:00:00"/>
    <x v="1"/>
    <x v="0"/>
    <n v="256779415322"/>
    <s v="USD"/>
    <n v="192"/>
    <s v="INR"/>
    <n v="16512.13"/>
    <s v="LCL charges for  Sep 2024"/>
  </r>
  <r>
    <s v="KUEHNE+NAGEL PVT. LTD."/>
    <n v="2025"/>
    <d v="2025-07-10T00:00:00"/>
    <x v="1"/>
    <x v="0"/>
    <n v="256779415323"/>
    <s v="USD"/>
    <n v="211.75"/>
    <s v="INR"/>
    <n v="18210.64"/>
    <s v="Outbound Handling charges for Sep 2024"/>
  </r>
  <r>
    <s v="KUEHNE+NAGEL PVT. LTD."/>
    <n v="2025"/>
    <d v="2025-07-10T00:00:00"/>
    <x v="1"/>
    <x v="0"/>
    <n v="256779415324"/>
    <s v="USD"/>
    <n v="146.65"/>
    <s v="INR"/>
    <n v="12612"/>
    <s v="Inbound Handling charges for Jan 2025"/>
  </r>
  <r>
    <s v="KUEHNE+NAGEL PVT. LTD."/>
    <n v="2025"/>
    <d v="2025-07-10T00:00:00"/>
    <x v="1"/>
    <x v="0"/>
    <n v="256779415325"/>
    <s v="USD"/>
    <n v="192"/>
    <s v="INR"/>
    <n v="16512.13"/>
    <s v="LCL charges for Jan 2025"/>
  </r>
  <r>
    <s v="KUEHNE+NAGEL PVT. LTD."/>
    <n v="2025"/>
    <d v="2025-07-10T00:00:00"/>
    <x v="1"/>
    <x v="0"/>
    <n v="256779415326"/>
    <s v="USD"/>
    <n v="185.05"/>
    <s v="INR"/>
    <n v="15914.42"/>
    <s v="Outbound Handling charges for Feb 2025"/>
  </r>
  <r>
    <s v="KUEHNE+NAGEL PVT. LTD."/>
    <n v="2025"/>
    <d v="2025-07-10T00:00:00"/>
    <x v="1"/>
    <x v="0"/>
    <n v="256779415327"/>
    <s v="USD"/>
    <n v="20"/>
    <s v="INR"/>
    <n v="1720.01"/>
    <s v="Outbound Handling charges for Jan 2025"/>
  </r>
  <r>
    <s v="KUEHNE+NAGEL PVT. LTD."/>
    <n v="2025"/>
    <d v="2025-07-10T00:00:00"/>
    <x v="1"/>
    <x v="0"/>
    <n v="256779415328"/>
    <s v="USD"/>
    <n v="22.5"/>
    <s v="INR"/>
    <n v="1935.02"/>
    <s v="Outbound Handling charges for Jan 2025"/>
  </r>
  <r>
    <s v="KUEHNE+NAGEL PVT. LTD."/>
    <n v="2025"/>
    <d v="2025-07-10T00:00:00"/>
    <x v="1"/>
    <x v="0"/>
    <n v="256779415329"/>
    <s v="USD"/>
    <n v="27.5"/>
    <s v="INR"/>
    <n v="2365.02"/>
    <s v="Outbound Handling charges for Jan 2025"/>
  </r>
  <r>
    <s v="KUEHNE+NAGEL PVT. LTD."/>
    <n v="2025"/>
    <d v="2025-07-10T00:00:00"/>
    <x v="1"/>
    <x v="0"/>
    <n v="256779415330"/>
    <s v="USD"/>
    <n v="22.5"/>
    <s v="INR"/>
    <n v="1935.02"/>
    <s v="Outbound Handling charges for Jan 2025"/>
  </r>
  <r>
    <s v="KUEHNE+NAGEL PVT. LTD."/>
    <n v="2025"/>
    <d v="2025-07-10T00:00:00"/>
    <x v="1"/>
    <x v="0"/>
    <n v="256779415331"/>
    <s v="USD"/>
    <n v="22.5"/>
    <s v="INR"/>
    <n v="1935.02"/>
    <s v="Outbound Handling charges for Jan 2025"/>
  </r>
  <r>
    <s v="KUEHNE+NAGEL PVT. LTD."/>
    <n v="2025"/>
    <d v="2025-07-10T00:00:00"/>
    <x v="1"/>
    <x v="0"/>
    <n v="256779415332"/>
    <s v="USD"/>
    <n v="2.5"/>
    <s v="INR"/>
    <n v="215"/>
    <s v="Outbound Handling charges for Jan 2025"/>
  </r>
  <r>
    <s v="KUEHNE+NAGEL PVT. LTD."/>
    <n v="2025"/>
    <d v="2025-07-10T00:00:00"/>
    <x v="1"/>
    <x v="0"/>
    <n v="256779415333"/>
    <s v="USD"/>
    <n v="22.5"/>
    <s v="INR"/>
    <n v="1935.02"/>
    <s v="Inbound Handling for August 24"/>
  </r>
  <r>
    <s v="KUEHNE+NAGEL PVT. LTD."/>
    <n v="2025"/>
    <d v="2025-07-10T00:00:00"/>
    <x v="1"/>
    <x v="0"/>
    <n v="256779415334"/>
    <s v="USD"/>
    <n v="22.5"/>
    <s v="INR"/>
    <n v="1935.02"/>
    <s v="Inbound Handling for August 24"/>
  </r>
  <r>
    <s v="KUEHNE+NAGEL PVT. LTD."/>
    <n v="2025"/>
    <d v="2025-07-10T00:00:00"/>
    <x v="1"/>
    <x v="0"/>
    <n v="256779415335"/>
    <s v="USD"/>
    <n v="25"/>
    <s v="INR"/>
    <n v="2150.02"/>
    <s v="Inbound Handling for August 24"/>
  </r>
  <r>
    <s v="KUEHNE+NAGEL PVT. LTD."/>
    <n v="2025"/>
    <d v="2025-07-10T00:00:00"/>
    <x v="1"/>
    <x v="0"/>
    <n v="256779415337"/>
    <s v="USD"/>
    <n v="17.5"/>
    <s v="INR"/>
    <n v="1505.01"/>
    <s v="Inbound Handling for August 24"/>
  </r>
  <r>
    <s v="KUEHNE+NAGEL PVT. LTD."/>
    <n v="2025"/>
    <d v="2025-07-10T00:00:00"/>
    <x v="1"/>
    <x v="0"/>
    <n v="256779415338"/>
    <s v="USD"/>
    <n v="12.5"/>
    <s v="INR"/>
    <n v="1075.01"/>
    <s v="Inbound Handling for August 24"/>
  </r>
  <r>
    <s v="KUEHNE+NAGEL PVT. LTD."/>
    <n v="2025"/>
    <d v="2025-07-10T00:00:00"/>
    <x v="1"/>
    <x v="0"/>
    <n v="256779415340"/>
    <s v="USD"/>
    <n v="25.84"/>
    <s v="INR"/>
    <n v="2222.2600000000002"/>
    <s v="Inbound Handling for August 24"/>
  </r>
  <r>
    <s v="KUEHNE+NAGEL PVT. LTD."/>
    <n v="2025"/>
    <d v="2025-07-10T00:00:00"/>
    <x v="1"/>
    <x v="0"/>
    <n v="256779415341"/>
    <s v="USD"/>
    <n v="15"/>
    <s v="INR"/>
    <n v="1290.01"/>
    <s v="Inbound Handling for August 24"/>
  </r>
  <r>
    <s v="KUEHNE+NAGEL PVT. LTD."/>
    <n v="2025"/>
    <d v="2025-07-10T00:00:00"/>
    <x v="1"/>
    <x v="0"/>
    <n v="256779415342"/>
    <s v="USD"/>
    <n v="2.5"/>
    <s v="INR"/>
    <n v="215"/>
    <s v="Inbound Handling for August 24"/>
  </r>
  <r>
    <s v="KUEHNE+NAGEL PVT. LTD."/>
    <n v="2025"/>
    <d v="2025-07-10T00:00:00"/>
    <x v="1"/>
    <x v="0"/>
    <n v="256779415343"/>
    <s v="USD"/>
    <n v="1"/>
    <s v="INR"/>
    <n v="86"/>
    <s v="Loose Unloading Charges August 2024"/>
  </r>
  <r>
    <s v="KUEHNE+NAGEL PVT. LTD."/>
    <n v="2025"/>
    <d v="2025-07-10T00:00:00"/>
    <x v="1"/>
    <x v="0"/>
    <n v="256779415344"/>
    <s v="USD"/>
    <n v="25"/>
    <s v="INR"/>
    <n v="2150.02"/>
    <s v="Outbound Handling Charges Aug 2024"/>
  </r>
  <r>
    <s v="KUEHNE+NAGEL PVT. LTD."/>
    <n v="2025"/>
    <d v="2025-07-10T00:00:00"/>
    <x v="1"/>
    <x v="0"/>
    <n v="256779415345"/>
    <s v="USD"/>
    <n v="25"/>
    <s v="INR"/>
    <n v="2150.02"/>
    <s v="Outbound Handling Charges Aug 2024"/>
  </r>
  <r>
    <s v="KUEHNE+NAGEL PVT. LTD."/>
    <n v="2025"/>
    <d v="2025-07-10T00:00:00"/>
    <x v="1"/>
    <x v="0"/>
    <n v="256779415346"/>
    <s v="USD"/>
    <n v="17.5"/>
    <s v="INR"/>
    <n v="1505.01"/>
    <s v="Outbound Handling Charges Aug 2024"/>
  </r>
  <r>
    <s v="KUEHNE+NAGEL PVT. LTD."/>
    <n v="2025"/>
    <d v="2025-07-10T00:00:00"/>
    <x v="1"/>
    <x v="0"/>
    <n v="256779415347"/>
    <s v="USD"/>
    <n v="20"/>
    <s v="INR"/>
    <n v="1720.01"/>
    <s v="Outbound Handling Charges Aug 2024"/>
  </r>
  <r>
    <s v="KUEHNE+NAGEL PVT. LTD."/>
    <n v="2025"/>
    <d v="2025-07-10T00:00:00"/>
    <x v="1"/>
    <x v="0"/>
    <n v="256779415348"/>
    <s v="USD"/>
    <n v="7.5"/>
    <s v="INR"/>
    <n v="645.01"/>
    <s v="Outbound Handling Charges Aug 2024"/>
  </r>
  <r>
    <s v="KUEHNE+NAGEL PVT. LTD."/>
    <n v="2025"/>
    <d v="2025-07-10T00:00:00"/>
    <x v="1"/>
    <x v="0"/>
    <n v="256779415349"/>
    <s v="USD"/>
    <n v="27.5"/>
    <s v="INR"/>
    <n v="2365.02"/>
    <s v="Outbound Handling Charges Aug 2024"/>
  </r>
  <r>
    <s v="KUEHNE+NAGEL PVT. LTD."/>
    <n v="2025"/>
    <d v="2025-07-10T00:00:00"/>
    <x v="1"/>
    <x v="0"/>
    <n v="256779415350"/>
    <s v="USD"/>
    <n v="22.5"/>
    <s v="INR"/>
    <n v="1935.02"/>
    <s v="Outbound Handling Charges Aug 2024"/>
  </r>
  <r>
    <s v="KUEHNE+NAGEL PVT. LTD."/>
    <n v="2025"/>
    <d v="2025-07-10T00:00:00"/>
    <x v="1"/>
    <x v="0"/>
    <n v="256779415351"/>
    <s v="USD"/>
    <n v="17.03"/>
    <s v="INR"/>
    <n v="1464.59"/>
    <s v="WHSU5159898-Port SSR Storage Feb 2025. Exch rate -"/>
  </r>
  <r>
    <s v="KUEHNE+NAGEL PVT. LTD."/>
    <n v="2025"/>
    <d v="2025-07-10T00:00:00"/>
    <x v="1"/>
    <x v="0"/>
    <n v="256779415352"/>
    <s v="USD"/>
    <n v="155.91999999999999"/>
    <s v="INR"/>
    <n v="13409.22"/>
    <s v="Outbound Handling charges for Mar 25"/>
  </r>
  <r>
    <s v="KUEHNE+NAGEL PVT. LTD."/>
    <n v="2025"/>
    <d v="2025-07-10T00:00:00"/>
    <x v="1"/>
    <x v="0"/>
    <n v="256779415353"/>
    <s v="USD"/>
    <n v="200"/>
    <s v="INR"/>
    <n v="17200.13"/>
    <s v="Transportation Inbound charges for Jan 2025"/>
  </r>
  <r>
    <s v="KUEHNE+NAGEL PVT. LTD."/>
    <n v="2025"/>
    <d v="2025-07-10T00:00:00"/>
    <x v="1"/>
    <x v="0"/>
    <n v="256779415354"/>
    <s v="USD"/>
    <n v="60"/>
    <s v="INR"/>
    <n v="5160.04"/>
    <s v="Empty Cont Out charges for Jan 2025"/>
  </r>
  <r>
    <s v="KUEHNE+NAGEL PVT. LTD."/>
    <n v="2025"/>
    <d v="2025-07-10T00:00:00"/>
    <x v="1"/>
    <x v="0"/>
    <n v="256779415355"/>
    <s v="USD"/>
    <n v="21.37"/>
    <s v="INR"/>
    <n v="1837.83"/>
    <s v="Inbound Handling charges for Mar 2025"/>
  </r>
  <r>
    <s v="KUEHNE+NAGEL PVT. LTD."/>
    <n v="2025"/>
    <d v="2025-07-10T00:00:00"/>
    <x v="1"/>
    <x v="0"/>
    <n v="256779415356"/>
    <s v="USD"/>
    <n v="72"/>
    <s v="INR"/>
    <n v="6192.05"/>
    <s v="LCL charges for Mar 2025"/>
  </r>
  <r>
    <s v="KUEHNE+NAGEL PVT. LTD."/>
    <n v="2025"/>
    <d v="2025-07-10T00:00:00"/>
    <x v="1"/>
    <x v="0"/>
    <n v="256779415357"/>
    <s v="USD"/>
    <n v="207.27"/>
    <s v="INR"/>
    <n v="17825.36"/>
    <s v="Inbound Handling charges for 31 Mar 2025"/>
  </r>
  <r>
    <s v="KUEHNE+NAGEL PVT. LTD."/>
    <n v="2025"/>
    <d v="2025-07-10T00:00:00"/>
    <x v="1"/>
    <x v="0"/>
    <n v="256779415358"/>
    <s v="USD"/>
    <n v="96"/>
    <s v="INR"/>
    <n v="8256.06"/>
    <s v="LCL charges for 31 Mar 2025"/>
  </r>
  <r>
    <s v="KUEHNE+NAGEL PVT. LTD."/>
    <n v="2025"/>
    <d v="2025-07-10T00:00:00"/>
    <x v="1"/>
    <x v="0"/>
    <n v="256779415359"/>
    <s v="USD"/>
    <n v="200"/>
    <s v="INR"/>
    <n v="17200.13"/>
    <s v="Transportation Inbound charges for 31 Mar 2025"/>
  </r>
  <r>
    <s v="KUEHNE+NAGEL PVT. LTD."/>
    <n v="2025"/>
    <d v="2025-07-10T00:00:00"/>
    <x v="1"/>
    <x v="0"/>
    <n v="256779415360"/>
    <s v="USD"/>
    <n v="60"/>
    <s v="INR"/>
    <n v="5160.04"/>
    <s v="Empty Cont. Outbound charges for 31 Mar 2025"/>
  </r>
  <r>
    <s v="KUEHNE+NAGEL PVT. LTD."/>
    <n v="2025"/>
    <d v="2025-07-10T00:00:00"/>
    <x v="1"/>
    <x v="0"/>
    <n v="256779415361"/>
    <s v="USD"/>
    <n v="67.5"/>
    <s v="INR"/>
    <n v="5805.05"/>
    <s v="Outbound Handling charges for 31 Mar 25"/>
  </r>
  <r>
    <s v="KUEHNE+NAGEL PVT. LTD."/>
    <n v="2025"/>
    <d v="2025-07-10T00:00:00"/>
    <x v="1"/>
    <x v="0"/>
    <n v="256779415362"/>
    <s v="USD"/>
    <n v="3"/>
    <s v="INR"/>
    <n v="258"/>
    <s v="Outbound Handling for Aug 2024"/>
  </r>
  <r>
    <s v="KUEHNE+NAGEL PVT. LTD."/>
    <n v="2025"/>
    <d v="2025-07-10T00:00:00"/>
    <x v="1"/>
    <x v="0"/>
    <n v="256779415363"/>
    <s v="USD"/>
    <n v="3"/>
    <s v="INR"/>
    <n v="258"/>
    <s v="Outbound Handling for Aug 2024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7-23T00:00:00"/>
    <x v="2"/>
    <x v="67"/>
    <s v=""/>
    <s v="USD"/>
    <n v="0"/>
    <s v="INR"/>
    <n v="0"/>
    <s v=""/>
  </r>
  <r>
    <s v="KUEHNE+NAGEL PVT. LTD."/>
    <n v="2025"/>
    <d v="2025-04-11T00:00:00"/>
    <x v="3"/>
    <x v="68"/>
    <s v=""/>
    <s v="INR"/>
    <n v="1"/>
    <s v="INR"/>
    <n v="1"/>
    <s v="Overpayment"/>
  </r>
  <r>
    <s v="KUEHNE+NAGEL PVT. LTD."/>
    <n v="2025"/>
    <d v="2025-04-11T00:00:00"/>
    <x v="3"/>
    <x v="68"/>
    <s v=""/>
    <s v="INR"/>
    <n v="-1"/>
    <s v="INR"/>
    <n v="-1"/>
    <s v="Overpayment"/>
  </r>
  <r>
    <s v="KUEHNE+NAGEL PVT. LTD."/>
    <n v="2025"/>
    <d v="2025-09-02T00:00:00"/>
    <x v="4"/>
    <x v="69"/>
    <s v=""/>
    <s v="INR"/>
    <n v="212521.54"/>
    <s v="INR"/>
    <n v="208845.74"/>
    <s v=""/>
  </r>
  <r>
    <s v="KUEHNE+NAGEL PVT. LTD."/>
    <n v="2025"/>
    <d v="2025-09-02T00:00:00"/>
    <x v="4"/>
    <x v="69"/>
    <s v=""/>
    <s v="INR"/>
    <n v="-212521.54"/>
    <s v="INR"/>
    <n v="-207607.52"/>
    <s v=""/>
  </r>
  <r>
    <s v="KUEHNE+NAGEL PVT. LTD."/>
    <n v="2025"/>
    <d v="2025-11-13T00:00:00"/>
    <x v="2"/>
    <x v="70"/>
    <s v=""/>
    <s v="USD"/>
    <n v="4603.4799999999996"/>
    <s v="INR"/>
    <n v="396450.85"/>
    <s v=""/>
  </r>
  <r>
    <s v="KUEHNE+NAGEL PVT. LTD."/>
    <n v="2025"/>
    <d v="2025-11-13T00:00:00"/>
    <x v="2"/>
    <x v="70"/>
    <s v=""/>
    <s v="USD"/>
    <n v="2.98"/>
    <s v="INR"/>
    <n v="262.20999999999998"/>
    <s v=""/>
  </r>
  <r>
    <s v="KUEHNE+NAGEL PVT. LTD."/>
    <n v="2025"/>
    <d v="2025-11-13T00:00:00"/>
    <x v="2"/>
    <x v="70"/>
    <s v=""/>
    <s v="USD"/>
    <n v="-2.98"/>
    <s v="INR"/>
    <n v="-262.20999999999998"/>
    <s v=""/>
  </r>
  <r>
    <s v="KUEHNE+NAGEL PVT. LTD."/>
    <n v="2025"/>
    <d v="2025-11-13T00:00:00"/>
    <x v="2"/>
    <x v="70"/>
    <s v=""/>
    <s v="USD"/>
    <n v="5558.96"/>
    <s v="INR"/>
    <n v="478086.37"/>
    <s v=""/>
  </r>
  <r>
    <s v="KUEHNE+NAGEL PVT. LTD."/>
    <n v="2025"/>
    <d v="2025-11-13T00:00:00"/>
    <x v="2"/>
    <x v="70"/>
    <s v=""/>
    <s v="USD"/>
    <n v="-3891.99"/>
    <s v="INR"/>
    <n v="-338298.81"/>
    <s v=""/>
  </r>
  <r>
    <s v="KUEHNE+NAGEL PVT. LTD."/>
    <n v="2025"/>
    <d v="2025-11-13T00:00:00"/>
    <x v="2"/>
    <x v="70"/>
    <s v=""/>
    <s v="USD"/>
    <n v="-6270.45"/>
    <s v="INR"/>
    <n v="-536832.30000000005"/>
    <s v=""/>
  </r>
  <r>
    <s v="KUEHNE+NAGEL PVT. LTD."/>
    <n v="2025"/>
    <d v="2025-11-13T00:00:00"/>
    <x v="2"/>
    <x v="70"/>
    <s v=""/>
    <s v="INR"/>
    <n v="77508.990000000005"/>
    <s v="INR"/>
    <n v="75771.03"/>
    <s v=""/>
  </r>
  <r>
    <s v="KUEHNE+NAGEL PVT. LTD."/>
    <n v="2025"/>
    <d v="2025-11-13T00:00:00"/>
    <x v="2"/>
    <x v="70"/>
    <s v=""/>
    <s v="INR"/>
    <n v="-20130.78"/>
    <s v="INR"/>
    <n v="-20130.78"/>
    <s v=""/>
  </r>
  <r>
    <s v="KUEHNE+NAGEL PVT. LTD."/>
    <n v="2025"/>
    <d v="2025-11-13T00:00:00"/>
    <x v="2"/>
    <x v="70"/>
    <s v=""/>
    <s v="INR"/>
    <n v="-746.27"/>
    <s v="INR"/>
    <n v="-746.27"/>
    <s v=""/>
  </r>
  <r>
    <s v="KUEHNE+NAGEL PVT. LTD."/>
    <n v="2025"/>
    <d v="2025-11-13T00:00:00"/>
    <x v="2"/>
    <x v="70"/>
    <s v=""/>
    <s v="INR"/>
    <n v="-24772.95"/>
    <s v="INR"/>
    <n v="-24772.95"/>
    <s v=""/>
  </r>
  <r>
    <s v="KUEHNE+NAGEL PVT. LTD."/>
    <n v="2025"/>
    <d v="2025-11-13T00:00:00"/>
    <x v="2"/>
    <x v="70"/>
    <s v=""/>
    <s v="INR"/>
    <n v="-31858.99"/>
    <s v="INR"/>
    <n v="-31858.99"/>
    <s v=""/>
  </r>
  <r>
    <s v="KUEHNE+NAGEL PVT. LTD."/>
    <n v="2025"/>
    <d v="2025-10-10T00:00:00"/>
    <x v="2"/>
    <x v="71"/>
    <s v=""/>
    <s v="INR"/>
    <n v="-1746430.23"/>
    <s v="INR"/>
    <n v="-1746430.23"/>
    <s v=""/>
  </r>
  <r>
    <s v="KUEHNE+NAGEL PVT. LTD."/>
    <n v="2025"/>
    <d v="2025-10-10T00:00:00"/>
    <x v="2"/>
    <x v="71"/>
    <s v=""/>
    <s v="INR"/>
    <n v="-2385233.9500000002"/>
    <s v="INR"/>
    <n v="-2385233.9500000002"/>
    <s v=""/>
  </r>
  <r>
    <s v="KUEHNE+NAGEL PVT. LTD."/>
    <n v="2025"/>
    <d v="2025-10-28T00:00:00"/>
    <x v="2"/>
    <x v="72"/>
    <s v=""/>
    <s v="INR"/>
    <n v="-1719090.91"/>
    <s v="INR"/>
    <n v="-1719090.91"/>
    <s v=""/>
  </r>
  <r>
    <s v="KUEHNE+NAGEL PVT. LTD."/>
    <n v="2025"/>
    <d v="2025-11-26T00:00:00"/>
    <x v="2"/>
    <x v="73"/>
    <s v=""/>
    <s v="INR"/>
    <n v="-1917961.25"/>
    <s v="INR"/>
    <n v="-1917961.25"/>
    <s v=""/>
  </r>
  <r>
    <s v="KUEHNE+NAGEL PVT. LTD."/>
    <n v="2025"/>
    <d v="2025-03-28T00:00:00"/>
    <x v="5"/>
    <x v="74"/>
    <s v="6779ZR25000004"/>
    <s v="INR"/>
    <n v="1"/>
    <s v="INR"/>
    <n v="1"/>
    <s v="Overpayment"/>
  </r>
  <r>
    <s v="KUEHNE+NAGEL PVT. LTD."/>
    <n v="2025"/>
    <d v="2025-02-13T00:00:00"/>
    <x v="5"/>
    <x v="74"/>
    <s v="6779ZP25000139"/>
    <s v="INR"/>
    <n v="-1"/>
    <s v="INR"/>
    <n v="-1"/>
    <s v="Overpayment"/>
  </r>
  <r>
    <s v="KUEHNE+NAGEL PVT. LTD."/>
    <n v="2025"/>
    <d v="2025-04-17T00:00:00"/>
    <x v="1"/>
    <x v="75"/>
    <n v="256779412140"/>
    <s v="INR"/>
    <n v="262.20999999999998"/>
    <s v="INR"/>
    <n v="262.20999999999998"/>
    <s v="Fixed Storage Charges for April 2025"/>
  </r>
  <r>
    <s v="KUEHNE+NAGEL PVT. LTD."/>
    <n v="2025"/>
    <d v="2025-03-19T00:00:00"/>
    <x v="1"/>
    <x v="30"/>
    <n v="246779413076"/>
    <s v="USD"/>
    <n v="466.37"/>
    <s v="INR"/>
    <n v="40430.199999999997"/>
    <s v="Port SSR Charges - Shifting for Aug to Dec,24."/>
  </r>
  <r>
    <s v="KUEHNE+NAGEL PVT. LTD."/>
    <n v="2025"/>
    <d v="2025-05-10T00:00:00"/>
    <x v="1"/>
    <x v="43"/>
    <n v="256779413147"/>
    <s v="INR"/>
    <n v="8000"/>
    <s v="INR"/>
    <n v="8000"/>
    <s v="Fixed Storage Charges fo MAY 2025"/>
  </r>
  <r>
    <s v="KUEHNE+NAGEL PVT. LTD."/>
    <n v="2025"/>
    <d v="2025-06-10T00:00:00"/>
    <x v="1"/>
    <x v="76"/>
    <n v="256779414359"/>
    <s v="INR"/>
    <n v="8000"/>
    <s v="INR"/>
    <n v="8000"/>
    <s v="Fixed Storage Charges fo JUNE 2025"/>
  </r>
  <r>
    <s v="KUEHNE+NAGEL PVT. LTD."/>
    <n v="2025"/>
    <d v="2025-07-04T00:00:00"/>
    <x v="1"/>
    <x v="2"/>
    <n v="256779414917"/>
    <s v="INR"/>
    <n v="8000"/>
    <s v="INR"/>
    <n v="8000"/>
    <s v="Fixed Storage Charges fo JULY 2025"/>
  </r>
  <r>
    <s v="KUEHNE+NAGEL PVT. LTD."/>
    <n v="2025"/>
    <d v="2025-08-01T00:00:00"/>
    <x v="1"/>
    <x v="77"/>
    <n v="256779416029"/>
    <s v="INR"/>
    <n v="8000"/>
    <s v="INR"/>
    <n v="8000"/>
    <s v="Fixed Storage Charges for August 2025"/>
  </r>
  <r>
    <s v="KUEHNE+NAGEL PVT. LTD."/>
    <n v="2025"/>
    <d v="2025-09-04T00:00:00"/>
    <x v="1"/>
    <x v="1"/>
    <n v="256779417349"/>
    <s v="INR"/>
    <n v="8000"/>
    <s v="INR"/>
    <n v="8000"/>
    <s v="Fixed Storage Charges for September 2025"/>
  </r>
  <r>
    <s v="KUEHNE+NAGEL PVT. LTD."/>
    <n v="2025"/>
    <d v="2025-10-05T00:00:00"/>
    <x v="1"/>
    <x v="48"/>
    <n v="256779417876"/>
    <s v="INR"/>
    <n v="8000"/>
    <s v="INR"/>
    <n v="8000"/>
    <s v="Fixed Storage Charges for October 2025"/>
  </r>
  <r>
    <s v="KUEHNE+NAGEL PVT. LTD."/>
    <n v="2025"/>
    <d v="2025-11-05T00:00:00"/>
    <x v="1"/>
    <x v="3"/>
    <n v="256779418778"/>
    <s v="INR"/>
    <n v="8000"/>
    <s v="INR"/>
    <n v="8000"/>
    <s v="Fixed Storage Charges for November 2025"/>
  </r>
  <r>
    <s v="KUEHNE+NAGEL PVT. LTD."/>
    <n v="2025"/>
    <d v="2025-12-04T00:00:00"/>
    <x v="1"/>
    <x v="78"/>
    <n v="256779419971"/>
    <s v="INR"/>
    <n v="8000"/>
    <s v="INR"/>
    <n v="8000"/>
    <s v="Fixed Storage Charges for December 2025"/>
  </r>
  <r>
    <s v="KUEHNE+NAGEL PVT. LTD."/>
    <n v="2025"/>
    <d v="2025-05-10T00:00:00"/>
    <x v="1"/>
    <x v="43"/>
    <n v="256779413148"/>
    <s v="INR"/>
    <n v="4400"/>
    <s v="INR"/>
    <n v="4400"/>
    <s v="Fixed Storage Charges fo MAY 2025"/>
  </r>
  <r>
    <s v="KUEHNE+NAGEL PVT. LTD."/>
    <n v="2025"/>
    <d v="2025-06-10T00:00:00"/>
    <x v="1"/>
    <x v="76"/>
    <n v="256779414360"/>
    <s v="INR"/>
    <n v="4400"/>
    <s v="INR"/>
    <n v="4400"/>
    <s v="Fixed Storage Charges fo JUNE 2025"/>
  </r>
  <r>
    <s v="KUEHNE+NAGEL PVT. LTD."/>
    <n v="2025"/>
    <d v="2025-07-04T00:00:00"/>
    <x v="1"/>
    <x v="2"/>
    <n v="256779414918"/>
    <s v="INR"/>
    <n v="4400"/>
    <s v="INR"/>
    <n v="4400"/>
    <s v="Fixed Storage Charges fo JULY 2025"/>
  </r>
  <r>
    <s v="KUEHNE+NAGEL PVT. LTD."/>
    <n v="2025"/>
    <d v="2025-08-01T00:00:00"/>
    <x v="1"/>
    <x v="77"/>
    <n v="256779416030"/>
    <s v="INR"/>
    <n v="4400"/>
    <s v="INR"/>
    <n v="4400"/>
    <s v="Fixed Storage Charges for August 2025"/>
  </r>
  <r>
    <s v="KUEHNE+NAGEL PVT. LTD."/>
    <n v="2025"/>
    <d v="2025-09-04T00:00:00"/>
    <x v="1"/>
    <x v="1"/>
    <n v="256779417350"/>
    <s v="INR"/>
    <n v="4400"/>
    <s v="INR"/>
    <n v="4400"/>
    <s v="Fixed Storage Charges for September 2025"/>
  </r>
  <r>
    <s v="KUEHNE+NAGEL PVT. LTD."/>
    <n v="2025"/>
    <d v="2025-10-05T00:00:00"/>
    <x v="1"/>
    <x v="48"/>
    <n v="256779417877"/>
    <s v="INR"/>
    <n v="4400"/>
    <s v="INR"/>
    <n v="4400"/>
    <s v="Fixed Storage Charges for October 2025"/>
  </r>
  <r>
    <s v="KUEHNE+NAGEL PVT. LTD."/>
    <n v="2025"/>
    <d v="2025-11-05T00:00:00"/>
    <x v="1"/>
    <x v="3"/>
    <n v="256779418779"/>
    <s v="INR"/>
    <n v="4400"/>
    <s v="INR"/>
    <n v="4400"/>
    <s v="Fixed Storage Charges for November 2025"/>
  </r>
  <r>
    <s v="KUEHNE+NAGEL PVT. LTD."/>
    <n v="2025"/>
    <d v="2025-12-04T00:00:00"/>
    <x v="1"/>
    <x v="78"/>
    <n v="256779419972"/>
    <s v="INR"/>
    <n v="4400"/>
    <s v="INR"/>
    <n v="4400"/>
    <s v="Fixed Storage Charges for December 2025"/>
  </r>
  <r>
    <s v="KUEHNE+NAGEL PVT. LTD."/>
    <n v="2025"/>
    <d v="2025-05-10T00:00:00"/>
    <x v="1"/>
    <x v="43"/>
    <n v="256779413146"/>
    <s v="INR"/>
    <n v="200000"/>
    <s v="INR"/>
    <n v="200000"/>
    <s v="Fixed Storage Charges fo MAY 2025"/>
  </r>
  <r>
    <s v="KUEHNE+NAGEL PVT. LTD."/>
    <n v="2025"/>
    <d v="2025-06-10T00:00:00"/>
    <x v="1"/>
    <x v="76"/>
    <n v="256779414358"/>
    <s v="INR"/>
    <n v="200000"/>
    <s v="INR"/>
    <n v="200000"/>
    <s v="Fixed Storage Charges fo JUNE 2025"/>
  </r>
  <r>
    <s v="KUEHNE+NAGEL PVT. LTD."/>
    <n v="2025"/>
    <d v="2025-07-04T00:00:00"/>
    <x v="1"/>
    <x v="2"/>
    <n v="256779414916"/>
    <s v="INR"/>
    <n v="200000"/>
    <s v="INR"/>
    <n v="200000"/>
    <s v="Fixed Storage Charges fo JULY 2025"/>
  </r>
  <r>
    <s v="KUEHNE+NAGEL PVT. LTD."/>
    <n v="2025"/>
    <d v="2025-08-01T00:00:00"/>
    <x v="1"/>
    <x v="77"/>
    <n v="256779416028"/>
    <s v="INR"/>
    <n v="200000"/>
    <s v="INR"/>
    <n v="200000"/>
    <s v="Fixed Storage Charges for August 2025"/>
  </r>
  <r>
    <s v="KUEHNE+NAGEL PVT. LTD."/>
    <n v="2025"/>
    <d v="2025-09-04T00:00:00"/>
    <x v="1"/>
    <x v="1"/>
    <n v="256779417348"/>
    <s v="INR"/>
    <n v="200000"/>
    <s v="INR"/>
    <n v="200000"/>
    <s v="Fixed Storage Charges for September 2025"/>
  </r>
  <r>
    <s v="KUEHNE+NAGEL PVT. LTD."/>
    <n v="2025"/>
    <d v="2025-10-05T00:00:00"/>
    <x v="1"/>
    <x v="48"/>
    <n v="256779417875"/>
    <s v="INR"/>
    <n v="200000"/>
    <s v="INR"/>
    <n v="200000"/>
    <s v="Fixed Storage Charges for October 2025"/>
  </r>
  <r>
    <s v="KUEHNE+NAGEL PVT. LTD."/>
    <n v="2025"/>
    <d v="2025-11-05T00:00:00"/>
    <x v="1"/>
    <x v="3"/>
    <n v="256779418777"/>
    <s v="INR"/>
    <n v="200000"/>
    <s v="INR"/>
    <n v="200000"/>
    <s v="Fixed Storage Charges for November 2025"/>
  </r>
  <r>
    <s v="KUEHNE+NAGEL PVT. LTD."/>
    <n v="2025"/>
    <d v="2025-12-04T00:00:00"/>
    <x v="1"/>
    <x v="78"/>
    <n v="256779419970"/>
    <s v="INR"/>
    <n v="200000"/>
    <s v="INR"/>
    <n v="200000"/>
    <s v="Fixed Storage Charges for December 2025"/>
  </r>
  <r>
    <s v="KUEHNE+NAGEL PVT. LTD."/>
    <n v="2025"/>
    <d v="2025-07-10T00:00:00"/>
    <x v="1"/>
    <x v="0"/>
    <n v="256779415336"/>
    <s v="USD"/>
    <n v="5"/>
    <s v="INR"/>
    <n v="430"/>
    <s v="Inbound Handling for August 24"/>
  </r>
  <r>
    <s v="KUEHNE+NAGEL PVT. LTD."/>
    <n v="2025"/>
    <d v="2025-07-10T00:00:00"/>
    <x v="0"/>
    <x v="0"/>
    <n v="256779421236"/>
    <s v="USD"/>
    <n v="-118"/>
    <s v="INR"/>
    <n v="-10148.08"/>
    <s v="Credit note raised against INV 256779411097"/>
  </r>
  <r>
    <s v="KUEHNE+NAGEL PVT. LTD."/>
    <n v="2025"/>
    <d v="2025-08-21T00:00:00"/>
    <x v="0"/>
    <x v="26"/>
    <n v="256779421697"/>
    <s v="USD"/>
    <n v="-100"/>
    <s v="INR"/>
    <n v="-8603.01"/>
    <s v="CN ISSUED TOWARDS BILL NO.256779415303"/>
  </r>
  <r>
    <s v="KUEHNE+NAGEL PVT. LTD."/>
    <n v="2025"/>
    <d v="2025-04-15T00:00:00"/>
    <x v="1"/>
    <x v="62"/>
    <n v="256779411097"/>
    <s v="USD"/>
    <n v="118"/>
    <s v="INR"/>
    <n v="10256.77"/>
    <s v="Inbound Handling for August 24"/>
  </r>
  <r>
    <s v="KUEHNE+NAGEL PVT. LTD."/>
    <n v="2025"/>
    <d v="2025-07-10T00:00:00"/>
    <x v="1"/>
    <x v="0"/>
    <n v="256779415303"/>
    <s v="USD"/>
    <n v="100"/>
    <s v="INR"/>
    <n v="8600.07"/>
    <s v="Inbound Handling for August 24"/>
  </r>
  <r>
    <s v="KUEHNE+NAGEL PVT. LTD."/>
    <n v="2025"/>
    <d v="2025-08-21T00:00:00"/>
    <x v="0"/>
    <x v="26"/>
    <n v="256779421704"/>
    <s v="USD"/>
    <n v="-8.48"/>
    <s v="INR"/>
    <n v="-729.54"/>
    <s v="CN ISSUED TOWARDS BILL NO.256779415349"/>
  </r>
  <r>
    <s v="KUEHNE+NAGEL PVT. LTD."/>
    <n v="2025"/>
    <d v="2025-03-04T00:00:00"/>
    <x v="1"/>
    <x v="79"/>
    <n v="246779410743"/>
    <s v="USD"/>
    <n v="3"/>
    <s v="INR"/>
    <n v="260.07"/>
    <s v="Outbound Handling for Nov 2024"/>
  </r>
  <r>
    <s v="KUEHNE+NAGEL PVT. LTD."/>
    <n v="2025"/>
    <d v="2025-03-04T00:00:00"/>
    <x v="1"/>
    <x v="79"/>
    <n v="246779410826"/>
    <s v="USD"/>
    <n v="3"/>
    <s v="INR"/>
    <n v="260.07"/>
    <s v="Outbound Handling for Dec 2024"/>
  </r>
  <r>
    <s v="KUEHNE+NAGEL PVT. LTD."/>
    <n v="2025"/>
    <d v="2025-03-04T00:00:00"/>
    <x v="1"/>
    <x v="79"/>
    <n v="246779410665"/>
    <s v="USD"/>
    <n v="3.54"/>
    <s v="INR"/>
    <n v="306.89"/>
    <s v="Outbound Handling for Oct 2024"/>
  </r>
  <r>
    <s v="KUEHNE+NAGEL PVT. LTD."/>
    <n v="2025"/>
    <d v="2025-04-04T00:00:00"/>
    <x v="1"/>
    <x v="80"/>
    <n v="256779410801"/>
    <s v="USD"/>
    <n v="2829.48"/>
    <s v="INR"/>
    <n v="245943.55"/>
    <s v="Storage Charges Feb, 25"/>
  </r>
  <r>
    <s v="KUEHNE+NAGEL PVT. LTD."/>
    <n v="2025"/>
    <d v="2025-04-04T00:00:00"/>
    <x v="1"/>
    <x v="80"/>
    <n v="256779410819"/>
    <s v="USD"/>
    <n v="1913.97"/>
    <s v="INR"/>
    <n v="166365.76000000001"/>
    <s v="Storage Charges Jan, 25"/>
  </r>
  <r>
    <s v="KUEHNE+NAGEL PVT. LTD."/>
    <n v="2025"/>
    <d v="2025-03-06T00:00:00"/>
    <x v="1"/>
    <x v="81"/>
    <n v="246779410882"/>
    <s v="USD"/>
    <n v="2232.73"/>
    <s v="INR"/>
    <n v="193558.18"/>
    <s v="Storage for the month of Nov 2024"/>
  </r>
  <r>
    <s v="KUEHNE+NAGEL PVT. LTD."/>
    <n v="2025"/>
    <d v="2025-03-06T00:00:00"/>
    <x v="1"/>
    <x v="81"/>
    <n v="246779410904"/>
    <s v="USD"/>
    <n v="1665.82"/>
    <s v="INR"/>
    <n v="144412.03"/>
    <s v="Storage for the month of Dec 2024"/>
  </r>
  <r>
    <s v="KUEHNE+NAGEL PVT. LTD."/>
    <n v="2025"/>
    <d v="2025-03-03T00:00:00"/>
    <x v="1"/>
    <x v="82"/>
    <n v="246779410436"/>
    <s v="USD"/>
    <n v="1332.41"/>
    <s v="INR"/>
    <n v="115508.3"/>
    <s v="Storage for the month of Oct 2024"/>
  </r>
  <r>
    <s v="KUEHNE+NAGEL PVT. LTD."/>
    <n v="2025"/>
    <d v="2025-03-03T00:00:00"/>
    <x v="1"/>
    <x v="82"/>
    <n v="246779410389"/>
    <s v="USD"/>
    <n v="542.08000000000004"/>
    <s v="INR"/>
    <n v="46993.599999999999"/>
    <s v="Storage Charges for the month of August, 2024"/>
  </r>
  <r>
    <s v="KUEHNE+NAGEL PVT. LTD."/>
    <n v="2025"/>
    <d v="2025-03-03T00:00:00"/>
    <x v="1"/>
    <x v="82"/>
    <n v="246779410413"/>
    <s v="USD"/>
    <n v="694.12"/>
    <s v="INR"/>
    <n v="60174.14"/>
    <s v="Storage  for the month of Sept  2024"/>
  </r>
  <r>
    <s v="KUEHNE+NAGEL PVT. LTD."/>
    <n v="2025"/>
    <d v="2025-03-03T00:00:00"/>
    <x v="1"/>
    <x v="82"/>
    <n v="246779410482"/>
    <s v="USD"/>
    <n v="3.54"/>
    <s v="INR"/>
    <n v="306.89"/>
    <s v="Outbound Handling for Aug 2024"/>
  </r>
  <r>
    <s v="KUEHNE+NAGEL PVT. LTD."/>
    <n v="2025"/>
    <d v="2025-03-03T00:00:00"/>
    <x v="1"/>
    <x v="82"/>
    <n v="246779410483"/>
    <s v="USD"/>
    <n v="3.54"/>
    <s v="INR"/>
    <n v="306.89"/>
    <s v="Outbound Handling for Aug 2024"/>
  </r>
  <r>
    <s v="KUEHNE+NAGEL PVT. LTD."/>
    <n v="2025"/>
    <d v="2025-03-17T00:00:00"/>
    <x v="1"/>
    <x v="61"/>
    <n v="246779411593"/>
    <s v="USD"/>
    <n v="40.1"/>
    <s v="INR"/>
    <n v="3476.32"/>
    <s v="VAS Activity Charges for the month of September, 2"/>
  </r>
  <r>
    <s v="KUEHNE+NAGEL PVT. LTD."/>
    <n v="2025"/>
    <d v="2025-03-17T00:00:00"/>
    <x v="1"/>
    <x v="61"/>
    <n v="246779411594"/>
    <s v="USD"/>
    <n v="17.190000000000001"/>
    <s v="INR"/>
    <n v="1490.22"/>
    <s v="VAS Activity Charges for the month of September, 2"/>
  </r>
  <r>
    <s v="KUEHNE+NAGEL PVT. LTD."/>
    <n v="2025"/>
    <d v="2025-03-17T00:00:00"/>
    <x v="1"/>
    <x v="61"/>
    <n v="246779411595"/>
    <s v="USD"/>
    <n v="51.56"/>
    <s v="INR"/>
    <n v="4469.8"/>
    <s v="VAS Activity Charges for the month of September, 2"/>
  </r>
  <r>
    <s v="KUEHNE+NAGEL PVT. LTD."/>
    <n v="2025"/>
    <d v="2025-03-17T00:00:00"/>
    <x v="1"/>
    <x v="61"/>
    <n v="246779411596"/>
    <s v="USD"/>
    <n v="74.47"/>
    <s v="INR"/>
    <n v="6455.9"/>
    <s v="VAS Activity Charges for the month of September, 2"/>
  </r>
  <r>
    <s v="KUEHNE+NAGEL PVT. LTD."/>
    <n v="2025"/>
    <d v="2025-03-17T00:00:00"/>
    <x v="1"/>
    <x v="61"/>
    <n v="246779411597"/>
    <s v="USD"/>
    <n v="57.29"/>
    <s v="INR"/>
    <n v="4966.54"/>
    <s v="VAS Activity Charges for the month of September, 2"/>
  </r>
  <r>
    <s v="KUEHNE+NAGEL PVT. LTD."/>
    <n v="2025"/>
    <d v="2025-03-17T00:00:00"/>
    <x v="1"/>
    <x v="61"/>
    <n v="246779411598"/>
    <s v="USD"/>
    <n v="91.66"/>
    <s v="INR"/>
    <n v="7946.12"/>
    <s v="VAS Activity Charges for the month of September, 2"/>
  </r>
  <r>
    <s v="KUEHNE+NAGEL PVT. LTD."/>
    <n v="2025"/>
    <d v="2025-03-17T00:00:00"/>
    <x v="1"/>
    <x v="61"/>
    <n v="246779411599"/>
    <s v="USD"/>
    <n v="37.950000000000003"/>
    <s v="INR"/>
    <n v="3289.93"/>
    <s v="VAS Activity Charges for the month of September, 2"/>
  </r>
  <r>
    <s v="KUEHNE+NAGEL PVT. LTD."/>
    <n v="2025"/>
    <d v="2025-03-17T00:00:00"/>
    <x v="1"/>
    <x v="61"/>
    <n v="246779411600"/>
    <s v="USD"/>
    <n v="2.6"/>
    <s v="INR"/>
    <n v="225.4"/>
    <s v="VAS Activity Charges for the month of September, 2"/>
  </r>
  <r>
    <s v="KUEHNE+NAGEL PVT. LTD."/>
    <n v="2025"/>
    <d v="2025-03-17T00:00:00"/>
    <x v="1"/>
    <x v="61"/>
    <n v="246779411601"/>
    <s v="USD"/>
    <n v="23.39"/>
    <s v="INR"/>
    <n v="2027.71"/>
    <s v="VAS Activity Charges for the month of September, 2"/>
  </r>
  <r>
    <s v="KUEHNE+NAGEL PVT. LTD."/>
    <n v="2025"/>
    <d v="2025-03-17T00:00:00"/>
    <x v="1"/>
    <x v="61"/>
    <n v="246779411637"/>
    <s v="USD"/>
    <n v="429.65"/>
    <s v="INR"/>
    <n v="37246.9"/>
    <s v="VAS Activity Charges for the month of September, 2"/>
  </r>
  <r>
    <s v="KUEHNE+NAGEL PVT. LTD."/>
    <n v="2025"/>
    <d v="2025-03-17T00:00:00"/>
    <x v="1"/>
    <x v="61"/>
    <n v="246779411717"/>
    <s v="USD"/>
    <n v="45.67"/>
    <s v="INR"/>
    <n v="3959.19"/>
    <s v="VAS Activity Charges for the month of October, 24"/>
  </r>
  <r>
    <s v="KUEHNE+NAGEL PVT. LTD."/>
    <n v="2025"/>
    <d v="2025-03-17T00:00:00"/>
    <x v="1"/>
    <x v="61"/>
    <n v="246779411723"/>
    <s v="USD"/>
    <n v="45.67"/>
    <s v="INR"/>
    <n v="3959.19"/>
    <s v="VAS Activity Charges for the month of October, 24"/>
  </r>
  <r>
    <s v="KUEHNE+NAGEL PVT. LTD."/>
    <n v="2025"/>
    <d v="2025-03-17T00:00:00"/>
    <x v="1"/>
    <x v="61"/>
    <n v="246779411724"/>
    <s v="USD"/>
    <n v="68.5"/>
    <s v="INR"/>
    <n v="5938.35"/>
    <s v="VAS Activity Charges for the month of October, 24"/>
  </r>
  <r>
    <s v="KUEHNE+NAGEL PVT. LTD."/>
    <n v="2025"/>
    <d v="2025-03-17T00:00:00"/>
    <x v="1"/>
    <x v="61"/>
    <n v="246779411725"/>
    <s v="USD"/>
    <n v="22.83"/>
    <s v="INR"/>
    <n v="1979.16"/>
    <s v="VAS Activity Charges for the month of October, 24"/>
  </r>
  <r>
    <s v="KUEHNE+NAGEL PVT. LTD."/>
    <n v="2025"/>
    <d v="2025-03-17T00:00:00"/>
    <x v="1"/>
    <x v="61"/>
    <n v="246779411726"/>
    <s v="USD"/>
    <n v="28.54"/>
    <s v="INR"/>
    <n v="2474.17"/>
    <s v="VAS Activity Charges for the month of October, 24"/>
  </r>
  <r>
    <s v="KUEHNE+NAGEL PVT. LTD."/>
    <n v="2025"/>
    <d v="2025-03-17T00:00:00"/>
    <x v="1"/>
    <x v="61"/>
    <n v="246779411727"/>
    <s v="USD"/>
    <n v="17.12"/>
    <s v="INR"/>
    <n v="1484.15"/>
    <s v="VAS Activity Charges for the month of October, 24"/>
  </r>
  <r>
    <s v="KUEHNE+NAGEL PVT. LTD."/>
    <n v="2025"/>
    <d v="2025-03-17T00:00:00"/>
    <x v="1"/>
    <x v="61"/>
    <n v="246779411728"/>
    <s v="USD"/>
    <n v="11.42"/>
    <s v="INR"/>
    <n v="990.01"/>
    <s v="VAS Activity Charges for the month of October, 24"/>
  </r>
  <r>
    <s v="KUEHNE+NAGEL PVT. LTD."/>
    <n v="2025"/>
    <d v="2025-03-17T00:00:00"/>
    <x v="1"/>
    <x v="61"/>
    <n v="246779411729"/>
    <s v="USD"/>
    <n v="34.25"/>
    <s v="INR"/>
    <n v="2969.18"/>
    <s v="VAS Activity Charges for the month of October, 24"/>
  </r>
  <r>
    <s v="KUEHNE+NAGEL PVT. LTD."/>
    <n v="2025"/>
    <d v="2025-03-17T00:00:00"/>
    <x v="1"/>
    <x v="61"/>
    <n v="246779411730"/>
    <s v="USD"/>
    <n v="11.42"/>
    <s v="INR"/>
    <n v="990.01"/>
    <s v="VAS Activity Charges for the month of October, 24"/>
  </r>
  <r>
    <s v="KUEHNE+NAGEL PVT. LTD."/>
    <n v="2025"/>
    <d v="2025-03-17T00:00:00"/>
    <x v="1"/>
    <x v="61"/>
    <n v="246779411731"/>
    <s v="USD"/>
    <n v="22.83"/>
    <s v="INR"/>
    <n v="1979.16"/>
    <s v="VAS Activity Charges for the month of October, 24"/>
  </r>
  <r>
    <s v="KUEHNE+NAGEL PVT. LTD."/>
    <n v="2025"/>
    <d v="2025-03-17T00:00:00"/>
    <x v="1"/>
    <x v="61"/>
    <n v="246779411732"/>
    <s v="USD"/>
    <n v="28.54"/>
    <s v="INR"/>
    <n v="2474.17"/>
    <s v="VAS Activity Charges for the month of October, 24"/>
  </r>
  <r>
    <s v="KUEHNE+NAGEL PVT. LTD."/>
    <n v="2025"/>
    <d v="2025-03-17T00:00:00"/>
    <x v="1"/>
    <x v="61"/>
    <n v="246779411897"/>
    <s v="USD"/>
    <n v="22.72"/>
    <s v="INR"/>
    <n v="1969.63"/>
    <s v="VAS Activity Charges for the month of November, 24"/>
  </r>
  <r>
    <s v="KUEHNE+NAGEL PVT. LTD."/>
    <n v="2025"/>
    <d v="2025-03-17T00:00:00"/>
    <x v="1"/>
    <x v="61"/>
    <n v="246779411898"/>
    <s v="USD"/>
    <n v="7.1"/>
    <s v="INR"/>
    <n v="615.51"/>
    <s v="VAS Activity Charges for the month of November, 24"/>
  </r>
  <r>
    <s v="KUEHNE+NAGEL PVT. LTD."/>
    <n v="2025"/>
    <d v="2025-03-17T00:00:00"/>
    <x v="1"/>
    <x v="61"/>
    <n v="246779411899"/>
    <s v="USD"/>
    <n v="62.49"/>
    <s v="INR"/>
    <n v="5417.34"/>
    <s v="VAS Activity Charges for the month of November, 24"/>
  </r>
  <r>
    <s v="KUEHNE+NAGEL PVT. LTD."/>
    <n v="2025"/>
    <d v="2025-03-17T00:00:00"/>
    <x v="1"/>
    <x v="61"/>
    <n v="246779411900"/>
    <s v="USD"/>
    <n v="73.849999999999994"/>
    <s v="INR"/>
    <n v="6402.15"/>
    <s v="VAS Activity Charges for the month of November, 24"/>
  </r>
  <r>
    <s v="KUEHNE+NAGEL PVT. LTD."/>
    <n v="2025"/>
    <d v="2025-03-17T00:00:00"/>
    <x v="1"/>
    <x v="61"/>
    <n v="246779411901"/>
    <s v="USD"/>
    <n v="12.78"/>
    <s v="INR"/>
    <n v="1107.9100000000001"/>
    <s v="VAS Activity Charges for the month of November, 24"/>
  </r>
  <r>
    <s v="KUEHNE+NAGEL PVT. LTD."/>
    <n v="2025"/>
    <d v="2025-03-17T00:00:00"/>
    <x v="1"/>
    <x v="61"/>
    <n v="246779411902"/>
    <s v="USD"/>
    <n v="2.13"/>
    <s v="INR"/>
    <n v="184.65"/>
    <s v="VAS Activity Charges for the month of November, 24"/>
  </r>
  <r>
    <s v="KUEHNE+NAGEL PVT. LTD."/>
    <n v="2025"/>
    <d v="2025-03-17T00:00:00"/>
    <x v="1"/>
    <x v="61"/>
    <n v="246779411903"/>
    <s v="USD"/>
    <n v="3.55"/>
    <s v="INR"/>
    <n v="307.75"/>
    <s v="VAS Activity Charges for the month of November, 24"/>
  </r>
  <r>
    <s v="KUEHNE+NAGEL PVT. LTD."/>
    <n v="2025"/>
    <d v="2025-03-17T00:00:00"/>
    <x v="1"/>
    <x v="61"/>
    <n v="246779411904"/>
    <s v="USD"/>
    <n v="58.94"/>
    <s v="INR"/>
    <n v="5109.58"/>
    <s v="VAS Activity Charges for the month of November, 24"/>
  </r>
  <r>
    <s v="KUEHNE+NAGEL PVT. LTD."/>
    <n v="2025"/>
    <d v="2025-03-17T00:00:00"/>
    <x v="1"/>
    <x v="61"/>
    <n v="246779411905"/>
    <s v="USD"/>
    <n v="7.1"/>
    <s v="INR"/>
    <n v="615.51"/>
    <s v="VAS Activity Charges for the month of November, 24"/>
  </r>
  <r>
    <s v="KUEHNE+NAGEL PVT. LTD."/>
    <n v="2025"/>
    <d v="2025-03-17T00:00:00"/>
    <x v="1"/>
    <x v="61"/>
    <n v="246779411906"/>
    <s v="USD"/>
    <n v="34.090000000000003"/>
    <s v="INR"/>
    <n v="2955.31"/>
    <s v="VAS Activity Charges for the month of November, 24"/>
  </r>
  <r>
    <s v="KUEHNE+NAGEL PVT. LTD."/>
    <n v="2025"/>
    <d v="2025-03-17T00:00:00"/>
    <x v="1"/>
    <x v="61"/>
    <n v="246779411907"/>
    <s v="USD"/>
    <n v="17.04"/>
    <s v="INR"/>
    <n v="1477.22"/>
    <s v="VAS Activity Charges for the month of November, 24"/>
  </r>
  <r>
    <s v="KUEHNE+NAGEL PVT. LTD."/>
    <n v="2025"/>
    <d v="2025-03-17T00:00:00"/>
    <x v="1"/>
    <x v="61"/>
    <n v="246779411908"/>
    <s v="USD"/>
    <n v="28.41"/>
    <s v="INR"/>
    <n v="2462.9"/>
    <s v="VAS Activity Charges for the month of November, 24"/>
  </r>
  <r>
    <s v="KUEHNE+NAGEL PVT. LTD."/>
    <n v="2025"/>
    <d v="2025-03-17T00:00:00"/>
    <x v="1"/>
    <x v="61"/>
    <n v="246779411909"/>
    <s v="USD"/>
    <n v="28.41"/>
    <s v="INR"/>
    <n v="2462.9"/>
    <s v="VAS Activity Charges for the month of November, 24"/>
  </r>
  <r>
    <s v="KUEHNE+NAGEL PVT. LTD."/>
    <n v="2025"/>
    <d v="2025-03-17T00:00:00"/>
    <x v="1"/>
    <x v="61"/>
    <n v="246779411910"/>
    <s v="USD"/>
    <n v="28.41"/>
    <s v="INR"/>
    <n v="2462.9"/>
    <s v="VAS Activity Charges for the month of November, 24"/>
  </r>
  <r>
    <s v="KUEHNE+NAGEL PVT. LTD."/>
    <n v="2025"/>
    <d v="2025-03-17T00:00:00"/>
    <x v="1"/>
    <x v="61"/>
    <n v="246779411911"/>
    <s v="USD"/>
    <n v="29.83"/>
    <s v="INR"/>
    <n v="2586"/>
    <s v="VAS Activity Charges for the month of November, 24"/>
  </r>
  <r>
    <s v="KUEHNE+NAGEL PVT. LTD."/>
    <n v="2025"/>
    <d v="2025-03-17T00:00:00"/>
    <x v="1"/>
    <x v="61"/>
    <n v="246779411912"/>
    <s v="USD"/>
    <n v="11.36"/>
    <s v="INR"/>
    <n v="984.81"/>
    <s v="VAS Activity Charges for the month of November, 24"/>
  </r>
  <r>
    <s v="KUEHNE+NAGEL PVT. LTD."/>
    <n v="2025"/>
    <d v="2025-03-17T00:00:00"/>
    <x v="1"/>
    <x v="61"/>
    <n v="246779411913"/>
    <s v="USD"/>
    <n v="28.41"/>
    <s v="INR"/>
    <n v="2462.9"/>
    <s v="VAS Activity Charges for the month of November, 24"/>
  </r>
  <r>
    <s v="KUEHNE+NAGEL PVT. LTD."/>
    <n v="2025"/>
    <d v="2025-03-17T00:00:00"/>
    <x v="1"/>
    <x v="61"/>
    <n v="246779411914"/>
    <s v="USD"/>
    <n v="260"/>
    <s v="INR"/>
    <n v="22539.73"/>
    <s v="VAS Activity Charges for the month of November, 24"/>
  </r>
  <r>
    <s v="KUEHNE+NAGEL PVT. LTD."/>
    <n v="2025"/>
    <d v="2025-03-17T00:00:00"/>
    <x v="1"/>
    <x v="61"/>
    <n v="246779412028"/>
    <s v="USD"/>
    <n v="28.03"/>
    <s v="INR"/>
    <n v="2429.96"/>
    <s v="VAS Activity Charges for the month of December, 24"/>
  </r>
  <r>
    <s v="KUEHNE+NAGEL PVT. LTD."/>
    <n v="2025"/>
    <d v="2025-03-17T00:00:00"/>
    <x v="1"/>
    <x v="61"/>
    <n v="246779412029"/>
    <s v="USD"/>
    <n v="22.42"/>
    <s v="INR"/>
    <n v="1943.62"/>
    <s v="VAS Activity Charges for the month of December, 24"/>
  </r>
  <r>
    <s v="KUEHNE+NAGEL PVT. LTD."/>
    <n v="2025"/>
    <d v="2025-03-17T00:00:00"/>
    <x v="1"/>
    <x v="61"/>
    <n v="246779412030"/>
    <s v="USD"/>
    <n v="16.82"/>
    <s v="INR"/>
    <n v="1458.15"/>
    <s v="VAS Activity Charges for the month of December, 24"/>
  </r>
  <r>
    <s v="KUEHNE+NAGEL PVT. LTD."/>
    <n v="2025"/>
    <d v="2025-03-17T00:00:00"/>
    <x v="1"/>
    <x v="61"/>
    <n v="246779412031"/>
    <s v="USD"/>
    <n v="28.03"/>
    <s v="INR"/>
    <n v="2429.96"/>
    <s v="VAS Activity Charges for the month of December, 24"/>
  </r>
  <r>
    <s v="KUEHNE+NAGEL PVT. LTD."/>
    <n v="2025"/>
    <d v="2025-03-17T00:00:00"/>
    <x v="1"/>
    <x v="61"/>
    <n v="246779412032"/>
    <s v="USD"/>
    <n v="33.64"/>
    <s v="INR"/>
    <n v="2916.29"/>
    <s v="VAS Activity Charges for the month of December, 24"/>
  </r>
  <r>
    <s v="KUEHNE+NAGEL PVT. LTD."/>
    <n v="2025"/>
    <d v="2025-03-17T00:00:00"/>
    <x v="1"/>
    <x v="61"/>
    <n v="246779412033"/>
    <s v="USD"/>
    <n v="22.42"/>
    <s v="INR"/>
    <n v="1943.62"/>
    <s v="VAS Activity Charges for the month of December, 24"/>
  </r>
  <r>
    <s v="KUEHNE+NAGEL PVT. LTD."/>
    <n v="2025"/>
    <d v="2025-03-17T00:00:00"/>
    <x v="1"/>
    <x v="61"/>
    <n v="246779412034"/>
    <s v="USD"/>
    <n v="33.64"/>
    <s v="INR"/>
    <n v="2916.29"/>
    <s v="VAS Activity Charges for the month of December, 24"/>
  </r>
  <r>
    <s v="KUEHNE+NAGEL PVT. LTD."/>
    <n v="2025"/>
    <d v="2025-03-17T00:00:00"/>
    <x v="1"/>
    <x v="61"/>
    <n v="246779412035"/>
    <s v="USD"/>
    <n v="72.88"/>
    <s v="INR"/>
    <n v="6318.06"/>
    <s v="VAS Activity Charges for the month of December, 24"/>
  </r>
  <r>
    <s v="KUEHNE+NAGEL PVT. LTD."/>
    <n v="2025"/>
    <d v="2025-03-17T00:00:00"/>
    <x v="1"/>
    <x v="61"/>
    <n v="246779412036"/>
    <s v="USD"/>
    <n v="28.03"/>
    <s v="INR"/>
    <n v="2429.96"/>
    <s v="VAS Activity Charges for the month of December, 24"/>
  </r>
  <r>
    <s v="KUEHNE+NAGEL PVT. LTD."/>
    <n v="2025"/>
    <d v="2025-03-17T00:00:00"/>
    <x v="1"/>
    <x v="61"/>
    <n v="246779412037"/>
    <s v="USD"/>
    <n v="44.85"/>
    <s v="INR"/>
    <n v="3888.1"/>
    <s v="VAS Activity Charges for the month of December, 24"/>
  </r>
  <r>
    <s v="KUEHNE+NAGEL PVT. LTD."/>
    <n v="2025"/>
    <d v="2025-03-17T00:00:00"/>
    <x v="1"/>
    <x v="61"/>
    <n v="246779412038"/>
    <s v="USD"/>
    <n v="33.64"/>
    <s v="INR"/>
    <n v="2916.29"/>
    <s v="VAS Activity Charges for the month of December, 24"/>
  </r>
  <r>
    <s v="KUEHNE+NAGEL PVT. LTD."/>
    <n v="2025"/>
    <d v="2025-03-17T00:00:00"/>
    <x v="1"/>
    <x v="61"/>
    <n v="246779412039"/>
    <s v="USD"/>
    <n v="56.06"/>
    <s v="INR"/>
    <n v="4859.91"/>
    <s v="VAS Activity Charges for the month of December, 24"/>
  </r>
  <r>
    <s v="KUEHNE+NAGEL PVT. LTD."/>
    <n v="2025"/>
    <d v="2025-03-17T00:00:00"/>
    <x v="1"/>
    <x v="61"/>
    <n v="246779412040"/>
    <s v="USD"/>
    <n v="16.82"/>
    <s v="INR"/>
    <n v="1458.15"/>
    <s v="VAS Activity Charges for the month of December, 24"/>
  </r>
  <r>
    <s v="KUEHNE+NAGEL PVT. LTD."/>
    <n v="2025"/>
    <d v="2025-03-17T00:00:00"/>
    <x v="1"/>
    <x v="61"/>
    <n v="246779412041"/>
    <s v="USD"/>
    <n v="33.64"/>
    <s v="INR"/>
    <n v="2916.29"/>
    <s v="VAS Activity Charges for the month of December, 24"/>
  </r>
  <r>
    <s v="KUEHNE+NAGEL PVT. LTD."/>
    <n v="2025"/>
    <d v="2025-03-17T00:00:00"/>
    <x v="1"/>
    <x v="61"/>
    <n v="246779412042"/>
    <s v="USD"/>
    <n v="16.82"/>
    <s v="INR"/>
    <n v="1458.15"/>
    <s v="VAS Activity Charges for the month of December, 24"/>
  </r>
  <r>
    <s v="KUEHNE+NAGEL PVT. LTD."/>
    <n v="2025"/>
    <d v="2025-03-17T00:00:00"/>
    <x v="1"/>
    <x v="61"/>
    <n v="246779412043"/>
    <s v="USD"/>
    <n v="16.82"/>
    <s v="INR"/>
    <n v="1458.15"/>
    <s v="VAS Activity Charges for the month of December, 24"/>
  </r>
  <r>
    <s v="KUEHNE+NAGEL PVT. LTD."/>
    <n v="2025"/>
    <d v="2025-03-17T00:00:00"/>
    <x v="1"/>
    <x v="61"/>
    <n v="246779412045"/>
    <s v="USD"/>
    <n v="230"/>
    <s v="INR"/>
    <n v="19938.990000000002"/>
    <s v="VAS Activity Charges for the month of December, 24"/>
  </r>
  <r>
    <s v="KUEHNE+NAGEL PVT. LTD."/>
    <n v="2025"/>
    <d v="2025-03-17T00:00:00"/>
    <x v="1"/>
    <x v="61"/>
    <n v="246779412047"/>
    <s v="USD"/>
    <n v="28.03"/>
    <s v="INR"/>
    <n v="2429.96"/>
    <s v="VAS Activity Charges for the month of December, 24"/>
  </r>
  <r>
    <s v="KUEHNE+NAGEL PVT. LTD."/>
    <n v="2025"/>
    <d v="2025-03-17T00:00:00"/>
    <x v="1"/>
    <x v="61"/>
    <n v="246779412048"/>
    <s v="USD"/>
    <n v="22.78"/>
    <s v="INR"/>
    <n v="1974.83"/>
    <s v="VAS Activity Charges for the month of December, 24"/>
  </r>
  <r>
    <s v="KUEHNE+NAGEL PVT. LTD."/>
    <n v="2025"/>
    <d v="2025-03-17T00:00:00"/>
    <x v="1"/>
    <x v="61"/>
    <n v="246779412111"/>
    <s v="USD"/>
    <n v="420.46"/>
    <s v="INR"/>
    <n v="36450.21"/>
    <s v="VAS Activity Charges for the month of December, 24"/>
  </r>
  <r>
    <s v="KUEHNE+NAGEL PVT. LTD."/>
    <n v="2025"/>
    <d v="2025-03-17T00:00:00"/>
    <x v="1"/>
    <x v="61"/>
    <n v="246779411718"/>
    <s v="USD"/>
    <n v="22.95"/>
    <s v="INR"/>
    <n v="1989.56"/>
    <s v="VAS Activity Charges for the month of October, 24"/>
  </r>
  <r>
    <s v="KUEHNE+NAGEL PVT. LTD."/>
    <n v="2025"/>
    <d v="2025-03-17T00:00:00"/>
    <x v="1"/>
    <x v="61"/>
    <n v="246779411719"/>
    <s v="USD"/>
    <n v="28.54"/>
    <s v="INR"/>
    <n v="2474.17"/>
    <s v="VAS Activity Charges for the month of October, 24"/>
  </r>
  <r>
    <s v="KUEHNE+NAGEL PVT. LTD."/>
    <n v="2025"/>
    <d v="2025-03-17T00:00:00"/>
    <x v="1"/>
    <x v="61"/>
    <n v="246779411720"/>
    <s v="USD"/>
    <n v="17.12"/>
    <s v="INR"/>
    <n v="1484.15"/>
    <s v="VAS Activity Charges for the month of October, 24"/>
  </r>
  <r>
    <s v="KUEHNE+NAGEL PVT. LTD."/>
    <n v="2025"/>
    <d v="2025-03-17T00:00:00"/>
    <x v="1"/>
    <x v="61"/>
    <n v="246779411721"/>
    <s v="USD"/>
    <n v="525.63"/>
    <s v="INR"/>
    <n v="45567.53"/>
    <s v="VAS Activity Charges for the month of October, 24"/>
  </r>
  <r>
    <s v="KUEHNE+NAGEL PVT. LTD."/>
    <n v="2025"/>
    <d v="2025-03-17T00:00:00"/>
    <x v="1"/>
    <x v="61"/>
    <n v="246779411722"/>
    <s v="USD"/>
    <n v="39.96"/>
    <s v="INR"/>
    <n v="3464.18"/>
    <s v="VAS Activity Charges for the month of October, 24"/>
  </r>
  <r>
    <s v="KUEHNE+NAGEL PVT. LTD."/>
    <n v="2025"/>
    <d v="2025-03-17T00:00:00"/>
    <x v="1"/>
    <x v="61"/>
    <n v="246779411733"/>
    <s v="USD"/>
    <n v="17.12"/>
    <s v="INR"/>
    <n v="1484.15"/>
    <s v="VAS Activity Charges for the month of October, 24"/>
  </r>
  <r>
    <s v="KUEHNE+NAGEL PVT. LTD."/>
    <n v="2025"/>
    <d v="2025-03-17T00:00:00"/>
    <x v="1"/>
    <x v="61"/>
    <n v="246779411734"/>
    <s v="USD"/>
    <n v="22.83"/>
    <s v="INR"/>
    <n v="1979.16"/>
    <s v="VAS Activity Charges for the month of October, 24"/>
  </r>
  <r>
    <s v="KUEHNE+NAGEL PVT. LTD."/>
    <n v="2025"/>
    <d v="2025-03-17T00:00:00"/>
    <x v="1"/>
    <x v="61"/>
    <n v="246779411735"/>
    <s v="USD"/>
    <n v="479.25"/>
    <s v="INR"/>
    <n v="41546.79"/>
    <s v="VAS Activity Charges for the month of October, 24"/>
  </r>
  <r>
    <s v="KUEHNE+NAGEL PVT. LTD."/>
    <n v="2025"/>
    <d v="2025-03-17T00:00:00"/>
    <x v="1"/>
    <x v="61"/>
    <n v="246779411736"/>
    <s v="USD"/>
    <n v="22.83"/>
    <s v="INR"/>
    <n v="1979.16"/>
    <s v="VAS Activity Charges for the month of October, 24"/>
  </r>
  <r>
    <s v="KUEHNE+NAGEL PVT. LTD."/>
    <n v="2025"/>
    <d v="2025-03-17T00:00:00"/>
    <x v="1"/>
    <x v="61"/>
    <n v="246779411737"/>
    <s v="USD"/>
    <n v="28.54"/>
    <s v="INR"/>
    <n v="2474.17"/>
    <s v="VAS Activity Charges for the month of October, 24"/>
  </r>
  <r>
    <s v="KUEHNE+NAGEL PVT. LTD."/>
    <n v="2025"/>
    <d v="2025-03-17T00:00:00"/>
    <x v="1"/>
    <x v="61"/>
    <n v="246779411738"/>
    <s v="USD"/>
    <n v="28.54"/>
    <s v="INR"/>
    <n v="2474.17"/>
    <s v="VAS Activity Charges for the month of October, 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46EB2-6E86-43AA-AB24-C749FF0815A8}" name="PivotTable4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G17" firstHeaderRow="1" firstDataRow="2" firstDataCol="3"/>
  <pivotFields count="15">
    <pivotField axis="axisCol" compact="0" outline="0" showAll="0" defaultSubtotal="0">
      <items count="4">
        <item x="1"/>
        <item x="2"/>
        <item x="0"/>
        <item x="3"/>
      </items>
    </pivotField>
    <pivotField compact="0" outline="0" showAll="0" defaultSubtotal="0"/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64" outline="0" showAll="0" defaultSubtotal="0"/>
    <pivotField dataField="1"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14"/>
    <field x="13"/>
    <field x="2"/>
  </rowFields>
  <rowItems count="13">
    <i>
      <x v="1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LC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2A1D4-E938-46D9-8D76-0CBC2E2EF577}" name="PivotTable6" cacheId="7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I16" firstHeaderRow="1" firstDataRow="2" firstDataCol="3"/>
  <pivotFields count="13">
    <pivotField compact="0" outline="0" showAll="0" defaultSubtotal="0"/>
    <pivotField compact="0" outline="0" showAll="0" defaultSubtotal="0"/>
    <pivotField compact="0" numFmtId="14" outline="0" showAll="0" defaultSubtotal="0"/>
    <pivotField axis="axisCol" compact="0" outline="0" showAll="0" defaultSubtotal="0">
      <items count="6">
        <item x="3"/>
        <item x="0"/>
        <item x="1"/>
        <item x="4"/>
        <item x="2"/>
        <item x="5"/>
      </items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12"/>
    <field x="11"/>
    <field x="4"/>
  </rowFields>
  <rowItems count="12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Company Code Currency Val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6DCA-AB70-4109-8F7D-082C10573BF7}">
  <dimension ref="A1:K707"/>
  <sheetViews>
    <sheetView topLeftCell="A264" workbookViewId="0">
      <selection activeCell="J589" sqref="J589"/>
    </sheetView>
  </sheetViews>
  <sheetFormatPr defaultRowHeight="14.5" x14ac:dyDescent="0.35"/>
  <cols>
    <col min="1" max="1" width="26" bestFit="1" customWidth="1"/>
    <col min="2" max="2" width="11.81640625" bestFit="1" customWidth="1"/>
    <col min="3" max="3" width="13.453125" bestFit="1" customWidth="1"/>
    <col min="4" max="4" width="11.81640625" bestFit="1" customWidth="1"/>
    <col min="5" max="5" width="16.1796875" bestFit="1" customWidth="1"/>
    <col min="6" max="6" width="15.6328125" bestFit="1" customWidth="1"/>
    <col min="7" max="7" width="13.90625" bestFit="1" customWidth="1"/>
    <col min="8" max="8" width="11.90625" bestFit="1" customWidth="1"/>
    <col min="9" max="9" width="11" bestFit="1" customWidth="1"/>
    <col min="10" max="10" width="11.90625" bestFit="1" customWidth="1"/>
    <col min="11" max="11" width="47" bestFit="1" customWidth="1"/>
  </cols>
  <sheetData>
    <row r="1" spans="1:11" ht="58" x14ac:dyDescent="0.35">
      <c r="A1" s="10" t="s">
        <v>483</v>
      </c>
      <c r="B1" s="10" t="s">
        <v>484</v>
      </c>
      <c r="C1" s="10" t="s">
        <v>485</v>
      </c>
      <c r="D1" s="11" t="s">
        <v>486</v>
      </c>
      <c r="E1" s="10" t="s">
        <v>487</v>
      </c>
      <c r="F1" s="10" t="s">
        <v>489</v>
      </c>
      <c r="G1" s="11" t="s">
        <v>490</v>
      </c>
      <c r="H1" s="11" t="s">
        <v>491</v>
      </c>
      <c r="I1" s="11" t="s">
        <v>492</v>
      </c>
      <c r="J1" s="11" t="s">
        <v>493</v>
      </c>
      <c r="K1" s="10" t="s">
        <v>494</v>
      </c>
    </row>
    <row r="2" spans="1:11" x14ac:dyDescent="0.35">
      <c r="A2" s="12" t="s">
        <v>495</v>
      </c>
      <c r="B2" s="15">
        <v>2025</v>
      </c>
      <c r="C2" s="13">
        <v>45848</v>
      </c>
      <c r="D2" s="12" t="s">
        <v>496</v>
      </c>
      <c r="E2" s="13">
        <v>45848</v>
      </c>
      <c r="F2" s="84">
        <v>256779421326</v>
      </c>
      <c r="G2" s="12" t="s">
        <v>11</v>
      </c>
      <c r="H2" s="14">
        <v>-70.8</v>
      </c>
      <c r="I2" s="12" t="s">
        <v>56</v>
      </c>
      <c r="J2" s="14">
        <v>-6088.85</v>
      </c>
      <c r="K2" s="12" t="s">
        <v>498</v>
      </c>
    </row>
    <row r="3" spans="1:11" x14ac:dyDescent="0.35">
      <c r="A3" s="12" t="s">
        <v>495</v>
      </c>
      <c r="B3" s="15">
        <v>2025</v>
      </c>
      <c r="C3" s="13">
        <v>45848</v>
      </c>
      <c r="D3" s="12" t="s">
        <v>496</v>
      </c>
      <c r="E3" s="13">
        <v>45848</v>
      </c>
      <c r="F3" s="84">
        <v>256779421327</v>
      </c>
      <c r="G3" s="12" t="s">
        <v>11</v>
      </c>
      <c r="H3" s="14">
        <v>-113.28</v>
      </c>
      <c r="I3" s="12" t="s">
        <v>56</v>
      </c>
      <c r="J3" s="14">
        <v>-9742.16</v>
      </c>
      <c r="K3" s="12" t="s">
        <v>498</v>
      </c>
    </row>
    <row r="4" spans="1:11" x14ac:dyDescent="0.35">
      <c r="A4" s="12" t="s">
        <v>495</v>
      </c>
      <c r="B4" s="15">
        <v>2025</v>
      </c>
      <c r="C4" s="13">
        <v>45848</v>
      </c>
      <c r="D4" s="12" t="s">
        <v>496</v>
      </c>
      <c r="E4" s="13">
        <v>45848</v>
      </c>
      <c r="F4" s="84">
        <v>256779421328</v>
      </c>
      <c r="G4" s="12" t="s">
        <v>11</v>
      </c>
      <c r="H4" s="14">
        <v>-242.75</v>
      </c>
      <c r="I4" s="12" t="s">
        <v>56</v>
      </c>
      <c r="J4" s="14">
        <v>-20876.66</v>
      </c>
      <c r="K4" s="12" t="s">
        <v>498</v>
      </c>
    </row>
    <row r="5" spans="1:11" x14ac:dyDescent="0.35">
      <c r="A5" s="12" t="s">
        <v>495</v>
      </c>
      <c r="B5" s="15">
        <v>2025</v>
      </c>
      <c r="C5" s="13">
        <v>45904</v>
      </c>
      <c r="D5" s="12" t="s">
        <v>499</v>
      </c>
      <c r="E5" s="13">
        <v>45904</v>
      </c>
      <c r="F5" s="84">
        <v>256779416909</v>
      </c>
      <c r="G5" s="12" t="s">
        <v>11</v>
      </c>
      <c r="H5" s="14">
        <v>989.55</v>
      </c>
      <c r="I5" s="12" t="s">
        <v>56</v>
      </c>
      <c r="J5" s="14">
        <v>86599.81</v>
      </c>
      <c r="K5" s="12" t="s">
        <v>500</v>
      </c>
    </row>
    <row r="6" spans="1:11" x14ac:dyDescent="0.35">
      <c r="A6" s="12" t="s">
        <v>495</v>
      </c>
      <c r="B6" s="15">
        <v>2025</v>
      </c>
      <c r="C6" s="13">
        <v>45904</v>
      </c>
      <c r="D6" s="12" t="s">
        <v>499</v>
      </c>
      <c r="E6" s="13">
        <v>45904</v>
      </c>
      <c r="F6" s="84">
        <v>256779417134</v>
      </c>
      <c r="G6" s="12" t="s">
        <v>11</v>
      </c>
      <c r="H6" s="14">
        <v>536.44000000000005</v>
      </c>
      <c r="I6" s="12" t="s">
        <v>56</v>
      </c>
      <c r="J6" s="14">
        <v>46946.19</v>
      </c>
      <c r="K6" s="12" t="s">
        <v>501</v>
      </c>
    </row>
    <row r="7" spans="1:11" x14ac:dyDescent="0.35">
      <c r="A7" s="12" t="s">
        <v>495</v>
      </c>
      <c r="B7" s="15">
        <v>2025</v>
      </c>
      <c r="C7" s="13">
        <v>45904</v>
      </c>
      <c r="D7" s="12" t="s">
        <v>499</v>
      </c>
      <c r="E7" s="13">
        <v>45904</v>
      </c>
      <c r="F7" s="84">
        <v>256779417137</v>
      </c>
      <c r="G7" s="12" t="s">
        <v>11</v>
      </c>
      <c r="H7" s="14">
        <v>409.79</v>
      </c>
      <c r="I7" s="12" t="s">
        <v>56</v>
      </c>
      <c r="J7" s="14">
        <v>35862.5</v>
      </c>
      <c r="K7" s="12" t="s">
        <v>502</v>
      </c>
    </row>
    <row r="8" spans="1:11" x14ac:dyDescent="0.35">
      <c r="A8" s="12" t="s">
        <v>495</v>
      </c>
      <c r="B8" s="15">
        <v>2025</v>
      </c>
      <c r="C8" s="13">
        <v>45904</v>
      </c>
      <c r="D8" s="12" t="s">
        <v>499</v>
      </c>
      <c r="E8" s="13">
        <v>45904</v>
      </c>
      <c r="F8" s="84">
        <v>256779417158</v>
      </c>
      <c r="G8" s="12" t="s">
        <v>11</v>
      </c>
      <c r="H8" s="14">
        <v>110</v>
      </c>
      <c r="I8" s="12" t="s">
        <v>56</v>
      </c>
      <c r="J8" s="14">
        <v>9626.58</v>
      </c>
      <c r="K8" s="12" t="s">
        <v>503</v>
      </c>
    </row>
    <row r="9" spans="1:11" x14ac:dyDescent="0.35">
      <c r="A9" s="12" t="s">
        <v>495</v>
      </c>
      <c r="B9" s="15">
        <v>2025</v>
      </c>
      <c r="C9" s="13">
        <v>45904</v>
      </c>
      <c r="D9" s="12" t="s">
        <v>499</v>
      </c>
      <c r="E9" s="13">
        <v>45904</v>
      </c>
      <c r="F9" s="84">
        <v>256779417200</v>
      </c>
      <c r="G9" s="12" t="s">
        <v>11</v>
      </c>
      <c r="H9" s="14">
        <v>100.74</v>
      </c>
      <c r="I9" s="12" t="s">
        <v>56</v>
      </c>
      <c r="J9" s="14">
        <v>8816.19</v>
      </c>
      <c r="K9" s="12" t="s">
        <v>504</v>
      </c>
    </row>
    <row r="10" spans="1:11" x14ac:dyDescent="0.35">
      <c r="A10" s="12" t="s">
        <v>495</v>
      </c>
      <c r="B10" s="15">
        <v>2025</v>
      </c>
      <c r="C10" s="13">
        <v>45904</v>
      </c>
      <c r="D10" s="12" t="s">
        <v>499</v>
      </c>
      <c r="E10" s="13">
        <v>45904</v>
      </c>
      <c r="F10" s="84">
        <v>256779417238</v>
      </c>
      <c r="G10" s="12" t="s">
        <v>11</v>
      </c>
      <c r="H10" s="14">
        <v>608.78</v>
      </c>
      <c r="I10" s="12" t="s">
        <v>56</v>
      </c>
      <c r="J10" s="14">
        <v>53276.97</v>
      </c>
      <c r="K10" s="12" t="s">
        <v>505</v>
      </c>
    </row>
    <row r="11" spans="1:11" x14ac:dyDescent="0.35">
      <c r="A11" s="12" t="s">
        <v>495</v>
      </c>
      <c r="B11" s="15">
        <v>2025</v>
      </c>
      <c r="C11" s="13">
        <v>45904</v>
      </c>
      <c r="D11" s="12" t="s">
        <v>499</v>
      </c>
      <c r="E11" s="13">
        <v>45904</v>
      </c>
      <c r="F11" s="84">
        <v>256779417250</v>
      </c>
      <c r="G11" s="12" t="s">
        <v>11</v>
      </c>
      <c r="H11" s="14">
        <v>50</v>
      </c>
      <c r="I11" s="12" t="s">
        <v>56</v>
      </c>
      <c r="J11" s="14">
        <v>4375.72</v>
      </c>
      <c r="K11" s="12" t="s">
        <v>506</v>
      </c>
    </row>
    <row r="12" spans="1:11" x14ac:dyDescent="0.35">
      <c r="A12" s="12" t="s">
        <v>495</v>
      </c>
      <c r="B12" s="15">
        <v>2025</v>
      </c>
      <c r="C12" s="13">
        <v>45904</v>
      </c>
      <c r="D12" s="12" t="s">
        <v>499</v>
      </c>
      <c r="E12" s="13">
        <v>45904</v>
      </c>
      <c r="F12" s="84">
        <v>256779417257</v>
      </c>
      <c r="G12" s="12" t="s">
        <v>11</v>
      </c>
      <c r="H12" s="14">
        <v>22.77</v>
      </c>
      <c r="I12" s="12" t="s">
        <v>56</v>
      </c>
      <c r="J12" s="14">
        <v>1992.7</v>
      </c>
      <c r="K12" s="12" t="s">
        <v>507</v>
      </c>
    </row>
    <row r="13" spans="1:11" x14ac:dyDescent="0.35">
      <c r="A13" s="12" t="s">
        <v>495</v>
      </c>
      <c r="B13" s="15">
        <v>2025</v>
      </c>
      <c r="C13" s="13">
        <v>45904</v>
      </c>
      <c r="D13" s="12" t="s">
        <v>499</v>
      </c>
      <c r="E13" s="13">
        <v>45904</v>
      </c>
      <c r="F13" s="84">
        <v>256779417280</v>
      </c>
      <c r="G13" s="12" t="s">
        <v>11</v>
      </c>
      <c r="H13" s="14">
        <v>249.98</v>
      </c>
      <c r="I13" s="12" t="s">
        <v>56</v>
      </c>
      <c r="J13" s="14">
        <v>21876.83</v>
      </c>
      <c r="K13" s="12" t="s">
        <v>508</v>
      </c>
    </row>
    <row r="14" spans="1:11" x14ac:dyDescent="0.35">
      <c r="A14" s="12" t="s">
        <v>495</v>
      </c>
      <c r="B14" s="15">
        <v>2025</v>
      </c>
      <c r="C14" s="13">
        <v>45904</v>
      </c>
      <c r="D14" s="12" t="s">
        <v>499</v>
      </c>
      <c r="E14" s="13">
        <v>45904</v>
      </c>
      <c r="F14" s="84">
        <v>256779417317</v>
      </c>
      <c r="G14" s="12" t="s">
        <v>11</v>
      </c>
      <c r="H14" s="14">
        <v>170.85</v>
      </c>
      <c r="I14" s="12" t="s">
        <v>56</v>
      </c>
      <c r="J14" s="14">
        <v>14951.82</v>
      </c>
      <c r="K14" s="12" t="s">
        <v>509</v>
      </c>
    </row>
    <row r="15" spans="1:11" x14ac:dyDescent="0.35">
      <c r="A15" s="12" t="s">
        <v>495</v>
      </c>
      <c r="B15" s="15">
        <v>2025</v>
      </c>
      <c r="C15" s="13">
        <v>45842</v>
      </c>
      <c r="D15" s="12" t="s">
        <v>499</v>
      </c>
      <c r="E15" s="13">
        <v>45842</v>
      </c>
      <c r="F15" s="84">
        <v>256779414859</v>
      </c>
      <c r="G15" s="12" t="s">
        <v>11</v>
      </c>
      <c r="H15" s="14">
        <v>318.47000000000003</v>
      </c>
      <c r="I15" s="12" t="s">
        <v>56</v>
      </c>
      <c r="J15" s="14">
        <v>27388.63</v>
      </c>
      <c r="K15" s="12" t="s">
        <v>510</v>
      </c>
    </row>
    <row r="16" spans="1:11" x14ac:dyDescent="0.35">
      <c r="A16" s="12" t="s">
        <v>495</v>
      </c>
      <c r="B16" s="15">
        <v>2025</v>
      </c>
      <c r="C16" s="13">
        <v>45842</v>
      </c>
      <c r="D16" s="12" t="s">
        <v>499</v>
      </c>
      <c r="E16" s="13">
        <v>45842</v>
      </c>
      <c r="F16" s="84">
        <v>256779415012</v>
      </c>
      <c r="G16" s="12" t="s">
        <v>11</v>
      </c>
      <c r="H16" s="14">
        <v>184.3</v>
      </c>
      <c r="I16" s="12" t="s">
        <v>56</v>
      </c>
      <c r="J16" s="14">
        <v>15849.92</v>
      </c>
      <c r="K16" s="12" t="s">
        <v>511</v>
      </c>
    </row>
    <row r="17" spans="1:11" x14ac:dyDescent="0.35">
      <c r="A17" s="12" t="s">
        <v>495</v>
      </c>
      <c r="B17" s="15">
        <v>2025</v>
      </c>
      <c r="C17" s="13">
        <v>45842</v>
      </c>
      <c r="D17" s="12" t="s">
        <v>499</v>
      </c>
      <c r="E17" s="13">
        <v>45842</v>
      </c>
      <c r="F17" s="84">
        <v>256779415208</v>
      </c>
      <c r="G17" s="12" t="s">
        <v>11</v>
      </c>
      <c r="H17" s="14">
        <v>183.43</v>
      </c>
      <c r="I17" s="12" t="s">
        <v>56</v>
      </c>
      <c r="J17" s="14">
        <v>15775.1</v>
      </c>
      <c r="K17" s="12" t="s">
        <v>512</v>
      </c>
    </row>
    <row r="18" spans="1:11" x14ac:dyDescent="0.35">
      <c r="A18" s="12" t="s">
        <v>495</v>
      </c>
      <c r="B18" s="15">
        <v>2025</v>
      </c>
      <c r="C18" s="13">
        <v>45842</v>
      </c>
      <c r="D18" s="12" t="s">
        <v>499</v>
      </c>
      <c r="E18" s="13">
        <v>45842</v>
      </c>
      <c r="F18" s="84">
        <v>256779415209</v>
      </c>
      <c r="G18" s="12" t="s">
        <v>11</v>
      </c>
      <c r="H18" s="14">
        <v>63.26</v>
      </c>
      <c r="I18" s="12" t="s">
        <v>56</v>
      </c>
      <c r="J18" s="14">
        <v>5440.4</v>
      </c>
      <c r="K18" s="12" t="s">
        <v>512</v>
      </c>
    </row>
    <row r="19" spans="1:11" x14ac:dyDescent="0.35">
      <c r="A19" s="12" t="s">
        <v>495</v>
      </c>
      <c r="B19" s="15">
        <v>2025</v>
      </c>
      <c r="C19" s="13">
        <v>45842</v>
      </c>
      <c r="D19" s="12" t="s">
        <v>499</v>
      </c>
      <c r="E19" s="13">
        <v>45842</v>
      </c>
      <c r="F19" s="84">
        <v>256779415210</v>
      </c>
      <c r="G19" s="12" t="s">
        <v>11</v>
      </c>
      <c r="H19" s="14">
        <v>9629.6299999999992</v>
      </c>
      <c r="I19" s="12" t="s">
        <v>56</v>
      </c>
      <c r="J19" s="14">
        <v>828154.63</v>
      </c>
      <c r="K19" s="12" t="s">
        <v>512</v>
      </c>
    </row>
    <row r="20" spans="1:11" x14ac:dyDescent="0.35">
      <c r="A20" s="12" t="s">
        <v>495</v>
      </c>
      <c r="B20" s="15">
        <v>2025</v>
      </c>
      <c r="C20" s="13">
        <v>45842</v>
      </c>
      <c r="D20" s="12" t="s">
        <v>499</v>
      </c>
      <c r="E20" s="13">
        <v>45842</v>
      </c>
      <c r="F20" s="84">
        <v>256779415261</v>
      </c>
      <c r="G20" s="12" t="s">
        <v>11</v>
      </c>
      <c r="H20" s="14">
        <v>292.95999999999998</v>
      </c>
      <c r="I20" s="12" t="s">
        <v>56</v>
      </c>
      <c r="J20" s="14">
        <v>25194.76</v>
      </c>
      <c r="K20" s="12" t="s">
        <v>513</v>
      </c>
    </row>
    <row r="21" spans="1:11" x14ac:dyDescent="0.35">
      <c r="A21" s="12" t="s">
        <v>495</v>
      </c>
      <c r="B21" s="15">
        <v>2025</v>
      </c>
      <c r="C21" s="13">
        <v>45842</v>
      </c>
      <c r="D21" s="12" t="s">
        <v>499</v>
      </c>
      <c r="E21" s="13">
        <v>45842</v>
      </c>
      <c r="F21" s="84">
        <v>256779415270</v>
      </c>
      <c r="G21" s="12" t="s">
        <v>11</v>
      </c>
      <c r="H21" s="14">
        <v>420.86</v>
      </c>
      <c r="I21" s="12" t="s">
        <v>56</v>
      </c>
      <c r="J21" s="14">
        <v>36194.239999999998</v>
      </c>
      <c r="K21" s="12" t="s">
        <v>514</v>
      </c>
    </row>
    <row r="22" spans="1:11" x14ac:dyDescent="0.35">
      <c r="A22" s="12" t="s">
        <v>495</v>
      </c>
      <c r="B22" s="15">
        <v>2025</v>
      </c>
      <c r="C22" s="13">
        <v>45966</v>
      </c>
      <c r="D22" s="12" t="s">
        <v>499</v>
      </c>
      <c r="E22" s="13">
        <v>45966</v>
      </c>
      <c r="F22" s="84">
        <v>256779418816</v>
      </c>
      <c r="G22" s="12" t="s">
        <v>11</v>
      </c>
      <c r="H22" s="14">
        <v>891</v>
      </c>
      <c r="I22" s="12" t="s">
        <v>56</v>
      </c>
      <c r="J22" s="14">
        <v>78411.02</v>
      </c>
      <c r="K22" s="12" t="s">
        <v>515</v>
      </c>
    </row>
    <row r="23" spans="1:11" x14ac:dyDescent="0.35">
      <c r="A23" s="12" t="s">
        <v>495</v>
      </c>
      <c r="B23" s="15">
        <v>2025</v>
      </c>
      <c r="C23" s="13">
        <v>45966</v>
      </c>
      <c r="D23" s="12" t="s">
        <v>499</v>
      </c>
      <c r="E23" s="13">
        <v>45966</v>
      </c>
      <c r="F23" s="84">
        <v>256779418872</v>
      </c>
      <c r="G23" s="12" t="s">
        <v>11</v>
      </c>
      <c r="H23" s="14">
        <v>5939.04</v>
      </c>
      <c r="I23" s="12" t="s">
        <v>56</v>
      </c>
      <c r="J23" s="14">
        <v>522655.65</v>
      </c>
      <c r="K23" s="12" t="s">
        <v>516</v>
      </c>
    </row>
    <row r="24" spans="1:11" x14ac:dyDescent="0.35">
      <c r="A24" s="12" t="s">
        <v>495</v>
      </c>
      <c r="B24" s="15">
        <v>2025</v>
      </c>
      <c r="C24" s="13">
        <v>45966</v>
      </c>
      <c r="D24" s="12" t="s">
        <v>499</v>
      </c>
      <c r="E24" s="13">
        <v>45966</v>
      </c>
      <c r="F24" s="84">
        <v>256779418892</v>
      </c>
      <c r="G24" s="12" t="s">
        <v>11</v>
      </c>
      <c r="H24" s="14">
        <v>1683.97</v>
      </c>
      <c r="I24" s="12" t="s">
        <v>56</v>
      </c>
      <c r="J24" s="14">
        <v>148195.07</v>
      </c>
      <c r="K24" s="12" t="s">
        <v>517</v>
      </c>
    </row>
    <row r="25" spans="1:11" x14ac:dyDescent="0.35">
      <c r="A25" s="12" t="s">
        <v>495</v>
      </c>
      <c r="B25" s="15">
        <v>2025</v>
      </c>
      <c r="C25" s="13">
        <v>45966</v>
      </c>
      <c r="D25" s="12" t="s">
        <v>499</v>
      </c>
      <c r="E25" s="13">
        <v>45966</v>
      </c>
      <c r="F25" s="84">
        <v>256779418904</v>
      </c>
      <c r="G25" s="12" t="s">
        <v>11</v>
      </c>
      <c r="H25" s="14">
        <v>1273.92</v>
      </c>
      <c r="I25" s="12" t="s">
        <v>56</v>
      </c>
      <c r="J25" s="14">
        <v>112109.28</v>
      </c>
      <c r="K25" s="12" t="s">
        <v>518</v>
      </c>
    </row>
    <row r="26" spans="1:11" x14ac:dyDescent="0.35">
      <c r="A26" s="12" t="s">
        <v>495</v>
      </c>
      <c r="B26" s="15">
        <v>2025</v>
      </c>
      <c r="C26" s="13">
        <v>45966</v>
      </c>
      <c r="D26" s="12" t="s">
        <v>499</v>
      </c>
      <c r="E26" s="13">
        <v>45966</v>
      </c>
      <c r="F26" s="84">
        <v>256779419165</v>
      </c>
      <c r="G26" s="12" t="s">
        <v>11</v>
      </c>
      <c r="H26" s="14">
        <v>191.57</v>
      </c>
      <c r="I26" s="12" t="s">
        <v>56</v>
      </c>
      <c r="J26" s="14">
        <v>16858.810000000001</v>
      </c>
      <c r="K26" s="12" t="s">
        <v>519</v>
      </c>
    </row>
    <row r="27" spans="1:11" x14ac:dyDescent="0.35">
      <c r="A27" s="12" t="s">
        <v>495</v>
      </c>
      <c r="B27" s="15">
        <v>2025</v>
      </c>
      <c r="C27" s="13">
        <v>45966</v>
      </c>
      <c r="D27" s="12" t="s">
        <v>499</v>
      </c>
      <c r="E27" s="13">
        <v>45966</v>
      </c>
      <c r="F27" s="84">
        <v>256779419192</v>
      </c>
      <c r="G27" s="12" t="s">
        <v>11</v>
      </c>
      <c r="H27" s="14">
        <v>171.87</v>
      </c>
      <c r="I27" s="12" t="s">
        <v>56</v>
      </c>
      <c r="J27" s="14">
        <v>15125.14</v>
      </c>
      <c r="K27" s="12" t="s">
        <v>520</v>
      </c>
    </row>
    <row r="28" spans="1:11" x14ac:dyDescent="0.35">
      <c r="A28" s="12" t="s">
        <v>495</v>
      </c>
      <c r="B28" s="15">
        <v>2025</v>
      </c>
      <c r="C28" s="13">
        <v>45966</v>
      </c>
      <c r="D28" s="12" t="s">
        <v>499</v>
      </c>
      <c r="E28" s="13">
        <v>45966</v>
      </c>
      <c r="F28" s="84">
        <v>256779419211</v>
      </c>
      <c r="G28" s="12" t="s">
        <v>11</v>
      </c>
      <c r="H28" s="14">
        <v>28.18</v>
      </c>
      <c r="I28" s="12" t="s">
        <v>56</v>
      </c>
      <c r="J28" s="14">
        <v>2479.94</v>
      </c>
      <c r="K28" s="12" t="s">
        <v>521</v>
      </c>
    </row>
    <row r="29" spans="1:11" x14ac:dyDescent="0.35">
      <c r="A29" s="12" t="s">
        <v>495</v>
      </c>
      <c r="B29" s="15">
        <v>2025</v>
      </c>
      <c r="C29" s="13">
        <v>45966</v>
      </c>
      <c r="D29" s="12" t="s">
        <v>499</v>
      </c>
      <c r="E29" s="13">
        <v>45966</v>
      </c>
      <c r="F29" s="84">
        <v>256779419222</v>
      </c>
      <c r="G29" s="12" t="s">
        <v>11</v>
      </c>
      <c r="H29" s="14">
        <v>3537</v>
      </c>
      <c r="I29" s="12" t="s">
        <v>56</v>
      </c>
      <c r="J29" s="14">
        <v>311267.99</v>
      </c>
      <c r="K29" s="12" t="s">
        <v>522</v>
      </c>
    </row>
    <row r="30" spans="1:11" x14ac:dyDescent="0.35">
      <c r="A30" s="12" t="s">
        <v>495</v>
      </c>
      <c r="B30" s="15">
        <v>2025</v>
      </c>
      <c r="C30" s="13">
        <v>45964</v>
      </c>
      <c r="D30" s="12" t="s">
        <v>499</v>
      </c>
      <c r="E30" s="13">
        <v>45964</v>
      </c>
      <c r="F30" s="84">
        <v>256779419122</v>
      </c>
      <c r="G30" s="12" t="s">
        <v>11</v>
      </c>
      <c r="H30" s="14">
        <v>670.42</v>
      </c>
      <c r="I30" s="12" t="s">
        <v>56</v>
      </c>
      <c r="J30" s="14">
        <v>58999.23</v>
      </c>
      <c r="K30" s="12" t="s">
        <v>523</v>
      </c>
    </row>
    <row r="31" spans="1:11" x14ac:dyDescent="0.35">
      <c r="A31" s="12" t="s">
        <v>495</v>
      </c>
      <c r="B31" s="15">
        <v>2025</v>
      </c>
      <c r="C31" s="13">
        <v>45964</v>
      </c>
      <c r="D31" s="12" t="s">
        <v>496</v>
      </c>
      <c r="E31" s="13">
        <v>45964</v>
      </c>
      <c r="F31" s="84">
        <v>256779422067</v>
      </c>
      <c r="G31" s="12" t="s">
        <v>11</v>
      </c>
      <c r="H31" s="14">
        <v>-4608.8</v>
      </c>
      <c r="I31" s="12" t="s">
        <v>56</v>
      </c>
      <c r="J31" s="14">
        <v>-405590.02</v>
      </c>
      <c r="K31" s="12" t="s">
        <v>524</v>
      </c>
    </row>
    <row r="32" spans="1:11" x14ac:dyDescent="0.35">
      <c r="A32" s="12" t="s">
        <v>495</v>
      </c>
      <c r="B32" s="15">
        <v>2025</v>
      </c>
      <c r="C32" s="13">
        <v>45877</v>
      </c>
      <c r="D32" s="12" t="s">
        <v>499</v>
      </c>
      <c r="E32" s="13">
        <v>45877</v>
      </c>
      <c r="F32" s="84">
        <v>256779416096</v>
      </c>
      <c r="G32" s="12" t="s">
        <v>11</v>
      </c>
      <c r="H32" s="14">
        <v>7386.34</v>
      </c>
      <c r="I32" s="12" t="s">
        <v>56</v>
      </c>
      <c r="J32" s="14">
        <v>635447.72</v>
      </c>
      <c r="K32" s="12" t="s">
        <v>525</v>
      </c>
    </row>
    <row r="33" spans="1:11" x14ac:dyDescent="0.35">
      <c r="A33" s="12" t="s">
        <v>495</v>
      </c>
      <c r="B33" s="15">
        <v>2025</v>
      </c>
      <c r="C33" s="13">
        <v>45877</v>
      </c>
      <c r="D33" s="12" t="s">
        <v>499</v>
      </c>
      <c r="E33" s="13">
        <v>45877</v>
      </c>
      <c r="F33" s="84">
        <v>256779416137</v>
      </c>
      <c r="G33" s="12" t="s">
        <v>11</v>
      </c>
      <c r="H33" s="14">
        <v>55.28</v>
      </c>
      <c r="I33" s="12" t="s">
        <v>56</v>
      </c>
      <c r="J33" s="14">
        <v>4755.75</v>
      </c>
      <c r="K33" s="12" t="s">
        <v>526</v>
      </c>
    </row>
    <row r="34" spans="1:11" x14ac:dyDescent="0.35">
      <c r="A34" s="12" t="s">
        <v>495</v>
      </c>
      <c r="B34" s="15">
        <v>2025</v>
      </c>
      <c r="C34" s="13">
        <v>45877</v>
      </c>
      <c r="D34" s="12" t="s">
        <v>499</v>
      </c>
      <c r="E34" s="13">
        <v>45877</v>
      </c>
      <c r="F34" s="84">
        <v>256779416169</v>
      </c>
      <c r="G34" s="12" t="s">
        <v>11</v>
      </c>
      <c r="H34" s="14">
        <v>256.97000000000003</v>
      </c>
      <c r="I34" s="12" t="s">
        <v>56</v>
      </c>
      <c r="J34" s="14">
        <v>22107.16</v>
      </c>
      <c r="K34" s="12" t="s">
        <v>527</v>
      </c>
    </row>
    <row r="35" spans="1:11" x14ac:dyDescent="0.35">
      <c r="A35" s="12" t="s">
        <v>495</v>
      </c>
      <c r="B35" s="15">
        <v>2025</v>
      </c>
      <c r="C35" s="13">
        <v>45877</v>
      </c>
      <c r="D35" s="12" t="s">
        <v>499</v>
      </c>
      <c r="E35" s="13">
        <v>45877</v>
      </c>
      <c r="F35" s="84">
        <v>256779416214</v>
      </c>
      <c r="G35" s="12" t="s">
        <v>11</v>
      </c>
      <c r="H35" s="14">
        <v>212.34</v>
      </c>
      <c r="I35" s="12" t="s">
        <v>56</v>
      </c>
      <c r="J35" s="14">
        <v>18267.64</v>
      </c>
      <c r="K35" s="12" t="s">
        <v>528</v>
      </c>
    </row>
    <row r="36" spans="1:11" x14ac:dyDescent="0.35">
      <c r="A36" s="12" t="s">
        <v>495</v>
      </c>
      <c r="B36" s="15">
        <v>2025</v>
      </c>
      <c r="C36" s="13">
        <v>45877</v>
      </c>
      <c r="D36" s="12" t="s">
        <v>499</v>
      </c>
      <c r="E36" s="13">
        <v>45877</v>
      </c>
      <c r="F36" s="84">
        <v>256779416255</v>
      </c>
      <c r="G36" s="12" t="s">
        <v>11</v>
      </c>
      <c r="H36" s="14">
        <v>392.28</v>
      </c>
      <c r="I36" s="12" t="s">
        <v>56</v>
      </c>
      <c r="J36" s="14">
        <v>33747.9</v>
      </c>
      <c r="K36" s="12" t="s">
        <v>529</v>
      </c>
    </row>
    <row r="37" spans="1:11" x14ac:dyDescent="0.35">
      <c r="A37" s="12" t="s">
        <v>495</v>
      </c>
      <c r="B37" s="15">
        <v>2025</v>
      </c>
      <c r="C37" s="13">
        <v>45877</v>
      </c>
      <c r="D37" s="12" t="s">
        <v>499</v>
      </c>
      <c r="E37" s="13">
        <v>45877</v>
      </c>
      <c r="F37" s="84">
        <v>256779416442</v>
      </c>
      <c r="G37" s="12" t="s">
        <v>11</v>
      </c>
      <c r="H37" s="14">
        <v>1053.3399999999999</v>
      </c>
      <c r="I37" s="12" t="s">
        <v>56</v>
      </c>
      <c r="J37" s="14">
        <v>90618.97</v>
      </c>
      <c r="K37" s="12" t="s">
        <v>530</v>
      </c>
    </row>
    <row r="38" spans="1:11" x14ac:dyDescent="0.35">
      <c r="A38" s="12" t="s">
        <v>495</v>
      </c>
      <c r="B38" s="15">
        <v>2025</v>
      </c>
      <c r="C38" s="13">
        <v>45877</v>
      </c>
      <c r="D38" s="12" t="s">
        <v>499</v>
      </c>
      <c r="E38" s="13">
        <v>45877</v>
      </c>
      <c r="F38" s="84">
        <v>256779416454</v>
      </c>
      <c r="G38" s="12" t="s">
        <v>11</v>
      </c>
      <c r="H38" s="14">
        <v>411.19</v>
      </c>
      <c r="I38" s="12" t="s">
        <v>56</v>
      </c>
      <c r="J38" s="14">
        <v>35374.730000000003</v>
      </c>
      <c r="K38" s="12" t="s">
        <v>531</v>
      </c>
    </row>
    <row r="39" spans="1:11" x14ac:dyDescent="0.35">
      <c r="A39" s="12" t="s">
        <v>495</v>
      </c>
      <c r="B39" s="15">
        <v>2025</v>
      </c>
      <c r="C39" s="13">
        <v>45812</v>
      </c>
      <c r="D39" s="12" t="s">
        <v>499</v>
      </c>
      <c r="E39" s="13">
        <v>45812</v>
      </c>
      <c r="F39" s="84">
        <v>256779414156</v>
      </c>
      <c r="G39" s="12" t="s">
        <v>11</v>
      </c>
      <c r="H39" s="14">
        <v>83.66</v>
      </c>
      <c r="I39" s="12" t="s">
        <v>56</v>
      </c>
      <c r="J39" s="14">
        <v>7152.16</v>
      </c>
      <c r="K39" s="12" t="s">
        <v>532</v>
      </c>
    </row>
    <row r="40" spans="1:11" x14ac:dyDescent="0.35">
      <c r="A40" s="12" t="s">
        <v>495</v>
      </c>
      <c r="B40" s="15">
        <v>2025</v>
      </c>
      <c r="C40" s="13">
        <v>45812</v>
      </c>
      <c r="D40" s="12" t="s">
        <v>499</v>
      </c>
      <c r="E40" s="13">
        <v>45812</v>
      </c>
      <c r="F40" s="84">
        <v>256779414173</v>
      </c>
      <c r="G40" s="12" t="s">
        <v>11</v>
      </c>
      <c r="H40" s="14">
        <v>2668.72</v>
      </c>
      <c r="I40" s="12" t="s">
        <v>56</v>
      </c>
      <c r="J40" s="14">
        <v>228150.95</v>
      </c>
      <c r="K40" s="12" t="s">
        <v>533</v>
      </c>
    </row>
    <row r="41" spans="1:11" x14ac:dyDescent="0.35">
      <c r="A41" s="12" t="s">
        <v>495</v>
      </c>
      <c r="B41" s="15">
        <v>2025</v>
      </c>
      <c r="C41" s="13">
        <v>45812</v>
      </c>
      <c r="D41" s="12" t="s">
        <v>499</v>
      </c>
      <c r="E41" s="13">
        <v>45812</v>
      </c>
      <c r="F41" s="84">
        <v>256779414206</v>
      </c>
      <c r="G41" s="12" t="s">
        <v>11</v>
      </c>
      <c r="H41" s="14">
        <v>201.33</v>
      </c>
      <c r="I41" s="12" t="s">
        <v>56</v>
      </c>
      <c r="J41" s="14">
        <v>17211.86</v>
      </c>
      <c r="K41" s="12" t="s">
        <v>534</v>
      </c>
    </row>
    <row r="42" spans="1:11" x14ac:dyDescent="0.35">
      <c r="A42" s="12" t="s">
        <v>495</v>
      </c>
      <c r="B42" s="15">
        <v>2025</v>
      </c>
      <c r="C42" s="13">
        <v>45812</v>
      </c>
      <c r="D42" s="12" t="s">
        <v>499</v>
      </c>
      <c r="E42" s="13">
        <v>45812</v>
      </c>
      <c r="F42" s="84">
        <v>256779414260</v>
      </c>
      <c r="G42" s="12" t="s">
        <v>11</v>
      </c>
      <c r="H42" s="14">
        <v>130.93</v>
      </c>
      <c r="I42" s="12" t="s">
        <v>56</v>
      </c>
      <c r="J42" s="14">
        <v>11193.31</v>
      </c>
      <c r="K42" s="12" t="s">
        <v>535</v>
      </c>
    </row>
    <row r="43" spans="1:11" x14ac:dyDescent="0.35">
      <c r="A43" s="12" t="s">
        <v>495</v>
      </c>
      <c r="B43" s="15">
        <v>2025</v>
      </c>
      <c r="C43" s="13">
        <v>45812</v>
      </c>
      <c r="D43" s="12" t="s">
        <v>499</v>
      </c>
      <c r="E43" s="13">
        <v>45812</v>
      </c>
      <c r="F43" s="84">
        <v>256779414271</v>
      </c>
      <c r="G43" s="12" t="s">
        <v>11</v>
      </c>
      <c r="H43" s="14">
        <v>967.68</v>
      </c>
      <c r="I43" s="12" t="s">
        <v>56</v>
      </c>
      <c r="J43" s="14">
        <v>82727.72</v>
      </c>
      <c r="K43" s="12" t="s">
        <v>536</v>
      </c>
    </row>
    <row r="44" spans="1:11" x14ac:dyDescent="0.35">
      <c r="A44" s="12" t="s">
        <v>495</v>
      </c>
      <c r="B44" s="15">
        <v>2025</v>
      </c>
      <c r="C44" s="13">
        <v>45812</v>
      </c>
      <c r="D44" s="12" t="s">
        <v>499</v>
      </c>
      <c r="E44" s="13">
        <v>45812</v>
      </c>
      <c r="F44" s="84">
        <v>256779414309</v>
      </c>
      <c r="G44" s="12" t="s">
        <v>11</v>
      </c>
      <c r="H44" s="14">
        <v>662.83</v>
      </c>
      <c r="I44" s="12" t="s">
        <v>56</v>
      </c>
      <c r="J44" s="14">
        <v>56665.85</v>
      </c>
      <c r="K44" s="12" t="s">
        <v>537</v>
      </c>
    </row>
    <row r="45" spans="1:11" x14ac:dyDescent="0.35">
      <c r="A45" s="12" t="s">
        <v>495</v>
      </c>
      <c r="B45" s="15">
        <v>2025</v>
      </c>
      <c r="C45" s="13">
        <v>45791</v>
      </c>
      <c r="D45" s="12" t="s">
        <v>496</v>
      </c>
      <c r="E45" s="13">
        <v>45791</v>
      </c>
      <c r="F45" s="84">
        <v>256779420272</v>
      </c>
      <c r="G45" s="12" t="s">
        <v>11</v>
      </c>
      <c r="H45" s="14">
        <v>-40.06</v>
      </c>
      <c r="I45" s="12" t="s">
        <v>56</v>
      </c>
      <c r="J45" s="14">
        <v>-3472.85</v>
      </c>
      <c r="K45" s="12" t="s">
        <v>538</v>
      </c>
    </row>
    <row r="46" spans="1:11" x14ac:dyDescent="0.35">
      <c r="A46" s="12" t="s">
        <v>495</v>
      </c>
      <c r="B46" s="15">
        <v>2025</v>
      </c>
      <c r="C46" s="13">
        <v>45791</v>
      </c>
      <c r="D46" s="12" t="s">
        <v>496</v>
      </c>
      <c r="E46" s="13">
        <v>45791</v>
      </c>
      <c r="F46" s="84">
        <v>256779420273</v>
      </c>
      <c r="G46" s="12" t="s">
        <v>11</v>
      </c>
      <c r="H46" s="14">
        <v>-28.62</v>
      </c>
      <c r="I46" s="12" t="s">
        <v>56</v>
      </c>
      <c r="J46" s="14">
        <v>-2481.1</v>
      </c>
      <c r="K46" s="12" t="s">
        <v>539</v>
      </c>
    </row>
    <row r="47" spans="1:11" x14ac:dyDescent="0.35">
      <c r="A47" s="12" t="s">
        <v>495</v>
      </c>
      <c r="B47" s="15">
        <v>2025</v>
      </c>
      <c r="C47" s="13">
        <v>45791</v>
      </c>
      <c r="D47" s="12" t="s">
        <v>496</v>
      </c>
      <c r="E47" s="13">
        <v>45791</v>
      </c>
      <c r="F47" s="84">
        <v>256779420275</v>
      </c>
      <c r="G47" s="12" t="s">
        <v>11</v>
      </c>
      <c r="H47" s="14">
        <v>-114.46</v>
      </c>
      <c r="I47" s="12" t="s">
        <v>56</v>
      </c>
      <c r="J47" s="14">
        <v>-9922.68</v>
      </c>
      <c r="K47" s="12" t="s">
        <v>540</v>
      </c>
    </row>
    <row r="48" spans="1:11" x14ac:dyDescent="0.35">
      <c r="A48" s="12" t="s">
        <v>495</v>
      </c>
      <c r="B48" s="15">
        <v>2025</v>
      </c>
      <c r="C48" s="13">
        <v>45791</v>
      </c>
      <c r="D48" s="12" t="s">
        <v>496</v>
      </c>
      <c r="E48" s="13">
        <v>45791</v>
      </c>
      <c r="F48" s="84">
        <v>256779420276</v>
      </c>
      <c r="G48" s="12" t="s">
        <v>11</v>
      </c>
      <c r="H48" s="14">
        <v>-68.680000000000007</v>
      </c>
      <c r="I48" s="12" t="s">
        <v>56</v>
      </c>
      <c r="J48" s="14">
        <v>-5953.96</v>
      </c>
      <c r="K48" s="12" t="s">
        <v>541</v>
      </c>
    </row>
    <row r="49" spans="1:11" x14ac:dyDescent="0.35">
      <c r="A49" s="12" t="s">
        <v>495</v>
      </c>
      <c r="B49" s="15">
        <v>2025</v>
      </c>
      <c r="C49" s="13">
        <v>45791</v>
      </c>
      <c r="D49" s="12" t="s">
        <v>496</v>
      </c>
      <c r="E49" s="13">
        <v>45791</v>
      </c>
      <c r="F49" s="84">
        <v>256779420268</v>
      </c>
      <c r="G49" s="12" t="s">
        <v>11</v>
      </c>
      <c r="H49" s="14">
        <v>-249.55</v>
      </c>
      <c r="I49" s="12" t="s">
        <v>56</v>
      </c>
      <c r="J49" s="14">
        <v>-21633.8</v>
      </c>
      <c r="K49" s="12" t="s">
        <v>542</v>
      </c>
    </row>
    <row r="50" spans="1:11" x14ac:dyDescent="0.35">
      <c r="A50" s="12" t="s">
        <v>495</v>
      </c>
      <c r="B50" s="15">
        <v>2025</v>
      </c>
      <c r="C50" s="13">
        <v>45791</v>
      </c>
      <c r="D50" s="12" t="s">
        <v>496</v>
      </c>
      <c r="E50" s="13">
        <v>45791</v>
      </c>
      <c r="F50" s="84">
        <v>256779420269</v>
      </c>
      <c r="G50" s="12" t="s">
        <v>11</v>
      </c>
      <c r="H50" s="14">
        <v>-40.06</v>
      </c>
      <c r="I50" s="12" t="s">
        <v>56</v>
      </c>
      <c r="J50" s="14">
        <v>-3472.85</v>
      </c>
      <c r="K50" s="12" t="s">
        <v>543</v>
      </c>
    </row>
    <row r="51" spans="1:11" x14ac:dyDescent="0.35">
      <c r="A51" s="12" t="s">
        <v>495</v>
      </c>
      <c r="B51" s="15">
        <v>2025</v>
      </c>
      <c r="C51" s="13">
        <v>45791</v>
      </c>
      <c r="D51" s="12" t="s">
        <v>496</v>
      </c>
      <c r="E51" s="13">
        <v>45791</v>
      </c>
      <c r="F51" s="84">
        <v>256779420274</v>
      </c>
      <c r="G51" s="12" t="s">
        <v>11</v>
      </c>
      <c r="H51" s="14">
        <v>-22.89</v>
      </c>
      <c r="I51" s="12" t="s">
        <v>56</v>
      </c>
      <c r="J51" s="14">
        <v>-1984.36</v>
      </c>
      <c r="K51" s="12" t="s">
        <v>544</v>
      </c>
    </row>
    <row r="52" spans="1:11" x14ac:dyDescent="0.35">
      <c r="A52" s="12" t="s">
        <v>495</v>
      </c>
      <c r="B52" s="15">
        <v>2025</v>
      </c>
      <c r="C52" s="13">
        <v>45791</v>
      </c>
      <c r="D52" s="12" t="s">
        <v>496</v>
      </c>
      <c r="E52" s="13">
        <v>45791</v>
      </c>
      <c r="F52" s="84">
        <v>256779420277</v>
      </c>
      <c r="G52" s="12" t="s">
        <v>11</v>
      </c>
      <c r="H52" s="14">
        <v>-312.5</v>
      </c>
      <c r="I52" s="12" t="s">
        <v>56</v>
      </c>
      <c r="J52" s="14">
        <v>-27091.02</v>
      </c>
      <c r="K52" s="12" t="s">
        <v>545</v>
      </c>
    </row>
    <row r="53" spans="1:11" x14ac:dyDescent="0.35">
      <c r="A53" s="12" t="s">
        <v>495</v>
      </c>
      <c r="B53" s="15">
        <v>2025</v>
      </c>
      <c r="C53" s="13">
        <v>45791</v>
      </c>
      <c r="D53" s="12" t="s">
        <v>496</v>
      </c>
      <c r="E53" s="13">
        <v>45791</v>
      </c>
      <c r="F53" s="84">
        <v>256779420278</v>
      </c>
      <c r="G53" s="12" t="s">
        <v>11</v>
      </c>
      <c r="H53" s="14">
        <v>-23.35</v>
      </c>
      <c r="I53" s="12" t="s">
        <v>56</v>
      </c>
      <c r="J53" s="14">
        <v>-2024.24</v>
      </c>
      <c r="K53" s="12" t="s">
        <v>546</v>
      </c>
    </row>
    <row r="54" spans="1:11" x14ac:dyDescent="0.35">
      <c r="A54" s="12" t="s">
        <v>495</v>
      </c>
      <c r="B54" s="15">
        <v>2025</v>
      </c>
      <c r="C54" s="13">
        <v>45791</v>
      </c>
      <c r="D54" s="12" t="s">
        <v>496</v>
      </c>
      <c r="E54" s="13">
        <v>45791</v>
      </c>
      <c r="F54" s="84">
        <v>256779420266</v>
      </c>
      <c r="G54" s="12" t="s">
        <v>11</v>
      </c>
      <c r="H54" s="14">
        <v>-57.23</v>
      </c>
      <c r="I54" s="12" t="s">
        <v>56</v>
      </c>
      <c r="J54" s="14">
        <v>-4961.34</v>
      </c>
      <c r="K54" s="12" t="s">
        <v>547</v>
      </c>
    </row>
    <row r="55" spans="1:11" x14ac:dyDescent="0.35">
      <c r="A55" s="12" t="s">
        <v>495</v>
      </c>
      <c r="B55" s="15">
        <v>2025</v>
      </c>
      <c r="C55" s="13">
        <v>45791</v>
      </c>
      <c r="D55" s="12" t="s">
        <v>496</v>
      </c>
      <c r="E55" s="13">
        <v>45791</v>
      </c>
      <c r="F55" s="84">
        <v>256779420267</v>
      </c>
      <c r="G55" s="12" t="s">
        <v>11</v>
      </c>
      <c r="H55" s="14">
        <v>-40.06</v>
      </c>
      <c r="I55" s="12" t="s">
        <v>56</v>
      </c>
      <c r="J55" s="14">
        <v>-3472.85</v>
      </c>
      <c r="K55" s="12" t="s">
        <v>548</v>
      </c>
    </row>
    <row r="56" spans="1:11" x14ac:dyDescent="0.35">
      <c r="A56" s="12" t="s">
        <v>495</v>
      </c>
      <c r="B56" s="15">
        <v>2025</v>
      </c>
      <c r="C56" s="13">
        <v>45791</v>
      </c>
      <c r="D56" s="12" t="s">
        <v>496</v>
      </c>
      <c r="E56" s="13">
        <v>45791</v>
      </c>
      <c r="F56" s="84">
        <v>256779420270</v>
      </c>
      <c r="G56" s="12" t="s">
        <v>11</v>
      </c>
      <c r="H56" s="14">
        <v>-45.79</v>
      </c>
      <c r="I56" s="12" t="s">
        <v>56</v>
      </c>
      <c r="J56" s="14">
        <v>-3969.59</v>
      </c>
      <c r="K56" s="12" t="s">
        <v>549</v>
      </c>
    </row>
    <row r="57" spans="1:11" x14ac:dyDescent="0.35">
      <c r="A57" s="12" t="s">
        <v>495</v>
      </c>
      <c r="B57" s="15">
        <v>2025</v>
      </c>
      <c r="C57" s="13">
        <v>45791</v>
      </c>
      <c r="D57" s="12" t="s">
        <v>496</v>
      </c>
      <c r="E57" s="13">
        <v>45791</v>
      </c>
      <c r="F57" s="84">
        <v>256779420271</v>
      </c>
      <c r="G57" s="12" t="s">
        <v>11</v>
      </c>
      <c r="H57" s="14">
        <v>-20.03</v>
      </c>
      <c r="I57" s="12" t="s">
        <v>56</v>
      </c>
      <c r="J57" s="14">
        <v>-1736.43</v>
      </c>
      <c r="K57" s="12" t="s">
        <v>550</v>
      </c>
    </row>
    <row r="58" spans="1:11" x14ac:dyDescent="0.35">
      <c r="A58" s="12" t="s">
        <v>495</v>
      </c>
      <c r="B58" s="15">
        <v>2025</v>
      </c>
      <c r="C58" s="13">
        <v>45791</v>
      </c>
      <c r="D58" s="12" t="s">
        <v>496</v>
      </c>
      <c r="E58" s="13">
        <v>45791</v>
      </c>
      <c r="F58" s="84">
        <v>256779420492</v>
      </c>
      <c r="G58" s="12" t="s">
        <v>11</v>
      </c>
      <c r="H58" s="14">
        <v>-2333.1799999999998</v>
      </c>
      <c r="I58" s="12" t="s">
        <v>56</v>
      </c>
      <c r="J58" s="14">
        <v>-202804.25</v>
      </c>
      <c r="K58" s="12" t="s">
        <v>551</v>
      </c>
    </row>
    <row r="59" spans="1:11" x14ac:dyDescent="0.35">
      <c r="A59" s="12" t="s">
        <v>495</v>
      </c>
      <c r="B59" s="15">
        <v>2025</v>
      </c>
      <c r="C59" s="13">
        <v>45791</v>
      </c>
      <c r="D59" s="12" t="s">
        <v>496</v>
      </c>
      <c r="E59" s="13">
        <v>45791</v>
      </c>
      <c r="F59" s="84">
        <v>256779420526</v>
      </c>
      <c r="G59" s="12" t="s">
        <v>11</v>
      </c>
      <c r="H59" s="14">
        <v>-2286.2399999999998</v>
      </c>
      <c r="I59" s="12" t="s">
        <v>56</v>
      </c>
      <c r="J59" s="14">
        <v>-198724.14</v>
      </c>
      <c r="K59" s="12" t="s">
        <v>552</v>
      </c>
    </row>
    <row r="60" spans="1:11" x14ac:dyDescent="0.35">
      <c r="A60" s="12" t="s">
        <v>495</v>
      </c>
      <c r="B60" s="15">
        <v>2025</v>
      </c>
      <c r="C60" s="13">
        <v>45793</v>
      </c>
      <c r="D60" s="12" t="s">
        <v>499</v>
      </c>
      <c r="E60" s="13">
        <v>45793</v>
      </c>
      <c r="F60" s="84">
        <v>256779413280</v>
      </c>
      <c r="G60" s="12" t="s">
        <v>11</v>
      </c>
      <c r="H60" s="14">
        <v>59</v>
      </c>
      <c r="I60" s="12" t="s">
        <v>56</v>
      </c>
      <c r="J60" s="14">
        <v>5073.04</v>
      </c>
      <c r="K60" s="12" t="s">
        <v>553</v>
      </c>
    </row>
    <row r="61" spans="1:11" x14ac:dyDescent="0.35">
      <c r="A61" s="12" t="s">
        <v>495</v>
      </c>
      <c r="B61" s="15">
        <v>2025</v>
      </c>
      <c r="C61" s="13">
        <v>45793</v>
      </c>
      <c r="D61" s="12" t="s">
        <v>499</v>
      </c>
      <c r="E61" s="13">
        <v>45793</v>
      </c>
      <c r="F61" s="84">
        <v>256779413308</v>
      </c>
      <c r="G61" s="12" t="s">
        <v>11</v>
      </c>
      <c r="H61" s="14">
        <v>723.47</v>
      </c>
      <c r="I61" s="12" t="s">
        <v>56</v>
      </c>
      <c r="J61" s="14">
        <v>62206.63</v>
      </c>
      <c r="K61" s="12" t="s">
        <v>554</v>
      </c>
    </row>
    <row r="62" spans="1:11" x14ac:dyDescent="0.35">
      <c r="A62" s="12" t="s">
        <v>495</v>
      </c>
      <c r="B62" s="15">
        <v>2025</v>
      </c>
      <c r="C62" s="13">
        <v>45793</v>
      </c>
      <c r="D62" s="12" t="s">
        <v>499</v>
      </c>
      <c r="E62" s="13">
        <v>45793</v>
      </c>
      <c r="F62" s="84">
        <v>256779413348</v>
      </c>
      <c r="G62" s="12" t="s">
        <v>11</v>
      </c>
      <c r="H62" s="14">
        <v>138.82</v>
      </c>
      <c r="I62" s="12" t="s">
        <v>56</v>
      </c>
      <c r="J62" s="14">
        <v>11936.26</v>
      </c>
      <c r="K62" s="12" t="s">
        <v>555</v>
      </c>
    </row>
    <row r="63" spans="1:11" x14ac:dyDescent="0.35">
      <c r="A63" s="12" t="s">
        <v>495</v>
      </c>
      <c r="B63" s="15">
        <v>2025</v>
      </c>
      <c r="C63" s="13">
        <v>46000</v>
      </c>
      <c r="D63" s="12" t="s">
        <v>499</v>
      </c>
      <c r="E63" s="13">
        <v>46000</v>
      </c>
      <c r="F63" s="84">
        <v>256779419995</v>
      </c>
      <c r="G63" s="12" t="s">
        <v>11</v>
      </c>
      <c r="H63" s="14">
        <v>187.19</v>
      </c>
      <c r="I63" s="12" t="s">
        <v>56</v>
      </c>
      <c r="J63" s="14">
        <v>16603.78</v>
      </c>
      <c r="K63" s="12" t="s">
        <v>556</v>
      </c>
    </row>
    <row r="64" spans="1:11" x14ac:dyDescent="0.35">
      <c r="A64" s="12" t="s">
        <v>495</v>
      </c>
      <c r="B64" s="15">
        <v>2025</v>
      </c>
      <c r="C64" s="13">
        <v>45805</v>
      </c>
      <c r="D64" s="12" t="s">
        <v>499</v>
      </c>
      <c r="E64" s="13">
        <v>45805</v>
      </c>
      <c r="F64" s="84">
        <v>256779413908</v>
      </c>
      <c r="G64" s="12" t="s">
        <v>11</v>
      </c>
      <c r="H64" s="14">
        <v>3200.83</v>
      </c>
      <c r="I64" s="12" t="s">
        <v>56</v>
      </c>
      <c r="J64" s="14">
        <v>275219.21000000002</v>
      </c>
      <c r="K64" s="12" t="s">
        <v>557</v>
      </c>
    </row>
    <row r="65" spans="1:11" x14ac:dyDescent="0.35">
      <c r="A65" s="12" t="s">
        <v>495</v>
      </c>
      <c r="B65" s="15">
        <v>2025</v>
      </c>
      <c r="C65" s="13">
        <v>45856</v>
      </c>
      <c r="D65" s="12" t="s">
        <v>499</v>
      </c>
      <c r="E65" s="13">
        <v>45856</v>
      </c>
      <c r="F65" s="84">
        <v>256779415426</v>
      </c>
      <c r="G65" s="12" t="s">
        <v>11</v>
      </c>
      <c r="H65" s="14">
        <v>464.73</v>
      </c>
      <c r="I65" s="12" t="s">
        <v>56</v>
      </c>
      <c r="J65" s="14">
        <v>39967.089999999997</v>
      </c>
      <c r="K65" s="12" t="s">
        <v>558</v>
      </c>
    </row>
    <row r="66" spans="1:11" x14ac:dyDescent="0.35">
      <c r="A66" s="12" t="s">
        <v>495</v>
      </c>
      <c r="B66" s="15">
        <v>2025</v>
      </c>
      <c r="C66" s="13">
        <v>45856</v>
      </c>
      <c r="D66" s="12" t="s">
        <v>499</v>
      </c>
      <c r="E66" s="13">
        <v>45856</v>
      </c>
      <c r="F66" s="84">
        <v>256779415442</v>
      </c>
      <c r="G66" s="12" t="s">
        <v>11</v>
      </c>
      <c r="H66" s="14">
        <v>1.59</v>
      </c>
      <c r="I66" s="12" t="s">
        <v>56</v>
      </c>
      <c r="J66" s="14">
        <v>136.74</v>
      </c>
      <c r="K66" s="12" t="s">
        <v>559</v>
      </c>
    </row>
    <row r="67" spans="1:11" x14ac:dyDescent="0.35">
      <c r="A67" s="12" t="s">
        <v>495</v>
      </c>
      <c r="B67" s="15">
        <v>2025</v>
      </c>
      <c r="C67" s="13">
        <v>45856</v>
      </c>
      <c r="D67" s="12" t="s">
        <v>499</v>
      </c>
      <c r="E67" s="13">
        <v>45856</v>
      </c>
      <c r="F67" s="84">
        <v>256779415453</v>
      </c>
      <c r="G67" s="12" t="s">
        <v>11</v>
      </c>
      <c r="H67" s="14">
        <v>293.45999999999998</v>
      </c>
      <c r="I67" s="12" t="s">
        <v>56</v>
      </c>
      <c r="J67" s="14">
        <v>25237.759999999998</v>
      </c>
      <c r="K67" s="12" t="s">
        <v>560</v>
      </c>
    </row>
    <row r="68" spans="1:11" x14ac:dyDescent="0.35">
      <c r="A68" s="12" t="s">
        <v>495</v>
      </c>
      <c r="B68" s="15">
        <v>2025</v>
      </c>
      <c r="C68" s="13">
        <v>45856</v>
      </c>
      <c r="D68" s="12" t="s">
        <v>499</v>
      </c>
      <c r="E68" s="13">
        <v>45856</v>
      </c>
      <c r="F68" s="84">
        <v>256779415474</v>
      </c>
      <c r="G68" s="12" t="s">
        <v>11</v>
      </c>
      <c r="H68" s="14">
        <v>608.41</v>
      </c>
      <c r="I68" s="12" t="s">
        <v>56</v>
      </c>
      <c r="J68" s="14">
        <v>52323.67</v>
      </c>
      <c r="K68" s="12" t="s">
        <v>561</v>
      </c>
    </row>
    <row r="69" spans="1:11" x14ac:dyDescent="0.35">
      <c r="A69" s="12" t="s">
        <v>495</v>
      </c>
      <c r="B69" s="15">
        <v>2025</v>
      </c>
      <c r="C69" s="13">
        <v>45856</v>
      </c>
      <c r="D69" s="12" t="s">
        <v>499</v>
      </c>
      <c r="E69" s="13">
        <v>45856</v>
      </c>
      <c r="F69" s="84">
        <v>256779415517</v>
      </c>
      <c r="G69" s="12" t="s">
        <v>11</v>
      </c>
      <c r="H69" s="14">
        <v>116.74</v>
      </c>
      <c r="I69" s="12" t="s">
        <v>56</v>
      </c>
      <c r="J69" s="14">
        <v>10039.719999999999</v>
      </c>
      <c r="K69" s="12" t="s">
        <v>562</v>
      </c>
    </row>
    <row r="70" spans="1:11" x14ac:dyDescent="0.35">
      <c r="A70" s="12" t="s">
        <v>495</v>
      </c>
      <c r="B70" s="15">
        <v>2025</v>
      </c>
      <c r="C70" s="13">
        <v>45856</v>
      </c>
      <c r="D70" s="12" t="s">
        <v>499</v>
      </c>
      <c r="E70" s="13">
        <v>45856</v>
      </c>
      <c r="F70" s="84">
        <v>256779415792</v>
      </c>
      <c r="G70" s="12" t="s">
        <v>11</v>
      </c>
      <c r="H70" s="14">
        <v>608.41</v>
      </c>
      <c r="I70" s="12" t="s">
        <v>56</v>
      </c>
      <c r="J70" s="14">
        <v>52323.67</v>
      </c>
      <c r="K70" s="12" t="s">
        <v>561</v>
      </c>
    </row>
    <row r="71" spans="1:11" x14ac:dyDescent="0.35">
      <c r="A71" s="12" t="s">
        <v>495</v>
      </c>
      <c r="B71" s="15">
        <v>2025</v>
      </c>
      <c r="C71" s="13">
        <v>45729</v>
      </c>
      <c r="D71" s="12" t="s">
        <v>499</v>
      </c>
      <c r="E71" s="13">
        <v>45729</v>
      </c>
      <c r="F71" s="84">
        <v>246779411312</v>
      </c>
      <c r="G71" s="12" t="s">
        <v>11</v>
      </c>
      <c r="H71" s="14">
        <v>27</v>
      </c>
      <c r="I71" s="12" t="s">
        <v>56</v>
      </c>
      <c r="J71" s="14">
        <v>2340.66</v>
      </c>
      <c r="K71" s="12" t="s">
        <v>563</v>
      </c>
    </row>
    <row r="72" spans="1:11" x14ac:dyDescent="0.35">
      <c r="A72" s="12" t="s">
        <v>495</v>
      </c>
      <c r="B72" s="15">
        <v>2025</v>
      </c>
      <c r="C72" s="13">
        <v>45736</v>
      </c>
      <c r="D72" s="12" t="s">
        <v>499</v>
      </c>
      <c r="E72" s="13">
        <v>45736</v>
      </c>
      <c r="F72" s="84">
        <v>246779413730</v>
      </c>
      <c r="G72" s="12" t="s">
        <v>11</v>
      </c>
      <c r="H72" s="14">
        <v>3.2</v>
      </c>
      <c r="I72" s="12" t="s">
        <v>56</v>
      </c>
      <c r="J72" s="14">
        <v>277.41000000000003</v>
      </c>
      <c r="K72" s="12" t="s">
        <v>564</v>
      </c>
    </row>
    <row r="73" spans="1:11" x14ac:dyDescent="0.35">
      <c r="A73" s="12" t="s">
        <v>495</v>
      </c>
      <c r="B73" s="15">
        <v>2025</v>
      </c>
      <c r="C73" s="13">
        <v>45736</v>
      </c>
      <c r="D73" s="12" t="s">
        <v>499</v>
      </c>
      <c r="E73" s="13">
        <v>45736</v>
      </c>
      <c r="F73" s="84">
        <v>246779413747</v>
      </c>
      <c r="G73" s="12" t="s">
        <v>11</v>
      </c>
      <c r="H73" s="14">
        <v>2.74</v>
      </c>
      <c r="I73" s="12" t="s">
        <v>56</v>
      </c>
      <c r="J73" s="14">
        <v>237.53</v>
      </c>
      <c r="K73" s="12" t="s">
        <v>565</v>
      </c>
    </row>
    <row r="74" spans="1:11" x14ac:dyDescent="0.35">
      <c r="A74" s="12" t="s">
        <v>495</v>
      </c>
      <c r="B74" s="15">
        <v>2025</v>
      </c>
      <c r="C74" s="13">
        <v>45736</v>
      </c>
      <c r="D74" s="12" t="s">
        <v>499</v>
      </c>
      <c r="E74" s="13">
        <v>45736</v>
      </c>
      <c r="F74" s="84">
        <v>246779413815</v>
      </c>
      <c r="G74" s="12" t="s">
        <v>11</v>
      </c>
      <c r="H74" s="14">
        <v>50</v>
      </c>
      <c r="I74" s="12" t="s">
        <v>56</v>
      </c>
      <c r="J74" s="14">
        <v>4334.5600000000004</v>
      </c>
      <c r="K74" s="12" t="s">
        <v>566</v>
      </c>
    </row>
    <row r="75" spans="1:11" x14ac:dyDescent="0.35">
      <c r="A75" s="12" t="s">
        <v>495</v>
      </c>
      <c r="B75" s="15">
        <v>2025</v>
      </c>
      <c r="C75" s="13">
        <v>45736</v>
      </c>
      <c r="D75" s="12" t="s">
        <v>499</v>
      </c>
      <c r="E75" s="13">
        <v>45736</v>
      </c>
      <c r="F75" s="84">
        <v>246779413920</v>
      </c>
      <c r="G75" s="12" t="s">
        <v>11</v>
      </c>
      <c r="H75" s="14">
        <v>22.5</v>
      </c>
      <c r="I75" s="12" t="s">
        <v>56</v>
      </c>
      <c r="J75" s="14">
        <v>1950.55</v>
      </c>
      <c r="K75" s="12" t="s">
        <v>565</v>
      </c>
    </row>
    <row r="76" spans="1:11" x14ac:dyDescent="0.35">
      <c r="A76" s="12" t="s">
        <v>495</v>
      </c>
      <c r="B76" s="15">
        <v>2025</v>
      </c>
      <c r="C76" s="13">
        <v>45736</v>
      </c>
      <c r="D76" s="12" t="s">
        <v>499</v>
      </c>
      <c r="E76" s="13">
        <v>45736</v>
      </c>
      <c r="F76" s="84">
        <v>246779413936</v>
      </c>
      <c r="G76" s="12" t="s">
        <v>11</v>
      </c>
      <c r="H76" s="14">
        <v>27.5</v>
      </c>
      <c r="I76" s="12" t="s">
        <v>56</v>
      </c>
      <c r="J76" s="14">
        <v>2384.0100000000002</v>
      </c>
      <c r="K76" s="12" t="s">
        <v>565</v>
      </c>
    </row>
    <row r="77" spans="1:11" x14ac:dyDescent="0.35">
      <c r="A77" s="12" t="s">
        <v>495</v>
      </c>
      <c r="B77" s="15">
        <v>2025</v>
      </c>
      <c r="C77" s="13">
        <v>45736</v>
      </c>
      <c r="D77" s="12" t="s">
        <v>499</v>
      </c>
      <c r="E77" s="13">
        <v>45736</v>
      </c>
      <c r="F77" s="84">
        <v>246779413941</v>
      </c>
      <c r="G77" s="12" t="s">
        <v>11</v>
      </c>
      <c r="H77" s="14">
        <v>30</v>
      </c>
      <c r="I77" s="12" t="s">
        <v>56</v>
      </c>
      <c r="J77" s="14">
        <v>2600.7399999999998</v>
      </c>
      <c r="K77" s="12" t="s">
        <v>565</v>
      </c>
    </row>
    <row r="78" spans="1:11" x14ac:dyDescent="0.35">
      <c r="A78" s="12" t="s">
        <v>495</v>
      </c>
      <c r="B78" s="15">
        <v>2025</v>
      </c>
      <c r="C78" s="13">
        <v>45736</v>
      </c>
      <c r="D78" s="12" t="s">
        <v>499</v>
      </c>
      <c r="E78" s="13">
        <v>45736</v>
      </c>
      <c r="F78" s="84">
        <v>246779414384</v>
      </c>
      <c r="G78" s="12" t="s">
        <v>11</v>
      </c>
      <c r="H78" s="14">
        <v>182.5</v>
      </c>
      <c r="I78" s="12" t="s">
        <v>56</v>
      </c>
      <c r="J78" s="14">
        <v>15821.15</v>
      </c>
      <c r="K78" s="12" t="s">
        <v>567</v>
      </c>
    </row>
    <row r="79" spans="1:11" x14ac:dyDescent="0.35">
      <c r="A79" s="12" t="s">
        <v>495</v>
      </c>
      <c r="B79" s="15">
        <v>2025</v>
      </c>
      <c r="C79" s="13">
        <v>45736</v>
      </c>
      <c r="D79" s="12" t="s">
        <v>499</v>
      </c>
      <c r="E79" s="13">
        <v>45736</v>
      </c>
      <c r="F79" s="84">
        <v>246779414385</v>
      </c>
      <c r="G79" s="12" t="s">
        <v>11</v>
      </c>
      <c r="H79" s="14">
        <v>240</v>
      </c>
      <c r="I79" s="12" t="s">
        <v>56</v>
      </c>
      <c r="J79" s="14">
        <v>20805.900000000001</v>
      </c>
      <c r="K79" s="12" t="s">
        <v>568</v>
      </c>
    </row>
    <row r="80" spans="1:11" x14ac:dyDescent="0.35">
      <c r="A80" s="12" t="s">
        <v>495</v>
      </c>
      <c r="B80" s="15">
        <v>2025</v>
      </c>
      <c r="C80" s="13">
        <v>45736</v>
      </c>
      <c r="D80" s="12" t="s">
        <v>499</v>
      </c>
      <c r="E80" s="13">
        <v>45736</v>
      </c>
      <c r="F80" s="84">
        <v>246779414057</v>
      </c>
      <c r="G80" s="12" t="s">
        <v>11</v>
      </c>
      <c r="H80" s="14">
        <v>43.07</v>
      </c>
      <c r="I80" s="12" t="s">
        <v>56</v>
      </c>
      <c r="J80" s="14">
        <v>3733.79</v>
      </c>
      <c r="K80" s="12" t="s">
        <v>569</v>
      </c>
    </row>
    <row r="81" spans="1:11" x14ac:dyDescent="0.35">
      <c r="A81" s="12" t="s">
        <v>495</v>
      </c>
      <c r="B81" s="15">
        <v>2025</v>
      </c>
      <c r="C81" s="13">
        <v>45736</v>
      </c>
      <c r="D81" s="12" t="s">
        <v>499</v>
      </c>
      <c r="E81" s="13">
        <v>45736</v>
      </c>
      <c r="F81" s="84">
        <v>246779414058</v>
      </c>
      <c r="G81" s="12" t="s">
        <v>11</v>
      </c>
      <c r="H81" s="14">
        <v>398.23</v>
      </c>
      <c r="I81" s="12" t="s">
        <v>56</v>
      </c>
      <c r="J81" s="14">
        <v>34523.06</v>
      </c>
      <c r="K81" s="12" t="s">
        <v>569</v>
      </c>
    </row>
    <row r="82" spans="1:11" x14ac:dyDescent="0.35">
      <c r="A82" s="12" t="s">
        <v>495</v>
      </c>
      <c r="B82" s="15">
        <v>2025</v>
      </c>
      <c r="C82" s="13">
        <v>45736</v>
      </c>
      <c r="D82" s="12" t="s">
        <v>499</v>
      </c>
      <c r="E82" s="13">
        <v>45736</v>
      </c>
      <c r="F82" s="84">
        <v>246779414120</v>
      </c>
      <c r="G82" s="12" t="s">
        <v>11</v>
      </c>
      <c r="H82" s="14">
        <v>250.75</v>
      </c>
      <c r="I82" s="12" t="s">
        <v>56</v>
      </c>
      <c r="J82" s="14">
        <v>21737.83</v>
      </c>
      <c r="K82" s="12" t="s">
        <v>570</v>
      </c>
    </row>
    <row r="83" spans="1:11" x14ac:dyDescent="0.35">
      <c r="A83" s="12" t="s">
        <v>495</v>
      </c>
      <c r="B83" s="15">
        <v>2025</v>
      </c>
      <c r="C83" s="13">
        <v>45736</v>
      </c>
      <c r="D83" s="12" t="s">
        <v>499</v>
      </c>
      <c r="E83" s="13">
        <v>45736</v>
      </c>
      <c r="F83" s="84">
        <v>246779414121</v>
      </c>
      <c r="G83" s="12" t="s">
        <v>11</v>
      </c>
      <c r="H83" s="14">
        <v>226.56</v>
      </c>
      <c r="I83" s="12" t="s">
        <v>56</v>
      </c>
      <c r="J83" s="14">
        <v>19640.77</v>
      </c>
      <c r="K83" s="12" t="s">
        <v>571</v>
      </c>
    </row>
    <row r="84" spans="1:11" x14ac:dyDescent="0.35">
      <c r="A84" s="12" t="s">
        <v>495</v>
      </c>
      <c r="B84" s="15">
        <v>2025</v>
      </c>
      <c r="C84" s="13">
        <v>45736</v>
      </c>
      <c r="D84" s="12" t="s">
        <v>499</v>
      </c>
      <c r="E84" s="13">
        <v>45736</v>
      </c>
      <c r="F84" s="84">
        <v>246779414122</v>
      </c>
      <c r="G84" s="12" t="s">
        <v>11</v>
      </c>
      <c r="H84" s="14">
        <v>35.4</v>
      </c>
      <c r="I84" s="12" t="s">
        <v>56</v>
      </c>
      <c r="J84" s="14">
        <v>3068.87</v>
      </c>
      <c r="K84" s="12" t="s">
        <v>572</v>
      </c>
    </row>
    <row r="85" spans="1:11" x14ac:dyDescent="0.35">
      <c r="A85" s="12" t="s">
        <v>495</v>
      </c>
      <c r="B85" s="15">
        <v>2025</v>
      </c>
      <c r="C85" s="13">
        <v>45736</v>
      </c>
      <c r="D85" s="12" t="s">
        <v>499</v>
      </c>
      <c r="E85" s="13">
        <v>45736</v>
      </c>
      <c r="F85" s="84">
        <v>246779414204</v>
      </c>
      <c r="G85" s="12" t="s">
        <v>11</v>
      </c>
      <c r="H85" s="14">
        <v>249.87</v>
      </c>
      <c r="I85" s="12" t="s">
        <v>56</v>
      </c>
      <c r="J85" s="14">
        <v>21661.55</v>
      </c>
      <c r="K85" s="12" t="s">
        <v>573</v>
      </c>
    </row>
    <row r="86" spans="1:11" x14ac:dyDescent="0.35">
      <c r="A86" s="12" t="s">
        <v>495</v>
      </c>
      <c r="B86" s="15">
        <v>2025</v>
      </c>
      <c r="C86" s="13">
        <v>45736</v>
      </c>
      <c r="D86" s="12" t="s">
        <v>499</v>
      </c>
      <c r="E86" s="13">
        <v>45736</v>
      </c>
      <c r="F86" s="84">
        <v>246779414460</v>
      </c>
      <c r="G86" s="12" t="s">
        <v>11</v>
      </c>
      <c r="H86" s="14">
        <v>173.05</v>
      </c>
      <c r="I86" s="12" t="s">
        <v>56</v>
      </c>
      <c r="J86" s="14">
        <v>15001.92</v>
      </c>
      <c r="K86" s="12" t="s">
        <v>569</v>
      </c>
    </row>
    <row r="87" spans="1:11" x14ac:dyDescent="0.35">
      <c r="A87" s="12" t="s">
        <v>495</v>
      </c>
      <c r="B87" s="15">
        <v>2025</v>
      </c>
      <c r="C87" s="13">
        <v>45736</v>
      </c>
      <c r="D87" s="12" t="s">
        <v>499</v>
      </c>
      <c r="E87" s="13">
        <v>45736</v>
      </c>
      <c r="F87" s="84">
        <v>246779414461</v>
      </c>
      <c r="G87" s="12" t="s">
        <v>11</v>
      </c>
      <c r="H87" s="14">
        <v>226.56</v>
      </c>
      <c r="I87" s="12" t="s">
        <v>56</v>
      </c>
      <c r="J87" s="14">
        <v>19640.77</v>
      </c>
      <c r="K87" s="12" t="s">
        <v>574</v>
      </c>
    </row>
    <row r="88" spans="1:11" x14ac:dyDescent="0.35">
      <c r="A88" s="12" t="s">
        <v>495</v>
      </c>
      <c r="B88" s="15">
        <v>2025</v>
      </c>
      <c r="C88" s="13">
        <v>45736</v>
      </c>
      <c r="D88" s="12" t="s">
        <v>499</v>
      </c>
      <c r="E88" s="13">
        <v>45736</v>
      </c>
      <c r="F88" s="84">
        <v>246779414525</v>
      </c>
      <c r="G88" s="12" t="s">
        <v>11</v>
      </c>
      <c r="H88" s="14">
        <v>211.39</v>
      </c>
      <c r="I88" s="12" t="s">
        <v>56</v>
      </c>
      <c r="J88" s="14">
        <v>18325.669999999998</v>
      </c>
      <c r="K88" s="12" t="s">
        <v>575</v>
      </c>
    </row>
    <row r="89" spans="1:11" x14ac:dyDescent="0.35">
      <c r="A89" s="12" t="s">
        <v>495</v>
      </c>
      <c r="B89" s="15">
        <v>2025</v>
      </c>
      <c r="C89" s="13">
        <v>45736</v>
      </c>
      <c r="D89" s="12" t="s">
        <v>499</v>
      </c>
      <c r="E89" s="13">
        <v>45736</v>
      </c>
      <c r="F89" s="84">
        <v>246779414526</v>
      </c>
      <c r="G89" s="12" t="s">
        <v>11</v>
      </c>
      <c r="H89" s="14">
        <v>141.6</v>
      </c>
      <c r="I89" s="12" t="s">
        <v>56</v>
      </c>
      <c r="J89" s="14">
        <v>12275.48</v>
      </c>
      <c r="K89" s="12" t="s">
        <v>576</v>
      </c>
    </row>
    <row r="90" spans="1:11" x14ac:dyDescent="0.35">
      <c r="A90" s="12" t="s">
        <v>495</v>
      </c>
      <c r="B90" s="15">
        <v>2025</v>
      </c>
      <c r="C90" s="13">
        <v>45736</v>
      </c>
      <c r="D90" s="12" t="s">
        <v>499</v>
      </c>
      <c r="E90" s="13">
        <v>45736</v>
      </c>
      <c r="F90" s="84">
        <v>246779414527</v>
      </c>
      <c r="G90" s="12" t="s">
        <v>11</v>
      </c>
      <c r="H90" s="14">
        <v>70.8</v>
      </c>
      <c r="I90" s="12" t="s">
        <v>56</v>
      </c>
      <c r="J90" s="14">
        <v>6137.74</v>
      </c>
      <c r="K90" s="12" t="s">
        <v>577</v>
      </c>
    </row>
    <row r="91" spans="1:11" x14ac:dyDescent="0.35">
      <c r="A91" s="12" t="s">
        <v>495</v>
      </c>
      <c r="B91" s="15">
        <v>2025</v>
      </c>
      <c r="C91" s="13">
        <v>45736</v>
      </c>
      <c r="D91" s="12" t="s">
        <v>499</v>
      </c>
      <c r="E91" s="13">
        <v>45736</v>
      </c>
      <c r="F91" s="84">
        <v>246779414528</v>
      </c>
      <c r="G91" s="12" t="s">
        <v>11</v>
      </c>
      <c r="H91" s="14">
        <v>236</v>
      </c>
      <c r="I91" s="12" t="s">
        <v>56</v>
      </c>
      <c r="J91" s="14">
        <v>20459.14</v>
      </c>
      <c r="K91" s="12" t="s">
        <v>578</v>
      </c>
    </row>
    <row r="92" spans="1:11" x14ac:dyDescent="0.35">
      <c r="A92" s="12" t="s">
        <v>495</v>
      </c>
      <c r="B92" s="15">
        <v>2025</v>
      </c>
      <c r="C92" s="13">
        <v>45736</v>
      </c>
      <c r="D92" s="12" t="s">
        <v>499</v>
      </c>
      <c r="E92" s="13">
        <v>45736</v>
      </c>
      <c r="F92" s="84">
        <v>246779414781</v>
      </c>
      <c r="G92" s="12" t="s">
        <v>11</v>
      </c>
      <c r="H92" s="14">
        <v>218.36</v>
      </c>
      <c r="I92" s="12" t="s">
        <v>56</v>
      </c>
      <c r="J92" s="14">
        <v>18929.900000000001</v>
      </c>
      <c r="K92" s="12" t="s">
        <v>565</v>
      </c>
    </row>
    <row r="93" spans="1:11" x14ac:dyDescent="0.35">
      <c r="A93" s="12" t="s">
        <v>495</v>
      </c>
      <c r="B93" s="15">
        <v>2025</v>
      </c>
      <c r="C93" s="13">
        <v>45736</v>
      </c>
      <c r="D93" s="12" t="s">
        <v>499</v>
      </c>
      <c r="E93" s="13">
        <v>45736</v>
      </c>
      <c r="F93" s="84">
        <v>246779414863</v>
      </c>
      <c r="G93" s="12" t="s">
        <v>11</v>
      </c>
      <c r="H93" s="14">
        <v>23.6</v>
      </c>
      <c r="I93" s="12" t="s">
        <v>56</v>
      </c>
      <c r="J93" s="14">
        <v>2045.91</v>
      </c>
      <c r="K93" s="12" t="s">
        <v>564</v>
      </c>
    </row>
    <row r="94" spans="1:11" x14ac:dyDescent="0.35">
      <c r="A94" s="12" t="s">
        <v>495</v>
      </c>
      <c r="B94" s="15">
        <v>2025</v>
      </c>
      <c r="C94" s="13">
        <v>45736</v>
      </c>
      <c r="D94" s="12" t="s">
        <v>499</v>
      </c>
      <c r="E94" s="13">
        <v>45736</v>
      </c>
      <c r="F94" s="84">
        <v>246779414864</v>
      </c>
      <c r="G94" s="12" t="s">
        <v>11</v>
      </c>
      <c r="H94" s="14">
        <v>26.55</v>
      </c>
      <c r="I94" s="12" t="s">
        <v>56</v>
      </c>
      <c r="J94" s="14">
        <v>2301.65</v>
      </c>
      <c r="K94" s="12" t="s">
        <v>564</v>
      </c>
    </row>
    <row r="95" spans="1:11" x14ac:dyDescent="0.35">
      <c r="A95" s="12" t="s">
        <v>495</v>
      </c>
      <c r="B95" s="15">
        <v>2025</v>
      </c>
      <c r="C95" s="13">
        <v>45736</v>
      </c>
      <c r="D95" s="12" t="s">
        <v>499</v>
      </c>
      <c r="E95" s="13">
        <v>45736</v>
      </c>
      <c r="F95" s="84">
        <v>246779414865</v>
      </c>
      <c r="G95" s="12" t="s">
        <v>11</v>
      </c>
      <c r="H95" s="14">
        <v>32.450000000000003</v>
      </c>
      <c r="I95" s="12" t="s">
        <v>56</v>
      </c>
      <c r="J95" s="14">
        <v>2813.13</v>
      </c>
      <c r="K95" s="12" t="s">
        <v>564</v>
      </c>
    </row>
    <row r="96" spans="1:11" x14ac:dyDescent="0.35">
      <c r="A96" s="12" t="s">
        <v>495</v>
      </c>
      <c r="B96" s="15">
        <v>2025</v>
      </c>
      <c r="C96" s="13">
        <v>45736</v>
      </c>
      <c r="D96" s="12" t="s">
        <v>499</v>
      </c>
      <c r="E96" s="13">
        <v>45736</v>
      </c>
      <c r="F96" s="84">
        <v>246779414866</v>
      </c>
      <c r="G96" s="12" t="s">
        <v>11</v>
      </c>
      <c r="H96" s="14">
        <v>26.55</v>
      </c>
      <c r="I96" s="12" t="s">
        <v>56</v>
      </c>
      <c r="J96" s="14">
        <v>2301.65</v>
      </c>
      <c r="K96" s="12" t="s">
        <v>564</v>
      </c>
    </row>
    <row r="97" spans="1:11" x14ac:dyDescent="0.35">
      <c r="A97" s="12" t="s">
        <v>495</v>
      </c>
      <c r="B97" s="15">
        <v>2025</v>
      </c>
      <c r="C97" s="13">
        <v>45736</v>
      </c>
      <c r="D97" s="12" t="s">
        <v>499</v>
      </c>
      <c r="E97" s="13">
        <v>45736</v>
      </c>
      <c r="F97" s="84">
        <v>246779414867</v>
      </c>
      <c r="G97" s="12" t="s">
        <v>11</v>
      </c>
      <c r="H97" s="14">
        <v>26.55</v>
      </c>
      <c r="I97" s="12" t="s">
        <v>56</v>
      </c>
      <c r="J97" s="14">
        <v>2301.65</v>
      </c>
      <c r="K97" s="12" t="s">
        <v>564</v>
      </c>
    </row>
    <row r="98" spans="1:11" x14ac:dyDescent="0.35">
      <c r="A98" s="12" t="s">
        <v>495</v>
      </c>
      <c r="B98" s="15">
        <v>2025</v>
      </c>
      <c r="C98" s="13">
        <v>45736</v>
      </c>
      <c r="D98" s="12" t="s">
        <v>499</v>
      </c>
      <c r="E98" s="13">
        <v>45736</v>
      </c>
      <c r="F98" s="84">
        <v>246779414868</v>
      </c>
      <c r="G98" s="12" t="s">
        <v>11</v>
      </c>
      <c r="H98" s="14">
        <v>2.95</v>
      </c>
      <c r="I98" s="12" t="s">
        <v>56</v>
      </c>
      <c r="J98" s="14">
        <v>255.74</v>
      </c>
      <c r="K98" s="12" t="s">
        <v>564</v>
      </c>
    </row>
    <row r="99" spans="1:11" x14ac:dyDescent="0.35">
      <c r="A99" s="12" t="s">
        <v>495</v>
      </c>
      <c r="B99" s="15">
        <v>2025</v>
      </c>
      <c r="C99" s="13">
        <v>45736</v>
      </c>
      <c r="D99" s="12" t="s">
        <v>499</v>
      </c>
      <c r="E99" s="13">
        <v>45736</v>
      </c>
      <c r="F99" s="84">
        <v>246779414869</v>
      </c>
      <c r="G99" s="12" t="s">
        <v>11</v>
      </c>
      <c r="H99" s="14">
        <v>35.4</v>
      </c>
      <c r="I99" s="12" t="s">
        <v>56</v>
      </c>
      <c r="J99" s="14">
        <v>3068.87</v>
      </c>
      <c r="K99" s="12" t="s">
        <v>564</v>
      </c>
    </row>
    <row r="100" spans="1:11" x14ac:dyDescent="0.35">
      <c r="A100" s="12" t="s">
        <v>495</v>
      </c>
      <c r="B100" s="15">
        <v>2025</v>
      </c>
      <c r="C100" s="13">
        <v>45736</v>
      </c>
      <c r="D100" s="12" t="s">
        <v>499</v>
      </c>
      <c r="E100" s="13">
        <v>45736</v>
      </c>
      <c r="F100" s="84">
        <v>246779413889</v>
      </c>
      <c r="G100" s="12" t="s">
        <v>11</v>
      </c>
      <c r="H100" s="14">
        <v>42.5</v>
      </c>
      <c r="I100" s="12" t="s">
        <v>56</v>
      </c>
      <c r="J100" s="14">
        <v>3684.38</v>
      </c>
      <c r="K100" s="12" t="s">
        <v>565</v>
      </c>
    </row>
    <row r="101" spans="1:11" x14ac:dyDescent="0.35">
      <c r="A101" s="12" t="s">
        <v>495</v>
      </c>
      <c r="B101" s="15">
        <v>2025</v>
      </c>
      <c r="C101" s="13">
        <v>45736</v>
      </c>
      <c r="D101" s="12" t="s">
        <v>499</v>
      </c>
      <c r="E101" s="13">
        <v>45736</v>
      </c>
      <c r="F101" s="84">
        <v>246779414662</v>
      </c>
      <c r="G101" s="12" t="s">
        <v>11</v>
      </c>
      <c r="H101" s="14">
        <v>275</v>
      </c>
      <c r="I101" s="12" t="s">
        <v>56</v>
      </c>
      <c r="J101" s="14">
        <v>23840.1</v>
      </c>
      <c r="K101" s="12" t="s">
        <v>579</v>
      </c>
    </row>
    <row r="102" spans="1:11" x14ac:dyDescent="0.35">
      <c r="A102" s="12" t="s">
        <v>495</v>
      </c>
      <c r="B102" s="15">
        <v>2025</v>
      </c>
      <c r="C102" s="13">
        <v>45736</v>
      </c>
      <c r="D102" s="12" t="s">
        <v>499</v>
      </c>
      <c r="E102" s="13">
        <v>45736</v>
      </c>
      <c r="F102" s="84">
        <v>246779414663</v>
      </c>
      <c r="G102" s="12" t="s">
        <v>11</v>
      </c>
      <c r="H102" s="14">
        <v>45</v>
      </c>
      <c r="I102" s="12" t="s">
        <v>56</v>
      </c>
      <c r="J102" s="14">
        <v>3901.11</v>
      </c>
      <c r="K102" s="12" t="s">
        <v>580</v>
      </c>
    </row>
    <row r="103" spans="1:11" x14ac:dyDescent="0.35">
      <c r="A103" s="12" t="s">
        <v>495</v>
      </c>
      <c r="B103" s="15">
        <v>2025</v>
      </c>
      <c r="C103" s="13">
        <v>45736</v>
      </c>
      <c r="D103" s="12" t="s">
        <v>499</v>
      </c>
      <c r="E103" s="13">
        <v>45736</v>
      </c>
      <c r="F103" s="84">
        <v>246779414590</v>
      </c>
      <c r="G103" s="12" t="s">
        <v>11</v>
      </c>
      <c r="H103" s="14">
        <v>300.49</v>
      </c>
      <c r="I103" s="12" t="s">
        <v>56</v>
      </c>
      <c r="J103" s="14">
        <v>26049.86</v>
      </c>
      <c r="K103" s="12" t="s">
        <v>581</v>
      </c>
    </row>
    <row r="104" spans="1:11" x14ac:dyDescent="0.35">
      <c r="A104" s="12" t="s">
        <v>495</v>
      </c>
      <c r="B104" s="15">
        <v>2025</v>
      </c>
      <c r="C104" s="13">
        <v>45736</v>
      </c>
      <c r="D104" s="12" t="s">
        <v>499</v>
      </c>
      <c r="E104" s="13">
        <v>45736</v>
      </c>
      <c r="F104" s="84">
        <v>246779414726</v>
      </c>
      <c r="G104" s="12" t="s">
        <v>11</v>
      </c>
      <c r="H104" s="14">
        <v>165.4</v>
      </c>
      <c r="I104" s="12" t="s">
        <v>56</v>
      </c>
      <c r="J104" s="14">
        <v>14338.73</v>
      </c>
      <c r="K104" s="12" t="s">
        <v>564</v>
      </c>
    </row>
    <row r="105" spans="1:11" x14ac:dyDescent="0.35">
      <c r="A105" s="12" t="s">
        <v>495</v>
      </c>
      <c r="B105" s="15">
        <v>2025</v>
      </c>
      <c r="C105" s="13">
        <v>45708</v>
      </c>
      <c r="D105" s="12" t="s">
        <v>499</v>
      </c>
      <c r="E105" s="13">
        <v>45708</v>
      </c>
      <c r="F105" s="84">
        <v>246779410010</v>
      </c>
      <c r="G105" s="12" t="s">
        <v>11</v>
      </c>
      <c r="H105" s="14">
        <v>2380.9499999999998</v>
      </c>
      <c r="I105" s="12" t="s">
        <v>56</v>
      </c>
      <c r="J105" s="14">
        <v>205484.7</v>
      </c>
      <c r="K105" s="12" t="s">
        <v>582</v>
      </c>
    </row>
    <row r="106" spans="1:11" x14ac:dyDescent="0.35">
      <c r="A106" s="12" t="s">
        <v>495</v>
      </c>
      <c r="B106" s="15">
        <v>2025</v>
      </c>
      <c r="C106" s="13">
        <v>45708</v>
      </c>
      <c r="D106" s="12" t="s">
        <v>499</v>
      </c>
      <c r="E106" s="13">
        <v>45708</v>
      </c>
      <c r="F106" s="84">
        <v>246779410030</v>
      </c>
      <c r="G106" s="12" t="s">
        <v>11</v>
      </c>
      <c r="H106" s="14">
        <v>2380.9499999999998</v>
      </c>
      <c r="I106" s="12" t="s">
        <v>56</v>
      </c>
      <c r="J106" s="14">
        <v>205484.7</v>
      </c>
      <c r="K106" s="12" t="s">
        <v>583</v>
      </c>
    </row>
    <row r="107" spans="1:11" x14ac:dyDescent="0.35">
      <c r="A107" s="12" t="s">
        <v>495</v>
      </c>
      <c r="B107" s="15">
        <v>2025</v>
      </c>
      <c r="C107" s="13">
        <v>45708</v>
      </c>
      <c r="D107" s="12" t="s">
        <v>499</v>
      </c>
      <c r="E107" s="13">
        <v>45708</v>
      </c>
      <c r="F107" s="84">
        <v>246779410063</v>
      </c>
      <c r="G107" s="12" t="s">
        <v>11</v>
      </c>
      <c r="H107" s="14">
        <v>95.24</v>
      </c>
      <c r="I107" s="12" t="s">
        <v>56</v>
      </c>
      <c r="J107" s="14">
        <v>8219.56</v>
      </c>
      <c r="K107" s="12" t="s">
        <v>584</v>
      </c>
    </row>
    <row r="108" spans="1:11" x14ac:dyDescent="0.35">
      <c r="A108" s="12" t="s">
        <v>495</v>
      </c>
      <c r="B108" s="15">
        <v>2025</v>
      </c>
      <c r="C108" s="13">
        <v>45708</v>
      </c>
      <c r="D108" s="12" t="s">
        <v>499</v>
      </c>
      <c r="E108" s="13">
        <v>45708</v>
      </c>
      <c r="F108" s="84">
        <v>246779410064</v>
      </c>
      <c r="G108" s="12" t="s">
        <v>11</v>
      </c>
      <c r="H108" s="14">
        <v>52.38</v>
      </c>
      <c r="I108" s="12" t="s">
        <v>56</v>
      </c>
      <c r="J108" s="14">
        <v>4520.59</v>
      </c>
      <c r="K108" s="12" t="s">
        <v>585</v>
      </c>
    </row>
    <row r="109" spans="1:11" x14ac:dyDescent="0.35">
      <c r="A109" s="12" t="s">
        <v>495</v>
      </c>
      <c r="B109" s="15">
        <v>2025</v>
      </c>
      <c r="C109" s="13">
        <v>45708</v>
      </c>
      <c r="D109" s="12" t="s">
        <v>499</v>
      </c>
      <c r="E109" s="13">
        <v>45708</v>
      </c>
      <c r="F109" s="84">
        <v>246779410080</v>
      </c>
      <c r="G109" s="12" t="s">
        <v>11</v>
      </c>
      <c r="H109" s="14">
        <v>95.24</v>
      </c>
      <c r="I109" s="12" t="s">
        <v>56</v>
      </c>
      <c r="J109" s="14">
        <v>8219.56</v>
      </c>
      <c r="K109" s="12" t="s">
        <v>586</v>
      </c>
    </row>
    <row r="110" spans="1:11" x14ac:dyDescent="0.35">
      <c r="A110" s="12" t="s">
        <v>495</v>
      </c>
      <c r="B110" s="15">
        <v>2025</v>
      </c>
      <c r="C110" s="13">
        <v>45708</v>
      </c>
      <c r="D110" s="12" t="s">
        <v>499</v>
      </c>
      <c r="E110" s="13">
        <v>45708</v>
      </c>
      <c r="F110" s="84">
        <v>246779410098</v>
      </c>
      <c r="G110" s="12" t="s">
        <v>11</v>
      </c>
      <c r="H110" s="14">
        <v>2380.9499999999998</v>
      </c>
      <c r="I110" s="12" t="s">
        <v>56</v>
      </c>
      <c r="J110" s="14">
        <v>205484.7</v>
      </c>
      <c r="K110" s="12" t="s">
        <v>587</v>
      </c>
    </row>
    <row r="111" spans="1:11" x14ac:dyDescent="0.35">
      <c r="A111" s="12" t="s">
        <v>495</v>
      </c>
      <c r="B111" s="15">
        <v>2025</v>
      </c>
      <c r="C111" s="13">
        <v>45708</v>
      </c>
      <c r="D111" s="12" t="s">
        <v>499</v>
      </c>
      <c r="E111" s="13">
        <v>45708</v>
      </c>
      <c r="F111" s="84">
        <v>246779410131</v>
      </c>
      <c r="G111" s="12" t="s">
        <v>11</v>
      </c>
      <c r="H111" s="14">
        <v>95.24</v>
      </c>
      <c r="I111" s="12" t="s">
        <v>56</v>
      </c>
      <c r="J111" s="14">
        <v>8219.56</v>
      </c>
      <c r="K111" s="12" t="s">
        <v>588</v>
      </c>
    </row>
    <row r="112" spans="1:11" x14ac:dyDescent="0.35">
      <c r="A112" s="12" t="s">
        <v>495</v>
      </c>
      <c r="B112" s="15">
        <v>2025</v>
      </c>
      <c r="C112" s="13">
        <v>45708</v>
      </c>
      <c r="D112" s="12" t="s">
        <v>499</v>
      </c>
      <c r="E112" s="13">
        <v>45708</v>
      </c>
      <c r="F112" s="84">
        <v>246779410132</v>
      </c>
      <c r="G112" s="12" t="s">
        <v>11</v>
      </c>
      <c r="H112" s="14">
        <v>52.38</v>
      </c>
      <c r="I112" s="12" t="s">
        <v>56</v>
      </c>
      <c r="J112" s="14">
        <v>4520.59</v>
      </c>
      <c r="K112" s="12" t="s">
        <v>589</v>
      </c>
    </row>
    <row r="113" spans="1:11" x14ac:dyDescent="0.35">
      <c r="A113" s="12" t="s">
        <v>495</v>
      </c>
      <c r="B113" s="15">
        <v>2025</v>
      </c>
      <c r="C113" s="13">
        <v>45708</v>
      </c>
      <c r="D113" s="12" t="s">
        <v>499</v>
      </c>
      <c r="E113" s="13">
        <v>45708</v>
      </c>
      <c r="F113" s="84">
        <v>246779410141</v>
      </c>
      <c r="G113" s="12" t="s">
        <v>11</v>
      </c>
      <c r="H113" s="14">
        <v>2380.9499999999998</v>
      </c>
      <c r="I113" s="12" t="s">
        <v>56</v>
      </c>
      <c r="J113" s="14">
        <v>205484.7</v>
      </c>
      <c r="K113" s="12" t="s">
        <v>590</v>
      </c>
    </row>
    <row r="114" spans="1:11" x14ac:dyDescent="0.35">
      <c r="A114" s="12" t="s">
        <v>495</v>
      </c>
      <c r="B114" s="15">
        <v>2025</v>
      </c>
      <c r="C114" s="13">
        <v>45708</v>
      </c>
      <c r="D114" s="12" t="s">
        <v>499</v>
      </c>
      <c r="E114" s="13">
        <v>45708</v>
      </c>
      <c r="F114" s="84">
        <v>246779410174</v>
      </c>
      <c r="G114" s="12" t="s">
        <v>11</v>
      </c>
      <c r="H114" s="14">
        <v>95.24</v>
      </c>
      <c r="I114" s="12" t="s">
        <v>56</v>
      </c>
      <c r="J114" s="14">
        <v>8219.56</v>
      </c>
      <c r="K114" s="12" t="s">
        <v>591</v>
      </c>
    </row>
    <row r="115" spans="1:11" x14ac:dyDescent="0.35">
      <c r="A115" s="12" t="s">
        <v>495</v>
      </c>
      <c r="B115" s="15">
        <v>2025</v>
      </c>
      <c r="C115" s="13">
        <v>45708</v>
      </c>
      <c r="D115" s="12" t="s">
        <v>499</v>
      </c>
      <c r="E115" s="13">
        <v>45708</v>
      </c>
      <c r="F115" s="84">
        <v>246779410175</v>
      </c>
      <c r="G115" s="12" t="s">
        <v>11</v>
      </c>
      <c r="H115" s="14">
        <v>52.38</v>
      </c>
      <c r="I115" s="12" t="s">
        <v>56</v>
      </c>
      <c r="J115" s="14">
        <v>4520.59</v>
      </c>
      <c r="K115" s="12" t="s">
        <v>592</v>
      </c>
    </row>
    <row r="116" spans="1:11" x14ac:dyDescent="0.35">
      <c r="A116" s="12" t="s">
        <v>495</v>
      </c>
      <c r="B116" s="15">
        <v>2025</v>
      </c>
      <c r="C116" s="13">
        <v>45708</v>
      </c>
      <c r="D116" s="12" t="s">
        <v>499</v>
      </c>
      <c r="E116" s="13">
        <v>45708</v>
      </c>
      <c r="F116" s="84">
        <v>246779410184</v>
      </c>
      <c r="G116" s="12" t="s">
        <v>11</v>
      </c>
      <c r="H116" s="14">
        <v>2333.1799999999998</v>
      </c>
      <c r="I116" s="12" t="s">
        <v>56</v>
      </c>
      <c r="J116" s="14">
        <v>201361.97</v>
      </c>
      <c r="K116" s="12" t="s">
        <v>593</v>
      </c>
    </row>
    <row r="117" spans="1:11" x14ac:dyDescent="0.35">
      <c r="A117" s="12" t="s">
        <v>495</v>
      </c>
      <c r="B117" s="15">
        <v>2025</v>
      </c>
      <c r="C117" s="13">
        <v>45708</v>
      </c>
      <c r="D117" s="12" t="s">
        <v>499</v>
      </c>
      <c r="E117" s="13">
        <v>45708</v>
      </c>
      <c r="F117" s="84">
        <v>246779410217</v>
      </c>
      <c r="G117" s="12" t="s">
        <v>11</v>
      </c>
      <c r="H117" s="14">
        <v>93.33</v>
      </c>
      <c r="I117" s="12" t="s">
        <v>56</v>
      </c>
      <c r="J117" s="14">
        <v>8054.72</v>
      </c>
      <c r="K117" s="12" t="s">
        <v>594</v>
      </c>
    </row>
    <row r="118" spans="1:11" x14ac:dyDescent="0.35">
      <c r="A118" s="12" t="s">
        <v>495</v>
      </c>
      <c r="B118" s="15">
        <v>2025</v>
      </c>
      <c r="C118" s="13">
        <v>45708</v>
      </c>
      <c r="D118" s="12" t="s">
        <v>499</v>
      </c>
      <c r="E118" s="13">
        <v>45708</v>
      </c>
      <c r="F118" s="84">
        <v>246779410218</v>
      </c>
      <c r="G118" s="12" t="s">
        <v>11</v>
      </c>
      <c r="H118" s="14">
        <v>51.33</v>
      </c>
      <c r="I118" s="12" t="s">
        <v>56</v>
      </c>
      <c r="J118" s="14">
        <v>4429.97</v>
      </c>
      <c r="K118" s="12" t="s">
        <v>595</v>
      </c>
    </row>
    <row r="119" spans="1:11" x14ac:dyDescent="0.35">
      <c r="A119" s="12" t="s">
        <v>495</v>
      </c>
      <c r="B119" s="15">
        <v>2025</v>
      </c>
      <c r="C119" s="13">
        <v>45708</v>
      </c>
      <c r="D119" s="12" t="s">
        <v>499</v>
      </c>
      <c r="E119" s="13">
        <v>45708</v>
      </c>
      <c r="F119" s="84">
        <v>246779410260</v>
      </c>
      <c r="G119" s="12" t="s">
        <v>11</v>
      </c>
      <c r="H119" s="14">
        <v>91.45</v>
      </c>
      <c r="I119" s="12" t="s">
        <v>56</v>
      </c>
      <c r="J119" s="14">
        <v>7892.47</v>
      </c>
      <c r="K119" s="12" t="s">
        <v>596</v>
      </c>
    </row>
    <row r="120" spans="1:11" x14ac:dyDescent="0.35">
      <c r="A120" s="12" t="s">
        <v>495</v>
      </c>
      <c r="B120" s="15">
        <v>2025</v>
      </c>
      <c r="C120" s="13">
        <v>45708</v>
      </c>
      <c r="D120" s="12" t="s">
        <v>499</v>
      </c>
      <c r="E120" s="13">
        <v>45708</v>
      </c>
      <c r="F120" s="84">
        <v>246779410261</v>
      </c>
      <c r="G120" s="12" t="s">
        <v>11</v>
      </c>
      <c r="H120" s="14">
        <v>50.3</v>
      </c>
      <c r="I120" s="12" t="s">
        <v>56</v>
      </c>
      <c r="J120" s="14">
        <v>4341.07</v>
      </c>
      <c r="K120" s="12" t="s">
        <v>597</v>
      </c>
    </row>
    <row r="121" spans="1:11" x14ac:dyDescent="0.35">
      <c r="A121" s="12" t="s">
        <v>495</v>
      </c>
      <c r="B121" s="15">
        <v>2025</v>
      </c>
      <c r="C121" s="13">
        <v>45708</v>
      </c>
      <c r="D121" s="12" t="s">
        <v>499</v>
      </c>
      <c r="E121" s="13">
        <v>45708</v>
      </c>
      <c r="F121" s="84">
        <v>246779410311</v>
      </c>
      <c r="G121" s="12" t="s">
        <v>11</v>
      </c>
      <c r="H121" s="14">
        <v>95.24</v>
      </c>
      <c r="I121" s="12" t="s">
        <v>56</v>
      </c>
      <c r="J121" s="14">
        <v>8219.56</v>
      </c>
      <c r="K121" s="12" t="s">
        <v>598</v>
      </c>
    </row>
    <row r="122" spans="1:11" x14ac:dyDescent="0.35">
      <c r="A122" s="12" t="s">
        <v>495</v>
      </c>
      <c r="B122" s="15">
        <v>2025</v>
      </c>
      <c r="C122" s="13">
        <v>45708</v>
      </c>
      <c r="D122" s="12" t="s">
        <v>499</v>
      </c>
      <c r="E122" s="13">
        <v>45708</v>
      </c>
      <c r="F122" s="84">
        <v>246779410312</v>
      </c>
      <c r="G122" s="12" t="s">
        <v>11</v>
      </c>
      <c r="H122" s="14">
        <v>52.38</v>
      </c>
      <c r="I122" s="12" t="s">
        <v>56</v>
      </c>
      <c r="J122" s="14">
        <v>4520.59</v>
      </c>
      <c r="K122" s="12" t="s">
        <v>599</v>
      </c>
    </row>
    <row r="123" spans="1:11" x14ac:dyDescent="0.35">
      <c r="A123" s="12" t="s">
        <v>495</v>
      </c>
      <c r="B123" s="15">
        <v>2025</v>
      </c>
      <c r="C123" s="13">
        <v>45708</v>
      </c>
      <c r="D123" s="12" t="s">
        <v>499</v>
      </c>
      <c r="E123" s="13">
        <v>45708</v>
      </c>
      <c r="F123" s="84">
        <v>246779410315</v>
      </c>
      <c r="G123" s="12" t="s">
        <v>11</v>
      </c>
      <c r="H123" s="14">
        <v>2380.9499999999998</v>
      </c>
      <c r="I123" s="12" t="s">
        <v>56</v>
      </c>
      <c r="J123" s="14">
        <v>205484.7</v>
      </c>
      <c r="K123" s="12" t="s">
        <v>600</v>
      </c>
    </row>
    <row r="124" spans="1:11" x14ac:dyDescent="0.35">
      <c r="A124" s="12" t="s">
        <v>495</v>
      </c>
      <c r="B124" s="15">
        <v>2025</v>
      </c>
      <c r="C124" s="13">
        <v>45708</v>
      </c>
      <c r="D124" s="12" t="s">
        <v>499</v>
      </c>
      <c r="E124" s="13">
        <v>45708</v>
      </c>
      <c r="F124" s="84">
        <v>246779410227</v>
      </c>
      <c r="G124" s="12" t="s">
        <v>11</v>
      </c>
      <c r="H124" s="14">
        <v>2286.2399999999998</v>
      </c>
      <c r="I124" s="12" t="s">
        <v>56</v>
      </c>
      <c r="J124" s="14">
        <v>197310.88</v>
      </c>
      <c r="K124" s="12" t="s">
        <v>601</v>
      </c>
    </row>
    <row r="125" spans="1:11" x14ac:dyDescent="0.35">
      <c r="A125" s="12" t="s">
        <v>495</v>
      </c>
      <c r="B125" s="15">
        <v>2025</v>
      </c>
      <c r="C125" s="13">
        <v>45889</v>
      </c>
      <c r="D125" s="12" t="s">
        <v>499</v>
      </c>
      <c r="E125" s="13">
        <v>45889</v>
      </c>
      <c r="F125" s="84">
        <v>256779416593</v>
      </c>
      <c r="G125" s="12" t="s">
        <v>11</v>
      </c>
      <c r="H125" s="14">
        <v>810</v>
      </c>
      <c r="I125" s="12" t="s">
        <v>56</v>
      </c>
      <c r="J125" s="14">
        <v>69684.399999999994</v>
      </c>
      <c r="K125" s="12" t="s">
        <v>602</v>
      </c>
    </row>
    <row r="126" spans="1:11" x14ac:dyDescent="0.35">
      <c r="A126" s="12" t="s">
        <v>495</v>
      </c>
      <c r="B126" s="15">
        <v>2025</v>
      </c>
      <c r="C126" s="13">
        <v>45889</v>
      </c>
      <c r="D126" s="12" t="s">
        <v>499</v>
      </c>
      <c r="E126" s="13">
        <v>45889</v>
      </c>
      <c r="F126" s="84">
        <v>256779416600</v>
      </c>
      <c r="G126" s="12" t="s">
        <v>11</v>
      </c>
      <c r="H126" s="14">
        <v>737.41</v>
      </c>
      <c r="I126" s="12" t="s">
        <v>56</v>
      </c>
      <c r="J126" s="14">
        <v>63439.47</v>
      </c>
      <c r="K126" s="12" t="s">
        <v>603</v>
      </c>
    </row>
    <row r="127" spans="1:11" x14ac:dyDescent="0.35">
      <c r="A127" s="12" t="s">
        <v>495</v>
      </c>
      <c r="B127" s="15">
        <v>2025</v>
      </c>
      <c r="C127" s="13">
        <v>45889</v>
      </c>
      <c r="D127" s="12" t="s">
        <v>499</v>
      </c>
      <c r="E127" s="13">
        <v>45889</v>
      </c>
      <c r="F127" s="84">
        <v>256779416801</v>
      </c>
      <c r="G127" s="12" t="s">
        <v>11</v>
      </c>
      <c r="H127" s="14">
        <v>110</v>
      </c>
      <c r="I127" s="12" t="s">
        <v>56</v>
      </c>
      <c r="J127" s="14">
        <v>9463.31</v>
      </c>
      <c r="K127" s="12" t="s">
        <v>604</v>
      </c>
    </row>
    <row r="128" spans="1:11" x14ac:dyDescent="0.35">
      <c r="A128" s="12" t="s">
        <v>495</v>
      </c>
      <c r="B128" s="15">
        <v>2025</v>
      </c>
      <c r="C128" s="13">
        <v>45889</v>
      </c>
      <c r="D128" s="12" t="s">
        <v>499</v>
      </c>
      <c r="E128" s="13">
        <v>45889</v>
      </c>
      <c r="F128" s="84">
        <v>256779416807</v>
      </c>
      <c r="G128" s="12" t="s">
        <v>11</v>
      </c>
      <c r="H128" s="14">
        <v>248.96</v>
      </c>
      <c r="I128" s="12" t="s">
        <v>56</v>
      </c>
      <c r="J128" s="14">
        <v>21418.06</v>
      </c>
      <c r="K128" s="12" t="s">
        <v>605</v>
      </c>
    </row>
    <row r="129" spans="1:11" x14ac:dyDescent="0.35">
      <c r="A129" s="12" t="s">
        <v>495</v>
      </c>
      <c r="B129" s="15">
        <v>2025</v>
      </c>
      <c r="C129" s="13">
        <v>45889</v>
      </c>
      <c r="D129" s="12" t="s">
        <v>499</v>
      </c>
      <c r="E129" s="13">
        <v>45889</v>
      </c>
      <c r="F129" s="84">
        <v>256779416814</v>
      </c>
      <c r="G129" s="12" t="s">
        <v>11</v>
      </c>
      <c r="H129" s="14">
        <v>230</v>
      </c>
      <c r="I129" s="12" t="s">
        <v>56</v>
      </c>
      <c r="J129" s="14">
        <v>19786.93</v>
      </c>
      <c r="K129" s="12" t="s">
        <v>606</v>
      </c>
    </row>
    <row r="130" spans="1:11" x14ac:dyDescent="0.35">
      <c r="A130" s="12" t="s">
        <v>495</v>
      </c>
      <c r="B130" s="15">
        <v>2025</v>
      </c>
      <c r="C130" s="13">
        <v>45889</v>
      </c>
      <c r="D130" s="12" t="s">
        <v>499</v>
      </c>
      <c r="E130" s="13">
        <v>45889</v>
      </c>
      <c r="F130" s="84">
        <v>256779416838</v>
      </c>
      <c r="G130" s="12" t="s">
        <v>11</v>
      </c>
      <c r="H130" s="14">
        <v>685.03</v>
      </c>
      <c r="I130" s="12" t="s">
        <v>56</v>
      </c>
      <c r="J130" s="14">
        <v>58933.21</v>
      </c>
      <c r="K130" s="12" t="s">
        <v>607</v>
      </c>
    </row>
    <row r="131" spans="1:11" x14ac:dyDescent="0.35">
      <c r="A131" s="12" t="s">
        <v>495</v>
      </c>
      <c r="B131" s="15">
        <v>2025</v>
      </c>
      <c r="C131" s="13">
        <v>45889</v>
      </c>
      <c r="D131" s="12" t="s">
        <v>499</v>
      </c>
      <c r="E131" s="13">
        <v>45889</v>
      </c>
      <c r="F131" s="84">
        <v>256779416869</v>
      </c>
      <c r="G131" s="12" t="s">
        <v>11</v>
      </c>
      <c r="H131" s="14">
        <v>115.98</v>
      </c>
      <c r="I131" s="12" t="s">
        <v>56</v>
      </c>
      <c r="J131" s="14">
        <v>9977.77</v>
      </c>
      <c r="K131" s="12" t="s">
        <v>608</v>
      </c>
    </row>
    <row r="132" spans="1:11" x14ac:dyDescent="0.35">
      <c r="A132" s="12" t="s">
        <v>495</v>
      </c>
      <c r="B132" s="15">
        <v>2025</v>
      </c>
      <c r="C132" s="13">
        <v>45999</v>
      </c>
      <c r="D132" s="12" t="s">
        <v>499</v>
      </c>
      <c r="E132" s="13">
        <v>45999</v>
      </c>
      <c r="F132" s="84">
        <v>256779419858</v>
      </c>
      <c r="G132" s="12" t="s">
        <v>11</v>
      </c>
      <c r="H132" s="14">
        <v>147.37</v>
      </c>
      <c r="I132" s="12" t="s">
        <v>56</v>
      </c>
      <c r="J132" s="14">
        <v>13071.74</v>
      </c>
      <c r="K132" s="12" t="s">
        <v>609</v>
      </c>
    </row>
    <row r="133" spans="1:11" x14ac:dyDescent="0.35">
      <c r="A133" s="12" t="s">
        <v>495</v>
      </c>
      <c r="B133" s="15">
        <v>2025</v>
      </c>
      <c r="C133" s="13">
        <v>45707</v>
      </c>
      <c r="D133" s="12" t="s">
        <v>499</v>
      </c>
      <c r="E133" s="13">
        <v>45707</v>
      </c>
      <c r="F133" s="84">
        <v>246779410081</v>
      </c>
      <c r="G133" s="12" t="s">
        <v>11</v>
      </c>
      <c r="H133" s="14">
        <v>52.38</v>
      </c>
      <c r="I133" s="12" t="s">
        <v>56</v>
      </c>
      <c r="J133" s="14">
        <v>4520.59</v>
      </c>
      <c r="K133" s="12" t="s">
        <v>610</v>
      </c>
    </row>
    <row r="134" spans="1:11" x14ac:dyDescent="0.35">
      <c r="A134" s="12" t="s">
        <v>495</v>
      </c>
      <c r="B134" s="15">
        <v>2025</v>
      </c>
      <c r="C134" s="13">
        <v>45797</v>
      </c>
      <c r="D134" s="12" t="s">
        <v>499</v>
      </c>
      <c r="E134" s="13">
        <v>45797</v>
      </c>
      <c r="F134" s="84">
        <v>256779413835</v>
      </c>
      <c r="G134" s="12" t="s">
        <v>11</v>
      </c>
      <c r="H134" s="14">
        <v>206.02</v>
      </c>
      <c r="I134" s="12" t="s">
        <v>56</v>
      </c>
      <c r="J134" s="14">
        <v>17714.36</v>
      </c>
      <c r="K134" s="12" t="s">
        <v>611</v>
      </c>
    </row>
    <row r="135" spans="1:11" x14ac:dyDescent="0.35">
      <c r="A135" s="12" t="s">
        <v>495</v>
      </c>
      <c r="B135" s="15">
        <v>2025</v>
      </c>
      <c r="C135" s="13">
        <v>45797</v>
      </c>
      <c r="D135" s="12" t="s">
        <v>499</v>
      </c>
      <c r="E135" s="13">
        <v>45797</v>
      </c>
      <c r="F135" s="84">
        <v>256779413480</v>
      </c>
      <c r="G135" s="12" t="s">
        <v>11</v>
      </c>
      <c r="H135" s="14">
        <v>183.84</v>
      </c>
      <c r="I135" s="12" t="s">
        <v>56</v>
      </c>
      <c r="J135" s="14">
        <v>15807.24</v>
      </c>
      <c r="K135" s="12" t="s">
        <v>612</v>
      </c>
    </row>
    <row r="136" spans="1:11" x14ac:dyDescent="0.35">
      <c r="A136" s="12" t="s">
        <v>495</v>
      </c>
      <c r="B136" s="15">
        <v>2025</v>
      </c>
      <c r="C136" s="13">
        <v>45797</v>
      </c>
      <c r="D136" s="12" t="s">
        <v>499</v>
      </c>
      <c r="E136" s="13">
        <v>45797</v>
      </c>
      <c r="F136" s="84">
        <v>256779413879</v>
      </c>
      <c r="G136" s="12" t="s">
        <v>11</v>
      </c>
      <c r="H136" s="14">
        <v>37.17</v>
      </c>
      <c r="I136" s="12" t="s">
        <v>56</v>
      </c>
      <c r="J136" s="14">
        <v>3196.01</v>
      </c>
      <c r="K136" s="12" t="s">
        <v>613</v>
      </c>
    </row>
    <row r="137" spans="1:11" x14ac:dyDescent="0.35">
      <c r="A137" s="12" t="s">
        <v>495</v>
      </c>
      <c r="B137" s="15">
        <v>2025</v>
      </c>
      <c r="C137" s="13">
        <v>45873</v>
      </c>
      <c r="D137" s="12" t="s">
        <v>496</v>
      </c>
      <c r="E137" s="13">
        <v>45873</v>
      </c>
      <c r="F137" s="84">
        <v>256779421623</v>
      </c>
      <c r="G137" s="12" t="s">
        <v>11</v>
      </c>
      <c r="H137" s="14">
        <v>-608.41</v>
      </c>
      <c r="I137" s="12" t="s">
        <v>56</v>
      </c>
      <c r="J137" s="14">
        <v>-52323.67</v>
      </c>
      <c r="K137" s="12" t="s">
        <v>614</v>
      </c>
    </row>
    <row r="138" spans="1:11" x14ac:dyDescent="0.35">
      <c r="A138" s="12" t="s">
        <v>495</v>
      </c>
      <c r="B138" s="15">
        <v>2025</v>
      </c>
      <c r="C138" s="13">
        <v>45750</v>
      </c>
      <c r="D138" s="12" t="s">
        <v>499</v>
      </c>
      <c r="E138" s="13">
        <v>45750</v>
      </c>
      <c r="F138" s="84">
        <v>256779410196</v>
      </c>
      <c r="G138" s="12" t="s">
        <v>11</v>
      </c>
      <c r="H138" s="14">
        <v>246.52</v>
      </c>
      <c r="I138" s="12" t="s">
        <v>56</v>
      </c>
      <c r="J138" s="14">
        <v>21427.97</v>
      </c>
      <c r="K138" s="12" t="s">
        <v>615</v>
      </c>
    </row>
    <row r="139" spans="1:11" x14ac:dyDescent="0.35">
      <c r="A139" s="12" t="s">
        <v>495</v>
      </c>
      <c r="B139" s="15">
        <v>2025</v>
      </c>
      <c r="C139" s="13">
        <v>45750</v>
      </c>
      <c r="D139" s="12" t="s">
        <v>499</v>
      </c>
      <c r="E139" s="13">
        <v>45750</v>
      </c>
      <c r="F139" s="84">
        <v>256779410262</v>
      </c>
      <c r="G139" s="12" t="s">
        <v>11</v>
      </c>
      <c r="H139" s="14">
        <v>93.33</v>
      </c>
      <c r="I139" s="12" t="s">
        <v>56</v>
      </c>
      <c r="J139" s="14">
        <v>8112.41</v>
      </c>
      <c r="K139" s="12" t="s">
        <v>594</v>
      </c>
    </row>
    <row r="140" spans="1:11" x14ac:dyDescent="0.35">
      <c r="A140" s="12" t="s">
        <v>495</v>
      </c>
      <c r="B140" s="15">
        <v>2025</v>
      </c>
      <c r="C140" s="13">
        <v>45750</v>
      </c>
      <c r="D140" s="12" t="s">
        <v>499</v>
      </c>
      <c r="E140" s="13">
        <v>45750</v>
      </c>
      <c r="F140" s="84">
        <v>256779410263</v>
      </c>
      <c r="G140" s="12" t="s">
        <v>11</v>
      </c>
      <c r="H140" s="14">
        <v>51.33</v>
      </c>
      <c r="I140" s="12" t="s">
        <v>56</v>
      </c>
      <c r="J140" s="14">
        <v>4461.7</v>
      </c>
      <c r="K140" s="12" t="s">
        <v>595</v>
      </c>
    </row>
    <row r="141" spans="1:11" x14ac:dyDescent="0.35">
      <c r="A141" s="12" t="s">
        <v>495</v>
      </c>
      <c r="B141" s="15">
        <v>2025</v>
      </c>
      <c r="C141" s="13">
        <v>45750</v>
      </c>
      <c r="D141" s="12" t="s">
        <v>499</v>
      </c>
      <c r="E141" s="13">
        <v>45750</v>
      </c>
      <c r="F141" s="84">
        <v>256779410272</v>
      </c>
      <c r="G141" s="12" t="s">
        <v>11</v>
      </c>
      <c r="H141" s="14">
        <v>2286.2399999999998</v>
      </c>
      <c r="I141" s="12" t="s">
        <v>56</v>
      </c>
      <c r="J141" s="14">
        <v>198724.14</v>
      </c>
      <c r="K141" s="12" t="s">
        <v>601</v>
      </c>
    </row>
    <row r="142" spans="1:11" x14ac:dyDescent="0.35">
      <c r="A142" s="12" t="s">
        <v>495</v>
      </c>
      <c r="B142" s="15">
        <v>2025</v>
      </c>
      <c r="C142" s="13">
        <v>45750</v>
      </c>
      <c r="D142" s="12" t="s">
        <v>499</v>
      </c>
      <c r="E142" s="13">
        <v>45750</v>
      </c>
      <c r="F142" s="84">
        <v>256779410303</v>
      </c>
      <c r="G142" s="12" t="s">
        <v>11</v>
      </c>
      <c r="H142" s="14">
        <v>91.45</v>
      </c>
      <c r="I142" s="12" t="s">
        <v>56</v>
      </c>
      <c r="J142" s="14">
        <v>7949</v>
      </c>
      <c r="K142" s="12" t="s">
        <v>596</v>
      </c>
    </row>
    <row r="143" spans="1:11" x14ac:dyDescent="0.35">
      <c r="A143" s="12" t="s">
        <v>495</v>
      </c>
      <c r="B143" s="15">
        <v>2025</v>
      </c>
      <c r="C143" s="13">
        <v>45750</v>
      </c>
      <c r="D143" s="12" t="s">
        <v>499</v>
      </c>
      <c r="E143" s="13">
        <v>45750</v>
      </c>
      <c r="F143" s="84">
        <v>256779410304</v>
      </c>
      <c r="G143" s="12" t="s">
        <v>11</v>
      </c>
      <c r="H143" s="14">
        <v>50.3</v>
      </c>
      <c r="I143" s="12" t="s">
        <v>56</v>
      </c>
      <c r="J143" s="14">
        <v>4372.17</v>
      </c>
      <c r="K143" s="12" t="s">
        <v>597</v>
      </c>
    </row>
    <row r="144" spans="1:11" x14ac:dyDescent="0.35">
      <c r="A144" s="12" t="s">
        <v>495</v>
      </c>
      <c r="B144" s="15">
        <v>2025</v>
      </c>
      <c r="C144" s="13">
        <v>45750</v>
      </c>
      <c r="D144" s="12" t="s">
        <v>499</v>
      </c>
      <c r="E144" s="13">
        <v>45750</v>
      </c>
      <c r="F144" s="84">
        <v>256779410076</v>
      </c>
      <c r="G144" s="12" t="s">
        <v>11</v>
      </c>
      <c r="H144" s="14">
        <v>25.22</v>
      </c>
      <c r="I144" s="12" t="s">
        <v>56</v>
      </c>
      <c r="J144" s="14">
        <v>2192.17</v>
      </c>
      <c r="K144" s="12" t="s">
        <v>616</v>
      </c>
    </row>
    <row r="145" spans="1:11" x14ac:dyDescent="0.35">
      <c r="A145" s="12" t="s">
        <v>495</v>
      </c>
      <c r="B145" s="15">
        <v>2025</v>
      </c>
      <c r="C145" s="13">
        <v>45750</v>
      </c>
      <c r="D145" s="12" t="s">
        <v>499</v>
      </c>
      <c r="E145" s="13">
        <v>45750</v>
      </c>
      <c r="F145" s="84">
        <v>256779410077</v>
      </c>
      <c r="G145" s="12" t="s">
        <v>11</v>
      </c>
      <c r="H145" s="14">
        <v>84.96</v>
      </c>
      <c r="I145" s="12" t="s">
        <v>56</v>
      </c>
      <c r="J145" s="14">
        <v>7384.88</v>
      </c>
      <c r="K145" s="12" t="s">
        <v>617</v>
      </c>
    </row>
    <row r="146" spans="1:11" x14ac:dyDescent="0.35">
      <c r="A146" s="12" t="s">
        <v>495</v>
      </c>
      <c r="B146" s="15">
        <v>2025</v>
      </c>
      <c r="C146" s="13">
        <v>45750</v>
      </c>
      <c r="D146" s="12" t="s">
        <v>499</v>
      </c>
      <c r="E146" s="13">
        <v>45750</v>
      </c>
      <c r="F146" s="84">
        <v>256779410127</v>
      </c>
      <c r="G146" s="12" t="s">
        <v>11</v>
      </c>
      <c r="H146" s="14">
        <v>183.99</v>
      </c>
      <c r="I146" s="12" t="s">
        <v>56</v>
      </c>
      <c r="J146" s="14">
        <v>15992.75</v>
      </c>
      <c r="K146" s="12" t="s">
        <v>618</v>
      </c>
    </row>
    <row r="147" spans="1:11" x14ac:dyDescent="0.35">
      <c r="A147" s="12" t="s">
        <v>495</v>
      </c>
      <c r="B147" s="15">
        <v>2025</v>
      </c>
      <c r="C147" s="13">
        <v>45750</v>
      </c>
      <c r="D147" s="12" t="s">
        <v>499</v>
      </c>
      <c r="E147" s="13">
        <v>45750</v>
      </c>
      <c r="F147" s="84">
        <v>256779410213</v>
      </c>
      <c r="G147" s="12" t="s">
        <v>11</v>
      </c>
      <c r="H147" s="14">
        <v>236</v>
      </c>
      <c r="I147" s="12" t="s">
        <v>56</v>
      </c>
      <c r="J147" s="14">
        <v>20513.55</v>
      </c>
      <c r="K147" s="12" t="s">
        <v>619</v>
      </c>
    </row>
    <row r="148" spans="1:11" x14ac:dyDescent="0.35">
      <c r="A148" s="12" t="s">
        <v>495</v>
      </c>
      <c r="B148" s="15">
        <v>2025</v>
      </c>
      <c r="C148" s="13">
        <v>45750</v>
      </c>
      <c r="D148" s="12" t="s">
        <v>499</v>
      </c>
      <c r="E148" s="13">
        <v>45750</v>
      </c>
      <c r="F148" s="84">
        <v>256779410214</v>
      </c>
      <c r="G148" s="12" t="s">
        <v>11</v>
      </c>
      <c r="H148" s="14">
        <v>70.8</v>
      </c>
      <c r="I148" s="12" t="s">
        <v>56</v>
      </c>
      <c r="J148" s="14">
        <v>6154.06</v>
      </c>
      <c r="K148" s="12" t="s">
        <v>620</v>
      </c>
    </row>
    <row r="149" spans="1:11" x14ac:dyDescent="0.35">
      <c r="A149" s="12" t="s">
        <v>495</v>
      </c>
      <c r="B149" s="15">
        <v>2025</v>
      </c>
      <c r="C149" s="13">
        <v>45750</v>
      </c>
      <c r="D149" s="12" t="s">
        <v>499</v>
      </c>
      <c r="E149" s="13">
        <v>45750</v>
      </c>
      <c r="F149" s="84">
        <v>256779410231</v>
      </c>
      <c r="G149" s="12" t="s">
        <v>11</v>
      </c>
      <c r="H149" s="14">
        <v>2333.1799999999998</v>
      </c>
      <c r="I149" s="12" t="s">
        <v>56</v>
      </c>
      <c r="J149" s="14">
        <v>202804.25</v>
      </c>
      <c r="K149" s="12" t="s">
        <v>593</v>
      </c>
    </row>
    <row r="150" spans="1:11" x14ac:dyDescent="0.35">
      <c r="A150" s="12" t="s">
        <v>495</v>
      </c>
      <c r="B150" s="15">
        <v>2025</v>
      </c>
      <c r="C150" s="13">
        <v>45950</v>
      </c>
      <c r="D150" s="12" t="s">
        <v>499</v>
      </c>
      <c r="E150" s="13">
        <v>45950</v>
      </c>
      <c r="F150" s="84">
        <v>256779418653</v>
      </c>
      <c r="G150" s="12" t="s">
        <v>11</v>
      </c>
      <c r="H150" s="14">
        <v>170.68</v>
      </c>
      <c r="I150" s="12" t="s">
        <v>56</v>
      </c>
      <c r="J150" s="14">
        <v>15052.4</v>
      </c>
      <c r="K150" s="12" t="s">
        <v>621</v>
      </c>
    </row>
    <row r="151" spans="1:11" x14ac:dyDescent="0.35">
      <c r="A151" s="12" t="s">
        <v>495</v>
      </c>
      <c r="B151" s="15">
        <v>2025</v>
      </c>
      <c r="C151" s="13">
        <v>45950</v>
      </c>
      <c r="D151" s="12" t="s">
        <v>499</v>
      </c>
      <c r="E151" s="13">
        <v>45950</v>
      </c>
      <c r="F151" s="84">
        <v>256779418692</v>
      </c>
      <c r="G151" s="12" t="s">
        <v>11</v>
      </c>
      <c r="H151" s="14">
        <v>531.26</v>
      </c>
      <c r="I151" s="12" t="s">
        <v>56</v>
      </c>
      <c r="J151" s="14">
        <v>46852.23</v>
      </c>
      <c r="K151" s="12" t="s">
        <v>622</v>
      </c>
    </row>
    <row r="152" spans="1:11" x14ac:dyDescent="0.35">
      <c r="A152" s="12" t="s">
        <v>495</v>
      </c>
      <c r="B152" s="15">
        <v>2025</v>
      </c>
      <c r="C152" s="13">
        <v>45768</v>
      </c>
      <c r="D152" s="12" t="s">
        <v>499</v>
      </c>
      <c r="E152" s="13">
        <v>45768</v>
      </c>
      <c r="F152" s="84">
        <v>256779412155</v>
      </c>
      <c r="G152" s="12" t="s">
        <v>11</v>
      </c>
      <c r="H152" s="14">
        <v>2330.73</v>
      </c>
      <c r="I152" s="12" t="s">
        <v>56</v>
      </c>
      <c r="J152" s="14">
        <v>199999.94</v>
      </c>
      <c r="K152" s="12" t="s">
        <v>623</v>
      </c>
    </row>
    <row r="153" spans="1:11" x14ac:dyDescent="0.35">
      <c r="A153" s="12" t="s">
        <v>495</v>
      </c>
      <c r="B153" s="15">
        <v>2025</v>
      </c>
      <c r="C153" s="13">
        <v>45768</v>
      </c>
      <c r="D153" s="12" t="s">
        <v>499</v>
      </c>
      <c r="E153" s="13">
        <v>45768</v>
      </c>
      <c r="F153" s="84">
        <v>256779412184</v>
      </c>
      <c r="G153" s="12" t="s">
        <v>11</v>
      </c>
      <c r="H153" s="14">
        <v>93.23</v>
      </c>
      <c r="I153" s="12" t="s">
        <v>56</v>
      </c>
      <c r="J153" s="14">
        <v>8000.07</v>
      </c>
      <c r="K153" s="12" t="s">
        <v>623</v>
      </c>
    </row>
    <row r="154" spans="1:11" x14ac:dyDescent="0.35">
      <c r="A154" s="12" t="s">
        <v>495</v>
      </c>
      <c r="B154" s="15">
        <v>2025</v>
      </c>
      <c r="C154" s="13">
        <v>45768</v>
      </c>
      <c r="D154" s="12" t="s">
        <v>499</v>
      </c>
      <c r="E154" s="13">
        <v>45768</v>
      </c>
      <c r="F154" s="84">
        <v>256779412185</v>
      </c>
      <c r="G154" s="12" t="s">
        <v>11</v>
      </c>
      <c r="H154" s="14">
        <v>51.28</v>
      </c>
      <c r="I154" s="12" t="s">
        <v>56</v>
      </c>
      <c r="J154" s="14">
        <v>4400.34</v>
      </c>
      <c r="K154" s="12" t="s">
        <v>623</v>
      </c>
    </row>
    <row r="155" spans="1:11" x14ac:dyDescent="0.35">
      <c r="A155" s="12" t="s">
        <v>495</v>
      </c>
      <c r="B155" s="15">
        <v>2025</v>
      </c>
      <c r="C155" s="13">
        <v>45768</v>
      </c>
      <c r="D155" s="12" t="s">
        <v>499</v>
      </c>
      <c r="E155" s="13">
        <v>45768</v>
      </c>
      <c r="F155" s="84">
        <v>256779412189</v>
      </c>
      <c r="G155" s="12" t="s">
        <v>56</v>
      </c>
      <c r="H155" s="14">
        <v>262.20999999999998</v>
      </c>
      <c r="I155" s="12" t="s">
        <v>56</v>
      </c>
      <c r="J155" s="14">
        <v>262.20999999999998</v>
      </c>
      <c r="K155" s="12" t="s">
        <v>623</v>
      </c>
    </row>
    <row r="156" spans="1:11" x14ac:dyDescent="0.35">
      <c r="A156" s="12" t="s">
        <v>495</v>
      </c>
      <c r="B156" s="15">
        <v>2025</v>
      </c>
      <c r="C156" s="13">
        <v>45862</v>
      </c>
      <c r="D156" s="12" t="s">
        <v>496</v>
      </c>
      <c r="E156" s="13">
        <v>45862</v>
      </c>
      <c r="F156" s="84">
        <v>256779421498</v>
      </c>
      <c r="G156" s="12" t="s">
        <v>11</v>
      </c>
      <c r="H156" s="14">
        <v>-95.24</v>
      </c>
      <c r="I156" s="12" t="s">
        <v>56</v>
      </c>
      <c r="J156" s="14">
        <v>-8190.7</v>
      </c>
      <c r="K156" s="12" t="s">
        <v>624</v>
      </c>
    </row>
    <row r="157" spans="1:11" x14ac:dyDescent="0.35">
      <c r="A157" s="12" t="s">
        <v>495</v>
      </c>
      <c r="B157" s="15">
        <v>2025</v>
      </c>
      <c r="C157" s="13">
        <v>45862</v>
      </c>
      <c r="D157" s="12" t="s">
        <v>496</v>
      </c>
      <c r="E157" s="13">
        <v>45862</v>
      </c>
      <c r="F157" s="84">
        <v>256779421512</v>
      </c>
      <c r="G157" s="12" t="s">
        <v>11</v>
      </c>
      <c r="H157" s="14">
        <v>-2333.1799999999998</v>
      </c>
      <c r="I157" s="12" t="s">
        <v>56</v>
      </c>
      <c r="J157" s="14">
        <v>-200655.04</v>
      </c>
      <c r="K157" s="12" t="s">
        <v>625</v>
      </c>
    </row>
    <row r="158" spans="1:11" x14ac:dyDescent="0.35">
      <c r="A158" s="12" t="s">
        <v>495</v>
      </c>
      <c r="B158" s="15">
        <v>2025</v>
      </c>
      <c r="C158" s="13">
        <v>45800</v>
      </c>
      <c r="D158" s="12" t="s">
        <v>496</v>
      </c>
      <c r="E158" s="13">
        <v>45800</v>
      </c>
      <c r="F158" s="84">
        <v>256779421106</v>
      </c>
      <c r="G158" s="12" t="s">
        <v>11</v>
      </c>
      <c r="H158" s="14">
        <v>-707.71</v>
      </c>
      <c r="I158" s="12" t="s">
        <v>56</v>
      </c>
      <c r="J158" s="14">
        <v>-60851.519999999997</v>
      </c>
      <c r="K158" s="12" t="s">
        <v>626</v>
      </c>
    </row>
    <row r="159" spans="1:11" x14ac:dyDescent="0.35">
      <c r="A159" s="12" t="s">
        <v>495</v>
      </c>
      <c r="B159" s="15">
        <v>2025</v>
      </c>
      <c r="C159" s="13">
        <v>45800</v>
      </c>
      <c r="D159" s="12" t="s">
        <v>496</v>
      </c>
      <c r="E159" s="13">
        <v>45800</v>
      </c>
      <c r="F159" s="84">
        <v>256779421109</v>
      </c>
      <c r="G159" s="12" t="s">
        <v>11</v>
      </c>
      <c r="H159" s="14">
        <v>-3.78</v>
      </c>
      <c r="I159" s="12" t="s">
        <v>56</v>
      </c>
      <c r="J159" s="14">
        <v>-325.02</v>
      </c>
      <c r="K159" s="12" t="s">
        <v>627</v>
      </c>
    </row>
    <row r="160" spans="1:11" x14ac:dyDescent="0.35">
      <c r="A160" s="12" t="s">
        <v>495</v>
      </c>
      <c r="B160" s="15">
        <v>2025</v>
      </c>
      <c r="C160" s="13">
        <v>45798</v>
      </c>
      <c r="D160" s="12" t="s">
        <v>499</v>
      </c>
      <c r="E160" s="13">
        <v>45798</v>
      </c>
      <c r="F160" s="84">
        <v>256779413391</v>
      </c>
      <c r="G160" s="12" t="s">
        <v>11</v>
      </c>
      <c r="H160" s="14">
        <v>253.29</v>
      </c>
      <c r="I160" s="12" t="s">
        <v>56</v>
      </c>
      <c r="J160" s="14">
        <v>21778.81</v>
      </c>
      <c r="K160" s="12" t="s">
        <v>628</v>
      </c>
    </row>
    <row r="161" spans="1:11" x14ac:dyDescent="0.35">
      <c r="A161" s="12" t="s">
        <v>495</v>
      </c>
      <c r="B161" s="15">
        <v>2025</v>
      </c>
      <c r="C161" s="13">
        <v>45798</v>
      </c>
      <c r="D161" s="12" t="s">
        <v>499</v>
      </c>
      <c r="E161" s="13">
        <v>45798</v>
      </c>
      <c r="F161" s="84">
        <v>256779413392</v>
      </c>
      <c r="G161" s="12" t="s">
        <v>11</v>
      </c>
      <c r="H161" s="14">
        <v>218.17</v>
      </c>
      <c r="I161" s="12" t="s">
        <v>56</v>
      </c>
      <c r="J161" s="14">
        <v>18759.060000000001</v>
      </c>
      <c r="K161" s="12" t="s">
        <v>628</v>
      </c>
    </row>
    <row r="162" spans="1:11" x14ac:dyDescent="0.35">
      <c r="A162" s="12" t="s">
        <v>495</v>
      </c>
      <c r="B162" s="15">
        <v>2025</v>
      </c>
      <c r="C162" s="13">
        <v>45798</v>
      </c>
      <c r="D162" s="12" t="s">
        <v>499</v>
      </c>
      <c r="E162" s="13">
        <v>45798</v>
      </c>
      <c r="F162" s="84">
        <v>256779413393</v>
      </c>
      <c r="G162" s="12" t="s">
        <v>11</v>
      </c>
      <c r="H162" s="14">
        <v>229.87</v>
      </c>
      <c r="I162" s="12" t="s">
        <v>56</v>
      </c>
      <c r="J162" s="14">
        <v>19765.07</v>
      </c>
      <c r="K162" s="12" t="s">
        <v>628</v>
      </c>
    </row>
    <row r="163" spans="1:11" x14ac:dyDescent="0.35">
      <c r="A163" s="12" t="s">
        <v>495</v>
      </c>
      <c r="B163" s="15">
        <v>2025</v>
      </c>
      <c r="C163" s="13">
        <v>45798</v>
      </c>
      <c r="D163" s="12" t="s">
        <v>499</v>
      </c>
      <c r="E163" s="13">
        <v>45798</v>
      </c>
      <c r="F163" s="84">
        <v>256779413394</v>
      </c>
      <c r="G163" s="12" t="s">
        <v>11</v>
      </c>
      <c r="H163" s="14">
        <v>218.17</v>
      </c>
      <c r="I163" s="12" t="s">
        <v>56</v>
      </c>
      <c r="J163" s="14">
        <v>18759.060000000001</v>
      </c>
      <c r="K163" s="12" t="s">
        <v>628</v>
      </c>
    </row>
    <row r="164" spans="1:11" x14ac:dyDescent="0.35">
      <c r="A164" s="12" t="s">
        <v>495</v>
      </c>
      <c r="B164" s="15">
        <v>2025</v>
      </c>
      <c r="C164" s="13">
        <v>45798</v>
      </c>
      <c r="D164" s="12" t="s">
        <v>499</v>
      </c>
      <c r="E164" s="13">
        <v>45798</v>
      </c>
      <c r="F164" s="84">
        <v>256779413395</v>
      </c>
      <c r="G164" s="12" t="s">
        <v>11</v>
      </c>
      <c r="H164" s="14">
        <v>264.98</v>
      </c>
      <c r="I164" s="12" t="s">
        <v>56</v>
      </c>
      <c r="J164" s="14">
        <v>22783.96</v>
      </c>
      <c r="K164" s="12" t="s">
        <v>629</v>
      </c>
    </row>
    <row r="165" spans="1:11" x14ac:dyDescent="0.35">
      <c r="A165" s="12" t="s">
        <v>495</v>
      </c>
      <c r="B165" s="15">
        <v>2025</v>
      </c>
      <c r="C165" s="13">
        <v>45798</v>
      </c>
      <c r="D165" s="12" t="s">
        <v>499</v>
      </c>
      <c r="E165" s="13">
        <v>45798</v>
      </c>
      <c r="F165" s="84">
        <v>256779413396</v>
      </c>
      <c r="G165" s="12" t="s">
        <v>11</v>
      </c>
      <c r="H165" s="14">
        <v>218.17</v>
      </c>
      <c r="I165" s="12" t="s">
        <v>56</v>
      </c>
      <c r="J165" s="14">
        <v>18759.060000000001</v>
      </c>
      <c r="K165" s="12" t="s">
        <v>629</v>
      </c>
    </row>
    <row r="166" spans="1:11" x14ac:dyDescent="0.35">
      <c r="A166" s="12" t="s">
        <v>495</v>
      </c>
      <c r="B166" s="15">
        <v>2025</v>
      </c>
      <c r="C166" s="13">
        <v>45798</v>
      </c>
      <c r="D166" s="12" t="s">
        <v>499</v>
      </c>
      <c r="E166" s="13">
        <v>45798</v>
      </c>
      <c r="F166" s="84">
        <v>256779413397</v>
      </c>
      <c r="G166" s="12" t="s">
        <v>11</v>
      </c>
      <c r="H166" s="14">
        <v>229.87</v>
      </c>
      <c r="I166" s="12" t="s">
        <v>56</v>
      </c>
      <c r="J166" s="14">
        <v>19765.07</v>
      </c>
      <c r="K166" s="12" t="s">
        <v>629</v>
      </c>
    </row>
    <row r="167" spans="1:11" x14ac:dyDescent="0.35">
      <c r="A167" s="12" t="s">
        <v>495</v>
      </c>
      <c r="B167" s="15">
        <v>2025</v>
      </c>
      <c r="C167" s="13">
        <v>45798</v>
      </c>
      <c r="D167" s="12" t="s">
        <v>499</v>
      </c>
      <c r="E167" s="13">
        <v>45798</v>
      </c>
      <c r="F167" s="84">
        <v>256779413398</v>
      </c>
      <c r="G167" s="12" t="s">
        <v>11</v>
      </c>
      <c r="H167" s="14">
        <v>218.17</v>
      </c>
      <c r="I167" s="12" t="s">
        <v>56</v>
      </c>
      <c r="J167" s="14">
        <v>18759.060000000001</v>
      </c>
      <c r="K167" s="12" t="s">
        <v>629</v>
      </c>
    </row>
    <row r="168" spans="1:11" x14ac:dyDescent="0.35">
      <c r="A168" s="12" t="s">
        <v>495</v>
      </c>
      <c r="B168" s="15">
        <v>2025</v>
      </c>
      <c r="C168" s="13">
        <v>45798</v>
      </c>
      <c r="D168" s="12" t="s">
        <v>499</v>
      </c>
      <c r="E168" s="13">
        <v>45798</v>
      </c>
      <c r="F168" s="84">
        <v>256779413399</v>
      </c>
      <c r="G168" s="12" t="s">
        <v>11</v>
      </c>
      <c r="H168" s="14">
        <v>229.87</v>
      </c>
      <c r="I168" s="12" t="s">
        <v>56</v>
      </c>
      <c r="J168" s="14">
        <v>19765.07</v>
      </c>
      <c r="K168" s="12" t="s">
        <v>629</v>
      </c>
    </row>
    <row r="169" spans="1:11" x14ac:dyDescent="0.35">
      <c r="A169" s="12" t="s">
        <v>495</v>
      </c>
      <c r="B169" s="15">
        <v>2025</v>
      </c>
      <c r="C169" s="13">
        <v>45798</v>
      </c>
      <c r="D169" s="12" t="s">
        <v>499</v>
      </c>
      <c r="E169" s="13">
        <v>45798</v>
      </c>
      <c r="F169" s="84">
        <v>256779413400</v>
      </c>
      <c r="G169" s="12" t="s">
        <v>11</v>
      </c>
      <c r="H169" s="14">
        <v>218.17</v>
      </c>
      <c r="I169" s="12" t="s">
        <v>56</v>
      </c>
      <c r="J169" s="14">
        <v>18759.060000000001</v>
      </c>
      <c r="K169" s="12" t="s">
        <v>629</v>
      </c>
    </row>
    <row r="170" spans="1:11" x14ac:dyDescent="0.35">
      <c r="A170" s="12" t="s">
        <v>495</v>
      </c>
      <c r="B170" s="15">
        <v>2025</v>
      </c>
      <c r="C170" s="13">
        <v>45798</v>
      </c>
      <c r="D170" s="12" t="s">
        <v>499</v>
      </c>
      <c r="E170" s="13">
        <v>45798</v>
      </c>
      <c r="F170" s="84">
        <v>256779413401</v>
      </c>
      <c r="G170" s="12" t="s">
        <v>11</v>
      </c>
      <c r="H170" s="14">
        <v>229.87</v>
      </c>
      <c r="I170" s="12" t="s">
        <v>56</v>
      </c>
      <c r="J170" s="14">
        <v>19765.07</v>
      </c>
      <c r="K170" s="12" t="s">
        <v>629</v>
      </c>
    </row>
    <row r="171" spans="1:11" x14ac:dyDescent="0.35">
      <c r="A171" s="12" t="s">
        <v>495</v>
      </c>
      <c r="B171" s="15">
        <v>2025</v>
      </c>
      <c r="C171" s="13">
        <v>45798</v>
      </c>
      <c r="D171" s="12" t="s">
        <v>499</v>
      </c>
      <c r="E171" s="13">
        <v>45798</v>
      </c>
      <c r="F171" s="84">
        <v>256779413402</v>
      </c>
      <c r="G171" s="12" t="s">
        <v>11</v>
      </c>
      <c r="H171" s="14">
        <v>229.87</v>
      </c>
      <c r="I171" s="12" t="s">
        <v>56</v>
      </c>
      <c r="J171" s="14">
        <v>19765.07</v>
      </c>
      <c r="K171" s="12" t="s">
        <v>629</v>
      </c>
    </row>
    <row r="172" spans="1:11" x14ac:dyDescent="0.35">
      <c r="A172" s="12" t="s">
        <v>495</v>
      </c>
      <c r="B172" s="15">
        <v>2025</v>
      </c>
      <c r="C172" s="13">
        <v>45798</v>
      </c>
      <c r="D172" s="12" t="s">
        <v>499</v>
      </c>
      <c r="E172" s="13">
        <v>45798</v>
      </c>
      <c r="F172" s="84">
        <v>256779413403</v>
      </c>
      <c r="G172" s="12" t="s">
        <v>11</v>
      </c>
      <c r="H172" s="14">
        <v>402.88</v>
      </c>
      <c r="I172" s="12" t="s">
        <v>56</v>
      </c>
      <c r="J172" s="14">
        <v>34641.11</v>
      </c>
      <c r="K172" s="12" t="s">
        <v>630</v>
      </c>
    </row>
    <row r="173" spans="1:11" x14ac:dyDescent="0.35">
      <c r="A173" s="12" t="s">
        <v>495</v>
      </c>
      <c r="B173" s="15">
        <v>2025</v>
      </c>
      <c r="C173" s="13">
        <v>45890</v>
      </c>
      <c r="D173" s="12" t="s">
        <v>496</v>
      </c>
      <c r="E173" s="13">
        <v>45890</v>
      </c>
      <c r="F173" s="84">
        <v>256779421698</v>
      </c>
      <c r="G173" s="12" t="s">
        <v>11</v>
      </c>
      <c r="H173" s="14">
        <v>-30</v>
      </c>
      <c r="I173" s="12" t="s">
        <v>56</v>
      </c>
      <c r="J173" s="14">
        <v>-2580.9</v>
      </c>
      <c r="K173" s="12" t="s">
        <v>631</v>
      </c>
    </row>
    <row r="174" spans="1:11" x14ac:dyDescent="0.35">
      <c r="A174" s="12" t="s">
        <v>495</v>
      </c>
      <c r="B174" s="15">
        <v>2025</v>
      </c>
      <c r="C174" s="13">
        <v>45890</v>
      </c>
      <c r="D174" s="12" t="s">
        <v>496</v>
      </c>
      <c r="E174" s="13">
        <v>45890</v>
      </c>
      <c r="F174" s="84">
        <v>256779421699</v>
      </c>
      <c r="G174" s="12" t="s">
        <v>11</v>
      </c>
      <c r="H174" s="14">
        <v>-30</v>
      </c>
      <c r="I174" s="12" t="s">
        <v>56</v>
      </c>
      <c r="J174" s="14">
        <v>-2580.9</v>
      </c>
      <c r="K174" s="12" t="s">
        <v>632</v>
      </c>
    </row>
    <row r="175" spans="1:11" x14ac:dyDescent="0.35">
      <c r="A175" s="12" t="s">
        <v>495</v>
      </c>
      <c r="B175" s="15">
        <v>2025</v>
      </c>
      <c r="C175" s="13">
        <v>45890</v>
      </c>
      <c r="D175" s="12" t="s">
        <v>496</v>
      </c>
      <c r="E175" s="13">
        <v>45890</v>
      </c>
      <c r="F175" s="84">
        <v>256779421700</v>
      </c>
      <c r="G175" s="12" t="s">
        <v>11</v>
      </c>
      <c r="H175" s="14">
        <v>-30</v>
      </c>
      <c r="I175" s="12" t="s">
        <v>56</v>
      </c>
      <c r="J175" s="14">
        <v>-2580.9</v>
      </c>
      <c r="K175" s="12" t="s">
        <v>633</v>
      </c>
    </row>
    <row r="176" spans="1:11" x14ac:dyDescent="0.35">
      <c r="A176" s="12" t="s">
        <v>495</v>
      </c>
      <c r="B176" s="15">
        <v>2025</v>
      </c>
      <c r="C176" s="13">
        <v>45890</v>
      </c>
      <c r="D176" s="12" t="s">
        <v>496</v>
      </c>
      <c r="E176" s="13">
        <v>45890</v>
      </c>
      <c r="F176" s="84">
        <v>256779421701</v>
      </c>
      <c r="G176" s="12" t="s">
        <v>11</v>
      </c>
      <c r="H176" s="14">
        <v>-30</v>
      </c>
      <c r="I176" s="12" t="s">
        <v>56</v>
      </c>
      <c r="J176" s="14">
        <v>-2580.9</v>
      </c>
      <c r="K176" s="12" t="s">
        <v>634</v>
      </c>
    </row>
    <row r="177" spans="1:11" x14ac:dyDescent="0.35">
      <c r="A177" s="12" t="s">
        <v>495</v>
      </c>
      <c r="B177" s="15">
        <v>2025</v>
      </c>
      <c r="C177" s="13">
        <v>45890</v>
      </c>
      <c r="D177" s="12" t="s">
        <v>496</v>
      </c>
      <c r="E177" s="13">
        <v>45890</v>
      </c>
      <c r="F177" s="84">
        <v>256779421702</v>
      </c>
      <c r="G177" s="12" t="s">
        <v>11</v>
      </c>
      <c r="H177" s="14">
        <v>-30</v>
      </c>
      <c r="I177" s="12" t="s">
        <v>56</v>
      </c>
      <c r="J177" s="14">
        <v>-2580.9</v>
      </c>
      <c r="K177" s="12" t="s">
        <v>635</v>
      </c>
    </row>
    <row r="178" spans="1:11" x14ac:dyDescent="0.35">
      <c r="A178" s="12" t="s">
        <v>495</v>
      </c>
      <c r="B178" s="15">
        <v>2025</v>
      </c>
      <c r="C178" s="13">
        <v>45890</v>
      </c>
      <c r="D178" s="12" t="s">
        <v>496</v>
      </c>
      <c r="E178" s="13">
        <v>45890</v>
      </c>
      <c r="F178" s="84">
        <v>256779421703</v>
      </c>
      <c r="G178" s="12" t="s">
        <v>11</v>
      </c>
      <c r="H178" s="14">
        <v>-27.39</v>
      </c>
      <c r="I178" s="12" t="s">
        <v>56</v>
      </c>
      <c r="J178" s="14">
        <v>-2356.36</v>
      </c>
      <c r="K178" s="12" t="s">
        <v>636</v>
      </c>
    </row>
    <row r="179" spans="1:11" x14ac:dyDescent="0.35">
      <c r="A179" s="12" t="s">
        <v>495</v>
      </c>
      <c r="B179" s="15">
        <v>2025</v>
      </c>
      <c r="C179" s="13">
        <v>45890</v>
      </c>
      <c r="D179" s="12" t="s">
        <v>496</v>
      </c>
      <c r="E179" s="13">
        <v>45890</v>
      </c>
      <c r="F179" s="84">
        <v>256779421705</v>
      </c>
      <c r="G179" s="12" t="s">
        <v>11</v>
      </c>
      <c r="H179" s="14">
        <v>-212.5</v>
      </c>
      <c r="I179" s="12" t="s">
        <v>56</v>
      </c>
      <c r="J179" s="14">
        <v>-18281.400000000001</v>
      </c>
      <c r="K179" s="12" t="s">
        <v>637</v>
      </c>
    </row>
    <row r="180" spans="1:11" x14ac:dyDescent="0.35">
      <c r="A180" s="12" t="s">
        <v>495</v>
      </c>
      <c r="B180" s="15">
        <v>2025</v>
      </c>
      <c r="C180" s="13">
        <v>45890</v>
      </c>
      <c r="D180" s="12" t="s">
        <v>496</v>
      </c>
      <c r="E180" s="13">
        <v>45890</v>
      </c>
      <c r="F180" s="84">
        <v>256779421706</v>
      </c>
      <c r="G180" s="12" t="s">
        <v>11</v>
      </c>
      <c r="H180" s="14">
        <v>-362.02</v>
      </c>
      <c r="I180" s="12" t="s">
        <v>56</v>
      </c>
      <c r="J180" s="14">
        <v>-31144.62</v>
      </c>
      <c r="K180" s="12" t="s">
        <v>638</v>
      </c>
    </row>
    <row r="181" spans="1:11" x14ac:dyDescent="0.35">
      <c r="A181" s="12" t="s">
        <v>495</v>
      </c>
      <c r="B181" s="15">
        <v>2025</v>
      </c>
      <c r="C181" s="13">
        <v>45890</v>
      </c>
      <c r="D181" s="12" t="s">
        <v>496</v>
      </c>
      <c r="E181" s="13">
        <v>45890</v>
      </c>
      <c r="F181" s="84">
        <v>256779421707</v>
      </c>
      <c r="G181" s="12" t="s">
        <v>11</v>
      </c>
      <c r="H181" s="14">
        <v>-228.75</v>
      </c>
      <c r="I181" s="12" t="s">
        <v>56</v>
      </c>
      <c r="J181" s="14">
        <v>-19679.39</v>
      </c>
      <c r="K181" s="12" t="s">
        <v>639</v>
      </c>
    </row>
    <row r="182" spans="1:11" x14ac:dyDescent="0.35">
      <c r="A182" s="12" t="s">
        <v>495</v>
      </c>
      <c r="B182" s="15">
        <v>2025</v>
      </c>
      <c r="C182" s="13">
        <v>45890</v>
      </c>
      <c r="D182" s="12" t="s">
        <v>496</v>
      </c>
      <c r="E182" s="13">
        <v>45890</v>
      </c>
      <c r="F182" s="84">
        <v>256779421708</v>
      </c>
      <c r="G182" s="12" t="s">
        <v>11</v>
      </c>
      <c r="H182" s="14">
        <v>-281.5</v>
      </c>
      <c r="I182" s="12" t="s">
        <v>56</v>
      </c>
      <c r="J182" s="14">
        <v>-24217.48</v>
      </c>
      <c r="K182" s="12" t="s">
        <v>640</v>
      </c>
    </row>
    <row r="183" spans="1:11" x14ac:dyDescent="0.35">
      <c r="A183" s="12" t="s">
        <v>495</v>
      </c>
      <c r="B183" s="15">
        <v>2025</v>
      </c>
      <c r="C183" s="13">
        <v>45771</v>
      </c>
      <c r="D183" s="12" t="s">
        <v>499</v>
      </c>
      <c r="E183" s="13">
        <v>45771</v>
      </c>
      <c r="F183" s="84">
        <v>256779412776</v>
      </c>
      <c r="G183" s="12" t="s">
        <v>11</v>
      </c>
      <c r="H183" s="14">
        <v>632.46</v>
      </c>
      <c r="I183" s="12" t="s">
        <v>56</v>
      </c>
      <c r="J183" s="14">
        <v>54974.57</v>
      </c>
      <c r="K183" s="12" t="s">
        <v>641</v>
      </c>
    </row>
    <row r="184" spans="1:11" x14ac:dyDescent="0.35">
      <c r="A184" s="12" t="s">
        <v>495</v>
      </c>
      <c r="B184" s="15">
        <v>2025</v>
      </c>
      <c r="C184" s="13">
        <v>45826</v>
      </c>
      <c r="D184" s="12" t="s">
        <v>499</v>
      </c>
      <c r="E184" s="13">
        <v>45826</v>
      </c>
      <c r="F184" s="84">
        <v>256779414431</v>
      </c>
      <c r="G184" s="12" t="s">
        <v>11</v>
      </c>
      <c r="H184" s="14">
        <v>52.38</v>
      </c>
      <c r="I184" s="12" t="s">
        <v>56</v>
      </c>
      <c r="J184" s="14">
        <v>4478.01</v>
      </c>
      <c r="K184" s="12" t="s">
        <v>589</v>
      </c>
    </row>
    <row r="185" spans="1:11" x14ac:dyDescent="0.35">
      <c r="A185" s="12" t="s">
        <v>495</v>
      </c>
      <c r="B185" s="15">
        <v>2025</v>
      </c>
      <c r="C185" s="13">
        <v>45826</v>
      </c>
      <c r="D185" s="12" t="s">
        <v>499</v>
      </c>
      <c r="E185" s="13">
        <v>45826</v>
      </c>
      <c r="F185" s="84">
        <v>256779414430</v>
      </c>
      <c r="G185" s="12" t="s">
        <v>11</v>
      </c>
      <c r="H185" s="14">
        <v>95.24</v>
      </c>
      <c r="I185" s="12" t="s">
        <v>56</v>
      </c>
      <c r="J185" s="14">
        <v>8142.14</v>
      </c>
      <c r="K185" s="12" t="s">
        <v>588</v>
      </c>
    </row>
    <row r="186" spans="1:11" x14ac:dyDescent="0.35">
      <c r="A186" s="12" t="s">
        <v>495</v>
      </c>
      <c r="B186" s="15">
        <v>2025</v>
      </c>
      <c r="C186" s="13">
        <v>45826</v>
      </c>
      <c r="D186" s="12" t="s">
        <v>499</v>
      </c>
      <c r="E186" s="13">
        <v>45826</v>
      </c>
      <c r="F186" s="84">
        <v>256779414445</v>
      </c>
      <c r="G186" s="12" t="s">
        <v>11</v>
      </c>
      <c r="H186" s="14">
        <v>2333.1799999999998</v>
      </c>
      <c r="I186" s="12" t="s">
        <v>56</v>
      </c>
      <c r="J186" s="14">
        <v>199465.38</v>
      </c>
      <c r="K186" s="12" t="s">
        <v>593</v>
      </c>
    </row>
    <row r="187" spans="1:11" x14ac:dyDescent="0.35">
      <c r="A187" s="12" t="s">
        <v>495</v>
      </c>
      <c r="B187" s="15">
        <v>2025</v>
      </c>
      <c r="C187" s="13">
        <v>45951</v>
      </c>
      <c r="D187" s="12" t="s">
        <v>499</v>
      </c>
      <c r="E187" s="13">
        <v>45951</v>
      </c>
      <c r="F187" s="84">
        <v>256779418474</v>
      </c>
      <c r="G187" s="12" t="s">
        <v>11</v>
      </c>
      <c r="H187" s="14">
        <v>562.38</v>
      </c>
      <c r="I187" s="12" t="s">
        <v>56</v>
      </c>
      <c r="J187" s="14">
        <v>49596.73</v>
      </c>
      <c r="K187" s="12" t="s">
        <v>642</v>
      </c>
    </row>
    <row r="188" spans="1:11" x14ac:dyDescent="0.35">
      <c r="A188" s="12" t="s">
        <v>495</v>
      </c>
      <c r="B188" s="15">
        <v>2025</v>
      </c>
      <c r="C188" s="13">
        <v>45951</v>
      </c>
      <c r="D188" s="12" t="s">
        <v>499</v>
      </c>
      <c r="E188" s="13">
        <v>45951</v>
      </c>
      <c r="F188" s="84">
        <v>256779418480</v>
      </c>
      <c r="G188" s="12" t="s">
        <v>11</v>
      </c>
      <c r="H188" s="14">
        <v>13.59</v>
      </c>
      <c r="I188" s="12" t="s">
        <v>56</v>
      </c>
      <c r="J188" s="14">
        <v>1198.51</v>
      </c>
      <c r="K188" s="12" t="s">
        <v>643</v>
      </c>
    </row>
    <row r="189" spans="1:11" x14ac:dyDescent="0.35">
      <c r="A189" s="12" t="s">
        <v>495</v>
      </c>
      <c r="B189" s="15">
        <v>2025</v>
      </c>
      <c r="C189" s="13">
        <v>45951</v>
      </c>
      <c r="D189" s="12" t="s">
        <v>499</v>
      </c>
      <c r="E189" s="13">
        <v>45951</v>
      </c>
      <c r="F189" s="84">
        <v>256779418489</v>
      </c>
      <c r="G189" s="12" t="s">
        <v>11</v>
      </c>
      <c r="H189" s="14">
        <v>562.38</v>
      </c>
      <c r="I189" s="12" t="s">
        <v>56</v>
      </c>
      <c r="J189" s="14">
        <v>49596.73</v>
      </c>
      <c r="K189" s="12" t="s">
        <v>642</v>
      </c>
    </row>
    <row r="190" spans="1:11" x14ac:dyDescent="0.35">
      <c r="A190" s="12" t="s">
        <v>495</v>
      </c>
      <c r="B190" s="15">
        <v>2025</v>
      </c>
      <c r="C190" s="13">
        <v>45951</v>
      </c>
      <c r="D190" s="12" t="s">
        <v>499</v>
      </c>
      <c r="E190" s="13">
        <v>45951</v>
      </c>
      <c r="F190" s="84">
        <v>256779418495</v>
      </c>
      <c r="G190" s="12" t="s">
        <v>11</v>
      </c>
      <c r="H190" s="14">
        <v>13.59</v>
      </c>
      <c r="I190" s="12" t="s">
        <v>56</v>
      </c>
      <c r="J190" s="14">
        <v>1198.51</v>
      </c>
      <c r="K190" s="12" t="s">
        <v>643</v>
      </c>
    </row>
    <row r="191" spans="1:11" x14ac:dyDescent="0.35">
      <c r="A191" s="12" t="s">
        <v>495</v>
      </c>
      <c r="B191" s="15">
        <v>2025</v>
      </c>
      <c r="C191" s="13">
        <v>45735</v>
      </c>
      <c r="D191" s="12" t="s">
        <v>499</v>
      </c>
      <c r="E191" s="13">
        <v>45735</v>
      </c>
      <c r="F191" s="84">
        <v>246779412994</v>
      </c>
      <c r="G191" s="12" t="s">
        <v>11</v>
      </c>
      <c r="H191" s="14">
        <v>2297.27</v>
      </c>
      <c r="I191" s="12" t="s">
        <v>56</v>
      </c>
      <c r="J191" s="14">
        <v>199153.23</v>
      </c>
      <c r="K191" s="12" t="s">
        <v>644</v>
      </c>
    </row>
    <row r="192" spans="1:11" x14ac:dyDescent="0.35">
      <c r="A192" s="12" t="s">
        <v>495</v>
      </c>
      <c r="B192" s="15">
        <v>2025</v>
      </c>
      <c r="C192" s="13">
        <v>45735</v>
      </c>
      <c r="D192" s="12" t="s">
        <v>499</v>
      </c>
      <c r="E192" s="13">
        <v>45735</v>
      </c>
      <c r="F192" s="84">
        <v>246779413023</v>
      </c>
      <c r="G192" s="12" t="s">
        <v>11</v>
      </c>
      <c r="H192" s="14">
        <v>91.89</v>
      </c>
      <c r="I192" s="12" t="s">
        <v>56</v>
      </c>
      <c r="J192" s="14">
        <v>7966.06</v>
      </c>
      <c r="K192" s="12" t="s">
        <v>644</v>
      </c>
    </row>
    <row r="193" spans="1:11" x14ac:dyDescent="0.35">
      <c r="A193" s="12" t="s">
        <v>495</v>
      </c>
      <c r="B193" s="15">
        <v>2025</v>
      </c>
      <c r="C193" s="13">
        <v>45735</v>
      </c>
      <c r="D193" s="12" t="s">
        <v>499</v>
      </c>
      <c r="E193" s="13">
        <v>45735</v>
      </c>
      <c r="F193" s="84">
        <v>246779413024</v>
      </c>
      <c r="G193" s="12" t="s">
        <v>11</v>
      </c>
      <c r="H193" s="14">
        <v>50.54</v>
      </c>
      <c r="I193" s="12" t="s">
        <v>56</v>
      </c>
      <c r="J193" s="14">
        <v>4381.38</v>
      </c>
      <c r="K193" s="12" t="s">
        <v>644</v>
      </c>
    </row>
    <row r="194" spans="1:11" x14ac:dyDescent="0.35">
      <c r="A194" s="12" t="s">
        <v>495</v>
      </c>
      <c r="B194" s="15">
        <v>2025</v>
      </c>
      <c r="C194" s="13">
        <v>45735</v>
      </c>
      <c r="D194" s="12" t="s">
        <v>499</v>
      </c>
      <c r="E194" s="13">
        <v>45735</v>
      </c>
      <c r="F194" s="84">
        <v>246779413202</v>
      </c>
      <c r="G194" s="12" t="s">
        <v>11</v>
      </c>
      <c r="H194" s="14">
        <v>39.06</v>
      </c>
      <c r="I194" s="12" t="s">
        <v>56</v>
      </c>
      <c r="J194" s="14">
        <v>3386.16</v>
      </c>
      <c r="K194" s="12" t="s">
        <v>645</v>
      </c>
    </row>
    <row r="195" spans="1:11" x14ac:dyDescent="0.35">
      <c r="A195" s="12" t="s">
        <v>495</v>
      </c>
      <c r="B195" s="15">
        <v>2025</v>
      </c>
      <c r="C195" s="13">
        <v>45735</v>
      </c>
      <c r="D195" s="12" t="s">
        <v>499</v>
      </c>
      <c r="E195" s="13">
        <v>45735</v>
      </c>
      <c r="F195" s="84">
        <v>246779413317</v>
      </c>
      <c r="G195" s="12" t="s">
        <v>11</v>
      </c>
      <c r="H195" s="14">
        <v>20.100000000000001</v>
      </c>
      <c r="I195" s="12" t="s">
        <v>56</v>
      </c>
      <c r="J195" s="14">
        <v>1742.49</v>
      </c>
      <c r="K195" s="12" t="s">
        <v>646</v>
      </c>
    </row>
    <row r="196" spans="1:11" x14ac:dyDescent="0.35">
      <c r="A196" s="12" t="s">
        <v>495</v>
      </c>
      <c r="B196" s="15">
        <v>2025</v>
      </c>
      <c r="C196" s="13">
        <v>45827</v>
      </c>
      <c r="D196" s="12" t="s">
        <v>499</v>
      </c>
      <c r="E196" s="13">
        <v>45827</v>
      </c>
      <c r="F196" s="84">
        <v>256779414741</v>
      </c>
      <c r="G196" s="12" t="s">
        <v>11</v>
      </c>
      <c r="H196" s="14">
        <v>579.79</v>
      </c>
      <c r="I196" s="12" t="s">
        <v>56</v>
      </c>
      <c r="J196" s="14">
        <v>49566.7</v>
      </c>
      <c r="K196" s="12" t="s">
        <v>647</v>
      </c>
    </row>
    <row r="197" spans="1:11" x14ac:dyDescent="0.35">
      <c r="A197" s="12" t="s">
        <v>495</v>
      </c>
      <c r="B197" s="15">
        <v>2025</v>
      </c>
      <c r="C197" s="13">
        <v>45981</v>
      </c>
      <c r="D197" s="12" t="s">
        <v>499</v>
      </c>
      <c r="E197" s="13">
        <v>45981</v>
      </c>
      <c r="F197" s="84">
        <v>256779419620</v>
      </c>
      <c r="G197" s="12" t="s">
        <v>11</v>
      </c>
      <c r="H197" s="14">
        <v>102.39</v>
      </c>
      <c r="I197" s="12" t="s">
        <v>56</v>
      </c>
      <c r="J197" s="14">
        <v>9010.67</v>
      </c>
      <c r="K197" s="12" t="s">
        <v>648</v>
      </c>
    </row>
    <row r="198" spans="1:11" x14ac:dyDescent="0.35">
      <c r="A198" s="12" t="s">
        <v>495</v>
      </c>
      <c r="B198" s="15">
        <v>2025</v>
      </c>
      <c r="C198" s="13">
        <v>45981</v>
      </c>
      <c r="D198" s="12" t="s">
        <v>499</v>
      </c>
      <c r="E198" s="13">
        <v>45981</v>
      </c>
      <c r="F198" s="84">
        <v>256779419531</v>
      </c>
      <c r="G198" s="12" t="s">
        <v>11</v>
      </c>
      <c r="H198" s="14">
        <v>417.77</v>
      </c>
      <c r="I198" s="12" t="s">
        <v>56</v>
      </c>
      <c r="J198" s="14">
        <v>36765.18</v>
      </c>
      <c r="K198" s="12" t="s">
        <v>649</v>
      </c>
    </row>
    <row r="199" spans="1:11" x14ac:dyDescent="0.35">
      <c r="A199" s="12" t="s">
        <v>495</v>
      </c>
      <c r="B199" s="15">
        <v>2025</v>
      </c>
      <c r="C199" s="13">
        <v>45981</v>
      </c>
      <c r="D199" s="12" t="s">
        <v>499</v>
      </c>
      <c r="E199" s="13">
        <v>45981</v>
      </c>
      <c r="F199" s="84">
        <v>256779419542</v>
      </c>
      <c r="G199" s="12" t="s">
        <v>11</v>
      </c>
      <c r="H199" s="14">
        <v>409.4</v>
      </c>
      <c r="I199" s="12" t="s">
        <v>56</v>
      </c>
      <c r="J199" s="14">
        <v>36028.589999999997</v>
      </c>
      <c r="K199" s="12" t="s">
        <v>650</v>
      </c>
    </row>
    <row r="200" spans="1:11" x14ac:dyDescent="0.35">
      <c r="A200" s="12" t="s">
        <v>495</v>
      </c>
      <c r="B200" s="15">
        <v>2025</v>
      </c>
      <c r="C200" s="13">
        <v>45981</v>
      </c>
      <c r="D200" s="12" t="s">
        <v>499</v>
      </c>
      <c r="E200" s="13">
        <v>45981</v>
      </c>
      <c r="F200" s="84">
        <v>256779419581</v>
      </c>
      <c r="G200" s="12" t="s">
        <v>11</v>
      </c>
      <c r="H200" s="14">
        <v>156.19999999999999</v>
      </c>
      <c r="I200" s="12" t="s">
        <v>56</v>
      </c>
      <c r="J200" s="14">
        <v>13746.13</v>
      </c>
      <c r="K200" s="12" t="s">
        <v>651</v>
      </c>
    </row>
    <row r="201" spans="1:11" x14ac:dyDescent="0.35">
      <c r="A201" s="12" t="s">
        <v>495</v>
      </c>
      <c r="B201" s="15">
        <v>2025</v>
      </c>
      <c r="C201" s="13">
        <v>45769</v>
      </c>
      <c r="D201" s="12" t="s">
        <v>499</v>
      </c>
      <c r="E201" s="13">
        <v>45769</v>
      </c>
      <c r="F201" s="84">
        <v>256779412524</v>
      </c>
      <c r="G201" s="12" t="s">
        <v>11</v>
      </c>
      <c r="H201" s="14">
        <v>36.5</v>
      </c>
      <c r="I201" s="12" t="s">
        <v>56</v>
      </c>
      <c r="J201" s="14">
        <v>3172.65</v>
      </c>
      <c r="K201" s="12" t="s">
        <v>575</v>
      </c>
    </row>
    <row r="202" spans="1:11" x14ac:dyDescent="0.35">
      <c r="A202" s="12" t="s">
        <v>495</v>
      </c>
      <c r="B202" s="15">
        <v>2025</v>
      </c>
      <c r="C202" s="13">
        <v>45769</v>
      </c>
      <c r="D202" s="12" t="s">
        <v>499</v>
      </c>
      <c r="E202" s="13">
        <v>45769</v>
      </c>
      <c r="F202" s="84">
        <v>256779412529</v>
      </c>
      <c r="G202" s="12" t="s">
        <v>11</v>
      </c>
      <c r="H202" s="14">
        <v>29.57</v>
      </c>
      <c r="I202" s="12" t="s">
        <v>56</v>
      </c>
      <c r="J202" s="14">
        <v>2570.2800000000002</v>
      </c>
      <c r="K202" s="12" t="s">
        <v>575</v>
      </c>
    </row>
    <row r="203" spans="1:11" x14ac:dyDescent="0.35">
      <c r="A203" s="12" t="s">
        <v>495</v>
      </c>
      <c r="B203" s="15">
        <v>2025</v>
      </c>
      <c r="C203" s="13">
        <v>45769</v>
      </c>
      <c r="D203" s="12" t="s">
        <v>499</v>
      </c>
      <c r="E203" s="13">
        <v>45769</v>
      </c>
      <c r="F203" s="84">
        <v>256779412536</v>
      </c>
      <c r="G203" s="12" t="s">
        <v>11</v>
      </c>
      <c r="H203" s="14">
        <v>37.020000000000003</v>
      </c>
      <c r="I203" s="12" t="s">
        <v>56</v>
      </c>
      <c r="J203" s="14">
        <v>3217.85</v>
      </c>
      <c r="K203" s="12" t="s">
        <v>575</v>
      </c>
    </row>
    <row r="204" spans="1:11" x14ac:dyDescent="0.35">
      <c r="A204" s="12" t="s">
        <v>495</v>
      </c>
      <c r="B204" s="15">
        <v>2025</v>
      </c>
      <c r="C204" s="13">
        <v>45769</v>
      </c>
      <c r="D204" s="12" t="s">
        <v>499</v>
      </c>
      <c r="E204" s="13">
        <v>45769</v>
      </c>
      <c r="F204" s="84">
        <v>256779412537</v>
      </c>
      <c r="G204" s="12" t="s">
        <v>11</v>
      </c>
      <c r="H204" s="14">
        <v>407.58</v>
      </c>
      <c r="I204" s="12" t="s">
        <v>56</v>
      </c>
      <c r="J204" s="14">
        <v>35427.599999999999</v>
      </c>
      <c r="K204" s="12" t="s">
        <v>575</v>
      </c>
    </row>
    <row r="205" spans="1:11" x14ac:dyDescent="0.35">
      <c r="A205" s="12" t="s">
        <v>495</v>
      </c>
      <c r="B205" s="15">
        <v>2025</v>
      </c>
      <c r="C205" s="13">
        <v>45769</v>
      </c>
      <c r="D205" s="12" t="s">
        <v>499</v>
      </c>
      <c r="E205" s="13">
        <v>45769</v>
      </c>
      <c r="F205" s="84">
        <v>256779412562</v>
      </c>
      <c r="G205" s="12" t="s">
        <v>11</v>
      </c>
      <c r="H205" s="14">
        <v>54.65</v>
      </c>
      <c r="I205" s="12" t="s">
        <v>56</v>
      </c>
      <c r="J205" s="14">
        <v>4750.28</v>
      </c>
      <c r="K205" s="12" t="s">
        <v>575</v>
      </c>
    </row>
    <row r="206" spans="1:11" x14ac:dyDescent="0.35">
      <c r="A206" s="12" t="s">
        <v>495</v>
      </c>
      <c r="B206" s="15">
        <v>2025</v>
      </c>
      <c r="C206" s="13">
        <v>45769</v>
      </c>
      <c r="D206" s="12" t="s">
        <v>499</v>
      </c>
      <c r="E206" s="13">
        <v>45769</v>
      </c>
      <c r="F206" s="84">
        <v>256779412563</v>
      </c>
      <c r="G206" s="12" t="s">
        <v>11</v>
      </c>
      <c r="H206" s="14">
        <v>27</v>
      </c>
      <c r="I206" s="12" t="s">
        <v>56</v>
      </c>
      <c r="J206" s="14">
        <v>2346.89</v>
      </c>
      <c r="K206" s="12" t="s">
        <v>575</v>
      </c>
    </row>
    <row r="207" spans="1:11" x14ac:dyDescent="0.35">
      <c r="A207" s="12" t="s">
        <v>495</v>
      </c>
      <c r="B207" s="15">
        <v>2025</v>
      </c>
      <c r="C207" s="13">
        <v>45769</v>
      </c>
      <c r="D207" s="12" t="s">
        <v>499</v>
      </c>
      <c r="E207" s="13">
        <v>45769</v>
      </c>
      <c r="F207" s="84">
        <v>256779412564</v>
      </c>
      <c r="G207" s="12" t="s">
        <v>11</v>
      </c>
      <c r="H207" s="14">
        <v>55.2</v>
      </c>
      <c r="I207" s="12" t="s">
        <v>56</v>
      </c>
      <c r="J207" s="14">
        <v>4798.08</v>
      </c>
      <c r="K207" s="12" t="s">
        <v>575</v>
      </c>
    </row>
    <row r="208" spans="1:11" x14ac:dyDescent="0.35">
      <c r="A208" s="12" t="s">
        <v>495</v>
      </c>
      <c r="B208" s="15">
        <v>2025</v>
      </c>
      <c r="C208" s="13">
        <v>45769</v>
      </c>
      <c r="D208" s="12" t="s">
        <v>499</v>
      </c>
      <c r="E208" s="13">
        <v>45769</v>
      </c>
      <c r="F208" s="84">
        <v>256779412570</v>
      </c>
      <c r="G208" s="12" t="s">
        <v>11</v>
      </c>
      <c r="H208" s="14">
        <v>43.38</v>
      </c>
      <c r="I208" s="12" t="s">
        <v>56</v>
      </c>
      <c r="J208" s="14">
        <v>3770.67</v>
      </c>
      <c r="K208" s="12" t="s">
        <v>575</v>
      </c>
    </row>
    <row r="209" spans="1:11" x14ac:dyDescent="0.35">
      <c r="A209" s="12" t="s">
        <v>495</v>
      </c>
      <c r="B209" s="15">
        <v>2025</v>
      </c>
      <c r="C209" s="13">
        <v>45769</v>
      </c>
      <c r="D209" s="12" t="s">
        <v>499</v>
      </c>
      <c r="E209" s="13">
        <v>45769</v>
      </c>
      <c r="F209" s="84">
        <v>256779412576</v>
      </c>
      <c r="G209" s="12" t="s">
        <v>11</v>
      </c>
      <c r="H209" s="14">
        <v>46</v>
      </c>
      <c r="I209" s="12" t="s">
        <v>56</v>
      </c>
      <c r="J209" s="14">
        <v>3998.4</v>
      </c>
      <c r="K209" s="12" t="s">
        <v>575</v>
      </c>
    </row>
    <row r="210" spans="1:11" x14ac:dyDescent="0.35">
      <c r="A210" s="12" t="s">
        <v>495</v>
      </c>
      <c r="B210" s="15">
        <v>2025</v>
      </c>
      <c r="C210" s="13">
        <v>45769</v>
      </c>
      <c r="D210" s="12" t="s">
        <v>499</v>
      </c>
      <c r="E210" s="13">
        <v>45769</v>
      </c>
      <c r="F210" s="84">
        <v>256779412577</v>
      </c>
      <c r="G210" s="12" t="s">
        <v>11</v>
      </c>
      <c r="H210" s="14">
        <v>46</v>
      </c>
      <c r="I210" s="12" t="s">
        <v>56</v>
      </c>
      <c r="J210" s="14">
        <v>3998.4</v>
      </c>
      <c r="K210" s="12" t="s">
        <v>575</v>
      </c>
    </row>
    <row r="211" spans="1:11" x14ac:dyDescent="0.35">
      <c r="A211" s="12" t="s">
        <v>495</v>
      </c>
      <c r="B211" s="15">
        <v>2025</v>
      </c>
      <c r="C211" s="13">
        <v>45769</v>
      </c>
      <c r="D211" s="12" t="s">
        <v>499</v>
      </c>
      <c r="E211" s="13">
        <v>45769</v>
      </c>
      <c r="F211" s="84">
        <v>256779412579</v>
      </c>
      <c r="G211" s="12" t="s">
        <v>11</v>
      </c>
      <c r="H211" s="14">
        <v>57.6</v>
      </c>
      <c r="I211" s="12" t="s">
        <v>56</v>
      </c>
      <c r="J211" s="14">
        <v>5006.7</v>
      </c>
      <c r="K211" s="12" t="s">
        <v>575</v>
      </c>
    </row>
    <row r="212" spans="1:11" x14ac:dyDescent="0.35">
      <c r="A212" s="12" t="s">
        <v>495</v>
      </c>
      <c r="B212" s="15">
        <v>2025</v>
      </c>
      <c r="C212" s="13">
        <v>45769</v>
      </c>
      <c r="D212" s="12" t="s">
        <v>499</v>
      </c>
      <c r="E212" s="13">
        <v>45769</v>
      </c>
      <c r="F212" s="84">
        <v>256779412580</v>
      </c>
      <c r="G212" s="12" t="s">
        <v>11</v>
      </c>
      <c r="H212" s="14">
        <v>40.5</v>
      </c>
      <c r="I212" s="12" t="s">
        <v>56</v>
      </c>
      <c r="J212" s="14">
        <v>3520.33</v>
      </c>
      <c r="K212" s="12" t="s">
        <v>575</v>
      </c>
    </row>
    <row r="213" spans="1:11" x14ac:dyDescent="0.35">
      <c r="A213" s="12" t="s">
        <v>495</v>
      </c>
      <c r="B213" s="15">
        <v>2025</v>
      </c>
      <c r="C213" s="13">
        <v>45769</v>
      </c>
      <c r="D213" s="12" t="s">
        <v>499</v>
      </c>
      <c r="E213" s="13">
        <v>45769</v>
      </c>
      <c r="F213" s="84">
        <v>256779412581</v>
      </c>
      <c r="G213" s="12" t="s">
        <v>11</v>
      </c>
      <c r="H213" s="14">
        <v>51.5</v>
      </c>
      <c r="I213" s="12" t="s">
        <v>56</v>
      </c>
      <c r="J213" s="14">
        <v>4476.47</v>
      </c>
      <c r="K213" s="12" t="s">
        <v>575</v>
      </c>
    </row>
    <row r="214" spans="1:11" x14ac:dyDescent="0.35">
      <c r="A214" s="12" t="s">
        <v>495</v>
      </c>
      <c r="B214" s="15">
        <v>2025</v>
      </c>
      <c r="C214" s="13">
        <v>45769</v>
      </c>
      <c r="D214" s="12" t="s">
        <v>499</v>
      </c>
      <c r="E214" s="13">
        <v>45769</v>
      </c>
      <c r="F214" s="84">
        <v>256779412583</v>
      </c>
      <c r="G214" s="12" t="s">
        <v>11</v>
      </c>
      <c r="H214" s="14">
        <v>51.75</v>
      </c>
      <c r="I214" s="12" t="s">
        <v>56</v>
      </c>
      <c r="J214" s="14">
        <v>4498.2</v>
      </c>
      <c r="K214" s="12" t="s">
        <v>575</v>
      </c>
    </row>
    <row r="215" spans="1:11" x14ac:dyDescent="0.35">
      <c r="A215" s="12" t="s">
        <v>495</v>
      </c>
      <c r="B215" s="15">
        <v>2025</v>
      </c>
      <c r="C215" s="13">
        <v>45769</v>
      </c>
      <c r="D215" s="12" t="s">
        <v>499</v>
      </c>
      <c r="E215" s="13">
        <v>45769</v>
      </c>
      <c r="F215" s="84">
        <v>256779412585</v>
      </c>
      <c r="G215" s="12" t="s">
        <v>11</v>
      </c>
      <c r="H215" s="14">
        <v>48.75</v>
      </c>
      <c r="I215" s="12" t="s">
        <v>56</v>
      </c>
      <c r="J215" s="14">
        <v>4237.4399999999996</v>
      </c>
      <c r="K215" s="12" t="s">
        <v>575</v>
      </c>
    </row>
    <row r="216" spans="1:11" x14ac:dyDescent="0.35">
      <c r="A216" s="12" t="s">
        <v>495</v>
      </c>
      <c r="B216" s="15">
        <v>2025</v>
      </c>
      <c r="C216" s="13">
        <v>45769</v>
      </c>
      <c r="D216" s="12" t="s">
        <v>499</v>
      </c>
      <c r="E216" s="13">
        <v>45769</v>
      </c>
      <c r="F216" s="84">
        <v>256779412586</v>
      </c>
      <c r="G216" s="12" t="s">
        <v>11</v>
      </c>
      <c r="H216" s="14">
        <v>51.5</v>
      </c>
      <c r="I216" s="12" t="s">
        <v>56</v>
      </c>
      <c r="J216" s="14">
        <v>4476.47</v>
      </c>
      <c r="K216" s="12" t="s">
        <v>575</v>
      </c>
    </row>
    <row r="217" spans="1:11" x14ac:dyDescent="0.35">
      <c r="A217" s="12" t="s">
        <v>495</v>
      </c>
      <c r="B217" s="15">
        <v>2025</v>
      </c>
      <c r="C217" s="13">
        <v>45769</v>
      </c>
      <c r="D217" s="12" t="s">
        <v>499</v>
      </c>
      <c r="E217" s="13">
        <v>45769</v>
      </c>
      <c r="F217" s="84">
        <v>256779412609</v>
      </c>
      <c r="G217" s="12" t="s">
        <v>11</v>
      </c>
      <c r="H217" s="14">
        <v>700.06</v>
      </c>
      <c r="I217" s="12" t="s">
        <v>56</v>
      </c>
      <c r="J217" s="14">
        <v>60850.49</v>
      </c>
      <c r="K217" s="12" t="s">
        <v>652</v>
      </c>
    </row>
    <row r="218" spans="1:11" x14ac:dyDescent="0.35">
      <c r="A218" s="12" t="s">
        <v>495</v>
      </c>
      <c r="B218" s="15">
        <v>2025</v>
      </c>
      <c r="C218" s="13">
        <v>45769</v>
      </c>
      <c r="D218" s="12" t="s">
        <v>499</v>
      </c>
      <c r="E218" s="13">
        <v>45769</v>
      </c>
      <c r="F218" s="84">
        <v>256779412649</v>
      </c>
      <c r="G218" s="12" t="s">
        <v>11</v>
      </c>
      <c r="H218" s="14">
        <v>79.650000000000006</v>
      </c>
      <c r="I218" s="12" t="s">
        <v>56</v>
      </c>
      <c r="J218" s="14">
        <v>6923.32</v>
      </c>
      <c r="K218" s="12" t="s">
        <v>653</v>
      </c>
    </row>
    <row r="219" spans="1:11" x14ac:dyDescent="0.35">
      <c r="A219" s="12" t="s">
        <v>495</v>
      </c>
      <c r="B219" s="15">
        <v>2025</v>
      </c>
      <c r="C219" s="13">
        <v>45918</v>
      </c>
      <c r="D219" s="12" t="s">
        <v>499</v>
      </c>
      <c r="E219" s="13">
        <v>45918</v>
      </c>
      <c r="F219" s="84">
        <v>256779417517</v>
      </c>
      <c r="G219" s="12" t="s">
        <v>11</v>
      </c>
      <c r="H219" s="14">
        <v>4.68</v>
      </c>
      <c r="I219" s="12" t="s">
        <v>56</v>
      </c>
      <c r="J219" s="14">
        <v>409.57</v>
      </c>
      <c r="K219" s="12" t="s">
        <v>654</v>
      </c>
    </row>
    <row r="220" spans="1:11" x14ac:dyDescent="0.35">
      <c r="A220" s="12" t="s">
        <v>495</v>
      </c>
      <c r="B220" s="15">
        <v>2025</v>
      </c>
      <c r="C220" s="13">
        <v>45918</v>
      </c>
      <c r="D220" s="12" t="s">
        <v>499</v>
      </c>
      <c r="E220" s="13">
        <v>45918</v>
      </c>
      <c r="F220" s="84">
        <v>256779417557</v>
      </c>
      <c r="G220" s="12" t="s">
        <v>11</v>
      </c>
      <c r="H220" s="14">
        <v>725.96</v>
      </c>
      <c r="I220" s="12" t="s">
        <v>56</v>
      </c>
      <c r="J220" s="14">
        <v>63531.9</v>
      </c>
      <c r="K220" s="12" t="s">
        <v>655</v>
      </c>
    </row>
    <row r="221" spans="1:11" x14ac:dyDescent="0.35">
      <c r="A221" s="12" t="s">
        <v>495</v>
      </c>
      <c r="B221" s="15">
        <v>2025</v>
      </c>
      <c r="C221" s="13">
        <v>45918</v>
      </c>
      <c r="D221" s="12" t="s">
        <v>499</v>
      </c>
      <c r="E221" s="13">
        <v>45918</v>
      </c>
      <c r="F221" s="84">
        <v>256779417580</v>
      </c>
      <c r="G221" s="12" t="s">
        <v>11</v>
      </c>
      <c r="H221" s="14">
        <v>184.38</v>
      </c>
      <c r="I221" s="12" t="s">
        <v>56</v>
      </c>
      <c r="J221" s="14">
        <v>16135.89</v>
      </c>
      <c r="K221" s="12" t="s">
        <v>656</v>
      </c>
    </row>
    <row r="222" spans="1:11" x14ac:dyDescent="0.35">
      <c r="A222" s="12" t="s">
        <v>495</v>
      </c>
      <c r="B222" s="15">
        <v>2025</v>
      </c>
      <c r="C222" s="13">
        <v>45918</v>
      </c>
      <c r="D222" s="12" t="s">
        <v>499</v>
      </c>
      <c r="E222" s="13">
        <v>45918</v>
      </c>
      <c r="F222" s="84">
        <v>256779417597</v>
      </c>
      <c r="G222" s="12" t="s">
        <v>11</v>
      </c>
      <c r="H222" s="14">
        <v>1055.04</v>
      </c>
      <c r="I222" s="12" t="s">
        <v>56</v>
      </c>
      <c r="J222" s="14">
        <v>92331.12</v>
      </c>
      <c r="K222" s="12" t="s">
        <v>657</v>
      </c>
    </row>
    <row r="223" spans="1:11" x14ac:dyDescent="0.35">
      <c r="A223" s="12" t="s">
        <v>495</v>
      </c>
      <c r="B223" s="15">
        <v>2025</v>
      </c>
      <c r="C223" s="13">
        <v>45996</v>
      </c>
      <c r="D223" s="12" t="s">
        <v>499</v>
      </c>
      <c r="E223" s="13">
        <v>45996</v>
      </c>
      <c r="F223" s="84">
        <v>256779419808</v>
      </c>
      <c r="G223" s="12" t="s">
        <v>11</v>
      </c>
      <c r="H223" s="14">
        <v>27.95</v>
      </c>
      <c r="I223" s="12" t="s">
        <v>56</v>
      </c>
      <c r="J223" s="14">
        <v>2479.17</v>
      </c>
      <c r="K223" s="12" t="s">
        <v>658</v>
      </c>
    </row>
    <row r="224" spans="1:11" x14ac:dyDescent="0.35">
      <c r="A224" s="12" t="s">
        <v>495</v>
      </c>
      <c r="B224" s="15">
        <v>2025</v>
      </c>
      <c r="C224" s="13">
        <v>45996</v>
      </c>
      <c r="D224" s="12" t="s">
        <v>499</v>
      </c>
      <c r="E224" s="13">
        <v>45996</v>
      </c>
      <c r="F224" s="84">
        <v>256779419908</v>
      </c>
      <c r="G224" s="12" t="s">
        <v>11</v>
      </c>
      <c r="H224" s="14">
        <v>375.94</v>
      </c>
      <c r="I224" s="12" t="s">
        <v>56</v>
      </c>
      <c r="J224" s="14">
        <v>33345.93</v>
      </c>
      <c r="K224" s="12" t="s">
        <v>659</v>
      </c>
    </row>
    <row r="225" spans="1:11" x14ac:dyDescent="0.35">
      <c r="A225" s="12" t="s">
        <v>495</v>
      </c>
      <c r="B225" s="15">
        <v>2025</v>
      </c>
      <c r="C225" s="13">
        <v>45799</v>
      </c>
      <c r="D225" s="12" t="s">
        <v>496</v>
      </c>
      <c r="E225" s="13">
        <v>45799</v>
      </c>
      <c r="F225" s="84">
        <v>256779420844</v>
      </c>
      <c r="G225" s="12" t="s">
        <v>56</v>
      </c>
      <c r="H225" s="14">
        <v>-262.20999999999998</v>
      </c>
      <c r="I225" s="12" t="s">
        <v>56</v>
      </c>
      <c r="J225" s="14">
        <v>-262.20999999999998</v>
      </c>
      <c r="K225" s="12" t="s">
        <v>660</v>
      </c>
    </row>
    <row r="226" spans="1:11" x14ac:dyDescent="0.35">
      <c r="A226" s="12" t="s">
        <v>495</v>
      </c>
      <c r="B226" s="15">
        <v>2025</v>
      </c>
      <c r="C226" s="13">
        <v>45799</v>
      </c>
      <c r="D226" s="12" t="s">
        <v>496</v>
      </c>
      <c r="E226" s="13">
        <v>45799</v>
      </c>
      <c r="F226" s="84">
        <v>256779420845</v>
      </c>
      <c r="G226" s="12" t="s">
        <v>11</v>
      </c>
      <c r="H226" s="14">
        <v>-466.37</v>
      </c>
      <c r="I226" s="12" t="s">
        <v>56</v>
      </c>
      <c r="J226" s="14">
        <v>-40430.199999999997</v>
      </c>
      <c r="K226" s="12" t="s">
        <v>661</v>
      </c>
    </row>
    <row r="227" spans="1:11" x14ac:dyDescent="0.35">
      <c r="A227" s="12" t="s">
        <v>495</v>
      </c>
      <c r="B227" s="15">
        <v>2025</v>
      </c>
      <c r="C227" s="13">
        <v>45922</v>
      </c>
      <c r="D227" s="12" t="s">
        <v>499</v>
      </c>
      <c r="E227" s="13">
        <v>45922</v>
      </c>
      <c r="F227" s="84">
        <v>256779417744</v>
      </c>
      <c r="G227" s="12" t="s">
        <v>11</v>
      </c>
      <c r="H227" s="14">
        <v>870</v>
      </c>
      <c r="I227" s="12" t="s">
        <v>56</v>
      </c>
      <c r="J227" s="14">
        <v>76137.47</v>
      </c>
      <c r="K227" s="12" t="s">
        <v>662</v>
      </c>
    </row>
    <row r="228" spans="1:11" x14ac:dyDescent="0.35">
      <c r="A228" s="12" t="s">
        <v>495</v>
      </c>
      <c r="B228" s="15">
        <v>2025</v>
      </c>
      <c r="C228" s="13">
        <v>45922</v>
      </c>
      <c r="D228" s="12" t="s">
        <v>499</v>
      </c>
      <c r="E228" s="13">
        <v>45922</v>
      </c>
      <c r="F228" s="84">
        <v>256779417801</v>
      </c>
      <c r="G228" s="12" t="s">
        <v>11</v>
      </c>
      <c r="H228" s="14">
        <v>4755.47</v>
      </c>
      <c r="I228" s="12" t="s">
        <v>56</v>
      </c>
      <c r="J228" s="14">
        <v>416171.77</v>
      </c>
      <c r="K228" s="12" t="s">
        <v>663</v>
      </c>
    </row>
    <row r="229" spans="1:11" x14ac:dyDescent="0.35">
      <c r="A229" s="12" t="s">
        <v>495</v>
      </c>
      <c r="B229" s="15">
        <v>2025</v>
      </c>
      <c r="C229" s="13">
        <v>45770</v>
      </c>
      <c r="D229" s="12" t="s">
        <v>499</v>
      </c>
      <c r="E229" s="13">
        <v>45770</v>
      </c>
      <c r="F229" s="84">
        <v>256779412884</v>
      </c>
      <c r="G229" s="12" t="s">
        <v>11</v>
      </c>
      <c r="H229" s="14">
        <v>136.08000000000001</v>
      </c>
      <c r="I229" s="12" t="s">
        <v>56</v>
      </c>
      <c r="J229" s="14">
        <v>11828.32</v>
      </c>
      <c r="K229" s="12" t="s">
        <v>664</v>
      </c>
    </row>
    <row r="230" spans="1:11" x14ac:dyDescent="0.35">
      <c r="A230" s="12" t="s">
        <v>495</v>
      </c>
      <c r="B230" s="15">
        <v>2025</v>
      </c>
      <c r="C230" s="13">
        <v>45770</v>
      </c>
      <c r="D230" s="12" t="s">
        <v>499</v>
      </c>
      <c r="E230" s="13">
        <v>45770</v>
      </c>
      <c r="F230" s="84">
        <v>256779412918</v>
      </c>
      <c r="G230" s="12" t="s">
        <v>11</v>
      </c>
      <c r="H230" s="14">
        <v>183.35</v>
      </c>
      <c r="I230" s="12" t="s">
        <v>56</v>
      </c>
      <c r="J230" s="14">
        <v>15937.12</v>
      </c>
      <c r="K230" s="12" t="s">
        <v>665</v>
      </c>
    </row>
    <row r="231" spans="1:11" x14ac:dyDescent="0.35">
      <c r="A231" s="12" t="s">
        <v>495</v>
      </c>
      <c r="B231" s="15">
        <v>2025</v>
      </c>
      <c r="C231" s="13">
        <v>45770</v>
      </c>
      <c r="D231" s="12" t="s">
        <v>499</v>
      </c>
      <c r="E231" s="13">
        <v>45770</v>
      </c>
      <c r="F231" s="84">
        <v>256779412948</v>
      </c>
      <c r="G231" s="12" t="s">
        <v>11</v>
      </c>
      <c r="H231" s="14">
        <v>3.1</v>
      </c>
      <c r="I231" s="12" t="s">
        <v>56</v>
      </c>
      <c r="J231" s="14">
        <v>269.45999999999998</v>
      </c>
      <c r="K231" s="12" t="s">
        <v>665</v>
      </c>
    </row>
    <row r="232" spans="1:11" x14ac:dyDescent="0.35">
      <c r="A232" s="12" t="s">
        <v>495</v>
      </c>
      <c r="B232" s="15">
        <v>2025</v>
      </c>
      <c r="C232" s="13">
        <v>45737</v>
      </c>
      <c r="D232" s="12" t="s">
        <v>499</v>
      </c>
      <c r="E232" s="13">
        <v>45737</v>
      </c>
      <c r="F232" s="84">
        <v>246779414296</v>
      </c>
      <c r="G232" s="12" t="s">
        <v>11</v>
      </c>
      <c r="H232" s="14">
        <v>553.87</v>
      </c>
      <c r="I232" s="12" t="s">
        <v>56</v>
      </c>
      <c r="J232" s="14">
        <v>48015.69</v>
      </c>
      <c r="K232" s="12" t="s">
        <v>666</v>
      </c>
    </row>
    <row r="233" spans="1:11" x14ac:dyDescent="0.35">
      <c r="A233" s="12" t="s">
        <v>495</v>
      </c>
      <c r="B233" s="15">
        <v>2025</v>
      </c>
      <c r="C233" s="13">
        <v>45737</v>
      </c>
      <c r="D233" s="12" t="s">
        <v>499</v>
      </c>
      <c r="E233" s="13">
        <v>45737</v>
      </c>
      <c r="F233" s="84">
        <v>246779414297</v>
      </c>
      <c r="G233" s="12" t="s">
        <v>11</v>
      </c>
      <c r="H233" s="14">
        <v>424.8</v>
      </c>
      <c r="I233" s="12" t="s">
        <v>56</v>
      </c>
      <c r="J233" s="14">
        <v>36826.449999999997</v>
      </c>
      <c r="K233" s="12" t="s">
        <v>667</v>
      </c>
    </row>
    <row r="234" spans="1:11" x14ac:dyDescent="0.35">
      <c r="A234" s="12" t="s">
        <v>495</v>
      </c>
      <c r="B234" s="15">
        <v>2025</v>
      </c>
      <c r="C234" s="13">
        <v>45737</v>
      </c>
      <c r="D234" s="12" t="s">
        <v>499</v>
      </c>
      <c r="E234" s="13">
        <v>45737</v>
      </c>
      <c r="F234" s="84">
        <v>246779414298</v>
      </c>
      <c r="G234" s="12" t="s">
        <v>11</v>
      </c>
      <c r="H234" s="14">
        <v>70.8</v>
      </c>
      <c r="I234" s="12" t="s">
        <v>56</v>
      </c>
      <c r="J234" s="14">
        <v>6137.74</v>
      </c>
      <c r="K234" s="12" t="s">
        <v>668</v>
      </c>
    </row>
    <row r="235" spans="1:11" x14ac:dyDescent="0.35">
      <c r="A235" s="12" t="s">
        <v>495</v>
      </c>
      <c r="B235" s="15">
        <v>2025</v>
      </c>
      <c r="C235" s="13">
        <v>45810</v>
      </c>
      <c r="D235" s="12" t="s">
        <v>499</v>
      </c>
      <c r="E235" s="13">
        <v>45810</v>
      </c>
      <c r="F235" s="84">
        <v>256779413931</v>
      </c>
      <c r="G235" s="12" t="s">
        <v>11</v>
      </c>
      <c r="H235" s="14">
        <v>395.23</v>
      </c>
      <c r="I235" s="12" t="s">
        <v>56</v>
      </c>
      <c r="J235" s="14">
        <v>33788.519999999997</v>
      </c>
      <c r="K235" s="12" t="s">
        <v>669</v>
      </c>
    </row>
    <row r="236" spans="1:11" x14ac:dyDescent="0.35">
      <c r="A236" s="12" t="s">
        <v>495</v>
      </c>
      <c r="B236" s="15">
        <v>2025</v>
      </c>
      <c r="C236" s="13">
        <v>45810</v>
      </c>
      <c r="D236" s="12" t="s">
        <v>499</v>
      </c>
      <c r="E236" s="13">
        <v>45810</v>
      </c>
      <c r="F236" s="84">
        <v>256779413972</v>
      </c>
      <c r="G236" s="12" t="s">
        <v>56</v>
      </c>
      <c r="H236" s="14">
        <v>262.20999999999998</v>
      </c>
      <c r="I236" s="12" t="s">
        <v>56</v>
      </c>
      <c r="J236" s="14">
        <v>262.20999999999998</v>
      </c>
      <c r="K236" s="12" t="s">
        <v>670</v>
      </c>
    </row>
    <row r="237" spans="1:11" x14ac:dyDescent="0.35">
      <c r="A237" s="12" t="s">
        <v>495</v>
      </c>
      <c r="B237" s="15">
        <v>2025</v>
      </c>
      <c r="C237" s="13">
        <v>45937</v>
      </c>
      <c r="D237" s="12" t="s">
        <v>499</v>
      </c>
      <c r="E237" s="13">
        <v>45937</v>
      </c>
      <c r="F237" s="84">
        <v>256779418176</v>
      </c>
      <c r="G237" s="12" t="s">
        <v>11</v>
      </c>
      <c r="H237" s="14">
        <v>639.04999999999995</v>
      </c>
      <c r="I237" s="12" t="s">
        <v>56</v>
      </c>
      <c r="J237" s="14">
        <v>56358.31</v>
      </c>
      <c r="K237" s="12" t="s">
        <v>671</v>
      </c>
    </row>
    <row r="238" spans="1:11" x14ac:dyDescent="0.35">
      <c r="A238" s="12" t="s">
        <v>495</v>
      </c>
      <c r="B238" s="15">
        <v>2025</v>
      </c>
      <c r="C238" s="13">
        <v>45937</v>
      </c>
      <c r="D238" s="12" t="s">
        <v>499</v>
      </c>
      <c r="E238" s="13">
        <v>45937</v>
      </c>
      <c r="F238" s="84">
        <v>256779418185</v>
      </c>
      <c r="G238" s="12" t="s">
        <v>11</v>
      </c>
      <c r="H238" s="14">
        <v>405.44</v>
      </c>
      <c r="I238" s="12" t="s">
        <v>56</v>
      </c>
      <c r="J238" s="14">
        <v>35756.07</v>
      </c>
      <c r="K238" s="12" t="s">
        <v>672</v>
      </c>
    </row>
    <row r="239" spans="1:11" x14ac:dyDescent="0.35">
      <c r="A239" s="12" t="s">
        <v>495</v>
      </c>
      <c r="B239" s="15">
        <v>2025</v>
      </c>
      <c r="C239" s="13">
        <v>45857</v>
      </c>
      <c r="D239" s="12" t="s">
        <v>499</v>
      </c>
      <c r="E239" s="13">
        <v>45857</v>
      </c>
      <c r="F239" s="84">
        <v>256779415769</v>
      </c>
      <c r="G239" s="12" t="s">
        <v>11</v>
      </c>
      <c r="H239" s="14">
        <v>234.91</v>
      </c>
      <c r="I239" s="12" t="s">
        <v>56</v>
      </c>
      <c r="J239" s="14">
        <v>20202.419999999998</v>
      </c>
      <c r="K239" s="12" t="s">
        <v>673</v>
      </c>
    </row>
    <row r="240" spans="1:11" x14ac:dyDescent="0.35">
      <c r="A240" s="12" t="s">
        <v>495</v>
      </c>
      <c r="B240" s="15">
        <v>2025</v>
      </c>
      <c r="C240" s="13">
        <v>45787</v>
      </c>
      <c r="D240" s="12" t="s">
        <v>499</v>
      </c>
      <c r="E240" s="13">
        <v>45787</v>
      </c>
      <c r="F240" s="84">
        <v>256779413240</v>
      </c>
      <c r="G240" s="12" t="s">
        <v>11</v>
      </c>
      <c r="H240" s="14">
        <v>424.03</v>
      </c>
      <c r="I240" s="12" t="s">
        <v>56</v>
      </c>
      <c r="J240" s="14">
        <v>36459.67</v>
      </c>
      <c r="K240" s="12" t="s">
        <v>674</v>
      </c>
    </row>
    <row r="241" spans="1:11" x14ac:dyDescent="0.35">
      <c r="A241" s="12" t="s">
        <v>495</v>
      </c>
      <c r="B241" s="15">
        <v>2025</v>
      </c>
      <c r="C241" s="13">
        <v>45787</v>
      </c>
      <c r="D241" s="12" t="s">
        <v>499</v>
      </c>
      <c r="E241" s="13">
        <v>45787</v>
      </c>
      <c r="F241" s="84">
        <v>256779413250</v>
      </c>
      <c r="G241" s="12" t="s">
        <v>11</v>
      </c>
      <c r="H241" s="14">
        <v>423.28</v>
      </c>
      <c r="I241" s="12" t="s">
        <v>56</v>
      </c>
      <c r="J241" s="14">
        <v>36395.18</v>
      </c>
      <c r="K241" s="12" t="s">
        <v>675</v>
      </c>
    </row>
    <row r="242" spans="1:11" x14ac:dyDescent="0.35">
      <c r="A242" s="12" t="s">
        <v>495</v>
      </c>
      <c r="B242" s="15">
        <v>2025</v>
      </c>
      <c r="C242" s="13">
        <v>45787</v>
      </c>
      <c r="D242" s="12" t="s">
        <v>499</v>
      </c>
      <c r="E242" s="13">
        <v>45787</v>
      </c>
      <c r="F242" s="84">
        <v>256779413161</v>
      </c>
      <c r="G242" s="12" t="s">
        <v>11</v>
      </c>
      <c r="H242" s="14">
        <v>707.71</v>
      </c>
      <c r="I242" s="12" t="s">
        <v>56</v>
      </c>
      <c r="J242" s="14">
        <v>60851.519999999997</v>
      </c>
      <c r="K242" s="12" t="s">
        <v>676</v>
      </c>
    </row>
    <row r="243" spans="1:11" x14ac:dyDescent="0.35">
      <c r="A243" s="12" t="s">
        <v>495</v>
      </c>
      <c r="B243" s="15">
        <v>2025</v>
      </c>
      <c r="C243" s="13">
        <v>45787</v>
      </c>
      <c r="D243" s="12" t="s">
        <v>499</v>
      </c>
      <c r="E243" s="13">
        <v>45787</v>
      </c>
      <c r="F243" s="84">
        <v>256779413169</v>
      </c>
      <c r="G243" s="12" t="s">
        <v>11</v>
      </c>
      <c r="H243" s="14">
        <v>3.78</v>
      </c>
      <c r="I243" s="12" t="s">
        <v>56</v>
      </c>
      <c r="J243" s="14">
        <v>325.02</v>
      </c>
      <c r="K243" s="12" t="s">
        <v>677</v>
      </c>
    </row>
    <row r="244" spans="1:11" x14ac:dyDescent="0.35">
      <c r="A244" s="12" t="s">
        <v>495</v>
      </c>
      <c r="B244" s="15">
        <v>2025</v>
      </c>
      <c r="C244" s="13">
        <v>45997</v>
      </c>
      <c r="D244" s="12" t="s">
        <v>499</v>
      </c>
      <c r="E244" s="13">
        <v>45997</v>
      </c>
      <c r="F244" s="84">
        <v>256779419983</v>
      </c>
      <c r="G244" s="12" t="s">
        <v>11</v>
      </c>
      <c r="H244" s="14">
        <v>55.63</v>
      </c>
      <c r="I244" s="12" t="s">
        <v>56</v>
      </c>
      <c r="J244" s="14">
        <v>4934.3900000000003</v>
      </c>
      <c r="K244" s="12" t="s">
        <v>678</v>
      </c>
    </row>
    <row r="245" spans="1:11" x14ac:dyDescent="0.35">
      <c r="A245" s="12" t="s">
        <v>495</v>
      </c>
      <c r="B245" s="15">
        <v>2025</v>
      </c>
      <c r="C245" s="13">
        <v>45948</v>
      </c>
      <c r="D245" s="12" t="s">
        <v>499</v>
      </c>
      <c r="E245" s="13">
        <v>45948</v>
      </c>
      <c r="F245" s="84">
        <v>256779418424</v>
      </c>
      <c r="G245" s="12" t="s">
        <v>11</v>
      </c>
      <c r="H245" s="14">
        <v>1334.62</v>
      </c>
      <c r="I245" s="12" t="s">
        <v>56</v>
      </c>
      <c r="J245" s="14">
        <v>117701.17</v>
      </c>
      <c r="K245" s="12" t="s">
        <v>679</v>
      </c>
    </row>
    <row r="246" spans="1:11" x14ac:dyDescent="0.35">
      <c r="A246" s="12" t="s">
        <v>495</v>
      </c>
      <c r="B246" s="15">
        <v>2025</v>
      </c>
      <c r="C246" s="13">
        <v>45948</v>
      </c>
      <c r="D246" s="12" t="s">
        <v>499</v>
      </c>
      <c r="E246" s="13">
        <v>45948</v>
      </c>
      <c r="F246" s="84">
        <v>256779418433</v>
      </c>
      <c r="G246" s="12" t="s">
        <v>11</v>
      </c>
      <c r="H246" s="14">
        <v>351.43</v>
      </c>
      <c r="I246" s="12" t="s">
        <v>56</v>
      </c>
      <c r="J246" s="14">
        <v>30992.880000000001</v>
      </c>
      <c r="K246" s="12" t="s">
        <v>680</v>
      </c>
    </row>
    <row r="247" spans="1:11" x14ac:dyDescent="0.35">
      <c r="A247" s="12" t="s">
        <v>495</v>
      </c>
      <c r="B247" s="15">
        <v>2025</v>
      </c>
      <c r="C247" s="13">
        <v>45815</v>
      </c>
      <c r="D247" s="12" t="s">
        <v>499</v>
      </c>
      <c r="E247" s="13">
        <v>45815</v>
      </c>
      <c r="F247" s="84">
        <v>256779414253</v>
      </c>
      <c r="G247" s="12" t="s">
        <v>11</v>
      </c>
      <c r="H247" s="14">
        <v>9947.26</v>
      </c>
      <c r="I247" s="12" t="s">
        <v>56</v>
      </c>
      <c r="J247" s="14">
        <v>850399.02</v>
      </c>
      <c r="K247" s="12" t="s">
        <v>681</v>
      </c>
    </row>
    <row r="248" spans="1:11" x14ac:dyDescent="0.35">
      <c r="A248" s="12" t="s">
        <v>495</v>
      </c>
      <c r="B248" s="15">
        <v>2025</v>
      </c>
      <c r="C248" s="13">
        <v>45936</v>
      </c>
      <c r="D248" s="12" t="s">
        <v>499</v>
      </c>
      <c r="E248" s="13">
        <v>45936</v>
      </c>
      <c r="F248" s="84">
        <v>256779418006</v>
      </c>
      <c r="G248" s="12" t="s">
        <v>11</v>
      </c>
      <c r="H248" s="14">
        <v>4667.07</v>
      </c>
      <c r="I248" s="12" t="s">
        <v>56</v>
      </c>
      <c r="J248" s="14">
        <v>411592.5</v>
      </c>
      <c r="K248" s="12" t="s">
        <v>682</v>
      </c>
    </row>
    <row r="249" spans="1:11" x14ac:dyDescent="0.35">
      <c r="A249" s="12" t="s">
        <v>495</v>
      </c>
      <c r="B249" s="15">
        <v>2025</v>
      </c>
      <c r="C249" s="13">
        <v>45935</v>
      </c>
      <c r="D249" s="12" t="s">
        <v>499</v>
      </c>
      <c r="E249" s="13">
        <v>45935</v>
      </c>
      <c r="F249" s="84">
        <v>256779417892</v>
      </c>
      <c r="G249" s="12" t="s">
        <v>11</v>
      </c>
      <c r="H249" s="14">
        <v>58.45</v>
      </c>
      <c r="I249" s="12" t="s">
        <v>56</v>
      </c>
      <c r="J249" s="14">
        <v>5154.75</v>
      </c>
      <c r="K249" s="12" t="s">
        <v>683</v>
      </c>
    </row>
    <row r="250" spans="1:11" x14ac:dyDescent="0.35">
      <c r="A250" s="12" t="s">
        <v>495</v>
      </c>
      <c r="B250" s="15">
        <v>2025</v>
      </c>
      <c r="C250" s="13">
        <v>45935</v>
      </c>
      <c r="D250" s="12" t="s">
        <v>499</v>
      </c>
      <c r="E250" s="13">
        <v>45935</v>
      </c>
      <c r="F250" s="84">
        <v>256779417931</v>
      </c>
      <c r="G250" s="12" t="s">
        <v>11</v>
      </c>
      <c r="H250" s="14">
        <v>288.83999999999997</v>
      </c>
      <c r="I250" s="12" t="s">
        <v>56</v>
      </c>
      <c r="J250" s="14">
        <v>25473.02</v>
      </c>
      <c r="K250" s="12" t="s">
        <v>684</v>
      </c>
    </row>
    <row r="251" spans="1:11" x14ac:dyDescent="0.35">
      <c r="A251" s="12" t="s">
        <v>495</v>
      </c>
      <c r="B251" s="15">
        <v>2025</v>
      </c>
      <c r="C251" s="13">
        <v>45935</v>
      </c>
      <c r="D251" s="12" t="s">
        <v>499</v>
      </c>
      <c r="E251" s="13">
        <v>45935</v>
      </c>
      <c r="F251" s="84">
        <v>256779417971</v>
      </c>
      <c r="G251" s="12" t="s">
        <v>11</v>
      </c>
      <c r="H251" s="14">
        <v>94.81</v>
      </c>
      <c r="I251" s="12" t="s">
        <v>56</v>
      </c>
      <c r="J251" s="14">
        <v>8361.3700000000008</v>
      </c>
      <c r="K251" s="12" t="s">
        <v>685</v>
      </c>
    </row>
    <row r="252" spans="1:11" x14ac:dyDescent="0.35">
      <c r="A252" s="12" t="s">
        <v>495</v>
      </c>
      <c r="B252" s="15">
        <v>2025</v>
      </c>
      <c r="C252" s="13">
        <v>45935</v>
      </c>
      <c r="D252" s="12" t="s">
        <v>499</v>
      </c>
      <c r="E252" s="13">
        <v>45935</v>
      </c>
      <c r="F252" s="84">
        <v>256779418357</v>
      </c>
      <c r="G252" s="12" t="s">
        <v>11</v>
      </c>
      <c r="H252" s="14">
        <v>394.19</v>
      </c>
      <c r="I252" s="12" t="s">
        <v>56</v>
      </c>
      <c r="J252" s="14">
        <v>34763.919999999998</v>
      </c>
      <c r="K252" s="12" t="s">
        <v>686</v>
      </c>
    </row>
    <row r="253" spans="1:11" x14ac:dyDescent="0.35">
      <c r="A253" s="12" t="s">
        <v>495</v>
      </c>
      <c r="B253" s="15">
        <v>2025</v>
      </c>
      <c r="C253" s="13">
        <v>45935</v>
      </c>
      <c r="D253" s="12" t="s">
        <v>499</v>
      </c>
      <c r="E253" s="13">
        <v>45935</v>
      </c>
      <c r="F253" s="84">
        <v>256779418391</v>
      </c>
      <c r="G253" s="12" t="s">
        <v>11</v>
      </c>
      <c r="H253" s="14">
        <v>38.51</v>
      </c>
      <c r="I253" s="12" t="s">
        <v>56</v>
      </c>
      <c r="J253" s="14">
        <v>3396.23</v>
      </c>
      <c r="K253" s="12" t="s">
        <v>687</v>
      </c>
    </row>
    <row r="254" spans="1:11" x14ac:dyDescent="0.35">
      <c r="A254" s="12" t="s">
        <v>495</v>
      </c>
      <c r="B254" s="15">
        <v>2025</v>
      </c>
      <c r="C254" s="13">
        <v>45935</v>
      </c>
      <c r="D254" s="12" t="s">
        <v>499</v>
      </c>
      <c r="E254" s="13">
        <v>45935</v>
      </c>
      <c r="F254" s="84">
        <v>256779418068</v>
      </c>
      <c r="G254" s="12" t="s">
        <v>11</v>
      </c>
      <c r="H254" s="14">
        <v>94.81</v>
      </c>
      <c r="I254" s="12" t="s">
        <v>56</v>
      </c>
      <c r="J254" s="14">
        <v>8361.3700000000008</v>
      </c>
      <c r="K254" s="12" t="s">
        <v>685</v>
      </c>
    </row>
    <row r="255" spans="1:11" x14ac:dyDescent="0.35">
      <c r="A255" s="12" t="s">
        <v>495</v>
      </c>
      <c r="B255" s="15">
        <v>2025</v>
      </c>
      <c r="C255" s="13">
        <v>45906</v>
      </c>
      <c r="D255" s="12" t="s">
        <v>499</v>
      </c>
      <c r="E255" s="13">
        <v>45906</v>
      </c>
      <c r="F255" s="84">
        <v>256779417093</v>
      </c>
      <c r="G255" s="12" t="s">
        <v>11</v>
      </c>
      <c r="H255" s="14">
        <v>4608.8</v>
      </c>
      <c r="I255" s="12" t="s">
        <v>56</v>
      </c>
      <c r="J255" s="14">
        <v>403336.04</v>
      </c>
      <c r="K255" s="12" t="s">
        <v>688</v>
      </c>
    </row>
    <row r="256" spans="1:11" x14ac:dyDescent="0.35">
      <c r="A256" s="12" t="s">
        <v>495</v>
      </c>
      <c r="B256" s="15">
        <v>2025</v>
      </c>
      <c r="C256" s="13">
        <v>45795</v>
      </c>
      <c r="D256" s="12" t="s">
        <v>499</v>
      </c>
      <c r="E256" s="13">
        <v>45795</v>
      </c>
      <c r="F256" s="84">
        <v>256779413859</v>
      </c>
      <c r="G256" s="12" t="s">
        <v>11</v>
      </c>
      <c r="H256" s="14">
        <v>413</v>
      </c>
      <c r="I256" s="12" t="s">
        <v>56</v>
      </c>
      <c r="J256" s="14">
        <v>35511.269999999997</v>
      </c>
      <c r="K256" s="12" t="s">
        <v>689</v>
      </c>
    </row>
    <row r="257" spans="1:11" x14ac:dyDescent="0.35">
      <c r="A257" s="12" t="s">
        <v>495</v>
      </c>
      <c r="B257" s="15">
        <v>2026</v>
      </c>
      <c r="C257" s="13">
        <v>46024</v>
      </c>
      <c r="D257" s="12" t="s">
        <v>499</v>
      </c>
      <c r="E257" s="13">
        <v>46024</v>
      </c>
      <c r="F257" s="84">
        <v>256779440007</v>
      </c>
      <c r="G257" s="12" t="s">
        <v>11</v>
      </c>
      <c r="H257" s="14">
        <v>1332.49</v>
      </c>
      <c r="I257" s="12" t="s">
        <v>56</v>
      </c>
      <c r="J257" s="14">
        <v>120914.33</v>
      </c>
      <c r="K257" s="12" t="s">
        <v>690</v>
      </c>
    </row>
    <row r="258" spans="1:11" x14ac:dyDescent="0.35">
      <c r="A258" s="12" t="s">
        <v>495</v>
      </c>
      <c r="B258" s="15">
        <v>2026</v>
      </c>
      <c r="C258" s="13">
        <v>46027</v>
      </c>
      <c r="D258" s="12" t="s">
        <v>496</v>
      </c>
      <c r="E258" s="13">
        <v>46027</v>
      </c>
      <c r="F258" s="84">
        <v>256779422164</v>
      </c>
      <c r="G258" s="12" t="s">
        <v>11</v>
      </c>
      <c r="H258" s="14">
        <v>-562.38</v>
      </c>
      <c r="I258" s="12" t="s">
        <v>56</v>
      </c>
      <c r="J258" s="14">
        <v>-51032.13</v>
      </c>
      <c r="K258" s="12" t="s">
        <v>691</v>
      </c>
    </row>
    <row r="259" spans="1:11" x14ac:dyDescent="0.35">
      <c r="A259" s="12" t="s">
        <v>495</v>
      </c>
      <c r="B259" s="15">
        <v>2026</v>
      </c>
      <c r="C259" s="13">
        <v>46027</v>
      </c>
      <c r="D259" s="12" t="s">
        <v>496</v>
      </c>
      <c r="E259" s="13">
        <v>46027</v>
      </c>
      <c r="F259" s="84">
        <v>256779422170</v>
      </c>
      <c r="G259" s="12" t="s">
        <v>11</v>
      </c>
      <c r="H259" s="14">
        <v>-13.59</v>
      </c>
      <c r="I259" s="12" t="s">
        <v>56</v>
      </c>
      <c r="J259" s="14">
        <v>-1233.2</v>
      </c>
      <c r="K259" s="12" t="s">
        <v>692</v>
      </c>
    </row>
    <row r="260" spans="1:11" x14ac:dyDescent="0.35">
      <c r="A260" s="12" t="s">
        <v>495</v>
      </c>
      <c r="B260" s="15">
        <v>2026</v>
      </c>
      <c r="C260" s="13">
        <v>46027</v>
      </c>
      <c r="D260" s="12" t="s">
        <v>499</v>
      </c>
      <c r="E260" s="13">
        <v>46027</v>
      </c>
      <c r="F260" s="84">
        <v>256779440060</v>
      </c>
      <c r="G260" s="12" t="s">
        <v>11</v>
      </c>
      <c r="H260" s="14">
        <v>198.57</v>
      </c>
      <c r="I260" s="12" t="s">
        <v>56</v>
      </c>
      <c r="J260" s="14">
        <v>18018.87</v>
      </c>
      <c r="K260" s="12" t="s">
        <v>693</v>
      </c>
    </row>
    <row r="261" spans="1:11" x14ac:dyDescent="0.35">
      <c r="A261" s="12" t="s">
        <v>495</v>
      </c>
      <c r="B261" s="15">
        <v>2026</v>
      </c>
      <c r="C261" s="13">
        <v>46027</v>
      </c>
      <c r="D261" s="12" t="s">
        <v>499</v>
      </c>
      <c r="E261" s="13">
        <v>46027</v>
      </c>
      <c r="F261" s="84">
        <v>256779440067</v>
      </c>
      <c r="G261" s="12" t="s">
        <v>11</v>
      </c>
      <c r="H261" s="14">
        <v>100.07</v>
      </c>
      <c r="I261" s="12" t="s">
        <v>56</v>
      </c>
      <c r="J261" s="14">
        <v>9080.67</v>
      </c>
      <c r="K261" s="12" t="s">
        <v>694</v>
      </c>
    </row>
    <row r="262" spans="1:11" x14ac:dyDescent="0.35">
      <c r="A262" s="12" t="s">
        <v>495</v>
      </c>
      <c r="B262" s="15">
        <v>2026</v>
      </c>
      <c r="C262" s="13">
        <v>46027</v>
      </c>
      <c r="D262" s="12" t="s">
        <v>499</v>
      </c>
      <c r="E262" s="13">
        <v>46027</v>
      </c>
      <c r="F262" s="84">
        <v>256779440078</v>
      </c>
      <c r="G262" s="12" t="s">
        <v>11</v>
      </c>
      <c r="H262" s="14">
        <v>78.75</v>
      </c>
      <c r="I262" s="12" t="s">
        <v>56</v>
      </c>
      <c r="J262" s="14">
        <v>7146.02</v>
      </c>
      <c r="K262" s="12" t="s">
        <v>695</v>
      </c>
    </row>
    <row r="263" spans="1:11" x14ac:dyDescent="0.35">
      <c r="A263" s="12" t="s">
        <v>495</v>
      </c>
      <c r="B263" s="15">
        <v>2026</v>
      </c>
      <c r="C263" s="13">
        <v>46027</v>
      </c>
      <c r="D263" s="12" t="s">
        <v>499</v>
      </c>
      <c r="E263" s="13">
        <v>46027</v>
      </c>
      <c r="F263" s="84">
        <v>256779440116</v>
      </c>
      <c r="G263" s="12" t="s">
        <v>11</v>
      </c>
      <c r="H263" s="14">
        <v>498.28</v>
      </c>
      <c r="I263" s="12" t="s">
        <v>56</v>
      </c>
      <c r="J263" s="14">
        <v>45215.49</v>
      </c>
      <c r="K263" s="12" t="s">
        <v>696</v>
      </c>
    </row>
    <row r="264" spans="1:11" x14ac:dyDescent="0.35">
      <c r="A264" s="12" t="s">
        <v>495</v>
      </c>
      <c r="B264" s="15">
        <v>2026</v>
      </c>
      <c r="C264" s="13">
        <v>46030</v>
      </c>
      <c r="D264" s="12" t="s">
        <v>697</v>
      </c>
      <c r="E264" s="13">
        <v>46030</v>
      </c>
      <c r="F264" s="84" t="s">
        <v>497</v>
      </c>
      <c r="G264" s="12" t="s">
        <v>56</v>
      </c>
      <c r="H264" s="14">
        <v>-719881.09</v>
      </c>
      <c r="I264" s="12" t="s">
        <v>56</v>
      </c>
      <c r="J264" s="14">
        <v>-719881.09</v>
      </c>
      <c r="K264" s="12" t="s">
        <v>497</v>
      </c>
    </row>
    <row r="265" spans="1:11" x14ac:dyDescent="0.35">
      <c r="A265" s="12" t="s">
        <v>495</v>
      </c>
      <c r="B265" s="15">
        <v>2026</v>
      </c>
      <c r="C265" s="13">
        <v>46031</v>
      </c>
      <c r="D265" s="12" t="s">
        <v>499</v>
      </c>
      <c r="E265" s="13">
        <v>46031</v>
      </c>
      <c r="F265" s="84">
        <v>256779440126</v>
      </c>
      <c r="G265" s="12" t="s">
        <v>11</v>
      </c>
      <c r="H265" s="14">
        <v>122.48</v>
      </c>
      <c r="I265" s="12" t="s">
        <v>56</v>
      </c>
      <c r="J265" s="14">
        <v>11114.22</v>
      </c>
      <c r="K265" s="12" t="s">
        <v>650</v>
      </c>
    </row>
    <row r="266" spans="1:11" x14ac:dyDescent="0.35">
      <c r="A266" s="12" t="s">
        <v>495</v>
      </c>
      <c r="B266" s="15">
        <v>2026</v>
      </c>
      <c r="C266" s="13">
        <v>46031</v>
      </c>
      <c r="D266" s="12" t="s">
        <v>499</v>
      </c>
      <c r="E266" s="13">
        <v>46031</v>
      </c>
      <c r="F266" s="84">
        <v>256779440136</v>
      </c>
      <c r="G266" s="12" t="s">
        <v>11</v>
      </c>
      <c r="H266" s="14">
        <v>27.81</v>
      </c>
      <c r="I266" s="12" t="s">
        <v>56</v>
      </c>
      <c r="J266" s="14">
        <v>2523.5700000000002</v>
      </c>
      <c r="K266" s="12" t="s">
        <v>698</v>
      </c>
    </row>
    <row r="267" spans="1:11" x14ac:dyDescent="0.35">
      <c r="A267" s="12" t="s">
        <v>495</v>
      </c>
      <c r="B267" s="15">
        <v>2026</v>
      </c>
      <c r="C267" s="13">
        <v>46028</v>
      </c>
      <c r="D267" s="12" t="s">
        <v>499</v>
      </c>
      <c r="E267" s="13">
        <v>46028</v>
      </c>
      <c r="F267" s="84">
        <v>256779440150</v>
      </c>
      <c r="G267" s="12" t="s">
        <v>11</v>
      </c>
      <c r="H267" s="14">
        <v>112.85</v>
      </c>
      <c r="I267" s="12" t="s">
        <v>56</v>
      </c>
      <c r="J267" s="14">
        <v>10240.36</v>
      </c>
      <c r="K267" s="12" t="s">
        <v>699</v>
      </c>
    </row>
    <row r="268" spans="1:11" x14ac:dyDescent="0.35">
      <c r="A268" s="12" t="s">
        <v>495</v>
      </c>
      <c r="B268" s="15">
        <v>2026</v>
      </c>
      <c r="C268" s="13">
        <v>46028</v>
      </c>
      <c r="D268" s="12" t="s">
        <v>499</v>
      </c>
      <c r="E268" s="13">
        <v>46028</v>
      </c>
      <c r="F268" s="84">
        <v>256779440159</v>
      </c>
      <c r="G268" s="12" t="s">
        <v>11</v>
      </c>
      <c r="H268" s="14">
        <v>160.22</v>
      </c>
      <c r="I268" s="12" t="s">
        <v>56</v>
      </c>
      <c r="J268" s="14">
        <v>14538.87</v>
      </c>
      <c r="K268" s="12" t="s">
        <v>700</v>
      </c>
    </row>
    <row r="269" spans="1:11" x14ac:dyDescent="0.35">
      <c r="A269" s="12" t="s">
        <v>495</v>
      </c>
      <c r="B269" s="15">
        <v>2026</v>
      </c>
      <c r="C269" s="13">
        <v>46028</v>
      </c>
      <c r="D269" s="12" t="s">
        <v>499</v>
      </c>
      <c r="E269" s="13">
        <v>46028</v>
      </c>
      <c r="F269" s="84">
        <v>256779440208</v>
      </c>
      <c r="G269" s="12" t="s">
        <v>11</v>
      </c>
      <c r="H269" s="14">
        <v>650.12</v>
      </c>
      <c r="I269" s="12" t="s">
        <v>56</v>
      </c>
      <c r="J269" s="14">
        <v>58993.93</v>
      </c>
      <c r="K269" s="12" t="s">
        <v>701</v>
      </c>
    </row>
    <row r="270" spans="1:11" x14ac:dyDescent="0.35">
      <c r="A270" s="12" t="s">
        <v>495</v>
      </c>
      <c r="B270" s="15">
        <v>2026</v>
      </c>
      <c r="C270" s="13">
        <v>46034</v>
      </c>
      <c r="D270" s="12" t="s">
        <v>499</v>
      </c>
      <c r="E270" s="13">
        <v>46034</v>
      </c>
      <c r="F270" s="84">
        <v>256779440227</v>
      </c>
      <c r="G270" s="12" t="s">
        <v>11</v>
      </c>
      <c r="H270" s="14">
        <v>304.07</v>
      </c>
      <c r="I270" s="12" t="s">
        <v>56</v>
      </c>
      <c r="J270" s="14">
        <v>27592.27</v>
      </c>
      <c r="K270" s="12" t="s">
        <v>702</v>
      </c>
    </row>
    <row r="271" spans="1:11" x14ac:dyDescent="0.35">
      <c r="A271" s="12" t="s">
        <v>495</v>
      </c>
      <c r="B271" s="15">
        <v>2026</v>
      </c>
      <c r="C271" s="13">
        <v>46028</v>
      </c>
      <c r="D271" s="12" t="s">
        <v>499</v>
      </c>
      <c r="E271" s="13">
        <v>46028</v>
      </c>
      <c r="F271" s="84">
        <v>256779440238</v>
      </c>
      <c r="G271" s="12" t="s">
        <v>11</v>
      </c>
      <c r="H271" s="14">
        <v>1083.58</v>
      </c>
      <c r="I271" s="12" t="s">
        <v>56</v>
      </c>
      <c r="J271" s="14">
        <v>98327.45</v>
      </c>
      <c r="K271" s="12" t="s">
        <v>703</v>
      </c>
    </row>
    <row r="272" spans="1:11" x14ac:dyDescent="0.35">
      <c r="A272" s="12" t="s">
        <v>495</v>
      </c>
      <c r="B272" s="15">
        <v>2026</v>
      </c>
      <c r="C272" s="13">
        <v>46034</v>
      </c>
      <c r="D272" s="12" t="s">
        <v>499</v>
      </c>
      <c r="E272" s="13">
        <v>46034</v>
      </c>
      <c r="F272" s="84">
        <v>256779440285</v>
      </c>
      <c r="G272" s="12" t="s">
        <v>11</v>
      </c>
      <c r="H272" s="14">
        <v>535.29</v>
      </c>
      <c r="I272" s="12" t="s">
        <v>56</v>
      </c>
      <c r="J272" s="14">
        <v>48573.9</v>
      </c>
      <c r="K272" s="12" t="s">
        <v>704</v>
      </c>
    </row>
    <row r="273" spans="1:11" x14ac:dyDescent="0.35">
      <c r="A273" s="12" t="s">
        <v>495</v>
      </c>
      <c r="B273" s="15">
        <v>2026</v>
      </c>
      <c r="C273" s="13">
        <v>46028</v>
      </c>
      <c r="D273" s="12" t="s">
        <v>499</v>
      </c>
      <c r="E273" s="13">
        <v>46028</v>
      </c>
      <c r="F273" s="84">
        <v>256779440309</v>
      </c>
      <c r="G273" s="12" t="s">
        <v>56</v>
      </c>
      <c r="H273" s="14">
        <v>200000</v>
      </c>
      <c r="I273" s="12" t="s">
        <v>56</v>
      </c>
      <c r="J273" s="14">
        <v>200000</v>
      </c>
      <c r="K273" s="12" t="s">
        <v>705</v>
      </c>
    </row>
    <row r="274" spans="1:11" x14ac:dyDescent="0.35">
      <c r="A274" s="12" t="s">
        <v>495</v>
      </c>
      <c r="B274" s="15">
        <v>2026</v>
      </c>
      <c r="C274" s="13">
        <v>46028</v>
      </c>
      <c r="D274" s="12" t="s">
        <v>499</v>
      </c>
      <c r="E274" s="13">
        <v>46028</v>
      </c>
      <c r="F274" s="84">
        <v>256779440310</v>
      </c>
      <c r="G274" s="12" t="s">
        <v>56</v>
      </c>
      <c r="H274" s="14">
        <v>8000</v>
      </c>
      <c r="I274" s="12" t="s">
        <v>56</v>
      </c>
      <c r="J274" s="14">
        <v>8000</v>
      </c>
      <c r="K274" s="12" t="s">
        <v>705</v>
      </c>
    </row>
    <row r="275" spans="1:11" x14ac:dyDescent="0.35">
      <c r="A275" s="12" t="s">
        <v>495</v>
      </c>
      <c r="B275" s="15">
        <v>2026</v>
      </c>
      <c r="C275" s="13">
        <v>46028</v>
      </c>
      <c r="D275" s="12" t="s">
        <v>499</v>
      </c>
      <c r="E275" s="13">
        <v>46028</v>
      </c>
      <c r="F275" s="84">
        <v>256779440311</v>
      </c>
      <c r="G275" s="12" t="s">
        <v>56</v>
      </c>
      <c r="H275" s="14">
        <v>4400</v>
      </c>
      <c r="I275" s="12" t="s">
        <v>56</v>
      </c>
      <c r="J275" s="14">
        <v>4400</v>
      </c>
      <c r="K275" s="12" t="s">
        <v>705</v>
      </c>
    </row>
    <row r="276" spans="1:11" x14ac:dyDescent="0.35">
      <c r="A276" s="12" t="s">
        <v>495</v>
      </c>
      <c r="B276" s="15">
        <v>2026</v>
      </c>
      <c r="C276" s="13">
        <v>46035</v>
      </c>
      <c r="D276" s="12" t="s">
        <v>499</v>
      </c>
      <c r="E276" s="13">
        <v>46035</v>
      </c>
      <c r="F276" s="84">
        <v>256779440363</v>
      </c>
      <c r="G276" s="12" t="s">
        <v>11</v>
      </c>
      <c r="H276" s="14">
        <v>937.45</v>
      </c>
      <c r="I276" s="12" t="s">
        <v>56</v>
      </c>
      <c r="J276" s="14">
        <v>85067.16</v>
      </c>
      <c r="K276" s="12" t="s">
        <v>706</v>
      </c>
    </row>
    <row r="277" spans="1:11" x14ac:dyDescent="0.35">
      <c r="A277" s="12" t="s">
        <v>495</v>
      </c>
      <c r="B277" s="15">
        <v>2026</v>
      </c>
      <c r="C277" s="13">
        <v>46043</v>
      </c>
      <c r="D277" s="12" t="s">
        <v>499</v>
      </c>
      <c r="E277" s="13">
        <v>46043</v>
      </c>
      <c r="F277" s="84">
        <v>256779440381</v>
      </c>
      <c r="G277" s="12" t="s">
        <v>11</v>
      </c>
      <c r="H277" s="14">
        <v>6.79</v>
      </c>
      <c r="I277" s="12" t="s">
        <v>56</v>
      </c>
      <c r="J277" s="14">
        <v>616.15</v>
      </c>
      <c r="K277" s="12" t="s">
        <v>707</v>
      </c>
    </row>
    <row r="278" spans="1:11" x14ac:dyDescent="0.35">
      <c r="A278" s="12" t="s">
        <v>495</v>
      </c>
      <c r="B278" s="15">
        <v>2026</v>
      </c>
      <c r="C278" s="13">
        <v>46043</v>
      </c>
      <c r="D278" s="12" t="s">
        <v>499</v>
      </c>
      <c r="E278" s="13">
        <v>46043</v>
      </c>
      <c r="F278" s="84">
        <v>256779440388</v>
      </c>
      <c r="G278" s="12" t="s">
        <v>11</v>
      </c>
      <c r="H278" s="14">
        <v>57.29</v>
      </c>
      <c r="I278" s="12" t="s">
        <v>56</v>
      </c>
      <c r="J278" s="14">
        <v>5198.67</v>
      </c>
      <c r="K278" s="12" t="s">
        <v>708</v>
      </c>
    </row>
    <row r="279" spans="1:11" x14ac:dyDescent="0.35">
      <c r="A279" s="12" t="s">
        <v>495</v>
      </c>
      <c r="B279" s="15">
        <v>2026</v>
      </c>
      <c r="C279" s="13">
        <v>46045</v>
      </c>
      <c r="D279" s="12" t="s">
        <v>499</v>
      </c>
      <c r="E279" s="13">
        <v>46045</v>
      </c>
      <c r="F279" s="84">
        <v>256779440411</v>
      </c>
      <c r="G279" s="12" t="s">
        <v>11</v>
      </c>
      <c r="H279" s="14">
        <v>554.49</v>
      </c>
      <c r="I279" s="12" t="s">
        <v>56</v>
      </c>
      <c r="J279" s="14">
        <v>50316.160000000003</v>
      </c>
      <c r="K279" s="12" t="s">
        <v>709</v>
      </c>
    </row>
    <row r="280" spans="1:11" x14ac:dyDescent="0.35">
      <c r="A280" s="12" t="s">
        <v>495</v>
      </c>
      <c r="B280" s="15">
        <v>2026</v>
      </c>
      <c r="C280" s="13">
        <v>46045</v>
      </c>
      <c r="D280" s="12" t="s">
        <v>499</v>
      </c>
      <c r="E280" s="13">
        <v>46045</v>
      </c>
      <c r="F280" s="84">
        <v>256779440427</v>
      </c>
      <c r="G280" s="12" t="s">
        <v>11</v>
      </c>
      <c r="H280" s="14">
        <v>44.06</v>
      </c>
      <c r="I280" s="12" t="s">
        <v>56</v>
      </c>
      <c r="J280" s="14">
        <v>3998.14</v>
      </c>
      <c r="K280" s="12" t="s">
        <v>710</v>
      </c>
    </row>
    <row r="281" spans="1:11" x14ac:dyDescent="0.35">
      <c r="A281" s="12" t="s">
        <v>495</v>
      </c>
      <c r="B281" s="15">
        <v>2026</v>
      </c>
      <c r="C281" s="13">
        <v>46049</v>
      </c>
      <c r="D281" s="12" t="s">
        <v>499</v>
      </c>
      <c r="E281" s="13">
        <v>46049</v>
      </c>
      <c r="F281" s="84">
        <v>256779440443</v>
      </c>
      <c r="G281" s="12" t="s">
        <v>11</v>
      </c>
      <c r="H281" s="14">
        <v>18.41</v>
      </c>
      <c r="I281" s="12" t="s">
        <v>56</v>
      </c>
      <c r="J281" s="14">
        <v>1670.58</v>
      </c>
      <c r="K281" s="12" t="s">
        <v>711</v>
      </c>
    </row>
    <row r="282" spans="1:11" x14ac:dyDescent="0.35">
      <c r="A282" s="12" t="s">
        <v>495</v>
      </c>
      <c r="B282" s="15">
        <v>2025</v>
      </c>
      <c r="C282" s="13">
        <v>45848</v>
      </c>
      <c r="D282" s="12" t="s">
        <v>499</v>
      </c>
      <c r="E282" s="13">
        <v>45848</v>
      </c>
      <c r="F282" s="84">
        <v>256779415364</v>
      </c>
      <c r="G282" s="12" t="s">
        <v>11</v>
      </c>
      <c r="H282" s="14">
        <v>200</v>
      </c>
      <c r="I282" s="12" t="s">
        <v>56</v>
      </c>
      <c r="J282" s="14">
        <v>17200.13</v>
      </c>
      <c r="K282" s="12" t="s">
        <v>712</v>
      </c>
    </row>
    <row r="283" spans="1:11" x14ac:dyDescent="0.35">
      <c r="A283" s="12" t="s">
        <v>495</v>
      </c>
      <c r="B283" s="15">
        <v>2025</v>
      </c>
      <c r="C283" s="13">
        <v>45848</v>
      </c>
      <c r="D283" s="12" t="s">
        <v>499</v>
      </c>
      <c r="E283" s="13">
        <v>45848</v>
      </c>
      <c r="F283" s="84">
        <v>256779415365</v>
      </c>
      <c r="G283" s="12" t="s">
        <v>11</v>
      </c>
      <c r="H283" s="14">
        <v>313</v>
      </c>
      <c r="I283" s="12" t="s">
        <v>56</v>
      </c>
      <c r="J283" s="14">
        <v>26918.21</v>
      </c>
      <c r="K283" s="12" t="s">
        <v>713</v>
      </c>
    </row>
    <row r="284" spans="1:11" x14ac:dyDescent="0.35">
      <c r="A284" s="12" t="s">
        <v>495</v>
      </c>
      <c r="B284" s="15">
        <v>2025</v>
      </c>
      <c r="C284" s="13">
        <v>45848</v>
      </c>
      <c r="D284" s="12" t="s">
        <v>499</v>
      </c>
      <c r="E284" s="13">
        <v>45848</v>
      </c>
      <c r="F284" s="84">
        <v>256779415366</v>
      </c>
      <c r="G284" s="12" t="s">
        <v>11</v>
      </c>
      <c r="H284" s="14">
        <v>192</v>
      </c>
      <c r="I284" s="12" t="s">
        <v>56</v>
      </c>
      <c r="J284" s="14">
        <v>16512.13</v>
      </c>
      <c r="K284" s="12" t="s">
        <v>714</v>
      </c>
    </row>
    <row r="285" spans="1:11" x14ac:dyDescent="0.35">
      <c r="A285" s="12" t="s">
        <v>495</v>
      </c>
      <c r="B285" s="15">
        <v>2025</v>
      </c>
      <c r="C285" s="13">
        <v>45848</v>
      </c>
      <c r="D285" s="12" t="s">
        <v>499</v>
      </c>
      <c r="E285" s="13">
        <v>45848</v>
      </c>
      <c r="F285" s="84">
        <v>256779415367</v>
      </c>
      <c r="G285" s="12" t="s">
        <v>11</v>
      </c>
      <c r="H285" s="14">
        <v>200</v>
      </c>
      <c r="I285" s="12" t="s">
        <v>56</v>
      </c>
      <c r="J285" s="14">
        <v>17200.13</v>
      </c>
      <c r="K285" s="12" t="s">
        <v>715</v>
      </c>
    </row>
    <row r="286" spans="1:11" x14ac:dyDescent="0.35">
      <c r="A286" s="12" t="s">
        <v>495</v>
      </c>
      <c r="B286" s="15">
        <v>2025</v>
      </c>
      <c r="C286" s="13">
        <v>45848</v>
      </c>
      <c r="D286" s="12" t="s">
        <v>499</v>
      </c>
      <c r="E286" s="13">
        <v>45848</v>
      </c>
      <c r="F286" s="84">
        <v>256779415368</v>
      </c>
      <c r="G286" s="12" t="s">
        <v>11</v>
      </c>
      <c r="H286" s="14">
        <v>60</v>
      </c>
      <c r="I286" s="12" t="s">
        <v>56</v>
      </c>
      <c r="J286" s="14">
        <v>5160.04</v>
      </c>
      <c r="K286" s="12" t="s">
        <v>716</v>
      </c>
    </row>
    <row r="287" spans="1:11" x14ac:dyDescent="0.35">
      <c r="A287" s="12" t="s">
        <v>495</v>
      </c>
      <c r="B287" s="15">
        <v>2025</v>
      </c>
      <c r="C287" s="13">
        <v>45848</v>
      </c>
      <c r="D287" s="12" t="s">
        <v>499</v>
      </c>
      <c r="E287" s="13">
        <v>45848</v>
      </c>
      <c r="F287" s="84">
        <v>256779415369</v>
      </c>
      <c r="G287" s="12" t="s">
        <v>11</v>
      </c>
      <c r="H287" s="14">
        <v>3</v>
      </c>
      <c r="I287" s="12" t="s">
        <v>56</v>
      </c>
      <c r="J287" s="14">
        <v>258</v>
      </c>
      <c r="K287" s="12" t="s">
        <v>717</v>
      </c>
    </row>
    <row r="288" spans="1:11" x14ac:dyDescent="0.35">
      <c r="A288" s="12" t="s">
        <v>495</v>
      </c>
      <c r="B288" s="15">
        <v>2025</v>
      </c>
      <c r="C288" s="13">
        <v>45848</v>
      </c>
      <c r="D288" s="12" t="s">
        <v>499</v>
      </c>
      <c r="E288" s="13">
        <v>45848</v>
      </c>
      <c r="F288" s="84">
        <v>256779415370</v>
      </c>
      <c r="G288" s="12" t="s">
        <v>11</v>
      </c>
      <c r="H288" s="14">
        <v>72</v>
      </c>
      <c r="I288" s="12" t="s">
        <v>56</v>
      </c>
      <c r="J288" s="14">
        <v>6192.05</v>
      </c>
      <c r="K288" s="12" t="s">
        <v>718</v>
      </c>
    </row>
    <row r="289" spans="1:11" x14ac:dyDescent="0.35">
      <c r="A289" s="12" t="s">
        <v>495</v>
      </c>
      <c r="B289" s="15">
        <v>2025</v>
      </c>
      <c r="C289" s="13">
        <v>45848</v>
      </c>
      <c r="D289" s="12" t="s">
        <v>499</v>
      </c>
      <c r="E289" s="13">
        <v>45848</v>
      </c>
      <c r="F289" s="84">
        <v>256779415371</v>
      </c>
      <c r="G289" s="12" t="s">
        <v>11</v>
      </c>
      <c r="H289" s="14">
        <v>43.32</v>
      </c>
      <c r="I289" s="12" t="s">
        <v>56</v>
      </c>
      <c r="J289" s="14">
        <v>3725.55</v>
      </c>
      <c r="K289" s="12" t="s">
        <v>719</v>
      </c>
    </row>
    <row r="290" spans="1:11" x14ac:dyDescent="0.35">
      <c r="A290" s="12" t="s">
        <v>495</v>
      </c>
      <c r="B290" s="15">
        <v>2025</v>
      </c>
      <c r="C290" s="13">
        <v>45848</v>
      </c>
      <c r="D290" s="12" t="s">
        <v>499</v>
      </c>
      <c r="E290" s="13">
        <v>45848</v>
      </c>
      <c r="F290" s="84">
        <v>256779415372</v>
      </c>
      <c r="G290" s="12" t="s">
        <v>11</v>
      </c>
      <c r="H290" s="14">
        <v>155.38</v>
      </c>
      <c r="I290" s="12" t="s">
        <v>56</v>
      </c>
      <c r="J290" s="14">
        <v>13362.78</v>
      </c>
      <c r="K290" s="12" t="s">
        <v>720</v>
      </c>
    </row>
    <row r="291" spans="1:11" x14ac:dyDescent="0.35">
      <c r="A291" s="12" t="s">
        <v>495</v>
      </c>
      <c r="B291" s="15">
        <v>2025</v>
      </c>
      <c r="C291" s="13">
        <v>45848</v>
      </c>
      <c r="D291" s="12" t="s">
        <v>499</v>
      </c>
      <c r="E291" s="13">
        <v>45848</v>
      </c>
      <c r="F291" s="84">
        <v>256779415373</v>
      </c>
      <c r="G291" s="12" t="s">
        <v>11</v>
      </c>
      <c r="H291" s="14">
        <v>2.63</v>
      </c>
      <c r="I291" s="12" t="s">
        <v>56</v>
      </c>
      <c r="J291" s="14">
        <v>226.18</v>
      </c>
      <c r="K291" s="12" t="s">
        <v>721</v>
      </c>
    </row>
    <row r="292" spans="1:11" x14ac:dyDescent="0.35">
      <c r="A292" s="12" t="s">
        <v>495</v>
      </c>
      <c r="B292" s="15">
        <v>2025</v>
      </c>
      <c r="C292" s="13">
        <v>45848</v>
      </c>
      <c r="D292" s="12" t="s">
        <v>499</v>
      </c>
      <c r="E292" s="13">
        <v>45848</v>
      </c>
      <c r="F292" s="84">
        <v>256779415374</v>
      </c>
      <c r="G292" s="12" t="s">
        <v>11</v>
      </c>
      <c r="H292" s="14">
        <v>469.38</v>
      </c>
      <c r="I292" s="12" t="s">
        <v>56</v>
      </c>
      <c r="J292" s="14">
        <v>40366.99</v>
      </c>
      <c r="K292" s="12" t="s">
        <v>666</v>
      </c>
    </row>
    <row r="293" spans="1:11" x14ac:dyDescent="0.35">
      <c r="A293" s="12" t="s">
        <v>495</v>
      </c>
      <c r="B293" s="15">
        <v>2025</v>
      </c>
      <c r="C293" s="13">
        <v>45848</v>
      </c>
      <c r="D293" s="12" t="s">
        <v>499</v>
      </c>
      <c r="E293" s="13">
        <v>45848</v>
      </c>
      <c r="F293" s="84">
        <v>256779415375</v>
      </c>
      <c r="G293" s="12" t="s">
        <v>11</v>
      </c>
      <c r="H293" s="14">
        <v>360</v>
      </c>
      <c r="I293" s="12" t="s">
        <v>56</v>
      </c>
      <c r="J293" s="14">
        <v>30960.240000000002</v>
      </c>
      <c r="K293" s="12" t="s">
        <v>667</v>
      </c>
    </row>
    <row r="294" spans="1:11" x14ac:dyDescent="0.35">
      <c r="A294" s="12" t="s">
        <v>495</v>
      </c>
      <c r="B294" s="15">
        <v>2025</v>
      </c>
      <c r="C294" s="13">
        <v>45848</v>
      </c>
      <c r="D294" s="12" t="s">
        <v>499</v>
      </c>
      <c r="E294" s="13">
        <v>45848</v>
      </c>
      <c r="F294" s="84">
        <v>256779415376</v>
      </c>
      <c r="G294" s="12" t="s">
        <v>11</v>
      </c>
      <c r="H294" s="14">
        <v>60</v>
      </c>
      <c r="I294" s="12" t="s">
        <v>56</v>
      </c>
      <c r="J294" s="14">
        <v>5160.04</v>
      </c>
      <c r="K294" s="12" t="s">
        <v>668</v>
      </c>
    </row>
    <row r="295" spans="1:11" x14ac:dyDescent="0.35">
      <c r="A295" s="12" t="s">
        <v>495</v>
      </c>
      <c r="B295" s="15">
        <v>2025</v>
      </c>
      <c r="C295" s="13">
        <v>45848</v>
      </c>
      <c r="D295" s="12" t="s">
        <v>496</v>
      </c>
      <c r="E295" s="13">
        <v>45848</v>
      </c>
      <c r="F295" s="84">
        <v>256779421222</v>
      </c>
      <c r="G295" s="12" t="s">
        <v>11</v>
      </c>
      <c r="H295" s="14">
        <v>-295</v>
      </c>
      <c r="I295" s="12" t="s">
        <v>56</v>
      </c>
      <c r="J295" s="14">
        <v>-25370.2</v>
      </c>
      <c r="K295" s="12" t="s">
        <v>722</v>
      </c>
    </row>
    <row r="296" spans="1:11" x14ac:dyDescent="0.35">
      <c r="A296" s="12" t="s">
        <v>495</v>
      </c>
      <c r="B296" s="15">
        <v>2025</v>
      </c>
      <c r="C296" s="13">
        <v>45848</v>
      </c>
      <c r="D296" s="12" t="s">
        <v>496</v>
      </c>
      <c r="E296" s="13">
        <v>45848</v>
      </c>
      <c r="F296" s="84">
        <v>256779421223</v>
      </c>
      <c r="G296" s="12" t="s">
        <v>11</v>
      </c>
      <c r="H296" s="14">
        <v>-28.32</v>
      </c>
      <c r="I296" s="12" t="s">
        <v>56</v>
      </c>
      <c r="J296" s="14">
        <v>-2435.54</v>
      </c>
      <c r="K296" s="12" t="s">
        <v>723</v>
      </c>
    </row>
    <row r="297" spans="1:11" x14ac:dyDescent="0.35">
      <c r="A297" s="12" t="s">
        <v>495</v>
      </c>
      <c r="B297" s="15">
        <v>2025</v>
      </c>
      <c r="C297" s="13">
        <v>45848</v>
      </c>
      <c r="D297" s="12" t="s">
        <v>496</v>
      </c>
      <c r="E297" s="13">
        <v>45848</v>
      </c>
      <c r="F297" s="84">
        <v>256779421224</v>
      </c>
      <c r="G297" s="12" t="s">
        <v>11</v>
      </c>
      <c r="H297" s="14">
        <v>-28.32</v>
      </c>
      <c r="I297" s="12" t="s">
        <v>56</v>
      </c>
      <c r="J297" s="14">
        <v>-2435.54</v>
      </c>
      <c r="K297" s="12" t="s">
        <v>724</v>
      </c>
    </row>
    <row r="298" spans="1:11" x14ac:dyDescent="0.35">
      <c r="A298" s="12" t="s">
        <v>495</v>
      </c>
      <c r="B298" s="15">
        <v>2025</v>
      </c>
      <c r="C298" s="13">
        <v>45848</v>
      </c>
      <c r="D298" s="12" t="s">
        <v>496</v>
      </c>
      <c r="E298" s="13">
        <v>45848</v>
      </c>
      <c r="F298" s="84">
        <v>256779421225</v>
      </c>
      <c r="G298" s="12" t="s">
        <v>11</v>
      </c>
      <c r="H298" s="14">
        <v>-28.32</v>
      </c>
      <c r="I298" s="12" t="s">
        <v>56</v>
      </c>
      <c r="J298" s="14">
        <v>-2435.54</v>
      </c>
      <c r="K298" s="12" t="s">
        <v>725</v>
      </c>
    </row>
    <row r="299" spans="1:11" x14ac:dyDescent="0.35">
      <c r="A299" s="12" t="s">
        <v>495</v>
      </c>
      <c r="B299" s="15">
        <v>2025</v>
      </c>
      <c r="C299" s="13">
        <v>45848</v>
      </c>
      <c r="D299" s="12" t="s">
        <v>496</v>
      </c>
      <c r="E299" s="13">
        <v>45848</v>
      </c>
      <c r="F299" s="84">
        <v>256779421226</v>
      </c>
      <c r="G299" s="12" t="s">
        <v>11</v>
      </c>
      <c r="H299" s="14">
        <v>-28.32</v>
      </c>
      <c r="I299" s="12" t="s">
        <v>56</v>
      </c>
      <c r="J299" s="14">
        <v>-2435.54</v>
      </c>
      <c r="K299" s="12" t="s">
        <v>726</v>
      </c>
    </row>
    <row r="300" spans="1:11" x14ac:dyDescent="0.35">
      <c r="A300" s="12" t="s">
        <v>495</v>
      </c>
      <c r="B300" s="15">
        <v>2025</v>
      </c>
      <c r="C300" s="13">
        <v>45848</v>
      </c>
      <c r="D300" s="12" t="s">
        <v>496</v>
      </c>
      <c r="E300" s="13">
        <v>45848</v>
      </c>
      <c r="F300" s="84">
        <v>256779421227</v>
      </c>
      <c r="G300" s="12" t="s">
        <v>11</v>
      </c>
      <c r="H300" s="14">
        <v>-28.32</v>
      </c>
      <c r="I300" s="12" t="s">
        <v>56</v>
      </c>
      <c r="J300" s="14">
        <v>-2435.54</v>
      </c>
      <c r="K300" s="12" t="s">
        <v>727</v>
      </c>
    </row>
    <row r="301" spans="1:11" x14ac:dyDescent="0.35">
      <c r="A301" s="12" t="s">
        <v>495</v>
      </c>
      <c r="B301" s="15">
        <v>2025</v>
      </c>
      <c r="C301" s="13">
        <v>45848</v>
      </c>
      <c r="D301" s="12" t="s">
        <v>496</v>
      </c>
      <c r="E301" s="13">
        <v>45848</v>
      </c>
      <c r="F301" s="84">
        <v>256779421228</v>
      </c>
      <c r="G301" s="12" t="s">
        <v>11</v>
      </c>
      <c r="H301" s="14">
        <v>-28.32</v>
      </c>
      <c r="I301" s="12" t="s">
        <v>56</v>
      </c>
      <c r="J301" s="14">
        <v>-2435.54</v>
      </c>
      <c r="K301" s="12" t="s">
        <v>728</v>
      </c>
    </row>
    <row r="302" spans="1:11" x14ac:dyDescent="0.35">
      <c r="A302" s="12" t="s">
        <v>495</v>
      </c>
      <c r="B302" s="15">
        <v>2025</v>
      </c>
      <c r="C302" s="13">
        <v>45848</v>
      </c>
      <c r="D302" s="12" t="s">
        <v>496</v>
      </c>
      <c r="E302" s="13">
        <v>45848</v>
      </c>
      <c r="F302" s="84">
        <v>256779421229</v>
      </c>
      <c r="G302" s="12" t="s">
        <v>11</v>
      </c>
      <c r="H302" s="14">
        <v>-28.32</v>
      </c>
      <c r="I302" s="12" t="s">
        <v>56</v>
      </c>
      <c r="J302" s="14">
        <v>-2435.54</v>
      </c>
      <c r="K302" s="12" t="s">
        <v>729</v>
      </c>
    </row>
    <row r="303" spans="1:11" x14ac:dyDescent="0.35">
      <c r="A303" s="12" t="s">
        <v>495</v>
      </c>
      <c r="B303" s="15">
        <v>2025</v>
      </c>
      <c r="C303" s="13">
        <v>45848</v>
      </c>
      <c r="D303" s="12" t="s">
        <v>496</v>
      </c>
      <c r="E303" s="13">
        <v>45848</v>
      </c>
      <c r="F303" s="84">
        <v>256779421230</v>
      </c>
      <c r="G303" s="12" t="s">
        <v>11</v>
      </c>
      <c r="H303" s="14">
        <v>-28.32</v>
      </c>
      <c r="I303" s="12" t="s">
        <v>56</v>
      </c>
      <c r="J303" s="14">
        <v>-2435.54</v>
      </c>
      <c r="K303" s="12" t="s">
        <v>730</v>
      </c>
    </row>
    <row r="304" spans="1:11" x14ac:dyDescent="0.35">
      <c r="A304" s="12" t="s">
        <v>495</v>
      </c>
      <c r="B304" s="15">
        <v>2025</v>
      </c>
      <c r="C304" s="13">
        <v>45848</v>
      </c>
      <c r="D304" s="12" t="s">
        <v>496</v>
      </c>
      <c r="E304" s="13">
        <v>45848</v>
      </c>
      <c r="F304" s="84">
        <v>256779421231</v>
      </c>
      <c r="G304" s="12" t="s">
        <v>11</v>
      </c>
      <c r="H304" s="14">
        <v>-28.32</v>
      </c>
      <c r="I304" s="12" t="s">
        <v>56</v>
      </c>
      <c r="J304" s="14">
        <v>-2435.54</v>
      </c>
      <c r="K304" s="12" t="s">
        <v>731</v>
      </c>
    </row>
    <row r="305" spans="1:11" x14ac:dyDescent="0.35">
      <c r="A305" s="12" t="s">
        <v>495</v>
      </c>
      <c r="B305" s="15">
        <v>2025</v>
      </c>
      <c r="C305" s="13">
        <v>45848</v>
      </c>
      <c r="D305" s="12" t="s">
        <v>496</v>
      </c>
      <c r="E305" s="13">
        <v>45848</v>
      </c>
      <c r="F305" s="84">
        <v>256779421232</v>
      </c>
      <c r="G305" s="12" t="s">
        <v>11</v>
      </c>
      <c r="H305" s="14">
        <v>-28.32</v>
      </c>
      <c r="I305" s="12" t="s">
        <v>56</v>
      </c>
      <c r="J305" s="14">
        <v>-2435.54</v>
      </c>
      <c r="K305" s="12" t="s">
        <v>732</v>
      </c>
    </row>
    <row r="306" spans="1:11" x14ac:dyDescent="0.35">
      <c r="A306" s="12" t="s">
        <v>495</v>
      </c>
      <c r="B306" s="15">
        <v>2025</v>
      </c>
      <c r="C306" s="13">
        <v>45848</v>
      </c>
      <c r="D306" s="12" t="s">
        <v>496</v>
      </c>
      <c r="E306" s="13">
        <v>45848</v>
      </c>
      <c r="F306" s="84">
        <v>256779421233</v>
      </c>
      <c r="G306" s="12" t="s">
        <v>11</v>
      </c>
      <c r="H306" s="14">
        <v>-28.32</v>
      </c>
      <c r="I306" s="12" t="s">
        <v>56</v>
      </c>
      <c r="J306" s="14">
        <v>-2435.54</v>
      </c>
      <c r="K306" s="12" t="s">
        <v>733</v>
      </c>
    </row>
    <row r="307" spans="1:11" x14ac:dyDescent="0.35">
      <c r="A307" s="12" t="s">
        <v>495</v>
      </c>
      <c r="B307" s="15">
        <v>2025</v>
      </c>
      <c r="C307" s="13">
        <v>45848</v>
      </c>
      <c r="D307" s="12" t="s">
        <v>496</v>
      </c>
      <c r="E307" s="13">
        <v>45848</v>
      </c>
      <c r="F307" s="84">
        <v>256779421234</v>
      </c>
      <c r="G307" s="12" t="s">
        <v>11</v>
      </c>
      <c r="H307" s="14">
        <v>-35.4</v>
      </c>
      <c r="I307" s="12" t="s">
        <v>56</v>
      </c>
      <c r="J307" s="14">
        <v>-3044.42</v>
      </c>
      <c r="K307" s="12" t="s">
        <v>734</v>
      </c>
    </row>
    <row r="308" spans="1:11" x14ac:dyDescent="0.35">
      <c r="A308" s="12" t="s">
        <v>495</v>
      </c>
      <c r="B308" s="15">
        <v>2025</v>
      </c>
      <c r="C308" s="13">
        <v>45848</v>
      </c>
      <c r="D308" s="12" t="s">
        <v>496</v>
      </c>
      <c r="E308" s="13">
        <v>45848</v>
      </c>
      <c r="F308" s="84">
        <v>256779421235</v>
      </c>
      <c r="G308" s="12" t="s">
        <v>11</v>
      </c>
      <c r="H308" s="14">
        <v>-35.4</v>
      </c>
      <c r="I308" s="12" t="s">
        <v>56</v>
      </c>
      <c r="J308" s="14">
        <v>-3044.42</v>
      </c>
      <c r="K308" s="12" t="s">
        <v>735</v>
      </c>
    </row>
    <row r="309" spans="1:11" x14ac:dyDescent="0.35">
      <c r="A309" s="12" t="s">
        <v>495</v>
      </c>
      <c r="B309" s="15">
        <v>2025</v>
      </c>
      <c r="C309" s="13">
        <v>45848</v>
      </c>
      <c r="D309" s="12" t="s">
        <v>496</v>
      </c>
      <c r="E309" s="13">
        <v>45848</v>
      </c>
      <c r="F309" s="84">
        <v>256779421237</v>
      </c>
      <c r="G309" s="12" t="s">
        <v>11</v>
      </c>
      <c r="H309" s="14">
        <v>-35.4</v>
      </c>
      <c r="I309" s="12" t="s">
        <v>56</v>
      </c>
      <c r="J309" s="14">
        <v>-3044.42</v>
      </c>
      <c r="K309" s="12" t="s">
        <v>736</v>
      </c>
    </row>
    <row r="310" spans="1:11" x14ac:dyDescent="0.35">
      <c r="A310" s="12" t="s">
        <v>495</v>
      </c>
      <c r="B310" s="15">
        <v>2025</v>
      </c>
      <c r="C310" s="13">
        <v>45848</v>
      </c>
      <c r="D310" s="12" t="s">
        <v>496</v>
      </c>
      <c r="E310" s="13">
        <v>45848</v>
      </c>
      <c r="F310" s="84">
        <v>256779421238</v>
      </c>
      <c r="G310" s="12" t="s">
        <v>11</v>
      </c>
      <c r="H310" s="14">
        <v>-35.4</v>
      </c>
      <c r="I310" s="12" t="s">
        <v>56</v>
      </c>
      <c r="J310" s="14">
        <v>-3044.42</v>
      </c>
      <c r="K310" s="12" t="s">
        <v>737</v>
      </c>
    </row>
    <row r="311" spans="1:11" x14ac:dyDescent="0.35">
      <c r="A311" s="12" t="s">
        <v>495</v>
      </c>
      <c r="B311" s="15">
        <v>2025</v>
      </c>
      <c r="C311" s="13">
        <v>45848</v>
      </c>
      <c r="D311" s="12" t="s">
        <v>496</v>
      </c>
      <c r="E311" s="13">
        <v>45848</v>
      </c>
      <c r="F311" s="84">
        <v>256779421239</v>
      </c>
      <c r="G311" s="12" t="s">
        <v>11</v>
      </c>
      <c r="H311" s="14">
        <v>-35.4</v>
      </c>
      <c r="I311" s="12" t="s">
        <v>56</v>
      </c>
      <c r="J311" s="14">
        <v>-3044.42</v>
      </c>
      <c r="K311" s="12" t="s">
        <v>738</v>
      </c>
    </row>
    <row r="312" spans="1:11" x14ac:dyDescent="0.35">
      <c r="A312" s="12" t="s">
        <v>495</v>
      </c>
      <c r="B312" s="15">
        <v>2025</v>
      </c>
      <c r="C312" s="13">
        <v>45848</v>
      </c>
      <c r="D312" s="12" t="s">
        <v>496</v>
      </c>
      <c r="E312" s="13">
        <v>45848</v>
      </c>
      <c r="F312" s="84">
        <v>256779421240</v>
      </c>
      <c r="G312" s="12" t="s">
        <v>11</v>
      </c>
      <c r="H312" s="14">
        <v>-35.4</v>
      </c>
      <c r="I312" s="12" t="s">
        <v>56</v>
      </c>
      <c r="J312" s="14">
        <v>-3044.42</v>
      </c>
      <c r="K312" s="12" t="s">
        <v>739</v>
      </c>
    </row>
    <row r="313" spans="1:11" x14ac:dyDescent="0.35">
      <c r="A313" s="12" t="s">
        <v>495</v>
      </c>
      <c r="B313" s="15">
        <v>2025</v>
      </c>
      <c r="C313" s="13">
        <v>45848</v>
      </c>
      <c r="D313" s="12" t="s">
        <v>496</v>
      </c>
      <c r="E313" s="13">
        <v>45848</v>
      </c>
      <c r="F313" s="84">
        <v>256779421241</v>
      </c>
      <c r="G313" s="12" t="s">
        <v>11</v>
      </c>
      <c r="H313" s="14">
        <v>-35.4</v>
      </c>
      <c r="I313" s="12" t="s">
        <v>56</v>
      </c>
      <c r="J313" s="14">
        <v>-3044.42</v>
      </c>
      <c r="K313" s="12" t="s">
        <v>740</v>
      </c>
    </row>
    <row r="314" spans="1:11" x14ac:dyDescent="0.35">
      <c r="A314" s="12" t="s">
        <v>495</v>
      </c>
      <c r="B314" s="15">
        <v>2025</v>
      </c>
      <c r="C314" s="13">
        <v>45848</v>
      </c>
      <c r="D314" s="12" t="s">
        <v>496</v>
      </c>
      <c r="E314" s="13">
        <v>45848</v>
      </c>
      <c r="F314" s="84">
        <v>256779421242</v>
      </c>
      <c r="G314" s="12" t="s">
        <v>11</v>
      </c>
      <c r="H314" s="14">
        <v>-35.4</v>
      </c>
      <c r="I314" s="12" t="s">
        <v>56</v>
      </c>
      <c r="J314" s="14">
        <v>-3044.42</v>
      </c>
      <c r="K314" s="12" t="s">
        <v>741</v>
      </c>
    </row>
    <row r="315" spans="1:11" x14ac:dyDescent="0.35">
      <c r="A315" s="12" t="s">
        <v>495</v>
      </c>
      <c r="B315" s="15">
        <v>2025</v>
      </c>
      <c r="C315" s="13">
        <v>45848</v>
      </c>
      <c r="D315" s="12" t="s">
        <v>496</v>
      </c>
      <c r="E315" s="13">
        <v>45848</v>
      </c>
      <c r="F315" s="84">
        <v>256779421243</v>
      </c>
      <c r="G315" s="12" t="s">
        <v>11</v>
      </c>
      <c r="H315" s="14">
        <v>-35.4</v>
      </c>
      <c r="I315" s="12" t="s">
        <v>56</v>
      </c>
      <c r="J315" s="14">
        <v>-3044.42</v>
      </c>
      <c r="K315" s="12" t="s">
        <v>742</v>
      </c>
    </row>
    <row r="316" spans="1:11" x14ac:dyDescent="0.35">
      <c r="A316" s="12" t="s">
        <v>495</v>
      </c>
      <c r="B316" s="15">
        <v>2025</v>
      </c>
      <c r="C316" s="13">
        <v>45848</v>
      </c>
      <c r="D316" s="12" t="s">
        <v>496</v>
      </c>
      <c r="E316" s="13">
        <v>45848</v>
      </c>
      <c r="F316" s="84">
        <v>256779421244</v>
      </c>
      <c r="G316" s="12" t="s">
        <v>11</v>
      </c>
      <c r="H316" s="14">
        <v>-91.43</v>
      </c>
      <c r="I316" s="12" t="s">
        <v>56</v>
      </c>
      <c r="J316" s="14">
        <v>-7863.04</v>
      </c>
      <c r="K316" s="12" t="s">
        <v>743</v>
      </c>
    </row>
    <row r="317" spans="1:11" x14ac:dyDescent="0.35">
      <c r="A317" s="12" t="s">
        <v>495</v>
      </c>
      <c r="B317" s="15">
        <v>2025</v>
      </c>
      <c r="C317" s="13">
        <v>45848</v>
      </c>
      <c r="D317" s="12" t="s">
        <v>496</v>
      </c>
      <c r="E317" s="13">
        <v>45848</v>
      </c>
      <c r="F317" s="84">
        <v>256779421245</v>
      </c>
      <c r="G317" s="12" t="s">
        <v>11</v>
      </c>
      <c r="H317" s="14">
        <v>-236</v>
      </c>
      <c r="I317" s="12" t="s">
        <v>56</v>
      </c>
      <c r="J317" s="14">
        <v>-20296.16</v>
      </c>
      <c r="K317" s="12" t="s">
        <v>743</v>
      </c>
    </row>
    <row r="318" spans="1:11" x14ac:dyDescent="0.35">
      <c r="A318" s="12" t="s">
        <v>495</v>
      </c>
      <c r="B318" s="15">
        <v>2025</v>
      </c>
      <c r="C318" s="13">
        <v>45848</v>
      </c>
      <c r="D318" s="12" t="s">
        <v>496</v>
      </c>
      <c r="E318" s="13">
        <v>45848</v>
      </c>
      <c r="F318" s="84">
        <v>256779421246</v>
      </c>
      <c r="G318" s="12" t="s">
        <v>11</v>
      </c>
      <c r="H318" s="14">
        <v>-70.8</v>
      </c>
      <c r="I318" s="12" t="s">
        <v>56</v>
      </c>
      <c r="J318" s="14">
        <v>-6088.85</v>
      </c>
      <c r="K318" s="12" t="s">
        <v>743</v>
      </c>
    </row>
    <row r="319" spans="1:11" x14ac:dyDescent="0.35">
      <c r="A319" s="12" t="s">
        <v>495</v>
      </c>
      <c r="B319" s="15">
        <v>2025</v>
      </c>
      <c r="C319" s="13">
        <v>45848</v>
      </c>
      <c r="D319" s="12" t="s">
        <v>496</v>
      </c>
      <c r="E319" s="13">
        <v>45848</v>
      </c>
      <c r="F319" s="84">
        <v>256779421247</v>
      </c>
      <c r="G319" s="12" t="s">
        <v>11</v>
      </c>
      <c r="H319" s="14">
        <v>-211.39</v>
      </c>
      <c r="I319" s="12" t="s">
        <v>56</v>
      </c>
      <c r="J319" s="14">
        <v>-18179.68</v>
      </c>
      <c r="K319" s="12" t="s">
        <v>744</v>
      </c>
    </row>
    <row r="320" spans="1:11" x14ac:dyDescent="0.35">
      <c r="A320" s="12" t="s">
        <v>495</v>
      </c>
      <c r="B320" s="15">
        <v>2025</v>
      </c>
      <c r="C320" s="13">
        <v>45848</v>
      </c>
      <c r="D320" s="12" t="s">
        <v>496</v>
      </c>
      <c r="E320" s="13">
        <v>45848</v>
      </c>
      <c r="F320" s="84">
        <v>256779421248</v>
      </c>
      <c r="G320" s="12" t="s">
        <v>11</v>
      </c>
      <c r="H320" s="14">
        <v>-141.6</v>
      </c>
      <c r="I320" s="12" t="s">
        <v>56</v>
      </c>
      <c r="J320" s="14">
        <v>-12177.69</v>
      </c>
      <c r="K320" s="12" t="s">
        <v>745</v>
      </c>
    </row>
    <row r="321" spans="1:11" x14ac:dyDescent="0.35">
      <c r="A321" s="12" t="s">
        <v>495</v>
      </c>
      <c r="B321" s="15">
        <v>2025</v>
      </c>
      <c r="C321" s="13">
        <v>45848</v>
      </c>
      <c r="D321" s="12" t="s">
        <v>496</v>
      </c>
      <c r="E321" s="13">
        <v>45848</v>
      </c>
      <c r="F321" s="84">
        <v>256779421249</v>
      </c>
      <c r="G321" s="12" t="s">
        <v>11</v>
      </c>
      <c r="H321" s="14">
        <v>-70.8</v>
      </c>
      <c r="I321" s="12" t="s">
        <v>56</v>
      </c>
      <c r="J321" s="14">
        <v>-6088.85</v>
      </c>
      <c r="K321" s="12" t="s">
        <v>746</v>
      </c>
    </row>
    <row r="322" spans="1:11" x14ac:dyDescent="0.35">
      <c r="A322" s="12" t="s">
        <v>495</v>
      </c>
      <c r="B322" s="15">
        <v>2025</v>
      </c>
      <c r="C322" s="13">
        <v>45848</v>
      </c>
      <c r="D322" s="12" t="s">
        <v>496</v>
      </c>
      <c r="E322" s="13">
        <v>45848</v>
      </c>
      <c r="F322" s="84">
        <v>256779421250</v>
      </c>
      <c r="G322" s="12" t="s">
        <v>11</v>
      </c>
      <c r="H322" s="14">
        <v>-236</v>
      </c>
      <c r="I322" s="12" t="s">
        <v>56</v>
      </c>
      <c r="J322" s="14">
        <v>-20296.16</v>
      </c>
      <c r="K322" s="12" t="s">
        <v>747</v>
      </c>
    </row>
    <row r="323" spans="1:11" x14ac:dyDescent="0.35">
      <c r="A323" s="12" t="s">
        <v>495</v>
      </c>
      <c r="B323" s="15">
        <v>2025</v>
      </c>
      <c r="C323" s="13">
        <v>45848</v>
      </c>
      <c r="D323" s="12" t="s">
        <v>496</v>
      </c>
      <c r="E323" s="13">
        <v>45848</v>
      </c>
      <c r="F323" s="84">
        <v>256779421251</v>
      </c>
      <c r="G323" s="12" t="s">
        <v>11</v>
      </c>
      <c r="H323" s="14">
        <v>-300.49</v>
      </c>
      <c r="I323" s="12" t="s">
        <v>56</v>
      </c>
      <c r="J323" s="14">
        <v>-25842.34</v>
      </c>
      <c r="K323" s="12" t="s">
        <v>748</v>
      </c>
    </row>
    <row r="324" spans="1:11" x14ac:dyDescent="0.35">
      <c r="A324" s="12" t="s">
        <v>495</v>
      </c>
      <c r="B324" s="15">
        <v>2025</v>
      </c>
      <c r="C324" s="13">
        <v>45848</v>
      </c>
      <c r="D324" s="12" t="s">
        <v>496</v>
      </c>
      <c r="E324" s="13">
        <v>45848</v>
      </c>
      <c r="F324" s="84">
        <v>256779421252</v>
      </c>
      <c r="G324" s="12" t="s">
        <v>11</v>
      </c>
      <c r="H324" s="14">
        <v>-165.4</v>
      </c>
      <c r="I324" s="12" t="s">
        <v>56</v>
      </c>
      <c r="J324" s="14">
        <v>-14224.51</v>
      </c>
      <c r="K324" s="12" t="s">
        <v>749</v>
      </c>
    </row>
    <row r="325" spans="1:11" x14ac:dyDescent="0.35">
      <c r="A325" s="12" t="s">
        <v>495</v>
      </c>
      <c r="B325" s="15">
        <v>2025</v>
      </c>
      <c r="C325" s="13">
        <v>45848</v>
      </c>
      <c r="D325" s="12" t="s">
        <v>496</v>
      </c>
      <c r="E325" s="13">
        <v>45848</v>
      </c>
      <c r="F325" s="84">
        <v>256779421253</v>
      </c>
      <c r="G325" s="12" t="s">
        <v>11</v>
      </c>
      <c r="H325" s="14">
        <v>-14.75</v>
      </c>
      <c r="I325" s="12" t="s">
        <v>56</v>
      </c>
      <c r="J325" s="14">
        <v>-1268.51</v>
      </c>
      <c r="K325" s="12" t="s">
        <v>723</v>
      </c>
    </row>
    <row r="326" spans="1:11" x14ac:dyDescent="0.35">
      <c r="A326" s="12" t="s">
        <v>495</v>
      </c>
      <c r="B326" s="15">
        <v>2025</v>
      </c>
      <c r="C326" s="13">
        <v>45848</v>
      </c>
      <c r="D326" s="12" t="s">
        <v>496</v>
      </c>
      <c r="E326" s="13">
        <v>45848</v>
      </c>
      <c r="F326" s="84">
        <v>256779421254</v>
      </c>
      <c r="G326" s="12" t="s">
        <v>11</v>
      </c>
      <c r="H326" s="14">
        <v>-250.75</v>
      </c>
      <c r="I326" s="12" t="s">
        <v>56</v>
      </c>
      <c r="J326" s="14">
        <v>-21564.67</v>
      </c>
      <c r="K326" s="12" t="s">
        <v>750</v>
      </c>
    </row>
    <row r="327" spans="1:11" x14ac:dyDescent="0.35">
      <c r="A327" s="12" t="s">
        <v>495</v>
      </c>
      <c r="B327" s="15">
        <v>2025</v>
      </c>
      <c r="C327" s="13">
        <v>45848</v>
      </c>
      <c r="D327" s="12" t="s">
        <v>496</v>
      </c>
      <c r="E327" s="13">
        <v>45848</v>
      </c>
      <c r="F327" s="84">
        <v>256779421255</v>
      </c>
      <c r="G327" s="12" t="s">
        <v>11</v>
      </c>
      <c r="H327" s="14">
        <v>-226.56</v>
      </c>
      <c r="I327" s="12" t="s">
        <v>56</v>
      </c>
      <c r="J327" s="14">
        <v>-19484.310000000001</v>
      </c>
      <c r="K327" s="12" t="s">
        <v>751</v>
      </c>
    </row>
    <row r="328" spans="1:11" x14ac:dyDescent="0.35">
      <c r="A328" s="12" t="s">
        <v>495</v>
      </c>
      <c r="B328" s="15">
        <v>2025</v>
      </c>
      <c r="C328" s="13">
        <v>45848</v>
      </c>
      <c r="D328" s="12" t="s">
        <v>496</v>
      </c>
      <c r="E328" s="13">
        <v>45848</v>
      </c>
      <c r="F328" s="84">
        <v>256779421256</v>
      </c>
      <c r="G328" s="12" t="s">
        <v>11</v>
      </c>
      <c r="H328" s="14">
        <v>-249.87</v>
      </c>
      <c r="I328" s="12" t="s">
        <v>56</v>
      </c>
      <c r="J328" s="14">
        <v>-21488.99</v>
      </c>
      <c r="K328" s="12" t="s">
        <v>752</v>
      </c>
    </row>
    <row r="329" spans="1:11" x14ac:dyDescent="0.35">
      <c r="A329" s="12" t="s">
        <v>495</v>
      </c>
      <c r="B329" s="15">
        <v>2025</v>
      </c>
      <c r="C329" s="13">
        <v>45848</v>
      </c>
      <c r="D329" s="12" t="s">
        <v>496</v>
      </c>
      <c r="E329" s="13">
        <v>45848</v>
      </c>
      <c r="F329" s="84">
        <v>256779421257</v>
      </c>
      <c r="G329" s="12" t="s">
        <v>11</v>
      </c>
      <c r="H329" s="14">
        <v>-173.05</v>
      </c>
      <c r="I329" s="12" t="s">
        <v>56</v>
      </c>
      <c r="J329" s="14">
        <v>-14882.42</v>
      </c>
      <c r="K329" s="12" t="s">
        <v>753</v>
      </c>
    </row>
    <row r="330" spans="1:11" x14ac:dyDescent="0.35">
      <c r="A330" s="12" t="s">
        <v>495</v>
      </c>
      <c r="B330" s="15">
        <v>2025</v>
      </c>
      <c r="C330" s="13">
        <v>45848</v>
      </c>
      <c r="D330" s="12" t="s">
        <v>496</v>
      </c>
      <c r="E330" s="13">
        <v>45848</v>
      </c>
      <c r="F330" s="84">
        <v>256779421258</v>
      </c>
      <c r="G330" s="12" t="s">
        <v>11</v>
      </c>
      <c r="H330" s="14">
        <v>-226.56</v>
      </c>
      <c r="I330" s="12" t="s">
        <v>56</v>
      </c>
      <c r="J330" s="14">
        <v>-19484.310000000001</v>
      </c>
      <c r="K330" s="12" t="s">
        <v>754</v>
      </c>
    </row>
    <row r="331" spans="1:11" x14ac:dyDescent="0.35">
      <c r="A331" s="12" t="s">
        <v>495</v>
      </c>
      <c r="B331" s="15">
        <v>2025</v>
      </c>
      <c r="C331" s="13">
        <v>45848</v>
      </c>
      <c r="D331" s="12" t="s">
        <v>496</v>
      </c>
      <c r="E331" s="13">
        <v>45848</v>
      </c>
      <c r="F331" s="84">
        <v>256779421259</v>
      </c>
      <c r="G331" s="12" t="s">
        <v>11</v>
      </c>
      <c r="H331" s="14">
        <v>-218.36</v>
      </c>
      <c r="I331" s="12" t="s">
        <v>56</v>
      </c>
      <c r="J331" s="14">
        <v>-18779.11</v>
      </c>
      <c r="K331" s="12" t="s">
        <v>755</v>
      </c>
    </row>
    <row r="332" spans="1:11" x14ac:dyDescent="0.35">
      <c r="A332" s="12" t="s">
        <v>495</v>
      </c>
      <c r="B332" s="15">
        <v>2025</v>
      </c>
      <c r="C332" s="13">
        <v>45848</v>
      </c>
      <c r="D332" s="12" t="s">
        <v>496</v>
      </c>
      <c r="E332" s="13">
        <v>45848</v>
      </c>
      <c r="F332" s="84">
        <v>256779421260</v>
      </c>
      <c r="G332" s="12" t="s">
        <v>11</v>
      </c>
      <c r="H332" s="14">
        <v>-23.6</v>
      </c>
      <c r="I332" s="12" t="s">
        <v>56</v>
      </c>
      <c r="J332" s="14">
        <v>-2029.62</v>
      </c>
      <c r="K332" s="12" t="s">
        <v>756</v>
      </c>
    </row>
    <row r="333" spans="1:11" x14ac:dyDescent="0.35">
      <c r="A333" s="12" t="s">
        <v>495</v>
      </c>
      <c r="B333" s="15">
        <v>2025</v>
      </c>
      <c r="C333" s="13">
        <v>45848</v>
      </c>
      <c r="D333" s="12" t="s">
        <v>496</v>
      </c>
      <c r="E333" s="13">
        <v>45848</v>
      </c>
      <c r="F333" s="84">
        <v>256779421261</v>
      </c>
      <c r="G333" s="12" t="s">
        <v>11</v>
      </c>
      <c r="H333" s="14">
        <v>-26.55</v>
      </c>
      <c r="I333" s="12" t="s">
        <v>56</v>
      </c>
      <c r="J333" s="14">
        <v>-2283.3200000000002</v>
      </c>
      <c r="K333" s="12" t="s">
        <v>757</v>
      </c>
    </row>
    <row r="334" spans="1:11" x14ac:dyDescent="0.35">
      <c r="A334" s="12" t="s">
        <v>495</v>
      </c>
      <c r="B334" s="15">
        <v>2025</v>
      </c>
      <c r="C334" s="13">
        <v>45848</v>
      </c>
      <c r="D334" s="12" t="s">
        <v>496</v>
      </c>
      <c r="E334" s="13">
        <v>45848</v>
      </c>
      <c r="F334" s="84">
        <v>256779421262</v>
      </c>
      <c r="G334" s="12" t="s">
        <v>11</v>
      </c>
      <c r="H334" s="14">
        <v>-32.450000000000003</v>
      </c>
      <c r="I334" s="12" t="s">
        <v>56</v>
      </c>
      <c r="J334" s="14">
        <v>-2790.72</v>
      </c>
      <c r="K334" s="12" t="s">
        <v>758</v>
      </c>
    </row>
    <row r="335" spans="1:11" x14ac:dyDescent="0.35">
      <c r="A335" s="12" t="s">
        <v>495</v>
      </c>
      <c r="B335" s="15">
        <v>2025</v>
      </c>
      <c r="C335" s="13">
        <v>45848</v>
      </c>
      <c r="D335" s="12" t="s">
        <v>496</v>
      </c>
      <c r="E335" s="13">
        <v>45848</v>
      </c>
      <c r="F335" s="84">
        <v>256779421263</v>
      </c>
      <c r="G335" s="12" t="s">
        <v>11</v>
      </c>
      <c r="H335" s="14">
        <v>-26.55</v>
      </c>
      <c r="I335" s="12" t="s">
        <v>56</v>
      </c>
      <c r="J335" s="14">
        <v>-2283.3200000000002</v>
      </c>
      <c r="K335" s="12" t="s">
        <v>759</v>
      </c>
    </row>
    <row r="336" spans="1:11" x14ac:dyDescent="0.35">
      <c r="A336" s="12" t="s">
        <v>495</v>
      </c>
      <c r="B336" s="15">
        <v>2025</v>
      </c>
      <c r="C336" s="13">
        <v>45848</v>
      </c>
      <c r="D336" s="12" t="s">
        <v>496</v>
      </c>
      <c r="E336" s="13">
        <v>45848</v>
      </c>
      <c r="F336" s="84">
        <v>256779421264</v>
      </c>
      <c r="G336" s="12" t="s">
        <v>11</v>
      </c>
      <c r="H336" s="14">
        <v>-26.55</v>
      </c>
      <c r="I336" s="12" t="s">
        <v>56</v>
      </c>
      <c r="J336" s="14">
        <v>-2283.3200000000002</v>
      </c>
      <c r="K336" s="12" t="s">
        <v>760</v>
      </c>
    </row>
    <row r="337" spans="1:11" x14ac:dyDescent="0.35">
      <c r="A337" s="12" t="s">
        <v>495</v>
      </c>
      <c r="B337" s="15">
        <v>2025</v>
      </c>
      <c r="C337" s="13">
        <v>45848</v>
      </c>
      <c r="D337" s="12" t="s">
        <v>496</v>
      </c>
      <c r="E337" s="13">
        <v>45848</v>
      </c>
      <c r="F337" s="84">
        <v>256779421265</v>
      </c>
      <c r="G337" s="12" t="s">
        <v>11</v>
      </c>
      <c r="H337" s="14">
        <v>-2.95</v>
      </c>
      <c r="I337" s="12" t="s">
        <v>56</v>
      </c>
      <c r="J337" s="14">
        <v>-253.7</v>
      </c>
      <c r="K337" s="12" t="s">
        <v>761</v>
      </c>
    </row>
    <row r="338" spans="1:11" x14ac:dyDescent="0.35">
      <c r="A338" s="12" t="s">
        <v>495</v>
      </c>
      <c r="B338" s="15">
        <v>2025</v>
      </c>
      <c r="C338" s="13">
        <v>45848</v>
      </c>
      <c r="D338" s="12" t="s">
        <v>496</v>
      </c>
      <c r="E338" s="13">
        <v>45848</v>
      </c>
      <c r="F338" s="84">
        <v>256779421266</v>
      </c>
      <c r="G338" s="12" t="s">
        <v>11</v>
      </c>
      <c r="H338" s="14">
        <v>-26.55</v>
      </c>
      <c r="I338" s="12" t="s">
        <v>56</v>
      </c>
      <c r="J338" s="14">
        <v>-2283.3200000000002</v>
      </c>
      <c r="K338" s="12" t="s">
        <v>724</v>
      </c>
    </row>
    <row r="339" spans="1:11" x14ac:dyDescent="0.35">
      <c r="A339" s="12" t="s">
        <v>495</v>
      </c>
      <c r="B339" s="15">
        <v>2025</v>
      </c>
      <c r="C339" s="13">
        <v>45848</v>
      </c>
      <c r="D339" s="12" t="s">
        <v>496</v>
      </c>
      <c r="E339" s="13">
        <v>45848</v>
      </c>
      <c r="F339" s="84">
        <v>256779421267</v>
      </c>
      <c r="G339" s="12" t="s">
        <v>11</v>
      </c>
      <c r="H339" s="14">
        <v>-26.55</v>
      </c>
      <c r="I339" s="12" t="s">
        <v>56</v>
      </c>
      <c r="J339" s="14">
        <v>-2283.3200000000002</v>
      </c>
      <c r="K339" s="12" t="s">
        <v>725</v>
      </c>
    </row>
    <row r="340" spans="1:11" x14ac:dyDescent="0.35">
      <c r="A340" s="12" t="s">
        <v>495</v>
      </c>
      <c r="B340" s="15">
        <v>2025</v>
      </c>
      <c r="C340" s="13">
        <v>45848</v>
      </c>
      <c r="D340" s="12" t="s">
        <v>496</v>
      </c>
      <c r="E340" s="13">
        <v>45848</v>
      </c>
      <c r="F340" s="84">
        <v>256779421268</v>
      </c>
      <c r="G340" s="12" t="s">
        <v>11</v>
      </c>
      <c r="H340" s="14">
        <v>-29.5</v>
      </c>
      <c r="I340" s="12" t="s">
        <v>56</v>
      </c>
      <c r="J340" s="14">
        <v>-2537.02</v>
      </c>
      <c r="K340" s="12" t="s">
        <v>726</v>
      </c>
    </row>
    <row r="341" spans="1:11" x14ac:dyDescent="0.35">
      <c r="A341" s="12" t="s">
        <v>495</v>
      </c>
      <c r="B341" s="15">
        <v>2025</v>
      </c>
      <c r="C341" s="13">
        <v>45848</v>
      </c>
      <c r="D341" s="12" t="s">
        <v>496</v>
      </c>
      <c r="E341" s="13">
        <v>45848</v>
      </c>
      <c r="F341" s="84">
        <v>256779421269</v>
      </c>
      <c r="G341" s="12" t="s">
        <v>11</v>
      </c>
      <c r="H341" s="14">
        <v>-5.9</v>
      </c>
      <c r="I341" s="12" t="s">
        <v>56</v>
      </c>
      <c r="J341" s="14">
        <v>-507.4</v>
      </c>
      <c r="K341" s="12" t="s">
        <v>727</v>
      </c>
    </row>
    <row r="342" spans="1:11" x14ac:dyDescent="0.35">
      <c r="A342" s="12" t="s">
        <v>495</v>
      </c>
      <c r="B342" s="15">
        <v>2025</v>
      </c>
      <c r="C342" s="13">
        <v>45848</v>
      </c>
      <c r="D342" s="12" t="s">
        <v>496</v>
      </c>
      <c r="E342" s="13">
        <v>45848</v>
      </c>
      <c r="F342" s="84">
        <v>256779421270</v>
      </c>
      <c r="G342" s="12" t="s">
        <v>11</v>
      </c>
      <c r="H342" s="14">
        <v>-20.65</v>
      </c>
      <c r="I342" s="12" t="s">
        <v>56</v>
      </c>
      <c r="J342" s="14">
        <v>-1775.91</v>
      </c>
      <c r="K342" s="12" t="s">
        <v>728</v>
      </c>
    </row>
    <row r="343" spans="1:11" x14ac:dyDescent="0.35">
      <c r="A343" s="12" t="s">
        <v>495</v>
      </c>
      <c r="B343" s="15">
        <v>2025</v>
      </c>
      <c r="C343" s="13">
        <v>45848</v>
      </c>
      <c r="D343" s="12" t="s">
        <v>496</v>
      </c>
      <c r="E343" s="13">
        <v>45848</v>
      </c>
      <c r="F343" s="84">
        <v>256779421271</v>
      </c>
      <c r="G343" s="12" t="s">
        <v>11</v>
      </c>
      <c r="H343" s="14">
        <v>-14.75</v>
      </c>
      <c r="I343" s="12" t="s">
        <v>56</v>
      </c>
      <c r="J343" s="14">
        <v>-1268.51</v>
      </c>
      <c r="K343" s="12" t="s">
        <v>729</v>
      </c>
    </row>
    <row r="344" spans="1:11" x14ac:dyDescent="0.35">
      <c r="A344" s="12" t="s">
        <v>495</v>
      </c>
      <c r="B344" s="15">
        <v>2025</v>
      </c>
      <c r="C344" s="13">
        <v>45848</v>
      </c>
      <c r="D344" s="12" t="s">
        <v>496</v>
      </c>
      <c r="E344" s="13">
        <v>45848</v>
      </c>
      <c r="F344" s="84">
        <v>256779421272</v>
      </c>
      <c r="G344" s="12" t="s">
        <v>11</v>
      </c>
      <c r="H344" s="14">
        <v>-32.32</v>
      </c>
      <c r="I344" s="12" t="s">
        <v>56</v>
      </c>
      <c r="J344" s="14">
        <v>-2779.54</v>
      </c>
      <c r="K344" s="12" t="s">
        <v>730</v>
      </c>
    </row>
    <row r="345" spans="1:11" x14ac:dyDescent="0.35">
      <c r="A345" s="12" t="s">
        <v>495</v>
      </c>
      <c r="B345" s="15">
        <v>2025</v>
      </c>
      <c r="C345" s="13">
        <v>45848</v>
      </c>
      <c r="D345" s="12" t="s">
        <v>496</v>
      </c>
      <c r="E345" s="13">
        <v>45848</v>
      </c>
      <c r="F345" s="84">
        <v>256779421273</v>
      </c>
      <c r="G345" s="12" t="s">
        <v>11</v>
      </c>
      <c r="H345" s="14">
        <v>-30.49</v>
      </c>
      <c r="I345" s="12" t="s">
        <v>56</v>
      </c>
      <c r="J345" s="14">
        <v>-2622.16</v>
      </c>
      <c r="K345" s="12" t="s">
        <v>731</v>
      </c>
    </row>
    <row r="346" spans="1:11" x14ac:dyDescent="0.35">
      <c r="A346" s="12" t="s">
        <v>495</v>
      </c>
      <c r="B346" s="15">
        <v>2025</v>
      </c>
      <c r="C346" s="13">
        <v>45848</v>
      </c>
      <c r="D346" s="12" t="s">
        <v>496</v>
      </c>
      <c r="E346" s="13">
        <v>45848</v>
      </c>
      <c r="F346" s="84">
        <v>256779421274</v>
      </c>
      <c r="G346" s="12" t="s">
        <v>11</v>
      </c>
      <c r="H346" s="14">
        <v>-17.7</v>
      </c>
      <c r="I346" s="12" t="s">
        <v>56</v>
      </c>
      <c r="J346" s="14">
        <v>-1522.21</v>
      </c>
      <c r="K346" s="12" t="s">
        <v>732</v>
      </c>
    </row>
    <row r="347" spans="1:11" x14ac:dyDescent="0.35">
      <c r="A347" s="12" t="s">
        <v>495</v>
      </c>
      <c r="B347" s="15">
        <v>2025</v>
      </c>
      <c r="C347" s="13">
        <v>45848</v>
      </c>
      <c r="D347" s="12" t="s">
        <v>496</v>
      </c>
      <c r="E347" s="13">
        <v>45848</v>
      </c>
      <c r="F347" s="84">
        <v>256779421275</v>
      </c>
      <c r="G347" s="12" t="s">
        <v>11</v>
      </c>
      <c r="H347" s="14">
        <v>-2.95</v>
      </c>
      <c r="I347" s="12" t="s">
        <v>56</v>
      </c>
      <c r="J347" s="14">
        <v>-253.7</v>
      </c>
      <c r="K347" s="12" t="s">
        <v>733</v>
      </c>
    </row>
    <row r="348" spans="1:11" x14ac:dyDescent="0.35">
      <c r="A348" s="12" t="s">
        <v>495</v>
      </c>
      <c r="B348" s="15">
        <v>2025</v>
      </c>
      <c r="C348" s="13">
        <v>45848</v>
      </c>
      <c r="D348" s="12" t="s">
        <v>496</v>
      </c>
      <c r="E348" s="13">
        <v>45848</v>
      </c>
      <c r="F348" s="84">
        <v>256779421276</v>
      </c>
      <c r="G348" s="12" t="s">
        <v>11</v>
      </c>
      <c r="H348" s="14">
        <v>-1.18</v>
      </c>
      <c r="I348" s="12" t="s">
        <v>56</v>
      </c>
      <c r="J348" s="14">
        <v>-101.48</v>
      </c>
      <c r="K348" s="12" t="s">
        <v>733</v>
      </c>
    </row>
    <row r="349" spans="1:11" x14ac:dyDescent="0.35">
      <c r="A349" s="12" t="s">
        <v>495</v>
      </c>
      <c r="B349" s="15">
        <v>2025</v>
      </c>
      <c r="C349" s="13">
        <v>45848</v>
      </c>
      <c r="D349" s="12" t="s">
        <v>496</v>
      </c>
      <c r="E349" s="13">
        <v>45848</v>
      </c>
      <c r="F349" s="84">
        <v>256779421277</v>
      </c>
      <c r="G349" s="12" t="s">
        <v>11</v>
      </c>
      <c r="H349" s="14">
        <v>-29.5</v>
      </c>
      <c r="I349" s="12" t="s">
        <v>56</v>
      </c>
      <c r="J349" s="14">
        <v>-2537.02</v>
      </c>
      <c r="K349" s="12" t="s">
        <v>762</v>
      </c>
    </row>
    <row r="350" spans="1:11" x14ac:dyDescent="0.35">
      <c r="A350" s="12" t="s">
        <v>495</v>
      </c>
      <c r="B350" s="15">
        <v>2025</v>
      </c>
      <c r="C350" s="13">
        <v>45848</v>
      </c>
      <c r="D350" s="12" t="s">
        <v>496</v>
      </c>
      <c r="E350" s="13">
        <v>45848</v>
      </c>
      <c r="F350" s="84">
        <v>256779421278</v>
      </c>
      <c r="G350" s="12" t="s">
        <v>11</v>
      </c>
      <c r="H350" s="14">
        <v>-29.5</v>
      </c>
      <c r="I350" s="12" t="s">
        <v>56</v>
      </c>
      <c r="J350" s="14">
        <v>-2537.02</v>
      </c>
      <c r="K350" s="12" t="s">
        <v>763</v>
      </c>
    </row>
    <row r="351" spans="1:11" x14ac:dyDescent="0.35">
      <c r="A351" s="12" t="s">
        <v>495</v>
      </c>
      <c r="B351" s="15">
        <v>2025</v>
      </c>
      <c r="C351" s="13">
        <v>45848</v>
      </c>
      <c r="D351" s="12" t="s">
        <v>496</v>
      </c>
      <c r="E351" s="13">
        <v>45848</v>
      </c>
      <c r="F351" s="84">
        <v>256779421279</v>
      </c>
      <c r="G351" s="12" t="s">
        <v>11</v>
      </c>
      <c r="H351" s="14">
        <v>-20.65</v>
      </c>
      <c r="I351" s="12" t="s">
        <v>56</v>
      </c>
      <c r="J351" s="14">
        <v>-1775.91</v>
      </c>
      <c r="K351" s="12" t="s">
        <v>764</v>
      </c>
    </row>
    <row r="352" spans="1:11" x14ac:dyDescent="0.35">
      <c r="A352" s="12" t="s">
        <v>495</v>
      </c>
      <c r="B352" s="15">
        <v>2025</v>
      </c>
      <c r="C352" s="13">
        <v>45848</v>
      </c>
      <c r="D352" s="12" t="s">
        <v>496</v>
      </c>
      <c r="E352" s="13">
        <v>45848</v>
      </c>
      <c r="F352" s="84">
        <v>256779421280</v>
      </c>
      <c r="G352" s="12" t="s">
        <v>11</v>
      </c>
      <c r="H352" s="14">
        <v>-23.6</v>
      </c>
      <c r="I352" s="12" t="s">
        <v>56</v>
      </c>
      <c r="J352" s="14">
        <v>-2029.62</v>
      </c>
      <c r="K352" s="12" t="s">
        <v>765</v>
      </c>
    </row>
    <row r="353" spans="1:11" x14ac:dyDescent="0.35">
      <c r="A353" s="12" t="s">
        <v>495</v>
      </c>
      <c r="B353" s="15">
        <v>2025</v>
      </c>
      <c r="C353" s="13">
        <v>45848</v>
      </c>
      <c r="D353" s="12" t="s">
        <v>496</v>
      </c>
      <c r="E353" s="13">
        <v>45848</v>
      </c>
      <c r="F353" s="84">
        <v>256779421281</v>
      </c>
      <c r="G353" s="12" t="s">
        <v>11</v>
      </c>
      <c r="H353" s="14">
        <v>-8.85</v>
      </c>
      <c r="I353" s="12" t="s">
        <v>56</v>
      </c>
      <c r="J353" s="14">
        <v>-761.11</v>
      </c>
      <c r="K353" s="12" t="s">
        <v>766</v>
      </c>
    </row>
    <row r="354" spans="1:11" x14ac:dyDescent="0.35">
      <c r="A354" s="12" t="s">
        <v>495</v>
      </c>
      <c r="B354" s="15">
        <v>2025</v>
      </c>
      <c r="C354" s="13">
        <v>45848</v>
      </c>
      <c r="D354" s="12" t="s">
        <v>496</v>
      </c>
      <c r="E354" s="13">
        <v>45848</v>
      </c>
      <c r="F354" s="84">
        <v>256779421282</v>
      </c>
      <c r="G354" s="12" t="s">
        <v>11</v>
      </c>
      <c r="H354" s="14">
        <v>-32.450000000000003</v>
      </c>
      <c r="I354" s="12" t="s">
        <v>56</v>
      </c>
      <c r="J354" s="14">
        <v>-2790.72</v>
      </c>
      <c r="K354" s="12" t="s">
        <v>767</v>
      </c>
    </row>
    <row r="355" spans="1:11" x14ac:dyDescent="0.35">
      <c r="A355" s="12" t="s">
        <v>495</v>
      </c>
      <c r="B355" s="15">
        <v>2025</v>
      </c>
      <c r="C355" s="13">
        <v>45848</v>
      </c>
      <c r="D355" s="12" t="s">
        <v>496</v>
      </c>
      <c r="E355" s="13">
        <v>45848</v>
      </c>
      <c r="F355" s="84">
        <v>256779421283</v>
      </c>
      <c r="G355" s="12" t="s">
        <v>11</v>
      </c>
      <c r="H355" s="14">
        <v>-26.55</v>
      </c>
      <c r="I355" s="12" t="s">
        <v>56</v>
      </c>
      <c r="J355" s="14">
        <v>-2283.3200000000002</v>
      </c>
      <c r="K355" s="12" t="s">
        <v>768</v>
      </c>
    </row>
    <row r="356" spans="1:11" x14ac:dyDescent="0.35">
      <c r="A356" s="12" t="s">
        <v>495</v>
      </c>
      <c r="B356" s="15">
        <v>2025</v>
      </c>
      <c r="C356" s="13">
        <v>45848</v>
      </c>
      <c r="D356" s="12" t="s">
        <v>496</v>
      </c>
      <c r="E356" s="13">
        <v>45848</v>
      </c>
      <c r="F356" s="84">
        <v>256779421284</v>
      </c>
      <c r="G356" s="12" t="s">
        <v>11</v>
      </c>
      <c r="H356" s="14">
        <v>-20.100000000000001</v>
      </c>
      <c r="I356" s="12" t="s">
        <v>56</v>
      </c>
      <c r="J356" s="14">
        <v>-1728.61</v>
      </c>
      <c r="K356" s="12" t="s">
        <v>769</v>
      </c>
    </row>
    <row r="357" spans="1:11" x14ac:dyDescent="0.35">
      <c r="A357" s="12" t="s">
        <v>495</v>
      </c>
      <c r="B357" s="15">
        <v>2025</v>
      </c>
      <c r="C357" s="13">
        <v>45848</v>
      </c>
      <c r="D357" s="12" t="s">
        <v>496</v>
      </c>
      <c r="E357" s="13">
        <v>45848</v>
      </c>
      <c r="F357" s="84">
        <v>256779421285</v>
      </c>
      <c r="G357" s="12" t="s">
        <v>11</v>
      </c>
      <c r="H357" s="14">
        <v>-183.99</v>
      </c>
      <c r="I357" s="12" t="s">
        <v>56</v>
      </c>
      <c r="J357" s="14">
        <v>-15823.26</v>
      </c>
      <c r="K357" s="12" t="s">
        <v>770</v>
      </c>
    </row>
    <row r="358" spans="1:11" x14ac:dyDescent="0.35">
      <c r="A358" s="12" t="s">
        <v>495</v>
      </c>
      <c r="B358" s="15">
        <v>2025</v>
      </c>
      <c r="C358" s="13">
        <v>45848</v>
      </c>
      <c r="D358" s="12" t="s">
        <v>496</v>
      </c>
      <c r="E358" s="13">
        <v>45848</v>
      </c>
      <c r="F358" s="84">
        <v>256779421286</v>
      </c>
      <c r="G358" s="12" t="s">
        <v>11</v>
      </c>
      <c r="H358" s="14">
        <v>-236</v>
      </c>
      <c r="I358" s="12" t="s">
        <v>56</v>
      </c>
      <c r="J358" s="14">
        <v>-20296.16</v>
      </c>
      <c r="K358" s="12" t="s">
        <v>771</v>
      </c>
    </row>
    <row r="359" spans="1:11" x14ac:dyDescent="0.35">
      <c r="A359" s="12" t="s">
        <v>495</v>
      </c>
      <c r="B359" s="15">
        <v>2025</v>
      </c>
      <c r="C359" s="13">
        <v>45848</v>
      </c>
      <c r="D359" s="12" t="s">
        <v>496</v>
      </c>
      <c r="E359" s="13">
        <v>45848</v>
      </c>
      <c r="F359" s="84">
        <v>256779421287</v>
      </c>
      <c r="G359" s="12" t="s">
        <v>11</v>
      </c>
      <c r="H359" s="14">
        <v>-70.8</v>
      </c>
      <c r="I359" s="12" t="s">
        <v>56</v>
      </c>
      <c r="J359" s="14">
        <v>-6088.85</v>
      </c>
      <c r="K359" s="12" t="s">
        <v>772</v>
      </c>
    </row>
    <row r="360" spans="1:11" x14ac:dyDescent="0.35">
      <c r="A360" s="12" t="s">
        <v>495</v>
      </c>
      <c r="B360" s="15">
        <v>2025</v>
      </c>
      <c r="C360" s="13">
        <v>45848</v>
      </c>
      <c r="D360" s="12" t="s">
        <v>496</v>
      </c>
      <c r="E360" s="13">
        <v>45848</v>
      </c>
      <c r="F360" s="84">
        <v>256779421288</v>
      </c>
      <c r="G360" s="12" t="s">
        <v>11</v>
      </c>
      <c r="H360" s="14">
        <v>-25.22</v>
      </c>
      <c r="I360" s="12" t="s">
        <v>56</v>
      </c>
      <c r="J360" s="14">
        <v>-2168.94</v>
      </c>
      <c r="K360" s="12" t="s">
        <v>773</v>
      </c>
    </row>
    <row r="361" spans="1:11" x14ac:dyDescent="0.35">
      <c r="A361" s="12" t="s">
        <v>495</v>
      </c>
      <c r="B361" s="15">
        <v>2025</v>
      </c>
      <c r="C361" s="13">
        <v>45848</v>
      </c>
      <c r="D361" s="12" t="s">
        <v>496</v>
      </c>
      <c r="E361" s="13">
        <v>45848</v>
      </c>
      <c r="F361" s="84">
        <v>256779421289</v>
      </c>
      <c r="G361" s="12" t="s">
        <v>11</v>
      </c>
      <c r="H361" s="14">
        <v>-84.96</v>
      </c>
      <c r="I361" s="12" t="s">
        <v>56</v>
      </c>
      <c r="J361" s="14">
        <v>-7306.62</v>
      </c>
      <c r="K361" s="12" t="s">
        <v>774</v>
      </c>
    </row>
    <row r="362" spans="1:11" x14ac:dyDescent="0.35">
      <c r="A362" s="12" t="s">
        <v>495</v>
      </c>
      <c r="B362" s="15">
        <v>2025</v>
      </c>
      <c r="C362" s="13">
        <v>45848</v>
      </c>
      <c r="D362" s="12" t="s">
        <v>496</v>
      </c>
      <c r="E362" s="13">
        <v>45848</v>
      </c>
      <c r="F362" s="84">
        <v>256779421290</v>
      </c>
      <c r="G362" s="12" t="s">
        <v>11</v>
      </c>
      <c r="H362" s="14">
        <v>-244.58</v>
      </c>
      <c r="I362" s="12" t="s">
        <v>56</v>
      </c>
      <c r="J362" s="14">
        <v>-21034.04</v>
      </c>
      <c r="K362" s="12" t="s">
        <v>742</v>
      </c>
    </row>
    <row r="363" spans="1:11" x14ac:dyDescent="0.35">
      <c r="A363" s="12" t="s">
        <v>495</v>
      </c>
      <c r="B363" s="15">
        <v>2025</v>
      </c>
      <c r="C363" s="13">
        <v>45848</v>
      </c>
      <c r="D363" s="12" t="s">
        <v>496</v>
      </c>
      <c r="E363" s="13">
        <v>45848</v>
      </c>
      <c r="F363" s="84">
        <v>256779421291</v>
      </c>
      <c r="G363" s="12" t="s">
        <v>11</v>
      </c>
      <c r="H363" s="14">
        <v>-113.28</v>
      </c>
      <c r="I363" s="12" t="s">
        <v>56</v>
      </c>
      <c r="J363" s="14">
        <v>-9742.16</v>
      </c>
      <c r="K363" s="12" t="s">
        <v>742</v>
      </c>
    </row>
    <row r="364" spans="1:11" x14ac:dyDescent="0.35">
      <c r="A364" s="12" t="s">
        <v>495</v>
      </c>
      <c r="B364" s="15">
        <v>2025</v>
      </c>
      <c r="C364" s="13">
        <v>45848</v>
      </c>
      <c r="D364" s="12" t="s">
        <v>496</v>
      </c>
      <c r="E364" s="13">
        <v>45848</v>
      </c>
      <c r="F364" s="84">
        <v>256779421292</v>
      </c>
      <c r="G364" s="12" t="s">
        <v>11</v>
      </c>
      <c r="H364" s="14">
        <v>-236</v>
      </c>
      <c r="I364" s="12" t="s">
        <v>56</v>
      </c>
      <c r="J364" s="14">
        <v>-20296.16</v>
      </c>
      <c r="K364" s="12" t="s">
        <v>742</v>
      </c>
    </row>
    <row r="365" spans="1:11" x14ac:dyDescent="0.35">
      <c r="A365" s="12" t="s">
        <v>495</v>
      </c>
      <c r="B365" s="15">
        <v>2025</v>
      </c>
      <c r="C365" s="13">
        <v>45848</v>
      </c>
      <c r="D365" s="12" t="s">
        <v>496</v>
      </c>
      <c r="E365" s="13">
        <v>45848</v>
      </c>
      <c r="F365" s="84">
        <v>256779421293</v>
      </c>
      <c r="G365" s="12" t="s">
        <v>11</v>
      </c>
      <c r="H365" s="14">
        <v>-70.8</v>
      </c>
      <c r="I365" s="12" t="s">
        <v>56</v>
      </c>
      <c r="J365" s="14">
        <v>-6088.85</v>
      </c>
      <c r="K365" s="12" t="s">
        <v>742</v>
      </c>
    </row>
    <row r="366" spans="1:11" x14ac:dyDescent="0.35">
      <c r="A366" s="12" t="s">
        <v>495</v>
      </c>
      <c r="B366" s="15">
        <v>2025</v>
      </c>
      <c r="C366" s="13">
        <v>45848</v>
      </c>
      <c r="D366" s="12" t="s">
        <v>496</v>
      </c>
      <c r="E366" s="13">
        <v>45848</v>
      </c>
      <c r="F366" s="84">
        <v>256779421294</v>
      </c>
      <c r="G366" s="12" t="s">
        <v>11</v>
      </c>
      <c r="H366" s="14">
        <v>-79.650000000000006</v>
      </c>
      <c r="I366" s="12" t="s">
        <v>56</v>
      </c>
      <c r="J366" s="14">
        <v>-6849.95</v>
      </c>
      <c r="K366" s="12" t="s">
        <v>775</v>
      </c>
    </row>
    <row r="367" spans="1:11" x14ac:dyDescent="0.35">
      <c r="A367" s="12" t="s">
        <v>495</v>
      </c>
      <c r="B367" s="15">
        <v>2025</v>
      </c>
      <c r="C367" s="13">
        <v>45848</v>
      </c>
      <c r="D367" s="12" t="s">
        <v>496</v>
      </c>
      <c r="E367" s="13">
        <v>45848</v>
      </c>
      <c r="F367" s="84">
        <v>256779421295</v>
      </c>
      <c r="G367" s="12" t="s">
        <v>11</v>
      </c>
      <c r="H367" s="14">
        <v>-3.54</v>
      </c>
      <c r="I367" s="12" t="s">
        <v>56</v>
      </c>
      <c r="J367" s="14">
        <v>-304.44</v>
      </c>
      <c r="K367" s="12" t="s">
        <v>776</v>
      </c>
    </row>
    <row r="368" spans="1:11" x14ac:dyDescent="0.35">
      <c r="A368" s="12" t="s">
        <v>495</v>
      </c>
      <c r="B368" s="15">
        <v>2025</v>
      </c>
      <c r="C368" s="13">
        <v>45848</v>
      </c>
      <c r="D368" s="12" t="s">
        <v>496</v>
      </c>
      <c r="E368" s="13">
        <v>45848</v>
      </c>
      <c r="F368" s="84">
        <v>256779421296</v>
      </c>
      <c r="G368" s="12" t="s">
        <v>11</v>
      </c>
      <c r="H368" s="14">
        <v>-3.54</v>
      </c>
      <c r="I368" s="12" t="s">
        <v>56</v>
      </c>
      <c r="J368" s="14">
        <v>-304.44</v>
      </c>
      <c r="K368" s="12" t="s">
        <v>777</v>
      </c>
    </row>
    <row r="369" spans="1:11" x14ac:dyDescent="0.35">
      <c r="A369" s="12" t="s">
        <v>495</v>
      </c>
      <c r="B369" s="15">
        <v>2025</v>
      </c>
      <c r="C369" s="13">
        <v>45848</v>
      </c>
      <c r="D369" s="12" t="s">
        <v>496</v>
      </c>
      <c r="E369" s="13">
        <v>45848</v>
      </c>
      <c r="F369" s="84">
        <v>256779421297</v>
      </c>
      <c r="G369" s="12" t="s">
        <v>11</v>
      </c>
      <c r="H369" s="14">
        <v>-236</v>
      </c>
      <c r="I369" s="12" t="s">
        <v>56</v>
      </c>
      <c r="J369" s="14">
        <v>-20296.16</v>
      </c>
      <c r="K369" s="12" t="s">
        <v>778</v>
      </c>
    </row>
    <row r="370" spans="1:11" x14ac:dyDescent="0.35">
      <c r="A370" s="12" t="s">
        <v>495</v>
      </c>
      <c r="B370" s="15">
        <v>2025</v>
      </c>
      <c r="C370" s="13">
        <v>45848</v>
      </c>
      <c r="D370" s="12" t="s">
        <v>496</v>
      </c>
      <c r="E370" s="13">
        <v>45848</v>
      </c>
      <c r="F370" s="84">
        <v>256779421298</v>
      </c>
      <c r="G370" s="12" t="s">
        <v>11</v>
      </c>
      <c r="H370" s="14">
        <v>-369.34</v>
      </c>
      <c r="I370" s="12" t="s">
        <v>56</v>
      </c>
      <c r="J370" s="14">
        <v>-31763.49</v>
      </c>
      <c r="K370" s="12" t="s">
        <v>779</v>
      </c>
    </row>
    <row r="371" spans="1:11" x14ac:dyDescent="0.35">
      <c r="A371" s="12" t="s">
        <v>495</v>
      </c>
      <c r="B371" s="15">
        <v>2025</v>
      </c>
      <c r="C371" s="13">
        <v>45848</v>
      </c>
      <c r="D371" s="12" t="s">
        <v>496</v>
      </c>
      <c r="E371" s="13">
        <v>45848</v>
      </c>
      <c r="F371" s="84">
        <v>256779421299</v>
      </c>
      <c r="G371" s="12" t="s">
        <v>11</v>
      </c>
      <c r="H371" s="14">
        <v>-226.56</v>
      </c>
      <c r="I371" s="12" t="s">
        <v>56</v>
      </c>
      <c r="J371" s="14">
        <v>-19484.310000000001</v>
      </c>
      <c r="K371" s="12" t="s">
        <v>780</v>
      </c>
    </row>
    <row r="372" spans="1:11" x14ac:dyDescent="0.35">
      <c r="A372" s="12" t="s">
        <v>495</v>
      </c>
      <c r="B372" s="15">
        <v>2025</v>
      </c>
      <c r="C372" s="13">
        <v>45848</v>
      </c>
      <c r="D372" s="12" t="s">
        <v>496</v>
      </c>
      <c r="E372" s="13">
        <v>45848</v>
      </c>
      <c r="F372" s="84">
        <v>256779421300</v>
      </c>
      <c r="G372" s="12" t="s">
        <v>11</v>
      </c>
      <c r="H372" s="14">
        <v>-236</v>
      </c>
      <c r="I372" s="12" t="s">
        <v>56</v>
      </c>
      <c r="J372" s="14">
        <v>-20296.16</v>
      </c>
      <c r="K372" s="12" t="s">
        <v>781</v>
      </c>
    </row>
    <row r="373" spans="1:11" x14ac:dyDescent="0.35">
      <c r="A373" s="12" t="s">
        <v>495</v>
      </c>
      <c r="B373" s="15">
        <v>2025</v>
      </c>
      <c r="C373" s="13">
        <v>45848</v>
      </c>
      <c r="D373" s="12" t="s">
        <v>496</v>
      </c>
      <c r="E373" s="13">
        <v>45848</v>
      </c>
      <c r="F373" s="84">
        <v>256779421301</v>
      </c>
      <c r="G373" s="12" t="s">
        <v>11</v>
      </c>
      <c r="H373" s="14">
        <v>-70.8</v>
      </c>
      <c r="I373" s="12" t="s">
        <v>56</v>
      </c>
      <c r="J373" s="14">
        <v>-6088.85</v>
      </c>
      <c r="K373" s="12" t="s">
        <v>782</v>
      </c>
    </row>
    <row r="374" spans="1:11" x14ac:dyDescent="0.35">
      <c r="A374" s="12" t="s">
        <v>495</v>
      </c>
      <c r="B374" s="15">
        <v>2025</v>
      </c>
      <c r="C374" s="13">
        <v>45848</v>
      </c>
      <c r="D374" s="12" t="s">
        <v>496</v>
      </c>
      <c r="E374" s="13">
        <v>45848</v>
      </c>
      <c r="F374" s="84">
        <v>256779421302</v>
      </c>
      <c r="G374" s="12" t="s">
        <v>11</v>
      </c>
      <c r="H374" s="14">
        <v>-3.54</v>
      </c>
      <c r="I374" s="12" t="s">
        <v>56</v>
      </c>
      <c r="J374" s="14">
        <v>-304.44</v>
      </c>
      <c r="K374" s="12" t="s">
        <v>783</v>
      </c>
    </row>
    <row r="375" spans="1:11" x14ac:dyDescent="0.35">
      <c r="A375" s="12" t="s">
        <v>495</v>
      </c>
      <c r="B375" s="15">
        <v>2025</v>
      </c>
      <c r="C375" s="13">
        <v>45848</v>
      </c>
      <c r="D375" s="12" t="s">
        <v>496</v>
      </c>
      <c r="E375" s="13">
        <v>45848</v>
      </c>
      <c r="F375" s="84">
        <v>256779421303</v>
      </c>
      <c r="G375" s="12" t="s">
        <v>11</v>
      </c>
      <c r="H375" s="14">
        <v>-84.96</v>
      </c>
      <c r="I375" s="12" t="s">
        <v>56</v>
      </c>
      <c r="J375" s="14">
        <v>-7306.62</v>
      </c>
      <c r="K375" s="12" t="s">
        <v>784</v>
      </c>
    </row>
    <row r="376" spans="1:11" x14ac:dyDescent="0.35">
      <c r="A376" s="12" t="s">
        <v>495</v>
      </c>
      <c r="B376" s="15">
        <v>2025</v>
      </c>
      <c r="C376" s="13">
        <v>45848</v>
      </c>
      <c r="D376" s="12" t="s">
        <v>496</v>
      </c>
      <c r="E376" s="13">
        <v>45848</v>
      </c>
      <c r="F376" s="84">
        <v>256779421304</v>
      </c>
      <c r="G376" s="12" t="s">
        <v>11</v>
      </c>
      <c r="H376" s="14">
        <v>-51.12</v>
      </c>
      <c r="I376" s="12" t="s">
        <v>56</v>
      </c>
      <c r="J376" s="14">
        <v>-4396.3500000000004</v>
      </c>
      <c r="K376" s="12" t="s">
        <v>784</v>
      </c>
    </row>
    <row r="377" spans="1:11" x14ac:dyDescent="0.35">
      <c r="A377" s="12" t="s">
        <v>495</v>
      </c>
      <c r="B377" s="15">
        <v>2025</v>
      </c>
      <c r="C377" s="13">
        <v>45848</v>
      </c>
      <c r="D377" s="12" t="s">
        <v>496</v>
      </c>
      <c r="E377" s="13">
        <v>45848</v>
      </c>
      <c r="F377" s="84">
        <v>256779421305</v>
      </c>
      <c r="G377" s="12" t="s">
        <v>11</v>
      </c>
      <c r="H377" s="14">
        <v>-183.35</v>
      </c>
      <c r="I377" s="12" t="s">
        <v>56</v>
      </c>
      <c r="J377" s="14">
        <v>-15768.22</v>
      </c>
      <c r="K377" s="12" t="s">
        <v>785</v>
      </c>
    </row>
    <row r="378" spans="1:11" x14ac:dyDescent="0.35">
      <c r="A378" s="12" t="s">
        <v>495</v>
      </c>
      <c r="B378" s="15">
        <v>2025</v>
      </c>
      <c r="C378" s="13">
        <v>45848</v>
      </c>
      <c r="D378" s="12" t="s">
        <v>496</v>
      </c>
      <c r="E378" s="13">
        <v>45848</v>
      </c>
      <c r="F378" s="84">
        <v>256779421306</v>
      </c>
      <c r="G378" s="12" t="s">
        <v>11</v>
      </c>
      <c r="H378" s="14">
        <v>-3.1</v>
      </c>
      <c r="I378" s="12" t="s">
        <v>56</v>
      </c>
      <c r="J378" s="14">
        <v>-266.60000000000002</v>
      </c>
      <c r="K378" s="12" t="s">
        <v>786</v>
      </c>
    </row>
    <row r="379" spans="1:11" x14ac:dyDescent="0.35">
      <c r="A379" s="12" t="s">
        <v>495</v>
      </c>
      <c r="B379" s="15">
        <v>2025</v>
      </c>
      <c r="C379" s="13">
        <v>45848</v>
      </c>
      <c r="D379" s="12" t="s">
        <v>496</v>
      </c>
      <c r="E379" s="13">
        <v>45848</v>
      </c>
      <c r="F379" s="84">
        <v>256779421307</v>
      </c>
      <c r="G379" s="12" t="s">
        <v>11</v>
      </c>
      <c r="H379" s="14">
        <v>-553.87</v>
      </c>
      <c r="I379" s="12" t="s">
        <v>56</v>
      </c>
      <c r="J379" s="14">
        <v>-47633.19</v>
      </c>
      <c r="K379" s="12" t="s">
        <v>787</v>
      </c>
    </row>
    <row r="380" spans="1:11" x14ac:dyDescent="0.35">
      <c r="A380" s="12" t="s">
        <v>495</v>
      </c>
      <c r="B380" s="15">
        <v>2025</v>
      </c>
      <c r="C380" s="13">
        <v>45848</v>
      </c>
      <c r="D380" s="12" t="s">
        <v>496</v>
      </c>
      <c r="E380" s="13">
        <v>45848</v>
      </c>
      <c r="F380" s="84">
        <v>256779421308</v>
      </c>
      <c r="G380" s="12" t="s">
        <v>11</v>
      </c>
      <c r="H380" s="14">
        <v>-424.8</v>
      </c>
      <c r="I380" s="12" t="s">
        <v>56</v>
      </c>
      <c r="J380" s="14">
        <v>-36533.08</v>
      </c>
      <c r="K380" s="12" t="s">
        <v>788</v>
      </c>
    </row>
    <row r="381" spans="1:11" x14ac:dyDescent="0.35">
      <c r="A381" s="12" t="s">
        <v>495</v>
      </c>
      <c r="B381" s="15">
        <v>2025</v>
      </c>
      <c r="C381" s="13">
        <v>45848</v>
      </c>
      <c r="D381" s="12" t="s">
        <v>496</v>
      </c>
      <c r="E381" s="13">
        <v>45848</v>
      </c>
      <c r="F381" s="84">
        <v>256779421309</v>
      </c>
      <c r="G381" s="12" t="s">
        <v>11</v>
      </c>
      <c r="H381" s="14">
        <v>-70.8</v>
      </c>
      <c r="I381" s="12" t="s">
        <v>56</v>
      </c>
      <c r="J381" s="14">
        <v>-6088.85</v>
      </c>
      <c r="K381" s="12" t="s">
        <v>789</v>
      </c>
    </row>
    <row r="382" spans="1:11" x14ac:dyDescent="0.35">
      <c r="A382" s="12" t="s">
        <v>495</v>
      </c>
      <c r="B382" s="15">
        <v>2025</v>
      </c>
      <c r="C382" s="13">
        <v>45848</v>
      </c>
      <c r="D382" s="12" t="s">
        <v>499</v>
      </c>
      <c r="E382" s="13">
        <v>45848</v>
      </c>
      <c r="F382" s="84">
        <v>256779415304</v>
      </c>
      <c r="G382" s="12" t="s">
        <v>11</v>
      </c>
      <c r="H382" s="14">
        <v>30</v>
      </c>
      <c r="I382" s="12" t="s">
        <v>56</v>
      </c>
      <c r="J382" s="14">
        <v>2580.02</v>
      </c>
      <c r="K382" s="12" t="s">
        <v>790</v>
      </c>
    </row>
    <row r="383" spans="1:11" x14ac:dyDescent="0.35">
      <c r="A383" s="12" t="s">
        <v>495</v>
      </c>
      <c r="B383" s="15">
        <v>2025</v>
      </c>
      <c r="C383" s="13">
        <v>45848</v>
      </c>
      <c r="D383" s="12" t="s">
        <v>499</v>
      </c>
      <c r="E383" s="13">
        <v>45848</v>
      </c>
      <c r="F383" s="84">
        <v>256779415305</v>
      </c>
      <c r="G383" s="12" t="s">
        <v>11</v>
      </c>
      <c r="H383" s="14">
        <v>30</v>
      </c>
      <c r="I383" s="12" t="s">
        <v>56</v>
      </c>
      <c r="J383" s="14">
        <v>2580.02</v>
      </c>
      <c r="K383" s="12" t="s">
        <v>790</v>
      </c>
    </row>
    <row r="384" spans="1:11" x14ac:dyDescent="0.35">
      <c r="A384" s="12" t="s">
        <v>495</v>
      </c>
      <c r="B384" s="15">
        <v>2025</v>
      </c>
      <c r="C384" s="13">
        <v>45848</v>
      </c>
      <c r="D384" s="12" t="s">
        <v>499</v>
      </c>
      <c r="E384" s="13">
        <v>45848</v>
      </c>
      <c r="F384" s="84">
        <v>256779415306</v>
      </c>
      <c r="G384" s="12" t="s">
        <v>11</v>
      </c>
      <c r="H384" s="14">
        <v>30</v>
      </c>
      <c r="I384" s="12" t="s">
        <v>56</v>
      </c>
      <c r="J384" s="14">
        <v>2580.02</v>
      </c>
      <c r="K384" s="12" t="s">
        <v>790</v>
      </c>
    </row>
    <row r="385" spans="1:11" x14ac:dyDescent="0.35">
      <c r="A385" s="12" t="s">
        <v>495</v>
      </c>
      <c r="B385" s="15">
        <v>2025</v>
      </c>
      <c r="C385" s="13">
        <v>45848</v>
      </c>
      <c r="D385" s="12" t="s">
        <v>499</v>
      </c>
      <c r="E385" s="13">
        <v>45848</v>
      </c>
      <c r="F385" s="84">
        <v>256779415307</v>
      </c>
      <c r="G385" s="12" t="s">
        <v>11</v>
      </c>
      <c r="H385" s="14">
        <v>30</v>
      </c>
      <c r="I385" s="12" t="s">
        <v>56</v>
      </c>
      <c r="J385" s="14">
        <v>2580.02</v>
      </c>
      <c r="K385" s="12" t="s">
        <v>790</v>
      </c>
    </row>
    <row r="386" spans="1:11" x14ac:dyDescent="0.35">
      <c r="A386" s="12" t="s">
        <v>495</v>
      </c>
      <c r="B386" s="15">
        <v>2025</v>
      </c>
      <c r="C386" s="13">
        <v>45848</v>
      </c>
      <c r="D386" s="12" t="s">
        <v>499</v>
      </c>
      <c r="E386" s="13">
        <v>45848</v>
      </c>
      <c r="F386" s="84">
        <v>256779415308</v>
      </c>
      <c r="G386" s="12" t="s">
        <v>11</v>
      </c>
      <c r="H386" s="14">
        <v>30</v>
      </c>
      <c r="I386" s="12" t="s">
        <v>56</v>
      </c>
      <c r="J386" s="14">
        <v>2580.02</v>
      </c>
      <c r="K386" s="12" t="s">
        <v>790</v>
      </c>
    </row>
    <row r="387" spans="1:11" x14ac:dyDescent="0.35">
      <c r="A387" s="12" t="s">
        <v>495</v>
      </c>
      <c r="B387" s="15">
        <v>2025</v>
      </c>
      <c r="C387" s="13">
        <v>45848</v>
      </c>
      <c r="D387" s="12" t="s">
        <v>499</v>
      </c>
      <c r="E387" s="13">
        <v>45848</v>
      </c>
      <c r="F387" s="84">
        <v>256779415321</v>
      </c>
      <c r="G387" s="12" t="s">
        <v>11</v>
      </c>
      <c r="H387" s="14">
        <v>212.5</v>
      </c>
      <c r="I387" s="12" t="s">
        <v>56</v>
      </c>
      <c r="J387" s="14">
        <v>18275.14</v>
      </c>
      <c r="K387" s="12" t="s">
        <v>570</v>
      </c>
    </row>
    <row r="388" spans="1:11" x14ac:dyDescent="0.35">
      <c r="A388" s="12" t="s">
        <v>495</v>
      </c>
      <c r="B388" s="15">
        <v>2025</v>
      </c>
      <c r="C388" s="13">
        <v>45848</v>
      </c>
      <c r="D388" s="12" t="s">
        <v>499</v>
      </c>
      <c r="E388" s="13">
        <v>45848</v>
      </c>
      <c r="F388" s="84">
        <v>256779415339</v>
      </c>
      <c r="G388" s="12" t="s">
        <v>11</v>
      </c>
      <c r="H388" s="14">
        <v>27.39</v>
      </c>
      <c r="I388" s="12" t="s">
        <v>56</v>
      </c>
      <c r="J388" s="14">
        <v>2355.56</v>
      </c>
      <c r="K388" s="12" t="s">
        <v>791</v>
      </c>
    </row>
    <row r="389" spans="1:11" x14ac:dyDescent="0.35">
      <c r="A389" s="12" t="s">
        <v>495</v>
      </c>
      <c r="B389" s="15">
        <v>2025</v>
      </c>
      <c r="C389" s="13">
        <v>45848</v>
      </c>
      <c r="D389" s="12" t="s">
        <v>499</v>
      </c>
      <c r="E389" s="13">
        <v>45848</v>
      </c>
      <c r="F389" s="84">
        <v>256779415377</v>
      </c>
      <c r="G389" s="12" t="s">
        <v>11</v>
      </c>
      <c r="H389" s="14">
        <v>50</v>
      </c>
      <c r="I389" s="12" t="s">
        <v>56</v>
      </c>
      <c r="J389" s="14">
        <v>4300.03</v>
      </c>
      <c r="K389" s="12" t="s">
        <v>792</v>
      </c>
    </row>
    <row r="390" spans="1:11" x14ac:dyDescent="0.35">
      <c r="A390" s="12" t="s">
        <v>495</v>
      </c>
      <c r="B390" s="15">
        <v>2025</v>
      </c>
      <c r="C390" s="13">
        <v>45848</v>
      </c>
      <c r="D390" s="12" t="s">
        <v>499</v>
      </c>
      <c r="E390" s="13">
        <v>45848</v>
      </c>
      <c r="F390" s="84">
        <v>256779415378</v>
      </c>
      <c r="G390" s="12" t="s">
        <v>11</v>
      </c>
      <c r="H390" s="14">
        <v>120</v>
      </c>
      <c r="I390" s="12" t="s">
        <v>56</v>
      </c>
      <c r="J390" s="14">
        <v>10320.08</v>
      </c>
      <c r="K390" s="12" t="s">
        <v>793</v>
      </c>
    </row>
    <row r="391" spans="1:11" x14ac:dyDescent="0.35">
      <c r="A391" s="12" t="s">
        <v>495</v>
      </c>
      <c r="B391" s="15">
        <v>2025</v>
      </c>
      <c r="C391" s="13">
        <v>45848</v>
      </c>
      <c r="D391" s="12" t="s">
        <v>499</v>
      </c>
      <c r="E391" s="13">
        <v>45848</v>
      </c>
      <c r="F391" s="84">
        <v>256779415379</v>
      </c>
      <c r="G391" s="12" t="s">
        <v>11</v>
      </c>
      <c r="H391" s="14">
        <v>233.11</v>
      </c>
      <c r="I391" s="12" t="s">
        <v>56</v>
      </c>
      <c r="J391" s="14">
        <v>20047.62</v>
      </c>
      <c r="K391" s="12" t="s">
        <v>794</v>
      </c>
    </row>
    <row r="392" spans="1:11" x14ac:dyDescent="0.35">
      <c r="A392" s="12" t="s">
        <v>495</v>
      </c>
      <c r="B392" s="15">
        <v>2025</v>
      </c>
      <c r="C392" s="13">
        <v>45848</v>
      </c>
      <c r="D392" s="12" t="s">
        <v>499</v>
      </c>
      <c r="E392" s="13">
        <v>45848</v>
      </c>
      <c r="F392" s="84">
        <v>256779415380</v>
      </c>
      <c r="G392" s="12" t="s">
        <v>11</v>
      </c>
      <c r="H392" s="14">
        <v>200</v>
      </c>
      <c r="I392" s="12" t="s">
        <v>56</v>
      </c>
      <c r="J392" s="14">
        <v>17200.13</v>
      </c>
      <c r="K392" s="12" t="s">
        <v>795</v>
      </c>
    </row>
    <row r="393" spans="1:11" x14ac:dyDescent="0.35">
      <c r="A393" s="12" t="s">
        <v>495</v>
      </c>
      <c r="B393" s="15">
        <v>2025</v>
      </c>
      <c r="C393" s="13">
        <v>45848</v>
      </c>
      <c r="D393" s="12" t="s">
        <v>499</v>
      </c>
      <c r="E393" s="13">
        <v>45848</v>
      </c>
      <c r="F393" s="84">
        <v>256779415381</v>
      </c>
      <c r="G393" s="12" t="s">
        <v>11</v>
      </c>
      <c r="H393" s="14">
        <v>60</v>
      </c>
      <c r="I393" s="12" t="s">
        <v>56</v>
      </c>
      <c r="J393" s="14">
        <v>5160.04</v>
      </c>
      <c r="K393" s="12" t="s">
        <v>796</v>
      </c>
    </row>
    <row r="394" spans="1:11" x14ac:dyDescent="0.35">
      <c r="A394" s="12" t="s">
        <v>495</v>
      </c>
      <c r="B394" s="15">
        <v>2025</v>
      </c>
      <c r="C394" s="13">
        <v>45848</v>
      </c>
      <c r="D394" s="12" t="s">
        <v>499</v>
      </c>
      <c r="E394" s="13">
        <v>45848</v>
      </c>
      <c r="F394" s="84">
        <v>256779415382</v>
      </c>
      <c r="G394" s="12" t="s">
        <v>11</v>
      </c>
      <c r="H394" s="14">
        <v>117.64</v>
      </c>
      <c r="I394" s="12" t="s">
        <v>56</v>
      </c>
      <c r="J394" s="14">
        <v>10117.120000000001</v>
      </c>
      <c r="K394" s="12" t="s">
        <v>797</v>
      </c>
    </row>
    <row r="395" spans="1:11" x14ac:dyDescent="0.35">
      <c r="A395" s="12" t="s">
        <v>495</v>
      </c>
      <c r="B395" s="15">
        <v>2025</v>
      </c>
      <c r="C395" s="13">
        <v>45848</v>
      </c>
      <c r="D395" s="12" t="s">
        <v>499</v>
      </c>
      <c r="E395" s="13">
        <v>45848</v>
      </c>
      <c r="F395" s="84">
        <v>256779415383</v>
      </c>
      <c r="G395" s="12" t="s">
        <v>11</v>
      </c>
      <c r="H395" s="14">
        <v>155.80000000000001</v>
      </c>
      <c r="I395" s="12" t="s">
        <v>56</v>
      </c>
      <c r="J395" s="14">
        <v>13398.9</v>
      </c>
      <c r="K395" s="12" t="s">
        <v>798</v>
      </c>
    </row>
    <row r="396" spans="1:11" x14ac:dyDescent="0.35">
      <c r="A396" s="12" t="s">
        <v>495</v>
      </c>
      <c r="B396" s="15">
        <v>2025</v>
      </c>
      <c r="C396" s="13">
        <v>45848</v>
      </c>
      <c r="D396" s="12" t="s">
        <v>499</v>
      </c>
      <c r="E396" s="13">
        <v>45848</v>
      </c>
      <c r="F396" s="84">
        <v>256779415384</v>
      </c>
      <c r="G396" s="12" t="s">
        <v>11</v>
      </c>
      <c r="H396" s="14">
        <v>350</v>
      </c>
      <c r="I396" s="12" t="s">
        <v>56</v>
      </c>
      <c r="J396" s="14">
        <v>30100.23</v>
      </c>
      <c r="K396" s="12" t="s">
        <v>799</v>
      </c>
    </row>
    <row r="397" spans="1:11" x14ac:dyDescent="0.35">
      <c r="A397" s="12" t="s">
        <v>495</v>
      </c>
      <c r="B397" s="15">
        <v>2025</v>
      </c>
      <c r="C397" s="13">
        <v>45848</v>
      </c>
      <c r="D397" s="12" t="s">
        <v>499</v>
      </c>
      <c r="E397" s="13">
        <v>45848</v>
      </c>
      <c r="F397" s="84">
        <v>256779415385</v>
      </c>
      <c r="G397" s="12" t="s">
        <v>11</v>
      </c>
      <c r="H397" s="14">
        <v>24</v>
      </c>
      <c r="I397" s="12" t="s">
        <v>56</v>
      </c>
      <c r="J397" s="14">
        <v>2064.02</v>
      </c>
      <c r="K397" s="12" t="s">
        <v>800</v>
      </c>
    </row>
    <row r="398" spans="1:11" x14ac:dyDescent="0.35">
      <c r="A398" s="12" t="s">
        <v>495</v>
      </c>
      <c r="B398" s="15">
        <v>2025</v>
      </c>
      <c r="C398" s="13">
        <v>45848</v>
      </c>
      <c r="D398" s="12" t="s">
        <v>499</v>
      </c>
      <c r="E398" s="13">
        <v>45848</v>
      </c>
      <c r="F398" s="84">
        <v>256779415386</v>
      </c>
      <c r="G398" s="12" t="s">
        <v>11</v>
      </c>
      <c r="H398" s="14">
        <v>7.5</v>
      </c>
      <c r="I398" s="12" t="s">
        <v>56</v>
      </c>
      <c r="J398" s="14">
        <v>645.01</v>
      </c>
      <c r="K398" s="12" t="s">
        <v>801</v>
      </c>
    </row>
    <row r="399" spans="1:11" x14ac:dyDescent="0.35">
      <c r="A399" s="12" t="s">
        <v>495</v>
      </c>
      <c r="B399" s="15">
        <v>2025</v>
      </c>
      <c r="C399" s="13">
        <v>45848</v>
      </c>
      <c r="D399" s="12" t="s">
        <v>499</v>
      </c>
      <c r="E399" s="13">
        <v>45848</v>
      </c>
      <c r="F399" s="84">
        <v>256779415387</v>
      </c>
      <c r="G399" s="12" t="s">
        <v>11</v>
      </c>
      <c r="H399" s="14">
        <v>70.900000000000006</v>
      </c>
      <c r="I399" s="12" t="s">
        <v>56</v>
      </c>
      <c r="J399" s="14">
        <v>6097.45</v>
      </c>
      <c r="K399" s="12" t="s">
        <v>802</v>
      </c>
    </row>
    <row r="400" spans="1:11" x14ac:dyDescent="0.35">
      <c r="A400" s="12" t="s">
        <v>495</v>
      </c>
      <c r="B400" s="15">
        <v>2025</v>
      </c>
      <c r="C400" s="13">
        <v>45848</v>
      </c>
      <c r="D400" s="12" t="s">
        <v>499</v>
      </c>
      <c r="E400" s="13">
        <v>45848</v>
      </c>
      <c r="F400" s="84">
        <v>256779415388</v>
      </c>
      <c r="G400" s="12" t="s">
        <v>11</v>
      </c>
      <c r="H400" s="14">
        <v>2261.63</v>
      </c>
      <c r="I400" s="12" t="s">
        <v>56</v>
      </c>
      <c r="J400" s="14">
        <v>194501.7</v>
      </c>
      <c r="K400" s="12" t="s">
        <v>533</v>
      </c>
    </row>
    <row r="401" spans="1:11" x14ac:dyDescent="0.35">
      <c r="A401" s="12" t="s">
        <v>495</v>
      </c>
      <c r="B401" s="15">
        <v>2025</v>
      </c>
      <c r="C401" s="13">
        <v>45848</v>
      </c>
      <c r="D401" s="12" t="s">
        <v>499</v>
      </c>
      <c r="E401" s="13">
        <v>45848</v>
      </c>
      <c r="F401" s="84">
        <v>256779415389</v>
      </c>
      <c r="G401" s="12" t="s">
        <v>11</v>
      </c>
      <c r="H401" s="14">
        <v>170.62</v>
      </c>
      <c r="I401" s="12" t="s">
        <v>56</v>
      </c>
      <c r="J401" s="14">
        <v>14673.43</v>
      </c>
      <c r="K401" s="12" t="s">
        <v>803</v>
      </c>
    </row>
    <row r="402" spans="1:11" x14ac:dyDescent="0.35">
      <c r="A402" s="12" t="s">
        <v>495</v>
      </c>
      <c r="B402" s="15">
        <v>2025</v>
      </c>
      <c r="C402" s="13">
        <v>45848</v>
      </c>
      <c r="D402" s="12" t="s">
        <v>499</v>
      </c>
      <c r="E402" s="13">
        <v>45848</v>
      </c>
      <c r="F402" s="84">
        <v>256779415390</v>
      </c>
      <c r="G402" s="12" t="s">
        <v>11</v>
      </c>
      <c r="H402" s="14">
        <v>110.96</v>
      </c>
      <c r="I402" s="12" t="s">
        <v>56</v>
      </c>
      <c r="J402" s="14">
        <v>9542.6299999999992</v>
      </c>
      <c r="K402" s="12" t="s">
        <v>535</v>
      </c>
    </row>
    <row r="403" spans="1:11" x14ac:dyDescent="0.35">
      <c r="A403" s="12" t="s">
        <v>495</v>
      </c>
      <c r="B403" s="15">
        <v>2025</v>
      </c>
      <c r="C403" s="13">
        <v>45848</v>
      </c>
      <c r="D403" s="12" t="s">
        <v>499</v>
      </c>
      <c r="E403" s="13">
        <v>45848</v>
      </c>
      <c r="F403" s="84">
        <v>256779415391</v>
      </c>
      <c r="G403" s="12" t="s">
        <v>11</v>
      </c>
      <c r="H403" s="14">
        <v>820.07</v>
      </c>
      <c r="I403" s="12" t="s">
        <v>56</v>
      </c>
      <c r="J403" s="14">
        <v>70526.570000000007</v>
      </c>
      <c r="K403" s="12" t="s">
        <v>536</v>
      </c>
    </row>
    <row r="404" spans="1:11" x14ac:dyDescent="0.35">
      <c r="A404" s="12" t="s">
        <v>495</v>
      </c>
      <c r="B404" s="15">
        <v>2025</v>
      </c>
      <c r="C404" s="13">
        <v>45848</v>
      </c>
      <c r="D404" s="12" t="s">
        <v>499</v>
      </c>
      <c r="E404" s="13">
        <v>45848</v>
      </c>
      <c r="F404" s="84">
        <v>256779415392</v>
      </c>
      <c r="G404" s="12" t="s">
        <v>11</v>
      </c>
      <c r="H404" s="14">
        <v>200</v>
      </c>
      <c r="I404" s="12" t="s">
        <v>56</v>
      </c>
      <c r="J404" s="14">
        <v>17200.13</v>
      </c>
      <c r="K404" s="12" t="s">
        <v>537</v>
      </c>
    </row>
    <row r="405" spans="1:11" x14ac:dyDescent="0.35">
      <c r="A405" s="12" t="s">
        <v>495</v>
      </c>
      <c r="B405" s="15">
        <v>2025</v>
      </c>
      <c r="C405" s="13">
        <v>45848</v>
      </c>
      <c r="D405" s="12" t="s">
        <v>499</v>
      </c>
      <c r="E405" s="13">
        <v>45848</v>
      </c>
      <c r="F405" s="84">
        <v>256779415393</v>
      </c>
      <c r="G405" s="12" t="s">
        <v>11</v>
      </c>
      <c r="H405" s="14">
        <v>60</v>
      </c>
      <c r="I405" s="12" t="s">
        <v>56</v>
      </c>
      <c r="J405" s="14">
        <v>5160.04</v>
      </c>
      <c r="K405" s="12" t="s">
        <v>804</v>
      </c>
    </row>
    <row r="406" spans="1:11" x14ac:dyDescent="0.35">
      <c r="A406" s="12" t="s">
        <v>495</v>
      </c>
      <c r="B406" s="15">
        <v>2025</v>
      </c>
      <c r="C406" s="13">
        <v>45848</v>
      </c>
      <c r="D406" s="12" t="s">
        <v>499</v>
      </c>
      <c r="E406" s="13">
        <v>45848</v>
      </c>
      <c r="F406" s="84">
        <v>256779415394</v>
      </c>
      <c r="G406" s="12" t="s">
        <v>11</v>
      </c>
      <c r="H406" s="14">
        <v>96</v>
      </c>
      <c r="I406" s="12" t="s">
        <v>56</v>
      </c>
      <c r="J406" s="14">
        <v>8256.06</v>
      </c>
      <c r="K406" s="12" t="s">
        <v>805</v>
      </c>
    </row>
    <row r="407" spans="1:11" x14ac:dyDescent="0.35">
      <c r="A407" s="12" t="s">
        <v>495</v>
      </c>
      <c r="B407" s="15">
        <v>2025</v>
      </c>
      <c r="C407" s="13">
        <v>45848</v>
      </c>
      <c r="D407" s="12" t="s">
        <v>499</v>
      </c>
      <c r="E407" s="13">
        <v>45848</v>
      </c>
      <c r="F407" s="84">
        <v>256779415395</v>
      </c>
      <c r="G407" s="12" t="s">
        <v>11</v>
      </c>
      <c r="H407" s="14">
        <v>205.72</v>
      </c>
      <c r="I407" s="12" t="s">
        <v>56</v>
      </c>
      <c r="J407" s="14">
        <v>17692.060000000001</v>
      </c>
      <c r="K407" s="12" t="s">
        <v>806</v>
      </c>
    </row>
    <row r="408" spans="1:11" x14ac:dyDescent="0.35">
      <c r="A408" s="12" t="s">
        <v>495</v>
      </c>
      <c r="B408" s="15">
        <v>2025</v>
      </c>
      <c r="C408" s="13">
        <v>45848</v>
      </c>
      <c r="D408" s="12" t="s">
        <v>496</v>
      </c>
      <c r="E408" s="13">
        <v>45848</v>
      </c>
      <c r="F408" s="84">
        <v>256779421310</v>
      </c>
      <c r="G408" s="12" t="s">
        <v>11</v>
      </c>
      <c r="H408" s="14">
        <v>-59</v>
      </c>
      <c r="I408" s="12" t="s">
        <v>56</v>
      </c>
      <c r="J408" s="14">
        <v>-5074.04</v>
      </c>
      <c r="K408" s="12" t="s">
        <v>807</v>
      </c>
    </row>
    <row r="409" spans="1:11" x14ac:dyDescent="0.35">
      <c r="A409" s="12" t="s">
        <v>495</v>
      </c>
      <c r="B409" s="15">
        <v>2025</v>
      </c>
      <c r="C409" s="13">
        <v>45848</v>
      </c>
      <c r="D409" s="12" t="s">
        <v>496</v>
      </c>
      <c r="E409" s="13">
        <v>45848</v>
      </c>
      <c r="F409" s="84">
        <v>256779421311</v>
      </c>
      <c r="G409" s="12" t="s">
        <v>11</v>
      </c>
      <c r="H409" s="14">
        <v>-141.6</v>
      </c>
      <c r="I409" s="12" t="s">
        <v>56</v>
      </c>
      <c r="J409" s="14">
        <v>-12177.69</v>
      </c>
      <c r="K409" s="12" t="s">
        <v>808</v>
      </c>
    </row>
    <row r="410" spans="1:11" x14ac:dyDescent="0.35">
      <c r="A410" s="12" t="s">
        <v>495</v>
      </c>
      <c r="B410" s="15">
        <v>2025</v>
      </c>
      <c r="C410" s="13">
        <v>45848</v>
      </c>
      <c r="D410" s="12" t="s">
        <v>496</v>
      </c>
      <c r="E410" s="13">
        <v>45848</v>
      </c>
      <c r="F410" s="84">
        <v>256779421312</v>
      </c>
      <c r="G410" s="12" t="s">
        <v>11</v>
      </c>
      <c r="H410" s="14">
        <v>-275.07</v>
      </c>
      <c r="I410" s="12" t="s">
        <v>56</v>
      </c>
      <c r="J410" s="14">
        <v>-23656.2</v>
      </c>
      <c r="K410" s="12" t="s">
        <v>808</v>
      </c>
    </row>
    <row r="411" spans="1:11" x14ac:dyDescent="0.35">
      <c r="A411" s="12" t="s">
        <v>495</v>
      </c>
      <c r="B411" s="15">
        <v>2025</v>
      </c>
      <c r="C411" s="13">
        <v>45848</v>
      </c>
      <c r="D411" s="12" t="s">
        <v>496</v>
      </c>
      <c r="E411" s="13">
        <v>45848</v>
      </c>
      <c r="F411" s="84">
        <v>256779421313</v>
      </c>
      <c r="G411" s="12" t="s">
        <v>11</v>
      </c>
      <c r="H411" s="14">
        <v>-236</v>
      </c>
      <c r="I411" s="12" t="s">
        <v>56</v>
      </c>
      <c r="J411" s="14">
        <v>-20296.16</v>
      </c>
      <c r="K411" s="12" t="s">
        <v>808</v>
      </c>
    </row>
    <row r="412" spans="1:11" x14ac:dyDescent="0.35">
      <c r="A412" s="12" t="s">
        <v>495</v>
      </c>
      <c r="B412" s="15">
        <v>2025</v>
      </c>
      <c r="C412" s="13">
        <v>45848</v>
      </c>
      <c r="D412" s="12" t="s">
        <v>496</v>
      </c>
      <c r="E412" s="13">
        <v>45848</v>
      </c>
      <c r="F412" s="84">
        <v>256779421314</v>
      </c>
      <c r="G412" s="12" t="s">
        <v>11</v>
      </c>
      <c r="H412" s="14">
        <v>-70.8</v>
      </c>
      <c r="I412" s="12" t="s">
        <v>56</v>
      </c>
      <c r="J412" s="14">
        <v>-6088.85</v>
      </c>
      <c r="K412" s="12" t="s">
        <v>808</v>
      </c>
    </row>
    <row r="413" spans="1:11" x14ac:dyDescent="0.35">
      <c r="A413" s="12" t="s">
        <v>495</v>
      </c>
      <c r="B413" s="15">
        <v>2025</v>
      </c>
      <c r="C413" s="13">
        <v>45848</v>
      </c>
      <c r="D413" s="12" t="s">
        <v>496</v>
      </c>
      <c r="E413" s="13">
        <v>45848</v>
      </c>
      <c r="F413" s="84">
        <v>256779421315</v>
      </c>
      <c r="G413" s="12" t="s">
        <v>11</v>
      </c>
      <c r="H413" s="14">
        <v>-138.82</v>
      </c>
      <c r="I413" s="12" t="s">
        <v>56</v>
      </c>
      <c r="J413" s="14">
        <v>-11938.61</v>
      </c>
      <c r="K413" s="12" t="s">
        <v>809</v>
      </c>
    </row>
    <row r="414" spans="1:11" x14ac:dyDescent="0.35">
      <c r="A414" s="12" t="s">
        <v>495</v>
      </c>
      <c r="B414" s="15">
        <v>2025</v>
      </c>
      <c r="C414" s="13">
        <v>45848</v>
      </c>
      <c r="D414" s="12" t="s">
        <v>496</v>
      </c>
      <c r="E414" s="13">
        <v>45848</v>
      </c>
      <c r="F414" s="84">
        <v>256779421316</v>
      </c>
      <c r="G414" s="12" t="s">
        <v>11</v>
      </c>
      <c r="H414" s="14">
        <v>-183.84</v>
      </c>
      <c r="I414" s="12" t="s">
        <v>56</v>
      </c>
      <c r="J414" s="14">
        <v>-15810.36</v>
      </c>
      <c r="K414" s="12" t="s">
        <v>810</v>
      </c>
    </row>
    <row r="415" spans="1:11" x14ac:dyDescent="0.35">
      <c r="A415" s="12" t="s">
        <v>495</v>
      </c>
      <c r="B415" s="15">
        <v>2025</v>
      </c>
      <c r="C415" s="13">
        <v>45848</v>
      </c>
      <c r="D415" s="12" t="s">
        <v>496</v>
      </c>
      <c r="E415" s="13">
        <v>45848</v>
      </c>
      <c r="F415" s="84">
        <v>256779421317</v>
      </c>
      <c r="G415" s="12" t="s">
        <v>11</v>
      </c>
      <c r="H415" s="14">
        <v>-413</v>
      </c>
      <c r="I415" s="12" t="s">
        <v>56</v>
      </c>
      <c r="J415" s="14">
        <v>-35518.28</v>
      </c>
      <c r="K415" s="12" t="s">
        <v>811</v>
      </c>
    </row>
    <row r="416" spans="1:11" x14ac:dyDescent="0.35">
      <c r="A416" s="12" t="s">
        <v>495</v>
      </c>
      <c r="B416" s="15">
        <v>2025</v>
      </c>
      <c r="C416" s="13">
        <v>45848</v>
      </c>
      <c r="D416" s="12" t="s">
        <v>496</v>
      </c>
      <c r="E416" s="13">
        <v>45848</v>
      </c>
      <c r="F416" s="84">
        <v>256779421318</v>
      </c>
      <c r="G416" s="12" t="s">
        <v>11</v>
      </c>
      <c r="H416" s="14">
        <v>-28.32</v>
      </c>
      <c r="I416" s="12" t="s">
        <v>56</v>
      </c>
      <c r="J416" s="14">
        <v>-2435.54</v>
      </c>
      <c r="K416" s="12" t="s">
        <v>812</v>
      </c>
    </row>
    <row r="417" spans="1:11" x14ac:dyDescent="0.35">
      <c r="A417" s="12" t="s">
        <v>495</v>
      </c>
      <c r="B417" s="15">
        <v>2025</v>
      </c>
      <c r="C417" s="13">
        <v>45848</v>
      </c>
      <c r="D417" s="12" t="s">
        <v>496</v>
      </c>
      <c r="E417" s="13">
        <v>45848</v>
      </c>
      <c r="F417" s="84">
        <v>256779421319</v>
      </c>
      <c r="G417" s="12" t="s">
        <v>11</v>
      </c>
      <c r="H417" s="14">
        <v>-8.85</v>
      </c>
      <c r="I417" s="12" t="s">
        <v>56</v>
      </c>
      <c r="J417" s="14">
        <v>-761.11</v>
      </c>
      <c r="K417" s="12" t="s">
        <v>812</v>
      </c>
    </row>
    <row r="418" spans="1:11" x14ac:dyDescent="0.35">
      <c r="A418" s="12" t="s">
        <v>495</v>
      </c>
      <c r="B418" s="15">
        <v>2025</v>
      </c>
      <c r="C418" s="13">
        <v>45848</v>
      </c>
      <c r="D418" s="12" t="s">
        <v>496</v>
      </c>
      <c r="E418" s="13">
        <v>45848</v>
      </c>
      <c r="F418" s="84">
        <v>256779421320</v>
      </c>
      <c r="G418" s="12" t="s">
        <v>11</v>
      </c>
      <c r="H418" s="14">
        <v>-83.66</v>
      </c>
      <c r="I418" s="12" t="s">
        <v>56</v>
      </c>
      <c r="J418" s="14">
        <v>-7194.82</v>
      </c>
      <c r="K418" s="12" t="s">
        <v>813</v>
      </c>
    </row>
    <row r="419" spans="1:11" x14ac:dyDescent="0.35">
      <c r="A419" s="12" t="s">
        <v>495</v>
      </c>
      <c r="B419" s="15">
        <v>2025</v>
      </c>
      <c r="C419" s="13">
        <v>45848</v>
      </c>
      <c r="D419" s="12" t="s">
        <v>496</v>
      </c>
      <c r="E419" s="13">
        <v>45848</v>
      </c>
      <c r="F419" s="84">
        <v>256779421321</v>
      </c>
      <c r="G419" s="12" t="s">
        <v>11</v>
      </c>
      <c r="H419" s="14">
        <v>-2668.72</v>
      </c>
      <c r="I419" s="12" t="s">
        <v>56</v>
      </c>
      <c r="J419" s="14">
        <v>-229511.71</v>
      </c>
      <c r="K419" s="12" t="s">
        <v>814</v>
      </c>
    </row>
    <row r="420" spans="1:11" x14ac:dyDescent="0.35">
      <c r="A420" s="12" t="s">
        <v>495</v>
      </c>
      <c r="B420" s="15">
        <v>2025</v>
      </c>
      <c r="C420" s="13">
        <v>45848</v>
      </c>
      <c r="D420" s="12" t="s">
        <v>496</v>
      </c>
      <c r="E420" s="13">
        <v>45848</v>
      </c>
      <c r="F420" s="84">
        <v>256779421322</v>
      </c>
      <c r="G420" s="12" t="s">
        <v>11</v>
      </c>
      <c r="H420" s="14">
        <v>-201.33</v>
      </c>
      <c r="I420" s="12" t="s">
        <v>56</v>
      </c>
      <c r="J420" s="14">
        <v>-17314.509999999998</v>
      </c>
      <c r="K420" s="12" t="s">
        <v>815</v>
      </c>
    </row>
    <row r="421" spans="1:11" x14ac:dyDescent="0.35">
      <c r="A421" s="12" t="s">
        <v>495</v>
      </c>
      <c r="B421" s="15">
        <v>2025</v>
      </c>
      <c r="C421" s="13">
        <v>45848</v>
      </c>
      <c r="D421" s="12" t="s">
        <v>496</v>
      </c>
      <c r="E421" s="13">
        <v>45848</v>
      </c>
      <c r="F421" s="84">
        <v>256779421323</v>
      </c>
      <c r="G421" s="12" t="s">
        <v>11</v>
      </c>
      <c r="H421" s="14">
        <v>-130.93</v>
      </c>
      <c r="I421" s="12" t="s">
        <v>56</v>
      </c>
      <c r="J421" s="14">
        <v>-11260.07</v>
      </c>
      <c r="K421" s="12" t="s">
        <v>816</v>
      </c>
    </row>
    <row r="422" spans="1:11" x14ac:dyDescent="0.35">
      <c r="A422" s="12" t="s">
        <v>495</v>
      </c>
      <c r="B422" s="15">
        <v>2025</v>
      </c>
      <c r="C422" s="13">
        <v>45848</v>
      </c>
      <c r="D422" s="12" t="s">
        <v>496</v>
      </c>
      <c r="E422" s="13">
        <v>45848</v>
      </c>
      <c r="F422" s="84">
        <v>256779421324</v>
      </c>
      <c r="G422" s="12" t="s">
        <v>11</v>
      </c>
      <c r="H422" s="14">
        <v>-967.68</v>
      </c>
      <c r="I422" s="12" t="s">
        <v>56</v>
      </c>
      <c r="J422" s="14">
        <v>-83221.13</v>
      </c>
      <c r="K422" s="12" t="s">
        <v>817</v>
      </c>
    </row>
    <row r="423" spans="1:11" x14ac:dyDescent="0.35">
      <c r="A423" s="12" t="s">
        <v>495</v>
      </c>
      <c r="B423" s="15">
        <v>2025</v>
      </c>
      <c r="C423" s="13">
        <v>45848</v>
      </c>
      <c r="D423" s="12" t="s">
        <v>496</v>
      </c>
      <c r="E423" s="13">
        <v>45848</v>
      </c>
      <c r="F423" s="84">
        <v>256779421325</v>
      </c>
      <c r="G423" s="12" t="s">
        <v>11</v>
      </c>
      <c r="H423" s="14">
        <v>-236</v>
      </c>
      <c r="I423" s="12" t="s">
        <v>56</v>
      </c>
      <c r="J423" s="14">
        <v>-20296.16</v>
      </c>
      <c r="K423" s="12" t="s">
        <v>498</v>
      </c>
    </row>
    <row r="424" spans="1:11" x14ac:dyDescent="0.35">
      <c r="A424" s="12" t="s">
        <v>495</v>
      </c>
      <c r="B424" s="15">
        <v>2025</v>
      </c>
      <c r="C424" s="13">
        <v>45733</v>
      </c>
      <c r="D424" s="12" t="s">
        <v>499</v>
      </c>
      <c r="E424" s="13">
        <v>45733</v>
      </c>
      <c r="F424" s="84">
        <v>246779411739</v>
      </c>
      <c r="G424" s="12" t="s">
        <v>11</v>
      </c>
      <c r="H424" s="14">
        <v>34.25</v>
      </c>
      <c r="I424" s="12" t="s">
        <v>56</v>
      </c>
      <c r="J424" s="14">
        <v>2969.18</v>
      </c>
      <c r="K424" s="12" t="s">
        <v>818</v>
      </c>
    </row>
    <row r="425" spans="1:11" x14ac:dyDescent="0.35">
      <c r="A425" s="12" t="s">
        <v>495</v>
      </c>
      <c r="B425" s="15">
        <v>2025</v>
      </c>
      <c r="C425" s="13">
        <v>45733</v>
      </c>
      <c r="D425" s="12" t="s">
        <v>499</v>
      </c>
      <c r="E425" s="13">
        <v>45733</v>
      </c>
      <c r="F425" s="84">
        <v>246779411740</v>
      </c>
      <c r="G425" s="12" t="s">
        <v>11</v>
      </c>
      <c r="H425" s="14">
        <v>22.83</v>
      </c>
      <c r="I425" s="12" t="s">
        <v>56</v>
      </c>
      <c r="J425" s="14">
        <v>1979.16</v>
      </c>
      <c r="K425" s="12" t="s">
        <v>818</v>
      </c>
    </row>
    <row r="426" spans="1:11" x14ac:dyDescent="0.35">
      <c r="A426" s="12" t="s">
        <v>495</v>
      </c>
      <c r="B426" s="15">
        <v>2025</v>
      </c>
      <c r="C426" s="13">
        <v>45733</v>
      </c>
      <c r="D426" s="12" t="s">
        <v>499</v>
      </c>
      <c r="E426" s="13">
        <v>45733</v>
      </c>
      <c r="F426" s="84">
        <v>246779411741</v>
      </c>
      <c r="G426" s="12" t="s">
        <v>11</v>
      </c>
      <c r="H426" s="14">
        <v>240</v>
      </c>
      <c r="I426" s="12" t="s">
        <v>56</v>
      </c>
      <c r="J426" s="14">
        <v>20805.900000000001</v>
      </c>
      <c r="K426" s="12" t="s">
        <v>818</v>
      </c>
    </row>
    <row r="427" spans="1:11" x14ac:dyDescent="0.35">
      <c r="A427" s="12" t="s">
        <v>495</v>
      </c>
      <c r="B427" s="15">
        <v>2025</v>
      </c>
      <c r="C427" s="13">
        <v>45733</v>
      </c>
      <c r="D427" s="12" t="s">
        <v>499</v>
      </c>
      <c r="E427" s="13">
        <v>45733</v>
      </c>
      <c r="F427" s="84">
        <v>246779411742</v>
      </c>
      <c r="G427" s="12" t="s">
        <v>11</v>
      </c>
      <c r="H427" s="14">
        <v>23.27</v>
      </c>
      <c r="I427" s="12" t="s">
        <v>56</v>
      </c>
      <c r="J427" s="14">
        <v>2017.31</v>
      </c>
      <c r="K427" s="12" t="s">
        <v>818</v>
      </c>
    </row>
    <row r="428" spans="1:11" x14ac:dyDescent="0.35">
      <c r="A428" s="12" t="s">
        <v>495</v>
      </c>
      <c r="B428" s="15">
        <v>2025</v>
      </c>
      <c r="C428" s="13">
        <v>45733</v>
      </c>
      <c r="D428" s="12" t="s">
        <v>499</v>
      </c>
      <c r="E428" s="13">
        <v>45733</v>
      </c>
      <c r="F428" s="84">
        <v>246779411789</v>
      </c>
      <c r="G428" s="12" t="s">
        <v>11</v>
      </c>
      <c r="H428" s="14">
        <v>428.11</v>
      </c>
      <c r="I428" s="12" t="s">
        <v>56</v>
      </c>
      <c r="J428" s="14">
        <v>37113.4</v>
      </c>
      <c r="K428" s="12" t="s">
        <v>818</v>
      </c>
    </row>
    <row r="429" spans="1:11" x14ac:dyDescent="0.35">
      <c r="A429" s="12" t="s">
        <v>495</v>
      </c>
      <c r="B429" s="15">
        <v>2025</v>
      </c>
      <c r="C429" s="13">
        <v>45733</v>
      </c>
      <c r="D429" s="12" t="s">
        <v>499</v>
      </c>
      <c r="E429" s="13">
        <v>45733</v>
      </c>
      <c r="F429" s="84">
        <v>246779411895</v>
      </c>
      <c r="G429" s="12" t="s">
        <v>11</v>
      </c>
      <c r="H429" s="14">
        <v>4.26</v>
      </c>
      <c r="I429" s="12" t="s">
        <v>56</v>
      </c>
      <c r="J429" s="14">
        <v>369.3</v>
      </c>
      <c r="K429" s="12" t="s">
        <v>819</v>
      </c>
    </row>
    <row r="430" spans="1:11" x14ac:dyDescent="0.35">
      <c r="A430" s="12" t="s">
        <v>495</v>
      </c>
      <c r="B430" s="15">
        <v>2025</v>
      </c>
      <c r="C430" s="13">
        <v>45733</v>
      </c>
      <c r="D430" s="12" t="s">
        <v>499</v>
      </c>
      <c r="E430" s="13">
        <v>45733</v>
      </c>
      <c r="F430" s="84">
        <v>246779411896</v>
      </c>
      <c r="G430" s="12" t="s">
        <v>11</v>
      </c>
      <c r="H430" s="14">
        <v>39.770000000000003</v>
      </c>
      <c r="I430" s="12" t="s">
        <v>56</v>
      </c>
      <c r="J430" s="14">
        <v>3447.71</v>
      </c>
      <c r="K430" s="12" t="s">
        <v>819</v>
      </c>
    </row>
    <row r="431" spans="1:11" x14ac:dyDescent="0.35">
      <c r="A431" s="12" t="s">
        <v>495</v>
      </c>
      <c r="B431" s="15">
        <v>2025</v>
      </c>
      <c r="C431" s="13">
        <v>45733</v>
      </c>
      <c r="D431" s="12" t="s">
        <v>499</v>
      </c>
      <c r="E431" s="13">
        <v>45733</v>
      </c>
      <c r="F431" s="84">
        <v>246779411915</v>
      </c>
      <c r="G431" s="12" t="s">
        <v>11</v>
      </c>
      <c r="H431" s="14">
        <v>23.17</v>
      </c>
      <c r="I431" s="12" t="s">
        <v>56</v>
      </c>
      <c r="J431" s="14">
        <v>2008.64</v>
      </c>
      <c r="K431" s="12" t="s">
        <v>819</v>
      </c>
    </row>
    <row r="432" spans="1:11" x14ac:dyDescent="0.35">
      <c r="A432" s="12" t="s">
        <v>495</v>
      </c>
      <c r="B432" s="15">
        <v>2025</v>
      </c>
      <c r="C432" s="13">
        <v>45733</v>
      </c>
      <c r="D432" s="12" t="s">
        <v>499</v>
      </c>
      <c r="E432" s="13">
        <v>45733</v>
      </c>
      <c r="F432" s="84">
        <v>246779411973</v>
      </c>
      <c r="G432" s="12" t="s">
        <v>11</v>
      </c>
      <c r="H432" s="14">
        <v>426.09</v>
      </c>
      <c r="I432" s="12" t="s">
        <v>56</v>
      </c>
      <c r="J432" s="14">
        <v>36938.28</v>
      </c>
      <c r="K432" s="12" t="s">
        <v>819</v>
      </c>
    </row>
    <row r="433" spans="1:11" x14ac:dyDescent="0.35">
      <c r="A433" s="12" t="s">
        <v>495</v>
      </c>
      <c r="B433" s="15">
        <v>2025</v>
      </c>
      <c r="C433" s="13">
        <v>45733</v>
      </c>
      <c r="D433" s="12" t="s">
        <v>499</v>
      </c>
      <c r="E433" s="13">
        <v>45733</v>
      </c>
      <c r="F433" s="84">
        <v>246779412044</v>
      </c>
      <c r="G433" s="12" t="s">
        <v>11</v>
      </c>
      <c r="H433" s="14">
        <v>30.37</v>
      </c>
      <c r="I433" s="12" t="s">
        <v>56</v>
      </c>
      <c r="J433" s="14">
        <v>2632.81</v>
      </c>
      <c r="K433" s="12" t="s">
        <v>820</v>
      </c>
    </row>
    <row r="434" spans="1:11" x14ac:dyDescent="0.35">
      <c r="A434" s="12" t="s">
        <v>495</v>
      </c>
      <c r="B434" s="15">
        <v>2025</v>
      </c>
      <c r="C434" s="13">
        <v>45733</v>
      </c>
      <c r="D434" s="12" t="s">
        <v>499</v>
      </c>
      <c r="E434" s="13">
        <v>45733</v>
      </c>
      <c r="F434" s="84">
        <v>246779412046</v>
      </c>
      <c r="G434" s="12" t="s">
        <v>11</v>
      </c>
      <c r="H434" s="14">
        <v>16.82</v>
      </c>
      <c r="I434" s="12" t="s">
        <v>56</v>
      </c>
      <c r="J434" s="14">
        <v>1458.15</v>
      </c>
      <c r="K434" s="12" t="s">
        <v>820</v>
      </c>
    </row>
    <row r="435" spans="1:11" x14ac:dyDescent="0.35">
      <c r="A435" s="12" t="s">
        <v>495</v>
      </c>
      <c r="B435" s="15">
        <v>2025</v>
      </c>
      <c r="C435" s="13">
        <v>45762</v>
      </c>
      <c r="D435" s="12" t="s">
        <v>499</v>
      </c>
      <c r="E435" s="13">
        <v>45762</v>
      </c>
      <c r="F435" s="84">
        <v>256779411091</v>
      </c>
      <c r="G435" s="12" t="s">
        <v>11</v>
      </c>
      <c r="H435" s="14">
        <v>54.87</v>
      </c>
      <c r="I435" s="12" t="s">
        <v>56</v>
      </c>
      <c r="J435" s="14">
        <v>4769.3999999999996</v>
      </c>
      <c r="K435" s="12" t="s">
        <v>821</v>
      </c>
    </row>
    <row r="436" spans="1:11" x14ac:dyDescent="0.35">
      <c r="A436" s="12" t="s">
        <v>495</v>
      </c>
      <c r="B436" s="15">
        <v>2025</v>
      </c>
      <c r="C436" s="13">
        <v>45762</v>
      </c>
      <c r="D436" s="12" t="s">
        <v>499</v>
      </c>
      <c r="E436" s="13">
        <v>45762</v>
      </c>
      <c r="F436" s="84">
        <v>256779411092</v>
      </c>
      <c r="G436" s="12" t="s">
        <v>11</v>
      </c>
      <c r="H436" s="14">
        <v>54.87</v>
      </c>
      <c r="I436" s="12" t="s">
        <v>56</v>
      </c>
      <c r="J436" s="14">
        <v>4769.3999999999996</v>
      </c>
      <c r="K436" s="12" t="s">
        <v>821</v>
      </c>
    </row>
    <row r="437" spans="1:11" x14ac:dyDescent="0.35">
      <c r="A437" s="12" t="s">
        <v>495</v>
      </c>
      <c r="B437" s="15">
        <v>2025</v>
      </c>
      <c r="C437" s="13">
        <v>45762</v>
      </c>
      <c r="D437" s="12" t="s">
        <v>499</v>
      </c>
      <c r="E437" s="13">
        <v>45762</v>
      </c>
      <c r="F437" s="84">
        <v>256779411093</v>
      </c>
      <c r="G437" s="12" t="s">
        <v>11</v>
      </c>
      <c r="H437" s="14">
        <v>57.82</v>
      </c>
      <c r="I437" s="12" t="s">
        <v>56</v>
      </c>
      <c r="J437" s="14">
        <v>5025.82</v>
      </c>
      <c r="K437" s="12" t="s">
        <v>821</v>
      </c>
    </row>
    <row r="438" spans="1:11" x14ac:dyDescent="0.35">
      <c r="A438" s="12" t="s">
        <v>495</v>
      </c>
      <c r="B438" s="15">
        <v>2025</v>
      </c>
      <c r="C438" s="13">
        <v>45762</v>
      </c>
      <c r="D438" s="12" t="s">
        <v>499</v>
      </c>
      <c r="E438" s="13">
        <v>45762</v>
      </c>
      <c r="F438" s="84">
        <v>256779411094</v>
      </c>
      <c r="G438" s="12" t="s">
        <v>11</v>
      </c>
      <c r="H438" s="14">
        <v>34.22</v>
      </c>
      <c r="I438" s="12" t="s">
        <v>56</v>
      </c>
      <c r="J438" s="14">
        <v>2974.46</v>
      </c>
      <c r="K438" s="12" t="s">
        <v>821</v>
      </c>
    </row>
    <row r="439" spans="1:11" x14ac:dyDescent="0.35">
      <c r="A439" s="12" t="s">
        <v>495</v>
      </c>
      <c r="B439" s="15">
        <v>2025</v>
      </c>
      <c r="C439" s="13">
        <v>45762</v>
      </c>
      <c r="D439" s="12" t="s">
        <v>499</v>
      </c>
      <c r="E439" s="13">
        <v>45762</v>
      </c>
      <c r="F439" s="84">
        <v>256779411095</v>
      </c>
      <c r="G439" s="12" t="s">
        <v>11</v>
      </c>
      <c r="H439" s="14">
        <v>48.97</v>
      </c>
      <c r="I439" s="12" t="s">
        <v>56</v>
      </c>
      <c r="J439" s="14">
        <v>4256.5600000000004</v>
      </c>
      <c r="K439" s="12" t="s">
        <v>821</v>
      </c>
    </row>
    <row r="440" spans="1:11" x14ac:dyDescent="0.35">
      <c r="A440" s="12" t="s">
        <v>495</v>
      </c>
      <c r="B440" s="15">
        <v>2025</v>
      </c>
      <c r="C440" s="13">
        <v>45762</v>
      </c>
      <c r="D440" s="12" t="s">
        <v>499</v>
      </c>
      <c r="E440" s="13">
        <v>45762</v>
      </c>
      <c r="F440" s="84">
        <v>256779411096</v>
      </c>
      <c r="G440" s="12" t="s">
        <v>11</v>
      </c>
      <c r="H440" s="14">
        <v>43.07</v>
      </c>
      <c r="I440" s="12" t="s">
        <v>56</v>
      </c>
      <c r="J440" s="14">
        <v>3743.72</v>
      </c>
      <c r="K440" s="12" t="s">
        <v>821</v>
      </c>
    </row>
    <row r="441" spans="1:11" x14ac:dyDescent="0.35">
      <c r="A441" s="12" t="s">
        <v>495</v>
      </c>
      <c r="B441" s="15">
        <v>2025</v>
      </c>
      <c r="C441" s="13">
        <v>45762</v>
      </c>
      <c r="D441" s="12" t="s">
        <v>499</v>
      </c>
      <c r="E441" s="13">
        <v>45762</v>
      </c>
      <c r="F441" s="84">
        <v>256779411098</v>
      </c>
      <c r="G441" s="12" t="s">
        <v>11</v>
      </c>
      <c r="H441" s="14">
        <v>60.64</v>
      </c>
      <c r="I441" s="12" t="s">
        <v>56</v>
      </c>
      <c r="J441" s="14">
        <v>5270.94</v>
      </c>
      <c r="K441" s="12" t="s">
        <v>821</v>
      </c>
    </row>
    <row r="442" spans="1:11" x14ac:dyDescent="0.35">
      <c r="A442" s="12" t="s">
        <v>495</v>
      </c>
      <c r="B442" s="15">
        <v>2025</v>
      </c>
      <c r="C442" s="13">
        <v>45762</v>
      </c>
      <c r="D442" s="12" t="s">
        <v>499</v>
      </c>
      <c r="E442" s="13">
        <v>45762</v>
      </c>
      <c r="F442" s="84">
        <v>256779411099</v>
      </c>
      <c r="G442" s="12" t="s">
        <v>11</v>
      </c>
      <c r="H442" s="14">
        <v>58.81</v>
      </c>
      <c r="I442" s="12" t="s">
        <v>56</v>
      </c>
      <c r="J442" s="14">
        <v>5111.87</v>
      </c>
      <c r="K442" s="12" t="s">
        <v>821</v>
      </c>
    </row>
    <row r="443" spans="1:11" x14ac:dyDescent="0.35">
      <c r="A443" s="12" t="s">
        <v>495</v>
      </c>
      <c r="B443" s="15">
        <v>2025</v>
      </c>
      <c r="C443" s="13">
        <v>45762</v>
      </c>
      <c r="D443" s="12" t="s">
        <v>499</v>
      </c>
      <c r="E443" s="13">
        <v>45762</v>
      </c>
      <c r="F443" s="84">
        <v>256779411100</v>
      </c>
      <c r="G443" s="12" t="s">
        <v>11</v>
      </c>
      <c r="H443" s="14">
        <v>46.02</v>
      </c>
      <c r="I443" s="12" t="s">
        <v>56</v>
      </c>
      <c r="J443" s="14">
        <v>4000.14</v>
      </c>
      <c r="K443" s="12" t="s">
        <v>821</v>
      </c>
    </row>
    <row r="444" spans="1:11" x14ac:dyDescent="0.35">
      <c r="A444" s="12" t="s">
        <v>495</v>
      </c>
      <c r="B444" s="15">
        <v>2025</v>
      </c>
      <c r="C444" s="13">
        <v>45762</v>
      </c>
      <c r="D444" s="12" t="s">
        <v>499</v>
      </c>
      <c r="E444" s="13">
        <v>45762</v>
      </c>
      <c r="F444" s="84">
        <v>256779411101</v>
      </c>
      <c r="G444" s="12" t="s">
        <v>11</v>
      </c>
      <c r="H444" s="14">
        <v>32.450000000000003</v>
      </c>
      <c r="I444" s="12" t="s">
        <v>56</v>
      </c>
      <c r="J444" s="14">
        <v>2820.61</v>
      </c>
      <c r="K444" s="12" t="s">
        <v>821</v>
      </c>
    </row>
    <row r="445" spans="1:11" x14ac:dyDescent="0.35">
      <c r="A445" s="12" t="s">
        <v>495</v>
      </c>
      <c r="B445" s="15">
        <v>2025</v>
      </c>
      <c r="C445" s="13">
        <v>45762</v>
      </c>
      <c r="D445" s="12" t="s">
        <v>499</v>
      </c>
      <c r="E445" s="13">
        <v>45762</v>
      </c>
      <c r="F445" s="84">
        <v>256779411458</v>
      </c>
      <c r="G445" s="12" t="s">
        <v>11</v>
      </c>
      <c r="H445" s="14">
        <v>35.4</v>
      </c>
      <c r="I445" s="12" t="s">
        <v>56</v>
      </c>
      <c r="J445" s="14">
        <v>3077.03</v>
      </c>
      <c r="K445" s="12" t="s">
        <v>790</v>
      </c>
    </row>
    <row r="446" spans="1:11" x14ac:dyDescent="0.35">
      <c r="A446" s="12" t="s">
        <v>495</v>
      </c>
      <c r="B446" s="15">
        <v>2025</v>
      </c>
      <c r="C446" s="13">
        <v>45762</v>
      </c>
      <c r="D446" s="12" t="s">
        <v>499</v>
      </c>
      <c r="E446" s="13">
        <v>45762</v>
      </c>
      <c r="F446" s="84">
        <v>256779411459</v>
      </c>
      <c r="G446" s="12" t="s">
        <v>11</v>
      </c>
      <c r="H446" s="14">
        <v>29.5</v>
      </c>
      <c r="I446" s="12" t="s">
        <v>56</v>
      </c>
      <c r="J446" s="14">
        <v>2564.19</v>
      </c>
      <c r="K446" s="12" t="s">
        <v>790</v>
      </c>
    </row>
    <row r="447" spans="1:11" x14ac:dyDescent="0.35">
      <c r="A447" s="12" t="s">
        <v>495</v>
      </c>
      <c r="B447" s="15">
        <v>2025</v>
      </c>
      <c r="C447" s="13">
        <v>45762</v>
      </c>
      <c r="D447" s="12" t="s">
        <v>499</v>
      </c>
      <c r="E447" s="13">
        <v>45762</v>
      </c>
      <c r="F447" s="84">
        <v>256779411460</v>
      </c>
      <c r="G447" s="12" t="s">
        <v>11</v>
      </c>
      <c r="H447" s="14">
        <v>29.5</v>
      </c>
      <c r="I447" s="12" t="s">
        <v>56</v>
      </c>
      <c r="J447" s="14">
        <v>2564.19</v>
      </c>
      <c r="K447" s="12" t="s">
        <v>790</v>
      </c>
    </row>
    <row r="448" spans="1:11" x14ac:dyDescent="0.35">
      <c r="A448" s="12" t="s">
        <v>495</v>
      </c>
      <c r="B448" s="15">
        <v>2025</v>
      </c>
      <c r="C448" s="13">
        <v>45762</v>
      </c>
      <c r="D448" s="12" t="s">
        <v>499</v>
      </c>
      <c r="E448" s="13">
        <v>45762</v>
      </c>
      <c r="F448" s="84">
        <v>256779411461</v>
      </c>
      <c r="G448" s="12" t="s">
        <v>11</v>
      </c>
      <c r="H448" s="14">
        <v>35.4</v>
      </c>
      <c r="I448" s="12" t="s">
        <v>56</v>
      </c>
      <c r="J448" s="14">
        <v>3077.03</v>
      </c>
      <c r="K448" s="12" t="s">
        <v>790</v>
      </c>
    </row>
    <row r="449" spans="1:11" x14ac:dyDescent="0.35">
      <c r="A449" s="12" t="s">
        <v>495</v>
      </c>
      <c r="B449" s="15">
        <v>2025</v>
      </c>
      <c r="C449" s="13">
        <v>45762</v>
      </c>
      <c r="D449" s="12" t="s">
        <v>499</v>
      </c>
      <c r="E449" s="13">
        <v>45762</v>
      </c>
      <c r="F449" s="84">
        <v>256779411462</v>
      </c>
      <c r="G449" s="12" t="s">
        <v>11</v>
      </c>
      <c r="H449" s="14">
        <v>20.65</v>
      </c>
      <c r="I449" s="12" t="s">
        <v>56</v>
      </c>
      <c r="J449" s="14">
        <v>1794.94</v>
      </c>
      <c r="K449" s="12" t="s">
        <v>790</v>
      </c>
    </row>
    <row r="450" spans="1:11" x14ac:dyDescent="0.35">
      <c r="A450" s="12" t="s">
        <v>495</v>
      </c>
      <c r="B450" s="15">
        <v>2025</v>
      </c>
      <c r="C450" s="13">
        <v>45762</v>
      </c>
      <c r="D450" s="12" t="s">
        <v>499</v>
      </c>
      <c r="E450" s="13">
        <v>45762</v>
      </c>
      <c r="F450" s="84">
        <v>256779411463</v>
      </c>
      <c r="G450" s="12" t="s">
        <v>11</v>
      </c>
      <c r="H450" s="14">
        <v>23.6</v>
      </c>
      <c r="I450" s="12" t="s">
        <v>56</v>
      </c>
      <c r="J450" s="14">
        <v>2051.35</v>
      </c>
      <c r="K450" s="12" t="s">
        <v>790</v>
      </c>
    </row>
    <row r="451" spans="1:11" x14ac:dyDescent="0.35">
      <c r="A451" s="12" t="s">
        <v>495</v>
      </c>
      <c r="B451" s="15">
        <v>2025</v>
      </c>
      <c r="C451" s="13">
        <v>45762</v>
      </c>
      <c r="D451" s="12" t="s">
        <v>499</v>
      </c>
      <c r="E451" s="13">
        <v>45762</v>
      </c>
      <c r="F451" s="84">
        <v>256779411464</v>
      </c>
      <c r="G451" s="12" t="s">
        <v>11</v>
      </c>
      <c r="H451" s="14">
        <v>8.85</v>
      </c>
      <c r="I451" s="12" t="s">
        <v>56</v>
      </c>
      <c r="J451" s="14">
        <v>769.26</v>
      </c>
      <c r="K451" s="12" t="s">
        <v>790</v>
      </c>
    </row>
    <row r="452" spans="1:11" x14ac:dyDescent="0.35">
      <c r="A452" s="12" t="s">
        <v>495</v>
      </c>
      <c r="B452" s="15">
        <v>2025</v>
      </c>
      <c r="C452" s="13">
        <v>45762</v>
      </c>
      <c r="D452" s="12" t="s">
        <v>499</v>
      </c>
      <c r="E452" s="13">
        <v>45762</v>
      </c>
      <c r="F452" s="84">
        <v>256779411465</v>
      </c>
      <c r="G452" s="12" t="s">
        <v>11</v>
      </c>
      <c r="H452" s="14">
        <v>32.450000000000003</v>
      </c>
      <c r="I452" s="12" t="s">
        <v>56</v>
      </c>
      <c r="J452" s="14">
        <v>2820.61</v>
      </c>
      <c r="K452" s="12" t="s">
        <v>790</v>
      </c>
    </row>
    <row r="453" spans="1:11" x14ac:dyDescent="0.35">
      <c r="A453" s="12" t="s">
        <v>495</v>
      </c>
      <c r="B453" s="15">
        <v>2025</v>
      </c>
      <c r="C453" s="13">
        <v>45762</v>
      </c>
      <c r="D453" s="12" t="s">
        <v>499</v>
      </c>
      <c r="E453" s="13">
        <v>45762</v>
      </c>
      <c r="F453" s="84">
        <v>256779411466</v>
      </c>
      <c r="G453" s="12" t="s">
        <v>11</v>
      </c>
      <c r="H453" s="14">
        <v>35.4</v>
      </c>
      <c r="I453" s="12" t="s">
        <v>56</v>
      </c>
      <c r="J453" s="14">
        <v>3077.03</v>
      </c>
      <c r="K453" s="12" t="s">
        <v>790</v>
      </c>
    </row>
    <row r="454" spans="1:11" x14ac:dyDescent="0.35">
      <c r="A454" s="12" t="s">
        <v>495</v>
      </c>
      <c r="B454" s="15">
        <v>2025</v>
      </c>
      <c r="C454" s="13">
        <v>45762</v>
      </c>
      <c r="D454" s="12" t="s">
        <v>499</v>
      </c>
      <c r="E454" s="13">
        <v>45762</v>
      </c>
      <c r="F454" s="84">
        <v>256779411467</v>
      </c>
      <c r="G454" s="12" t="s">
        <v>11</v>
      </c>
      <c r="H454" s="14">
        <v>35.4</v>
      </c>
      <c r="I454" s="12" t="s">
        <v>56</v>
      </c>
      <c r="J454" s="14">
        <v>3077.03</v>
      </c>
      <c r="K454" s="12" t="s">
        <v>790</v>
      </c>
    </row>
    <row r="455" spans="1:11" x14ac:dyDescent="0.35">
      <c r="A455" s="12" t="s">
        <v>495</v>
      </c>
      <c r="B455" s="15">
        <v>2025</v>
      </c>
      <c r="C455" s="13">
        <v>45762</v>
      </c>
      <c r="D455" s="12" t="s">
        <v>499</v>
      </c>
      <c r="E455" s="13">
        <v>45762</v>
      </c>
      <c r="F455" s="84">
        <v>256779411468</v>
      </c>
      <c r="G455" s="12" t="s">
        <v>11</v>
      </c>
      <c r="H455" s="14">
        <v>26.55</v>
      </c>
      <c r="I455" s="12" t="s">
        <v>56</v>
      </c>
      <c r="J455" s="14">
        <v>2307.77</v>
      </c>
      <c r="K455" s="12" t="s">
        <v>790</v>
      </c>
    </row>
    <row r="456" spans="1:11" x14ac:dyDescent="0.35">
      <c r="A456" s="12" t="s">
        <v>495</v>
      </c>
      <c r="B456" s="15">
        <v>2025</v>
      </c>
      <c r="C456" s="13">
        <v>45762</v>
      </c>
      <c r="D456" s="12" t="s">
        <v>499</v>
      </c>
      <c r="E456" s="13">
        <v>45762</v>
      </c>
      <c r="F456" s="84">
        <v>256779411469</v>
      </c>
      <c r="G456" s="12" t="s">
        <v>11</v>
      </c>
      <c r="H456" s="14">
        <v>35.4</v>
      </c>
      <c r="I456" s="12" t="s">
        <v>56</v>
      </c>
      <c r="J456" s="14">
        <v>3077.03</v>
      </c>
      <c r="K456" s="12" t="s">
        <v>790</v>
      </c>
    </row>
    <row r="457" spans="1:11" x14ac:dyDescent="0.35">
      <c r="A457" s="12" t="s">
        <v>495</v>
      </c>
      <c r="B457" s="15">
        <v>2025</v>
      </c>
      <c r="C457" s="13">
        <v>45947</v>
      </c>
      <c r="D457" s="12" t="s">
        <v>496</v>
      </c>
      <c r="E457" s="13">
        <v>45947</v>
      </c>
      <c r="F457" s="84">
        <v>256779422006</v>
      </c>
      <c r="G457" s="12" t="s">
        <v>11</v>
      </c>
      <c r="H457" s="14">
        <v>-94.81</v>
      </c>
      <c r="I457" s="12" t="s">
        <v>56</v>
      </c>
      <c r="J457" s="14">
        <v>-8361.3700000000008</v>
      </c>
      <c r="K457" s="12" t="s">
        <v>822</v>
      </c>
    </row>
    <row r="458" spans="1:11" x14ac:dyDescent="0.35">
      <c r="A458" s="12" t="s">
        <v>495</v>
      </c>
      <c r="B458" s="15">
        <v>2025</v>
      </c>
      <c r="C458" s="13">
        <v>45763</v>
      </c>
      <c r="D458" s="12" t="s">
        <v>499</v>
      </c>
      <c r="E458" s="13">
        <v>45763</v>
      </c>
      <c r="F458" s="84">
        <v>256779411969</v>
      </c>
      <c r="G458" s="12" t="s">
        <v>11</v>
      </c>
      <c r="H458" s="14">
        <v>79.08</v>
      </c>
      <c r="I458" s="12" t="s">
        <v>56</v>
      </c>
      <c r="J458" s="14">
        <v>6873.78</v>
      </c>
      <c r="K458" s="12" t="s">
        <v>823</v>
      </c>
    </row>
    <row r="459" spans="1:11" x14ac:dyDescent="0.35">
      <c r="A459" s="12" t="s">
        <v>495</v>
      </c>
      <c r="B459" s="15">
        <v>2025</v>
      </c>
      <c r="C459" s="13">
        <v>45763</v>
      </c>
      <c r="D459" s="12" t="s">
        <v>499</v>
      </c>
      <c r="E459" s="13">
        <v>45763</v>
      </c>
      <c r="F459" s="84">
        <v>256779411970</v>
      </c>
      <c r="G459" s="12" t="s">
        <v>11</v>
      </c>
      <c r="H459" s="14">
        <v>8.66</v>
      </c>
      <c r="I459" s="12" t="s">
        <v>56</v>
      </c>
      <c r="J459" s="14">
        <v>752.74</v>
      </c>
      <c r="K459" s="12" t="s">
        <v>823</v>
      </c>
    </row>
    <row r="460" spans="1:11" x14ac:dyDescent="0.35">
      <c r="A460" s="12" t="s">
        <v>495</v>
      </c>
      <c r="B460" s="15">
        <v>2025</v>
      </c>
      <c r="C460" s="13">
        <v>45763</v>
      </c>
      <c r="D460" s="12" t="s">
        <v>499</v>
      </c>
      <c r="E460" s="13">
        <v>45763</v>
      </c>
      <c r="F460" s="84">
        <v>256779412012</v>
      </c>
      <c r="G460" s="12" t="s">
        <v>11</v>
      </c>
      <c r="H460" s="14">
        <v>1051.22</v>
      </c>
      <c r="I460" s="12" t="s">
        <v>56</v>
      </c>
      <c r="J460" s="14">
        <v>91373.96</v>
      </c>
      <c r="K460" s="12" t="s">
        <v>824</v>
      </c>
    </row>
    <row r="461" spans="1:11" x14ac:dyDescent="0.35">
      <c r="A461" s="12" t="s">
        <v>495</v>
      </c>
      <c r="B461" s="15">
        <v>2025</v>
      </c>
      <c r="C461" s="13">
        <v>45763</v>
      </c>
      <c r="D461" s="12" t="s">
        <v>499</v>
      </c>
      <c r="E461" s="13">
        <v>45763</v>
      </c>
      <c r="F461" s="84">
        <v>256779412053</v>
      </c>
      <c r="G461" s="12" t="s">
        <v>11</v>
      </c>
      <c r="H461" s="14">
        <v>985.93</v>
      </c>
      <c r="I461" s="12" t="s">
        <v>56</v>
      </c>
      <c r="J461" s="14">
        <v>85698.83</v>
      </c>
      <c r="K461" s="12" t="s">
        <v>825</v>
      </c>
    </row>
    <row r="462" spans="1:11" x14ac:dyDescent="0.35">
      <c r="A462" s="12" t="s">
        <v>495</v>
      </c>
      <c r="B462" s="15">
        <v>2025</v>
      </c>
      <c r="C462" s="13">
        <v>45763</v>
      </c>
      <c r="D462" s="12" t="s">
        <v>499</v>
      </c>
      <c r="E462" s="13">
        <v>45763</v>
      </c>
      <c r="F462" s="84">
        <v>256779412091</v>
      </c>
      <c r="G462" s="12" t="s">
        <v>11</v>
      </c>
      <c r="H462" s="14">
        <v>96.4</v>
      </c>
      <c r="I462" s="12" t="s">
        <v>56</v>
      </c>
      <c r="J462" s="14">
        <v>8379.26</v>
      </c>
      <c r="K462" s="12" t="s">
        <v>826</v>
      </c>
    </row>
    <row r="463" spans="1:11" x14ac:dyDescent="0.35">
      <c r="A463" s="12" t="s">
        <v>495</v>
      </c>
      <c r="B463" s="15">
        <v>2025</v>
      </c>
      <c r="C463" s="13">
        <v>45763</v>
      </c>
      <c r="D463" s="12" t="s">
        <v>499</v>
      </c>
      <c r="E463" s="13">
        <v>45763</v>
      </c>
      <c r="F463" s="84">
        <v>256779412092</v>
      </c>
      <c r="G463" s="12" t="s">
        <v>11</v>
      </c>
      <c r="H463" s="14">
        <v>289.17</v>
      </c>
      <c r="I463" s="12" t="s">
        <v>56</v>
      </c>
      <c r="J463" s="14">
        <v>25135.18</v>
      </c>
      <c r="K463" s="12" t="s">
        <v>826</v>
      </c>
    </row>
    <row r="464" spans="1:11" x14ac:dyDescent="0.35">
      <c r="A464" s="12" t="s">
        <v>495</v>
      </c>
      <c r="B464" s="15">
        <v>2025</v>
      </c>
      <c r="C464" s="13">
        <v>45763</v>
      </c>
      <c r="D464" s="12" t="s">
        <v>499</v>
      </c>
      <c r="E464" s="13">
        <v>45763</v>
      </c>
      <c r="F464" s="84">
        <v>256779412123</v>
      </c>
      <c r="G464" s="12" t="s">
        <v>11</v>
      </c>
      <c r="H464" s="14">
        <v>3318.21</v>
      </c>
      <c r="I464" s="12" t="s">
        <v>56</v>
      </c>
      <c r="J464" s="14">
        <v>288424.84999999998</v>
      </c>
      <c r="K464" s="12" t="s">
        <v>827</v>
      </c>
    </row>
    <row r="465" spans="1:11" x14ac:dyDescent="0.35">
      <c r="A465" s="12" t="s">
        <v>495</v>
      </c>
      <c r="B465" s="15">
        <v>2025</v>
      </c>
      <c r="C465" s="13">
        <v>45763</v>
      </c>
      <c r="D465" s="12" t="s">
        <v>499</v>
      </c>
      <c r="E465" s="13">
        <v>45763</v>
      </c>
      <c r="F465" s="84">
        <v>256779411722</v>
      </c>
      <c r="G465" s="12" t="s">
        <v>11</v>
      </c>
      <c r="H465" s="14">
        <v>236</v>
      </c>
      <c r="I465" s="12" t="s">
        <v>56</v>
      </c>
      <c r="J465" s="14">
        <v>20513.55</v>
      </c>
      <c r="K465" s="12" t="s">
        <v>712</v>
      </c>
    </row>
    <row r="466" spans="1:11" x14ac:dyDescent="0.35">
      <c r="A466" s="12" t="s">
        <v>495</v>
      </c>
      <c r="B466" s="15">
        <v>2025</v>
      </c>
      <c r="C466" s="13">
        <v>45763</v>
      </c>
      <c r="D466" s="12" t="s">
        <v>499</v>
      </c>
      <c r="E466" s="13">
        <v>45763</v>
      </c>
      <c r="F466" s="84">
        <v>256779411795</v>
      </c>
      <c r="G466" s="12" t="s">
        <v>11</v>
      </c>
      <c r="H466" s="14">
        <v>369.34</v>
      </c>
      <c r="I466" s="12" t="s">
        <v>56</v>
      </c>
      <c r="J466" s="14">
        <v>32103.7</v>
      </c>
      <c r="K466" s="12" t="s">
        <v>713</v>
      </c>
    </row>
    <row r="467" spans="1:11" x14ac:dyDescent="0.35">
      <c r="A467" s="12" t="s">
        <v>495</v>
      </c>
      <c r="B467" s="15">
        <v>2025</v>
      </c>
      <c r="C467" s="13">
        <v>45763</v>
      </c>
      <c r="D467" s="12" t="s">
        <v>499</v>
      </c>
      <c r="E467" s="13">
        <v>45763</v>
      </c>
      <c r="F467" s="84">
        <v>256779411796</v>
      </c>
      <c r="G467" s="12" t="s">
        <v>11</v>
      </c>
      <c r="H467" s="14">
        <v>226.56</v>
      </c>
      <c r="I467" s="12" t="s">
        <v>56</v>
      </c>
      <c r="J467" s="14">
        <v>19693.009999999998</v>
      </c>
      <c r="K467" s="12" t="s">
        <v>714</v>
      </c>
    </row>
    <row r="468" spans="1:11" x14ac:dyDescent="0.35">
      <c r="A468" s="12" t="s">
        <v>495</v>
      </c>
      <c r="B468" s="15">
        <v>2025</v>
      </c>
      <c r="C468" s="13">
        <v>45763</v>
      </c>
      <c r="D468" s="12" t="s">
        <v>499</v>
      </c>
      <c r="E468" s="13">
        <v>45763</v>
      </c>
      <c r="F468" s="84">
        <v>256779411797</v>
      </c>
      <c r="G468" s="12" t="s">
        <v>11</v>
      </c>
      <c r="H468" s="14">
        <v>35.4</v>
      </c>
      <c r="I468" s="12" t="s">
        <v>56</v>
      </c>
      <c r="J468" s="14">
        <v>3077.03</v>
      </c>
      <c r="K468" s="12" t="s">
        <v>828</v>
      </c>
    </row>
    <row r="469" spans="1:11" x14ac:dyDescent="0.35">
      <c r="A469" s="12" t="s">
        <v>495</v>
      </c>
      <c r="B469" s="15">
        <v>2025</v>
      </c>
      <c r="C469" s="13">
        <v>45763</v>
      </c>
      <c r="D469" s="12" t="s">
        <v>499</v>
      </c>
      <c r="E469" s="13">
        <v>45763</v>
      </c>
      <c r="F469" s="84">
        <v>256779411798</v>
      </c>
      <c r="G469" s="12" t="s">
        <v>11</v>
      </c>
      <c r="H469" s="14">
        <v>236</v>
      </c>
      <c r="I469" s="12" t="s">
        <v>56</v>
      </c>
      <c r="J469" s="14">
        <v>20513.55</v>
      </c>
      <c r="K469" s="12" t="s">
        <v>715</v>
      </c>
    </row>
    <row r="470" spans="1:11" x14ac:dyDescent="0.35">
      <c r="A470" s="12" t="s">
        <v>495</v>
      </c>
      <c r="B470" s="15">
        <v>2025</v>
      </c>
      <c r="C470" s="13">
        <v>45763</v>
      </c>
      <c r="D470" s="12" t="s">
        <v>499</v>
      </c>
      <c r="E470" s="13">
        <v>45763</v>
      </c>
      <c r="F470" s="84">
        <v>256779411799</v>
      </c>
      <c r="G470" s="12" t="s">
        <v>11</v>
      </c>
      <c r="H470" s="14">
        <v>70.8</v>
      </c>
      <c r="I470" s="12" t="s">
        <v>56</v>
      </c>
      <c r="J470" s="14">
        <v>6154.06</v>
      </c>
      <c r="K470" s="12" t="s">
        <v>716</v>
      </c>
    </row>
    <row r="471" spans="1:11" x14ac:dyDescent="0.35">
      <c r="A471" s="12" t="s">
        <v>495</v>
      </c>
      <c r="B471" s="15">
        <v>2025</v>
      </c>
      <c r="C471" s="13">
        <v>45763</v>
      </c>
      <c r="D471" s="12" t="s">
        <v>499</v>
      </c>
      <c r="E471" s="13">
        <v>45763</v>
      </c>
      <c r="F471" s="84">
        <v>256779411867</v>
      </c>
      <c r="G471" s="12" t="s">
        <v>11</v>
      </c>
      <c r="H471" s="14">
        <v>295</v>
      </c>
      <c r="I471" s="12" t="s">
        <v>56</v>
      </c>
      <c r="J471" s="14">
        <v>25641.94</v>
      </c>
      <c r="K471" s="12" t="s">
        <v>829</v>
      </c>
    </row>
    <row r="472" spans="1:11" x14ac:dyDescent="0.35">
      <c r="A472" s="12" t="s">
        <v>495</v>
      </c>
      <c r="B472" s="15">
        <v>2025</v>
      </c>
      <c r="C472" s="13">
        <v>45863</v>
      </c>
      <c r="D472" s="12" t="s">
        <v>499</v>
      </c>
      <c r="E472" s="13">
        <v>45863</v>
      </c>
      <c r="F472" s="84">
        <v>256779415989</v>
      </c>
      <c r="G472" s="12" t="s">
        <v>11</v>
      </c>
      <c r="H472" s="14">
        <v>299.83999999999997</v>
      </c>
      <c r="I472" s="12" t="s">
        <v>56</v>
      </c>
      <c r="J472" s="14">
        <v>25786.44</v>
      </c>
      <c r="K472" s="12" t="s">
        <v>830</v>
      </c>
    </row>
    <row r="473" spans="1:11" x14ac:dyDescent="0.35">
      <c r="A473" s="12" t="s">
        <v>495</v>
      </c>
      <c r="B473" s="15">
        <v>2025</v>
      </c>
      <c r="C473" s="13">
        <v>45863</v>
      </c>
      <c r="D473" s="12" t="s">
        <v>499</v>
      </c>
      <c r="E473" s="13">
        <v>45863</v>
      </c>
      <c r="F473" s="84">
        <v>256779416007</v>
      </c>
      <c r="G473" s="12" t="s">
        <v>11</v>
      </c>
      <c r="H473" s="14">
        <v>421.15</v>
      </c>
      <c r="I473" s="12" t="s">
        <v>56</v>
      </c>
      <c r="J473" s="14">
        <v>36219.18</v>
      </c>
      <c r="K473" s="12" t="s">
        <v>831</v>
      </c>
    </row>
    <row r="474" spans="1:11" x14ac:dyDescent="0.35">
      <c r="A474" s="12" t="s">
        <v>495</v>
      </c>
      <c r="B474" s="15">
        <v>2025</v>
      </c>
      <c r="C474" s="13">
        <v>45730</v>
      </c>
      <c r="D474" s="12" t="s">
        <v>499</v>
      </c>
      <c r="E474" s="13">
        <v>45730</v>
      </c>
      <c r="F474" s="84">
        <v>246779411407</v>
      </c>
      <c r="G474" s="12" t="s">
        <v>11</v>
      </c>
      <c r="H474" s="14">
        <v>57.23</v>
      </c>
      <c r="I474" s="12" t="s">
        <v>56</v>
      </c>
      <c r="J474" s="14">
        <v>4961.34</v>
      </c>
      <c r="K474" s="12" t="s">
        <v>832</v>
      </c>
    </row>
    <row r="475" spans="1:11" x14ac:dyDescent="0.35">
      <c r="A475" s="12" t="s">
        <v>495</v>
      </c>
      <c r="B475" s="15">
        <v>2025</v>
      </c>
      <c r="C475" s="13">
        <v>45730</v>
      </c>
      <c r="D475" s="12" t="s">
        <v>499</v>
      </c>
      <c r="E475" s="13">
        <v>45730</v>
      </c>
      <c r="F475" s="84">
        <v>246779411411</v>
      </c>
      <c r="G475" s="12" t="s">
        <v>11</v>
      </c>
      <c r="H475" s="14">
        <v>45.79</v>
      </c>
      <c r="I475" s="12" t="s">
        <v>56</v>
      </c>
      <c r="J475" s="14">
        <v>3969.59</v>
      </c>
      <c r="K475" s="12" t="s">
        <v>832</v>
      </c>
    </row>
    <row r="476" spans="1:11" x14ac:dyDescent="0.35">
      <c r="A476" s="12" t="s">
        <v>495</v>
      </c>
      <c r="B476" s="15">
        <v>2025</v>
      </c>
      <c r="C476" s="13">
        <v>45730</v>
      </c>
      <c r="D476" s="12" t="s">
        <v>499</v>
      </c>
      <c r="E476" s="13">
        <v>45730</v>
      </c>
      <c r="F476" s="84">
        <v>246779411412</v>
      </c>
      <c r="G476" s="12" t="s">
        <v>11</v>
      </c>
      <c r="H476" s="14">
        <v>20.03</v>
      </c>
      <c r="I476" s="12" t="s">
        <v>56</v>
      </c>
      <c r="J476" s="14">
        <v>1736.43</v>
      </c>
      <c r="K476" s="12" t="s">
        <v>832</v>
      </c>
    </row>
    <row r="477" spans="1:11" x14ac:dyDescent="0.35">
      <c r="A477" s="12" t="s">
        <v>495</v>
      </c>
      <c r="B477" s="15">
        <v>2025</v>
      </c>
      <c r="C477" s="13">
        <v>45730</v>
      </c>
      <c r="D477" s="12" t="s">
        <v>499</v>
      </c>
      <c r="E477" s="13">
        <v>45730</v>
      </c>
      <c r="F477" s="84">
        <v>246779411413</v>
      </c>
      <c r="G477" s="12" t="s">
        <v>11</v>
      </c>
      <c r="H477" s="14">
        <v>40.06</v>
      </c>
      <c r="I477" s="12" t="s">
        <v>56</v>
      </c>
      <c r="J477" s="14">
        <v>3472.85</v>
      </c>
      <c r="K477" s="12" t="s">
        <v>832</v>
      </c>
    </row>
    <row r="478" spans="1:11" x14ac:dyDescent="0.35">
      <c r="A478" s="12" t="s">
        <v>495</v>
      </c>
      <c r="B478" s="15">
        <v>2025</v>
      </c>
      <c r="C478" s="13">
        <v>45730</v>
      </c>
      <c r="D478" s="12" t="s">
        <v>499</v>
      </c>
      <c r="E478" s="13">
        <v>45730</v>
      </c>
      <c r="F478" s="84">
        <v>246779411415</v>
      </c>
      <c r="G478" s="12" t="s">
        <v>11</v>
      </c>
      <c r="H478" s="14">
        <v>22.89</v>
      </c>
      <c r="I478" s="12" t="s">
        <v>56</v>
      </c>
      <c r="J478" s="14">
        <v>1984.36</v>
      </c>
      <c r="K478" s="12" t="s">
        <v>832</v>
      </c>
    </row>
    <row r="479" spans="1:11" x14ac:dyDescent="0.35">
      <c r="A479" s="12" t="s">
        <v>495</v>
      </c>
      <c r="B479" s="15">
        <v>2025</v>
      </c>
      <c r="C479" s="13">
        <v>45730</v>
      </c>
      <c r="D479" s="12" t="s">
        <v>499</v>
      </c>
      <c r="E479" s="13">
        <v>45730</v>
      </c>
      <c r="F479" s="84">
        <v>246779411419</v>
      </c>
      <c r="G479" s="12" t="s">
        <v>11</v>
      </c>
      <c r="H479" s="14">
        <v>23.35</v>
      </c>
      <c r="I479" s="12" t="s">
        <v>56</v>
      </c>
      <c r="J479" s="14">
        <v>2024.24</v>
      </c>
      <c r="K479" s="12" t="s">
        <v>832</v>
      </c>
    </row>
    <row r="480" spans="1:11" x14ac:dyDescent="0.35">
      <c r="A480" s="12" t="s">
        <v>495</v>
      </c>
      <c r="B480" s="15">
        <v>2025</v>
      </c>
      <c r="C480" s="13">
        <v>45730</v>
      </c>
      <c r="D480" s="12" t="s">
        <v>499</v>
      </c>
      <c r="E480" s="13">
        <v>45730</v>
      </c>
      <c r="F480" s="84">
        <v>246779412207</v>
      </c>
      <c r="G480" s="12" t="s">
        <v>11</v>
      </c>
      <c r="H480" s="14">
        <v>312.5</v>
      </c>
      <c r="I480" s="12" t="s">
        <v>56</v>
      </c>
      <c r="J480" s="14">
        <v>27091.02</v>
      </c>
      <c r="K480" s="12" t="s">
        <v>832</v>
      </c>
    </row>
    <row r="481" spans="1:11" x14ac:dyDescent="0.35">
      <c r="A481" s="12" t="s">
        <v>495</v>
      </c>
      <c r="B481" s="15">
        <v>2025</v>
      </c>
      <c r="C481" s="13">
        <v>45730</v>
      </c>
      <c r="D481" s="12" t="s">
        <v>499</v>
      </c>
      <c r="E481" s="13">
        <v>45730</v>
      </c>
      <c r="F481" s="84">
        <v>246779412208</v>
      </c>
      <c r="G481" s="12" t="s">
        <v>11</v>
      </c>
      <c r="H481" s="14">
        <v>23.35</v>
      </c>
      <c r="I481" s="12" t="s">
        <v>56</v>
      </c>
      <c r="J481" s="14">
        <v>2024.24</v>
      </c>
      <c r="K481" s="12" t="s">
        <v>832</v>
      </c>
    </row>
    <row r="482" spans="1:11" x14ac:dyDescent="0.35">
      <c r="A482" s="12" t="s">
        <v>495</v>
      </c>
      <c r="B482" s="15">
        <v>2025</v>
      </c>
      <c r="C482" s="13">
        <v>45730</v>
      </c>
      <c r="D482" s="12" t="s">
        <v>499</v>
      </c>
      <c r="E482" s="13">
        <v>45730</v>
      </c>
      <c r="F482" s="84">
        <v>246779412197</v>
      </c>
      <c r="G482" s="12" t="s">
        <v>11</v>
      </c>
      <c r="H482" s="14">
        <v>40.06</v>
      </c>
      <c r="I482" s="12" t="s">
        <v>56</v>
      </c>
      <c r="J482" s="14">
        <v>3472.85</v>
      </c>
      <c r="K482" s="12" t="s">
        <v>832</v>
      </c>
    </row>
    <row r="483" spans="1:11" x14ac:dyDescent="0.35">
      <c r="A483" s="12" t="s">
        <v>495</v>
      </c>
      <c r="B483" s="15">
        <v>2025</v>
      </c>
      <c r="C483" s="13">
        <v>45730</v>
      </c>
      <c r="D483" s="12" t="s">
        <v>499</v>
      </c>
      <c r="E483" s="13">
        <v>45730</v>
      </c>
      <c r="F483" s="84">
        <v>246779412198</v>
      </c>
      <c r="G483" s="12" t="s">
        <v>11</v>
      </c>
      <c r="H483" s="14">
        <v>249.55</v>
      </c>
      <c r="I483" s="12" t="s">
        <v>56</v>
      </c>
      <c r="J483" s="14">
        <v>21633.8</v>
      </c>
      <c r="K483" s="12" t="s">
        <v>832</v>
      </c>
    </row>
    <row r="484" spans="1:11" x14ac:dyDescent="0.35">
      <c r="A484" s="12" t="s">
        <v>495</v>
      </c>
      <c r="B484" s="15">
        <v>2025</v>
      </c>
      <c r="C484" s="13">
        <v>45730</v>
      </c>
      <c r="D484" s="12" t="s">
        <v>499</v>
      </c>
      <c r="E484" s="13">
        <v>45730</v>
      </c>
      <c r="F484" s="84">
        <v>246779412199</v>
      </c>
      <c r="G484" s="12" t="s">
        <v>11</v>
      </c>
      <c r="H484" s="14">
        <v>40.06</v>
      </c>
      <c r="I484" s="12" t="s">
        <v>56</v>
      </c>
      <c r="J484" s="14">
        <v>3472.85</v>
      </c>
      <c r="K484" s="12" t="s">
        <v>832</v>
      </c>
    </row>
    <row r="485" spans="1:11" x14ac:dyDescent="0.35">
      <c r="A485" s="12" t="s">
        <v>495</v>
      </c>
      <c r="B485" s="15">
        <v>2025</v>
      </c>
      <c r="C485" s="13">
        <v>45730</v>
      </c>
      <c r="D485" s="12" t="s">
        <v>499</v>
      </c>
      <c r="E485" s="13">
        <v>45730</v>
      </c>
      <c r="F485" s="84">
        <v>246779412200</v>
      </c>
      <c r="G485" s="12" t="s">
        <v>11</v>
      </c>
      <c r="H485" s="14">
        <v>45.79</v>
      </c>
      <c r="I485" s="12" t="s">
        <v>56</v>
      </c>
      <c r="J485" s="14">
        <v>3969.59</v>
      </c>
      <c r="K485" s="12" t="s">
        <v>832</v>
      </c>
    </row>
    <row r="486" spans="1:11" x14ac:dyDescent="0.35">
      <c r="A486" s="12" t="s">
        <v>495</v>
      </c>
      <c r="B486" s="15">
        <v>2025</v>
      </c>
      <c r="C486" s="13">
        <v>45730</v>
      </c>
      <c r="D486" s="12" t="s">
        <v>499</v>
      </c>
      <c r="E486" s="13">
        <v>45730</v>
      </c>
      <c r="F486" s="84">
        <v>246779411408</v>
      </c>
      <c r="G486" s="12" t="s">
        <v>11</v>
      </c>
      <c r="H486" s="14">
        <v>40.06</v>
      </c>
      <c r="I486" s="12" t="s">
        <v>56</v>
      </c>
      <c r="J486" s="14">
        <v>3472.85</v>
      </c>
      <c r="K486" s="12" t="s">
        <v>832</v>
      </c>
    </row>
    <row r="487" spans="1:11" x14ac:dyDescent="0.35">
      <c r="A487" s="12" t="s">
        <v>495</v>
      </c>
      <c r="B487" s="15">
        <v>2025</v>
      </c>
      <c r="C487" s="13">
        <v>45730</v>
      </c>
      <c r="D487" s="12" t="s">
        <v>499</v>
      </c>
      <c r="E487" s="13">
        <v>45730</v>
      </c>
      <c r="F487" s="84">
        <v>246779411409</v>
      </c>
      <c r="G487" s="12" t="s">
        <v>11</v>
      </c>
      <c r="H487" s="14">
        <v>249.55</v>
      </c>
      <c r="I487" s="12" t="s">
        <v>56</v>
      </c>
      <c r="J487" s="14">
        <v>21633.8</v>
      </c>
      <c r="K487" s="12" t="s">
        <v>832</v>
      </c>
    </row>
    <row r="488" spans="1:11" x14ac:dyDescent="0.35">
      <c r="A488" s="12" t="s">
        <v>495</v>
      </c>
      <c r="B488" s="15">
        <v>2025</v>
      </c>
      <c r="C488" s="13">
        <v>45730</v>
      </c>
      <c r="D488" s="12" t="s">
        <v>499</v>
      </c>
      <c r="E488" s="13">
        <v>45730</v>
      </c>
      <c r="F488" s="84">
        <v>246779411410</v>
      </c>
      <c r="G488" s="12" t="s">
        <v>11</v>
      </c>
      <c r="H488" s="14">
        <v>40.06</v>
      </c>
      <c r="I488" s="12" t="s">
        <v>56</v>
      </c>
      <c r="J488" s="14">
        <v>3472.85</v>
      </c>
      <c r="K488" s="12" t="s">
        <v>832</v>
      </c>
    </row>
    <row r="489" spans="1:11" x14ac:dyDescent="0.35">
      <c r="A489" s="12" t="s">
        <v>495</v>
      </c>
      <c r="B489" s="15">
        <v>2025</v>
      </c>
      <c r="C489" s="13">
        <v>45730</v>
      </c>
      <c r="D489" s="12" t="s">
        <v>499</v>
      </c>
      <c r="E489" s="13">
        <v>45730</v>
      </c>
      <c r="F489" s="84">
        <v>246779411414</v>
      </c>
      <c r="G489" s="12" t="s">
        <v>11</v>
      </c>
      <c r="H489" s="14">
        <v>28.62</v>
      </c>
      <c r="I489" s="12" t="s">
        <v>56</v>
      </c>
      <c r="J489" s="14">
        <v>2481.1</v>
      </c>
      <c r="K489" s="12" t="s">
        <v>832</v>
      </c>
    </row>
    <row r="490" spans="1:11" x14ac:dyDescent="0.35">
      <c r="A490" s="12" t="s">
        <v>495</v>
      </c>
      <c r="B490" s="15">
        <v>2025</v>
      </c>
      <c r="C490" s="13">
        <v>45730</v>
      </c>
      <c r="D490" s="12" t="s">
        <v>499</v>
      </c>
      <c r="E490" s="13">
        <v>45730</v>
      </c>
      <c r="F490" s="84">
        <v>246779411416</v>
      </c>
      <c r="G490" s="12" t="s">
        <v>11</v>
      </c>
      <c r="H490" s="14">
        <v>114.46</v>
      </c>
      <c r="I490" s="12" t="s">
        <v>56</v>
      </c>
      <c r="J490" s="14">
        <v>9922.68</v>
      </c>
      <c r="K490" s="12" t="s">
        <v>832</v>
      </c>
    </row>
    <row r="491" spans="1:11" x14ac:dyDescent="0.35">
      <c r="A491" s="12" t="s">
        <v>495</v>
      </c>
      <c r="B491" s="15">
        <v>2025</v>
      </c>
      <c r="C491" s="13">
        <v>45730</v>
      </c>
      <c r="D491" s="12" t="s">
        <v>499</v>
      </c>
      <c r="E491" s="13">
        <v>45730</v>
      </c>
      <c r="F491" s="84">
        <v>246779411417</v>
      </c>
      <c r="G491" s="12" t="s">
        <v>11</v>
      </c>
      <c r="H491" s="14">
        <v>68.680000000000007</v>
      </c>
      <c r="I491" s="12" t="s">
        <v>56</v>
      </c>
      <c r="J491" s="14">
        <v>5953.96</v>
      </c>
      <c r="K491" s="12" t="s">
        <v>832</v>
      </c>
    </row>
    <row r="492" spans="1:11" x14ac:dyDescent="0.35">
      <c r="A492" s="12" t="s">
        <v>495</v>
      </c>
      <c r="B492" s="15">
        <v>2025</v>
      </c>
      <c r="C492" s="13">
        <v>45730</v>
      </c>
      <c r="D492" s="12" t="s">
        <v>499</v>
      </c>
      <c r="E492" s="13">
        <v>45730</v>
      </c>
      <c r="F492" s="84">
        <v>246779411418</v>
      </c>
      <c r="G492" s="12" t="s">
        <v>11</v>
      </c>
      <c r="H492" s="14">
        <v>312.5</v>
      </c>
      <c r="I492" s="12" t="s">
        <v>56</v>
      </c>
      <c r="J492" s="14">
        <v>27091.02</v>
      </c>
      <c r="K492" s="12" t="s">
        <v>832</v>
      </c>
    </row>
    <row r="493" spans="1:11" x14ac:dyDescent="0.35">
      <c r="A493" s="12" t="s">
        <v>495</v>
      </c>
      <c r="B493" s="15">
        <v>2025</v>
      </c>
      <c r="C493" s="13">
        <v>45730</v>
      </c>
      <c r="D493" s="12" t="s">
        <v>499</v>
      </c>
      <c r="E493" s="13">
        <v>45730</v>
      </c>
      <c r="F493" s="84">
        <v>246779412202</v>
      </c>
      <c r="G493" s="12" t="s">
        <v>11</v>
      </c>
      <c r="H493" s="14">
        <v>40.06</v>
      </c>
      <c r="I493" s="12" t="s">
        <v>56</v>
      </c>
      <c r="J493" s="14">
        <v>3472.85</v>
      </c>
      <c r="K493" s="12" t="s">
        <v>832</v>
      </c>
    </row>
    <row r="494" spans="1:11" x14ac:dyDescent="0.35">
      <c r="A494" s="12" t="s">
        <v>495</v>
      </c>
      <c r="B494" s="15">
        <v>2025</v>
      </c>
      <c r="C494" s="13">
        <v>45730</v>
      </c>
      <c r="D494" s="12" t="s">
        <v>499</v>
      </c>
      <c r="E494" s="13">
        <v>45730</v>
      </c>
      <c r="F494" s="84">
        <v>246779412203</v>
      </c>
      <c r="G494" s="12" t="s">
        <v>11</v>
      </c>
      <c r="H494" s="14">
        <v>28.62</v>
      </c>
      <c r="I494" s="12" t="s">
        <v>56</v>
      </c>
      <c r="J494" s="14">
        <v>2481.1</v>
      </c>
      <c r="K494" s="12" t="s">
        <v>832</v>
      </c>
    </row>
    <row r="495" spans="1:11" x14ac:dyDescent="0.35">
      <c r="A495" s="12" t="s">
        <v>495</v>
      </c>
      <c r="B495" s="15">
        <v>2025</v>
      </c>
      <c r="C495" s="13">
        <v>45730</v>
      </c>
      <c r="D495" s="12" t="s">
        <v>499</v>
      </c>
      <c r="E495" s="13">
        <v>45730</v>
      </c>
      <c r="F495" s="84">
        <v>246779412204</v>
      </c>
      <c r="G495" s="12" t="s">
        <v>11</v>
      </c>
      <c r="H495" s="14">
        <v>22.89</v>
      </c>
      <c r="I495" s="12" t="s">
        <v>56</v>
      </c>
      <c r="J495" s="14">
        <v>1984.36</v>
      </c>
      <c r="K495" s="12" t="s">
        <v>832</v>
      </c>
    </row>
    <row r="496" spans="1:11" x14ac:dyDescent="0.35">
      <c r="A496" s="12" t="s">
        <v>495</v>
      </c>
      <c r="B496" s="15">
        <v>2025</v>
      </c>
      <c r="C496" s="13">
        <v>45730</v>
      </c>
      <c r="D496" s="12" t="s">
        <v>499</v>
      </c>
      <c r="E496" s="13">
        <v>45730</v>
      </c>
      <c r="F496" s="84">
        <v>246779412205</v>
      </c>
      <c r="G496" s="12" t="s">
        <v>11</v>
      </c>
      <c r="H496" s="14">
        <v>114.46</v>
      </c>
      <c r="I496" s="12" t="s">
        <v>56</v>
      </c>
      <c r="J496" s="14">
        <v>9922.68</v>
      </c>
      <c r="K496" s="12" t="s">
        <v>832</v>
      </c>
    </row>
    <row r="497" spans="1:11" x14ac:dyDescent="0.35">
      <c r="A497" s="12" t="s">
        <v>495</v>
      </c>
      <c r="B497" s="15">
        <v>2025</v>
      </c>
      <c r="C497" s="13">
        <v>45730</v>
      </c>
      <c r="D497" s="12" t="s">
        <v>499</v>
      </c>
      <c r="E497" s="13">
        <v>45730</v>
      </c>
      <c r="F497" s="84">
        <v>246779412206</v>
      </c>
      <c r="G497" s="12" t="s">
        <v>11</v>
      </c>
      <c r="H497" s="14">
        <v>68.680000000000007</v>
      </c>
      <c r="I497" s="12" t="s">
        <v>56</v>
      </c>
      <c r="J497" s="14">
        <v>5953.96</v>
      </c>
      <c r="K497" s="12" t="s">
        <v>832</v>
      </c>
    </row>
    <row r="498" spans="1:11" x14ac:dyDescent="0.35">
      <c r="A498" s="12" t="s">
        <v>495</v>
      </c>
      <c r="B498" s="15">
        <v>2025</v>
      </c>
      <c r="C498" s="13">
        <v>45730</v>
      </c>
      <c r="D498" s="12" t="s">
        <v>499</v>
      </c>
      <c r="E498" s="13">
        <v>45730</v>
      </c>
      <c r="F498" s="84">
        <v>246779412196</v>
      </c>
      <c r="G498" s="12" t="s">
        <v>11</v>
      </c>
      <c r="H498" s="14">
        <v>57.23</v>
      </c>
      <c r="I498" s="12" t="s">
        <v>56</v>
      </c>
      <c r="J498" s="14">
        <v>4961.34</v>
      </c>
      <c r="K498" s="12" t="s">
        <v>832</v>
      </c>
    </row>
    <row r="499" spans="1:11" x14ac:dyDescent="0.35">
      <c r="A499" s="12" t="s">
        <v>495</v>
      </c>
      <c r="B499" s="15">
        <v>2025</v>
      </c>
      <c r="C499" s="13">
        <v>45730</v>
      </c>
      <c r="D499" s="12" t="s">
        <v>499</v>
      </c>
      <c r="E499" s="13">
        <v>45730</v>
      </c>
      <c r="F499" s="84">
        <v>246779412201</v>
      </c>
      <c r="G499" s="12" t="s">
        <v>11</v>
      </c>
      <c r="H499" s="14">
        <v>20.03</v>
      </c>
      <c r="I499" s="12" t="s">
        <v>56</v>
      </c>
      <c r="J499" s="14">
        <v>1736.43</v>
      </c>
      <c r="K499" s="12" t="s">
        <v>832</v>
      </c>
    </row>
    <row r="500" spans="1:11" x14ac:dyDescent="0.35">
      <c r="A500" s="12" t="s">
        <v>495</v>
      </c>
      <c r="B500" s="15">
        <v>2025</v>
      </c>
      <c r="C500" s="13">
        <v>45848</v>
      </c>
      <c r="D500" s="12" t="s">
        <v>499</v>
      </c>
      <c r="E500" s="13">
        <v>45848</v>
      </c>
      <c r="F500" s="84">
        <v>256779415289</v>
      </c>
      <c r="G500" s="12" t="s">
        <v>11</v>
      </c>
      <c r="H500" s="14">
        <v>250</v>
      </c>
      <c r="I500" s="12" t="s">
        <v>56</v>
      </c>
      <c r="J500" s="14">
        <v>21500.17</v>
      </c>
      <c r="K500" s="12" t="s">
        <v>829</v>
      </c>
    </row>
    <row r="501" spans="1:11" x14ac:dyDescent="0.35">
      <c r="A501" s="12" t="s">
        <v>495</v>
      </c>
      <c r="B501" s="15">
        <v>2025</v>
      </c>
      <c r="C501" s="13">
        <v>45848</v>
      </c>
      <c r="D501" s="12" t="s">
        <v>499</v>
      </c>
      <c r="E501" s="13">
        <v>45848</v>
      </c>
      <c r="F501" s="84">
        <v>256779415290</v>
      </c>
      <c r="G501" s="12" t="s">
        <v>11</v>
      </c>
      <c r="H501" s="14">
        <v>24</v>
      </c>
      <c r="I501" s="12" t="s">
        <v>56</v>
      </c>
      <c r="J501" s="14">
        <v>2064.02</v>
      </c>
      <c r="K501" s="12" t="s">
        <v>574</v>
      </c>
    </row>
    <row r="502" spans="1:11" x14ac:dyDescent="0.35">
      <c r="A502" s="12" t="s">
        <v>495</v>
      </c>
      <c r="B502" s="15">
        <v>2025</v>
      </c>
      <c r="C502" s="13">
        <v>45848</v>
      </c>
      <c r="D502" s="12" t="s">
        <v>499</v>
      </c>
      <c r="E502" s="13">
        <v>45848</v>
      </c>
      <c r="F502" s="84">
        <v>256779415291</v>
      </c>
      <c r="G502" s="12" t="s">
        <v>11</v>
      </c>
      <c r="H502" s="14">
        <v>24</v>
      </c>
      <c r="I502" s="12" t="s">
        <v>56</v>
      </c>
      <c r="J502" s="14">
        <v>2064.02</v>
      </c>
      <c r="K502" s="12" t="s">
        <v>821</v>
      </c>
    </row>
    <row r="503" spans="1:11" x14ac:dyDescent="0.35">
      <c r="A503" s="12" t="s">
        <v>495</v>
      </c>
      <c r="B503" s="15">
        <v>2025</v>
      </c>
      <c r="C503" s="13">
        <v>45848</v>
      </c>
      <c r="D503" s="12" t="s">
        <v>499</v>
      </c>
      <c r="E503" s="13">
        <v>45848</v>
      </c>
      <c r="F503" s="84">
        <v>256779415292</v>
      </c>
      <c r="G503" s="12" t="s">
        <v>11</v>
      </c>
      <c r="H503" s="14">
        <v>24</v>
      </c>
      <c r="I503" s="12" t="s">
        <v>56</v>
      </c>
      <c r="J503" s="14">
        <v>2064.02</v>
      </c>
      <c r="K503" s="12" t="s">
        <v>821</v>
      </c>
    </row>
    <row r="504" spans="1:11" x14ac:dyDescent="0.35">
      <c r="A504" s="12" t="s">
        <v>495</v>
      </c>
      <c r="B504" s="15">
        <v>2025</v>
      </c>
      <c r="C504" s="13">
        <v>45848</v>
      </c>
      <c r="D504" s="12" t="s">
        <v>499</v>
      </c>
      <c r="E504" s="13">
        <v>45848</v>
      </c>
      <c r="F504" s="84">
        <v>256779415293</v>
      </c>
      <c r="G504" s="12" t="s">
        <v>11</v>
      </c>
      <c r="H504" s="14">
        <v>24</v>
      </c>
      <c r="I504" s="12" t="s">
        <v>56</v>
      </c>
      <c r="J504" s="14">
        <v>2064.02</v>
      </c>
      <c r="K504" s="12" t="s">
        <v>821</v>
      </c>
    </row>
    <row r="505" spans="1:11" x14ac:dyDescent="0.35">
      <c r="A505" s="12" t="s">
        <v>495</v>
      </c>
      <c r="B505" s="15">
        <v>2025</v>
      </c>
      <c r="C505" s="13">
        <v>45848</v>
      </c>
      <c r="D505" s="12" t="s">
        <v>499</v>
      </c>
      <c r="E505" s="13">
        <v>45848</v>
      </c>
      <c r="F505" s="84">
        <v>256779415294</v>
      </c>
      <c r="G505" s="12" t="s">
        <v>11</v>
      </c>
      <c r="H505" s="14">
        <v>24</v>
      </c>
      <c r="I505" s="12" t="s">
        <v>56</v>
      </c>
      <c r="J505" s="14">
        <v>2064.02</v>
      </c>
      <c r="K505" s="12" t="s">
        <v>821</v>
      </c>
    </row>
    <row r="506" spans="1:11" x14ac:dyDescent="0.35">
      <c r="A506" s="12" t="s">
        <v>495</v>
      </c>
      <c r="B506" s="15">
        <v>2025</v>
      </c>
      <c r="C506" s="13">
        <v>45848</v>
      </c>
      <c r="D506" s="12" t="s">
        <v>499</v>
      </c>
      <c r="E506" s="13">
        <v>45848</v>
      </c>
      <c r="F506" s="84">
        <v>256779415295</v>
      </c>
      <c r="G506" s="12" t="s">
        <v>11</v>
      </c>
      <c r="H506" s="14">
        <v>24</v>
      </c>
      <c r="I506" s="12" t="s">
        <v>56</v>
      </c>
      <c r="J506" s="14">
        <v>2064.02</v>
      </c>
      <c r="K506" s="12" t="s">
        <v>821</v>
      </c>
    </row>
    <row r="507" spans="1:11" x14ac:dyDescent="0.35">
      <c r="A507" s="12" t="s">
        <v>495</v>
      </c>
      <c r="B507" s="15">
        <v>2025</v>
      </c>
      <c r="C507" s="13">
        <v>45848</v>
      </c>
      <c r="D507" s="12" t="s">
        <v>499</v>
      </c>
      <c r="E507" s="13">
        <v>45848</v>
      </c>
      <c r="F507" s="84">
        <v>256779415296</v>
      </c>
      <c r="G507" s="12" t="s">
        <v>11</v>
      </c>
      <c r="H507" s="14">
        <v>24</v>
      </c>
      <c r="I507" s="12" t="s">
        <v>56</v>
      </c>
      <c r="J507" s="14">
        <v>2064.02</v>
      </c>
      <c r="K507" s="12" t="s">
        <v>821</v>
      </c>
    </row>
    <row r="508" spans="1:11" x14ac:dyDescent="0.35">
      <c r="A508" s="12" t="s">
        <v>495</v>
      </c>
      <c r="B508" s="15">
        <v>2025</v>
      </c>
      <c r="C508" s="13">
        <v>45848</v>
      </c>
      <c r="D508" s="12" t="s">
        <v>499</v>
      </c>
      <c r="E508" s="13">
        <v>45848</v>
      </c>
      <c r="F508" s="84">
        <v>256779415297</v>
      </c>
      <c r="G508" s="12" t="s">
        <v>11</v>
      </c>
      <c r="H508" s="14">
        <v>24</v>
      </c>
      <c r="I508" s="12" t="s">
        <v>56</v>
      </c>
      <c r="J508" s="14">
        <v>2064.02</v>
      </c>
      <c r="K508" s="12" t="s">
        <v>821</v>
      </c>
    </row>
    <row r="509" spans="1:11" x14ac:dyDescent="0.35">
      <c r="A509" s="12" t="s">
        <v>495</v>
      </c>
      <c r="B509" s="15">
        <v>2025</v>
      </c>
      <c r="C509" s="13">
        <v>45848</v>
      </c>
      <c r="D509" s="12" t="s">
        <v>499</v>
      </c>
      <c r="E509" s="13">
        <v>45848</v>
      </c>
      <c r="F509" s="84">
        <v>256779415298</v>
      </c>
      <c r="G509" s="12" t="s">
        <v>11</v>
      </c>
      <c r="H509" s="14">
        <v>24</v>
      </c>
      <c r="I509" s="12" t="s">
        <v>56</v>
      </c>
      <c r="J509" s="14">
        <v>2064.02</v>
      </c>
      <c r="K509" s="12" t="s">
        <v>821</v>
      </c>
    </row>
    <row r="510" spans="1:11" x14ac:dyDescent="0.35">
      <c r="A510" s="12" t="s">
        <v>495</v>
      </c>
      <c r="B510" s="15">
        <v>2025</v>
      </c>
      <c r="C510" s="13">
        <v>45848</v>
      </c>
      <c r="D510" s="12" t="s">
        <v>499</v>
      </c>
      <c r="E510" s="13">
        <v>45848</v>
      </c>
      <c r="F510" s="84">
        <v>256779415299</v>
      </c>
      <c r="G510" s="12" t="s">
        <v>11</v>
      </c>
      <c r="H510" s="14">
        <v>24</v>
      </c>
      <c r="I510" s="12" t="s">
        <v>56</v>
      </c>
      <c r="J510" s="14">
        <v>2064.02</v>
      </c>
      <c r="K510" s="12" t="s">
        <v>821</v>
      </c>
    </row>
    <row r="511" spans="1:11" x14ac:dyDescent="0.35">
      <c r="A511" s="12" t="s">
        <v>495</v>
      </c>
      <c r="B511" s="15">
        <v>2025</v>
      </c>
      <c r="C511" s="13">
        <v>45848</v>
      </c>
      <c r="D511" s="12" t="s">
        <v>499</v>
      </c>
      <c r="E511" s="13">
        <v>45848</v>
      </c>
      <c r="F511" s="84">
        <v>256779415300</v>
      </c>
      <c r="G511" s="12" t="s">
        <v>11</v>
      </c>
      <c r="H511" s="14">
        <v>24</v>
      </c>
      <c r="I511" s="12" t="s">
        <v>56</v>
      </c>
      <c r="J511" s="14">
        <v>2064.02</v>
      </c>
      <c r="K511" s="12" t="s">
        <v>821</v>
      </c>
    </row>
    <row r="512" spans="1:11" x14ac:dyDescent="0.35">
      <c r="A512" s="12" t="s">
        <v>495</v>
      </c>
      <c r="B512" s="15">
        <v>2025</v>
      </c>
      <c r="C512" s="13">
        <v>45848</v>
      </c>
      <c r="D512" s="12" t="s">
        <v>499</v>
      </c>
      <c r="E512" s="13">
        <v>45848</v>
      </c>
      <c r="F512" s="84">
        <v>256779415301</v>
      </c>
      <c r="G512" s="12" t="s">
        <v>11</v>
      </c>
      <c r="H512" s="14">
        <v>30</v>
      </c>
      <c r="I512" s="12" t="s">
        <v>56</v>
      </c>
      <c r="J512" s="14">
        <v>2580.02</v>
      </c>
      <c r="K512" s="12" t="s">
        <v>572</v>
      </c>
    </row>
    <row r="513" spans="1:11" x14ac:dyDescent="0.35">
      <c r="A513" s="12" t="s">
        <v>495</v>
      </c>
      <c r="B513" s="15">
        <v>2025</v>
      </c>
      <c r="C513" s="13">
        <v>45848</v>
      </c>
      <c r="D513" s="12" t="s">
        <v>499</v>
      </c>
      <c r="E513" s="13">
        <v>45848</v>
      </c>
      <c r="F513" s="84">
        <v>256779415302</v>
      </c>
      <c r="G513" s="12" t="s">
        <v>11</v>
      </c>
      <c r="H513" s="14">
        <v>30</v>
      </c>
      <c r="I513" s="12" t="s">
        <v>56</v>
      </c>
      <c r="J513" s="14">
        <v>2580.02</v>
      </c>
      <c r="K513" s="12" t="s">
        <v>564</v>
      </c>
    </row>
    <row r="514" spans="1:11" x14ac:dyDescent="0.35">
      <c r="A514" s="12" t="s">
        <v>495</v>
      </c>
      <c r="B514" s="15">
        <v>2025</v>
      </c>
      <c r="C514" s="13">
        <v>45848</v>
      </c>
      <c r="D514" s="12" t="s">
        <v>499</v>
      </c>
      <c r="E514" s="13">
        <v>45848</v>
      </c>
      <c r="F514" s="84">
        <v>256779415309</v>
      </c>
      <c r="G514" s="12" t="s">
        <v>11</v>
      </c>
      <c r="H514" s="14">
        <v>30</v>
      </c>
      <c r="I514" s="12" t="s">
        <v>56</v>
      </c>
      <c r="J514" s="14">
        <v>2580.02</v>
      </c>
      <c r="K514" s="12" t="s">
        <v>828</v>
      </c>
    </row>
    <row r="515" spans="1:11" x14ac:dyDescent="0.35">
      <c r="A515" s="12" t="s">
        <v>495</v>
      </c>
      <c r="B515" s="15">
        <v>2025</v>
      </c>
      <c r="C515" s="13">
        <v>45848</v>
      </c>
      <c r="D515" s="12" t="s">
        <v>499</v>
      </c>
      <c r="E515" s="13">
        <v>45848</v>
      </c>
      <c r="F515" s="84">
        <v>256779415310</v>
      </c>
      <c r="G515" s="12" t="s">
        <v>11</v>
      </c>
      <c r="H515" s="14">
        <v>30</v>
      </c>
      <c r="I515" s="12" t="s">
        <v>56</v>
      </c>
      <c r="J515" s="14">
        <v>2580.02</v>
      </c>
      <c r="K515" s="12" t="s">
        <v>833</v>
      </c>
    </row>
    <row r="516" spans="1:11" x14ac:dyDescent="0.35">
      <c r="A516" s="12" t="s">
        <v>495</v>
      </c>
      <c r="B516" s="15">
        <v>2025</v>
      </c>
      <c r="C516" s="13">
        <v>45848</v>
      </c>
      <c r="D516" s="12" t="s">
        <v>499</v>
      </c>
      <c r="E516" s="13">
        <v>45848</v>
      </c>
      <c r="F516" s="84">
        <v>256779415311</v>
      </c>
      <c r="G516" s="12" t="s">
        <v>11</v>
      </c>
      <c r="H516" s="14">
        <v>77.48</v>
      </c>
      <c r="I516" s="12" t="s">
        <v>56</v>
      </c>
      <c r="J516" s="14">
        <v>6663.33</v>
      </c>
      <c r="K516" s="12" t="s">
        <v>569</v>
      </c>
    </row>
    <row r="517" spans="1:11" x14ac:dyDescent="0.35">
      <c r="A517" s="12" t="s">
        <v>495</v>
      </c>
      <c r="B517" s="15">
        <v>2025</v>
      </c>
      <c r="C517" s="13">
        <v>45848</v>
      </c>
      <c r="D517" s="12" t="s">
        <v>499</v>
      </c>
      <c r="E517" s="13">
        <v>45848</v>
      </c>
      <c r="F517" s="84">
        <v>256779415312</v>
      </c>
      <c r="G517" s="12" t="s">
        <v>11</v>
      </c>
      <c r="H517" s="14">
        <v>200</v>
      </c>
      <c r="I517" s="12" t="s">
        <v>56</v>
      </c>
      <c r="J517" s="14">
        <v>17200.13</v>
      </c>
      <c r="K517" s="12" t="s">
        <v>619</v>
      </c>
    </row>
    <row r="518" spans="1:11" x14ac:dyDescent="0.35">
      <c r="A518" s="12" t="s">
        <v>495</v>
      </c>
      <c r="B518" s="15">
        <v>2025</v>
      </c>
      <c r="C518" s="13">
        <v>45848</v>
      </c>
      <c r="D518" s="12" t="s">
        <v>499</v>
      </c>
      <c r="E518" s="13">
        <v>45848</v>
      </c>
      <c r="F518" s="84">
        <v>256779415313</v>
      </c>
      <c r="G518" s="12" t="s">
        <v>11</v>
      </c>
      <c r="H518" s="14">
        <v>60</v>
      </c>
      <c r="I518" s="12" t="s">
        <v>56</v>
      </c>
      <c r="J518" s="14">
        <v>5160.04</v>
      </c>
      <c r="K518" s="12" t="s">
        <v>834</v>
      </c>
    </row>
    <row r="519" spans="1:11" x14ac:dyDescent="0.35">
      <c r="A519" s="12" t="s">
        <v>495</v>
      </c>
      <c r="B519" s="15">
        <v>2025</v>
      </c>
      <c r="C519" s="13">
        <v>45848</v>
      </c>
      <c r="D519" s="12" t="s">
        <v>499</v>
      </c>
      <c r="E519" s="13">
        <v>45848</v>
      </c>
      <c r="F519" s="84">
        <v>256779415314</v>
      </c>
      <c r="G519" s="12" t="s">
        <v>11</v>
      </c>
      <c r="H519" s="14">
        <v>179.14</v>
      </c>
      <c r="I519" s="12" t="s">
        <v>56</v>
      </c>
      <c r="J519" s="14">
        <v>15406.16</v>
      </c>
      <c r="K519" s="12" t="s">
        <v>575</v>
      </c>
    </row>
    <row r="520" spans="1:11" x14ac:dyDescent="0.35">
      <c r="A520" s="12" t="s">
        <v>495</v>
      </c>
      <c r="B520" s="15">
        <v>2025</v>
      </c>
      <c r="C520" s="13">
        <v>45848</v>
      </c>
      <c r="D520" s="12" t="s">
        <v>499</v>
      </c>
      <c r="E520" s="13">
        <v>45848</v>
      </c>
      <c r="F520" s="84">
        <v>256779415315</v>
      </c>
      <c r="G520" s="12" t="s">
        <v>11</v>
      </c>
      <c r="H520" s="14">
        <v>120</v>
      </c>
      <c r="I520" s="12" t="s">
        <v>56</v>
      </c>
      <c r="J520" s="14">
        <v>10320.08</v>
      </c>
      <c r="K520" s="12" t="s">
        <v>576</v>
      </c>
    </row>
    <row r="521" spans="1:11" x14ac:dyDescent="0.35">
      <c r="A521" s="12" t="s">
        <v>495</v>
      </c>
      <c r="B521" s="15">
        <v>2025</v>
      </c>
      <c r="C521" s="13">
        <v>45848</v>
      </c>
      <c r="D521" s="12" t="s">
        <v>499</v>
      </c>
      <c r="E521" s="13">
        <v>45848</v>
      </c>
      <c r="F521" s="84">
        <v>256779415316</v>
      </c>
      <c r="G521" s="12" t="s">
        <v>11</v>
      </c>
      <c r="H521" s="14">
        <v>60</v>
      </c>
      <c r="I521" s="12" t="s">
        <v>56</v>
      </c>
      <c r="J521" s="14">
        <v>5160.04</v>
      </c>
      <c r="K521" s="12" t="s">
        <v>577</v>
      </c>
    </row>
    <row r="522" spans="1:11" x14ac:dyDescent="0.35">
      <c r="A522" s="12" t="s">
        <v>495</v>
      </c>
      <c r="B522" s="15">
        <v>2025</v>
      </c>
      <c r="C522" s="13">
        <v>45848</v>
      </c>
      <c r="D522" s="12" t="s">
        <v>499</v>
      </c>
      <c r="E522" s="13">
        <v>45848</v>
      </c>
      <c r="F522" s="84">
        <v>256779415317</v>
      </c>
      <c r="G522" s="12" t="s">
        <v>11</v>
      </c>
      <c r="H522" s="14">
        <v>200</v>
      </c>
      <c r="I522" s="12" t="s">
        <v>56</v>
      </c>
      <c r="J522" s="14">
        <v>17200.13</v>
      </c>
      <c r="K522" s="12" t="s">
        <v>578</v>
      </c>
    </row>
    <row r="523" spans="1:11" x14ac:dyDescent="0.35">
      <c r="A523" s="12" t="s">
        <v>495</v>
      </c>
      <c r="B523" s="15">
        <v>2025</v>
      </c>
      <c r="C523" s="13">
        <v>45848</v>
      </c>
      <c r="D523" s="12" t="s">
        <v>499</v>
      </c>
      <c r="E523" s="13">
        <v>45848</v>
      </c>
      <c r="F523" s="84">
        <v>256779415318</v>
      </c>
      <c r="G523" s="12" t="s">
        <v>11</v>
      </c>
      <c r="H523" s="14">
        <v>254.65</v>
      </c>
      <c r="I523" s="12" t="s">
        <v>56</v>
      </c>
      <c r="J523" s="14">
        <v>21900.07</v>
      </c>
      <c r="K523" s="12" t="s">
        <v>581</v>
      </c>
    </row>
    <row r="524" spans="1:11" x14ac:dyDescent="0.35">
      <c r="A524" s="12" t="s">
        <v>495</v>
      </c>
      <c r="B524" s="15">
        <v>2025</v>
      </c>
      <c r="C524" s="13">
        <v>45848</v>
      </c>
      <c r="D524" s="12" t="s">
        <v>499</v>
      </c>
      <c r="E524" s="13">
        <v>45848</v>
      </c>
      <c r="F524" s="84">
        <v>256779415319</v>
      </c>
      <c r="G524" s="12" t="s">
        <v>11</v>
      </c>
      <c r="H524" s="14">
        <v>140.16999999999999</v>
      </c>
      <c r="I524" s="12" t="s">
        <v>56</v>
      </c>
      <c r="J524" s="14">
        <v>12054.71</v>
      </c>
      <c r="K524" s="12" t="s">
        <v>564</v>
      </c>
    </row>
    <row r="525" spans="1:11" x14ac:dyDescent="0.35">
      <c r="A525" s="12" t="s">
        <v>495</v>
      </c>
      <c r="B525" s="15">
        <v>2025</v>
      </c>
      <c r="C525" s="13">
        <v>45848</v>
      </c>
      <c r="D525" s="12" t="s">
        <v>499</v>
      </c>
      <c r="E525" s="13">
        <v>45848</v>
      </c>
      <c r="F525" s="84">
        <v>256779415320</v>
      </c>
      <c r="G525" s="12" t="s">
        <v>11</v>
      </c>
      <c r="H525" s="14">
        <v>12.5</v>
      </c>
      <c r="I525" s="12" t="s">
        <v>56</v>
      </c>
      <c r="J525" s="14">
        <v>1075.01</v>
      </c>
      <c r="K525" s="12" t="s">
        <v>569</v>
      </c>
    </row>
    <row r="526" spans="1:11" x14ac:dyDescent="0.35">
      <c r="A526" s="12" t="s">
        <v>495</v>
      </c>
      <c r="B526" s="15">
        <v>2025</v>
      </c>
      <c r="C526" s="13">
        <v>45848</v>
      </c>
      <c r="D526" s="12" t="s">
        <v>499</v>
      </c>
      <c r="E526" s="13">
        <v>45848</v>
      </c>
      <c r="F526" s="84">
        <v>256779415322</v>
      </c>
      <c r="G526" s="12" t="s">
        <v>11</v>
      </c>
      <c r="H526" s="14">
        <v>192</v>
      </c>
      <c r="I526" s="12" t="s">
        <v>56</v>
      </c>
      <c r="J526" s="14">
        <v>16512.13</v>
      </c>
      <c r="K526" s="12" t="s">
        <v>571</v>
      </c>
    </row>
    <row r="527" spans="1:11" x14ac:dyDescent="0.35">
      <c r="A527" s="12" t="s">
        <v>495</v>
      </c>
      <c r="B527" s="15">
        <v>2025</v>
      </c>
      <c r="C527" s="13">
        <v>45848</v>
      </c>
      <c r="D527" s="12" t="s">
        <v>499</v>
      </c>
      <c r="E527" s="13">
        <v>45848</v>
      </c>
      <c r="F527" s="84">
        <v>256779415323</v>
      </c>
      <c r="G527" s="12" t="s">
        <v>11</v>
      </c>
      <c r="H527" s="14">
        <v>211.75</v>
      </c>
      <c r="I527" s="12" t="s">
        <v>56</v>
      </c>
      <c r="J527" s="14">
        <v>18210.64</v>
      </c>
      <c r="K527" s="12" t="s">
        <v>573</v>
      </c>
    </row>
    <row r="528" spans="1:11" x14ac:dyDescent="0.35">
      <c r="A528" s="12" t="s">
        <v>495</v>
      </c>
      <c r="B528" s="15">
        <v>2025</v>
      </c>
      <c r="C528" s="13">
        <v>45848</v>
      </c>
      <c r="D528" s="12" t="s">
        <v>499</v>
      </c>
      <c r="E528" s="13">
        <v>45848</v>
      </c>
      <c r="F528" s="84">
        <v>256779415324</v>
      </c>
      <c r="G528" s="12" t="s">
        <v>11</v>
      </c>
      <c r="H528" s="14">
        <v>146.65</v>
      </c>
      <c r="I528" s="12" t="s">
        <v>56</v>
      </c>
      <c r="J528" s="14">
        <v>12612</v>
      </c>
      <c r="K528" s="12" t="s">
        <v>569</v>
      </c>
    </row>
    <row r="529" spans="1:11" x14ac:dyDescent="0.35">
      <c r="A529" s="12" t="s">
        <v>495</v>
      </c>
      <c r="B529" s="15">
        <v>2025</v>
      </c>
      <c r="C529" s="13">
        <v>45848</v>
      </c>
      <c r="D529" s="12" t="s">
        <v>499</v>
      </c>
      <c r="E529" s="13">
        <v>45848</v>
      </c>
      <c r="F529" s="84">
        <v>256779415325</v>
      </c>
      <c r="G529" s="12" t="s">
        <v>11</v>
      </c>
      <c r="H529" s="14">
        <v>192</v>
      </c>
      <c r="I529" s="12" t="s">
        <v>56</v>
      </c>
      <c r="J529" s="14">
        <v>16512.13</v>
      </c>
      <c r="K529" s="12" t="s">
        <v>574</v>
      </c>
    </row>
    <row r="530" spans="1:11" x14ac:dyDescent="0.35">
      <c r="A530" s="12" t="s">
        <v>495</v>
      </c>
      <c r="B530" s="15">
        <v>2025</v>
      </c>
      <c r="C530" s="13">
        <v>45848</v>
      </c>
      <c r="D530" s="12" t="s">
        <v>499</v>
      </c>
      <c r="E530" s="13">
        <v>45848</v>
      </c>
      <c r="F530" s="84">
        <v>256779415326</v>
      </c>
      <c r="G530" s="12" t="s">
        <v>11</v>
      </c>
      <c r="H530" s="14">
        <v>185.05</v>
      </c>
      <c r="I530" s="12" t="s">
        <v>56</v>
      </c>
      <c r="J530" s="14">
        <v>15914.42</v>
      </c>
      <c r="K530" s="12" t="s">
        <v>565</v>
      </c>
    </row>
    <row r="531" spans="1:11" x14ac:dyDescent="0.35">
      <c r="A531" s="12" t="s">
        <v>495</v>
      </c>
      <c r="B531" s="15">
        <v>2025</v>
      </c>
      <c r="C531" s="13">
        <v>45848</v>
      </c>
      <c r="D531" s="12" t="s">
        <v>499</v>
      </c>
      <c r="E531" s="13">
        <v>45848</v>
      </c>
      <c r="F531" s="84">
        <v>256779415327</v>
      </c>
      <c r="G531" s="12" t="s">
        <v>11</v>
      </c>
      <c r="H531" s="14">
        <v>20</v>
      </c>
      <c r="I531" s="12" t="s">
        <v>56</v>
      </c>
      <c r="J531" s="14">
        <v>1720.01</v>
      </c>
      <c r="K531" s="12" t="s">
        <v>564</v>
      </c>
    </row>
    <row r="532" spans="1:11" x14ac:dyDescent="0.35">
      <c r="A532" s="12" t="s">
        <v>495</v>
      </c>
      <c r="B532" s="15">
        <v>2025</v>
      </c>
      <c r="C532" s="13">
        <v>45848</v>
      </c>
      <c r="D532" s="12" t="s">
        <v>499</v>
      </c>
      <c r="E532" s="13">
        <v>45848</v>
      </c>
      <c r="F532" s="84">
        <v>256779415328</v>
      </c>
      <c r="G532" s="12" t="s">
        <v>11</v>
      </c>
      <c r="H532" s="14">
        <v>22.5</v>
      </c>
      <c r="I532" s="12" t="s">
        <v>56</v>
      </c>
      <c r="J532" s="14">
        <v>1935.02</v>
      </c>
      <c r="K532" s="12" t="s">
        <v>564</v>
      </c>
    </row>
    <row r="533" spans="1:11" x14ac:dyDescent="0.35">
      <c r="A533" s="12" t="s">
        <v>495</v>
      </c>
      <c r="B533" s="15">
        <v>2025</v>
      </c>
      <c r="C533" s="13">
        <v>45848</v>
      </c>
      <c r="D533" s="12" t="s">
        <v>499</v>
      </c>
      <c r="E533" s="13">
        <v>45848</v>
      </c>
      <c r="F533" s="84">
        <v>256779415329</v>
      </c>
      <c r="G533" s="12" t="s">
        <v>11</v>
      </c>
      <c r="H533" s="14">
        <v>27.5</v>
      </c>
      <c r="I533" s="12" t="s">
        <v>56</v>
      </c>
      <c r="J533" s="14">
        <v>2365.02</v>
      </c>
      <c r="K533" s="12" t="s">
        <v>564</v>
      </c>
    </row>
    <row r="534" spans="1:11" x14ac:dyDescent="0.35">
      <c r="A534" s="12" t="s">
        <v>495</v>
      </c>
      <c r="B534" s="15">
        <v>2025</v>
      </c>
      <c r="C534" s="13">
        <v>45848</v>
      </c>
      <c r="D534" s="12" t="s">
        <v>499</v>
      </c>
      <c r="E534" s="13">
        <v>45848</v>
      </c>
      <c r="F534" s="84">
        <v>256779415330</v>
      </c>
      <c r="G534" s="12" t="s">
        <v>11</v>
      </c>
      <c r="H534" s="14">
        <v>22.5</v>
      </c>
      <c r="I534" s="12" t="s">
        <v>56</v>
      </c>
      <c r="J534" s="14">
        <v>1935.02</v>
      </c>
      <c r="K534" s="12" t="s">
        <v>564</v>
      </c>
    </row>
    <row r="535" spans="1:11" x14ac:dyDescent="0.35">
      <c r="A535" s="12" t="s">
        <v>495</v>
      </c>
      <c r="B535" s="15">
        <v>2025</v>
      </c>
      <c r="C535" s="13">
        <v>45848</v>
      </c>
      <c r="D535" s="12" t="s">
        <v>499</v>
      </c>
      <c r="E535" s="13">
        <v>45848</v>
      </c>
      <c r="F535" s="84">
        <v>256779415331</v>
      </c>
      <c r="G535" s="12" t="s">
        <v>11</v>
      </c>
      <c r="H535" s="14">
        <v>22.5</v>
      </c>
      <c r="I535" s="12" t="s">
        <v>56</v>
      </c>
      <c r="J535" s="14">
        <v>1935.02</v>
      </c>
      <c r="K535" s="12" t="s">
        <v>564</v>
      </c>
    </row>
    <row r="536" spans="1:11" x14ac:dyDescent="0.35">
      <c r="A536" s="12" t="s">
        <v>495</v>
      </c>
      <c r="B536" s="15">
        <v>2025</v>
      </c>
      <c r="C536" s="13">
        <v>45848</v>
      </c>
      <c r="D536" s="12" t="s">
        <v>499</v>
      </c>
      <c r="E536" s="13">
        <v>45848</v>
      </c>
      <c r="F536" s="84">
        <v>256779415332</v>
      </c>
      <c r="G536" s="12" t="s">
        <v>11</v>
      </c>
      <c r="H536" s="14">
        <v>2.5</v>
      </c>
      <c r="I536" s="12" t="s">
        <v>56</v>
      </c>
      <c r="J536" s="14">
        <v>215</v>
      </c>
      <c r="K536" s="12" t="s">
        <v>564</v>
      </c>
    </row>
    <row r="537" spans="1:11" x14ac:dyDescent="0.35">
      <c r="A537" s="12" t="s">
        <v>495</v>
      </c>
      <c r="B537" s="15">
        <v>2025</v>
      </c>
      <c r="C537" s="13">
        <v>45848</v>
      </c>
      <c r="D537" s="12" t="s">
        <v>499</v>
      </c>
      <c r="E537" s="13">
        <v>45848</v>
      </c>
      <c r="F537" s="84">
        <v>256779415333</v>
      </c>
      <c r="G537" s="12" t="s">
        <v>11</v>
      </c>
      <c r="H537" s="14">
        <v>22.5</v>
      </c>
      <c r="I537" s="12" t="s">
        <v>56</v>
      </c>
      <c r="J537" s="14">
        <v>1935.02</v>
      </c>
      <c r="K537" s="12" t="s">
        <v>791</v>
      </c>
    </row>
    <row r="538" spans="1:11" x14ac:dyDescent="0.35">
      <c r="A538" s="12" t="s">
        <v>495</v>
      </c>
      <c r="B538" s="15">
        <v>2025</v>
      </c>
      <c r="C538" s="13">
        <v>45848</v>
      </c>
      <c r="D538" s="12" t="s">
        <v>499</v>
      </c>
      <c r="E538" s="13">
        <v>45848</v>
      </c>
      <c r="F538" s="84">
        <v>256779415334</v>
      </c>
      <c r="G538" s="12" t="s">
        <v>11</v>
      </c>
      <c r="H538" s="14">
        <v>22.5</v>
      </c>
      <c r="I538" s="12" t="s">
        <v>56</v>
      </c>
      <c r="J538" s="14">
        <v>1935.02</v>
      </c>
      <c r="K538" s="12" t="s">
        <v>791</v>
      </c>
    </row>
    <row r="539" spans="1:11" x14ac:dyDescent="0.35">
      <c r="A539" s="12" t="s">
        <v>495</v>
      </c>
      <c r="B539" s="15">
        <v>2025</v>
      </c>
      <c r="C539" s="13">
        <v>45848</v>
      </c>
      <c r="D539" s="12" t="s">
        <v>499</v>
      </c>
      <c r="E539" s="13">
        <v>45848</v>
      </c>
      <c r="F539" s="84">
        <v>256779415335</v>
      </c>
      <c r="G539" s="12" t="s">
        <v>11</v>
      </c>
      <c r="H539" s="14">
        <v>25</v>
      </c>
      <c r="I539" s="12" t="s">
        <v>56</v>
      </c>
      <c r="J539" s="14">
        <v>2150.02</v>
      </c>
      <c r="K539" s="12" t="s">
        <v>791</v>
      </c>
    </row>
    <row r="540" spans="1:11" x14ac:dyDescent="0.35">
      <c r="A540" s="12" t="s">
        <v>495</v>
      </c>
      <c r="B540" s="15">
        <v>2025</v>
      </c>
      <c r="C540" s="13">
        <v>45848</v>
      </c>
      <c r="D540" s="12" t="s">
        <v>499</v>
      </c>
      <c r="E540" s="13">
        <v>45848</v>
      </c>
      <c r="F540" s="84">
        <v>256779415337</v>
      </c>
      <c r="G540" s="12" t="s">
        <v>11</v>
      </c>
      <c r="H540" s="14">
        <v>17.5</v>
      </c>
      <c r="I540" s="12" t="s">
        <v>56</v>
      </c>
      <c r="J540" s="14">
        <v>1505.01</v>
      </c>
      <c r="K540" s="12" t="s">
        <v>791</v>
      </c>
    </row>
    <row r="541" spans="1:11" x14ac:dyDescent="0.35">
      <c r="A541" s="12" t="s">
        <v>495</v>
      </c>
      <c r="B541" s="15">
        <v>2025</v>
      </c>
      <c r="C541" s="13">
        <v>45848</v>
      </c>
      <c r="D541" s="12" t="s">
        <v>499</v>
      </c>
      <c r="E541" s="13">
        <v>45848</v>
      </c>
      <c r="F541" s="84">
        <v>256779415338</v>
      </c>
      <c r="G541" s="12" t="s">
        <v>11</v>
      </c>
      <c r="H541" s="14">
        <v>12.5</v>
      </c>
      <c r="I541" s="12" t="s">
        <v>56</v>
      </c>
      <c r="J541" s="14">
        <v>1075.01</v>
      </c>
      <c r="K541" s="12" t="s">
        <v>791</v>
      </c>
    </row>
    <row r="542" spans="1:11" x14ac:dyDescent="0.35">
      <c r="A542" s="12" t="s">
        <v>495</v>
      </c>
      <c r="B542" s="15">
        <v>2025</v>
      </c>
      <c r="C542" s="13">
        <v>45848</v>
      </c>
      <c r="D542" s="12" t="s">
        <v>499</v>
      </c>
      <c r="E542" s="13">
        <v>45848</v>
      </c>
      <c r="F542" s="84">
        <v>256779415340</v>
      </c>
      <c r="G542" s="12" t="s">
        <v>11</v>
      </c>
      <c r="H542" s="14">
        <v>25.84</v>
      </c>
      <c r="I542" s="12" t="s">
        <v>56</v>
      </c>
      <c r="J542" s="14">
        <v>2222.2600000000002</v>
      </c>
      <c r="K542" s="12" t="s">
        <v>791</v>
      </c>
    </row>
    <row r="543" spans="1:11" x14ac:dyDescent="0.35">
      <c r="A543" s="12" t="s">
        <v>495</v>
      </c>
      <c r="B543" s="15">
        <v>2025</v>
      </c>
      <c r="C543" s="13">
        <v>45848</v>
      </c>
      <c r="D543" s="12" t="s">
        <v>499</v>
      </c>
      <c r="E543" s="13">
        <v>45848</v>
      </c>
      <c r="F543" s="84">
        <v>256779415341</v>
      </c>
      <c r="G543" s="12" t="s">
        <v>11</v>
      </c>
      <c r="H543" s="14">
        <v>15</v>
      </c>
      <c r="I543" s="12" t="s">
        <v>56</v>
      </c>
      <c r="J543" s="14">
        <v>1290.01</v>
      </c>
      <c r="K543" s="12" t="s">
        <v>791</v>
      </c>
    </row>
    <row r="544" spans="1:11" x14ac:dyDescent="0.35">
      <c r="A544" s="12" t="s">
        <v>495</v>
      </c>
      <c r="B544" s="15">
        <v>2025</v>
      </c>
      <c r="C544" s="13">
        <v>45848</v>
      </c>
      <c r="D544" s="12" t="s">
        <v>499</v>
      </c>
      <c r="E544" s="13">
        <v>45848</v>
      </c>
      <c r="F544" s="84">
        <v>256779415342</v>
      </c>
      <c r="G544" s="12" t="s">
        <v>11</v>
      </c>
      <c r="H544" s="14">
        <v>2.5</v>
      </c>
      <c r="I544" s="12" t="s">
        <v>56</v>
      </c>
      <c r="J544" s="14">
        <v>215</v>
      </c>
      <c r="K544" s="12" t="s">
        <v>791</v>
      </c>
    </row>
    <row r="545" spans="1:11" x14ac:dyDescent="0.35">
      <c r="A545" s="12" t="s">
        <v>495</v>
      </c>
      <c r="B545" s="15">
        <v>2025</v>
      </c>
      <c r="C545" s="13">
        <v>45848</v>
      </c>
      <c r="D545" s="12" t="s">
        <v>499</v>
      </c>
      <c r="E545" s="13">
        <v>45848</v>
      </c>
      <c r="F545" s="84">
        <v>256779415343</v>
      </c>
      <c r="G545" s="12" t="s">
        <v>11</v>
      </c>
      <c r="H545" s="14">
        <v>1</v>
      </c>
      <c r="I545" s="12" t="s">
        <v>56</v>
      </c>
      <c r="J545" s="14">
        <v>86</v>
      </c>
      <c r="K545" s="12" t="s">
        <v>835</v>
      </c>
    </row>
    <row r="546" spans="1:11" x14ac:dyDescent="0.35">
      <c r="A546" s="12" t="s">
        <v>495</v>
      </c>
      <c r="B546" s="15">
        <v>2025</v>
      </c>
      <c r="C546" s="13">
        <v>45848</v>
      </c>
      <c r="D546" s="12" t="s">
        <v>499</v>
      </c>
      <c r="E546" s="13">
        <v>45848</v>
      </c>
      <c r="F546" s="84">
        <v>256779415344</v>
      </c>
      <c r="G546" s="12" t="s">
        <v>11</v>
      </c>
      <c r="H546" s="14">
        <v>25</v>
      </c>
      <c r="I546" s="12" t="s">
        <v>56</v>
      </c>
      <c r="J546" s="14">
        <v>2150.02</v>
      </c>
      <c r="K546" s="12" t="s">
        <v>790</v>
      </c>
    </row>
    <row r="547" spans="1:11" x14ac:dyDescent="0.35">
      <c r="A547" s="12" t="s">
        <v>495</v>
      </c>
      <c r="B547" s="15">
        <v>2025</v>
      </c>
      <c r="C547" s="13">
        <v>45848</v>
      </c>
      <c r="D547" s="12" t="s">
        <v>499</v>
      </c>
      <c r="E547" s="13">
        <v>45848</v>
      </c>
      <c r="F547" s="84">
        <v>256779415345</v>
      </c>
      <c r="G547" s="12" t="s">
        <v>11</v>
      </c>
      <c r="H547" s="14">
        <v>25</v>
      </c>
      <c r="I547" s="12" t="s">
        <v>56</v>
      </c>
      <c r="J547" s="14">
        <v>2150.02</v>
      </c>
      <c r="K547" s="12" t="s">
        <v>790</v>
      </c>
    </row>
    <row r="548" spans="1:11" x14ac:dyDescent="0.35">
      <c r="A548" s="12" t="s">
        <v>495</v>
      </c>
      <c r="B548" s="15">
        <v>2025</v>
      </c>
      <c r="C548" s="13">
        <v>45848</v>
      </c>
      <c r="D548" s="12" t="s">
        <v>499</v>
      </c>
      <c r="E548" s="13">
        <v>45848</v>
      </c>
      <c r="F548" s="84">
        <v>256779415346</v>
      </c>
      <c r="G548" s="12" t="s">
        <v>11</v>
      </c>
      <c r="H548" s="14">
        <v>17.5</v>
      </c>
      <c r="I548" s="12" t="s">
        <v>56</v>
      </c>
      <c r="J548" s="14">
        <v>1505.01</v>
      </c>
      <c r="K548" s="12" t="s">
        <v>790</v>
      </c>
    </row>
    <row r="549" spans="1:11" x14ac:dyDescent="0.35">
      <c r="A549" s="12" t="s">
        <v>495</v>
      </c>
      <c r="B549" s="15">
        <v>2025</v>
      </c>
      <c r="C549" s="13">
        <v>45848</v>
      </c>
      <c r="D549" s="12" t="s">
        <v>499</v>
      </c>
      <c r="E549" s="13">
        <v>45848</v>
      </c>
      <c r="F549" s="84">
        <v>256779415347</v>
      </c>
      <c r="G549" s="12" t="s">
        <v>11</v>
      </c>
      <c r="H549" s="14">
        <v>20</v>
      </c>
      <c r="I549" s="12" t="s">
        <v>56</v>
      </c>
      <c r="J549" s="14">
        <v>1720.01</v>
      </c>
      <c r="K549" s="12" t="s">
        <v>790</v>
      </c>
    </row>
    <row r="550" spans="1:11" x14ac:dyDescent="0.35">
      <c r="A550" s="12" t="s">
        <v>495</v>
      </c>
      <c r="B550" s="15">
        <v>2025</v>
      </c>
      <c r="C550" s="13">
        <v>45848</v>
      </c>
      <c r="D550" s="12" t="s">
        <v>499</v>
      </c>
      <c r="E550" s="13">
        <v>45848</v>
      </c>
      <c r="F550" s="84">
        <v>256779415348</v>
      </c>
      <c r="G550" s="12" t="s">
        <v>11</v>
      </c>
      <c r="H550" s="14">
        <v>7.5</v>
      </c>
      <c r="I550" s="12" t="s">
        <v>56</v>
      </c>
      <c r="J550" s="14">
        <v>645.01</v>
      </c>
      <c r="K550" s="12" t="s">
        <v>790</v>
      </c>
    </row>
    <row r="551" spans="1:11" x14ac:dyDescent="0.35">
      <c r="A551" s="12" t="s">
        <v>495</v>
      </c>
      <c r="B551" s="15">
        <v>2025</v>
      </c>
      <c r="C551" s="13">
        <v>45848</v>
      </c>
      <c r="D551" s="12" t="s">
        <v>499</v>
      </c>
      <c r="E551" s="13">
        <v>45848</v>
      </c>
      <c r="F551" s="84">
        <v>256779415349</v>
      </c>
      <c r="G551" s="12" t="s">
        <v>11</v>
      </c>
      <c r="H551" s="14">
        <v>27.5</v>
      </c>
      <c r="I551" s="12" t="s">
        <v>56</v>
      </c>
      <c r="J551" s="14">
        <v>2365.02</v>
      </c>
      <c r="K551" s="12" t="s">
        <v>790</v>
      </c>
    </row>
    <row r="552" spans="1:11" x14ac:dyDescent="0.35">
      <c r="A552" s="12" t="s">
        <v>495</v>
      </c>
      <c r="B552" s="15">
        <v>2025</v>
      </c>
      <c r="C552" s="13">
        <v>45848</v>
      </c>
      <c r="D552" s="12" t="s">
        <v>499</v>
      </c>
      <c r="E552" s="13">
        <v>45848</v>
      </c>
      <c r="F552" s="84">
        <v>256779415350</v>
      </c>
      <c r="G552" s="12" t="s">
        <v>11</v>
      </c>
      <c r="H552" s="14">
        <v>22.5</v>
      </c>
      <c r="I552" s="12" t="s">
        <v>56</v>
      </c>
      <c r="J552" s="14">
        <v>1935.02</v>
      </c>
      <c r="K552" s="12" t="s">
        <v>790</v>
      </c>
    </row>
    <row r="553" spans="1:11" x14ac:dyDescent="0.35">
      <c r="A553" s="12" t="s">
        <v>495</v>
      </c>
      <c r="B553" s="15">
        <v>2025</v>
      </c>
      <c r="C553" s="13">
        <v>45848</v>
      </c>
      <c r="D553" s="12" t="s">
        <v>499</v>
      </c>
      <c r="E553" s="13">
        <v>45848</v>
      </c>
      <c r="F553" s="84">
        <v>256779415351</v>
      </c>
      <c r="G553" s="12" t="s">
        <v>11</v>
      </c>
      <c r="H553" s="14">
        <v>17.03</v>
      </c>
      <c r="I553" s="12" t="s">
        <v>56</v>
      </c>
      <c r="J553" s="14">
        <v>1464.59</v>
      </c>
      <c r="K553" s="12" t="s">
        <v>646</v>
      </c>
    </row>
    <row r="554" spans="1:11" x14ac:dyDescent="0.35">
      <c r="A554" s="12" t="s">
        <v>495</v>
      </c>
      <c r="B554" s="15">
        <v>2025</v>
      </c>
      <c r="C554" s="13">
        <v>45848</v>
      </c>
      <c r="D554" s="12" t="s">
        <v>499</v>
      </c>
      <c r="E554" s="13">
        <v>45848</v>
      </c>
      <c r="F554" s="84">
        <v>256779415352</v>
      </c>
      <c r="G554" s="12" t="s">
        <v>11</v>
      </c>
      <c r="H554" s="14">
        <v>155.91999999999999</v>
      </c>
      <c r="I554" s="12" t="s">
        <v>56</v>
      </c>
      <c r="J554" s="14">
        <v>13409.22</v>
      </c>
      <c r="K554" s="12" t="s">
        <v>618</v>
      </c>
    </row>
    <row r="555" spans="1:11" x14ac:dyDescent="0.35">
      <c r="A555" s="12" t="s">
        <v>495</v>
      </c>
      <c r="B555" s="15">
        <v>2025</v>
      </c>
      <c r="C555" s="13">
        <v>45848</v>
      </c>
      <c r="D555" s="12" t="s">
        <v>499</v>
      </c>
      <c r="E555" s="13">
        <v>45848</v>
      </c>
      <c r="F555" s="84">
        <v>256779415353</v>
      </c>
      <c r="G555" s="12" t="s">
        <v>11</v>
      </c>
      <c r="H555" s="14">
        <v>200</v>
      </c>
      <c r="I555" s="12" t="s">
        <v>56</v>
      </c>
      <c r="J555" s="14">
        <v>17200.13</v>
      </c>
      <c r="K555" s="12" t="s">
        <v>619</v>
      </c>
    </row>
    <row r="556" spans="1:11" x14ac:dyDescent="0.35">
      <c r="A556" s="12" t="s">
        <v>495</v>
      </c>
      <c r="B556" s="15">
        <v>2025</v>
      </c>
      <c r="C556" s="13">
        <v>45848</v>
      </c>
      <c r="D556" s="12" t="s">
        <v>499</v>
      </c>
      <c r="E556" s="13">
        <v>45848</v>
      </c>
      <c r="F556" s="84">
        <v>256779415354</v>
      </c>
      <c r="G556" s="12" t="s">
        <v>11</v>
      </c>
      <c r="H556" s="14">
        <v>60</v>
      </c>
      <c r="I556" s="12" t="s">
        <v>56</v>
      </c>
      <c r="J556" s="14">
        <v>5160.04</v>
      </c>
      <c r="K556" s="12" t="s">
        <v>620</v>
      </c>
    </row>
    <row r="557" spans="1:11" x14ac:dyDescent="0.35">
      <c r="A557" s="12" t="s">
        <v>495</v>
      </c>
      <c r="B557" s="15">
        <v>2025</v>
      </c>
      <c r="C557" s="13">
        <v>45848</v>
      </c>
      <c r="D557" s="12" t="s">
        <v>499</v>
      </c>
      <c r="E557" s="13">
        <v>45848</v>
      </c>
      <c r="F557" s="84">
        <v>256779415355</v>
      </c>
      <c r="G557" s="12" t="s">
        <v>11</v>
      </c>
      <c r="H557" s="14">
        <v>21.37</v>
      </c>
      <c r="I557" s="12" t="s">
        <v>56</v>
      </c>
      <c r="J557" s="14">
        <v>1837.83</v>
      </c>
      <c r="K557" s="12" t="s">
        <v>616</v>
      </c>
    </row>
    <row r="558" spans="1:11" x14ac:dyDescent="0.35">
      <c r="A558" s="12" t="s">
        <v>495</v>
      </c>
      <c r="B558" s="15">
        <v>2025</v>
      </c>
      <c r="C558" s="13">
        <v>45848</v>
      </c>
      <c r="D558" s="12" t="s">
        <v>499</v>
      </c>
      <c r="E558" s="13">
        <v>45848</v>
      </c>
      <c r="F558" s="84">
        <v>256779415356</v>
      </c>
      <c r="G558" s="12" t="s">
        <v>11</v>
      </c>
      <c r="H558" s="14">
        <v>72</v>
      </c>
      <c r="I558" s="12" t="s">
        <v>56</v>
      </c>
      <c r="J558" s="14">
        <v>6192.05</v>
      </c>
      <c r="K558" s="12" t="s">
        <v>617</v>
      </c>
    </row>
    <row r="559" spans="1:11" x14ac:dyDescent="0.35">
      <c r="A559" s="12" t="s">
        <v>495</v>
      </c>
      <c r="B559" s="15">
        <v>2025</v>
      </c>
      <c r="C559" s="13">
        <v>45848</v>
      </c>
      <c r="D559" s="12" t="s">
        <v>499</v>
      </c>
      <c r="E559" s="13">
        <v>45848</v>
      </c>
      <c r="F559" s="84">
        <v>256779415357</v>
      </c>
      <c r="G559" s="12" t="s">
        <v>11</v>
      </c>
      <c r="H559" s="14">
        <v>207.27</v>
      </c>
      <c r="I559" s="12" t="s">
        <v>56</v>
      </c>
      <c r="J559" s="14">
        <v>17825.36</v>
      </c>
      <c r="K559" s="12" t="s">
        <v>652</v>
      </c>
    </row>
    <row r="560" spans="1:11" x14ac:dyDescent="0.35">
      <c r="A560" s="12" t="s">
        <v>495</v>
      </c>
      <c r="B560" s="15">
        <v>2025</v>
      </c>
      <c r="C560" s="13">
        <v>45848</v>
      </c>
      <c r="D560" s="12" t="s">
        <v>499</v>
      </c>
      <c r="E560" s="13">
        <v>45848</v>
      </c>
      <c r="F560" s="84">
        <v>256779415358</v>
      </c>
      <c r="G560" s="12" t="s">
        <v>11</v>
      </c>
      <c r="H560" s="14">
        <v>96</v>
      </c>
      <c r="I560" s="12" t="s">
        <v>56</v>
      </c>
      <c r="J560" s="14">
        <v>8256.06</v>
      </c>
      <c r="K560" s="12" t="s">
        <v>836</v>
      </c>
    </row>
    <row r="561" spans="1:11" x14ac:dyDescent="0.35">
      <c r="A561" s="12" t="s">
        <v>495</v>
      </c>
      <c r="B561" s="15">
        <v>2025</v>
      </c>
      <c r="C561" s="13">
        <v>45848</v>
      </c>
      <c r="D561" s="12" t="s">
        <v>499</v>
      </c>
      <c r="E561" s="13">
        <v>45848</v>
      </c>
      <c r="F561" s="84">
        <v>256779415359</v>
      </c>
      <c r="G561" s="12" t="s">
        <v>11</v>
      </c>
      <c r="H561" s="14">
        <v>200</v>
      </c>
      <c r="I561" s="12" t="s">
        <v>56</v>
      </c>
      <c r="J561" s="14">
        <v>17200.13</v>
      </c>
      <c r="K561" s="12" t="s">
        <v>837</v>
      </c>
    </row>
    <row r="562" spans="1:11" x14ac:dyDescent="0.35">
      <c r="A562" s="12" t="s">
        <v>495</v>
      </c>
      <c r="B562" s="15">
        <v>2025</v>
      </c>
      <c r="C562" s="13">
        <v>45848</v>
      </c>
      <c r="D562" s="12" t="s">
        <v>499</v>
      </c>
      <c r="E562" s="13">
        <v>45848</v>
      </c>
      <c r="F562" s="84">
        <v>256779415360</v>
      </c>
      <c r="G562" s="12" t="s">
        <v>11</v>
      </c>
      <c r="H562" s="14">
        <v>60</v>
      </c>
      <c r="I562" s="12" t="s">
        <v>56</v>
      </c>
      <c r="J562" s="14">
        <v>5160.04</v>
      </c>
      <c r="K562" s="12" t="s">
        <v>838</v>
      </c>
    </row>
    <row r="563" spans="1:11" x14ac:dyDescent="0.35">
      <c r="A563" s="12" t="s">
        <v>495</v>
      </c>
      <c r="B563" s="15">
        <v>2025</v>
      </c>
      <c r="C563" s="13">
        <v>45848</v>
      </c>
      <c r="D563" s="12" t="s">
        <v>499</v>
      </c>
      <c r="E563" s="13">
        <v>45848</v>
      </c>
      <c r="F563" s="84">
        <v>256779415361</v>
      </c>
      <c r="G563" s="12" t="s">
        <v>11</v>
      </c>
      <c r="H563" s="14">
        <v>67.5</v>
      </c>
      <c r="I563" s="12" t="s">
        <v>56</v>
      </c>
      <c r="J563" s="14">
        <v>5805.05</v>
      </c>
      <c r="K563" s="12" t="s">
        <v>653</v>
      </c>
    </row>
    <row r="564" spans="1:11" x14ac:dyDescent="0.35">
      <c r="A564" s="12" t="s">
        <v>495</v>
      </c>
      <c r="B564" s="15">
        <v>2025</v>
      </c>
      <c r="C564" s="13">
        <v>45848</v>
      </c>
      <c r="D564" s="12" t="s">
        <v>499</v>
      </c>
      <c r="E564" s="13">
        <v>45848</v>
      </c>
      <c r="F564" s="84">
        <v>256779415362</v>
      </c>
      <c r="G564" s="12" t="s">
        <v>11</v>
      </c>
      <c r="H564" s="14">
        <v>3</v>
      </c>
      <c r="I564" s="12" t="s">
        <v>56</v>
      </c>
      <c r="J564" s="14">
        <v>258</v>
      </c>
      <c r="K564" s="12" t="s">
        <v>839</v>
      </c>
    </row>
    <row r="565" spans="1:11" x14ac:dyDescent="0.35">
      <c r="A565" s="12" t="s">
        <v>495</v>
      </c>
      <c r="B565" s="15">
        <v>2025</v>
      </c>
      <c r="C565" s="13">
        <v>45848</v>
      </c>
      <c r="D565" s="12" t="s">
        <v>499</v>
      </c>
      <c r="E565" s="13">
        <v>45848</v>
      </c>
      <c r="F565" s="84">
        <v>256779415363</v>
      </c>
      <c r="G565" s="12" t="s">
        <v>11</v>
      </c>
      <c r="H565" s="14">
        <v>3</v>
      </c>
      <c r="I565" s="12" t="s">
        <v>56</v>
      </c>
      <c r="J565" s="14">
        <v>258</v>
      </c>
      <c r="K565" s="12" t="s">
        <v>839</v>
      </c>
    </row>
    <row r="566" spans="1:11" x14ac:dyDescent="0.35">
      <c r="A566" s="12" t="s">
        <v>495</v>
      </c>
      <c r="B566" s="15">
        <v>2025</v>
      </c>
      <c r="C566" s="13">
        <v>45861</v>
      </c>
      <c r="D566" s="12" t="s">
        <v>697</v>
      </c>
      <c r="E566" s="13">
        <v>45861</v>
      </c>
      <c r="F566" s="84" t="s">
        <v>497</v>
      </c>
      <c r="G566" s="12" t="s">
        <v>11</v>
      </c>
      <c r="H566" s="14">
        <v>0</v>
      </c>
      <c r="I566" s="12" t="s">
        <v>56</v>
      </c>
      <c r="J566" s="14">
        <v>0</v>
      </c>
      <c r="K566" s="12" t="s">
        <v>497</v>
      </c>
    </row>
    <row r="567" spans="1:11" x14ac:dyDescent="0.35">
      <c r="A567" s="12" t="s">
        <v>495</v>
      </c>
      <c r="B567" s="15">
        <v>2025</v>
      </c>
      <c r="C567" s="13">
        <v>45861</v>
      </c>
      <c r="D567" s="12" t="s">
        <v>697</v>
      </c>
      <c r="E567" s="13">
        <v>45861</v>
      </c>
      <c r="F567" s="84" t="s">
        <v>497</v>
      </c>
      <c r="G567" s="12" t="s">
        <v>11</v>
      </c>
      <c r="H567" s="14">
        <v>0</v>
      </c>
      <c r="I567" s="12" t="s">
        <v>56</v>
      </c>
      <c r="J567" s="14">
        <v>0</v>
      </c>
      <c r="K567" s="12" t="s">
        <v>497</v>
      </c>
    </row>
    <row r="568" spans="1:11" x14ac:dyDescent="0.35">
      <c r="A568" s="12" t="s">
        <v>495</v>
      </c>
      <c r="B568" s="15">
        <v>2025</v>
      </c>
      <c r="C568" s="13">
        <v>45861</v>
      </c>
      <c r="D568" s="12" t="s">
        <v>697</v>
      </c>
      <c r="E568" s="13">
        <v>45861</v>
      </c>
      <c r="F568" s="84" t="s">
        <v>497</v>
      </c>
      <c r="G568" s="12" t="s">
        <v>11</v>
      </c>
      <c r="H568" s="14">
        <v>0</v>
      </c>
      <c r="I568" s="12" t="s">
        <v>56</v>
      </c>
      <c r="J568" s="14">
        <v>0</v>
      </c>
      <c r="K568" s="12" t="s">
        <v>497</v>
      </c>
    </row>
    <row r="569" spans="1:11" x14ac:dyDescent="0.35">
      <c r="A569" s="12" t="s">
        <v>495</v>
      </c>
      <c r="B569" s="15">
        <v>2025</v>
      </c>
      <c r="C569" s="13">
        <v>45861</v>
      </c>
      <c r="D569" s="12" t="s">
        <v>697</v>
      </c>
      <c r="E569" s="13">
        <v>45861</v>
      </c>
      <c r="F569" s="84" t="s">
        <v>497</v>
      </c>
      <c r="G569" s="12" t="s">
        <v>11</v>
      </c>
      <c r="H569" s="14">
        <v>0</v>
      </c>
      <c r="I569" s="12" t="s">
        <v>56</v>
      </c>
      <c r="J569" s="14">
        <v>0</v>
      </c>
      <c r="K569" s="12" t="s">
        <v>497</v>
      </c>
    </row>
    <row r="570" spans="1:11" x14ac:dyDescent="0.35">
      <c r="A570" s="12" t="s">
        <v>495</v>
      </c>
      <c r="B570" s="15">
        <v>2025</v>
      </c>
      <c r="C570" s="13">
        <v>45861</v>
      </c>
      <c r="D570" s="12" t="s">
        <v>697</v>
      </c>
      <c r="E570" s="13">
        <v>45861</v>
      </c>
      <c r="F570" s="84" t="s">
        <v>497</v>
      </c>
      <c r="G570" s="12" t="s">
        <v>11</v>
      </c>
      <c r="H570" s="14">
        <v>0</v>
      </c>
      <c r="I570" s="12" t="s">
        <v>56</v>
      </c>
      <c r="J570" s="14">
        <v>0</v>
      </c>
      <c r="K570" s="12" t="s">
        <v>497</v>
      </c>
    </row>
    <row r="571" spans="1:11" x14ac:dyDescent="0.35">
      <c r="A571" s="12" t="s">
        <v>495</v>
      </c>
      <c r="B571" s="15">
        <v>2025</v>
      </c>
      <c r="C571" s="13">
        <v>45861</v>
      </c>
      <c r="D571" s="12" t="s">
        <v>697</v>
      </c>
      <c r="E571" s="13">
        <v>45861</v>
      </c>
      <c r="F571" s="84" t="s">
        <v>497</v>
      </c>
      <c r="G571" s="12" t="s">
        <v>11</v>
      </c>
      <c r="H571" s="14">
        <v>0</v>
      </c>
      <c r="I571" s="12" t="s">
        <v>56</v>
      </c>
      <c r="J571" s="14">
        <v>0</v>
      </c>
      <c r="K571" s="12" t="s">
        <v>497</v>
      </c>
    </row>
    <row r="572" spans="1:11" x14ac:dyDescent="0.35">
      <c r="A572" s="12" t="s">
        <v>495</v>
      </c>
      <c r="B572" s="15">
        <v>2025</v>
      </c>
      <c r="C572" s="13">
        <v>45861</v>
      </c>
      <c r="D572" s="12" t="s">
        <v>697</v>
      </c>
      <c r="E572" s="13">
        <v>45861</v>
      </c>
      <c r="F572" s="84" t="s">
        <v>497</v>
      </c>
      <c r="G572" s="12" t="s">
        <v>11</v>
      </c>
      <c r="H572" s="14">
        <v>0</v>
      </c>
      <c r="I572" s="12" t="s">
        <v>56</v>
      </c>
      <c r="J572" s="14">
        <v>0</v>
      </c>
      <c r="K572" s="12" t="s">
        <v>497</v>
      </c>
    </row>
    <row r="573" spans="1:11" x14ac:dyDescent="0.35">
      <c r="A573" s="12" t="s">
        <v>495</v>
      </c>
      <c r="B573" s="15">
        <v>2025</v>
      </c>
      <c r="C573" s="13">
        <v>45758</v>
      </c>
      <c r="D573" s="12" t="s">
        <v>840</v>
      </c>
      <c r="E573" s="13">
        <v>45758</v>
      </c>
      <c r="F573" s="84" t="s">
        <v>497</v>
      </c>
      <c r="G573" s="12" t="s">
        <v>56</v>
      </c>
      <c r="H573" s="14">
        <v>1</v>
      </c>
      <c r="I573" s="12" t="s">
        <v>56</v>
      </c>
      <c r="J573" s="14">
        <v>1</v>
      </c>
      <c r="K573" s="12" t="s">
        <v>841</v>
      </c>
    </row>
    <row r="574" spans="1:11" x14ac:dyDescent="0.35">
      <c r="A574" s="12" t="s">
        <v>495</v>
      </c>
      <c r="B574" s="15">
        <v>2025</v>
      </c>
      <c r="C574" s="13">
        <v>45758</v>
      </c>
      <c r="D574" s="12" t="s">
        <v>840</v>
      </c>
      <c r="E574" s="13">
        <v>45758</v>
      </c>
      <c r="F574" s="84" t="s">
        <v>497</v>
      </c>
      <c r="G574" s="12" t="s">
        <v>56</v>
      </c>
      <c r="H574" s="14">
        <v>-1</v>
      </c>
      <c r="I574" s="12" t="s">
        <v>56</v>
      </c>
      <c r="J574" s="14">
        <v>-1</v>
      </c>
      <c r="K574" s="12" t="s">
        <v>841</v>
      </c>
    </row>
    <row r="575" spans="1:11" x14ac:dyDescent="0.35">
      <c r="A575" s="12" t="s">
        <v>495</v>
      </c>
      <c r="B575" s="15">
        <v>2025</v>
      </c>
      <c r="C575" s="13">
        <v>45902</v>
      </c>
      <c r="D575" s="12" t="s">
        <v>842</v>
      </c>
      <c r="E575" s="13">
        <v>45902</v>
      </c>
      <c r="F575" s="84" t="s">
        <v>497</v>
      </c>
      <c r="G575" s="12" t="s">
        <v>56</v>
      </c>
      <c r="H575" s="14">
        <v>212521.54</v>
      </c>
      <c r="I575" s="12" t="s">
        <v>56</v>
      </c>
      <c r="J575" s="14">
        <v>208845.74</v>
      </c>
      <c r="K575" s="12" t="s">
        <v>497</v>
      </c>
    </row>
    <row r="576" spans="1:11" x14ac:dyDescent="0.35">
      <c r="A576" s="12" t="s">
        <v>495</v>
      </c>
      <c r="B576" s="15">
        <v>2025</v>
      </c>
      <c r="C576" s="13">
        <v>45902</v>
      </c>
      <c r="D576" s="12" t="s">
        <v>842</v>
      </c>
      <c r="E576" s="13">
        <v>45902</v>
      </c>
      <c r="F576" s="84" t="s">
        <v>497</v>
      </c>
      <c r="G576" s="12" t="s">
        <v>56</v>
      </c>
      <c r="H576" s="14">
        <v>-212521.54</v>
      </c>
      <c r="I576" s="12" t="s">
        <v>56</v>
      </c>
      <c r="J576" s="14">
        <v>-207607.52</v>
      </c>
      <c r="K576" s="12" t="s">
        <v>497</v>
      </c>
    </row>
    <row r="577" spans="1:11" x14ac:dyDescent="0.35">
      <c r="A577" s="12" t="s">
        <v>495</v>
      </c>
      <c r="B577" s="15">
        <v>2025</v>
      </c>
      <c r="C577" s="13">
        <v>45974</v>
      </c>
      <c r="D577" s="12" t="s">
        <v>697</v>
      </c>
      <c r="E577" s="13">
        <v>45974</v>
      </c>
      <c r="F577" s="84" t="s">
        <v>497</v>
      </c>
      <c r="G577" s="12" t="s">
        <v>11</v>
      </c>
      <c r="H577" s="14">
        <v>4603.4799999999996</v>
      </c>
      <c r="I577" s="12" t="s">
        <v>56</v>
      </c>
      <c r="J577" s="14">
        <v>396450.85</v>
      </c>
      <c r="K577" s="12" t="s">
        <v>497</v>
      </c>
    </row>
    <row r="578" spans="1:11" x14ac:dyDescent="0.35">
      <c r="A578" s="12" t="s">
        <v>495</v>
      </c>
      <c r="B578" s="15">
        <v>2025</v>
      </c>
      <c r="C578" s="13">
        <v>45974</v>
      </c>
      <c r="D578" s="12" t="s">
        <v>697</v>
      </c>
      <c r="E578" s="13">
        <v>45974</v>
      </c>
      <c r="F578" s="84" t="s">
        <v>497</v>
      </c>
      <c r="G578" s="12" t="s">
        <v>11</v>
      </c>
      <c r="H578" s="14">
        <v>2.98</v>
      </c>
      <c r="I578" s="12" t="s">
        <v>56</v>
      </c>
      <c r="J578" s="14">
        <v>262.20999999999998</v>
      </c>
      <c r="K578" s="12" t="s">
        <v>497</v>
      </c>
    </row>
    <row r="579" spans="1:11" x14ac:dyDescent="0.35">
      <c r="A579" s="12" t="s">
        <v>495</v>
      </c>
      <c r="B579" s="15">
        <v>2025</v>
      </c>
      <c r="C579" s="13">
        <v>45974</v>
      </c>
      <c r="D579" s="12" t="s">
        <v>697</v>
      </c>
      <c r="E579" s="13">
        <v>45974</v>
      </c>
      <c r="F579" s="84" t="s">
        <v>497</v>
      </c>
      <c r="G579" s="12" t="s">
        <v>11</v>
      </c>
      <c r="H579" s="14">
        <v>-2.98</v>
      </c>
      <c r="I579" s="12" t="s">
        <v>56</v>
      </c>
      <c r="J579" s="14">
        <v>-262.20999999999998</v>
      </c>
      <c r="K579" s="12" t="s">
        <v>497</v>
      </c>
    </row>
    <row r="580" spans="1:11" x14ac:dyDescent="0.35">
      <c r="A580" s="12" t="s">
        <v>495</v>
      </c>
      <c r="B580" s="15">
        <v>2025</v>
      </c>
      <c r="C580" s="13">
        <v>45974</v>
      </c>
      <c r="D580" s="12" t="s">
        <v>697</v>
      </c>
      <c r="E580" s="13">
        <v>45974</v>
      </c>
      <c r="F580" s="84" t="s">
        <v>497</v>
      </c>
      <c r="G580" s="12" t="s">
        <v>11</v>
      </c>
      <c r="H580" s="14">
        <v>5558.96</v>
      </c>
      <c r="I580" s="12" t="s">
        <v>56</v>
      </c>
      <c r="J580" s="14">
        <v>478086.37</v>
      </c>
      <c r="K580" s="12" t="s">
        <v>497</v>
      </c>
    </row>
    <row r="581" spans="1:11" x14ac:dyDescent="0.35">
      <c r="A581" s="12" t="s">
        <v>495</v>
      </c>
      <c r="B581" s="15">
        <v>2025</v>
      </c>
      <c r="C581" s="13">
        <v>45974</v>
      </c>
      <c r="D581" s="12" t="s">
        <v>697</v>
      </c>
      <c r="E581" s="13">
        <v>45974</v>
      </c>
      <c r="F581" s="84" t="s">
        <v>497</v>
      </c>
      <c r="G581" s="12" t="s">
        <v>11</v>
      </c>
      <c r="H581" s="14">
        <v>-3891.99</v>
      </c>
      <c r="I581" s="12" t="s">
        <v>56</v>
      </c>
      <c r="J581" s="14">
        <v>-338298.81</v>
      </c>
      <c r="K581" s="12" t="s">
        <v>497</v>
      </c>
    </row>
    <row r="582" spans="1:11" x14ac:dyDescent="0.35">
      <c r="A582" s="12" t="s">
        <v>495</v>
      </c>
      <c r="B582" s="15">
        <v>2025</v>
      </c>
      <c r="C582" s="13">
        <v>45974</v>
      </c>
      <c r="D582" s="12" t="s">
        <v>697</v>
      </c>
      <c r="E582" s="13">
        <v>45974</v>
      </c>
      <c r="F582" s="84" t="s">
        <v>497</v>
      </c>
      <c r="G582" s="12" t="s">
        <v>11</v>
      </c>
      <c r="H582" s="14">
        <v>-6270.45</v>
      </c>
      <c r="I582" s="12" t="s">
        <v>56</v>
      </c>
      <c r="J582" s="14">
        <v>-536832.30000000005</v>
      </c>
      <c r="K582" s="12" t="s">
        <v>497</v>
      </c>
    </row>
    <row r="583" spans="1:11" x14ac:dyDescent="0.35">
      <c r="A583" s="12" t="s">
        <v>495</v>
      </c>
      <c r="B583" s="15">
        <v>2025</v>
      </c>
      <c r="C583" s="13">
        <v>45974</v>
      </c>
      <c r="D583" s="12" t="s">
        <v>697</v>
      </c>
      <c r="E583" s="13">
        <v>45974</v>
      </c>
      <c r="F583" s="84" t="s">
        <v>497</v>
      </c>
      <c r="G583" s="12" t="s">
        <v>56</v>
      </c>
      <c r="H583" s="14">
        <v>77508.990000000005</v>
      </c>
      <c r="I583" s="12" t="s">
        <v>56</v>
      </c>
      <c r="J583" s="14">
        <v>75771.03</v>
      </c>
      <c r="K583" s="12" t="s">
        <v>497</v>
      </c>
    </row>
    <row r="584" spans="1:11" x14ac:dyDescent="0.35">
      <c r="A584" s="12" t="s">
        <v>495</v>
      </c>
      <c r="B584" s="15">
        <v>2025</v>
      </c>
      <c r="C584" s="13">
        <v>45974</v>
      </c>
      <c r="D584" s="12" t="s">
        <v>697</v>
      </c>
      <c r="E584" s="13">
        <v>45974</v>
      </c>
      <c r="F584" s="84" t="s">
        <v>497</v>
      </c>
      <c r="G584" s="12" t="s">
        <v>56</v>
      </c>
      <c r="H584" s="14">
        <v>-20130.78</v>
      </c>
      <c r="I584" s="12" t="s">
        <v>56</v>
      </c>
      <c r="J584" s="14">
        <v>-20130.78</v>
      </c>
      <c r="K584" s="12" t="s">
        <v>497</v>
      </c>
    </row>
    <row r="585" spans="1:11" x14ac:dyDescent="0.35">
      <c r="A585" s="12" t="s">
        <v>495</v>
      </c>
      <c r="B585" s="15">
        <v>2025</v>
      </c>
      <c r="C585" s="13">
        <v>45974</v>
      </c>
      <c r="D585" s="12" t="s">
        <v>697</v>
      </c>
      <c r="E585" s="13">
        <v>45974</v>
      </c>
      <c r="F585" s="84" t="s">
        <v>497</v>
      </c>
      <c r="G585" s="12" t="s">
        <v>56</v>
      </c>
      <c r="H585" s="14">
        <v>-746.27</v>
      </c>
      <c r="I585" s="12" t="s">
        <v>56</v>
      </c>
      <c r="J585" s="14">
        <v>-746.27</v>
      </c>
      <c r="K585" s="12" t="s">
        <v>497</v>
      </c>
    </row>
    <row r="586" spans="1:11" x14ac:dyDescent="0.35">
      <c r="A586" s="12" t="s">
        <v>495</v>
      </c>
      <c r="B586" s="15">
        <v>2025</v>
      </c>
      <c r="C586" s="13">
        <v>45974</v>
      </c>
      <c r="D586" s="12" t="s">
        <v>697</v>
      </c>
      <c r="E586" s="13">
        <v>45974</v>
      </c>
      <c r="F586" s="84" t="s">
        <v>497</v>
      </c>
      <c r="G586" s="12" t="s">
        <v>56</v>
      </c>
      <c r="H586" s="14">
        <v>-24772.95</v>
      </c>
      <c r="I586" s="12" t="s">
        <v>56</v>
      </c>
      <c r="J586" s="14">
        <v>-24772.95</v>
      </c>
      <c r="K586" s="12" t="s">
        <v>497</v>
      </c>
    </row>
    <row r="587" spans="1:11" x14ac:dyDescent="0.35">
      <c r="A587" s="12" t="s">
        <v>495</v>
      </c>
      <c r="B587" s="15">
        <v>2025</v>
      </c>
      <c r="C587" s="13">
        <v>45974</v>
      </c>
      <c r="D587" s="12" t="s">
        <v>697</v>
      </c>
      <c r="E587" s="13">
        <v>45974</v>
      </c>
      <c r="F587" s="84" t="s">
        <v>497</v>
      </c>
      <c r="G587" s="12" t="s">
        <v>56</v>
      </c>
      <c r="H587" s="14">
        <v>-31858.99</v>
      </c>
      <c r="I587" s="12" t="s">
        <v>56</v>
      </c>
      <c r="J587" s="14">
        <v>-31858.99</v>
      </c>
      <c r="K587" s="12" t="s">
        <v>497</v>
      </c>
    </row>
    <row r="588" spans="1:11" x14ac:dyDescent="0.35">
      <c r="A588" s="12" t="s">
        <v>495</v>
      </c>
      <c r="B588" s="15">
        <v>2025</v>
      </c>
      <c r="C588" s="13">
        <v>45940</v>
      </c>
      <c r="D588" s="12" t="s">
        <v>697</v>
      </c>
      <c r="E588" s="13">
        <v>45940</v>
      </c>
      <c r="F588" s="84" t="s">
        <v>497</v>
      </c>
      <c r="G588" s="12" t="s">
        <v>56</v>
      </c>
      <c r="H588" s="14">
        <v>-1746430.23</v>
      </c>
      <c r="I588" s="12" t="s">
        <v>56</v>
      </c>
      <c r="J588" s="14">
        <v>-1746430.23</v>
      </c>
      <c r="K588" s="12" t="s">
        <v>497</v>
      </c>
    </row>
    <row r="589" spans="1:11" x14ac:dyDescent="0.35">
      <c r="A589" s="12" t="s">
        <v>495</v>
      </c>
      <c r="B589" s="15">
        <v>2025</v>
      </c>
      <c r="C589" s="13">
        <v>45940</v>
      </c>
      <c r="D589" s="12" t="s">
        <v>697</v>
      </c>
      <c r="E589" s="13">
        <v>45940</v>
      </c>
      <c r="F589" s="84" t="s">
        <v>497</v>
      </c>
      <c r="G589" s="12" t="s">
        <v>56</v>
      </c>
      <c r="H589" s="14">
        <v>-2385233.9500000002</v>
      </c>
      <c r="I589" s="12" t="s">
        <v>56</v>
      </c>
      <c r="J589" s="14">
        <v>-2385233.9500000002</v>
      </c>
      <c r="K589" s="12" t="s">
        <v>497</v>
      </c>
    </row>
    <row r="590" spans="1:11" x14ac:dyDescent="0.35">
      <c r="A590" s="12" t="s">
        <v>495</v>
      </c>
      <c r="B590" s="15">
        <v>2025</v>
      </c>
      <c r="C590" s="13">
        <v>45958</v>
      </c>
      <c r="D590" s="12" t="s">
        <v>697</v>
      </c>
      <c r="E590" s="13">
        <v>45958</v>
      </c>
      <c r="F590" s="84" t="s">
        <v>497</v>
      </c>
      <c r="G590" s="12" t="s">
        <v>56</v>
      </c>
      <c r="H590" s="14">
        <v>-1719090.91</v>
      </c>
      <c r="I590" s="12" t="s">
        <v>56</v>
      </c>
      <c r="J590" s="14">
        <v>-1719090.91</v>
      </c>
      <c r="K590" s="12" t="s">
        <v>497</v>
      </c>
    </row>
    <row r="591" spans="1:11" x14ac:dyDescent="0.35">
      <c r="A591" s="12" t="s">
        <v>495</v>
      </c>
      <c r="B591" s="15">
        <v>2025</v>
      </c>
      <c r="C591" s="13">
        <v>45987</v>
      </c>
      <c r="D591" s="12" t="s">
        <v>697</v>
      </c>
      <c r="E591" s="13">
        <v>45987</v>
      </c>
      <c r="F591" s="84" t="s">
        <v>497</v>
      </c>
      <c r="G591" s="12" t="s">
        <v>56</v>
      </c>
      <c r="H591" s="14">
        <v>-1917961.25</v>
      </c>
      <c r="I591" s="12" t="s">
        <v>56</v>
      </c>
      <c r="J591" s="14">
        <v>-1917961.25</v>
      </c>
      <c r="K591" s="12" t="s">
        <v>497</v>
      </c>
    </row>
    <row r="592" spans="1:11" x14ac:dyDescent="0.35">
      <c r="A592" s="12" t="s">
        <v>495</v>
      </c>
      <c r="B592" s="15">
        <v>2025</v>
      </c>
      <c r="C592" s="13">
        <v>45744</v>
      </c>
      <c r="D592" s="12" t="s">
        <v>843</v>
      </c>
      <c r="E592" s="13">
        <v>45701</v>
      </c>
      <c r="F592" s="84" t="s">
        <v>844</v>
      </c>
      <c r="G592" s="12" t="s">
        <v>56</v>
      </c>
      <c r="H592" s="14">
        <v>1</v>
      </c>
      <c r="I592" s="12" t="s">
        <v>56</v>
      </c>
      <c r="J592" s="14">
        <v>1</v>
      </c>
      <c r="K592" s="12" t="s">
        <v>841</v>
      </c>
    </row>
    <row r="593" spans="1:11" x14ac:dyDescent="0.35">
      <c r="A593" s="12" t="s">
        <v>495</v>
      </c>
      <c r="B593" s="15">
        <v>2025</v>
      </c>
      <c r="C593" s="13">
        <v>45701</v>
      </c>
      <c r="D593" s="12" t="s">
        <v>843</v>
      </c>
      <c r="E593" s="13">
        <v>45701</v>
      </c>
      <c r="F593" s="84" t="s">
        <v>845</v>
      </c>
      <c r="G593" s="12" t="s">
        <v>56</v>
      </c>
      <c r="H593" s="14">
        <v>-1</v>
      </c>
      <c r="I593" s="12" t="s">
        <v>56</v>
      </c>
      <c r="J593" s="14">
        <v>-1</v>
      </c>
      <c r="K593" s="12" t="s">
        <v>841</v>
      </c>
    </row>
    <row r="594" spans="1:11" x14ac:dyDescent="0.35">
      <c r="A594" s="12" t="s">
        <v>495</v>
      </c>
      <c r="B594" s="15">
        <v>2025</v>
      </c>
      <c r="C594" s="13">
        <v>45764</v>
      </c>
      <c r="D594" s="12" t="s">
        <v>499</v>
      </c>
      <c r="E594" s="13">
        <v>45764</v>
      </c>
      <c r="F594" s="84">
        <v>256779412140</v>
      </c>
      <c r="G594" s="12" t="s">
        <v>56</v>
      </c>
      <c r="H594" s="14">
        <v>262.20999999999998</v>
      </c>
      <c r="I594" s="12" t="s">
        <v>56</v>
      </c>
      <c r="J594" s="14">
        <v>262.20999999999998</v>
      </c>
      <c r="K594" s="12" t="s">
        <v>623</v>
      </c>
    </row>
    <row r="595" spans="1:11" x14ac:dyDescent="0.35">
      <c r="A595" s="12" t="s">
        <v>495</v>
      </c>
      <c r="B595" s="15">
        <v>2025</v>
      </c>
      <c r="C595" s="13">
        <v>45735</v>
      </c>
      <c r="D595" s="12" t="s">
        <v>499</v>
      </c>
      <c r="E595" s="13">
        <v>45735</v>
      </c>
      <c r="F595" s="84">
        <v>246779413076</v>
      </c>
      <c r="G595" s="12" t="s">
        <v>11</v>
      </c>
      <c r="H595" s="14">
        <v>466.37</v>
      </c>
      <c r="I595" s="12" t="s">
        <v>56</v>
      </c>
      <c r="J595" s="14">
        <v>40430.199999999997</v>
      </c>
      <c r="K595" s="12" t="s">
        <v>846</v>
      </c>
    </row>
    <row r="596" spans="1:11" x14ac:dyDescent="0.35">
      <c r="A596" s="12" t="s">
        <v>495</v>
      </c>
      <c r="B596" s="15">
        <v>2025</v>
      </c>
      <c r="C596" s="13">
        <v>45787</v>
      </c>
      <c r="D596" s="12" t="s">
        <v>499</v>
      </c>
      <c r="E596" s="13">
        <v>45787</v>
      </c>
      <c r="F596" s="84">
        <v>256779413147</v>
      </c>
      <c r="G596" s="12" t="s">
        <v>56</v>
      </c>
      <c r="H596" s="14">
        <v>8000</v>
      </c>
      <c r="I596" s="12" t="s">
        <v>56</v>
      </c>
      <c r="J596" s="14">
        <v>8000</v>
      </c>
      <c r="K596" s="12" t="s">
        <v>847</v>
      </c>
    </row>
    <row r="597" spans="1:11" x14ac:dyDescent="0.35">
      <c r="A597" s="12" t="s">
        <v>495</v>
      </c>
      <c r="B597" s="15">
        <v>2025</v>
      </c>
      <c r="C597" s="13">
        <v>45818</v>
      </c>
      <c r="D597" s="12" t="s">
        <v>499</v>
      </c>
      <c r="E597" s="13">
        <v>45818</v>
      </c>
      <c r="F597" s="84">
        <v>256779414359</v>
      </c>
      <c r="G597" s="12" t="s">
        <v>56</v>
      </c>
      <c r="H597" s="14">
        <v>8000</v>
      </c>
      <c r="I597" s="12" t="s">
        <v>56</v>
      </c>
      <c r="J597" s="14">
        <v>8000</v>
      </c>
      <c r="K597" s="12" t="s">
        <v>848</v>
      </c>
    </row>
    <row r="598" spans="1:11" x14ac:dyDescent="0.35">
      <c r="A598" s="12" t="s">
        <v>495</v>
      </c>
      <c r="B598" s="15">
        <v>2025</v>
      </c>
      <c r="C598" s="13">
        <v>45842</v>
      </c>
      <c r="D598" s="12" t="s">
        <v>499</v>
      </c>
      <c r="E598" s="13">
        <v>45842</v>
      </c>
      <c r="F598" s="84">
        <v>256779414917</v>
      </c>
      <c r="G598" s="12" t="s">
        <v>56</v>
      </c>
      <c r="H598" s="14">
        <v>8000</v>
      </c>
      <c r="I598" s="12" t="s">
        <v>56</v>
      </c>
      <c r="J598" s="14">
        <v>8000</v>
      </c>
      <c r="K598" s="12" t="s">
        <v>849</v>
      </c>
    </row>
    <row r="599" spans="1:11" x14ac:dyDescent="0.35">
      <c r="A599" s="12" t="s">
        <v>495</v>
      </c>
      <c r="B599" s="15">
        <v>2025</v>
      </c>
      <c r="C599" s="13">
        <v>45870</v>
      </c>
      <c r="D599" s="12" t="s">
        <v>499</v>
      </c>
      <c r="E599" s="13">
        <v>45870</v>
      </c>
      <c r="F599" s="84">
        <v>256779416029</v>
      </c>
      <c r="G599" s="12" t="s">
        <v>56</v>
      </c>
      <c r="H599" s="14">
        <v>8000</v>
      </c>
      <c r="I599" s="12" t="s">
        <v>56</v>
      </c>
      <c r="J599" s="14">
        <v>8000</v>
      </c>
      <c r="K599" s="12" t="s">
        <v>850</v>
      </c>
    </row>
    <row r="600" spans="1:11" x14ac:dyDescent="0.35">
      <c r="A600" s="12" t="s">
        <v>495</v>
      </c>
      <c r="B600" s="15">
        <v>2025</v>
      </c>
      <c r="C600" s="13">
        <v>45904</v>
      </c>
      <c r="D600" s="12" t="s">
        <v>499</v>
      </c>
      <c r="E600" s="13">
        <v>45904</v>
      </c>
      <c r="F600" s="84">
        <v>256779417349</v>
      </c>
      <c r="G600" s="12" t="s">
        <v>56</v>
      </c>
      <c r="H600" s="14">
        <v>8000</v>
      </c>
      <c r="I600" s="12" t="s">
        <v>56</v>
      </c>
      <c r="J600" s="14">
        <v>8000</v>
      </c>
      <c r="K600" s="12" t="s">
        <v>851</v>
      </c>
    </row>
    <row r="601" spans="1:11" x14ac:dyDescent="0.35">
      <c r="A601" s="12" t="s">
        <v>495</v>
      </c>
      <c r="B601" s="15">
        <v>2025</v>
      </c>
      <c r="C601" s="13">
        <v>45935</v>
      </c>
      <c r="D601" s="12" t="s">
        <v>499</v>
      </c>
      <c r="E601" s="13">
        <v>45935</v>
      </c>
      <c r="F601" s="84">
        <v>256779417876</v>
      </c>
      <c r="G601" s="12" t="s">
        <v>56</v>
      </c>
      <c r="H601" s="14">
        <v>8000</v>
      </c>
      <c r="I601" s="12" t="s">
        <v>56</v>
      </c>
      <c r="J601" s="14">
        <v>8000</v>
      </c>
      <c r="K601" s="12" t="s">
        <v>852</v>
      </c>
    </row>
    <row r="602" spans="1:11" x14ac:dyDescent="0.35">
      <c r="A602" s="12" t="s">
        <v>495</v>
      </c>
      <c r="B602" s="15">
        <v>2025</v>
      </c>
      <c r="C602" s="13">
        <v>45966</v>
      </c>
      <c r="D602" s="12" t="s">
        <v>499</v>
      </c>
      <c r="E602" s="13">
        <v>45966</v>
      </c>
      <c r="F602" s="84">
        <v>256779418778</v>
      </c>
      <c r="G602" s="12" t="s">
        <v>56</v>
      </c>
      <c r="H602" s="14">
        <v>8000</v>
      </c>
      <c r="I602" s="12" t="s">
        <v>56</v>
      </c>
      <c r="J602" s="14">
        <v>8000</v>
      </c>
      <c r="K602" s="12" t="s">
        <v>853</v>
      </c>
    </row>
    <row r="603" spans="1:11" x14ac:dyDescent="0.35">
      <c r="A603" s="12" t="s">
        <v>495</v>
      </c>
      <c r="B603" s="15">
        <v>2025</v>
      </c>
      <c r="C603" s="13">
        <v>45995</v>
      </c>
      <c r="D603" s="12" t="s">
        <v>499</v>
      </c>
      <c r="E603" s="13">
        <v>45995</v>
      </c>
      <c r="F603" s="84">
        <v>256779419971</v>
      </c>
      <c r="G603" s="12" t="s">
        <v>56</v>
      </c>
      <c r="H603" s="14">
        <v>8000</v>
      </c>
      <c r="I603" s="12" t="s">
        <v>56</v>
      </c>
      <c r="J603" s="14">
        <v>8000</v>
      </c>
      <c r="K603" s="12" t="s">
        <v>854</v>
      </c>
    </row>
    <row r="604" spans="1:11" x14ac:dyDescent="0.35">
      <c r="A604" s="12" t="s">
        <v>495</v>
      </c>
      <c r="B604" s="15">
        <v>2025</v>
      </c>
      <c r="C604" s="13">
        <v>45787</v>
      </c>
      <c r="D604" s="12" t="s">
        <v>499</v>
      </c>
      <c r="E604" s="13">
        <v>45787</v>
      </c>
      <c r="F604" s="84">
        <v>256779413148</v>
      </c>
      <c r="G604" s="12" t="s">
        <v>56</v>
      </c>
      <c r="H604" s="14">
        <v>4400</v>
      </c>
      <c r="I604" s="12" t="s">
        <v>56</v>
      </c>
      <c r="J604" s="14">
        <v>4400</v>
      </c>
      <c r="K604" s="12" t="s">
        <v>847</v>
      </c>
    </row>
    <row r="605" spans="1:11" x14ac:dyDescent="0.35">
      <c r="A605" s="12" t="s">
        <v>495</v>
      </c>
      <c r="B605" s="15">
        <v>2025</v>
      </c>
      <c r="C605" s="13">
        <v>45818</v>
      </c>
      <c r="D605" s="12" t="s">
        <v>499</v>
      </c>
      <c r="E605" s="13">
        <v>45818</v>
      </c>
      <c r="F605" s="84">
        <v>256779414360</v>
      </c>
      <c r="G605" s="12" t="s">
        <v>56</v>
      </c>
      <c r="H605" s="14">
        <v>4400</v>
      </c>
      <c r="I605" s="12" t="s">
        <v>56</v>
      </c>
      <c r="J605" s="14">
        <v>4400</v>
      </c>
      <c r="K605" s="12" t="s">
        <v>848</v>
      </c>
    </row>
    <row r="606" spans="1:11" x14ac:dyDescent="0.35">
      <c r="A606" s="12" t="s">
        <v>495</v>
      </c>
      <c r="B606" s="15">
        <v>2025</v>
      </c>
      <c r="C606" s="13">
        <v>45842</v>
      </c>
      <c r="D606" s="12" t="s">
        <v>499</v>
      </c>
      <c r="E606" s="13">
        <v>45842</v>
      </c>
      <c r="F606" s="84">
        <v>256779414918</v>
      </c>
      <c r="G606" s="12" t="s">
        <v>56</v>
      </c>
      <c r="H606" s="14">
        <v>4400</v>
      </c>
      <c r="I606" s="12" t="s">
        <v>56</v>
      </c>
      <c r="J606" s="14">
        <v>4400</v>
      </c>
      <c r="K606" s="12" t="s">
        <v>849</v>
      </c>
    </row>
    <row r="607" spans="1:11" x14ac:dyDescent="0.35">
      <c r="A607" s="12" t="s">
        <v>495</v>
      </c>
      <c r="B607" s="15">
        <v>2025</v>
      </c>
      <c r="C607" s="13">
        <v>45870</v>
      </c>
      <c r="D607" s="12" t="s">
        <v>499</v>
      </c>
      <c r="E607" s="13">
        <v>45870</v>
      </c>
      <c r="F607" s="84">
        <v>256779416030</v>
      </c>
      <c r="G607" s="12" t="s">
        <v>56</v>
      </c>
      <c r="H607" s="14">
        <v>4400</v>
      </c>
      <c r="I607" s="12" t="s">
        <v>56</v>
      </c>
      <c r="J607" s="14">
        <v>4400</v>
      </c>
      <c r="K607" s="12" t="s">
        <v>850</v>
      </c>
    </row>
    <row r="608" spans="1:11" x14ac:dyDescent="0.35">
      <c r="A608" s="12" t="s">
        <v>495</v>
      </c>
      <c r="B608" s="15">
        <v>2025</v>
      </c>
      <c r="C608" s="13">
        <v>45904</v>
      </c>
      <c r="D608" s="12" t="s">
        <v>499</v>
      </c>
      <c r="E608" s="13">
        <v>45904</v>
      </c>
      <c r="F608" s="84">
        <v>256779417350</v>
      </c>
      <c r="G608" s="12" t="s">
        <v>56</v>
      </c>
      <c r="H608" s="14">
        <v>4400</v>
      </c>
      <c r="I608" s="12" t="s">
        <v>56</v>
      </c>
      <c r="J608" s="14">
        <v>4400</v>
      </c>
      <c r="K608" s="12" t="s">
        <v>851</v>
      </c>
    </row>
    <row r="609" spans="1:11" x14ac:dyDescent="0.35">
      <c r="A609" s="12" t="s">
        <v>495</v>
      </c>
      <c r="B609" s="15">
        <v>2025</v>
      </c>
      <c r="C609" s="13">
        <v>45935</v>
      </c>
      <c r="D609" s="12" t="s">
        <v>499</v>
      </c>
      <c r="E609" s="13">
        <v>45935</v>
      </c>
      <c r="F609" s="84">
        <v>256779417877</v>
      </c>
      <c r="G609" s="12" t="s">
        <v>56</v>
      </c>
      <c r="H609" s="14">
        <v>4400</v>
      </c>
      <c r="I609" s="12" t="s">
        <v>56</v>
      </c>
      <c r="J609" s="14">
        <v>4400</v>
      </c>
      <c r="K609" s="12" t="s">
        <v>852</v>
      </c>
    </row>
    <row r="610" spans="1:11" x14ac:dyDescent="0.35">
      <c r="A610" s="12" t="s">
        <v>495</v>
      </c>
      <c r="B610" s="15">
        <v>2025</v>
      </c>
      <c r="C610" s="13">
        <v>45966</v>
      </c>
      <c r="D610" s="12" t="s">
        <v>499</v>
      </c>
      <c r="E610" s="13">
        <v>45966</v>
      </c>
      <c r="F610" s="84">
        <v>256779418779</v>
      </c>
      <c r="G610" s="12" t="s">
        <v>56</v>
      </c>
      <c r="H610" s="14">
        <v>4400</v>
      </c>
      <c r="I610" s="12" t="s">
        <v>56</v>
      </c>
      <c r="J610" s="14">
        <v>4400</v>
      </c>
      <c r="K610" s="12" t="s">
        <v>853</v>
      </c>
    </row>
    <row r="611" spans="1:11" x14ac:dyDescent="0.35">
      <c r="A611" s="12" t="s">
        <v>495</v>
      </c>
      <c r="B611" s="15">
        <v>2025</v>
      </c>
      <c r="C611" s="13">
        <v>45995</v>
      </c>
      <c r="D611" s="12" t="s">
        <v>499</v>
      </c>
      <c r="E611" s="13">
        <v>45995</v>
      </c>
      <c r="F611" s="84">
        <v>256779419972</v>
      </c>
      <c r="G611" s="12" t="s">
        <v>56</v>
      </c>
      <c r="H611" s="14">
        <v>4400</v>
      </c>
      <c r="I611" s="12" t="s">
        <v>56</v>
      </c>
      <c r="J611" s="14">
        <v>4400</v>
      </c>
      <c r="K611" s="12" t="s">
        <v>854</v>
      </c>
    </row>
    <row r="612" spans="1:11" x14ac:dyDescent="0.35">
      <c r="A612" s="12" t="s">
        <v>495</v>
      </c>
      <c r="B612" s="15">
        <v>2025</v>
      </c>
      <c r="C612" s="13">
        <v>45787</v>
      </c>
      <c r="D612" s="12" t="s">
        <v>499</v>
      </c>
      <c r="E612" s="13">
        <v>45787</v>
      </c>
      <c r="F612" s="84">
        <v>256779413146</v>
      </c>
      <c r="G612" s="12" t="s">
        <v>56</v>
      </c>
      <c r="H612" s="14">
        <v>200000</v>
      </c>
      <c r="I612" s="12" t="s">
        <v>56</v>
      </c>
      <c r="J612" s="14">
        <v>200000</v>
      </c>
      <c r="K612" s="12" t="s">
        <v>847</v>
      </c>
    </row>
    <row r="613" spans="1:11" x14ac:dyDescent="0.35">
      <c r="A613" s="12" t="s">
        <v>495</v>
      </c>
      <c r="B613" s="15">
        <v>2025</v>
      </c>
      <c r="C613" s="13">
        <v>45818</v>
      </c>
      <c r="D613" s="12" t="s">
        <v>499</v>
      </c>
      <c r="E613" s="13">
        <v>45818</v>
      </c>
      <c r="F613" s="84">
        <v>256779414358</v>
      </c>
      <c r="G613" s="12" t="s">
        <v>56</v>
      </c>
      <c r="H613" s="14">
        <v>200000</v>
      </c>
      <c r="I613" s="12" t="s">
        <v>56</v>
      </c>
      <c r="J613" s="14">
        <v>200000</v>
      </c>
      <c r="K613" s="12" t="s">
        <v>848</v>
      </c>
    </row>
    <row r="614" spans="1:11" x14ac:dyDescent="0.35">
      <c r="A614" s="12" t="s">
        <v>495</v>
      </c>
      <c r="B614" s="15">
        <v>2025</v>
      </c>
      <c r="C614" s="13">
        <v>45842</v>
      </c>
      <c r="D614" s="12" t="s">
        <v>499</v>
      </c>
      <c r="E614" s="13">
        <v>45842</v>
      </c>
      <c r="F614" s="84">
        <v>256779414916</v>
      </c>
      <c r="G614" s="12" t="s">
        <v>56</v>
      </c>
      <c r="H614" s="14">
        <v>200000</v>
      </c>
      <c r="I614" s="12" t="s">
        <v>56</v>
      </c>
      <c r="J614" s="14">
        <v>200000</v>
      </c>
      <c r="K614" s="12" t="s">
        <v>849</v>
      </c>
    </row>
    <row r="615" spans="1:11" x14ac:dyDescent="0.35">
      <c r="A615" s="12" t="s">
        <v>495</v>
      </c>
      <c r="B615" s="15">
        <v>2025</v>
      </c>
      <c r="C615" s="13">
        <v>45870</v>
      </c>
      <c r="D615" s="12" t="s">
        <v>499</v>
      </c>
      <c r="E615" s="13">
        <v>45870</v>
      </c>
      <c r="F615" s="84">
        <v>256779416028</v>
      </c>
      <c r="G615" s="12" t="s">
        <v>56</v>
      </c>
      <c r="H615" s="14">
        <v>200000</v>
      </c>
      <c r="I615" s="12" t="s">
        <v>56</v>
      </c>
      <c r="J615" s="14">
        <v>200000</v>
      </c>
      <c r="K615" s="12" t="s">
        <v>850</v>
      </c>
    </row>
    <row r="616" spans="1:11" x14ac:dyDescent="0.35">
      <c r="A616" s="12" t="s">
        <v>495</v>
      </c>
      <c r="B616" s="15">
        <v>2025</v>
      </c>
      <c r="C616" s="13">
        <v>45904</v>
      </c>
      <c r="D616" s="12" t="s">
        <v>499</v>
      </c>
      <c r="E616" s="13">
        <v>45904</v>
      </c>
      <c r="F616" s="84">
        <v>256779417348</v>
      </c>
      <c r="G616" s="12" t="s">
        <v>56</v>
      </c>
      <c r="H616" s="14">
        <v>200000</v>
      </c>
      <c r="I616" s="12" t="s">
        <v>56</v>
      </c>
      <c r="J616" s="14">
        <v>200000</v>
      </c>
      <c r="K616" s="12" t="s">
        <v>851</v>
      </c>
    </row>
    <row r="617" spans="1:11" x14ac:dyDescent="0.35">
      <c r="A617" s="12" t="s">
        <v>495</v>
      </c>
      <c r="B617" s="15">
        <v>2025</v>
      </c>
      <c r="C617" s="13">
        <v>45935</v>
      </c>
      <c r="D617" s="12" t="s">
        <v>499</v>
      </c>
      <c r="E617" s="13">
        <v>45935</v>
      </c>
      <c r="F617" s="84">
        <v>256779417875</v>
      </c>
      <c r="G617" s="12" t="s">
        <v>56</v>
      </c>
      <c r="H617" s="14">
        <v>200000</v>
      </c>
      <c r="I617" s="12" t="s">
        <v>56</v>
      </c>
      <c r="J617" s="14">
        <v>200000</v>
      </c>
      <c r="K617" s="12" t="s">
        <v>852</v>
      </c>
    </row>
    <row r="618" spans="1:11" x14ac:dyDescent="0.35">
      <c r="A618" s="12" t="s">
        <v>495</v>
      </c>
      <c r="B618" s="15">
        <v>2025</v>
      </c>
      <c r="C618" s="13">
        <v>45966</v>
      </c>
      <c r="D618" s="12" t="s">
        <v>499</v>
      </c>
      <c r="E618" s="13">
        <v>45966</v>
      </c>
      <c r="F618" s="84">
        <v>256779418777</v>
      </c>
      <c r="G618" s="12" t="s">
        <v>56</v>
      </c>
      <c r="H618" s="14">
        <v>200000</v>
      </c>
      <c r="I618" s="12" t="s">
        <v>56</v>
      </c>
      <c r="J618" s="14">
        <v>200000</v>
      </c>
      <c r="K618" s="12" t="s">
        <v>853</v>
      </c>
    </row>
    <row r="619" spans="1:11" x14ac:dyDescent="0.35">
      <c r="A619" s="12" t="s">
        <v>495</v>
      </c>
      <c r="B619" s="15">
        <v>2025</v>
      </c>
      <c r="C619" s="13">
        <v>45995</v>
      </c>
      <c r="D619" s="12" t="s">
        <v>499</v>
      </c>
      <c r="E619" s="13">
        <v>45995</v>
      </c>
      <c r="F619" s="84">
        <v>256779419970</v>
      </c>
      <c r="G619" s="12" t="s">
        <v>56</v>
      </c>
      <c r="H619" s="14">
        <v>200000</v>
      </c>
      <c r="I619" s="12" t="s">
        <v>56</v>
      </c>
      <c r="J619" s="14">
        <v>200000</v>
      </c>
      <c r="K619" s="12" t="s">
        <v>854</v>
      </c>
    </row>
    <row r="620" spans="1:11" x14ac:dyDescent="0.35">
      <c r="A620" s="12" t="s">
        <v>495</v>
      </c>
      <c r="B620" s="15">
        <v>2025</v>
      </c>
      <c r="C620" s="13">
        <v>45848</v>
      </c>
      <c r="D620" s="12" t="s">
        <v>499</v>
      </c>
      <c r="E620" s="13">
        <v>45848</v>
      </c>
      <c r="F620" s="84">
        <v>256779415336</v>
      </c>
      <c r="G620" s="12" t="s">
        <v>11</v>
      </c>
      <c r="H620" s="14">
        <v>5</v>
      </c>
      <c r="I620" s="12" t="s">
        <v>56</v>
      </c>
      <c r="J620" s="14">
        <v>430</v>
      </c>
      <c r="K620" s="12" t="s">
        <v>791</v>
      </c>
    </row>
    <row r="621" spans="1:11" x14ac:dyDescent="0.35">
      <c r="A621" s="12" t="s">
        <v>495</v>
      </c>
      <c r="B621" s="15">
        <v>2025</v>
      </c>
      <c r="C621" s="13">
        <v>45848</v>
      </c>
      <c r="D621" s="12" t="s">
        <v>496</v>
      </c>
      <c r="E621" s="13">
        <v>45848</v>
      </c>
      <c r="F621" s="84">
        <v>256779421236</v>
      </c>
      <c r="G621" s="12" t="s">
        <v>11</v>
      </c>
      <c r="H621" s="14">
        <v>-118</v>
      </c>
      <c r="I621" s="12" t="s">
        <v>56</v>
      </c>
      <c r="J621" s="14">
        <v>-10148.08</v>
      </c>
      <c r="K621" s="12" t="s">
        <v>855</v>
      </c>
    </row>
    <row r="622" spans="1:11" x14ac:dyDescent="0.35">
      <c r="A622" s="12" t="s">
        <v>495</v>
      </c>
      <c r="B622" s="15">
        <v>2025</v>
      </c>
      <c r="C622" s="13">
        <v>45890</v>
      </c>
      <c r="D622" s="12" t="s">
        <v>496</v>
      </c>
      <c r="E622" s="13">
        <v>45890</v>
      </c>
      <c r="F622" s="84">
        <v>256779421697</v>
      </c>
      <c r="G622" s="12" t="s">
        <v>11</v>
      </c>
      <c r="H622" s="14">
        <v>-100</v>
      </c>
      <c r="I622" s="12" t="s">
        <v>56</v>
      </c>
      <c r="J622" s="14">
        <v>-8603.01</v>
      </c>
      <c r="K622" s="12" t="s">
        <v>856</v>
      </c>
    </row>
    <row r="623" spans="1:11" x14ac:dyDescent="0.35">
      <c r="A623" s="12" t="s">
        <v>495</v>
      </c>
      <c r="B623" s="15">
        <v>2025</v>
      </c>
      <c r="C623" s="13">
        <v>45762</v>
      </c>
      <c r="D623" s="12" t="s">
        <v>499</v>
      </c>
      <c r="E623" s="13">
        <v>45762</v>
      </c>
      <c r="F623" s="84">
        <v>256779411097</v>
      </c>
      <c r="G623" s="12" t="s">
        <v>11</v>
      </c>
      <c r="H623" s="14">
        <v>118</v>
      </c>
      <c r="I623" s="12" t="s">
        <v>56</v>
      </c>
      <c r="J623" s="14">
        <v>10256.77</v>
      </c>
      <c r="K623" s="12" t="s">
        <v>791</v>
      </c>
    </row>
    <row r="624" spans="1:11" x14ac:dyDescent="0.35">
      <c r="A624" s="12" t="s">
        <v>495</v>
      </c>
      <c r="B624" s="15">
        <v>2025</v>
      </c>
      <c r="C624" s="13">
        <v>45848</v>
      </c>
      <c r="D624" s="12" t="s">
        <v>499</v>
      </c>
      <c r="E624" s="13">
        <v>45848</v>
      </c>
      <c r="F624" s="84">
        <v>256779415303</v>
      </c>
      <c r="G624" s="12" t="s">
        <v>11</v>
      </c>
      <c r="H624" s="14">
        <v>100</v>
      </c>
      <c r="I624" s="12" t="s">
        <v>56</v>
      </c>
      <c r="J624" s="14">
        <v>8600.07</v>
      </c>
      <c r="K624" s="12" t="s">
        <v>791</v>
      </c>
    </row>
    <row r="625" spans="1:11" x14ac:dyDescent="0.35">
      <c r="A625" s="12" t="s">
        <v>495</v>
      </c>
      <c r="B625" s="15">
        <v>2025</v>
      </c>
      <c r="C625" s="13">
        <v>45890</v>
      </c>
      <c r="D625" s="12" t="s">
        <v>496</v>
      </c>
      <c r="E625" s="13">
        <v>45890</v>
      </c>
      <c r="F625" s="84">
        <v>256779421704</v>
      </c>
      <c r="G625" s="12" t="s">
        <v>11</v>
      </c>
      <c r="H625" s="14">
        <v>-8.48</v>
      </c>
      <c r="I625" s="12" t="s">
        <v>56</v>
      </c>
      <c r="J625" s="14">
        <v>-729.54</v>
      </c>
      <c r="K625" s="12" t="s">
        <v>857</v>
      </c>
    </row>
    <row r="626" spans="1:11" x14ac:dyDescent="0.35">
      <c r="A626" s="12" t="s">
        <v>495</v>
      </c>
      <c r="B626" s="15">
        <v>2025</v>
      </c>
      <c r="C626" s="13">
        <v>45720</v>
      </c>
      <c r="D626" s="12" t="s">
        <v>499</v>
      </c>
      <c r="E626" s="13">
        <v>45720</v>
      </c>
      <c r="F626" s="84">
        <v>246779410743</v>
      </c>
      <c r="G626" s="12" t="s">
        <v>11</v>
      </c>
      <c r="H626" s="14">
        <v>3</v>
      </c>
      <c r="I626" s="12" t="s">
        <v>56</v>
      </c>
      <c r="J626" s="14">
        <v>260.07</v>
      </c>
      <c r="K626" s="12" t="s">
        <v>858</v>
      </c>
    </row>
    <row r="627" spans="1:11" x14ac:dyDescent="0.35">
      <c r="A627" s="12" t="s">
        <v>495</v>
      </c>
      <c r="B627" s="15">
        <v>2025</v>
      </c>
      <c r="C627" s="13">
        <v>45720</v>
      </c>
      <c r="D627" s="12" t="s">
        <v>499</v>
      </c>
      <c r="E627" s="13">
        <v>45720</v>
      </c>
      <c r="F627" s="84">
        <v>246779410826</v>
      </c>
      <c r="G627" s="12" t="s">
        <v>11</v>
      </c>
      <c r="H627" s="14">
        <v>3</v>
      </c>
      <c r="I627" s="12" t="s">
        <v>56</v>
      </c>
      <c r="J627" s="14">
        <v>260.07</v>
      </c>
      <c r="K627" s="12" t="s">
        <v>859</v>
      </c>
    </row>
    <row r="628" spans="1:11" x14ac:dyDescent="0.35">
      <c r="A628" s="12" t="s">
        <v>495</v>
      </c>
      <c r="B628" s="15">
        <v>2025</v>
      </c>
      <c r="C628" s="13">
        <v>45720</v>
      </c>
      <c r="D628" s="12" t="s">
        <v>499</v>
      </c>
      <c r="E628" s="13">
        <v>45720</v>
      </c>
      <c r="F628" s="84">
        <v>246779410665</v>
      </c>
      <c r="G628" s="12" t="s">
        <v>11</v>
      </c>
      <c r="H628" s="14">
        <v>3.54</v>
      </c>
      <c r="I628" s="12" t="s">
        <v>56</v>
      </c>
      <c r="J628" s="14">
        <v>306.89</v>
      </c>
      <c r="K628" s="12" t="s">
        <v>717</v>
      </c>
    </row>
    <row r="629" spans="1:11" x14ac:dyDescent="0.35">
      <c r="A629" s="12" t="s">
        <v>495</v>
      </c>
      <c r="B629" s="15">
        <v>2025</v>
      </c>
      <c r="C629" s="13">
        <v>45751</v>
      </c>
      <c r="D629" s="12" t="s">
        <v>499</v>
      </c>
      <c r="E629" s="13">
        <v>45751</v>
      </c>
      <c r="F629" s="84">
        <v>256779410801</v>
      </c>
      <c r="G629" s="12" t="s">
        <v>11</v>
      </c>
      <c r="H629" s="14">
        <v>2829.48</v>
      </c>
      <c r="I629" s="12" t="s">
        <v>56</v>
      </c>
      <c r="J629" s="14">
        <v>245943.55</v>
      </c>
      <c r="K629" s="12" t="s">
        <v>860</v>
      </c>
    </row>
    <row r="630" spans="1:11" x14ac:dyDescent="0.35">
      <c r="A630" s="12" t="s">
        <v>495</v>
      </c>
      <c r="B630" s="15">
        <v>2025</v>
      </c>
      <c r="C630" s="13">
        <v>45751</v>
      </c>
      <c r="D630" s="12" t="s">
        <v>499</v>
      </c>
      <c r="E630" s="13">
        <v>45751</v>
      </c>
      <c r="F630" s="84">
        <v>256779410819</v>
      </c>
      <c r="G630" s="12" t="s">
        <v>11</v>
      </c>
      <c r="H630" s="14">
        <v>1913.97</v>
      </c>
      <c r="I630" s="12" t="s">
        <v>56</v>
      </c>
      <c r="J630" s="14">
        <v>166365.76000000001</v>
      </c>
      <c r="K630" s="12" t="s">
        <v>861</v>
      </c>
    </row>
    <row r="631" spans="1:11" x14ac:dyDescent="0.35">
      <c r="A631" s="12" t="s">
        <v>495</v>
      </c>
      <c r="B631" s="15">
        <v>2025</v>
      </c>
      <c r="C631" s="13">
        <v>45722</v>
      </c>
      <c r="D631" s="12" t="s">
        <v>499</v>
      </c>
      <c r="E631" s="13">
        <v>45722</v>
      </c>
      <c r="F631" s="84">
        <v>246779410882</v>
      </c>
      <c r="G631" s="12" t="s">
        <v>11</v>
      </c>
      <c r="H631" s="14">
        <v>2232.73</v>
      </c>
      <c r="I631" s="12" t="s">
        <v>56</v>
      </c>
      <c r="J631" s="14">
        <v>193558.18</v>
      </c>
      <c r="K631" s="12" t="s">
        <v>862</v>
      </c>
    </row>
    <row r="632" spans="1:11" x14ac:dyDescent="0.35">
      <c r="A632" s="12" t="s">
        <v>495</v>
      </c>
      <c r="B632" s="15">
        <v>2025</v>
      </c>
      <c r="C632" s="13">
        <v>45722</v>
      </c>
      <c r="D632" s="12" t="s">
        <v>499</v>
      </c>
      <c r="E632" s="13">
        <v>45722</v>
      </c>
      <c r="F632" s="84">
        <v>246779410904</v>
      </c>
      <c r="G632" s="12" t="s">
        <v>11</v>
      </c>
      <c r="H632" s="14">
        <v>1665.82</v>
      </c>
      <c r="I632" s="12" t="s">
        <v>56</v>
      </c>
      <c r="J632" s="14">
        <v>144412.03</v>
      </c>
      <c r="K632" s="12" t="s">
        <v>863</v>
      </c>
    </row>
    <row r="633" spans="1:11" x14ac:dyDescent="0.35">
      <c r="A633" s="12" t="s">
        <v>495</v>
      </c>
      <c r="B633" s="15">
        <v>2025</v>
      </c>
      <c r="C633" s="13">
        <v>45719</v>
      </c>
      <c r="D633" s="12" t="s">
        <v>499</v>
      </c>
      <c r="E633" s="13">
        <v>45719</v>
      </c>
      <c r="F633" s="84">
        <v>246779410436</v>
      </c>
      <c r="G633" s="12" t="s">
        <v>11</v>
      </c>
      <c r="H633" s="14">
        <v>1332.41</v>
      </c>
      <c r="I633" s="12" t="s">
        <v>56</v>
      </c>
      <c r="J633" s="14">
        <v>115508.3</v>
      </c>
      <c r="K633" s="12" t="s">
        <v>864</v>
      </c>
    </row>
    <row r="634" spans="1:11" x14ac:dyDescent="0.35">
      <c r="A634" s="12" t="s">
        <v>495</v>
      </c>
      <c r="B634" s="15">
        <v>2025</v>
      </c>
      <c r="C634" s="13">
        <v>45719</v>
      </c>
      <c r="D634" s="12" t="s">
        <v>499</v>
      </c>
      <c r="E634" s="13">
        <v>45719</v>
      </c>
      <c r="F634" s="84">
        <v>246779410389</v>
      </c>
      <c r="G634" s="12" t="s">
        <v>11</v>
      </c>
      <c r="H634" s="14">
        <v>542.08000000000004</v>
      </c>
      <c r="I634" s="12" t="s">
        <v>56</v>
      </c>
      <c r="J634" s="14">
        <v>46993.599999999999</v>
      </c>
      <c r="K634" s="12" t="s">
        <v>865</v>
      </c>
    </row>
    <row r="635" spans="1:11" x14ac:dyDescent="0.35">
      <c r="A635" s="12" t="s">
        <v>495</v>
      </c>
      <c r="B635" s="15">
        <v>2025</v>
      </c>
      <c r="C635" s="13">
        <v>45719</v>
      </c>
      <c r="D635" s="12" t="s">
        <v>499</v>
      </c>
      <c r="E635" s="13">
        <v>45719</v>
      </c>
      <c r="F635" s="84">
        <v>246779410413</v>
      </c>
      <c r="G635" s="12" t="s">
        <v>11</v>
      </c>
      <c r="H635" s="14">
        <v>694.12</v>
      </c>
      <c r="I635" s="12" t="s">
        <v>56</v>
      </c>
      <c r="J635" s="14">
        <v>60174.14</v>
      </c>
      <c r="K635" s="12" t="s">
        <v>866</v>
      </c>
    </row>
    <row r="636" spans="1:11" x14ac:dyDescent="0.35">
      <c r="A636" s="12" t="s">
        <v>495</v>
      </c>
      <c r="B636" s="15">
        <v>2025</v>
      </c>
      <c r="C636" s="13">
        <v>45719</v>
      </c>
      <c r="D636" s="12" t="s">
        <v>499</v>
      </c>
      <c r="E636" s="13">
        <v>45719</v>
      </c>
      <c r="F636" s="84">
        <v>246779410482</v>
      </c>
      <c r="G636" s="12" t="s">
        <v>11</v>
      </c>
      <c r="H636" s="14">
        <v>3.54</v>
      </c>
      <c r="I636" s="12" t="s">
        <v>56</v>
      </c>
      <c r="J636" s="14">
        <v>306.89</v>
      </c>
      <c r="K636" s="12" t="s">
        <v>839</v>
      </c>
    </row>
    <row r="637" spans="1:11" x14ac:dyDescent="0.35">
      <c r="A637" s="12" t="s">
        <v>495</v>
      </c>
      <c r="B637" s="15">
        <v>2025</v>
      </c>
      <c r="C637" s="13">
        <v>45719</v>
      </c>
      <c r="D637" s="12" t="s">
        <v>499</v>
      </c>
      <c r="E637" s="13">
        <v>45719</v>
      </c>
      <c r="F637" s="84">
        <v>246779410483</v>
      </c>
      <c r="G637" s="12" t="s">
        <v>11</v>
      </c>
      <c r="H637" s="14">
        <v>3.54</v>
      </c>
      <c r="I637" s="12" t="s">
        <v>56</v>
      </c>
      <c r="J637" s="14">
        <v>306.89</v>
      </c>
      <c r="K637" s="12" t="s">
        <v>839</v>
      </c>
    </row>
    <row r="638" spans="1:11" x14ac:dyDescent="0.35">
      <c r="A638" s="12" t="s">
        <v>495</v>
      </c>
      <c r="B638" s="15">
        <v>2025</v>
      </c>
      <c r="C638" s="13">
        <v>45733</v>
      </c>
      <c r="D638" s="12" t="s">
        <v>499</v>
      </c>
      <c r="E638" s="13">
        <v>45733</v>
      </c>
      <c r="F638" s="84">
        <v>246779411593</v>
      </c>
      <c r="G638" s="12" t="s">
        <v>11</v>
      </c>
      <c r="H638" s="14">
        <v>40.1</v>
      </c>
      <c r="I638" s="12" t="s">
        <v>56</v>
      </c>
      <c r="J638" s="14">
        <v>3476.32</v>
      </c>
      <c r="K638" s="12" t="s">
        <v>867</v>
      </c>
    </row>
    <row r="639" spans="1:11" x14ac:dyDescent="0.35">
      <c r="A639" s="12" t="s">
        <v>495</v>
      </c>
      <c r="B639" s="15">
        <v>2025</v>
      </c>
      <c r="C639" s="13">
        <v>45733</v>
      </c>
      <c r="D639" s="12" t="s">
        <v>499</v>
      </c>
      <c r="E639" s="13">
        <v>45733</v>
      </c>
      <c r="F639" s="84">
        <v>246779411594</v>
      </c>
      <c r="G639" s="12" t="s">
        <v>11</v>
      </c>
      <c r="H639" s="14">
        <v>17.190000000000001</v>
      </c>
      <c r="I639" s="12" t="s">
        <v>56</v>
      </c>
      <c r="J639" s="14">
        <v>1490.22</v>
      </c>
      <c r="K639" s="12" t="s">
        <v>867</v>
      </c>
    </row>
    <row r="640" spans="1:11" x14ac:dyDescent="0.35">
      <c r="A640" s="12" t="s">
        <v>495</v>
      </c>
      <c r="B640" s="15">
        <v>2025</v>
      </c>
      <c r="C640" s="13">
        <v>45733</v>
      </c>
      <c r="D640" s="12" t="s">
        <v>499</v>
      </c>
      <c r="E640" s="13">
        <v>45733</v>
      </c>
      <c r="F640" s="84">
        <v>246779411595</v>
      </c>
      <c r="G640" s="12" t="s">
        <v>11</v>
      </c>
      <c r="H640" s="14">
        <v>51.56</v>
      </c>
      <c r="I640" s="12" t="s">
        <v>56</v>
      </c>
      <c r="J640" s="14">
        <v>4469.8</v>
      </c>
      <c r="K640" s="12" t="s">
        <v>867</v>
      </c>
    </row>
    <row r="641" spans="1:11" x14ac:dyDescent="0.35">
      <c r="A641" s="12" t="s">
        <v>495</v>
      </c>
      <c r="B641" s="15">
        <v>2025</v>
      </c>
      <c r="C641" s="13">
        <v>45733</v>
      </c>
      <c r="D641" s="12" t="s">
        <v>499</v>
      </c>
      <c r="E641" s="13">
        <v>45733</v>
      </c>
      <c r="F641" s="84">
        <v>246779411596</v>
      </c>
      <c r="G641" s="12" t="s">
        <v>11</v>
      </c>
      <c r="H641" s="14">
        <v>74.47</v>
      </c>
      <c r="I641" s="12" t="s">
        <v>56</v>
      </c>
      <c r="J641" s="14">
        <v>6455.9</v>
      </c>
      <c r="K641" s="12" t="s">
        <v>867</v>
      </c>
    </row>
    <row r="642" spans="1:11" x14ac:dyDescent="0.35">
      <c r="A642" s="12" t="s">
        <v>495</v>
      </c>
      <c r="B642" s="15">
        <v>2025</v>
      </c>
      <c r="C642" s="13">
        <v>45733</v>
      </c>
      <c r="D642" s="12" t="s">
        <v>499</v>
      </c>
      <c r="E642" s="13">
        <v>45733</v>
      </c>
      <c r="F642" s="84">
        <v>246779411597</v>
      </c>
      <c r="G642" s="12" t="s">
        <v>11</v>
      </c>
      <c r="H642" s="14">
        <v>57.29</v>
      </c>
      <c r="I642" s="12" t="s">
        <v>56</v>
      </c>
      <c r="J642" s="14">
        <v>4966.54</v>
      </c>
      <c r="K642" s="12" t="s">
        <v>867</v>
      </c>
    </row>
    <row r="643" spans="1:11" x14ac:dyDescent="0.35">
      <c r="A643" s="12" t="s">
        <v>495</v>
      </c>
      <c r="B643" s="15">
        <v>2025</v>
      </c>
      <c r="C643" s="13">
        <v>45733</v>
      </c>
      <c r="D643" s="12" t="s">
        <v>499</v>
      </c>
      <c r="E643" s="13">
        <v>45733</v>
      </c>
      <c r="F643" s="84">
        <v>246779411598</v>
      </c>
      <c r="G643" s="12" t="s">
        <v>11</v>
      </c>
      <c r="H643" s="14">
        <v>91.66</v>
      </c>
      <c r="I643" s="12" t="s">
        <v>56</v>
      </c>
      <c r="J643" s="14">
        <v>7946.12</v>
      </c>
      <c r="K643" s="12" t="s">
        <v>867</v>
      </c>
    </row>
    <row r="644" spans="1:11" x14ac:dyDescent="0.35">
      <c r="A644" s="12" t="s">
        <v>495</v>
      </c>
      <c r="B644" s="15">
        <v>2025</v>
      </c>
      <c r="C644" s="13">
        <v>45733</v>
      </c>
      <c r="D644" s="12" t="s">
        <v>499</v>
      </c>
      <c r="E644" s="13">
        <v>45733</v>
      </c>
      <c r="F644" s="84">
        <v>246779411599</v>
      </c>
      <c r="G644" s="12" t="s">
        <v>11</v>
      </c>
      <c r="H644" s="14">
        <v>37.950000000000003</v>
      </c>
      <c r="I644" s="12" t="s">
        <v>56</v>
      </c>
      <c r="J644" s="14">
        <v>3289.93</v>
      </c>
      <c r="K644" s="12" t="s">
        <v>867</v>
      </c>
    </row>
    <row r="645" spans="1:11" x14ac:dyDescent="0.35">
      <c r="A645" s="12" t="s">
        <v>495</v>
      </c>
      <c r="B645" s="15">
        <v>2025</v>
      </c>
      <c r="C645" s="13">
        <v>45733</v>
      </c>
      <c r="D645" s="12" t="s">
        <v>499</v>
      </c>
      <c r="E645" s="13">
        <v>45733</v>
      </c>
      <c r="F645" s="84">
        <v>246779411600</v>
      </c>
      <c r="G645" s="12" t="s">
        <v>11</v>
      </c>
      <c r="H645" s="14">
        <v>2.6</v>
      </c>
      <c r="I645" s="12" t="s">
        <v>56</v>
      </c>
      <c r="J645" s="14">
        <v>225.4</v>
      </c>
      <c r="K645" s="12" t="s">
        <v>867</v>
      </c>
    </row>
    <row r="646" spans="1:11" x14ac:dyDescent="0.35">
      <c r="A646" s="12" t="s">
        <v>495</v>
      </c>
      <c r="B646" s="15">
        <v>2025</v>
      </c>
      <c r="C646" s="13">
        <v>45733</v>
      </c>
      <c r="D646" s="12" t="s">
        <v>499</v>
      </c>
      <c r="E646" s="13">
        <v>45733</v>
      </c>
      <c r="F646" s="84">
        <v>246779411601</v>
      </c>
      <c r="G646" s="12" t="s">
        <v>11</v>
      </c>
      <c r="H646" s="14">
        <v>23.39</v>
      </c>
      <c r="I646" s="12" t="s">
        <v>56</v>
      </c>
      <c r="J646" s="14">
        <v>2027.71</v>
      </c>
      <c r="K646" s="12" t="s">
        <v>867</v>
      </c>
    </row>
    <row r="647" spans="1:11" x14ac:dyDescent="0.35">
      <c r="A647" s="12" t="s">
        <v>495</v>
      </c>
      <c r="B647" s="15">
        <v>2025</v>
      </c>
      <c r="C647" s="13">
        <v>45733</v>
      </c>
      <c r="D647" s="12" t="s">
        <v>499</v>
      </c>
      <c r="E647" s="13">
        <v>45733</v>
      </c>
      <c r="F647" s="84">
        <v>246779411637</v>
      </c>
      <c r="G647" s="12" t="s">
        <v>11</v>
      </c>
      <c r="H647" s="14">
        <v>429.65</v>
      </c>
      <c r="I647" s="12" t="s">
        <v>56</v>
      </c>
      <c r="J647" s="14">
        <v>37246.9</v>
      </c>
      <c r="K647" s="12" t="s">
        <v>867</v>
      </c>
    </row>
    <row r="648" spans="1:11" x14ac:dyDescent="0.35">
      <c r="A648" s="12" t="s">
        <v>495</v>
      </c>
      <c r="B648" s="15">
        <v>2025</v>
      </c>
      <c r="C648" s="13">
        <v>45733</v>
      </c>
      <c r="D648" s="12" t="s">
        <v>499</v>
      </c>
      <c r="E648" s="13">
        <v>45733</v>
      </c>
      <c r="F648" s="84">
        <v>246779411717</v>
      </c>
      <c r="G648" s="12" t="s">
        <v>11</v>
      </c>
      <c r="H648" s="14">
        <v>45.67</v>
      </c>
      <c r="I648" s="12" t="s">
        <v>56</v>
      </c>
      <c r="J648" s="14">
        <v>3959.19</v>
      </c>
      <c r="K648" s="12" t="s">
        <v>818</v>
      </c>
    </row>
    <row r="649" spans="1:11" x14ac:dyDescent="0.35">
      <c r="A649" s="12" t="s">
        <v>495</v>
      </c>
      <c r="B649" s="15">
        <v>2025</v>
      </c>
      <c r="C649" s="13">
        <v>45733</v>
      </c>
      <c r="D649" s="12" t="s">
        <v>499</v>
      </c>
      <c r="E649" s="13">
        <v>45733</v>
      </c>
      <c r="F649" s="84">
        <v>246779411723</v>
      </c>
      <c r="G649" s="12" t="s">
        <v>11</v>
      </c>
      <c r="H649" s="14">
        <v>45.67</v>
      </c>
      <c r="I649" s="12" t="s">
        <v>56</v>
      </c>
      <c r="J649" s="14">
        <v>3959.19</v>
      </c>
      <c r="K649" s="12" t="s">
        <v>818</v>
      </c>
    </row>
    <row r="650" spans="1:11" x14ac:dyDescent="0.35">
      <c r="A650" s="12" t="s">
        <v>495</v>
      </c>
      <c r="B650" s="15">
        <v>2025</v>
      </c>
      <c r="C650" s="13">
        <v>45733</v>
      </c>
      <c r="D650" s="12" t="s">
        <v>499</v>
      </c>
      <c r="E650" s="13">
        <v>45733</v>
      </c>
      <c r="F650" s="84">
        <v>246779411724</v>
      </c>
      <c r="G650" s="12" t="s">
        <v>11</v>
      </c>
      <c r="H650" s="14">
        <v>68.5</v>
      </c>
      <c r="I650" s="12" t="s">
        <v>56</v>
      </c>
      <c r="J650" s="14">
        <v>5938.35</v>
      </c>
      <c r="K650" s="12" t="s">
        <v>818</v>
      </c>
    </row>
    <row r="651" spans="1:11" x14ac:dyDescent="0.35">
      <c r="A651" s="12" t="s">
        <v>495</v>
      </c>
      <c r="B651" s="15">
        <v>2025</v>
      </c>
      <c r="C651" s="13">
        <v>45733</v>
      </c>
      <c r="D651" s="12" t="s">
        <v>499</v>
      </c>
      <c r="E651" s="13">
        <v>45733</v>
      </c>
      <c r="F651" s="84">
        <v>246779411725</v>
      </c>
      <c r="G651" s="12" t="s">
        <v>11</v>
      </c>
      <c r="H651" s="14">
        <v>22.83</v>
      </c>
      <c r="I651" s="12" t="s">
        <v>56</v>
      </c>
      <c r="J651" s="14">
        <v>1979.16</v>
      </c>
      <c r="K651" s="12" t="s">
        <v>818</v>
      </c>
    </row>
    <row r="652" spans="1:11" x14ac:dyDescent="0.35">
      <c r="A652" s="12" t="s">
        <v>495</v>
      </c>
      <c r="B652" s="15">
        <v>2025</v>
      </c>
      <c r="C652" s="13">
        <v>45733</v>
      </c>
      <c r="D652" s="12" t="s">
        <v>499</v>
      </c>
      <c r="E652" s="13">
        <v>45733</v>
      </c>
      <c r="F652" s="84">
        <v>246779411726</v>
      </c>
      <c r="G652" s="12" t="s">
        <v>11</v>
      </c>
      <c r="H652" s="14">
        <v>28.54</v>
      </c>
      <c r="I652" s="12" t="s">
        <v>56</v>
      </c>
      <c r="J652" s="14">
        <v>2474.17</v>
      </c>
      <c r="K652" s="12" t="s">
        <v>818</v>
      </c>
    </row>
    <row r="653" spans="1:11" x14ac:dyDescent="0.35">
      <c r="A653" s="12" t="s">
        <v>495</v>
      </c>
      <c r="B653" s="15">
        <v>2025</v>
      </c>
      <c r="C653" s="13">
        <v>45733</v>
      </c>
      <c r="D653" s="12" t="s">
        <v>499</v>
      </c>
      <c r="E653" s="13">
        <v>45733</v>
      </c>
      <c r="F653" s="84">
        <v>246779411727</v>
      </c>
      <c r="G653" s="12" t="s">
        <v>11</v>
      </c>
      <c r="H653" s="14">
        <v>17.12</v>
      </c>
      <c r="I653" s="12" t="s">
        <v>56</v>
      </c>
      <c r="J653" s="14">
        <v>1484.15</v>
      </c>
      <c r="K653" s="12" t="s">
        <v>818</v>
      </c>
    </row>
    <row r="654" spans="1:11" x14ac:dyDescent="0.35">
      <c r="A654" s="12" t="s">
        <v>495</v>
      </c>
      <c r="B654" s="15">
        <v>2025</v>
      </c>
      <c r="C654" s="13">
        <v>45733</v>
      </c>
      <c r="D654" s="12" t="s">
        <v>499</v>
      </c>
      <c r="E654" s="13">
        <v>45733</v>
      </c>
      <c r="F654" s="84">
        <v>246779411728</v>
      </c>
      <c r="G654" s="12" t="s">
        <v>11</v>
      </c>
      <c r="H654" s="14">
        <v>11.42</v>
      </c>
      <c r="I654" s="12" t="s">
        <v>56</v>
      </c>
      <c r="J654" s="14">
        <v>990.01</v>
      </c>
      <c r="K654" s="12" t="s">
        <v>818</v>
      </c>
    </row>
    <row r="655" spans="1:11" x14ac:dyDescent="0.35">
      <c r="A655" s="12" t="s">
        <v>495</v>
      </c>
      <c r="B655" s="15">
        <v>2025</v>
      </c>
      <c r="C655" s="13">
        <v>45733</v>
      </c>
      <c r="D655" s="12" t="s">
        <v>499</v>
      </c>
      <c r="E655" s="13">
        <v>45733</v>
      </c>
      <c r="F655" s="84">
        <v>246779411729</v>
      </c>
      <c r="G655" s="12" t="s">
        <v>11</v>
      </c>
      <c r="H655" s="14">
        <v>34.25</v>
      </c>
      <c r="I655" s="12" t="s">
        <v>56</v>
      </c>
      <c r="J655" s="14">
        <v>2969.18</v>
      </c>
      <c r="K655" s="12" t="s">
        <v>818</v>
      </c>
    </row>
    <row r="656" spans="1:11" x14ac:dyDescent="0.35">
      <c r="A656" s="12" t="s">
        <v>495</v>
      </c>
      <c r="B656" s="15">
        <v>2025</v>
      </c>
      <c r="C656" s="13">
        <v>45733</v>
      </c>
      <c r="D656" s="12" t="s">
        <v>499</v>
      </c>
      <c r="E656" s="13">
        <v>45733</v>
      </c>
      <c r="F656" s="84">
        <v>246779411730</v>
      </c>
      <c r="G656" s="12" t="s">
        <v>11</v>
      </c>
      <c r="H656" s="14">
        <v>11.42</v>
      </c>
      <c r="I656" s="12" t="s">
        <v>56</v>
      </c>
      <c r="J656" s="14">
        <v>990.01</v>
      </c>
      <c r="K656" s="12" t="s">
        <v>818</v>
      </c>
    </row>
    <row r="657" spans="1:11" x14ac:dyDescent="0.35">
      <c r="A657" s="12" t="s">
        <v>495</v>
      </c>
      <c r="B657" s="15">
        <v>2025</v>
      </c>
      <c r="C657" s="13">
        <v>45733</v>
      </c>
      <c r="D657" s="12" t="s">
        <v>499</v>
      </c>
      <c r="E657" s="13">
        <v>45733</v>
      </c>
      <c r="F657" s="84">
        <v>246779411731</v>
      </c>
      <c r="G657" s="12" t="s">
        <v>11</v>
      </c>
      <c r="H657" s="14">
        <v>22.83</v>
      </c>
      <c r="I657" s="12" t="s">
        <v>56</v>
      </c>
      <c r="J657" s="14">
        <v>1979.16</v>
      </c>
      <c r="K657" s="12" t="s">
        <v>818</v>
      </c>
    </row>
    <row r="658" spans="1:11" x14ac:dyDescent="0.35">
      <c r="A658" s="12" t="s">
        <v>495</v>
      </c>
      <c r="B658" s="15">
        <v>2025</v>
      </c>
      <c r="C658" s="13">
        <v>45733</v>
      </c>
      <c r="D658" s="12" t="s">
        <v>499</v>
      </c>
      <c r="E658" s="13">
        <v>45733</v>
      </c>
      <c r="F658" s="84">
        <v>246779411732</v>
      </c>
      <c r="G658" s="12" t="s">
        <v>11</v>
      </c>
      <c r="H658" s="14">
        <v>28.54</v>
      </c>
      <c r="I658" s="12" t="s">
        <v>56</v>
      </c>
      <c r="J658" s="14">
        <v>2474.17</v>
      </c>
      <c r="K658" s="12" t="s">
        <v>818</v>
      </c>
    </row>
    <row r="659" spans="1:11" x14ac:dyDescent="0.35">
      <c r="A659" s="12" t="s">
        <v>495</v>
      </c>
      <c r="B659" s="15">
        <v>2025</v>
      </c>
      <c r="C659" s="13">
        <v>45733</v>
      </c>
      <c r="D659" s="12" t="s">
        <v>499</v>
      </c>
      <c r="E659" s="13">
        <v>45733</v>
      </c>
      <c r="F659" s="84">
        <v>246779411897</v>
      </c>
      <c r="G659" s="12" t="s">
        <v>11</v>
      </c>
      <c r="H659" s="14">
        <v>22.72</v>
      </c>
      <c r="I659" s="12" t="s">
        <v>56</v>
      </c>
      <c r="J659" s="14">
        <v>1969.63</v>
      </c>
      <c r="K659" s="12" t="s">
        <v>819</v>
      </c>
    </row>
    <row r="660" spans="1:11" x14ac:dyDescent="0.35">
      <c r="A660" s="12" t="s">
        <v>495</v>
      </c>
      <c r="B660" s="15">
        <v>2025</v>
      </c>
      <c r="C660" s="13">
        <v>45733</v>
      </c>
      <c r="D660" s="12" t="s">
        <v>499</v>
      </c>
      <c r="E660" s="13">
        <v>45733</v>
      </c>
      <c r="F660" s="84">
        <v>246779411898</v>
      </c>
      <c r="G660" s="12" t="s">
        <v>11</v>
      </c>
      <c r="H660" s="14">
        <v>7.1</v>
      </c>
      <c r="I660" s="12" t="s">
        <v>56</v>
      </c>
      <c r="J660" s="14">
        <v>615.51</v>
      </c>
      <c r="K660" s="12" t="s">
        <v>819</v>
      </c>
    </row>
    <row r="661" spans="1:11" x14ac:dyDescent="0.35">
      <c r="A661" s="12" t="s">
        <v>495</v>
      </c>
      <c r="B661" s="15">
        <v>2025</v>
      </c>
      <c r="C661" s="13">
        <v>45733</v>
      </c>
      <c r="D661" s="12" t="s">
        <v>499</v>
      </c>
      <c r="E661" s="13">
        <v>45733</v>
      </c>
      <c r="F661" s="84">
        <v>246779411899</v>
      </c>
      <c r="G661" s="12" t="s">
        <v>11</v>
      </c>
      <c r="H661" s="14">
        <v>62.49</v>
      </c>
      <c r="I661" s="12" t="s">
        <v>56</v>
      </c>
      <c r="J661" s="14">
        <v>5417.34</v>
      </c>
      <c r="K661" s="12" t="s">
        <v>819</v>
      </c>
    </row>
    <row r="662" spans="1:11" x14ac:dyDescent="0.35">
      <c r="A662" s="12" t="s">
        <v>495</v>
      </c>
      <c r="B662" s="15">
        <v>2025</v>
      </c>
      <c r="C662" s="13">
        <v>45733</v>
      </c>
      <c r="D662" s="12" t="s">
        <v>499</v>
      </c>
      <c r="E662" s="13">
        <v>45733</v>
      </c>
      <c r="F662" s="84">
        <v>246779411900</v>
      </c>
      <c r="G662" s="12" t="s">
        <v>11</v>
      </c>
      <c r="H662" s="14">
        <v>73.849999999999994</v>
      </c>
      <c r="I662" s="12" t="s">
        <v>56</v>
      </c>
      <c r="J662" s="14">
        <v>6402.15</v>
      </c>
      <c r="K662" s="12" t="s">
        <v>819</v>
      </c>
    </row>
    <row r="663" spans="1:11" x14ac:dyDescent="0.35">
      <c r="A663" s="12" t="s">
        <v>495</v>
      </c>
      <c r="B663" s="15">
        <v>2025</v>
      </c>
      <c r="C663" s="13">
        <v>45733</v>
      </c>
      <c r="D663" s="12" t="s">
        <v>499</v>
      </c>
      <c r="E663" s="13">
        <v>45733</v>
      </c>
      <c r="F663" s="84">
        <v>246779411901</v>
      </c>
      <c r="G663" s="12" t="s">
        <v>11</v>
      </c>
      <c r="H663" s="14">
        <v>12.78</v>
      </c>
      <c r="I663" s="12" t="s">
        <v>56</v>
      </c>
      <c r="J663" s="14">
        <v>1107.9100000000001</v>
      </c>
      <c r="K663" s="12" t="s">
        <v>819</v>
      </c>
    </row>
    <row r="664" spans="1:11" x14ac:dyDescent="0.35">
      <c r="A664" s="12" t="s">
        <v>495</v>
      </c>
      <c r="B664" s="15">
        <v>2025</v>
      </c>
      <c r="C664" s="13">
        <v>45733</v>
      </c>
      <c r="D664" s="12" t="s">
        <v>499</v>
      </c>
      <c r="E664" s="13">
        <v>45733</v>
      </c>
      <c r="F664" s="84">
        <v>246779411902</v>
      </c>
      <c r="G664" s="12" t="s">
        <v>11</v>
      </c>
      <c r="H664" s="14">
        <v>2.13</v>
      </c>
      <c r="I664" s="12" t="s">
        <v>56</v>
      </c>
      <c r="J664" s="14">
        <v>184.65</v>
      </c>
      <c r="K664" s="12" t="s">
        <v>819</v>
      </c>
    </row>
    <row r="665" spans="1:11" x14ac:dyDescent="0.35">
      <c r="A665" s="12" t="s">
        <v>495</v>
      </c>
      <c r="B665" s="15">
        <v>2025</v>
      </c>
      <c r="C665" s="13">
        <v>45733</v>
      </c>
      <c r="D665" s="12" t="s">
        <v>499</v>
      </c>
      <c r="E665" s="13">
        <v>45733</v>
      </c>
      <c r="F665" s="84">
        <v>246779411903</v>
      </c>
      <c r="G665" s="12" t="s">
        <v>11</v>
      </c>
      <c r="H665" s="14">
        <v>3.55</v>
      </c>
      <c r="I665" s="12" t="s">
        <v>56</v>
      </c>
      <c r="J665" s="14">
        <v>307.75</v>
      </c>
      <c r="K665" s="12" t="s">
        <v>819</v>
      </c>
    </row>
    <row r="666" spans="1:11" x14ac:dyDescent="0.35">
      <c r="A666" s="12" t="s">
        <v>495</v>
      </c>
      <c r="B666" s="15">
        <v>2025</v>
      </c>
      <c r="C666" s="13">
        <v>45733</v>
      </c>
      <c r="D666" s="12" t="s">
        <v>499</v>
      </c>
      <c r="E666" s="13">
        <v>45733</v>
      </c>
      <c r="F666" s="84">
        <v>246779411904</v>
      </c>
      <c r="G666" s="12" t="s">
        <v>11</v>
      </c>
      <c r="H666" s="14">
        <v>58.94</v>
      </c>
      <c r="I666" s="12" t="s">
        <v>56</v>
      </c>
      <c r="J666" s="14">
        <v>5109.58</v>
      </c>
      <c r="K666" s="12" t="s">
        <v>819</v>
      </c>
    </row>
    <row r="667" spans="1:11" x14ac:dyDescent="0.35">
      <c r="A667" s="12" t="s">
        <v>495</v>
      </c>
      <c r="B667" s="15">
        <v>2025</v>
      </c>
      <c r="C667" s="13">
        <v>45733</v>
      </c>
      <c r="D667" s="12" t="s">
        <v>499</v>
      </c>
      <c r="E667" s="13">
        <v>45733</v>
      </c>
      <c r="F667" s="84">
        <v>246779411905</v>
      </c>
      <c r="G667" s="12" t="s">
        <v>11</v>
      </c>
      <c r="H667" s="14">
        <v>7.1</v>
      </c>
      <c r="I667" s="12" t="s">
        <v>56</v>
      </c>
      <c r="J667" s="14">
        <v>615.51</v>
      </c>
      <c r="K667" s="12" t="s">
        <v>819</v>
      </c>
    </row>
    <row r="668" spans="1:11" x14ac:dyDescent="0.35">
      <c r="A668" s="12" t="s">
        <v>495</v>
      </c>
      <c r="B668" s="15">
        <v>2025</v>
      </c>
      <c r="C668" s="13">
        <v>45733</v>
      </c>
      <c r="D668" s="12" t="s">
        <v>499</v>
      </c>
      <c r="E668" s="13">
        <v>45733</v>
      </c>
      <c r="F668" s="84">
        <v>246779411906</v>
      </c>
      <c r="G668" s="12" t="s">
        <v>11</v>
      </c>
      <c r="H668" s="14">
        <v>34.090000000000003</v>
      </c>
      <c r="I668" s="12" t="s">
        <v>56</v>
      </c>
      <c r="J668" s="14">
        <v>2955.31</v>
      </c>
      <c r="K668" s="12" t="s">
        <v>819</v>
      </c>
    </row>
    <row r="669" spans="1:11" x14ac:dyDescent="0.35">
      <c r="A669" s="12" t="s">
        <v>495</v>
      </c>
      <c r="B669" s="15">
        <v>2025</v>
      </c>
      <c r="C669" s="13">
        <v>45733</v>
      </c>
      <c r="D669" s="12" t="s">
        <v>499</v>
      </c>
      <c r="E669" s="13">
        <v>45733</v>
      </c>
      <c r="F669" s="84">
        <v>246779411907</v>
      </c>
      <c r="G669" s="12" t="s">
        <v>11</v>
      </c>
      <c r="H669" s="14">
        <v>17.04</v>
      </c>
      <c r="I669" s="12" t="s">
        <v>56</v>
      </c>
      <c r="J669" s="14">
        <v>1477.22</v>
      </c>
      <c r="K669" s="12" t="s">
        <v>819</v>
      </c>
    </row>
    <row r="670" spans="1:11" x14ac:dyDescent="0.35">
      <c r="A670" s="12" t="s">
        <v>495</v>
      </c>
      <c r="B670" s="15">
        <v>2025</v>
      </c>
      <c r="C670" s="13">
        <v>45733</v>
      </c>
      <c r="D670" s="12" t="s">
        <v>499</v>
      </c>
      <c r="E670" s="13">
        <v>45733</v>
      </c>
      <c r="F670" s="84">
        <v>246779411908</v>
      </c>
      <c r="G670" s="12" t="s">
        <v>11</v>
      </c>
      <c r="H670" s="14">
        <v>28.41</v>
      </c>
      <c r="I670" s="12" t="s">
        <v>56</v>
      </c>
      <c r="J670" s="14">
        <v>2462.9</v>
      </c>
      <c r="K670" s="12" t="s">
        <v>819</v>
      </c>
    </row>
    <row r="671" spans="1:11" x14ac:dyDescent="0.35">
      <c r="A671" s="12" t="s">
        <v>495</v>
      </c>
      <c r="B671" s="15">
        <v>2025</v>
      </c>
      <c r="C671" s="13">
        <v>45733</v>
      </c>
      <c r="D671" s="12" t="s">
        <v>499</v>
      </c>
      <c r="E671" s="13">
        <v>45733</v>
      </c>
      <c r="F671" s="84">
        <v>246779411909</v>
      </c>
      <c r="G671" s="12" t="s">
        <v>11</v>
      </c>
      <c r="H671" s="14">
        <v>28.41</v>
      </c>
      <c r="I671" s="12" t="s">
        <v>56</v>
      </c>
      <c r="J671" s="14">
        <v>2462.9</v>
      </c>
      <c r="K671" s="12" t="s">
        <v>819</v>
      </c>
    </row>
    <row r="672" spans="1:11" x14ac:dyDescent="0.35">
      <c r="A672" s="12" t="s">
        <v>495</v>
      </c>
      <c r="B672" s="15">
        <v>2025</v>
      </c>
      <c r="C672" s="13">
        <v>45733</v>
      </c>
      <c r="D672" s="12" t="s">
        <v>499</v>
      </c>
      <c r="E672" s="13">
        <v>45733</v>
      </c>
      <c r="F672" s="84">
        <v>246779411910</v>
      </c>
      <c r="G672" s="12" t="s">
        <v>11</v>
      </c>
      <c r="H672" s="14">
        <v>28.41</v>
      </c>
      <c r="I672" s="12" t="s">
        <v>56</v>
      </c>
      <c r="J672" s="14">
        <v>2462.9</v>
      </c>
      <c r="K672" s="12" t="s">
        <v>819</v>
      </c>
    </row>
    <row r="673" spans="1:11" x14ac:dyDescent="0.35">
      <c r="A673" s="12" t="s">
        <v>495</v>
      </c>
      <c r="B673" s="15">
        <v>2025</v>
      </c>
      <c r="C673" s="13">
        <v>45733</v>
      </c>
      <c r="D673" s="12" t="s">
        <v>499</v>
      </c>
      <c r="E673" s="13">
        <v>45733</v>
      </c>
      <c r="F673" s="84">
        <v>246779411911</v>
      </c>
      <c r="G673" s="12" t="s">
        <v>11</v>
      </c>
      <c r="H673" s="14">
        <v>29.83</v>
      </c>
      <c r="I673" s="12" t="s">
        <v>56</v>
      </c>
      <c r="J673" s="14">
        <v>2586</v>
      </c>
      <c r="K673" s="12" t="s">
        <v>819</v>
      </c>
    </row>
    <row r="674" spans="1:11" x14ac:dyDescent="0.35">
      <c r="A674" s="12" t="s">
        <v>495</v>
      </c>
      <c r="B674" s="15">
        <v>2025</v>
      </c>
      <c r="C674" s="13">
        <v>45733</v>
      </c>
      <c r="D674" s="12" t="s">
        <v>499</v>
      </c>
      <c r="E674" s="13">
        <v>45733</v>
      </c>
      <c r="F674" s="84">
        <v>246779411912</v>
      </c>
      <c r="G674" s="12" t="s">
        <v>11</v>
      </c>
      <c r="H674" s="14">
        <v>11.36</v>
      </c>
      <c r="I674" s="12" t="s">
        <v>56</v>
      </c>
      <c r="J674" s="14">
        <v>984.81</v>
      </c>
      <c r="K674" s="12" t="s">
        <v>819</v>
      </c>
    </row>
    <row r="675" spans="1:11" x14ac:dyDescent="0.35">
      <c r="A675" s="12" t="s">
        <v>495</v>
      </c>
      <c r="B675" s="15">
        <v>2025</v>
      </c>
      <c r="C675" s="13">
        <v>45733</v>
      </c>
      <c r="D675" s="12" t="s">
        <v>499</v>
      </c>
      <c r="E675" s="13">
        <v>45733</v>
      </c>
      <c r="F675" s="84">
        <v>246779411913</v>
      </c>
      <c r="G675" s="12" t="s">
        <v>11</v>
      </c>
      <c r="H675" s="14">
        <v>28.41</v>
      </c>
      <c r="I675" s="12" t="s">
        <v>56</v>
      </c>
      <c r="J675" s="14">
        <v>2462.9</v>
      </c>
      <c r="K675" s="12" t="s">
        <v>819</v>
      </c>
    </row>
    <row r="676" spans="1:11" x14ac:dyDescent="0.35">
      <c r="A676" s="12" t="s">
        <v>495</v>
      </c>
      <c r="B676" s="15">
        <v>2025</v>
      </c>
      <c r="C676" s="13">
        <v>45733</v>
      </c>
      <c r="D676" s="12" t="s">
        <v>499</v>
      </c>
      <c r="E676" s="13">
        <v>45733</v>
      </c>
      <c r="F676" s="84">
        <v>246779411914</v>
      </c>
      <c r="G676" s="12" t="s">
        <v>11</v>
      </c>
      <c r="H676" s="14">
        <v>260</v>
      </c>
      <c r="I676" s="12" t="s">
        <v>56</v>
      </c>
      <c r="J676" s="14">
        <v>22539.73</v>
      </c>
      <c r="K676" s="12" t="s">
        <v>819</v>
      </c>
    </row>
    <row r="677" spans="1:11" x14ac:dyDescent="0.35">
      <c r="A677" s="12" t="s">
        <v>495</v>
      </c>
      <c r="B677" s="15">
        <v>2025</v>
      </c>
      <c r="C677" s="13">
        <v>45733</v>
      </c>
      <c r="D677" s="12" t="s">
        <v>499</v>
      </c>
      <c r="E677" s="13">
        <v>45733</v>
      </c>
      <c r="F677" s="84">
        <v>246779412028</v>
      </c>
      <c r="G677" s="12" t="s">
        <v>11</v>
      </c>
      <c r="H677" s="14">
        <v>28.03</v>
      </c>
      <c r="I677" s="12" t="s">
        <v>56</v>
      </c>
      <c r="J677" s="14">
        <v>2429.96</v>
      </c>
      <c r="K677" s="12" t="s">
        <v>820</v>
      </c>
    </row>
    <row r="678" spans="1:11" x14ac:dyDescent="0.35">
      <c r="A678" s="12" t="s">
        <v>495</v>
      </c>
      <c r="B678" s="15">
        <v>2025</v>
      </c>
      <c r="C678" s="13">
        <v>45733</v>
      </c>
      <c r="D678" s="12" t="s">
        <v>499</v>
      </c>
      <c r="E678" s="13">
        <v>45733</v>
      </c>
      <c r="F678" s="84">
        <v>246779412029</v>
      </c>
      <c r="G678" s="12" t="s">
        <v>11</v>
      </c>
      <c r="H678" s="14">
        <v>22.42</v>
      </c>
      <c r="I678" s="12" t="s">
        <v>56</v>
      </c>
      <c r="J678" s="14">
        <v>1943.62</v>
      </c>
      <c r="K678" s="12" t="s">
        <v>820</v>
      </c>
    </row>
    <row r="679" spans="1:11" x14ac:dyDescent="0.35">
      <c r="A679" s="12" t="s">
        <v>495</v>
      </c>
      <c r="B679" s="15">
        <v>2025</v>
      </c>
      <c r="C679" s="13">
        <v>45733</v>
      </c>
      <c r="D679" s="12" t="s">
        <v>499</v>
      </c>
      <c r="E679" s="13">
        <v>45733</v>
      </c>
      <c r="F679" s="84">
        <v>246779412030</v>
      </c>
      <c r="G679" s="12" t="s">
        <v>11</v>
      </c>
      <c r="H679" s="14">
        <v>16.82</v>
      </c>
      <c r="I679" s="12" t="s">
        <v>56</v>
      </c>
      <c r="J679" s="14">
        <v>1458.15</v>
      </c>
      <c r="K679" s="12" t="s">
        <v>820</v>
      </c>
    </row>
    <row r="680" spans="1:11" x14ac:dyDescent="0.35">
      <c r="A680" s="12" t="s">
        <v>495</v>
      </c>
      <c r="B680" s="15">
        <v>2025</v>
      </c>
      <c r="C680" s="13">
        <v>45733</v>
      </c>
      <c r="D680" s="12" t="s">
        <v>499</v>
      </c>
      <c r="E680" s="13">
        <v>45733</v>
      </c>
      <c r="F680" s="84">
        <v>246779412031</v>
      </c>
      <c r="G680" s="12" t="s">
        <v>11</v>
      </c>
      <c r="H680" s="14">
        <v>28.03</v>
      </c>
      <c r="I680" s="12" t="s">
        <v>56</v>
      </c>
      <c r="J680" s="14">
        <v>2429.96</v>
      </c>
      <c r="K680" s="12" t="s">
        <v>820</v>
      </c>
    </row>
    <row r="681" spans="1:11" x14ac:dyDescent="0.35">
      <c r="A681" s="12" t="s">
        <v>495</v>
      </c>
      <c r="B681" s="15">
        <v>2025</v>
      </c>
      <c r="C681" s="13">
        <v>45733</v>
      </c>
      <c r="D681" s="12" t="s">
        <v>499</v>
      </c>
      <c r="E681" s="13">
        <v>45733</v>
      </c>
      <c r="F681" s="84">
        <v>246779412032</v>
      </c>
      <c r="G681" s="12" t="s">
        <v>11</v>
      </c>
      <c r="H681" s="14">
        <v>33.64</v>
      </c>
      <c r="I681" s="12" t="s">
        <v>56</v>
      </c>
      <c r="J681" s="14">
        <v>2916.29</v>
      </c>
      <c r="K681" s="12" t="s">
        <v>820</v>
      </c>
    </row>
    <row r="682" spans="1:11" x14ac:dyDescent="0.35">
      <c r="A682" s="12" t="s">
        <v>495</v>
      </c>
      <c r="B682" s="15">
        <v>2025</v>
      </c>
      <c r="C682" s="13">
        <v>45733</v>
      </c>
      <c r="D682" s="12" t="s">
        <v>499</v>
      </c>
      <c r="E682" s="13">
        <v>45733</v>
      </c>
      <c r="F682" s="84">
        <v>246779412033</v>
      </c>
      <c r="G682" s="12" t="s">
        <v>11</v>
      </c>
      <c r="H682" s="14">
        <v>22.42</v>
      </c>
      <c r="I682" s="12" t="s">
        <v>56</v>
      </c>
      <c r="J682" s="14">
        <v>1943.62</v>
      </c>
      <c r="K682" s="12" t="s">
        <v>820</v>
      </c>
    </row>
    <row r="683" spans="1:11" x14ac:dyDescent="0.35">
      <c r="A683" s="12" t="s">
        <v>495</v>
      </c>
      <c r="B683" s="15">
        <v>2025</v>
      </c>
      <c r="C683" s="13">
        <v>45733</v>
      </c>
      <c r="D683" s="12" t="s">
        <v>499</v>
      </c>
      <c r="E683" s="13">
        <v>45733</v>
      </c>
      <c r="F683" s="84">
        <v>246779412034</v>
      </c>
      <c r="G683" s="12" t="s">
        <v>11</v>
      </c>
      <c r="H683" s="14">
        <v>33.64</v>
      </c>
      <c r="I683" s="12" t="s">
        <v>56</v>
      </c>
      <c r="J683" s="14">
        <v>2916.29</v>
      </c>
      <c r="K683" s="12" t="s">
        <v>820</v>
      </c>
    </row>
    <row r="684" spans="1:11" x14ac:dyDescent="0.35">
      <c r="A684" s="12" t="s">
        <v>495</v>
      </c>
      <c r="B684" s="15">
        <v>2025</v>
      </c>
      <c r="C684" s="13">
        <v>45733</v>
      </c>
      <c r="D684" s="12" t="s">
        <v>499</v>
      </c>
      <c r="E684" s="13">
        <v>45733</v>
      </c>
      <c r="F684" s="84">
        <v>246779412035</v>
      </c>
      <c r="G684" s="12" t="s">
        <v>11</v>
      </c>
      <c r="H684" s="14">
        <v>72.88</v>
      </c>
      <c r="I684" s="12" t="s">
        <v>56</v>
      </c>
      <c r="J684" s="14">
        <v>6318.06</v>
      </c>
      <c r="K684" s="12" t="s">
        <v>820</v>
      </c>
    </row>
    <row r="685" spans="1:11" x14ac:dyDescent="0.35">
      <c r="A685" s="12" t="s">
        <v>495</v>
      </c>
      <c r="B685" s="15">
        <v>2025</v>
      </c>
      <c r="C685" s="13">
        <v>45733</v>
      </c>
      <c r="D685" s="12" t="s">
        <v>499</v>
      </c>
      <c r="E685" s="13">
        <v>45733</v>
      </c>
      <c r="F685" s="84">
        <v>246779412036</v>
      </c>
      <c r="G685" s="12" t="s">
        <v>11</v>
      </c>
      <c r="H685" s="14">
        <v>28.03</v>
      </c>
      <c r="I685" s="12" t="s">
        <v>56</v>
      </c>
      <c r="J685" s="14">
        <v>2429.96</v>
      </c>
      <c r="K685" s="12" t="s">
        <v>820</v>
      </c>
    </row>
    <row r="686" spans="1:11" x14ac:dyDescent="0.35">
      <c r="A686" s="12" t="s">
        <v>495</v>
      </c>
      <c r="B686" s="15">
        <v>2025</v>
      </c>
      <c r="C686" s="13">
        <v>45733</v>
      </c>
      <c r="D686" s="12" t="s">
        <v>499</v>
      </c>
      <c r="E686" s="13">
        <v>45733</v>
      </c>
      <c r="F686" s="84">
        <v>246779412037</v>
      </c>
      <c r="G686" s="12" t="s">
        <v>11</v>
      </c>
      <c r="H686" s="14">
        <v>44.85</v>
      </c>
      <c r="I686" s="12" t="s">
        <v>56</v>
      </c>
      <c r="J686" s="14">
        <v>3888.1</v>
      </c>
      <c r="K686" s="12" t="s">
        <v>820</v>
      </c>
    </row>
    <row r="687" spans="1:11" x14ac:dyDescent="0.35">
      <c r="A687" s="12" t="s">
        <v>495</v>
      </c>
      <c r="B687" s="15">
        <v>2025</v>
      </c>
      <c r="C687" s="13">
        <v>45733</v>
      </c>
      <c r="D687" s="12" t="s">
        <v>499</v>
      </c>
      <c r="E687" s="13">
        <v>45733</v>
      </c>
      <c r="F687" s="84">
        <v>246779412038</v>
      </c>
      <c r="G687" s="12" t="s">
        <v>11</v>
      </c>
      <c r="H687" s="14">
        <v>33.64</v>
      </c>
      <c r="I687" s="12" t="s">
        <v>56</v>
      </c>
      <c r="J687" s="14">
        <v>2916.29</v>
      </c>
      <c r="K687" s="12" t="s">
        <v>820</v>
      </c>
    </row>
    <row r="688" spans="1:11" x14ac:dyDescent="0.35">
      <c r="A688" s="12" t="s">
        <v>495</v>
      </c>
      <c r="B688" s="15">
        <v>2025</v>
      </c>
      <c r="C688" s="13">
        <v>45733</v>
      </c>
      <c r="D688" s="12" t="s">
        <v>499</v>
      </c>
      <c r="E688" s="13">
        <v>45733</v>
      </c>
      <c r="F688" s="84">
        <v>246779412039</v>
      </c>
      <c r="G688" s="12" t="s">
        <v>11</v>
      </c>
      <c r="H688" s="14">
        <v>56.06</v>
      </c>
      <c r="I688" s="12" t="s">
        <v>56</v>
      </c>
      <c r="J688" s="14">
        <v>4859.91</v>
      </c>
      <c r="K688" s="12" t="s">
        <v>820</v>
      </c>
    </row>
    <row r="689" spans="1:11" x14ac:dyDescent="0.35">
      <c r="A689" s="12" t="s">
        <v>495</v>
      </c>
      <c r="B689" s="15">
        <v>2025</v>
      </c>
      <c r="C689" s="13">
        <v>45733</v>
      </c>
      <c r="D689" s="12" t="s">
        <v>499</v>
      </c>
      <c r="E689" s="13">
        <v>45733</v>
      </c>
      <c r="F689" s="84">
        <v>246779412040</v>
      </c>
      <c r="G689" s="12" t="s">
        <v>11</v>
      </c>
      <c r="H689" s="14">
        <v>16.82</v>
      </c>
      <c r="I689" s="12" t="s">
        <v>56</v>
      </c>
      <c r="J689" s="14">
        <v>1458.15</v>
      </c>
      <c r="K689" s="12" t="s">
        <v>820</v>
      </c>
    </row>
    <row r="690" spans="1:11" x14ac:dyDescent="0.35">
      <c r="A690" s="12" t="s">
        <v>495</v>
      </c>
      <c r="B690" s="15">
        <v>2025</v>
      </c>
      <c r="C690" s="13">
        <v>45733</v>
      </c>
      <c r="D690" s="12" t="s">
        <v>499</v>
      </c>
      <c r="E690" s="13">
        <v>45733</v>
      </c>
      <c r="F690" s="84">
        <v>246779412041</v>
      </c>
      <c r="G690" s="12" t="s">
        <v>11</v>
      </c>
      <c r="H690" s="14">
        <v>33.64</v>
      </c>
      <c r="I690" s="12" t="s">
        <v>56</v>
      </c>
      <c r="J690" s="14">
        <v>2916.29</v>
      </c>
      <c r="K690" s="12" t="s">
        <v>820</v>
      </c>
    </row>
    <row r="691" spans="1:11" x14ac:dyDescent="0.35">
      <c r="A691" s="12" t="s">
        <v>495</v>
      </c>
      <c r="B691" s="15">
        <v>2025</v>
      </c>
      <c r="C691" s="13">
        <v>45733</v>
      </c>
      <c r="D691" s="12" t="s">
        <v>499</v>
      </c>
      <c r="E691" s="13">
        <v>45733</v>
      </c>
      <c r="F691" s="84">
        <v>246779412042</v>
      </c>
      <c r="G691" s="12" t="s">
        <v>11</v>
      </c>
      <c r="H691" s="14">
        <v>16.82</v>
      </c>
      <c r="I691" s="12" t="s">
        <v>56</v>
      </c>
      <c r="J691" s="14">
        <v>1458.15</v>
      </c>
      <c r="K691" s="12" t="s">
        <v>820</v>
      </c>
    </row>
    <row r="692" spans="1:11" x14ac:dyDescent="0.35">
      <c r="A692" s="12" t="s">
        <v>495</v>
      </c>
      <c r="B692" s="15">
        <v>2025</v>
      </c>
      <c r="C692" s="13">
        <v>45733</v>
      </c>
      <c r="D692" s="12" t="s">
        <v>499</v>
      </c>
      <c r="E692" s="13">
        <v>45733</v>
      </c>
      <c r="F692" s="84">
        <v>246779412043</v>
      </c>
      <c r="G692" s="12" t="s">
        <v>11</v>
      </c>
      <c r="H692" s="14">
        <v>16.82</v>
      </c>
      <c r="I692" s="12" t="s">
        <v>56</v>
      </c>
      <c r="J692" s="14">
        <v>1458.15</v>
      </c>
      <c r="K692" s="12" t="s">
        <v>820</v>
      </c>
    </row>
    <row r="693" spans="1:11" x14ac:dyDescent="0.35">
      <c r="A693" s="12" t="s">
        <v>495</v>
      </c>
      <c r="B693" s="15">
        <v>2025</v>
      </c>
      <c r="C693" s="13">
        <v>45733</v>
      </c>
      <c r="D693" s="12" t="s">
        <v>499</v>
      </c>
      <c r="E693" s="13">
        <v>45733</v>
      </c>
      <c r="F693" s="84">
        <v>246779412045</v>
      </c>
      <c r="G693" s="12" t="s">
        <v>11</v>
      </c>
      <c r="H693" s="14">
        <v>230</v>
      </c>
      <c r="I693" s="12" t="s">
        <v>56</v>
      </c>
      <c r="J693" s="14">
        <v>19938.990000000002</v>
      </c>
      <c r="K693" s="12" t="s">
        <v>820</v>
      </c>
    </row>
    <row r="694" spans="1:11" x14ac:dyDescent="0.35">
      <c r="A694" s="12" t="s">
        <v>495</v>
      </c>
      <c r="B694" s="15">
        <v>2025</v>
      </c>
      <c r="C694" s="13">
        <v>45733</v>
      </c>
      <c r="D694" s="12" t="s">
        <v>499</v>
      </c>
      <c r="E694" s="13">
        <v>45733</v>
      </c>
      <c r="F694" s="84">
        <v>246779412047</v>
      </c>
      <c r="G694" s="12" t="s">
        <v>11</v>
      </c>
      <c r="H694" s="14">
        <v>28.03</v>
      </c>
      <c r="I694" s="12" t="s">
        <v>56</v>
      </c>
      <c r="J694" s="14">
        <v>2429.96</v>
      </c>
      <c r="K694" s="12" t="s">
        <v>820</v>
      </c>
    </row>
    <row r="695" spans="1:11" x14ac:dyDescent="0.35">
      <c r="A695" s="12" t="s">
        <v>495</v>
      </c>
      <c r="B695" s="15">
        <v>2025</v>
      </c>
      <c r="C695" s="13">
        <v>45733</v>
      </c>
      <c r="D695" s="12" t="s">
        <v>499</v>
      </c>
      <c r="E695" s="13">
        <v>45733</v>
      </c>
      <c r="F695" s="84">
        <v>246779412048</v>
      </c>
      <c r="G695" s="12" t="s">
        <v>11</v>
      </c>
      <c r="H695" s="14">
        <v>22.78</v>
      </c>
      <c r="I695" s="12" t="s">
        <v>56</v>
      </c>
      <c r="J695" s="14">
        <v>1974.83</v>
      </c>
      <c r="K695" s="12" t="s">
        <v>820</v>
      </c>
    </row>
    <row r="696" spans="1:11" x14ac:dyDescent="0.35">
      <c r="A696" s="12" t="s">
        <v>495</v>
      </c>
      <c r="B696" s="15">
        <v>2025</v>
      </c>
      <c r="C696" s="13">
        <v>45733</v>
      </c>
      <c r="D696" s="12" t="s">
        <v>499</v>
      </c>
      <c r="E696" s="13">
        <v>45733</v>
      </c>
      <c r="F696" s="84">
        <v>246779412111</v>
      </c>
      <c r="G696" s="12" t="s">
        <v>11</v>
      </c>
      <c r="H696" s="14">
        <v>420.46</v>
      </c>
      <c r="I696" s="12" t="s">
        <v>56</v>
      </c>
      <c r="J696" s="14">
        <v>36450.21</v>
      </c>
      <c r="K696" s="12" t="s">
        <v>820</v>
      </c>
    </row>
    <row r="697" spans="1:11" x14ac:dyDescent="0.35">
      <c r="A697" s="12" t="s">
        <v>495</v>
      </c>
      <c r="B697" s="15">
        <v>2025</v>
      </c>
      <c r="C697" s="13">
        <v>45733</v>
      </c>
      <c r="D697" s="12" t="s">
        <v>499</v>
      </c>
      <c r="E697" s="13">
        <v>45733</v>
      </c>
      <c r="F697" s="84">
        <v>246779411718</v>
      </c>
      <c r="G697" s="12" t="s">
        <v>11</v>
      </c>
      <c r="H697" s="14">
        <v>22.95</v>
      </c>
      <c r="I697" s="12" t="s">
        <v>56</v>
      </c>
      <c r="J697" s="14">
        <v>1989.56</v>
      </c>
      <c r="K697" s="12" t="s">
        <v>818</v>
      </c>
    </row>
    <row r="698" spans="1:11" x14ac:dyDescent="0.35">
      <c r="A698" s="12" t="s">
        <v>495</v>
      </c>
      <c r="B698" s="15">
        <v>2025</v>
      </c>
      <c r="C698" s="13">
        <v>45733</v>
      </c>
      <c r="D698" s="12" t="s">
        <v>499</v>
      </c>
      <c r="E698" s="13">
        <v>45733</v>
      </c>
      <c r="F698" s="84">
        <v>246779411719</v>
      </c>
      <c r="G698" s="12" t="s">
        <v>11</v>
      </c>
      <c r="H698" s="14">
        <v>28.54</v>
      </c>
      <c r="I698" s="12" t="s">
        <v>56</v>
      </c>
      <c r="J698" s="14">
        <v>2474.17</v>
      </c>
      <c r="K698" s="12" t="s">
        <v>818</v>
      </c>
    </row>
    <row r="699" spans="1:11" x14ac:dyDescent="0.35">
      <c r="A699" s="12" t="s">
        <v>495</v>
      </c>
      <c r="B699" s="15">
        <v>2025</v>
      </c>
      <c r="C699" s="13">
        <v>45733</v>
      </c>
      <c r="D699" s="12" t="s">
        <v>499</v>
      </c>
      <c r="E699" s="13">
        <v>45733</v>
      </c>
      <c r="F699" s="84">
        <v>246779411720</v>
      </c>
      <c r="G699" s="12" t="s">
        <v>11</v>
      </c>
      <c r="H699" s="14">
        <v>17.12</v>
      </c>
      <c r="I699" s="12" t="s">
        <v>56</v>
      </c>
      <c r="J699" s="14">
        <v>1484.15</v>
      </c>
      <c r="K699" s="12" t="s">
        <v>818</v>
      </c>
    </row>
    <row r="700" spans="1:11" x14ac:dyDescent="0.35">
      <c r="A700" s="12" t="s">
        <v>495</v>
      </c>
      <c r="B700" s="15">
        <v>2025</v>
      </c>
      <c r="C700" s="13">
        <v>45733</v>
      </c>
      <c r="D700" s="12" t="s">
        <v>499</v>
      </c>
      <c r="E700" s="13">
        <v>45733</v>
      </c>
      <c r="F700" s="84">
        <v>246779411721</v>
      </c>
      <c r="G700" s="12" t="s">
        <v>11</v>
      </c>
      <c r="H700" s="14">
        <v>525.63</v>
      </c>
      <c r="I700" s="12" t="s">
        <v>56</v>
      </c>
      <c r="J700" s="14">
        <v>45567.53</v>
      </c>
      <c r="K700" s="12" t="s">
        <v>818</v>
      </c>
    </row>
    <row r="701" spans="1:11" x14ac:dyDescent="0.35">
      <c r="A701" s="12" t="s">
        <v>495</v>
      </c>
      <c r="B701" s="15">
        <v>2025</v>
      </c>
      <c r="C701" s="13">
        <v>45733</v>
      </c>
      <c r="D701" s="12" t="s">
        <v>499</v>
      </c>
      <c r="E701" s="13">
        <v>45733</v>
      </c>
      <c r="F701" s="84">
        <v>246779411722</v>
      </c>
      <c r="G701" s="12" t="s">
        <v>11</v>
      </c>
      <c r="H701" s="14">
        <v>39.96</v>
      </c>
      <c r="I701" s="12" t="s">
        <v>56</v>
      </c>
      <c r="J701" s="14">
        <v>3464.18</v>
      </c>
      <c r="K701" s="12" t="s">
        <v>818</v>
      </c>
    </row>
    <row r="702" spans="1:11" x14ac:dyDescent="0.35">
      <c r="A702" s="12" t="s">
        <v>495</v>
      </c>
      <c r="B702" s="15">
        <v>2025</v>
      </c>
      <c r="C702" s="13">
        <v>45733</v>
      </c>
      <c r="D702" s="12" t="s">
        <v>499</v>
      </c>
      <c r="E702" s="13">
        <v>45733</v>
      </c>
      <c r="F702" s="84">
        <v>246779411733</v>
      </c>
      <c r="G702" s="12" t="s">
        <v>11</v>
      </c>
      <c r="H702" s="14">
        <v>17.12</v>
      </c>
      <c r="I702" s="12" t="s">
        <v>56</v>
      </c>
      <c r="J702" s="14">
        <v>1484.15</v>
      </c>
      <c r="K702" s="12" t="s">
        <v>818</v>
      </c>
    </row>
    <row r="703" spans="1:11" x14ac:dyDescent="0.35">
      <c r="A703" s="12" t="s">
        <v>495</v>
      </c>
      <c r="B703" s="15">
        <v>2025</v>
      </c>
      <c r="C703" s="13">
        <v>45733</v>
      </c>
      <c r="D703" s="12" t="s">
        <v>499</v>
      </c>
      <c r="E703" s="13">
        <v>45733</v>
      </c>
      <c r="F703" s="84">
        <v>246779411734</v>
      </c>
      <c r="G703" s="12" t="s">
        <v>11</v>
      </c>
      <c r="H703" s="14">
        <v>22.83</v>
      </c>
      <c r="I703" s="12" t="s">
        <v>56</v>
      </c>
      <c r="J703" s="14">
        <v>1979.16</v>
      </c>
      <c r="K703" s="12" t="s">
        <v>818</v>
      </c>
    </row>
    <row r="704" spans="1:11" x14ac:dyDescent="0.35">
      <c r="A704" s="12" t="s">
        <v>495</v>
      </c>
      <c r="B704" s="15">
        <v>2025</v>
      </c>
      <c r="C704" s="13">
        <v>45733</v>
      </c>
      <c r="D704" s="12" t="s">
        <v>499</v>
      </c>
      <c r="E704" s="13">
        <v>45733</v>
      </c>
      <c r="F704" s="84">
        <v>246779411735</v>
      </c>
      <c r="G704" s="12" t="s">
        <v>11</v>
      </c>
      <c r="H704" s="14">
        <v>479.25</v>
      </c>
      <c r="I704" s="12" t="s">
        <v>56</v>
      </c>
      <c r="J704" s="14">
        <v>41546.79</v>
      </c>
      <c r="K704" s="12" t="s">
        <v>818</v>
      </c>
    </row>
    <row r="705" spans="1:11" x14ac:dyDescent="0.35">
      <c r="A705" s="12" t="s">
        <v>495</v>
      </c>
      <c r="B705" s="15">
        <v>2025</v>
      </c>
      <c r="C705" s="13">
        <v>45733</v>
      </c>
      <c r="D705" s="12" t="s">
        <v>499</v>
      </c>
      <c r="E705" s="13">
        <v>45733</v>
      </c>
      <c r="F705" s="84">
        <v>246779411736</v>
      </c>
      <c r="G705" s="12" t="s">
        <v>11</v>
      </c>
      <c r="H705" s="14">
        <v>22.83</v>
      </c>
      <c r="I705" s="12" t="s">
        <v>56</v>
      </c>
      <c r="J705" s="14">
        <v>1979.16</v>
      </c>
      <c r="K705" s="12" t="s">
        <v>818</v>
      </c>
    </row>
    <row r="706" spans="1:11" x14ac:dyDescent="0.35">
      <c r="A706" s="12" t="s">
        <v>495</v>
      </c>
      <c r="B706" s="15">
        <v>2025</v>
      </c>
      <c r="C706" s="13">
        <v>45733</v>
      </c>
      <c r="D706" s="12" t="s">
        <v>499</v>
      </c>
      <c r="E706" s="13">
        <v>45733</v>
      </c>
      <c r="F706" s="84">
        <v>246779411737</v>
      </c>
      <c r="G706" s="12" t="s">
        <v>11</v>
      </c>
      <c r="H706" s="14">
        <v>28.54</v>
      </c>
      <c r="I706" s="12" t="s">
        <v>56</v>
      </c>
      <c r="J706" s="14">
        <v>2474.17</v>
      </c>
      <c r="K706" s="12" t="s">
        <v>818</v>
      </c>
    </row>
    <row r="707" spans="1:11" x14ac:dyDescent="0.35">
      <c r="A707" s="12" t="s">
        <v>495</v>
      </c>
      <c r="B707" s="15">
        <v>2025</v>
      </c>
      <c r="C707" s="13">
        <v>45733</v>
      </c>
      <c r="D707" s="12" t="s">
        <v>499</v>
      </c>
      <c r="E707" s="13">
        <v>45733</v>
      </c>
      <c r="F707" s="84">
        <v>246779411738</v>
      </c>
      <c r="G707" s="12" t="s">
        <v>11</v>
      </c>
      <c r="H707" s="14">
        <v>28.54</v>
      </c>
      <c r="I707" s="12" t="s">
        <v>56</v>
      </c>
      <c r="J707" s="14">
        <v>2474.17</v>
      </c>
      <c r="K707" s="12" t="s">
        <v>818</v>
      </c>
    </row>
  </sheetData>
  <autoFilter ref="A1:K707" xr:uid="{4B0C6DCA-AB70-4109-8F7D-082C10573B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801F-2013-4A77-9E5B-F4F876CADB0D}">
  <sheetPr>
    <tabColor theme="2" tint="-0.499984740745262"/>
  </sheetPr>
  <dimension ref="A1:F15"/>
  <sheetViews>
    <sheetView tabSelected="1" workbookViewId="0">
      <selection activeCell="B10" sqref="B10"/>
    </sheetView>
  </sheetViews>
  <sheetFormatPr defaultColWidth="8.81640625" defaultRowHeight="14.5" x14ac:dyDescent="0.35"/>
  <cols>
    <col min="1" max="1" width="53" style="65" bestFit="1" customWidth="1"/>
    <col min="2" max="2" width="16.54296875" style="65" bestFit="1" customWidth="1"/>
    <col min="3" max="3" width="8.81640625" style="65"/>
    <col min="4" max="5" width="13.90625" style="65" bestFit="1" customWidth="1"/>
    <col min="6" max="6" width="14.54296875" style="65" bestFit="1" customWidth="1"/>
    <col min="7" max="16384" width="8.81640625" style="65"/>
  </cols>
  <sheetData>
    <row r="1" spans="1:6" ht="15" thickBot="1" x14ac:dyDescent="0.4"/>
    <row r="2" spans="1:6" ht="15" thickBot="1" x14ac:dyDescent="0.4">
      <c r="A2" s="89" t="s">
        <v>884</v>
      </c>
      <c r="B2" s="90"/>
    </row>
    <row r="3" spans="1:6" ht="15" thickBot="1" x14ac:dyDescent="0.4">
      <c r="A3" s="68" t="s">
        <v>885</v>
      </c>
      <c r="B3" s="69" t="s">
        <v>879</v>
      </c>
    </row>
    <row r="4" spans="1:6" x14ac:dyDescent="0.35">
      <c r="A4" s="70" t="s">
        <v>888</v>
      </c>
      <c r="B4" s="80">
        <f>-'CUSTOMER DATA'!Y1</f>
        <v>-10371172.270000001</v>
      </c>
    </row>
    <row r="5" spans="1:6" ht="28.5" x14ac:dyDescent="0.35">
      <c r="A5" s="70" t="s">
        <v>895</v>
      </c>
      <c r="B5" s="80">
        <f>'CUSTOMER DATA'!X1</f>
        <v>0</v>
      </c>
    </row>
    <row r="6" spans="1:6" x14ac:dyDescent="0.35">
      <c r="A6" s="70" t="s">
        <v>898</v>
      </c>
      <c r="B6" s="80">
        <f>'Corrections to be done by custo'!AB1</f>
        <v>102752.19</v>
      </c>
    </row>
    <row r="7" spans="1:6" ht="28.5" x14ac:dyDescent="0.35">
      <c r="A7" s="70" t="s">
        <v>946</v>
      </c>
      <c r="B7" s="81">
        <v>-111936.53000000003</v>
      </c>
    </row>
    <row r="8" spans="1:6" ht="28.5" x14ac:dyDescent="0.35">
      <c r="A8" s="70" t="s">
        <v>945</v>
      </c>
      <c r="B8" s="81">
        <f>-63698.83-45403</f>
        <v>-109101.83</v>
      </c>
    </row>
    <row r="9" spans="1:6" x14ac:dyDescent="0.35">
      <c r="A9" s="70" t="s">
        <v>896</v>
      </c>
      <c r="B9" s="81">
        <f>'Invoices not in customer''s Book'!H20</f>
        <v>1181419.2100000002</v>
      </c>
      <c r="C9" s="65" t="s">
        <v>897</v>
      </c>
    </row>
    <row r="10" spans="1:6" x14ac:dyDescent="0.35">
      <c r="A10" s="70" t="s">
        <v>891</v>
      </c>
      <c r="B10" s="81">
        <f>('Payment Reco'!E21+'Payment Reco'!E22)</f>
        <v>1878132.81</v>
      </c>
      <c r="C10" s="65" t="s">
        <v>892</v>
      </c>
    </row>
    <row r="11" spans="1:6" x14ac:dyDescent="0.35">
      <c r="A11" s="70" t="s">
        <v>886</v>
      </c>
      <c r="B11" s="81">
        <f>SUM(B4:B10)</f>
        <v>-7429906.4199999999</v>
      </c>
    </row>
    <row r="12" spans="1:6" x14ac:dyDescent="0.35">
      <c r="A12" s="70" t="s">
        <v>889</v>
      </c>
      <c r="B12" s="81">
        <f>[1]Sheet1!$T$709</f>
        <v>6321328.75</v>
      </c>
    </row>
    <row r="13" spans="1:6" ht="15" thickBot="1" x14ac:dyDescent="0.4">
      <c r="A13" s="77"/>
      <c r="B13" s="82"/>
    </row>
    <row r="14" spans="1:6" ht="15" thickBot="1" x14ac:dyDescent="0.4">
      <c r="A14" s="78" t="s">
        <v>887</v>
      </c>
      <c r="B14" s="83">
        <f>B11-B12-B13</f>
        <v>-13751235.17</v>
      </c>
    </row>
    <row r="15" spans="1:6" x14ac:dyDescent="0.35">
      <c r="D15" s="66"/>
      <c r="E15" s="66"/>
      <c r="F15" s="67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61E4-E161-4AE9-8809-C1D074B8ACD2}">
  <dimension ref="A1:AB5"/>
  <sheetViews>
    <sheetView topLeftCell="N1" workbookViewId="0">
      <selection activeCell="AB1" sqref="AB1"/>
    </sheetView>
  </sheetViews>
  <sheetFormatPr defaultRowHeight="14.5" x14ac:dyDescent="0.35"/>
  <sheetData>
    <row r="1" spans="1:28" x14ac:dyDescent="0.35">
      <c r="AB1">
        <f>SUM(AB3:AB5)</f>
        <v>102752.19</v>
      </c>
    </row>
    <row r="2" spans="1:28" x14ac:dyDescent="0.35">
      <c r="A2" t="s">
        <v>899</v>
      </c>
      <c r="B2" t="s">
        <v>900</v>
      </c>
      <c r="C2" t="s">
        <v>434</v>
      </c>
      <c r="D2" t="s">
        <v>435</v>
      </c>
      <c r="E2" t="s">
        <v>436</v>
      </c>
      <c r="F2" t="s">
        <v>3</v>
      </c>
      <c r="G2" t="s">
        <v>437</v>
      </c>
      <c r="H2" t="s">
        <v>901</v>
      </c>
      <c r="I2" t="s">
        <v>0</v>
      </c>
      <c r="J2" t="s">
        <v>1</v>
      </c>
      <c r="K2" t="s">
        <v>2</v>
      </c>
      <c r="L2" t="s">
        <v>902</v>
      </c>
      <c r="M2" t="s">
        <v>903</v>
      </c>
      <c r="N2" t="s">
        <v>4</v>
      </c>
      <c r="O2" t="s">
        <v>904</v>
      </c>
      <c r="P2" t="s">
        <v>5</v>
      </c>
      <c r="Q2" t="s">
        <v>6</v>
      </c>
      <c r="R2" t="s">
        <v>7</v>
      </c>
      <c r="S2" t="s">
        <v>489</v>
      </c>
      <c r="T2" t="s">
        <v>905</v>
      </c>
      <c r="U2" t="s">
        <v>906</v>
      </c>
      <c r="X2" t="s">
        <v>907</v>
      </c>
      <c r="Y2" t="s">
        <v>908</v>
      </c>
      <c r="Z2" t="s">
        <v>893</v>
      </c>
      <c r="AA2" t="s">
        <v>909</v>
      </c>
      <c r="AB2" t="s">
        <v>887</v>
      </c>
    </row>
    <row r="3" spans="1:28" x14ac:dyDescent="0.35">
      <c r="A3" t="s">
        <v>910</v>
      </c>
      <c r="B3" t="s">
        <v>910</v>
      </c>
      <c r="C3" t="s">
        <v>438</v>
      </c>
      <c r="D3" s="4">
        <v>256779410262</v>
      </c>
      <c r="E3" s="3">
        <v>45750</v>
      </c>
      <c r="F3" t="s">
        <v>56</v>
      </c>
      <c r="G3" t="s">
        <v>911</v>
      </c>
      <c r="H3" t="s">
        <v>911</v>
      </c>
      <c r="I3">
        <v>-93.33</v>
      </c>
      <c r="J3" t="s">
        <v>88</v>
      </c>
      <c r="K3" s="3">
        <v>45780</v>
      </c>
      <c r="L3" s="3">
        <v>45939</v>
      </c>
      <c r="M3" t="s">
        <v>912</v>
      </c>
      <c r="N3" s="2">
        <v>45809</v>
      </c>
      <c r="O3">
        <v>51171858</v>
      </c>
      <c r="P3">
        <v>1</v>
      </c>
      <c r="Q3" s="3">
        <v>45820</v>
      </c>
      <c r="R3">
        <v>210</v>
      </c>
      <c r="S3" s="85">
        <v>1.55E+16</v>
      </c>
      <c r="T3" t="s">
        <v>913</v>
      </c>
      <c r="U3">
        <v>2</v>
      </c>
      <c r="W3" s="79">
        <v>-2.1429336762027216E-2</v>
      </c>
      <c r="X3">
        <v>2</v>
      </c>
      <c r="Y3" s="27">
        <v>-91.33</v>
      </c>
      <c r="Z3" t="s">
        <v>914</v>
      </c>
      <c r="AA3">
        <v>8112.41</v>
      </c>
      <c r="AB3">
        <v>8019.08</v>
      </c>
    </row>
    <row r="4" spans="1:28" x14ac:dyDescent="0.35">
      <c r="A4" t="s">
        <v>910</v>
      </c>
      <c r="B4" t="s">
        <v>910</v>
      </c>
      <c r="C4" t="s">
        <v>438</v>
      </c>
      <c r="D4" s="4">
        <v>256779410263</v>
      </c>
      <c r="E4" s="3">
        <v>45750</v>
      </c>
      <c r="F4" t="s">
        <v>56</v>
      </c>
      <c r="G4" t="s">
        <v>911</v>
      </c>
      <c r="H4" t="s">
        <v>911</v>
      </c>
      <c r="I4">
        <v>-51.33</v>
      </c>
      <c r="J4" t="s">
        <v>88</v>
      </c>
      <c r="K4" s="3">
        <v>45780</v>
      </c>
      <c r="L4" s="3">
        <v>45939</v>
      </c>
      <c r="M4" t="s">
        <v>912</v>
      </c>
      <c r="N4" s="2">
        <v>45809</v>
      </c>
      <c r="O4">
        <v>51171949</v>
      </c>
      <c r="P4">
        <v>1</v>
      </c>
      <c r="Q4" s="3">
        <v>45820</v>
      </c>
      <c r="R4">
        <v>210</v>
      </c>
      <c r="S4" s="85">
        <v>1.55E+16</v>
      </c>
      <c r="T4" t="s">
        <v>913</v>
      </c>
      <c r="U4">
        <v>2</v>
      </c>
      <c r="W4" s="79">
        <v>-3.8963569062926168E-2</v>
      </c>
      <c r="X4">
        <v>2</v>
      </c>
      <c r="Y4" s="27">
        <v>-49.33</v>
      </c>
      <c r="Z4" t="s">
        <v>914</v>
      </c>
      <c r="AA4">
        <v>4461.7</v>
      </c>
      <c r="AB4">
        <v>4410.37</v>
      </c>
    </row>
    <row r="5" spans="1:28" x14ac:dyDescent="0.35">
      <c r="A5" t="s">
        <v>910</v>
      </c>
      <c r="B5" t="s">
        <v>910</v>
      </c>
      <c r="C5" t="s">
        <v>438</v>
      </c>
      <c r="D5" s="4">
        <v>256779412012</v>
      </c>
      <c r="E5" s="3">
        <v>45763</v>
      </c>
      <c r="F5" t="s">
        <v>56</v>
      </c>
      <c r="G5" t="s">
        <v>911</v>
      </c>
      <c r="H5" t="s">
        <v>911</v>
      </c>
      <c r="I5" s="27">
        <v>-1051.22</v>
      </c>
      <c r="J5" t="s">
        <v>88</v>
      </c>
      <c r="K5" s="3">
        <v>45793</v>
      </c>
      <c r="L5" s="3">
        <v>45820</v>
      </c>
      <c r="M5" t="s">
        <v>912</v>
      </c>
      <c r="N5" s="2">
        <v>45809</v>
      </c>
      <c r="O5">
        <v>51171953</v>
      </c>
      <c r="P5">
        <v>1</v>
      </c>
      <c r="Q5" s="3">
        <v>45820</v>
      </c>
      <c r="R5">
        <v>210</v>
      </c>
      <c r="S5" s="85">
        <v>1.55E+16</v>
      </c>
      <c r="T5" t="s">
        <v>913</v>
      </c>
      <c r="U5">
        <v>22</v>
      </c>
      <c r="W5" s="79">
        <v>-2.0928064534540818E-2</v>
      </c>
      <c r="X5">
        <v>22</v>
      </c>
      <c r="Y5" s="27">
        <v>-1029.22</v>
      </c>
      <c r="Z5" t="s">
        <v>914</v>
      </c>
      <c r="AA5">
        <v>91373.96</v>
      </c>
      <c r="AB5">
        <v>90322.74</v>
      </c>
    </row>
  </sheetData>
  <conditionalFormatting sqref="D3:D5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E3AE-BE83-4556-8568-AC7EC55240B8}">
  <dimension ref="A1:L18"/>
  <sheetViews>
    <sheetView workbookViewId="0">
      <selection activeCell="F3" sqref="F3"/>
    </sheetView>
  </sheetViews>
  <sheetFormatPr defaultRowHeight="14.5" x14ac:dyDescent="0.35"/>
  <cols>
    <col min="1" max="1" width="6.1796875" bestFit="1" customWidth="1"/>
    <col min="2" max="2" width="10.08984375" bestFit="1" customWidth="1"/>
    <col min="3" max="3" width="10.81640625" bestFit="1" customWidth="1"/>
    <col min="4" max="4" width="12" bestFit="1" customWidth="1"/>
    <col min="5" max="5" width="16.90625" customWidth="1"/>
    <col min="6" max="6" width="12" bestFit="1" customWidth="1"/>
    <col min="7" max="7" width="5.36328125" bestFit="1" customWidth="1"/>
    <col min="8" max="8" width="14.08984375" bestFit="1" customWidth="1"/>
    <col min="9" max="9" width="10.453125" bestFit="1" customWidth="1"/>
    <col min="10" max="11" width="11.36328125" bestFit="1" customWidth="1"/>
    <col min="12" max="12" width="9.6328125" bestFit="1" customWidth="1"/>
  </cols>
  <sheetData>
    <row r="1" spans="1:12" x14ac:dyDescent="0.35">
      <c r="A1" s="93" t="s">
        <v>870</v>
      </c>
      <c r="B1" s="93"/>
      <c r="C1" s="93"/>
      <c r="D1" s="93"/>
      <c r="E1" s="93"/>
      <c r="F1" s="93"/>
      <c r="G1" s="93" t="s">
        <v>873</v>
      </c>
      <c r="H1" s="93"/>
      <c r="I1" s="93"/>
      <c r="J1" s="93"/>
      <c r="K1" s="93"/>
    </row>
    <row r="2" spans="1:12" s="34" customFormat="1" ht="29" x14ac:dyDescent="0.35">
      <c r="A2" s="35" t="s">
        <v>478</v>
      </c>
      <c r="B2" s="35" t="s">
        <v>436</v>
      </c>
      <c r="C2" s="35" t="s">
        <v>480</v>
      </c>
      <c r="D2" s="35" t="s">
        <v>481</v>
      </c>
      <c r="E2" s="35" t="s">
        <v>876</v>
      </c>
      <c r="F2" s="35" t="s">
        <v>871</v>
      </c>
      <c r="G2" s="36" t="s">
        <v>478</v>
      </c>
      <c r="H2" s="36" t="s">
        <v>487</v>
      </c>
      <c r="I2" s="36" t="s">
        <v>869</v>
      </c>
      <c r="J2" s="36" t="s">
        <v>481</v>
      </c>
      <c r="K2" s="36" t="s">
        <v>871</v>
      </c>
      <c r="L2" s="37" t="s">
        <v>872</v>
      </c>
    </row>
    <row r="3" spans="1:12" x14ac:dyDescent="0.35">
      <c r="A3" s="18">
        <v>2025</v>
      </c>
      <c r="B3" s="19" t="s">
        <v>441</v>
      </c>
      <c r="C3" s="19"/>
      <c r="D3" s="19">
        <v>-217492.44999999998</v>
      </c>
      <c r="E3" s="19"/>
      <c r="F3" s="19">
        <f>SUM(C3:E3)</f>
        <v>-217492.44999999998</v>
      </c>
      <c r="G3" s="16">
        <v>2025</v>
      </c>
      <c r="H3" s="17" t="s">
        <v>441</v>
      </c>
      <c r="I3" s="21"/>
      <c r="J3" s="21"/>
      <c r="K3" s="22">
        <f>SUM(I3:J3)</f>
        <v>0</v>
      </c>
      <c r="L3" s="24">
        <f>K3+F3</f>
        <v>-217492.44999999998</v>
      </c>
    </row>
    <row r="4" spans="1:12" x14ac:dyDescent="0.35">
      <c r="A4" s="18">
        <v>2025</v>
      </c>
      <c r="B4" s="19" t="s">
        <v>442</v>
      </c>
      <c r="C4" s="19"/>
      <c r="D4" s="19">
        <v>-1520432.8799999994</v>
      </c>
      <c r="E4" s="19"/>
      <c r="F4" s="19">
        <f t="shared" ref="F4:F16" si="0">SUM(C4:E4)</f>
        <v>-1520432.8799999994</v>
      </c>
      <c r="G4" s="16">
        <v>2025</v>
      </c>
      <c r="H4" s="17" t="s">
        <v>442</v>
      </c>
      <c r="I4" s="21"/>
      <c r="J4" s="21">
        <v>1514515.3300000003</v>
      </c>
      <c r="K4" s="22">
        <f t="shared" ref="K4:K16" si="1">SUM(I4:J4)</f>
        <v>1514515.3300000003</v>
      </c>
      <c r="L4" s="24">
        <f t="shared" ref="L4:L16" si="2">K4+F4</f>
        <v>-5917.5499999991152</v>
      </c>
    </row>
    <row r="5" spans="1:12" x14ac:dyDescent="0.35">
      <c r="A5" s="18">
        <v>2025</v>
      </c>
      <c r="B5" s="19" t="s">
        <v>443</v>
      </c>
      <c r="C5" s="19">
        <v>21719.38</v>
      </c>
      <c r="D5" s="19">
        <v>-1191118.0400000012</v>
      </c>
      <c r="E5" s="19"/>
      <c r="F5" s="19">
        <f t="shared" si="0"/>
        <v>-1169398.6600000013</v>
      </c>
      <c r="G5" s="16">
        <v>2025</v>
      </c>
      <c r="H5" s="17" t="s">
        <v>443</v>
      </c>
      <c r="I5" s="21"/>
      <c r="J5" s="21">
        <v>1933380.6299999983</v>
      </c>
      <c r="K5" s="22">
        <f t="shared" si="1"/>
        <v>1933380.6299999983</v>
      </c>
      <c r="L5" s="24">
        <f t="shared" si="2"/>
        <v>763981.96999999695</v>
      </c>
    </row>
    <row r="6" spans="1:12" x14ac:dyDescent="0.35">
      <c r="A6" s="18">
        <v>2025</v>
      </c>
      <c r="B6" s="19" t="s">
        <v>444</v>
      </c>
      <c r="C6" s="19"/>
      <c r="D6" s="19">
        <v>-2932698.4599999995</v>
      </c>
      <c r="E6" s="19"/>
      <c r="F6" s="19">
        <f t="shared" si="0"/>
        <v>-2932698.4599999995</v>
      </c>
      <c r="G6" s="16">
        <v>2025</v>
      </c>
      <c r="H6" s="17" t="s">
        <v>444</v>
      </c>
      <c r="I6" s="21"/>
      <c r="J6" s="21">
        <v>2087965.7099999997</v>
      </c>
      <c r="K6" s="22">
        <f t="shared" si="1"/>
        <v>2087965.7099999997</v>
      </c>
      <c r="L6" s="24">
        <f t="shared" si="2"/>
        <v>-844732.74999999977</v>
      </c>
    </row>
    <row r="7" spans="1:12" x14ac:dyDescent="0.35">
      <c r="A7" s="18">
        <v>2025</v>
      </c>
      <c r="B7" s="19" t="s">
        <v>445</v>
      </c>
      <c r="C7" s="19"/>
      <c r="D7" s="19">
        <v>-1341898.7200000002</v>
      </c>
      <c r="E7" s="19"/>
      <c r="F7" s="19">
        <f t="shared" si="0"/>
        <v>-1341898.7200000002</v>
      </c>
      <c r="G7" s="16">
        <v>2025</v>
      </c>
      <c r="H7" s="17" t="s">
        <v>445</v>
      </c>
      <c r="I7" s="21">
        <v>-595574.40999999992</v>
      </c>
      <c r="J7" s="21">
        <v>1044919.9400000001</v>
      </c>
      <c r="K7" s="22">
        <f t="shared" si="1"/>
        <v>449345.53000000014</v>
      </c>
      <c r="L7" s="24">
        <f t="shared" si="2"/>
        <v>-892553.19000000006</v>
      </c>
    </row>
    <row r="8" spans="1:12" x14ac:dyDescent="0.35">
      <c r="A8" s="18">
        <v>2025</v>
      </c>
      <c r="B8" s="19" t="s">
        <v>446</v>
      </c>
      <c r="C8" s="19"/>
      <c r="D8" s="19">
        <v>-796400.32000000007</v>
      </c>
      <c r="E8" s="19"/>
      <c r="F8" s="19">
        <f t="shared" si="0"/>
        <v>-796400.32000000007</v>
      </c>
      <c r="G8" s="16">
        <v>2025</v>
      </c>
      <c r="H8" s="17" t="s">
        <v>446</v>
      </c>
      <c r="I8" s="21"/>
      <c r="J8" s="21">
        <v>1761603.83</v>
      </c>
      <c r="K8" s="22">
        <f t="shared" si="1"/>
        <v>1761603.83</v>
      </c>
      <c r="L8" s="24">
        <f t="shared" si="2"/>
        <v>965203.51</v>
      </c>
    </row>
    <row r="9" spans="1:12" x14ac:dyDescent="0.35">
      <c r="A9" s="18">
        <v>2025</v>
      </c>
      <c r="B9" s="19" t="s">
        <v>447</v>
      </c>
      <c r="C9" s="19"/>
      <c r="D9" s="19">
        <v>-266105.72000000003</v>
      </c>
      <c r="E9" s="19"/>
      <c r="F9" s="19">
        <f t="shared" si="0"/>
        <v>-266105.72000000003</v>
      </c>
      <c r="G9" s="16">
        <v>2025</v>
      </c>
      <c r="H9" s="17" t="s">
        <v>447</v>
      </c>
      <c r="I9" s="21">
        <v>-1464659.3399999992</v>
      </c>
      <c r="J9" s="21">
        <v>2492881.4999999967</v>
      </c>
      <c r="K9" s="22">
        <f t="shared" si="1"/>
        <v>1028222.1599999976</v>
      </c>
      <c r="L9" s="24">
        <f t="shared" si="2"/>
        <v>762116.43999999762</v>
      </c>
    </row>
    <row r="10" spans="1:12" x14ac:dyDescent="0.35">
      <c r="A10" s="18">
        <v>2025</v>
      </c>
      <c r="B10" s="19" t="s">
        <v>448</v>
      </c>
      <c r="C10" s="19"/>
      <c r="D10" s="19">
        <v>-937708</v>
      </c>
      <c r="E10" s="19"/>
      <c r="F10" s="19">
        <f t="shared" si="0"/>
        <v>-937708</v>
      </c>
      <c r="G10" s="16">
        <v>2025</v>
      </c>
      <c r="H10" s="17" t="s">
        <v>448</v>
      </c>
      <c r="I10" s="21">
        <v>-170239.97000000003</v>
      </c>
      <c r="J10" s="21">
        <v>1305423.0200000003</v>
      </c>
      <c r="K10" s="22">
        <f t="shared" si="1"/>
        <v>1135183.0500000003</v>
      </c>
      <c r="L10" s="24">
        <f t="shared" si="2"/>
        <v>197475.05000000028</v>
      </c>
    </row>
    <row r="11" spans="1:12" x14ac:dyDescent="0.35">
      <c r="A11" s="18">
        <v>2025</v>
      </c>
      <c r="B11" s="19" t="s">
        <v>449</v>
      </c>
      <c r="C11" s="19">
        <v>16556.759999999998</v>
      </c>
      <c r="D11" s="19">
        <v>-673577.15000000014</v>
      </c>
      <c r="E11" s="19"/>
      <c r="F11" s="19">
        <f t="shared" si="0"/>
        <v>-657020.39000000013</v>
      </c>
      <c r="G11" s="16">
        <v>2025</v>
      </c>
      <c r="H11" s="17" t="s">
        <v>449</v>
      </c>
      <c r="I11" s="21"/>
      <c r="J11" s="21">
        <f>1564779.07+1238.22</f>
        <v>1566017.29</v>
      </c>
      <c r="K11" s="22">
        <f t="shared" si="1"/>
        <v>1566017.29</v>
      </c>
      <c r="L11" s="24">
        <f t="shared" si="2"/>
        <v>908996.89999999991</v>
      </c>
    </row>
    <row r="12" spans="1:12" x14ac:dyDescent="0.35">
      <c r="A12" s="18">
        <v>2025</v>
      </c>
      <c r="B12" s="19" t="s">
        <v>450</v>
      </c>
      <c r="C12" s="19"/>
      <c r="D12" s="19">
        <v>-1793002.89</v>
      </c>
      <c r="E12" s="19"/>
      <c r="F12" s="19">
        <f t="shared" si="0"/>
        <v>-1793002.89</v>
      </c>
      <c r="G12" s="16">
        <v>2025</v>
      </c>
      <c r="H12" s="17" t="s">
        <v>450</v>
      </c>
      <c r="I12" s="21">
        <v>-8361.3700000000008</v>
      </c>
      <c r="J12" s="21">
        <v>1113806.7000000002</v>
      </c>
      <c r="K12" s="22">
        <f t="shared" si="1"/>
        <v>1105445.33</v>
      </c>
      <c r="L12" s="24">
        <f t="shared" si="2"/>
        <v>-687557.55999999982</v>
      </c>
    </row>
    <row r="13" spans="1:12" x14ac:dyDescent="0.35">
      <c r="A13" s="18">
        <v>2025</v>
      </c>
      <c r="B13" s="19" t="s">
        <v>451</v>
      </c>
      <c r="C13" s="19"/>
      <c r="D13" s="19">
        <v>-80394.559999999998</v>
      </c>
      <c r="E13" s="19"/>
      <c r="F13" s="19">
        <f t="shared" si="0"/>
        <v>-80394.559999999998</v>
      </c>
      <c r="G13" s="16">
        <v>2025</v>
      </c>
      <c r="H13" s="17" t="s">
        <v>451</v>
      </c>
      <c r="I13" s="21">
        <v>-405590.02</v>
      </c>
      <c r="J13" s="21">
        <v>1574052.6999999997</v>
      </c>
      <c r="K13" s="22">
        <f t="shared" si="1"/>
        <v>1168462.6799999997</v>
      </c>
      <c r="L13" s="24">
        <f t="shared" si="2"/>
        <v>1088068.1199999996</v>
      </c>
    </row>
    <row r="14" spans="1:12" x14ac:dyDescent="0.35">
      <c r="A14" s="18">
        <v>2025</v>
      </c>
      <c r="B14" s="19" t="s">
        <v>476</v>
      </c>
      <c r="C14" s="19"/>
      <c r="D14" s="19"/>
      <c r="E14" s="19"/>
      <c r="F14" s="19">
        <f t="shared" si="0"/>
        <v>0</v>
      </c>
      <c r="G14" s="16">
        <v>2025</v>
      </c>
      <c r="H14" s="17" t="s">
        <v>476</v>
      </c>
      <c r="I14" s="21"/>
      <c r="J14" s="21">
        <v>282835.01</v>
      </c>
      <c r="K14" s="22">
        <f t="shared" si="1"/>
        <v>282835.01</v>
      </c>
      <c r="L14" s="24">
        <f t="shared" si="2"/>
        <v>282835.01</v>
      </c>
    </row>
    <row r="15" spans="1:12" x14ac:dyDescent="0.35">
      <c r="A15" s="18">
        <v>2026</v>
      </c>
      <c r="B15" s="19" t="s">
        <v>441</v>
      </c>
      <c r="C15" s="19"/>
      <c r="D15" s="19"/>
      <c r="E15" s="19">
        <v>-45403</v>
      </c>
      <c r="F15" s="19">
        <f t="shared" si="0"/>
        <v>-45403</v>
      </c>
      <c r="G15" s="16">
        <v>2026</v>
      </c>
      <c r="H15" s="17" t="s">
        <v>441</v>
      </c>
      <c r="I15" s="21">
        <v>-52265.329999999994</v>
      </c>
      <c r="J15" s="21">
        <v>831546.81000000017</v>
      </c>
      <c r="K15" s="22">
        <f t="shared" si="1"/>
        <v>779281.48000000021</v>
      </c>
      <c r="L15" s="24">
        <f t="shared" si="2"/>
        <v>733878.48000000021</v>
      </c>
    </row>
    <row r="16" spans="1:12" x14ac:dyDescent="0.35">
      <c r="A16" s="91" t="s">
        <v>482</v>
      </c>
      <c r="B16" s="91"/>
      <c r="C16" s="20">
        <f t="shared" ref="C16:E16" si="3">SUM(C3:C15)</f>
        <v>38276.14</v>
      </c>
      <c r="D16" s="20">
        <f t="shared" si="3"/>
        <v>-11750829.190000001</v>
      </c>
      <c r="E16" s="20">
        <f t="shared" si="3"/>
        <v>-45403</v>
      </c>
      <c r="F16" s="19">
        <f t="shared" si="0"/>
        <v>-11757956.050000001</v>
      </c>
      <c r="G16" s="92" t="s">
        <v>482</v>
      </c>
      <c r="H16" s="92"/>
      <c r="I16" s="23">
        <f>SUM(I3:I15)</f>
        <v>-2696690.4399999995</v>
      </c>
      <c r="J16" s="23">
        <f t="shared" ref="J16" si="4">SUM(J3:J15)</f>
        <v>17508948.469999995</v>
      </c>
      <c r="K16" s="23">
        <f t="shared" si="1"/>
        <v>14812258.029999996</v>
      </c>
      <c r="L16" s="24">
        <f t="shared" si="2"/>
        <v>3054301.9799999949</v>
      </c>
    </row>
    <row r="18" spans="4:4" x14ac:dyDescent="0.35">
      <c r="D18" s="38">
        <f>J16+D16</f>
        <v>5758119.2799999937</v>
      </c>
    </row>
  </sheetData>
  <mergeCells count="4">
    <mergeCell ref="A16:B16"/>
    <mergeCell ref="G16:H16"/>
    <mergeCell ref="A1:F1"/>
    <mergeCell ref="G1:K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4151-B5A9-4175-B0E5-25E7375A12C6}">
  <dimension ref="A1:L26"/>
  <sheetViews>
    <sheetView zoomScale="115" zoomScaleNormal="115" workbookViewId="0">
      <selection activeCell="B20" sqref="B20"/>
    </sheetView>
  </sheetViews>
  <sheetFormatPr defaultRowHeight="14.5" x14ac:dyDescent="0.35"/>
  <cols>
    <col min="1" max="1" width="10.90625" bestFit="1" customWidth="1"/>
    <col min="2" max="2" width="11.81640625" bestFit="1" customWidth="1"/>
    <col min="3" max="3" width="10.90625" bestFit="1" customWidth="1"/>
    <col min="4" max="4" width="12.54296875" bestFit="1" customWidth="1"/>
    <col min="5" max="5" width="12.1796875" bestFit="1" customWidth="1"/>
    <col min="6" max="6" width="29.36328125" style="75" bestFit="1" customWidth="1"/>
    <col min="7" max="7" width="10.453125" bestFit="1" customWidth="1"/>
    <col min="8" max="8" width="6.36328125" bestFit="1" customWidth="1"/>
    <col min="9" max="9" width="7.453125" bestFit="1" customWidth="1"/>
    <col min="10" max="10" width="14.81640625" bestFit="1" customWidth="1"/>
    <col min="11" max="11" width="14.54296875" bestFit="1" customWidth="1"/>
    <col min="12" max="12" width="10.6328125" bestFit="1" customWidth="1"/>
  </cols>
  <sheetData>
    <row r="1" spans="1:12" ht="15" thickBot="1" x14ac:dyDescent="0.4">
      <c r="A1" s="96" t="s">
        <v>880</v>
      </c>
      <c r="B1" s="97"/>
      <c r="C1" s="94" t="s">
        <v>873</v>
      </c>
      <c r="D1" s="95"/>
      <c r="E1" s="98" t="s">
        <v>879</v>
      </c>
      <c r="F1" s="71"/>
    </row>
    <row r="2" spans="1:12" ht="15" thickBot="1" x14ac:dyDescent="0.4">
      <c r="A2" s="47" t="s">
        <v>878</v>
      </c>
      <c r="B2" s="60" t="s">
        <v>879</v>
      </c>
      <c r="C2" s="59" t="s">
        <v>878</v>
      </c>
      <c r="D2" s="48" t="s">
        <v>879</v>
      </c>
      <c r="E2" s="99"/>
      <c r="F2" s="72"/>
      <c r="J2" s="49" t="s">
        <v>880</v>
      </c>
      <c r="K2" s="50" t="s">
        <v>873</v>
      </c>
    </row>
    <row r="3" spans="1:12" x14ac:dyDescent="0.35">
      <c r="A3" s="45">
        <v>45827</v>
      </c>
      <c r="B3" s="61">
        <v>1760137.77</v>
      </c>
      <c r="C3" s="46">
        <v>45940</v>
      </c>
      <c r="D3" s="51">
        <v>-1746430.23</v>
      </c>
      <c r="E3" s="55">
        <f t="shared" ref="E3:E22" si="0">B3+D3</f>
        <v>13707.540000000037</v>
      </c>
      <c r="F3" s="73" t="s">
        <v>881</v>
      </c>
      <c r="H3" s="18">
        <v>2025</v>
      </c>
      <c r="I3" s="19" t="s">
        <v>441</v>
      </c>
      <c r="J3" s="8"/>
      <c r="K3" s="8"/>
    </row>
    <row r="4" spans="1:12" x14ac:dyDescent="0.35">
      <c r="A4" s="39">
        <v>45859</v>
      </c>
      <c r="B4" s="62">
        <v>2396201.27</v>
      </c>
      <c r="C4" s="40">
        <v>45940</v>
      </c>
      <c r="D4" s="52">
        <v>-2385233.9500000002</v>
      </c>
      <c r="E4" s="56">
        <f t="shared" si="0"/>
        <v>10967.319999999832</v>
      </c>
      <c r="F4" s="73" t="s">
        <v>881</v>
      </c>
      <c r="H4" s="18">
        <v>2025</v>
      </c>
      <c r="I4" s="19" t="s">
        <v>442</v>
      </c>
      <c r="J4" s="8"/>
      <c r="K4" s="8"/>
    </row>
    <row r="5" spans="1:12" x14ac:dyDescent="0.35">
      <c r="A5" s="39">
        <v>45859</v>
      </c>
      <c r="B5" s="62">
        <v>2396201.27</v>
      </c>
      <c r="C5" s="40"/>
      <c r="D5" s="52"/>
      <c r="E5" s="56">
        <f t="shared" si="0"/>
        <v>2396201.27</v>
      </c>
      <c r="F5" s="73"/>
      <c r="H5" s="18">
        <v>2025</v>
      </c>
      <c r="I5" s="19" t="s">
        <v>445</v>
      </c>
      <c r="J5" s="8"/>
      <c r="K5" s="8"/>
    </row>
    <row r="6" spans="1:12" x14ac:dyDescent="0.35">
      <c r="A6" s="39">
        <v>45869</v>
      </c>
      <c r="B6" s="62">
        <v>-2396201.27</v>
      </c>
      <c r="C6" s="40"/>
      <c r="D6" s="52"/>
      <c r="E6" s="56">
        <f t="shared" si="0"/>
        <v>-2396201.27</v>
      </c>
      <c r="F6" s="73"/>
      <c r="H6" s="18">
        <v>2025</v>
      </c>
      <c r="I6" s="19" t="s">
        <v>882</v>
      </c>
      <c r="J6" s="8">
        <f>B3</f>
        <v>1760137.77</v>
      </c>
      <c r="K6" s="8"/>
    </row>
    <row r="7" spans="1:12" x14ac:dyDescent="0.35">
      <c r="A7" s="39">
        <v>45954</v>
      </c>
      <c r="B7" s="62">
        <v>1721315.82</v>
      </c>
      <c r="C7" s="40">
        <v>45958</v>
      </c>
      <c r="D7" s="52">
        <v>-1719090.91</v>
      </c>
      <c r="E7" s="56">
        <f t="shared" si="0"/>
        <v>2224.910000000149</v>
      </c>
      <c r="F7" s="73" t="s">
        <v>881</v>
      </c>
      <c r="H7" s="18">
        <v>2025</v>
      </c>
      <c r="I7" s="19" t="s">
        <v>883</v>
      </c>
      <c r="J7" s="8">
        <f>B4</f>
        <v>2396201.27</v>
      </c>
      <c r="K7" s="8"/>
    </row>
    <row r="8" spans="1:12" x14ac:dyDescent="0.35">
      <c r="A8" s="39"/>
      <c r="B8" s="62"/>
      <c r="C8" s="40">
        <v>45974</v>
      </c>
      <c r="D8" s="52">
        <v>396450.85</v>
      </c>
      <c r="E8" s="56">
        <f t="shared" si="0"/>
        <v>396450.85</v>
      </c>
      <c r="F8" s="73"/>
      <c r="H8" s="18">
        <v>2025</v>
      </c>
      <c r="I8" s="19" t="s">
        <v>448</v>
      </c>
      <c r="J8" s="8"/>
      <c r="K8" s="8"/>
    </row>
    <row r="9" spans="1:12" x14ac:dyDescent="0.35">
      <c r="A9" s="39"/>
      <c r="B9" s="62"/>
      <c r="C9" s="40">
        <v>45974</v>
      </c>
      <c r="D9" s="52">
        <v>262.20999999999998</v>
      </c>
      <c r="E9" s="56">
        <f t="shared" si="0"/>
        <v>262.20999999999998</v>
      </c>
      <c r="F9" s="73"/>
      <c r="H9" s="18">
        <v>2025</v>
      </c>
      <c r="I9" s="19" t="s">
        <v>449</v>
      </c>
      <c r="J9" s="8"/>
      <c r="K9" s="8"/>
    </row>
    <row r="10" spans="1:12" x14ac:dyDescent="0.35">
      <c r="A10" s="39"/>
      <c r="B10" s="62"/>
      <c r="C10" s="40">
        <v>45974</v>
      </c>
      <c r="D10" s="52">
        <v>-262.20999999999998</v>
      </c>
      <c r="E10" s="56">
        <f t="shared" si="0"/>
        <v>-262.20999999999998</v>
      </c>
      <c r="F10" s="73"/>
      <c r="H10" s="18">
        <v>2025</v>
      </c>
      <c r="I10" s="19" t="s">
        <v>450</v>
      </c>
      <c r="J10" s="8">
        <v>1721315.82</v>
      </c>
      <c r="K10" s="8">
        <v>-5850755.0899999999</v>
      </c>
    </row>
    <row r="11" spans="1:12" x14ac:dyDescent="0.35">
      <c r="A11" s="39"/>
      <c r="B11" s="62"/>
      <c r="C11" s="40">
        <v>45974</v>
      </c>
      <c r="D11" s="52">
        <v>478086.37</v>
      </c>
      <c r="E11" s="56">
        <f t="shared" si="0"/>
        <v>478086.37</v>
      </c>
      <c r="F11" s="73"/>
      <c r="H11" s="18">
        <v>2025</v>
      </c>
      <c r="I11" s="19" t="s">
        <v>451</v>
      </c>
      <c r="J11" s="8">
        <v>1899719.56</v>
      </c>
      <c r="K11" s="8">
        <v>-1920293.1</v>
      </c>
    </row>
    <row r="12" spans="1:12" x14ac:dyDescent="0.35">
      <c r="A12" s="39"/>
      <c r="B12" s="62"/>
      <c r="C12" s="40">
        <v>45974</v>
      </c>
      <c r="D12" s="52">
        <v>-338298.81</v>
      </c>
      <c r="E12" s="56">
        <f t="shared" si="0"/>
        <v>-338298.81</v>
      </c>
      <c r="F12" s="73"/>
      <c r="H12" s="18">
        <v>2025</v>
      </c>
      <c r="I12" s="19" t="s">
        <v>476</v>
      </c>
      <c r="J12" s="8">
        <v>715665.04</v>
      </c>
      <c r="K12" s="8"/>
      <c r="L12" s="38"/>
    </row>
    <row r="13" spans="1:12" x14ac:dyDescent="0.35">
      <c r="A13" s="39"/>
      <c r="B13" s="62"/>
      <c r="C13" s="40">
        <v>45974</v>
      </c>
      <c r="D13" s="52">
        <v>-536832.30000000005</v>
      </c>
      <c r="E13" s="56">
        <f t="shared" si="0"/>
        <v>-536832.30000000005</v>
      </c>
      <c r="F13" s="73"/>
      <c r="H13" s="18">
        <v>2026</v>
      </c>
      <c r="I13" s="19" t="s">
        <v>441</v>
      </c>
      <c r="J13" s="8">
        <v>1878132.81</v>
      </c>
      <c r="K13" s="8">
        <v>-719881.09</v>
      </c>
    </row>
    <row r="14" spans="1:12" x14ac:dyDescent="0.35">
      <c r="A14" s="39"/>
      <c r="B14" s="62"/>
      <c r="C14" s="40">
        <v>45974</v>
      </c>
      <c r="D14" s="52">
        <v>75771.03</v>
      </c>
      <c r="E14" s="56">
        <f t="shared" si="0"/>
        <v>75771.03</v>
      </c>
      <c r="F14" s="73"/>
      <c r="H14" s="91" t="s">
        <v>482</v>
      </c>
      <c r="I14" s="91"/>
      <c r="J14" s="9">
        <f>SUM(J3:J13)</f>
        <v>10371172.270000001</v>
      </c>
      <c r="K14" s="9">
        <f>SUM(K3:K13)</f>
        <v>-8490929.2799999993</v>
      </c>
      <c r="L14" s="38">
        <f>SUM(J14:K14)</f>
        <v>1880242.9900000021</v>
      </c>
    </row>
    <row r="15" spans="1:12" x14ac:dyDescent="0.35">
      <c r="A15" s="39"/>
      <c r="B15" s="62"/>
      <c r="C15" s="40">
        <v>45974</v>
      </c>
      <c r="D15" s="52">
        <v>-20130.78</v>
      </c>
      <c r="E15" s="56">
        <f t="shared" si="0"/>
        <v>-20130.78</v>
      </c>
      <c r="F15" s="73"/>
    </row>
    <row r="16" spans="1:12" x14ac:dyDescent="0.35">
      <c r="A16" s="39"/>
      <c r="B16" s="62"/>
      <c r="C16" s="40">
        <v>45974</v>
      </c>
      <c r="D16" s="52">
        <v>-746.27</v>
      </c>
      <c r="E16" s="56">
        <f t="shared" si="0"/>
        <v>-746.27</v>
      </c>
      <c r="F16" s="73"/>
    </row>
    <row r="17" spans="1:11" x14ac:dyDescent="0.35">
      <c r="A17" s="39"/>
      <c r="B17" s="62"/>
      <c r="C17" s="40">
        <v>45974</v>
      </c>
      <c r="D17" s="52">
        <v>-24772.95</v>
      </c>
      <c r="E17" s="56">
        <f t="shared" si="0"/>
        <v>-24772.95</v>
      </c>
      <c r="F17" s="73"/>
    </row>
    <row r="18" spans="1:11" x14ac:dyDescent="0.35">
      <c r="A18" s="39"/>
      <c r="B18" s="62"/>
      <c r="C18" s="40">
        <v>45974</v>
      </c>
      <c r="D18" s="52">
        <v>-31858.99</v>
      </c>
      <c r="E18" s="56">
        <f t="shared" si="0"/>
        <v>-31858.99</v>
      </c>
      <c r="F18" s="73"/>
      <c r="J18" s="3"/>
      <c r="K18" s="1"/>
    </row>
    <row r="19" spans="1:11" x14ac:dyDescent="0.35">
      <c r="A19" s="39">
        <v>45982</v>
      </c>
      <c r="B19" s="62">
        <v>1899719.56</v>
      </c>
      <c r="C19" s="40">
        <v>45987</v>
      </c>
      <c r="D19" s="52">
        <v>-1917961.25</v>
      </c>
      <c r="E19" s="56">
        <f t="shared" si="0"/>
        <v>-18241.689999999944</v>
      </c>
      <c r="F19" s="73" t="s">
        <v>881</v>
      </c>
      <c r="J19" s="3"/>
      <c r="K19" s="1"/>
    </row>
    <row r="20" spans="1:11" x14ac:dyDescent="0.35">
      <c r="A20" s="39">
        <v>46014</v>
      </c>
      <c r="B20" s="62">
        <v>715665.04</v>
      </c>
      <c r="C20" s="40">
        <v>46030</v>
      </c>
      <c r="D20" s="52">
        <v>-719881.09</v>
      </c>
      <c r="E20" s="56">
        <f t="shared" si="0"/>
        <v>-4216.0499999999302</v>
      </c>
      <c r="F20" s="73" t="s">
        <v>881</v>
      </c>
    </row>
    <row r="21" spans="1:11" x14ac:dyDescent="0.35">
      <c r="A21" s="41">
        <v>46052</v>
      </c>
      <c r="B21" s="63">
        <v>1869680.81</v>
      </c>
      <c r="C21" s="42"/>
      <c r="D21" s="53"/>
      <c r="E21" s="57">
        <f t="shared" si="0"/>
        <v>1869680.81</v>
      </c>
      <c r="F21" s="73" t="s">
        <v>890</v>
      </c>
    </row>
    <row r="22" spans="1:11" ht="15" thickBot="1" x14ac:dyDescent="0.4">
      <c r="A22" s="41">
        <v>46053</v>
      </c>
      <c r="B22" s="63">
        <v>8452</v>
      </c>
      <c r="C22" s="42"/>
      <c r="D22" s="53"/>
      <c r="E22" s="57">
        <f t="shared" si="0"/>
        <v>8452</v>
      </c>
      <c r="F22" s="73" t="s">
        <v>890</v>
      </c>
      <c r="J22" s="3"/>
      <c r="K22" s="1"/>
    </row>
    <row r="23" spans="1:11" ht="15" thickBot="1" x14ac:dyDescent="0.4">
      <c r="A23" s="43"/>
      <c r="B23" s="64">
        <f>SUM(B3:B22)</f>
        <v>10371172.270000001</v>
      </c>
      <c r="C23" s="44"/>
      <c r="D23" s="54">
        <f>SUM(D3:D21)</f>
        <v>-8490929.2799999993</v>
      </c>
      <c r="E23" s="58">
        <f>SUM(E3:E22)</f>
        <v>1880242.99</v>
      </c>
      <c r="F23" s="74"/>
      <c r="J23" s="3"/>
      <c r="K23" s="1"/>
    </row>
    <row r="24" spans="1:11" x14ac:dyDescent="0.35">
      <c r="A24" s="3"/>
      <c r="J24" s="3"/>
      <c r="K24" s="1"/>
    </row>
    <row r="25" spans="1:11" x14ac:dyDescent="0.35">
      <c r="J25" s="3"/>
      <c r="K25" s="1"/>
    </row>
    <row r="26" spans="1:11" x14ac:dyDescent="0.35">
      <c r="J26" s="3"/>
      <c r="K26" s="1"/>
    </row>
  </sheetData>
  <mergeCells count="4">
    <mergeCell ref="H14:I14"/>
    <mergeCell ref="C1:D1"/>
    <mergeCell ref="A1:B1"/>
    <mergeCell ref="E1:E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933E-DAC3-45BD-BE74-13CD9537AC4B}">
  <dimension ref="A3:G17"/>
  <sheetViews>
    <sheetView workbookViewId="0">
      <selection activeCell="C13" sqref="C13"/>
    </sheetView>
  </sheetViews>
  <sheetFormatPr defaultRowHeight="14.5" x14ac:dyDescent="0.35"/>
  <cols>
    <col min="1" max="1" width="16.36328125" bestFit="1" customWidth="1"/>
    <col min="2" max="2" width="15.1796875" bestFit="1" customWidth="1"/>
    <col min="3" max="3" width="11.453125" bestFit="1" customWidth="1"/>
    <col min="4" max="4" width="10.81640625" bestFit="1" customWidth="1"/>
    <col min="5" max="5" width="8.81640625" bestFit="1" customWidth="1"/>
    <col min="6" max="6" width="11.453125" bestFit="1" customWidth="1"/>
    <col min="7" max="7" width="6.453125" bestFit="1" customWidth="1"/>
    <col min="8" max="11" width="16.453125" bestFit="1" customWidth="1"/>
  </cols>
  <sheetData>
    <row r="3" spans="1:7" x14ac:dyDescent="0.35">
      <c r="A3" s="5" t="s">
        <v>452</v>
      </c>
      <c r="D3" s="5" t="s">
        <v>434</v>
      </c>
    </row>
    <row r="4" spans="1:7" x14ac:dyDescent="0.35">
      <c r="A4" s="5" t="s">
        <v>478</v>
      </c>
      <c r="B4" s="5" t="s">
        <v>479</v>
      </c>
      <c r="C4" s="5" t="s">
        <v>436</v>
      </c>
      <c r="D4" t="s">
        <v>453</v>
      </c>
      <c r="E4" t="s">
        <v>455</v>
      </c>
      <c r="F4" t="s">
        <v>438</v>
      </c>
      <c r="G4" t="s">
        <v>464</v>
      </c>
    </row>
    <row r="5" spans="1:7" x14ac:dyDescent="0.35">
      <c r="A5" t="s">
        <v>471</v>
      </c>
      <c r="B5" t="s">
        <v>472</v>
      </c>
      <c r="C5" s="3" t="s">
        <v>441</v>
      </c>
      <c r="D5" s="6"/>
      <c r="E5" s="6"/>
      <c r="F5" s="6">
        <v>-217492.44999999998</v>
      </c>
      <c r="G5" s="6"/>
    </row>
    <row r="6" spans="1:7" x14ac:dyDescent="0.35">
      <c r="C6" s="3" t="s">
        <v>442</v>
      </c>
      <c r="D6" s="6"/>
      <c r="E6" s="6"/>
      <c r="F6" s="6">
        <v>-1520432.8799999994</v>
      </c>
      <c r="G6" s="6"/>
    </row>
    <row r="7" spans="1:7" x14ac:dyDescent="0.35">
      <c r="C7" s="3" t="s">
        <v>443</v>
      </c>
      <c r="D7" s="6"/>
      <c r="E7" s="6">
        <v>21719.38</v>
      </c>
      <c r="F7" s="6">
        <v>-1191118.0400000012</v>
      </c>
      <c r="G7" s="6"/>
    </row>
    <row r="8" spans="1:7" x14ac:dyDescent="0.35">
      <c r="B8" t="s">
        <v>473</v>
      </c>
      <c r="C8" s="3" t="s">
        <v>444</v>
      </c>
      <c r="D8" s="6"/>
      <c r="E8" s="6"/>
      <c r="F8" s="6">
        <v>-2932698.4599999995</v>
      </c>
      <c r="G8" s="6"/>
    </row>
    <row r="9" spans="1:7" x14ac:dyDescent="0.35">
      <c r="C9" s="3" t="s">
        <v>445</v>
      </c>
      <c r="D9" s="6"/>
      <c r="E9" s="6"/>
      <c r="F9" s="6">
        <v>-1341898.7200000002</v>
      </c>
      <c r="G9" s="6"/>
    </row>
    <row r="10" spans="1:7" x14ac:dyDescent="0.35">
      <c r="C10" s="3" t="s">
        <v>446</v>
      </c>
      <c r="D10" s="6">
        <v>1760137.77</v>
      </c>
      <c r="E10" s="6"/>
      <c r="F10" s="6">
        <v>-796400.32000000007</v>
      </c>
      <c r="G10" s="6"/>
    </row>
    <row r="11" spans="1:7" x14ac:dyDescent="0.35">
      <c r="B11" t="s">
        <v>474</v>
      </c>
      <c r="C11" s="3" t="s">
        <v>447</v>
      </c>
      <c r="D11" s="6">
        <v>2396201.27</v>
      </c>
      <c r="E11" s="6"/>
      <c r="F11" s="6">
        <v>-266105.72000000003</v>
      </c>
      <c r="G11" s="6"/>
    </row>
    <row r="12" spans="1:7" x14ac:dyDescent="0.35">
      <c r="C12" s="3" t="s">
        <v>448</v>
      </c>
      <c r="D12" s="6"/>
      <c r="E12" s="6"/>
      <c r="F12" s="6">
        <v>-937708</v>
      </c>
      <c r="G12" s="6"/>
    </row>
    <row r="13" spans="1:7" x14ac:dyDescent="0.35">
      <c r="C13" s="3" t="s">
        <v>449</v>
      </c>
      <c r="D13" s="6"/>
      <c r="E13" s="6">
        <v>16556.759999999998</v>
      </c>
      <c r="F13" s="6">
        <v>-673577.15000000014</v>
      </c>
      <c r="G13" s="6"/>
    </row>
    <row r="14" spans="1:7" x14ac:dyDescent="0.35">
      <c r="B14" t="s">
        <v>475</v>
      </c>
      <c r="C14" s="3" t="s">
        <v>450</v>
      </c>
      <c r="D14" s="6">
        <v>1721315.82</v>
      </c>
      <c r="E14" s="6"/>
      <c r="F14" s="6">
        <v>-1793002.89</v>
      </c>
      <c r="G14" s="6"/>
    </row>
    <row r="15" spans="1:7" x14ac:dyDescent="0.35">
      <c r="C15" s="3" t="s">
        <v>451</v>
      </c>
      <c r="D15" s="6">
        <v>1899719.56</v>
      </c>
      <c r="E15" s="6"/>
      <c r="F15" s="6">
        <v>-80394.559999999998</v>
      </c>
      <c r="G15" s="6"/>
    </row>
    <row r="16" spans="1:7" x14ac:dyDescent="0.35">
      <c r="C16" s="3" t="s">
        <v>476</v>
      </c>
      <c r="D16" s="6">
        <v>715665.04</v>
      </c>
      <c r="E16" s="6"/>
      <c r="F16" s="6"/>
      <c r="G16" s="6"/>
    </row>
    <row r="17" spans="1:7" x14ac:dyDescent="0.35">
      <c r="A17" t="s">
        <v>477</v>
      </c>
      <c r="B17" t="s">
        <v>472</v>
      </c>
      <c r="C17" s="3" t="s">
        <v>441</v>
      </c>
      <c r="D17" s="6">
        <v>1878132.81</v>
      </c>
      <c r="E17" s="6"/>
      <c r="F17" s="6"/>
      <c r="G17" s="6">
        <v>-45403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6E1E-1B54-4235-AADA-962557EC6204}">
  <dimension ref="A1:N146"/>
  <sheetViews>
    <sheetView workbookViewId="0">
      <selection activeCell="A16" sqref="A16"/>
    </sheetView>
  </sheetViews>
  <sheetFormatPr defaultRowHeight="14.5" x14ac:dyDescent="0.35"/>
  <cols>
    <col min="1" max="1" width="23.81640625" bestFit="1" customWidth="1"/>
    <col min="2" max="2" width="9.453125" bestFit="1" customWidth="1"/>
    <col min="3" max="3" width="7.81640625" bestFit="1" customWidth="1"/>
    <col min="4" max="4" width="13.90625" bestFit="1" customWidth="1"/>
    <col min="5" max="5" width="11.81640625" bestFit="1" customWidth="1"/>
    <col min="6" max="6" width="8.1796875" bestFit="1" customWidth="1"/>
    <col min="7" max="7" width="10.1796875" bestFit="1" customWidth="1"/>
    <col min="8" max="8" width="11.453125" bestFit="1" customWidth="1"/>
    <col min="9" max="9" width="11.90625" bestFit="1" customWidth="1"/>
    <col min="10" max="10" width="45.81640625" bestFit="1" customWidth="1"/>
    <col min="11" max="11" width="13.6328125" bestFit="1" customWidth="1"/>
    <col min="12" max="12" width="13.08984375" bestFit="1" customWidth="1"/>
    <col min="13" max="13" width="9.1796875" bestFit="1" customWidth="1"/>
  </cols>
  <sheetData>
    <row r="1" spans="1:14" ht="58" x14ac:dyDescent="0.35">
      <c r="A1" s="10" t="s">
        <v>947</v>
      </c>
      <c r="B1" s="11" t="s">
        <v>486</v>
      </c>
      <c r="C1" s="10" t="s">
        <v>487</v>
      </c>
      <c r="D1" s="10" t="s">
        <v>489</v>
      </c>
      <c r="E1" s="11" t="s">
        <v>490</v>
      </c>
      <c r="F1" s="11" t="s">
        <v>491</v>
      </c>
      <c r="G1" s="11" t="s">
        <v>492</v>
      </c>
      <c r="H1" s="11" t="s">
        <v>493</v>
      </c>
      <c r="I1" s="10" t="s">
        <v>948</v>
      </c>
      <c r="J1" s="10" t="s">
        <v>949</v>
      </c>
      <c r="K1" s="10" t="s">
        <v>494</v>
      </c>
      <c r="L1" s="10" t="s">
        <v>950</v>
      </c>
      <c r="M1" s="25"/>
      <c r="N1" s="88" t="s">
        <v>995</v>
      </c>
    </row>
    <row r="2" spans="1:14" x14ac:dyDescent="0.35">
      <c r="A2" s="12" t="s">
        <v>974</v>
      </c>
      <c r="B2" s="12" t="s">
        <v>499</v>
      </c>
      <c r="C2" s="13">
        <v>45937</v>
      </c>
      <c r="D2" s="84">
        <v>256779418185</v>
      </c>
      <c r="E2" s="12" t="s">
        <v>11</v>
      </c>
      <c r="F2" s="14">
        <v>405.44</v>
      </c>
      <c r="G2" s="12" t="s">
        <v>56</v>
      </c>
      <c r="H2" s="14">
        <v>35756.07</v>
      </c>
      <c r="I2" s="12" t="s">
        <v>975</v>
      </c>
      <c r="J2" s="12" t="s">
        <v>953</v>
      </c>
      <c r="K2" s="12" t="s">
        <v>672</v>
      </c>
      <c r="L2" s="12" t="s">
        <v>497</v>
      </c>
      <c r="M2" s="28"/>
      <c r="N2" t="s">
        <v>993</v>
      </c>
    </row>
    <row r="3" spans="1:14" x14ac:dyDescent="0.35">
      <c r="A3" s="12" t="s">
        <v>976</v>
      </c>
      <c r="B3" s="12" t="s">
        <v>499</v>
      </c>
      <c r="C3" s="13">
        <v>45815</v>
      </c>
      <c r="D3" s="84">
        <v>256779414253</v>
      </c>
      <c r="E3" s="12" t="s">
        <v>11</v>
      </c>
      <c r="F3" s="14">
        <v>9947.26</v>
      </c>
      <c r="G3" s="12" t="s">
        <v>56</v>
      </c>
      <c r="H3" s="14">
        <v>850399.02</v>
      </c>
      <c r="I3" s="12" t="s">
        <v>952</v>
      </c>
      <c r="J3" s="12" t="s">
        <v>953</v>
      </c>
      <c r="K3" s="12" t="s">
        <v>681</v>
      </c>
      <c r="L3" s="12" t="s">
        <v>497</v>
      </c>
      <c r="M3" s="28"/>
      <c r="N3" t="s">
        <v>993</v>
      </c>
    </row>
    <row r="4" spans="1:14" x14ac:dyDescent="0.35">
      <c r="A4" s="12" t="s">
        <v>977</v>
      </c>
      <c r="B4" s="12" t="s">
        <v>499</v>
      </c>
      <c r="C4" s="13">
        <v>46027</v>
      </c>
      <c r="D4" s="84">
        <v>256779440078</v>
      </c>
      <c r="E4" s="12" t="s">
        <v>11</v>
      </c>
      <c r="F4" s="14">
        <v>78.75</v>
      </c>
      <c r="G4" s="12" t="s">
        <v>56</v>
      </c>
      <c r="H4" s="14">
        <v>7146.02</v>
      </c>
      <c r="I4" s="12" t="s">
        <v>952</v>
      </c>
      <c r="J4" s="12" t="s">
        <v>953</v>
      </c>
      <c r="K4" s="12" t="s">
        <v>695</v>
      </c>
      <c r="L4" s="12" t="s">
        <v>497</v>
      </c>
      <c r="M4" s="28"/>
      <c r="N4" t="s">
        <v>994</v>
      </c>
    </row>
    <row r="5" spans="1:14" x14ac:dyDescent="0.35">
      <c r="A5" s="12" t="s">
        <v>978</v>
      </c>
      <c r="B5" s="12" t="s">
        <v>499</v>
      </c>
      <c r="C5" s="13">
        <v>46043</v>
      </c>
      <c r="D5" s="84">
        <v>256779440381</v>
      </c>
      <c r="E5" s="12" t="s">
        <v>11</v>
      </c>
      <c r="F5" s="14">
        <v>6.79</v>
      </c>
      <c r="G5" s="12" t="s">
        <v>56</v>
      </c>
      <c r="H5" s="14">
        <v>616.15</v>
      </c>
      <c r="I5" s="12" t="s">
        <v>952</v>
      </c>
      <c r="J5" s="12" t="s">
        <v>953</v>
      </c>
      <c r="K5" s="12" t="s">
        <v>707</v>
      </c>
      <c r="L5" s="12" t="s">
        <v>497</v>
      </c>
      <c r="M5" s="28"/>
      <c r="N5" t="s">
        <v>994</v>
      </c>
    </row>
    <row r="6" spans="1:14" x14ac:dyDescent="0.35">
      <c r="A6" s="12" t="s">
        <v>979</v>
      </c>
      <c r="B6" s="12" t="s">
        <v>499</v>
      </c>
      <c r="C6" s="13">
        <v>46043</v>
      </c>
      <c r="D6" s="84">
        <v>256779440388</v>
      </c>
      <c r="E6" s="12" t="s">
        <v>11</v>
      </c>
      <c r="F6" s="14">
        <v>57.29</v>
      </c>
      <c r="G6" s="12" t="s">
        <v>56</v>
      </c>
      <c r="H6" s="14">
        <v>5198.67</v>
      </c>
      <c r="I6" s="12" t="s">
        <v>983</v>
      </c>
      <c r="J6" s="12" t="s">
        <v>953</v>
      </c>
      <c r="K6" s="12" t="s">
        <v>708</v>
      </c>
      <c r="L6" s="12" t="s">
        <v>497</v>
      </c>
      <c r="M6" s="28"/>
      <c r="N6" t="s">
        <v>994</v>
      </c>
    </row>
    <row r="7" spans="1:14" x14ac:dyDescent="0.35">
      <c r="A7" s="12" t="s">
        <v>980</v>
      </c>
      <c r="B7" s="12" t="s">
        <v>499</v>
      </c>
      <c r="C7" s="13">
        <v>46045</v>
      </c>
      <c r="D7" s="84">
        <v>256779440411</v>
      </c>
      <c r="E7" s="12" t="s">
        <v>11</v>
      </c>
      <c r="F7" s="14">
        <v>554.49</v>
      </c>
      <c r="G7" s="12" t="s">
        <v>56</v>
      </c>
      <c r="H7" s="14">
        <v>50316.160000000003</v>
      </c>
      <c r="I7" s="12" t="s">
        <v>952</v>
      </c>
      <c r="J7" s="12" t="s">
        <v>953</v>
      </c>
      <c r="K7" s="12" t="s">
        <v>709</v>
      </c>
      <c r="L7" s="12" t="s">
        <v>497</v>
      </c>
      <c r="M7" s="28"/>
      <c r="N7" t="s">
        <v>994</v>
      </c>
    </row>
    <row r="8" spans="1:14" x14ac:dyDescent="0.35">
      <c r="A8" s="12" t="s">
        <v>981</v>
      </c>
      <c r="B8" s="12" t="s">
        <v>499</v>
      </c>
      <c r="C8" s="13">
        <v>46045</v>
      </c>
      <c r="D8" s="84">
        <v>256779440427</v>
      </c>
      <c r="E8" s="12" t="s">
        <v>11</v>
      </c>
      <c r="F8" s="14">
        <v>44.06</v>
      </c>
      <c r="G8" s="12" t="s">
        <v>56</v>
      </c>
      <c r="H8" s="14">
        <v>3998.14</v>
      </c>
      <c r="I8" s="12" t="s">
        <v>952</v>
      </c>
      <c r="J8" s="12" t="s">
        <v>953</v>
      </c>
      <c r="K8" s="12" t="s">
        <v>710</v>
      </c>
      <c r="L8" s="12" t="s">
        <v>497</v>
      </c>
      <c r="M8" s="28"/>
      <c r="N8" t="s">
        <v>994</v>
      </c>
    </row>
    <row r="9" spans="1:14" x14ac:dyDescent="0.35">
      <c r="A9" s="12" t="s">
        <v>982</v>
      </c>
      <c r="B9" s="12" t="s">
        <v>499</v>
      </c>
      <c r="C9" s="13">
        <v>46049</v>
      </c>
      <c r="D9" s="84">
        <v>256779440443</v>
      </c>
      <c r="E9" s="12" t="s">
        <v>11</v>
      </c>
      <c r="F9" s="14">
        <v>18.41</v>
      </c>
      <c r="G9" s="12" t="s">
        <v>56</v>
      </c>
      <c r="H9" s="14">
        <v>1670.58</v>
      </c>
      <c r="I9" s="12" t="s">
        <v>952</v>
      </c>
      <c r="J9" s="12" t="s">
        <v>953</v>
      </c>
      <c r="K9" s="12" t="s">
        <v>711</v>
      </c>
      <c r="L9" s="12" t="s">
        <v>497</v>
      </c>
      <c r="M9" s="28"/>
      <c r="N9" t="s">
        <v>994</v>
      </c>
    </row>
    <row r="10" spans="1:14" x14ac:dyDescent="0.35">
      <c r="A10" s="12" t="s">
        <v>984</v>
      </c>
      <c r="B10" s="12" t="s">
        <v>499</v>
      </c>
      <c r="C10" s="13">
        <v>45966</v>
      </c>
      <c r="D10" s="84">
        <v>256779418816</v>
      </c>
      <c r="E10" s="12" t="s">
        <v>11</v>
      </c>
      <c r="F10" s="14">
        <v>891</v>
      </c>
      <c r="G10" s="12" t="s">
        <v>56</v>
      </c>
      <c r="H10" s="14">
        <v>78411.02</v>
      </c>
      <c r="I10" s="12" t="s">
        <v>985</v>
      </c>
      <c r="J10" s="12" t="s">
        <v>953</v>
      </c>
      <c r="K10" s="12" t="s">
        <v>515</v>
      </c>
      <c r="L10" s="12" t="s">
        <v>497</v>
      </c>
      <c r="M10" s="28"/>
      <c r="N10" t="s">
        <v>993</v>
      </c>
    </row>
    <row r="11" spans="1:14" x14ac:dyDescent="0.35">
      <c r="A11" s="12" t="s">
        <v>986</v>
      </c>
      <c r="B11" s="12" t="s">
        <v>499</v>
      </c>
      <c r="C11" s="13">
        <v>45848</v>
      </c>
      <c r="D11" s="84">
        <v>256779415363</v>
      </c>
      <c r="E11" s="12" t="s">
        <v>11</v>
      </c>
      <c r="F11" s="14">
        <v>3</v>
      </c>
      <c r="G11" s="12" t="s">
        <v>56</v>
      </c>
      <c r="H11" s="14">
        <v>258</v>
      </c>
      <c r="I11" s="12" t="s">
        <v>952</v>
      </c>
      <c r="J11" s="12" t="s">
        <v>953</v>
      </c>
      <c r="K11" s="12" t="s">
        <v>839</v>
      </c>
      <c r="L11" s="12" t="s">
        <v>497</v>
      </c>
      <c r="M11" s="28"/>
      <c r="N11" t="s">
        <v>993</v>
      </c>
    </row>
    <row r="12" spans="1:14" x14ac:dyDescent="0.35">
      <c r="A12" s="12" t="s">
        <v>987</v>
      </c>
      <c r="B12" s="12" t="s">
        <v>499</v>
      </c>
      <c r="C12" s="13">
        <v>45889</v>
      </c>
      <c r="D12" s="84">
        <v>256779416593</v>
      </c>
      <c r="E12" s="12" t="s">
        <v>11</v>
      </c>
      <c r="F12" s="14">
        <v>810</v>
      </c>
      <c r="G12" s="12" t="s">
        <v>56</v>
      </c>
      <c r="H12" s="14">
        <v>69684.399999999994</v>
      </c>
      <c r="I12" s="12" t="s">
        <v>952</v>
      </c>
      <c r="J12" s="12" t="s">
        <v>953</v>
      </c>
      <c r="K12" s="12" t="s">
        <v>602</v>
      </c>
      <c r="L12" s="12" t="s">
        <v>497</v>
      </c>
      <c r="M12" s="28"/>
      <c r="N12" t="s">
        <v>993</v>
      </c>
    </row>
    <row r="13" spans="1:14" x14ac:dyDescent="0.35">
      <c r="A13" s="12" t="s">
        <v>988</v>
      </c>
      <c r="B13" s="12" t="s">
        <v>499</v>
      </c>
      <c r="C13" s="13">
        <v>45889</v>
      </c>
      <c r="D13" s="84">
        <v>256779416801</v>
      </c>
      <c r="E13" s="12" t="s">
        <v>11</v>
      </c>
      <c r="F13" s="14">
        <v>110</v>
      </c>
      <c r="G13" s="12" t="s">
        <v>56</v>
      </c>
      <c r="H13" s="14">
        <v>9463.31</v>
      </c>
      <c r="I13" s="12" t="s">
        <v>952</v>
      </c>
      <c r="J13" s="12" t="s">
        <v>953</v>
      </c>
      <c r="K13" s="12" t="s">
        <v>604</v>
      </c>
      <c r="L13" s="12" t="s">
        <v>497</v>
      </c>
      <c r="M13" s="28"/>
      <c r="N13" t="s">
        <v>993</v>
      </c>
    </row>
    <row r="14" spans="1:14" x14ac:dyDescent="0.35">
      <c r="A14" s="12" t="s">
        <v>989</v>
      </c>
      <c r="B14" s="12" t="s">
        <v>499</v>
      </c>
      <c r="C14" s="13">
        <v>45889</v>
      </c>
      <c r="D14" s="84">
        <v>256779416807</v>
      </c>
      <c r="E14" s="12" t="s">
        <v>11</v>
      </c>
      <c r="F14" s="14">
        <v>248.96</v>
      </c>
      <c r="G14" s="12" t="s">
        <v>56</v>
      </c>
      <c r="H14" s="14">
        <v>21418.06</v>
      </c>
      <c r="I14" s="12" t="s">
        <v>952</v>
      </c>
      <c r="J14" s="12" t="s">
        <v>953</v>
      </c>
      <c r="K14" s="12" t="s">
        <v>605</v>
      </c>
      <c r="L14" s="12" t="s">
        <v>497</v>
      </c>
      <c r="M14" s="28"/>
      <c r="N14" t="s">
        <v>993</v>
      </c>
    </row>
    <row r="15" spans="1:14" x14ac:dyDescent="0.35">
      <c r="A15" s="12" t="s">
        <v>990</v>
      </c>
      <c r="B15" s="12" t="s">
        <v>499</v>
      </c>
      <c r="C15" s="13">
        <v>45889</v>
      </c>
      <c r="D15" s="84">
        <v>256779416814</v>
      </c>
      <c r="E15" s="12" t="s">
        <v>11</v>
      </c>
      <c r="F15" s="14">
        <v>230</v>
      </c>
      <c r="G15" s="12" t="s">
        <v>56</v>
      </c>
      <c r="H15" s="14">
        <v>19786.93</v>
      </c>
      <c r="I15" s="12" t="s">
        <v>952</v>
      </c>
      <c r="J15" s="12" t="s">
        <v>953</v>
      </c>
      <c r="K15" s="12" t="s">
        <v>606</v>
      </c>
      <c r="L15" s="12" t="s">
        <v>497</v>
      </c>
      <c r="M15" s="28"/>
      <c r="N15" t="s">
        <v>993</v>
      </c>
    </row>
    <row r="16" spans="1:14" x14ac:dyDescent="0.35">
      <c r="A16" s="12" t="s">
        <v>991</v>
      </c>
      <c r="B16" s="12" t="s">
        <v>499</v>
      </c>
      <c r="C16" s="13">
        <v>45797</v>
      </c>
      <c r="D16" s="84">
        <v>256779413835</v>
      </c>
      <c r="E16" s="12" t="s">
        <v>11</v>
      </c>
      <c r="F16" s="14">
        <v>206.02</v>
      </c>
      <c r="G16" s="12" t="s">
        <v>56</v>
      </c>
      <c r="H16" s="14">
        <v>17714.36</v>
      </c>
      <c r="I16" s="12" t="s">
        <v>497</v>
      </c>
      <c r="J16" s="12" t="s">
        <v>953</v>
      </c>
      <c r="K16" s="12" t="s">
        <v>611</v>
      </c>
      <c r="L16" s="12" t="s">
        <v>497</v>
      </c>
      <c r="M16" s="28"/>
      <c r="N16" t="s">
        <v>994</v>
      </c>
    </row>
    <row r="17" spans="1:14" x14ac:dyDescent="0.35">
      <c r="A17" s="12" t="s">
        <v>992</v>
      </c>
      <c r="B17" s="12" t="s">
        <v>499</v>
      </c>
      <c r="C17" s="13">
        <v>45751</v>
      </c>
      <c r="D17" s="84">
        <v>256779410819</v>
      </c>
      <c r="E17" s="12" t="s">
        <v>11</v>
      </c>
      <c r="F17" s="14">
        <v>1913.97</v>
      </c>
      <c r="G17" s="12" t="s">
        <v>56</v>
      </c>
      <c r="H17" s="14">
        <v>166365.76000000001</v>
      </c>
      <c r="I17" s="12" t="s">
        <v>952</v>
      </c>
      <c r="J17" s="12" t="s">
        <v>953</v>
      </c>
      <c r="K17" s="12" t="s">
        <v>861</v>
      </c>
      <c r="L17" s="12" t="s">
        <v>497</v>
      </c>
      <c r="M17" s="28"/>
      <c r="N17" t="s">
        <v>993</v>
      </c>
    </row>
    <row r="18" spans="1:14" x14ac:dyDescent="0.35">
      <c r="A18" s="28"/>
      <c r="B18" s="32"/>
      <c r="C18" s="28"/>
      <c r="D18" s="29"/>
      <c r="E18" s="28"/>
      <c r="F18" s="28"/>
      <c r="G18" s="30"/>
      <c r="H18" s="31">
        <f>SUM(H2:H17)</f>
        <v>1338202.6500000001</v>
      </c>
      <c r="I18" s="30"/>
      <c r="J18" s="28"/>
      <c r="K18" s="28"/>
      <c r="L18" s="28"/>
      <c r="M18" s="28"/>
    </row>
    <row r="19" spans="1:14" x14ac:dyDescent="0.35">
      <c r="A19" s="28"/>
      <c r="B19" s="32"/>
      <c r="C19" s="28"/>
      <c r="D19" s="29"/>
      <c r="E19" s="28"/>
      <c r="F19" s="28"/>
      <c r="G19" s="30"/>
      <c r="H19" s="28">
        <v>-156783.44000000003</v>
      </c>
      <c r="I19" s="30"/>
      <c r="J19" s="28"/>
      <c r="K19" s="28"/>
      <c r="L19" s="28"/>
      <c r="M19" s="28"/>
    </row>
    <row r="20" spans="1:14" x14ac:dyDescent="0.35">
      <c r="A20" s="28"/>
      <c r="B20" s="32"/>
      <c r="C20" s="28"/>
      <c r="D20" s="29"/>
      <c r="E20" s="28"/>
      <c r="F20" s="28"/>
      <c r="G20" s="30"/>
      <c r="H20" s="31">
        <f>H18+H19</f>
        <v>1181419.2100000002</v>
      </c>
      <c r="I20" s="30"/>
      <c r="J20" s="28"/>
      <c r="K20" s="28"/>
      <c r="L20" s="28"/>
      <c r="M20" s="28"/>
    </row>
    <row r="21" spans="1:14" x14ac:dyDescent="0.35">
      <c r="A21" s="28"/>
      <c r="B21" s="32"/>
      <c r="C21" s="28"/>
      <c r="D21" s="29"/>
      <c r="E21" s="28"/>
      <c r="F21" s="28"/>
      <c r="G21" s="30"/>
      <c r="H21" s="28"/>
      <c r="I21" s="30"/>
      <c r="J21" s="28"/>
      <c r="K21" s="28"/>
      <c r="L21" s="28"/>
      <c r="M21" s="28"/>
    </row>
    <row r="22" spans="1:14" x14ac:dyDescent="0.35">
      <c r="A22" s="28"/>
      <c r="B22" s="32"/>
      <c r="C22" s="28"/>
      <c r="D22" s="29"/>
      <c r="E22" s="28"/>
      <c r="F22" s="28"/>
      <c r="G22" s="30"/>
      <c r="H22" s="28"/>
      <c r="I22" s="30"/>
      <c r="J22" s="28"/>
      <c r="K22" s="28"/>
      <c r="L22" s="28"/>
      <c r="M22" s="28"/>
    </row>
    <row r="23" spans="1:14" x14ac:dyDescent="0.35">
      <c r="A23" s="28"/>
      <c r="B23" s="32"/>
      <c r="C23" s="28"/>
      <c r="D23" s="29"/>
      <c r="E23" s="28"/>
      <c r="F23" s="28"/>
      <c r="G23" s="30"/>
      <c r="H23" s="28"/>
      <c r="I23" s="30"/>
      <c r="J23" s="28"/>
      <c r="K23" s="28"/>
      <c r="L23" s="28"/>
      <c r="M23" s="28"/>
    </row>
    <row r="24" spans="1:14" x14ac:dyDescent="0.35">
      <c r="A24" s="28"/>
      <c r="B24" s="32"/>
      <c r="C24" s="28"/>
      <c r="D24" s="29"/>
      <c r="E24" s="28"/>
      <c r="F24" s="28"/>
      <c r="G24" s="30"/>
      <c r="H24" s="28"/>
      <c r="I24" s="30"/>
      <c r="J24" s="28"/>
      <c r="K24" s="28"/>
      <c r="L24" s="28"/>
      <c r="M24" s="28"/>
    </row>
    <row r="25" spans="1:14" x14ac:dyDescent="0.35">
      <c r="A25" s="28"/>
      <c r="B25" s="32"/>
      <c r="C25" s="28"/>
      <c r="D25" s="29"/>
      <c r="E25" s="28"/>
      <c r="F25" s="28"/>
      <c r="G25" s="30"/>
      <c r="H25" s="28"/>
      <c r="I25" s="30"/>
      <c r="J25" s="28"/>
      <c r="K25" s="28"/>
      <c r="L25" s="28"/>
      <c r="M25" s="28"/>
    </row>
    <row r="26" spans="1:14" x14ac:dyDescent="0.35">
      <c r="A26" s="28"/>
      <c r="B26" s="32"/>
      <c r="C26" s="28"/>
      <c r="D26" s="29"/>
      <c r="E26" s="28"/>
      <c r="F26" s="28"/>
      <c r="G26" s="30"/>
      <c r="H26" s="28"/>
      <c r="I26" s="30"/>
      <c r="J26" s="28"/>
      <c r="K26" s="28"/>
      <c r="L26" s="28"/>
      <c r="M26" s="28"/>
    </row>
    <row r="27" spans="1:14" x14ac:dyDescent="0.35">
      <c r="A27" s="28"/>
      <c r="B27" s="32"/>
      <c r="C27" s="28"/>
      <c r="D27" s="29"/>
      <c r="E27" s="28"/>
      <c r="F27" s="28"/>
      <c r="G27" s="30"/>
      <c r="H27" s="28"/>
      <c r="I27" s="30"/>
      <c r="J27" s="28"/>
      <c r="K27" s="28"/>
      <c r="L27" s="28"/>
      <c r="M27" s="28"/>
    </row>
    <row r="28" spans="1:14" x14ac:dyDescent="0.35">
      <c r="A28" s="28"/>
      <c r="B28" s="32"/>
      <c r="C28" s="28"/>
      <c r="D28" s="29"/>
      <c r="E28" s="28"/>
      <c r="F28" s="28"/>
      <c r="G28" s="30"/>
      <c r="H28" s="28"/>
      <c r="I28" s="30"/>
      <c r="J28" s="28"/>
      <c r="K28" s="28"/>
      <c r="L28" s="28"/>
      <c r="M28" s="28"/>
    </row>
    <row r="29" spans="1:14" x14ac:dyDescent="0.35">
      <c r="A29" s="28"/>
      <c r="B29" s="32"/>
      <c r="C29" s="28"/>
      <c r="D29" s="29"/>
      <c r="E29" s="28"/>
      <c r="F29" s="28"/>
      <c r="G29" s="30"/>
      <c r="H29" s="28"/>
      <c r="I29" s="30"/>
      <c r="J29" s="28"/>
      <c r="K29" s="28"/>
      <c r="L29" s="28"/>
      <c r="M29" s="28"/>
    </row>
    <row r="30" spans="1:14" x14ac:dyDescent="0.35">
      <c r="A30" s="28"/>
      <c r="B30" s="32"/>
      <c r="C30" s="28"/>
      <c r="D30" s="29"/>
      <c r="E30" s="28"/>
      <c r="F30" s="28"/>
      <c r="G30" s="30"/>
      <c r="H30" s="28"/>
      <c r="I30" s="30"/>
      <c r="J30" s="28"/>
      <c r="K30" s="28"/>
      <c r="L30" s="28"/>
      <c r="M30" s="28"/>
    </row>
    <row r="31" spans="1:14" x14ac:dyDescent="0.35">
      <c r="A31" s="28"/>
      <c r="B31" s="32"/>
      <c r="C31" s="28"/>
      <c r="D31" s="29"/>
      <c r="E31" s="28"/>
      <c r="F31" s="28"/>
      <c r="G31" s="30"/>
      <c r="H31" s="28"/>
      <c r="I31" s="30"/>
      <c r="J31" s="28"/>
      <c r="K31" s="28"/>
      <c r="L31" s="28"/>
      <c r="M31" s="28"/>
    </row>
    <row r="32" spans="1:14" x14ac:dyDescent="0.35">
      <c r="A32" s="28"/>
      <c r="B32" s="32"/>
      <c r="C32" s="28"/>
      <c r="D32" s="29"/>
      <c r="E32" s="28"/>
      <c r="F32" s="28"/>
      <c r="G32" s="30"/>
      <c r="H32" s="28"/>
      <c r="I32" s="30"/>
      <c r="J32" s="28"/>
      <c r="K32" s="28"/>
      <c r="L32" s="28"/>
      <c r="M32" s="28"/>
    </row>
    <row r="33" spans="1:13" x14ac:dyDescent="0.35">
      <c r="A33" s="28"/>
      <c r="B33" s="32"/>
      <c r="C33" s="28"/>
      <c r="D33" s="29"/>
      <c r="E33" s="28"/>
      <c r="F33" s="28"/>
      <c r="G33" s="30"/>
      <c r="H33" s="28"/>
      <c r="I33" s="30"/>
      <c r="J33" s="28"/>
      <c r="K33" s="28"/>
      <c r="L33" s="28"/>
      <c r="M33" s="28"/>
    </row>
    <row r="34" spans="1:13" x14ac:dyDescent="0.35">
      <c r="A34" s="28"/>
      <c r="B34" s="32"/>
      <c r="C34" s="28"/>
      <c r="D34" s="29"/>
      <c r="E34" s="28"/>
      <c r="F34" s="28"/>
      <c r="G34" s="30"/>
      <c r="H34" s="28"/>
      <c r="I34" s="30"/>
      <c r="J34" s="28"/>
      <c r="K34" s="28"/>
      <c r="L34" s="28"/>
      <c r="M34" s="28"/>
    </row>
    <row r="35" spans="1:13" x14ac:dyDescent="0.35">
      <c r="A35" s="28"/>
      <c r="B35" s="32"/>
      <c r="C35" s="28"/>
      <c r="D35" s="29"/>
      <c r="E35" s="28"/>
      <c r="F35" s="28"/>
      <c r="G35" s="30"/>
      <c r="H35" s="28"/>
      <c r="I35" s="30"/>
      <c r="J35" s="28"/>
      <c r="K35" s="28"/>
      <c r="L35" s="28"/>
      <c r="M35" s="28"/>
    </row>
    <row r="36" spans="1:13" x14ac:dyDescent="0.35">
      <c r="A36" s="28"/>
      <c r="B36" s="32"/>
      <c r="C36" s="28"/>
      <c r="D36" s="29"/>
      <c r="E36" s="28"/>
      <c r="F36" s="28"/>
      <c r="G36" s="30"/>
      <c r="H36" s="28"/>
      <c r="I36" s="30"/>
      <c r="J36" s="28"/>
      <c r="K36" s="28"/>
      <c r="L36" s="28"/>
      <c r="M36" s="28"/>
    </row>
    <row r="37" spans="1:13" x14ac:dyDescent="0.35">
      <c r="A37" s="28"/>
      <c r="B37" s="32"/>
      <c r="C37" s="28"/>
      <c r="D37" s="29"/>
      <c r="E37" s="28"/>
      <c r="F37" s="28"/>
      <c r="G37" s="30"/>
      <c r="H37" s="28"/>
      <c r="I37" s="30"/>
      <c r="J37" s="28"/>
      <c r="K37" s="28"/>
      <c r="L37" s="28"/>
      <c r="M37" s="28"/>
    </row>
    <row r="38" spans="1:13" x14ac:dyDescent="0.35">
      <c r="A38" s="28"/>
      <c r="B38" s="32"/>
      <c r="C38" s="28"/>
      <c r="D38" s="29"/>
      <c r="E38" s="28"/>
      <c r="F38" s="28"/>
      <c r="G38" s="30"/>
      <c r="H38" s="28"/>
      <c r="I38" s="30"/>
      <c r="J38" s="28"/>
      <c r="K38" s="28"/>
      <c r="L38" s="28"/>
      <c r="M38" s="28"/>
    </row>
    <row r="39" spans="1:13" x14ac:dyDescent="0.35">
      <c r="A39" s="28"/>
      <c r="B39" s="32"/>
      <c r="C39" s="28"/>
      <c r="D39" s="29"/>
      <c r="E39" s="28"/>
      <c r="F39" s="28"/>
      <c r="G39" s="30"/>
      <c r="H39" s="28"/>
      <c r="I39" s="30"/>
      <c r="J39" s="28"/>
      <c r="K39" s="28"/>
      <c r="L39" s="28"/>
      <c r="M39" s="28"/>
    </row>
    <row r="40" spans="1:13" x14ac:dyDescent="0.35">
      <c r="A40" s="28"/>
      <c r="B40" s="32"/>
      <c r="C40" s="28"/>
      <c r="D40" s="29"/>
      <c r="E40" s="28"/>
      <c r="F40" s="28"/>
      <c r="G40" s="30"/>
      <c r="H40" s="28"/>
      <c r="I40" s="30"/>
      <c r="J40" s="28"/>
      <c r="K40" s="28"/>
      <c r="L40" s="28"/>
      <c r="M40" s="28"/>
    </row>
    <row r="41" spans="1:13" x14ac:dyDescent="0.35">
      <c r="A41" s="28"/>
      <c r="B41" s="32"/>
      <c r="C41" s="28"/>
      <c r="D41" s="29"/>
      <c r="E41" s="28"/>
      <c r="F41" s="28"/>
      <c r="G41" s="30"/>
      <c r="H41" s="28"/>
      <c r="I41" s="30"/>
      <c r="J41" s="28"/>
      <c r="K41" s="28"/>
      <c r="L41" s="28"/>
      <c r="M41" s="28"/>
    </row>
    <row r="42" spans="1:13" x14ac:dyDescent="0.35">
      <c r="A42" s="28"/>
      <c r="B42" s="32"/>
      <c r="C42" s="28"/>
      <c r="D42" s="29"/>
      <c r="E42" s="28"/>
      <c r="F42" s="28"/>
      <c r="G42" s="30"/>
      <c r="H42" s="28"/>
      <c r="I42" s="30"/>
      <c r="J42" s="28"/>
      <c r="K42" s="28"/>
      <c r="L42" s="28"/>
      <c r="M42" s="28"/>
    </row>
    <row r="43" spans="1:13" x14ac:dyDescent="0.35">
      <c r="A43" s="28"/>
      <c r="B43" s="32"/>
      <c r="C43" s="28"/>
      <c r="D43" s="29"/>
      <c r="E43" s="28"/>
      <c r="F43" s="28"/>
      <c r="G43" s="30"/>
      <c r="H43" s="28"/>
      <c r="I43" s="30"/>
      <c r="J43" s="28"/>
      <c r="K43" s="28"/>
      <c r="L43" s="28"/>
      <c r="M43" s="28"/>
    </row>
    <row r="44" spans="1:13" x14ac:dyDescent="0.35">
      <c r="A44" s="28"/>
      <c r="B44" s="32"/>
      <c r="C44" s="28"/>
      <c r="D44" s="29"/>
      <c r="E44" s="28"/>
      <c r="F44" s="28"/>
      <c r="G44" s="30"/>
      <c r="H44" s="28"/>
      <c r="I44" s="30"/>
      <c r="J44" s="28"/>
      <c r="K44" s="28"/>
      <c r="L44" s="28"/>
      <c r="M44" s="28"/>
    </row>
    <row r="45" spans="1:13" x14ac:dyDescent="0.35">
      <c r="A45" s="28"/>
      <c r="B45" s="32"/>
      <c r="C45" s="28"/>
      <c r="D45" s="29"/>
      <c r="E45" s="28"/>
      <c r="F45" s="28"/>
      <c r="G45" s="30"/>
      <c r="H45" s="28"/>
      <c r="I45" s="30"/>
      <c r="J45" s="28"/>
      <c r="K45" s="28"/>
      <c r="L45" s="28"/>
      <c r="M45" s="28"/>
    </row>
    <row r="46" spans="1:13" x14ac:dyDescent="0.35">
      <c r="A46" s="28"/>
      <c r="B46" s="32"/>
      <c r="C46" s="28"/>
      <c r="D46" s="29"/>
      <c r="E46" s="28"/>
      <c r="F46" s="28"/>
      <c r="G46" s="30"/>
      <c r="H46" s="28"/>
      <c r="I46" s="30"/>
      <c r="J46" s="28"/>
      <c r="K46" s="28"/>
      <c r="L46" s="28"/>
      <c r="M46" s="28"/>
    </row>
    <row r="47" spans="1:13" x14ac:dyDescent="0.35">
      <c r="A47" s="28"/>
      <c r="B47" s="32"/>
      <c r="C47" s="28"/>
      <c r="D47" s="29"/>
      <c r="E47" s="28"/>
      <c r="F47" s="28"/>
      <c r="G47" s="30"/>
      <c r="H47" s="28"/>
      <c r="I47" s="30"/>
      <c r="J47" s="28"/>
      <c r="K47" s="28"/>
      <c r="L47" s="28"/>
      <c r="M47" s="28"/>
    </row>
    <row r="48" spans="1:13" x14ac:dyDescent="0.35">
      <c r="A48" s="28"/>
      <c r="B48" s="32"/>
      <c r="C48" s="28"/>
      <c r="D48" s="29"/>
      <c r="E48" s="28"/>
      <c r="F48" s="28"/>
      <c r="G48" s="30"/>
      <c r="H48" s="28"/>
      <c r="I48" s="30"/>
      <c r="J48" s="28"/>
      <c r="K48" s="28"/>
      <c r="L48" s="28"/>
      <c r="M48" s="28"/>
    </row>
    <row r="49" spans="1:13" x14ac:dyDescent="0.35">
      <c r="A49" s="28"/>
      <c r="B49" s="32"/>
      <c r="C49" s="28"/>
      <c r="D49" s="29"/>
      <c r="E49" s="28"/>
      <c r="F49" s="28"/>
      <c r="G49" s="30"/>
      <c r="H49" s="28"/>
      <c r="I49" s="30"/>
      <c r="J49" s="28"/>
      <c r="K49" s="28"/>
      <c r="L49" s="28"/>
      <c r="M49" s="28"/>
    </row>
    <row r="50" spans="1:13" x14ac:dyDescent="0.35">
      <c r="A50" s="28"/>
      <c r="B50" s="32"/>
      <c r="C50" s="28"/>
      <c r="D50" s="29"/>
      <c r="E50" s="28"/>
      <c r="F50" s="28"/>
      <c r="G50" s="30"/>
      <c r="H50" s="28"/>
      <c r="I50" s="30"/>
      <c r="J50" s="28"/>
      <c r="K50" s="28"/>
      <c r="L50" s="28"/>
      <c r="M50" s="28"/>
    </row>
    <row r="51" spans="1:13" x14ac:dyDescent="0.35">
      <c r="A51" s="28"/>
      <c r="B51" s="32"/>
      <c r="C51" s="28"/>
      <c r="D51" s="29"/>
      <c r="E51" s="28"/>
      <c r="F51" s="28"/>
      <c r="G51" s="30"/>
      <c r="H51" s="28"/>
      <c r="I51" s="30"/>
      <c r="J51" s="28"/>
      <c r="K51" s="28"/>
      <c r="L51" s="28"/>
      <c r="M51" s="28"/>
    </row>
    <row r="52" spans="1:13" x14ac:dyDescent="0.35">
      <c r="A52" s="28"/>
      <c r="B52" s="32"/>
      <c r="C52" s="28"/>
      <c r="D52" s="29"/>
      <c r="E52" s="28"/>
      <c r="F52" s="28"/>
      <c r="G52" s="30"/>
      <c r="H52" s="28"/>
      <c r="I52" s="30"/>
      <c r="J52" s="28"/>
      <c r="K52" s="28"/>
      <c r="L52" s="28"/>
      <c r="M52" s="28"/>
    </row>
    <row r="53" spans="1:13" x14ac:dyDescent="0.35">
      <c r="A53" s="28"/>
      <c r="B53" s="32"/>
      <c r="C53" s="28"/>
      <c r="D53" s="29"/>
      <c r="E53" s="28"/>
      <c r="F53" s="28"/>
      <c r="G53" s="30"/>
      <c r="H53" s="28"/>
      <c r="I53" s="30"/>
      <c r="J53" s="28"/>
      <c r="K53" s="28"/>
      <c r="L53" s="28"/>
      <c r="M53" s="28"/>
    </row>
    <row r="54" spans="1:13" x14ac:dyDescent="0.35">
      <c r="A54" s="28"/>
      <c r="B54" s="32"/>
      <c r="C54" s="28"/>
      <c r="D54" s="29"/>
      <c r="E54" s="28"/>
      <c r="F54" s="28"/>
      <c r="G54" s="30"/>
      <c r="H54" s="28"/>
      <c r="I54" s="30"/>
      <c r="J54" s="28"/>
      <c r="K54" s="28"/>
      <c r="L54" s="28"/>
      <c r="M54" s="28"/>
    </row>
    <row r="55" spans="1:13" x14ac:dyDescent="0.35">
      <c r="A55" s="28"/>
      <c r="B55" s="32"/>
      <c r="C55" s="28"/>
      <c r="D55" s="29"/>
      <c r="E55" s="28"/>
      <c r="F55" s="28"/>
      <c r="G55" s="30"/>
      <c r="H55" s="28"/>
      <c r="I55" s="30"/>
      <c r="J55" s="28"/>
      <c r="K55" s="28"/>
      <c r="L55" s="28"/>
      <c r="M55" s="28"/>
    </row>
    <row r="56" spans="1:13" x14ac:dyDescent="0.35">
      <c r="A56" s="28"/>
      <c r="B56" s="32"/>
      <c r="C56" s="28"/>
      <c r="D56" s="29"/>
      <c r="E56" s="28"/>
      <c r="F56" s="28"/>
      <c r="G56" s="30"/>
      <c r="H56" s="28"/>
      <c r="I56" s="30"/>
      <c r="J56" s="28"/>
      <c r="K56" s="28"/>
      <c r="L56" s="28"/>
      <c r="M56" s="28"/>
    </row>
    <row r="57" spans="1:13" x14ac:dyDescent="0.35">
      <c r="A57" s="28"/>
      <c r="B57" s="32"/>
      <c r="C57" s="28"/>
      <c r="D57" s="29"/>
      <c r="E57" s="28"/>
      <c r="F57" s="28"/>
      <c r="G57" s="30"/>
      <c r="H57" s="28"/>
      <c r="I57" s="30"/>
      <c r="J57" s="28"/>
      <c r="K57" s="28"/>
      <c r="L57" s="28"/>
      <c r="M57" s="28"/>
    </row>
    <row r="58" spans="1:13" x14ac:dyDescent="0.35">
      <c r="A58" s="28"/>
      <c r="B58" s="32"/>
      <c r="C58" s="28"/>
      <c r="D58" s="29"/>
      <c r="E58" s="28"/>
      <c r="F58" s="28"/>
      <c r="G58" s="30"/>
      <c r="H58" s="28"/>
      <c r="I58" s="30"/>
      <c r="J58" s="28"/>
      <c r="K58" s="28"/>
      <c r="L58" s="28"/>
      <c r="M58" s="28"/>
    </row>
    <row r="59" spans="1:13" x14ac:dyDescent="0.35">
      <c r="A59" s="28"/>
      <c r="B59" s="32"/>
      <c r="C59" s="28"/>
      <c r="D59" s="29"/>
      <c r="E59" s="28"/>
      <c r="F59" s="28"/>
      <c r="G59" s="30"/>
      <c r="H59" s="28"/>
      <c r="I59" s="30"/>
      <c r="J59" s="28"/>
      <c r="K59" s="28"/>
      <c r="L59" s="28"/>
      <c r="M59" s="28"/>
    </row>
    <row r="60" spans="1:13" x14ac:dyDescent="0.35">
      <c r="A60" s="28"/>
      <c r="B60" s="32"/>
      <c r="C60" s="28"/>
      <c r="D60" s="29"/>
      <c r="E60" s="28"/>
      <c r="F60" s="28"/>
      <c r="G60" s="30"/>
      <c r="H60" s="28"/>
      <c r="I60" s="30"/>
      <c r="J60" s="28"/>
      <c r="K60" s="28"/>
      <c r="L60" s="28"/>
      <c r="M60" s="28"/>
    </row>
    <row r="61" spans="1:13" x14ac:dyDescent="0.35">
      <c r="A61" s="28"/>
      <c r="B61" s="32"/>
      <c r="C61" s="28"/>
      <c r="D61" s="29"/>
      <c r="E61" s="28"/>
      <c r="F61" s="28"/>
      <c r="G61" s="30"/>
      <c r="H61" s="28"/>
      <c r="I61" s="30"/>
      <c r="J61" s="28"/>
      <c r="K61" s="28"/>
      <c r="L61" s="28"/>
      <c r="M61" s="28"/>
    </row>
    <row r="62" spans="1:13" x14ac:dyDescent="0.35">
      <c r="A62" s="28"/>
      <c r="B62" s="32"/>
      <c r="C62" s="28"/>
      <c r="D62" s="29"/>
      <c r="E62" s="28"/>
      <c r="F62" s="28"/>
      <c r="G62" s="30"/>
      <c r="H62" s="28"/>
      <c r="I62" s="30"/>
      <c r="J62" s="28"/>
      <c r="K62" s="28"/>
      <c r="L62" s="28"/>
      <c r="M62" s="28"/>
    </row>
    <row r="63" spans="1:13" x14ac:dyDescent="0.35">
      <c r="A63" s="28"/>
      <c r="B63" s="32"/>
      <c r="C63" s="28"/>
      <c r="D63" s="29"/>
      <c r="E63" s="28"/>
      <c r="F63" s="28"/>
      <c r="G63" s="30"/>
      <c r="H63" s="28"/>
      <c r="I63" s="30"/>
      <c r="J63" s="28"/>
      <c r="K63" s="28"/>
      <c r="L63" s="28"/>
      <c r="M63" s="28"/>
    </row>
    <row r="64" spans="1:13" x14ac:dyDescent="0.35">
      <c r="A64" s="28"/>
      <c r="B64" s="32"/>
      <c r="C64" s="28"/>
      <c r="D64" s="29"/>
      <c r="E64" s="28"/>
      <c r="F64" s="28"/>
      <c r="G64" s="30"/>
      <c r="H64" s="28"/>
      <c r="I64" s="30"/>
      <c r="J64" s="28"/>
      <c r="K64" s="28"/>
      <c r="L64" s="28"/>
      <c r="M64" s="28"/>
    </row>
    <row r="65" spans="1:13" x14ac:dyDescent="0.35">
      <c r="A65" s="28"/>
      <c r="B65" s="32"/>
      <c r="C65" s="28"/>
      <c r="D65" s="29"/>
      <c r="E65" s="28"/>
      <c r="F65" s="28"/>
      <c r="G65" s="30"/>
      <c r="H65" s="28"/>
      <c r="I65" s="30"/>
      <c r="J65" s="28"/>
      <c r="K65" s="28"/>
      <c r="L65" s="28"/>
      <c r="M65" s="28"/>
    </row>
    <row r="66" spans="1:13" x14ac:dyDescent="0.35">
      <c r="A66" s="28"/>
      <c r="B66" s="32"/>
      <c r="C66" s="28"/>
      <c r="D66" s="29"/>
      <c r="E66" s="28"/>
      <c r="F66" s="28"/>
      <c r="G66" s="30"/>
      <c r="H66" s="28"/>
      <c r="I66" s="30"/>
      <c r="J66" s="28"/>
      <c r="K66" s="28"/>
      <c r="L66" s="28"/>
      <c r="M66" s="28"/>
    </row>
    <row r="67" spans="1:13" x14ac:dyDescent="0.35">
      <c r="A67" s="28"/>
      <c r="B67" s="32"/>
      <c r="C67" s="28"/>
      <c r="D67" s="29"/>
      <c r="E67" s="28"/>
      <c r="F67" s="28"/>
      <c r="G67" s="30"/>
      <c r="H67" s="28"/>
      <c r="I67" s="30"/>
      <c r="J67" s="28"/>
      <c r="K67" s="28"/>
      <c r="L67" s="28"/>
      <c r="M67" s="28"/>
    </row>
    <row r="68" spans="1:13" x14ac:dyDescent="0.35">
      <c r="A68" s="28"/>
      <c r="B68" s="32"/>
      <c r="C68" s="28"/>
      <c r="D68" s="29"/>
      <c r="E68" s="28"/>
      <c r="F68" s="28"/>
      <c r="G68" s="30"/>
      <c r="H68" s="28"/>
      <c r="I68" s="30"/>
      <c r="J68" s="28"/>
      <c r="K68" s="28"/>
      <c r="L68" s="28"/>
      <c r="M68" s="28"/>
    </row>
    <row r="69" spans="1:13" x14ac:dyDescent="0.35">
      <c r="A69" s="28"/>
      <c r="B69" s="32"/>
      <c r="C69" s="28"/>
      <c r="D69" s="29"/>
      <c r="E69" s="28"/>
      <c r="F69" s="28"/>
      <c r="G69" s="30"/>
      <c r="H69" s="28"/>
      <c r="I69" s="30"/>
      <c r="J69" s="28"/>
      <c r="K69" s="28"/>
      <c r="L69" s="28"/>
      <c r="M69" s="28"/>
    </row>
    <row r="70" spans="1:13" x14ac:dyDescent="0.35">
      <c r="A70" s="28"/>
      <c r="B70" s="32"/>
      <c r="C70" s="28"/>
      <c r="D70" s="29"/>
      <c r="E70" s="28"/>
      <c r="F70" s="28"/>
      <c r="G70" s="30"/>
      <c r="H70" s="28"/>
      <c r="I70" s="30"/>
      <c r="J70" s="28"/>
      <c r="K70" s="28"/>
      <c r="L70" s="28"/>
      <c r="M70" s="28"/>
    </row>
    <row r="71" spans="1:13" x14ac:dyDescent="0.35">
      <c r="A71" s="28"/>
      <c r="B71" s="32"/>
      <c r="C71" s="28"/>
      <c r="D71" s="29"/>
      <c r="E71" s="28"/>
      <c r="F71" s="28"/>
      <c r="G71" s="30"/>
      <c r="H71" s="28"/>
      <c r="I71" s="30"/>
      <c r="J71" s="28"/>
      <c r="K71" s="28"/>
      <c r="L71" s="28"/>
      <c r="M71" s="28"/>
    </row>
    <row r="72" spans="1:13" x14ac:dyDescent="0.35">
      <c r="A72" s="28"/>
      <c r="B72" s="32"/>
      <c r="C72" s="28"/>
      <c r="D72" s="29"/>
      <c r="E72" s="28"/>
      <c r="F72" s="28"/>
      <c r="G72" s="30"/>
      <c r="H72" s="28"/>
      <c r="I72" s="30"/>
      <c r="J72" s="28"/>
      <c r="K72" s="28"/>
      <c r="L72" s="28"/>
      <c r="M72" s="28"/>
    </row>
    <row r="73" spans="1:13" x14ac:dyDescent="0.35">
      <c r="A73" s="28"/>
      <c r="B73" s="32"/>
      <c r="C73" s="28"/>
      <c r="D73" s="29"/>
      <c r="E73" s="28"/>
      <c r="F73" s="28"/>
      <c r="G73" s="30"/>
      <c r="H73" s="28"/>
      <c r="I73" s="30"/>
      <c r="J73" s="28"/>
      <c r="K73" s="28"/>
      <c r="L73" s="28"/>
      <c r="M73" s="28"/>
    </row>
    <row r="74" spans="1:13" x14ac:dyDescent="0.35">
      <c r="A74" s="28"/>
      <c r="B74" s="32"/>
      <c r="C74" s="28"/>
      <c r="D74" s="29"/>
      <c r="E74" s="28"/>
      <c r="F74" s="28"/>
      <c r="G74" s="30"/>
      <c r="H74" s="28"/>
      <c r="I74" s="30"/>
      <c r="J74" s="28"/>
      <c r="K74" s="28"/>
      <c r="L74" s="28"/>
      <c r="M74" s="28"/>
    </row>
    <row r="75" spans="1:13" x14ac:dyDescent="0.35">
      <c r="A75" s="28"/>
      <c r="B75" s="32"/>
      <c r="C75" s="28"/>
      <c r="D75" s="29"/>
      <c r="E75" s="28"/>
      <c r="F75" s="28"/>
      <c r="G75" s="30"/>
      <c r="H75" s="28"/>
      <c r="I75" s="30"/>
      <c r="J75" s="28"/>
      <c r="K75" s="28"/>
      <c r="L75" s="28"/>
      <c r="M75" s="28"/>
    </row>
    <row r="76" spans="1:13" x14ac:dyDescent="0.35">
      <c r="A76" s="28"/>
      <c r="B76" s="32"/>
      <c r="C76" s="28"/>
      <c r="D76" s="29"/>
      <c r="E76" s="28"/>
      <c r="F76" s="28"/>
      <c r="G76" s="30"/>
      <c r="H76" s="28"/>
      <c r="I76" s="30"/>
      <c r="J76" s="28"/>
      <c r="K76" s="28"/>
      <c r="L76" s="28"/>
      <c r="M76" s="28"/>
    </row>
    <row r="77" spans="1:13" x14ac:dyDescent="0.35">
      <c r="A77" s="28"/>
      <c r="B77" s="32"/>
      <c r="C77" s="28"/>
      <c r="D77" s="29"/>
      <c r="E77" s="28"/>
      <c r="F77" s="28"/>
      <c r="G77" s="30"/>
      <c r="H77" s="28"/>
      <c r="I77" s="30"/>
      <c r="J77" s="28"/>
      <c r="K77" s="28"/>
      <c r="L77" s="28"/>
      <c r="M77" s="28"/>
    </row>
    <row r="78" spans="1:13" x14ac:dyDescent="0.35">
      <c r="A78" s="28"/>
      <c r="B78" s="32"/>
      <c r="C78" s="28"/>
      <c r="D78" s="29"/>
      <c r="E78" s="28"/>
      <c r="F78" s="28"/>
      <c r="G78" s="30"/>
      <c r="H78" s="28"/>
      <c r="I78" s="30"/>
      <c r="J78" s="28"/>
      <c r="K78" s="28"/>
      <c r="L78" s="28"/>
      <c r="M78" s="28"/>
    </row>
    <row r="79" spans="1:13" x14ac:dyDescent="0.35">
      <c r="A79" s="28"/>
      <c r="B79" s="32"/>
      <c r="C79" s="28"/>
      <c r="D79" s="29"/>
      <c r="E79" s="28"/>
      <c r="F79" s="28"/>
      <c r="G79" s="30"/>
      <c r="H79" s="28"/>
      <c r="I79" s="30"/>
      <c r="J79" s="28"/>
      <c r="K79" s="28"/>
      <c r="L79" s="28"/>
      <c r="M79" s="28"/>
    </row>
    <row r="80" spans="1:13" x14ac:dyDescent="0.35">
      <c r="A80" s="28"/>
      <c r="B80" s="32"/>
      <c r="C80" s="28"/>
      <c r="D80" s="29"/>
      <c r="E80" s="28"/>
      <c r="F80" s="28"/>
      <c r="G80" s="30"/>
      <c r="H80" s="28"/>
      <c r="I80" s="30"/>
      <c r="J80" s="28"/>
      <c r="K80" s="28"/>
      <c r="L80" s="28"/>
      <c r="M80" s="28"/>
    </row>
    <row r="81" spans="1:13" x14ac:dyDescent="0.35">
      <c r="A81" s="28"/>
      <c r="B81" s="32"/>
      <c r="C81" s="28"/>
      <c r="D81" s="29"/>
      <c r="E81" s="28"/>
      <c r="F81" s="28"/>
      <c r="G81" s="30"/>
      <c r="H81" s="28"/>
      <c r="I81" s="30"/>
      <c r="J81" s="28"/>
      <c r="K81" s="28"/>
      <c r="L81" s="28"/>
      <c r="M81" s="28"/>
    </row>
    <row r="82" spans="1:13" x14ac:dyDescent="0.35">
      <c r="A82" s="28"/>
      <c r="B82" s="32"/>
      <c r="C82" s="28"/>
      <c r="D82" s="29"/>
      <c r="E82" s="28"/>
      <c r="F82" s="28"/>
      <c r="G82" s="30"/>
      <c r="H82" s="28"/>
      <c r="I82" s="30"/>
      <c r="J82" s="28"/>
      <c r="K82" s="28"/>
      <c r="L82" s="28"/>
      <c r="M82" s="28"/>
    </row>
    <row r="83" spans="1:13" x14ac:dyDescent="0.35">
      <c r="A83" s="28"/>
      <c r="B83" s="32"/>
      <c r="C83" s="28"/>
      <c r="D83" s="29"/>
      <c r="E83" s="28"/>
      <c r="F83" s="28"/>
      <c r="G83" s="30"/>
      <c r="H83" s="28"/>
      <c r="I83" s="30"/>
      <c r="J83" s="28"/>
      <c r="K83" s="28"/>
      <c r="L83" s="28"/>
      <c r="M83" s="28"/>
    </row>
    <row r="84" spans="1:13" x14ac:dyDescent="0.35">
      <c r="A84" s="28"/>
      <c r="B84" s="32"/>
      <c r="C84" s="28"/>
      <c r="D84" s="29"/>
      <c r="E84" s="28"/>
      <c r="F84" s="28"/>
      <c r="G84" s="30"/>
      <c r="H84" s="28"/>
      <c r="I84" s="30"/>
      <c r="J84" s="28"/>
      <c r="K84" s="28"/>
      <c r="L84" s="28"/>
      <c r="M84" s="28"/>
    </row>
    <row r="85" spans="1:13" x14ac:dyDescent="0.35">
      <c r="A85" s="28"/>
      <c r="B85" s="32"/>
      <c r="C85" s="28"/>
      <c r="D85" s="29"/>
      <c r="E85" s="28"/>
      <c r="F85" s="28"/>
      <c r="G85" s="30"/>
      <c r="H85" s="28"/>
      <c r="I85" s="30"/>
      <c r="J85" s="28"/>
      <c r="K85" s="28"/>
      <c r="L85" s="28"/>
      <c r="M85" s="28"/>
    </row>
    <row r="86" spans="1:13" x14ac:dyDescent="0.35">
      <c r="A86" s="28"/>
      <c r="B86" s="32"/>
      <c r="C86" s="28"/>
      <c r="D86" s="29"/>
      <c r="E86" s="28"/>
      <c r="F86" s="28"/>
      <c r="G86" s="30"/>
      <c r="H86" s="28"/>
      <c r="I86" s="30"/>
      <c r="J86" s="28"/>
      <c r="K86" s="28"/>
      <c r="L86" s="28"/>
      <c r="M86" s="28"/>
    </row>
    <row r="87" spans="1:13" x14ac:dyDescent="0.35">
      <c r="A87" s="28"/>
      <c r="B87" s="32"/>
      <c r="C87" s="28"/>
      <c r="D87" s="29"/>
      <c r="E87" s="28"/>
      <c r="F87" s="28"/>
      <c r="G87" s="30"/>
      <c r="H87" s="28"/>
      <c r="I87" s="30"/>
      <c r="J87" s="28"/>
      <c r="K87" s="28"/>
      <c r="L87" s="28"/>
      <c r="M87" s="28"/>
    </row>
    <row r="88" spans="1:13" x14ac:dyDescent="0.35">
      <c r="A88" s="28"/>
      <c r="B88" s="32"/>
      <c r="C88" s="28"/>
      <c r="D88" s="29"/>
      <c r="E88" s="28"/>
      <c r="F88" s="28"/>
      <c r="G88" s="30"/>
      <c r="H88" s="28"/>
      <c r="I88" s="30"/>
      <c r="J88" s="28"/>
      <c r="K88" s="28"/>
      <c r="L88" s="28"/>
      <c r="M88" s="28"/>
    </row>
    <row r="89" spans="1:13" x14ac:dyDescent="0.35">
      <c r="A89" s="28"/>
      <c r="B89" s="32"/>
      <c r="C89" s="28"/>
      <c r="D89" s="29"/>
      <c r="E89" s="28"/>
      <c r="F89" s="28"/>
      <c r="G89" s="30"/>
      <c r="H89" s="28"/>
      <c r="I89" s="30"/>
      <c r="J89" s="28"/>
      <c r="K89" s="28"/>
      <c r="L89" s="28"/>
      <c r="M89" s="28"/>
    </row>
    <row r="90" spans="1:13" x14ac:dyDescent="0.35">
      <c r="A90" s="28"/>
      <c r="B90" s="32"/>
      <c r="C90" s="28"/>
      <c r="D90" s="29"/>
      <c r="E90" s="28"/>
      <c r="F90" s="28"/>
      <c r="G90" s="30"/>
      <c r="H90" s="28"/>
      <c r="I90" s="30"/>
      <c r="J90" s="28"/>
      <c r="K90" s="28"/>
      <c r="L90" s="28"/>
      <c r="M90" s="28"/>
    </row>
    <row r="91" spans="1:13" x14ac:dyDescent="0.35">
      <c r="A91" s="28"/>
      <c r="B91" s="32"/>
      <c r="C91" s="28"/>
      <c r="D91" s="29"/>
      <c r="E91" s="28"/>
      <c r="F91" s="28"/>
      <c r="G91" s="30"/>
      <c r="H91" s="28"/>
      <c r="I91" s="30"/>
      <c r="J91" s="28"/>
      <c r="K91" s="28"/>
      <c r="L91" s="28"/>
      <c r="M91" s="28"/>
    </row>
    <row r="92" spans="1:13" x14ac:dyDescent="0.35">
      <c r="A92" s="28"/>
      <c r="B92" s="32"/>
      <c r="C92" s="28"/>
      <c r="D92" s="29"/>
      <c r="E92" s="28"/>
      <c r="F92" s="28"/>
      <c r="G92" s="30"/>
      <c r="H92" s="28"/>
      <c r="I92" s="30"/>
      <c r="J92" s="28"/>
      <c r="K92" s="28"/>
      <c r="L92" s="28"/>
      <c r="M92" s="28"/>
    </row>
    <row r="93" spans="1:13" x14ac:dyDescent="0.35">
      <c r="A93" s="28"/>
      <c r="B93" s="32"/>
      <c r="C93" s="28"/>
      <c r="D93" s="29"/>
      <c r="E93" s="28"/>
      <c r="F93" s="28"/>
      <c r="G93" s="30"/>
      <c r="H93" s="28"/>
      <c r="I93" s="30"/>
      <c r="J93" s="28"/>
      <c r="K93" s="28"/>
      <c r="L93" s="28"/>
      <c r="M93" s="28"/>
    </row>
    <row r="94" spans="1:13" x14ac:dyDescent="0.35">
      <c r="A94" s="28"/>
      <c r="B94" s="32"/>
      <c r="C94" s="28"/>
      <c r="D94" s="29"/>
      <c r="E94" s="28"/>
      <c r="F94" s="28"/>
      <c r="G94" s="30"/>
      <c r="H94" s="28"/>
      <c r="I94" s="30"/>
      <c r="J94" s="28"/>
      <c r="K94" s="28"/>
      <c r="L94" s="28"/>
      <c r="M94" s="28"/>
    </row>
    <row r="95" spans="1:13" x14ac:dyDescent="0.35">
      <c r="A95" s="28"/>
      <c r="B95" s="32"/>
      <c r="C95" s="28"/>
      <c r="D95" s="29"/>
      <c r="E95" s="28"/>
      <c r="F95" s="28"/>
      <c r="G95" s="30"/>
      <c r="H95" s="28"/>
      <c r="I95" s="30"/>
      <c r="J95" s="28"/>
      <c r="K95" s="28"/>
      <c r="L95" s="28"/>
      <c r="M95" s="28"/>
    </row>
    <row r="96" spans="1:13" x14ac:dyDescent="0.35">
      <c r="A96" s="28"/>
      <c r="B96" s="32"/>
      <c r="C96" s="28"/>
      <c r="D96" s="29"/>
      <c r="E96" s="28"/>
      <c r="F96" s="28"/>
      <c r="G96" s="30"/>
      <c r="H96" s="28"/>
      <c r="I96" s="30"/>
      <c r="J96" s="28"/>
      <c r="K96" s="28"/>
      <c r="L96" s="28"/>
      <c r="M96" s="28"/>
    </row>
    <row r="97" spans="1:13" x14ac:dyDescent="0.35">
      <c r="A97" s="28"/>
      <c r="B97" s="32"/>
      <c r="C97" s="28"/>
      <c r="D97" s="29"/>
      <c r="E97" s="28"/>
      <c r="F97" s="28"/>
      <c r="G97" s="30"/>
      <c r="H97" s="28"/>
      <c r="I97" s="30"/>
      <c r="J97" s="28"/>
      <c r="K97" s="28"/>
      <c r="L97" s="28"/>
      <c r="M97" s="28"/>
    </row>
    <row r="98" spans="1:13" x14ac:dyDescent="0.35">
      <c r="A98" s="28"/>
      <c r="B98" s="32"/>
      <c r="C98" s="28"/>
      <c r="D98" s="29"/>
      <c r="E98" s="28"/>
      <c r="F98" s="28"/>
      <c r="G98" s="30"/>
      <c r="H98" s="28"/>
      <c r="I98" s="30"/>
      <c r="J98" s="28"/>
      <c r="K98" s="28"/>
      <c r="L98" s="28"/>
      <c r="M98" s="28"/>
    </row>
    <row r="99" spans="1:13" x14ac:dyDescent="0.35">
      <c r="A99" s="28"/>
      <c r="B99" s="32"/>
      <c r="C99" s="28"/>
      <c r="D99" s="29"/>
      <c r="E99" s="28"/>
      <c r="F99" s="28"/>
      <c r="G99" s="30"/>
      <c r="H99" s="28"/>
      <c r="I99" s="30"/>
      <c r="J99" s="28"/>
      <c r="K99" s="28"/>
      <c r="L99" s="28"/>
      <c r="M99" s="28"/>
    </row>
    <row r="100" spans="1:13" x14ac:dyDescent="0.35">
      <c r="A100" s="28"/>
      <c r="B100" s="32"/>
      <c r="C100" s="28"/>
      <c r="D100" s="29"/>
      <c r="E100" s="28"/>
      <c r="F100" s="28"/>
      <c r="G100" s="30"/>
      <c r="H100" s="28"/>
      <c r="I100" s="30"/>
      <c r="J100" s="28"/>
      <c r="K100" s="28"/>
      <c r="L100" s="28"/>
      <c r="M100" s="28"/>
    </row>
    <row r="101" spans="1:13" x14ac:dyDescent="0.35">
      <c r="A101" s="28"/>
      <c r="B101" s="32"/>
      <c r="C101" s="28"/>
      <c r="D101" s="29"/>
      <c r="E101" s="28"/>
      <c r="F101" s="28"/>
      <c r="G101" s="30"/>
      <c r="H101" s="28"/>
      <c r="I101" s="30"/>
      <c r="J101" s="28"/>
      <c r="K101" s="28"/>
      <c r="L101" s="28"/>
      <c r="M101" s="28"/>
    </row>
    <row r="102" spans="1:13" x14ac:dyDescent="0.35">
      <c r="A102" s="28"/>
      <c r="B102" s="32"/>
      <c r="C102" s="28"/>
      <c r="D102" s="29"/>
      <c r="E102" s="28"/>
      <c r="F102" s="28"/>
      <c r="G102" s="30"/>
      <c r="H102" s="28"/>
      <c r="I102" s="30"/>
      <c r="J102" s="28"/>
      <c r="K102" s="28"/>
      <c r="L102" s="28"/>
      <c r="M102" s="28"/>
    </row>
    <row r="103" spans="1:13" x14ac:dyDescent="0.35">
      <c r="A103" s="28"/>
      <c r="B103" s="32"/>
      <c r="C103" s="28"/>
      <c r="D103" s="29"/>
      <c r="E103" s="28"/>
      <c r="F103" s="28"/>
      <c r="G103" s="30"/>
      <c r="H103" s="28"/>
      <c r="I103" s="30"/>
      <c r="J103" s="28"/>
      <c r="K103" s="28"/>
      <c r="L103" s="28"/>
      <c r="M103" s="28"/>
    </row>
    <row r="104" spans="1:13" x14ac:dyDescent="0.35">
      <c r="A104" s="28"/>
      <c r="B104" s="32"/>
      <c r="C104" s="28"/>
      <c r="D104" s="29"/>
      <c r="E104" s="28"/>
      <c r="F104" s="28"/>
      <c r="G104" s="30"/>
      <c r="H104" s="28"/>
      <c r="I104" s="30"/>
      <c r="J104" s="28"/>
      <c r="K104" s="28"/>
      <c r="L104" s="28"/>
      <c r="M104" s="28"/>
    </row>
    <row r="105" spans="1:13" x14ac:dyDescent="0.35">
      <c r="A105" s="28"/>
      <c r="B105" s="32"/>
      <c r="C105" s="28"/>
      <c r="D105" s="29"/>
      <c r="E105" s="28"/>
      <c r="F105" s="28"/>
      <c r="G105" s="30"/>
      <c r="H105" s="28"/>
      <c r="I105" s="30"/>
      <c r="J105" s="28"/>
      <c r="K105" s="28"/>
      <c r="L105" s="28"/>
      <c r="M105" s="28"/>
    </row>
    <row r="106" spans="1:13" x14ac:dyDescent="0.35">
      <c r="A106" s="28"/>
      <c r="B106" s="32"/>
      <c r="C106" s="28"/>
      <c r="D106" s="29"/>
      <c r="E106" s="28"/>
      <c r="F106" s="28"/>
      <c r="G106" s="30"/>
      <c r="H106" s="28"/>
      <c r="I106" s="30"/>
      <c r="J106" s="28"/>
      <c r="K106" s="28"/>
      <c r="L106" s="28"/>
      <c r="M106" s="28"/>
    </row>
    <row r="107" spans="1:13" x14ac:dyDescent="0.35">
      <c r="A107" s="28"/>
      <c r="B107" s="32"/>
      <c r="C107" s="28"/>
      <c r="D107" s="29"/>
      <c r="E107" s="28"/>
      <c r="F107" s="28"/>
      <c r="G107" s="30"/>
      <c r="H107" s="28"/>
      <c r="I107" s="30"/>
      <c r="J107" s="28"/>
      <c r="K107" s="28"/>
      <c r="L107" s="28"/>
      <c r="M107" s="28"/>
    </row>
    <row r="108" spans="1:13" x14ac:dyDescent="0.35">
      <c r="A108" s="28"/>
      <c r="B108" s="32"/>
      <c r="C108" s="28"/>
      <c r="D108" s="29"/>
      <c r="E108" s="28"/>
      <c r="F108" s="28"/>
      <c r="G108" s="30"/>
      <c r="H108" s="28"/>
      <c r="I108" s="30"/>
      <c r="J108" s="28"/>
      <c r="K108" s="28"/>
      <c r="L108" s="28"/>
      <c r="M108" s="28"/>
    </row>
    <row r="109" spans="1:13" x14ac:dyDescent="0.35">
      <c r="A109" s="28"/>
      <c r="B109" s="32"/>
      <c r="C109" s="28"/>
      <c r="D109" s="29"/>
      <c r="E109" s="28"/>
      <c r="F109" s="28"/>
      <c r="G109" s="30"/>
      <c r="H109" s="28"/>
      <c r="I109" s="30"/>
      <c r="J109" s="28"/>
      <c r="K109" s="28"/>
      <c r="L109" s="28"/>
      <c r="M109" s="28"/>
    </row>
    <row r="110" spans="1:13" x14ac:dyDescent="0.35">
      <c r="A110" s="28"/>
      <c r="B110" s="32"/>
      <c r="C110" s="28"/>
      <c r="D110" s="29"/>
      <c r="E110" s="28"/>
      <c r="F110" s="28"/>
      <c r="G110" s="30"/>
      <c r="H110" s="28"/>
      <c r="I110" s="30"/>
      <c r="J110" s="28"/>
      <c r="K110" s="28"/>
      <c r="L110" s="28"/>
      <c r="M110" s="28"/>
    </row>
    <row r="111" spans="1:13" x14ac:dyDescent="0.35">
      <c r="A111" s="28"/>
      <c r="B111" s="32"/>
      <c r="C111" s="28"/>
      <c r="D111" s="29"/>
      <c r="E111" s="28"/>
      <c r="F111" s="28"/>
      <c r="G111" s="30"/>
      <c r="H111" s="28"/>
      <c r="I111" s="30"/>
      <c r="J111" s="28"/>
      <c r="K111" s="28"/>
      <c r="L111" s="28"/>
      <c r="M111" s="28"/>
    </row>
    <row r="112" spans="1:13" x14ac:dyDescent="0.35">
      <c r="A112" s="28"/>
      <c r="B112" s="32"/>
      <c r="C112" s="28"/>
      <c r="D112" s="29"/>
      <c r="E112" s="28"/>
      <c r="F112" s="28"/>
      <c r="G112" s="30"/>
      <c r="H112" s="28"/>
      <c r="I112" s="30"/>
      <c r="J112" s="28"/>
      <c r="K112" s="28"/>
      <c r="L112" s="28"/>
      <c r="M112" s="28"/>
    </row>
    <row r="113" spans="1:13" x14ac:dyDescent="0.35">
      <c r="A113" s="28"/>
      <c r="B113" s="32"/>
      <c r="C113" s="28"/>
      <c r="D113" s="29"/>
      <c r="E113" s="28"/>
      <c r="F113" s="28"/>
      <c r="G113" s="30"/>
      <c r="H113" s="28"/>
      <c r="I113" s="30"/>
      <c r="J113" s="28"/>
      <c r="K113" s="28"/>
      <c r="L113" s="28"/>
      <c r="M113" s="28"/>
    </row>
    <row r="114" spans="1:13" x14ac:dyDescent="0.35">
      <c r="A114" s="28"/>
      <c r="B114" s="32"/>
      <c r="C114" s="28"/>
      <c r="D114" s="29"/>
      <c r="E114" s="28"/>
      <c r="F114" s="28"/>
      <c r="G114" s="30"/>
      <c r="H114" s="28"/>
      <c r="I114" s="30"/>
      <c r="J114" s="28"/>
      <c r="K114" s="28"/>
      <c r="L114" s="28"/>
      <c r="M114" s="28"/>
    </row>
    <row r="115" spans="1:13" x14ac:dyDescent="0.35">
      <c r="A115" s="28"/>
      <c r="B115" s="32"/>
      <c r="C115" s="28"/>
      <c r="D115" s="29"/>
      <c r="E115" s="28"/>
      <c r="F115" s="28"/>
      <c r="G115" s="30"/>
      <c r="H115" s="28"/>
      <c r="I115" s="30"/>
      <c r="J115" s="28"/>
      <c r="K115" s="28"/>
      <c r="L115" s="28"/>
      <c r="M115" s="28"/>
    </row>
    <row r="116" spans="1:13" x14ac:dyDescent="0.35">
      <c r="A116" s="28"/>
      <c r="B116" s="32"/>
      <c r="C116" s="28"/>
      <c r="D116" s="29"/>
      <c r="E116" s="28"/>
      <c r="F116" s="28"/>
      <c r="G116" s="30"/>
      <c r="H116" s="28"/>
      <c r="I116" s="30"/>
      <c r="J116" s="28"/>
      <c r="K116" s="28"/>
      <c r="L116" s="28"/>
      <c r="M116" s="28"/>
    </row>
    <row r="117" spans="1:13" x14ac:dyDescent="0.35">
      <c r="A117" s="28"/>
      <c r="B117" s="32"/>
      <c r="C117" s="28"/>
      <c r="D117" s="29"/>
      <c r="E117" s="28"/>
      <c r="F117" s="28"/>
      <c r="G117" s="30"/>
      <c r="H117" s="28"/>
      <c r="I117" s="30"/>
      <c r="J117" s="28"/>
      <c r="K117" s="28"/>
      <c r="L117" s="28"/>
      <c r="M117" s="28"/>
    </row>
    <row r="118" spans="1:13" x14ac:dyDescent="0.35">
      <c r="A118" s="28"/>
      <c r="B118" s="32"/>
      <c r="C118" s="28"/>
      <c r="D118" s="29"/>
      <c r="E118" s="28"/>
      <c r="F118" s="28"/>
      <c r="G118" s="30"/>
      <c r="H118" s="28"/>
      <c r="I118" s="30"/>
      <c r="J118" s="28"/>
      <c r="K118" s="28"/>
      <c r="L118" s="28"/>
      <c r="M118" s="28"/>
    </row>
    <row r="119" spans="1:13" x14ac:dyDescent="0.35">
      <c r="A119" s="28"/>
      <c r="B119" s="32"/>
      <c r="C119" s="28"/>
      <c r="D119" s="29"/>
      <c r="E119" s="28"/>
      <c r="F119" s="28"/>
      <c r="G119" s="30"/>
      <c r="H119" s="28"/>
      <c r="I119" s="30"/>
      <c r="J119" s="28"/>
      <c r="K119" s="28"/>
      <c r="L119" s="28"/>
      <c r="M119" s="28"/>
    </row>
    <row r="120" spans="1:13" x14ac:dyDescent="0.35">
      <c r="A120" s="28"/>
      <c r="B120" s="32"/>
      <c r="C120" s="28"/>
      <c r="D120" s="29"/>
      <c r="E120" s="28"/>
      <c r="F120" s="28"/>
      <c r="G120" s="30"/>
      <c r="H120" s="28"/>
      <c r="I120" s="30"/>
      <c r="J120" s="28"/>
      <c r="K120" s="28"/>
      <c r="L120" s="28"/>
      <c r="M120" s="28"/>
    </row>
    <row r="121" spans="1:13" x14ac:dyDescent="0.35">
      <c r="A121" s="28"/>
      <c r="B121" s="32"/>
      <c r="C121" s="28"/>
      <c r="D121" s="29"/>
      <c r="E121" s="28"/>
      <c r="F121" s="28"/>
      <c r="G121" s="30"/>
      <c r="H121" s="28"/>
      <c r="I121" s="30"/>
      <c r="J121" s="28"/>
      <c r="K121" s="28"/>
      <c r="L121" s="28"/>
      <c r="M121" s="28"/>
    </row>
    <row r="122" spans="1:13" x14ac:dyDescent="0.35">
      <c r="A122" s="28"/>
      <c r="B122" s="32"/>
      <c r="C122" s="28"/>
      <c r="D122" s="29"/>
      <c r="E122" s="28"/>
      <c r="F122" s="28"/>
      <c r="G122" s="30"/>
      <c r="H122" s="28"/>
      <c r="I122" s="30"/>
      <c r="J122" s="28"/>
      <c r="K122" s="28"/>
      <c r="L122" s="28"/>
      <c r="M122" s="28"/>
    </row>
    <row r="123" spans="1:13" x14ac:dyDescent="0.35">
      <c r="A123" s="28"/>
      <c r="B123" s="32"/>
      <c r="C123" s="28"/>
      <c r="D123" s="29"/>
      <c r="E123" s="28"/>
      <c r="F123" s="28"/>
      <c r="G123" s="30"/>
      <c r="H123" s="28"/>
      <c r="I123" s="30"/>
      <c r="J123" s="28"/>
      <c r="K123" s="28"/>
      <c r="L123" s="28"/>
      <c r="M123" s="28"/>
    </row>
    <row r="124" spans="1:13" x14ac:dyDescent="0.35">
      <c r="A124" s="28"/>
      <c r="B124" s="32"/>
      <c r="C124" s="28"/>
      <c r="D124" s="29"/>
      <c r="E124" s="28"/>
      <c r="F124" s="28"/>
      <c r="G124" s="30"/>
      <c r="H124" s="28"/>
      <c r="I124" s="30"/>
      <c r="J124" s="28"/>
      <c r="K124" s="28"/>
      <c r="L124" s="28"/>
      <c r="M124" s="28"/>
    </row>
    <row r="125" spans="1:13" x14ac:dyDescent="0.35">
      <c r="A125" s="28"/>
      <c r="B125" s="32"/>
      <c r="C125" s="28"/>
      <c r="D125" s="29"/>
      <c r="E125" s="28"/>
      <c r="F125" s="28"/>
      <c r="G125" s="30"/>
      <c r="H125" s="28"/>
      <c r="I125" s="30"/>
      <c r="J125" s="28"/>
      <c r="K125" s="28"/>
      <c r="L125" s="28"/>
      <c r="M125" s="28"/>
    </row>
    <row r="126" spans="1:13" x14ac:dyDescent="0.35">
      <c r="A126" s="28"/>
      <c r="B126" s="32"/>
      <c r="C126" s="28"/>
      <c r="D126" s="29"/>
      <c r="E126" s="28"/>
      <c r="F126" s="28"/>
      <c r="G126" s="30"/>
      <c r="H126" s="28"/>
      <c r="I126" s="30"/>
      <c r="J126" s="28"/>
      <c r="K126" s="28"/>
      <c r="L126" s="28"/>
      <c r="M126" s="28"/>
    </row>
    <row r="127" spans="1:13" x14ac:dyDescent="0.35">
      <c r="A127" s="28"/>
      <c r="B127" s="32"/>
      <c r="C127" s="28"/>
      <c r="D127" s="29"/>
      <c r="E127" s="28"/>
      <c r="F127" s="28"/>
      <c r="G127" s="30"/>
      <c r="H127" s="28"/>
      <c r="I127" s="30"/>
      <c r="J127" s="28"/>
      <c r="K127" s="28"/>
      <c r="L127" s="28"/>
      <c r="M127" s="28"/>
    </row>
    <row r="128" spans="1:13" x14ac:dyDescent="0.35">
      <c r="A128" s="28"/>
      <c r="B128" s="32"/>
      <c r="C128" s="28"/>
      <c r="D128" s="29"/>
      <c r="E128" s="28"/>
      <c r="F128" s="28"/>
      <c r="G128" s="30"/>
      <c r="H128" s="28"/>
      <c r="I128" s="30"/>
      <c r="J128" s="28"/>
      <c r="K128" s="28"/>
      <c r="L128" s="28"/>
      <c r="M128" s="28"/>
    </row>
    <row r="129" spans="1:13" x14ac:dyDescent="0.35">
      <c r="A129" s="28"/>
      <c r="B129" s="32"/>
      <c r="C129" s="28"/>
      <c r="D129" s="29"/>
      <c r="E129" s="28"/>
      <c r="F129" s="28"/>
      <c r="G129" s="30"/>
      <c r="H129" s="28"/>
      <c r="I129" s="30"/>
      <c r="J129" s="28"/>
      <c r="K129" s="28"/>
      <c r="L129" s="28"/>
      <c r="M129" s="28"/>
    </row>
    <row r="130" spans="1:13" x14ac:dyDescent="0.35">
      <c r="A130" s="28"/>
      <c r="B130" s="32"/>
      <c r="C130" s="28"/>
      <c r="D130" s="29"/>
      <c r="E130" s="28"/>
      <c r="F130" s="28"/>
      <c r="G130" s="30"/>
      <c r="H130" s="28"/>
      <c r="I130" s="30"/>
      <c r="J130" s="28"/>
      <c r="K130" s="28"/>
      <c r="L130" s="28"/>
      <c r="M130" s="28"/>
    </row>
    <row r="131" spans="1:13" x14ac:dyDescent="0.35">
      <c r="A131" s="28"/>
      <c r="B131" s="32"/>
      <c r="C131" s="28"/>
      <c r="D131" s="29"/>
      <c r="E131" s="28"/>
      <c r="F131" s="28"/>
      <c r="G131" s="30"/>
      <c r="H131" s="28"/>
      <c r="I131" s="30"/>
      <c r="J131" s="28"/>
      <c r="K131" s="28"/>
      <c r="L131" s="28"/>
      <c r="M131" s="28"/>
    </row>
    <row r="132" spans="1:13" x14ac:dyDescent="0.35">
      <c r="A132" s="28"/>
      <c r="B132" s="32"/>
      <c r="C132" s="28"/>
      <c r="D132" s="29"/>
      <c r="E132" s="28"/>
      <c r="F132" s="28"/>
      <c r="G132" s="30"/>
      <c r="H132" s="28"/>
      <c r="I132" s="30"/>
      <c r="J132" s="28"/>
      <c r="K132" s="28"/>
      <c r="L132" s="28"/>
      <c r="M132" s="28"/>
    </row>
    <row r="133" spans="1:13" x14ac:dyDescent="0.35">
      <c r="A133" s="28"/>
      <c r="B133" s="32"/>
      <c r="C133" s="28"/>
      <c r="D133" s="29"/>
      <c r="E133" s="28"/>
      <c r="F133" s="28"/>
      <c r="G133" s="30"/>
      <c r="H133" s="28"/>
      <c r="I133" s="30"/>
      <c r="J133" s="28"/>
      <c r="K133" s="28"/>
      <c r="L133" s="28"/>
      <c r="M133" s="28"/>
    </row>
    <row r="134" spans="1:13" x14ac:dyDescent="0.35">
      <c r="A134" s="28"/>
      <c r="B134" s="32"/>
      <c r="C134" s="28"/>
      <c r="D134" s="29"/>
      <c r="E134" s="28"/>
      <c r="F134" s="28"/>
      <c r="G134" s="30"/>
      <c r="H134" s="28"/>
      <c r="I134" s="30"/>
      <c r="J134" s="28"/>
      <c r="K134" s="28"/>
      <c r="L134" s="28"/>
      <c r="M134" s="28"/>
    </row>
    <row r="135" spans="1:13" x14ac:dyDescent="0.35">
      <c r="A135" s="28"/>
      <c r="B135" s="32"/>
      <c r="C135" s="28"/>
      <c r="D135" s="29"/>
      <c r="E135" s="28"/>
      <c r="F135" s="28"/>
      <c r="G135" s="30"/>
      <c r="H135" s="28"/>
      <c r="I135" s="30"/>
      <c r="J135" s="28"/>
      <c r="K135" s="28"/>
      <c r="L135" s="28"/>
      <c r="M135" s="28"/>
    </row>
    <row r="136" spans="1:13" x14ac:dyDescent="0.35">
      <c r="A136" s="28"/>
      <c r="B136" s="32"/>
      <c r="C136" s="28"/>
      <c r="D136" s="29"/>
      <c r="E136" s="28"/>
      <c r="F136" s="28"/>
      <c r="G136" s="30"/>
      <c r="H136" s="28"/>
      <c r="I136" s="30"/>
      <c r="J136" s="28"/>
      <c r="K136" s="28"/>
      <c r="L136" s="28"/>
      <c r="M136" s="28"/>
    </row>
    <row r="137" spans="1:13" x14ac:dyDescent="0.35">
      <c r="A137" s="28"/>
      <c r="B137" s="32"/>
      <c r="C137" s="28"/>
      <c r="D137" s="29"/>
      <c r="E137" s="28"/>
      <c r="F137" s="28"/>
      <c r="G137" s="30"/>
      <c r="H137" s="28"/>
      <c r="I137" s="30"/>
      <c r="J137" s="28"/>
      <c r="K137" s="28"/>
      <c r="L137" s="28"/>
      <c r="M137" s="28"/>
    </row>
    <row r="138" spans="1:13" x14ac:dyDescent="0.35">
      <c r="A138" s="28"/>
      <c r="B138" s="32"/>
      <c r="C138" s="28"/>
      <c r="D138" s="29"/>
      <c r="E138" s="28"/>
      <c r="F138" s="28"/>
      <c r="G138" s="30"/>
      <c r="H138" s="28"/>
      <c r="I138" s="30"/>
      <c r="J138" s="28"/>
      <c r="K138" s="28"/>
      <c r="L138" s="28"/>
      <c r="M138" s="28"/>
    </row>
    <row r="139" spans="1:13" x14ac:dyDescent="0.35">
      <c r="A139" s="28"/>
      <c r="B139" s="32"/>
      <c r="C139" s="28"/>
      <c r="D139" s="29"/>
      <c r="E139" s="28"/>
      <c r="F139" s="28"/>
      <c r="G139" s="30"/>
      <c r="H139" s="28"/>
      <c r="I139" s="30"/>
      <c r="J139" s="28"/>
      <c r="K139" s="28"/>
      <c r="L139" s="28"/>
      <c r="M139" s="28"/>
    </row>
    <row r="140" spans="1:13" x14ac:dyDescent="0.35">
      <c r="A140" s="28"/>
      <c r="B140" s="32"/>
      <c r="C140" s="28"/>
      <c r="D140" s="29"/>
      <c r="E140" s="28"/>
      <c r="F140" s="28"/>
      <c r="G140" s="30"/>
      <c r="H140" s="28"/>
      <c r="I140" s="30"/>
      <c r="J140" s="28"/>
      <c r="K140" s="28"/>
      <c r="L140" s="28"/>
      <c r="M140" s="28"/>
    </row>
    <row r="141" spans="1:13" x14ac:dyDescent="0.35">
      <c r="A141" s="28"/>
      <c r="B141" s="32"/>
      <c r="C141" s="28"/>
      <c r="D141" s="29"/>
      <c r="E141" s="28"/>
      <c r="F141" s="28"/>
      <c r="G141" s="30"/>
      <c r="H141" s="28"/>
      <c r="I141" s="30"/>
      <c r="J141" s="28"/>
      <c r="K141" s="28"/>
      <c r="L141" s="28"/>
      <c r="M141" s="28"/>
    </row>
    <row r="142" spans="1:13" x14ac:dyDescent="0.35">
      <c r="I142" s="27"/>
    </row>
    <row r="143" spans="1:13" x14ac:dyDescent="0.35">
      <c r="I143" s="27"/>
    </row>
    <row r="144" spans="1:13" x14ac:dyDescent="0.35">
      <c r="I144" s="27"/>
    </row>
    <row r="146" spans="9:9" x14ac:dyDescent="0.35">
      <c r="I146" s="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AB42-07CB-4DF1-BB55-46ACE7AFA11F}">
  <dimension ref="A1:N147"/>
  <sheetViews>
    <sheetView workbookViewId="0">
      <selection activeCell="A2" sqref="A2"/>
    </sheetView>
  </sheetViews>
  <sheetFormatPr defaultRowHeight="14.5" x14ac:dyDescent="0.35"/>
  <cols>
    <col min="1" max="1" width="7.81640625" bestFit="1" customWidth="1"/>
    <col min="2" max="2" width="13.90625" bestFit="1" customWidth="1"/>
    <col min="3" max="3" width="11.81640625" bestFit="1" customWidth="1"/>
    <col min="4" max="4" width="8.1796875" bestFit="1" customWidth="1"/>
    <col min="5" max="5" width="8.453125" bestFit="1" customWidth="1"/>
    <col min="7" max="7" width="11.90625" bestFit="1" customWidth="1"/>
    <col min="8" max="8" width="41.1796875" bestFit="1" customWidth="1"/>
    <col min="9" max="9" width="0" hidden="1" customWidth="1"/>
    <col min="10" max="10" width="15.453125" bestFit="1" customWidth="1"/>
  </cols>
  <sheetData>
    <row r="1" spans="1:14" ht="58" x14ac:dyDescent="0.35">
      <c r="A1" s="10" t="s">
        <v>947</v>
      </c>
      <c r="B1" s="11" t="s">
        <v>486</v>
      </c>
      <c r="C1" s="10" t="s">
        <v>487</v>
      </c>
      <c r="D1" s="10" t="s">
        <v>489</v>
      </c>
      <c r="E1" s="11" t="s">
        <v>490</v>
      </c>
      <c r="F1" s="11" t="s">
        <v>491</v>
      </c>
      <c r="G1" s="11" t="s">
        <v>492</v>
      </c>
      <c r="H1" s="11" t="s">
        <v>493</v>
      </c>
      <c r="I1" s="10" t="s">
        <v>948</v>
      </c>
      <c r="J1" s="10" t="s">
        <v>949</v>
      </c>
      <c r="K1" s="10" t="s">
        <v>494</v>
      </c>
      <c r="L1" s="10" t="s">
        <v>950</v>
      </c>
      <c r="M1" s="88"/>
      <c r="N1" s="88" t="s">
        <v>995</v>
      </c>
    </row>
    <row r="2" spans="1:14" x14ac:dyDescent="0.35">
      <c r="A2" s="12" t="s">
        <v>951</v>
      </c>
      <c r="B2" s="12" t="s">
        <v>496</v>
      </c>
      <c r="C2" s="13">
        <v>45848</v>
      </c>
      <c r="D2" s="84">
        <v>256779421302</v>
      </c>
      <c r="E2" s="12" t="s">
        <v>11</v>
      </c>
      <c r="F2" s="14">
        <v>-3.54</v>
      </c>
      <c r="G2" s="12" t="s">
        <v>56</v>
      </c>
      <c r="H2" s="14">
        <v>-304.44</v>
      </c>
      <c r="I2" s="12" t="s">
        <v>952</v>
      </c>
      <c r="J2" s="12" t="s">
        <v>953</v>
      </c>
      <c r="K2" s="12" t="s">
        <v>783</v>
      </c>
      <c r="L2" s="12" t="s">
        <v>954</v>
      </c>
      <c r="M2" s="12"/>
      <c r="N2" t="s">
        <v>996</v>
      </c>
    </row>
    <row r="3" spans="1:14" x14ac:dyDescent="0.35">
      <c r="A3" s="12" t="s">
        <v>955</v>
      </c>
      <c r="B3" s="12" t="s">
        <v>496</v>
      </c>
      <c r="C3" s="13">
        <v>45848</v>
      </c>
      <c r="D3" s="84">
        <v>256779421222</v>
      </c>
      <c r="E3" s="12" t="s">
        <v>11</v>
      </c>
      <c r="F3" s="14">
        <v>-295</v>
      </c>
      <c r="G3" s="12" t="s">
        <v>56</v>
      </c>
      <c r="H3" s="14">
        <v>-25370.2</v>
      </c>
      <c r="I3" s="12" t="s">
        <v>952</v>
      </c>
      <c r="J3" s="12" t="s">
        <v>953</v>
      </c>
      <c r="K3" s="12" t="s">
        <v>722</v>
      </c>
      <c r="L3" s="12" t="s">
        <v>954</v>
      </c>
      <c r="M3" s="12"/>
      <c r="N3" t="s">
        <v>996</v>
      </c>
    </row>
    <row r="4" spans="1:14" x14ac:dyDescent="0.35">
      <c r="A4" s="12" t="s">
        <v>956</v>
      </c>
      <c r="B4" s="12" t="s">
        <v>496</v>
      </c>
      <c r="C4" s="13">
        <v>45848</v>
      </c>
      <c r="D4" s="84">
        <v>256779421239</v>
      </c>
      <c r="E4" s="12" t="s">
        <v>11</v>
      </c>
      <c r="F4" s="14">
        <v>-35.4</v>
      </c>
      <c r="G4" s="12" t="s">
        <v>56</v>
      </c>
      <c r="H4" s="14">
        <v>-3044.42</v>
      </c>
      <c r="I4" s="12" t="s">
        <v>952</v>
      </c>
      <c r="J4" s="12" t="s">
        <v>953</v>
      </c>
      <c r="K4" s="12" t="s">
        <v>738</v>
      </c>
      <c r="L4" s="12" t="s">
        <v>954</v>
      </c>
      <c r="M4" s="12"/>
      <c r="N4" t="s">
        <v>996</v>
      </c>
    </row>
    <row r="5" spans="1:14" x14ac:dyDescent="0.35">
      <c r="A5" s="12" t="s">
        <v>957</v>
      </c>
      <c r="B5" s="12" t="s">
        <v>496</v>
      </c>
      <c r="C5" s="13">
        <v>45848</v>
      </c>
      <c r="D5" s="84">
        <v>256779421240</v>
      </c>
      <c r="E5" s="12" t="s">
        <v>11</v>
      </c>
      <c r="F5" s="14">
        <v>-35.4</v>
      </c>
      <c r="G5" s="12" t="s">
        <v>56</v>
      </c>
      <c r="H5" s="14">
        <v>-3044.42</v>
      </c>
      <c r="I5" s="12" t="s">
        <v>952</v>
      </c>
      <c r="J5" s="12" t="s">
        <v>953</v>
      </c>
      <c r="K5" s="12" t="s">
        <v>739</v>
      </c>
      <c r="L5" s="12" t="s">
        <v>954</v>
      </c>
      <c r="M5" s="12"/>
      <c r="N5" t="s">
        <v>996</v>
      </c>
    </row>
    <row r="6" spans="1:14" x14ac:dyDescent="0.35">
      <c r="A6" s="12" t="s">
        <v>958</v>
      </c>
      <c r="B6" s="12" t="s">
        <v>496</v>
      </c>
      <c r="C6" s="13">
        <v>45848</v>
      </c>
      <c r="D6" s="84">
        <v>256779421280</v>
      </c>
      <c r="E6" s="12" t="s">
        <v>11</v>
      </c>
      <c r="F6" s="14">
        <v>-23.6</v>
      </c>
      <c r="G6" s="12" t="s">
        <v>56</v>
      </c>
      <c r="H6" s="14">
        <v>-2029.62</v>
      </c>
      <c r="I6" s="12" t="s">
        <v>952</v>
      </c>
      <c r="J6" s="12" t="s">
        <v>953</v>
      </c>
      <c r="K6" s="12" t="s">
        <v>765</v>
      </c>
      <c r="L6" s="12" t="s">
        <v>954</v>
      </c>
      <c r="M6" s="12"/>
      <c r="N6" t="s">
        <v>996</v>
      </c>
    </row>
    <row r="7" spans="1:14" x14ac:dyDescent="0.35">
      <c r="A7" s="12" t="s">
        <v>959</v>
      </c>
      <c r="B7" s="12" t="s">
        <v>496</v>
      </c>
      <c r="C7" s="13">
        <v>45848</v>
      </c>
      <c r="D7" s="84">
        <v>256779421282</v>
      </c>
      <c r="E7" s="12" t="s">
        <v>11</v>
      </c>
      <c r="F7" s="14">
        <v>-32.450000000000003</v>
      </c>
      <c r="G7" s="12" t="s">
        <v>56</v>
      </c>
      <c r="H7" s="14">
        <v>-2790.72</v>
      </c>
      <c r="I7" s="12" t="s">
        <v>952</v>
      </c>
      <c r="J7" s="12" t="s">
        <v>953</v>
      </c>
      <c r="K7" s="12" t="s">
        <v>767</v>
      </c>
      <c r="L7" s="12" t="s">
        <v>954</v>
      </c>
      <c r="M7" s="12"/>
      <c r="N7" t="s">
        <v>996</v>
      </c>
    </row>
    <row r="8" spans="1:14" x14ac:dyDescent="0.35">
      <c r="A8" s="12" t="s">
        <v>960</v>
      </c>
      <c r="B8" s="12" t="s">
        <v>496</v>
      </c>
      <c r="C8" s="13">
        <v>45848</v>
      </c>
      <c r="D8" s="84">
        <v>256779421283</v>
      </c>
      <c r="E8" s="12" t="s">
        <v>11</v>
      </c>
      <c r="F8" s="14">
        <v>-26.55</v>
      </c>
      <c r="G8" s="12" t="s">
        <v>56</v>
      </c>
      <c r="H8" s="14">
        <v>-2283.3200000000002</v>
      </c>
      <c r="I8" s="12" t="s">
        <v>952</v>
      </c>
      <c r="J8" s="12" t="s">
        <v>953</v>
      </c>
      <c r="K8" s="12" t="s">
        <v>768</v>
      </c>
      <c r="L8" s="12" t="s">
        <v>954</v>
      </c>
      <c r="M8" s="12"/>
      <c r="N8" t="s">
        <v>996</v>
      </c>
    </row>
    <row r="9" spans="1:14" x14ac:dyDescent="0.35">
      <c r="A9" s="12" t="s">
        <v>961</v>
      </c>
      <c r="B9" s="12" t="s">
        <v>496</v>
      </c>
      <c r="C9" s="13">
        <v>45890</v>
      </c>
      <c r="D9" s="84">
        <v>256779421698</v>
      </c>
      <c r="E9" s="12" t="s">
        <v>11</v>
      </c>
      <c r="F9" s="14">
        <v>-30</v>
      </c>
      <c r="G9" s="12" t="s">
        <v>56</v>
      </c>
      <c r="H9" s="14">
        <v>-2580.9</v>
      </c>
      <c r="I9" s="12" t="s">
        <v>952</v>
      </c>
      <c r="J9" s="12" t="s">
        <v>953</v>
      </c>
      <c r="K9" s="12" t="s">
        <v>631</v>
      </c>
      <c r="L9" s="12" t="s">
        <v>954</v>
      </c>
      <c r="M9" s="12"/>
      <c r="N9" t="s">
        <v>997</v>
      </c>
    </row>
    <row r="10" spans="1:14" x14ac:dyDescent="0.35">
      <c r="A10" s="12" t="s">
        <v>962</v>
      </c>
      <c r="B10" s="12" t="s">
        <v>496</v>
      </c>
      <c r="C10" s="13">
        <v>45890</v>
      </c>
      <c r="D10" s="84">
        <v>256779421699</v>
      </c>
      <c r="E10" s="12" t="s">
        <v>11</v>
      </c>
      <c r="F10" s="14">
        <v>-30</v>
      </c>
      <c r="G10" s="12" t="s">
        <v>56</v>
      </c>
      <c r="H10" s="14">
        <v>-2580.9</v>
      </c>
      <c r="I10" s="12" t="s">
        <v>952</v>
      </c>
      <c r="J10" s="12" t="s">
        <v>953</v>
      </c>
      <c r="K10" s="12" t="s">
        <v>632</v>
      </c>
      <c r="L10" s="12" t="s">
        <v>954</v>
      </c>
      <c r="M10" s="12"/>
      <c r="N10" t="s">
        <v>997</v>
      </c>
    </row>
    <row r="11" spans="1:14" x14ac:dyDescent="0.35">
      <c r="A11" s="12" t="s">
        <v>963</v>
      </c>
      <c r="B11" s="12" t="s">
        <v>496</v>
      </c>
      <c r="C11" s="13">
        <v>45890</v>
      </c>
      <c r="D11" s="84">
        <v>256779421700</v>
      </c>
      <c r="E11" s="12" t="s">
        <v>11</v>
      </c>
      <c r="F11" s="14">
        <v>-30</v>
      </c>
      <c r="G11" s="12" t="s">
        <v>56</v>
      </c>
      <c r="H11" s="14">
        <v>-2580.9</v>
      </c>
      <c r="I11" s="12" t="s">
        <v>952</v>
      </c>
      <c r="J11" s="12" t="s">
        <v>953</v>
      </c>
      <c r="K11" s="12" t="s">
        <v>633</v>
      </c>
      <c r="L11" s="12" t="s">
        <v>954</v>
      </c>
      <c r="M11" s="12"/>
      <c r="N11" t="s">
        <v>997</v>
      </c>
    </row>
    <row r="12" spans="1:14" x14ac:dyDescent="0.35">
      <c r="A12" s="12" t="s">
        <v>964</v>
      </c>
      <c r="B12" s="12" t="s">
        <v>496</v>
      </c>
      <c r="C12" s="13">
        <v>45890</v>
      </c>
      <c r="D12" s="84">
        <v>256779421701</v>
      </c>
      <c r="E12" s="12" t="s">
        <v>11</v>
      </c>
      <c r="F12" s="14">
        <v>-30</v>
      </c>
      <c r="G12" s="12" t="s">
        <v>56</v>
      </c>
      <c r="H12" s="14">
        <v>-2580.9</v>
      </c>
      <c r="I12" s="12" t="s">
        <v>952</v>
      </c>
      <c r="J12" s="12" t="s">
        <v>953</v>
      </c>
      <c r="K12" s="12" t="s">
        <v>634</v>
      </c>
      <c r="L12" s="12" t="s">
        <v>954</v>
      </c>
      <c r="M12" s="12"/>
      <c r="N12" t="s">
        <v>997</v>
      </c>
    </row>
    <row r="13" spans="1:14" x14ac:dyDescent="0.35">
      <c r="A13" s="12" t="s">
        <v>965</v>
      </c>
      <c r="B13" s="12" t="s">
        <v>496</v>
      </c>
      <c r="C13" s="13">
        <v>45890</v>
      </c>
      <c r="D13" s="84">
        <v>256779421702</v>
      </c>
      <c r="E13" s="12" t="s">
        <v>11</v>
      </c>
      <c r="F13" s="14">
        <v>-30</v>
      </c>
      <c r="G13" s="12" t="s">
        <v>56</v>
      </c>
      <c r="H13" s="14">
        <v>-2580.9</v>
      </c>
      <c r="I13" s="12" t="s">
        <v>952</v>
      </c>
      <c r="J13" s="12" t="s">
        <v>953</v>
      </c>
      <c r="K13" s="12" t="s">
        <v>635</v>
      </c>
      <c r="L13" s="12" t="s">
        <v>954</v>
      </c>
      <c r="M13" s="12"/>
      <c r="N13" t="s">
        <v>997</v>
      </c>
    </row>
    <row r="14" spans="1:14" x14ac:dyDescent="0.35">
      <c r="A14" s="12" t="s">
        <v>966</v>
      </c>
      <c r="B14" s="12" t="s">
        <v>496</v>
      </c>
      <c r="C14" s="13">
        <v>45890</v>
      </c>
      <c r="D14" s="84">
        <v>256779421703</v>
      </c>
      <c r="E14" s="12" t="s">
        <v>11</v>
      </c>
      <c r="F14" s="14">
        <v>-27.39</v>
      </c>
      <c r="G14" s="12" t="s">
        <v>56</v>
      </c>
      <c r="H14" s="14">
        <v>-2356.36</v>
      </c>
      <c r="I14" s="12" t="s">
        <v>952</v>
      </c>
      <c r="J14" s="12" t="s">
        <v>953</v>
      </c>
      <c r="K14" s="12" t="s">
        <v>636</v>
      </c>
      <c r="L14" s="12" t="s">
        <v>954</v>
      </c>
      <c r="M14" s="12"/>
      <c r="N14" t="s">
        <v>997</v>
      </c>
    </row>
    <row r="15" spans="1:14" x14ac:dyDescent="0.35">
      <c r="A15" s="12" t="s">
        <v>967</v>
      </c>
      <c r="B15" s="12" t="s">
        <v>496</v>
      </c>
      <c r="C15" s="13">
        <v>45890</v>
      </c>
      <c r="D15" s="84">
        <v>256779421705</v>
      </c>
      <c r="E15" s="12" t="s">
        <v>11</v>
      </c>
      <c r="F15" s="14">
        <v>-212.5</v>
      </c>
      <c r="G15" s="12" t="s">
        <v>56</v>
      </c>
      <c r="H15" s="14">
        <v>-18281.400000000001</v>
      </c>
      <c r="I15" s="12" t="s">
        <v>952</v>
      </c>
      <c r="J15" s="12" t="s">
        <v>953</v>
      </c>
      <c r="K15" s="12" t="s">
        <v>637</v>
      </c>
      <c r="L15" s="12" t="s">
        <v>954</v>
      </c>
      <c r="M15" s="12"/>
      <c r="N15" t="s">
        <v>997</v>
      </c>
    </row>
    <row r="16" spans="1:14" x14ac:dyDescent="0.35">
      <c r="A16" s="12" t="s">
        <v>968</v>
      </c>
      <c r="B16" s="12" t="s">
        <v>496</v>
      </c>
      <c r="C16" s="13">
        <v>45890</v>
      </c>
      <c r="D16" s="84">
        <v>256779421706</v>
      </c>
      <c r="E16" s="12" t="s">
        <v>11</v>
      </c>
      <c r="F16" s="14">
        <v>-362.02</v>
      </c>
      <c r="G16" s="12" t="s">
        <v>56</v>
      </c>
      <c r="H16" s="14">
        <v>-31144.62</v>
      </c>
      <c r="I16" s="12" t="s">
        <v>952</v>
      </c>
      <c r="J16" s="12" t="s">
        <v>953</v>
      </c>
      <c r="K16" s="12" t="s">
        <v>638</v>
      </c>
      <c r="L16" s="12" t="s">
        <v>971</v>
      </c>
      <c r="M16" s="12"/>
      <c r="N16" t="s">
        <v>997</v>
      </c>
    </row>
    <row r="17" spans="1:14" x14ac:dyDescent="0.35">
      <c r="A17" s="12" t="s">
        <v>969</v>
      </c>
      <c r="B17" s="12" t="s">
        <v>496</v>
      </c>
      <c r="C17" s="13">
        <v>45890</v>
      </c>
      <c r="D17" s="84">
        <v>256779421707</v>
      </c>
      <c r="E17" s="12" t="s">
        <v>11</v>
      </c>
      <c r="F17" s="14">
        <v>-228.75</v>
      </c>
      <c r="G17" s="12" t="s">
        <v>56</v>
      </c>
      <c r="H17" s="14">
        <v>-19679.39</v>
      </c>
      <c r="I17" s="12" t="s">
        <v>952</v>
      </c>
      <c r="J17" s="12" t="s">
        <v>953</v>
      </c>
      <c r="K17" s="12" t="s">
        <v>639</v>
      </c>
      <c r="L17" s="12" t="s">
        <v>971</v>
      </c>
      <c r="M17" s="12"/>
      <c r="N17" t="s">
        <v>997</v>
      </c>
    </row>
    <row r="18" spans="1:14" x14ac:dyDescent="0.35">
      <c r="A18" s="12" t="s">
        <v>970</v>
      </c>
      <c r="B18" s="12" t="s">
        <v>496</v>
      </c>
      <c r="C18" s="13">
        <v>45890</v>
      </c>
      <c r="D18" s="84">
        <v>256779421708</v>
      </c>
      <c r="E18" s="12" t="s">
        <v>11</v>
      </c>
      <c r="F18" s="14">
        <v>-281.5</v>
      </c>
      <c r="G18" s="12" t="s">
        <v>56</v>
      </c>
      <c r="H18" s="14">
        <v>-24217.48</v>
      </c>
      <c r="I18" s="12" t="s">
        <v>952</v>
      </c>
      <c r="J18" s="12" t="s">
        <v>953</v>
      </c>
      <c r="K18" s="12" t="s">
        <v>640</v>
      </c>
      <c r="L18" s="12" t="s">
        <v>971</v>
      </c>
      <c r="M18" s="12"/>
      <c r="N18" t="s">
        <v>997</v>
      </c>
    </row>
    <row r="19" spans="1:14" x14ac:dyDescent="0.35">
      <c r="A19" s="12" t="s">
        <v>972</v>
      </c>
      <c r="B19" s="12" t="s">
        <v>496</v>
      </c>
      <c r="C19" s="13">
        <v>45890</v>
      </c>
      <c r="D19" s="84">
        <v>256779421697</v>
      </c>
      <c r="E19" s="12" t="s">
        <v>11</v>
      </c>
      <c r="F19" s="14">
        <v>-100</v>
      </c>
      <c r="G19" s="12" t="s">
        <v>56</v>
      </c>
      <c r="H19" s="14">
        <v>-8603.01</v>
      </c>
      <c r="I19" s="12" t="s">
        <v>952</v>
      </c>
      <c r="J19" s="12" t="s">
        <v>953</v>
      </c>
      <c r="K19" s="12" t="s">
        <v>856</v>
      </c>
      <c r="L19" s="12" t="s">
        <v>954</v>
      </c>
      <c r="M19" s="12"/>
      <c r="N19" t="s">
        <v>997</v>
      </c>
    </row>
    <row r="20" spans="1:14" x14ac:dyDescent="0.35">
      <c r="A20" s="12" t="s">
        <v>973</v>
      </c>
      <c r="B20" s="12" t="s">
        <v>496</v>
      </c>
      <c r="C20" s="13">
        <v>45890</v>
      </c>
      <c r="D20" s="84">
        <v>256779421704</v>
      </c>
      <c r="E20" s="12" t="s">
        <v>11</v>
      </c>
      <c r="F20" s="14">
        <v>-8.48</v>
      </c>
      <c r="G20" s="12" t="s">
        <v>56</v>
      </c>
      <c r="H20" s="14">
        <v>-729.54</v>
      </c>
      <c r="I20" s="12" t="s">
        <v>952</v>
      </c>
      <c r="J20" s="12" t="s">
        <v>953</v>
      </c>
      <c r="K20" s="12" t="s">
        <v>857</v>
      </c>
      <c r="L20" s="12" t="s">
        <v>971</v>
      </c>
      <c r="M20" s="12"/>
      <c r="N20" t="s">
        <v>997</v>
      </c>
    </row>
    <row r="21" spans="1:14" x14ac:dyDescent="0.35">
      <c r="A21" s="12"/>
      <c r="B21" s="13"/>
      <c r="C21" s="12"/>
      <c r="D21" s="12"/>
      <c r="E21" s="14"/>
      <c r="F21" s="12"/>
      <c r="G21" s="14"/>
      <c r="H21" s="87">
        <f>SUM(H2:H20)</f>
        <v>-156783.44000000003</v>
      </c>
      <c r="I21" t="str">
        <f>MID(H21,28,15)</f>
        <v/>
      </c>
      <c r="J21" s="4"/>
    </row>
    <row r="22" spans="1:14" x14ac:dyDescent="0.35">
      <c r="A22" s="12"/>
      <c r="B22" s="13"/>
      <c r="C22" s="12"/>
      <c r="D22" s="12"/>
      <c r="E22" s="14"/>
      <c r="F22" s="12"/>
      <c r="G22" s="14"/>
      <c r="H22" s="12"/>
      <c r="I22" t="str">
        <f t="shared" ref="I22:I23" si="0">MID(H22,28,15)</f>
        <v/>
      </c>
      <c r="J22" s="4"/>
    </row>
    <row r="23" spans="1:14" x14ac:dyDescent="0.35">
      <c r="A23" s="12"/>
      <c r="B23" s="13"/>
      <c r="C23" s="12"/>
      <c r="D23" s="12"/>
      <c r="E23" s="14"/>
      <c r="F23" s="12"/>
      <c r="G23" s="14"/>
      <c r="H23" s="12"/>
      <c r="I23" t="str">
        <f t="shared" si="0"/>
        <v/>
      </c>
      <c r="J23" s="4"/>
    </row>
    <row r="24" spans="1:14" x14ac:dyDescent="0.35">
      <c r="A24" s="12"/>
      <c r="B24" s="13"/>
      <c r="C24" s="12"/>
      <c r="D24" s="12"/>
      <c r="E24" s="14"/>
      <c r="F24" s="12"/>
      <c r="G24" s="14"/>
      <c r="H24" s="12"/>
      <c r="I24" t="str">
        <f t="shared" ref="I24:I25" si="1">MID(H24,20,15)</f>
        <v/>
      </c>
      <c r="J24" s="4"/>
    </row>
    <row r="25" spans="1:14" x14ac:dyDescent="0.35">
      <c r="A25" s="12"/>
      <c r="B25" s="13"/>
      <c r="C25" s="12"/>
      <c r="D25" s="12"/>
      <c r="E25" s="14"/>
      <c r="F25" s="12"/>
      <c r="G25" s="14"/>
      <c r="H25" s="12"/>
      <c r="I25" t="str">
        <f t="shared" si="1"/>
        <v/>
      </c>
      <c r="J25" s="4"/>
    </row>
    <row r="26" spans="1:14" x14ac:dyDescent="0.35">
      <c r="A26" s="12"/>
      <c r="B26" s="13"/>
      <c r="C26" s="12"/>
      <c r="D26" s="12"/>
      <c r="E26" s="14"/>
      <c r="F26" s="12"/>
      <c r="G26" s="14"/>
      <c r="H26" s="12"/>
      <c r="I26" t="str">
        <f t="shared" ref="I26:I34" si="2">MID(H26,27,15)</f>
        <v/>
      </c>
      <c r="J26" s="4"/>
    </row>
    <row r="27" spans="1:14" x14ac:dyDescent="0.35">
      <c r="A27" s="12"/>
      <c r="B27" s="13"/>
      <c r="C27" s="12"/>
      <c r="D27" s="12"/>
      <c r="E27" s="14"/>
      <c r="F27" s="12"/>
      <c r="G27" s="14"/>
      <c r="H27" s="12"/>
      <c r="I27" t="str">
        <f t="shared" si="2"/>
        <v/>
      </c>
      <c r="J27" s="4"/>
    </row>
    <row r="28" spans="1:14" x14ac:dyDescent="0.35">
      <c r="A28" s="12"/>
      <c r="B28" s="13"/>
      <c r="C28" s="12"/>
      <c r="D28" s="12"/>
      <c r="E28" s="14"/>
      <c r="F28" s="12"/>
      <c r="G28" s="14"/>
      <c r="H28" s="12"/>
      <c r="I28" t="str">
        <f t="shared" si="2"/>
        <v/>
      </c>
      <c r="J28" s="4"/>
    </row>
    <row r="29" spans="1:14" x14ac:dyDescent="0.35">
      <c r="A29" s="12"/>
      <c r="B29" s="13"/>
      <c r="C29" s="12"/>
      <c r="D29" s="12"/>
      <c r="E29" s="14"/>
      <c r="F29" s="12"/>
      <c r="G29" s="14"/>
      <c r="H29" s="12"/>
      <c r="I29" t="str">
        <f t="shared" si="2"/>
        <v/>
      </c>
      <c r="J29" s="4"/>
    </row>
    <row r="30" spans="1:14" x14ac:dyDescent="0.35">
      <c r="A30" s="12"/>
      <c r="B30" s="13"/>
      <c r="C30" s="12"/>
      <c r="D30" s="12"/>
      <c r="E30" s="14"/>
      <c r="F30" s="12"/>
      <c r="G30" s="14"/>
      <c r="H30" s="12"/>
      <c r="I30" t="str">
        <f t="shared" si="2"/>
        <v/>
      </c>
      <c r="J30" s="4"/>
    </row>
    <row r="31" spans="1:14" x14ac:dyDescent="0.35">
      <c r="A31" s="12"/>
      <c r="B31" s="13"/>
      <c r="C31" s="12"/>
      <c r="D31" s="12"/>
      <c r="E31" s="14"/>
      <c r="F31" s="12"/>
      <c r="G31" s="14"/>
      <c r="H31" s="12"/>
      <c r="I31" t="str">
        <f t="shared" si="2"/>
        <v/>
      </c>
      <c r="J31" s="4"/>
    </row>
    <row r="32" spans="1:14" x14ac:dyDescent="0.35">
      <c r="A32" s="12"/>
      <c r="B32" s="13"/>
      <c r="C32" s="12"/>
      <c r="D32" s="12"/>
      <c r="E32" s="14"/>
      <c r="F32" s="12"/>
      <c r="G32" s="14"/>
      <c r="H32" s="12"/>
      <c r="I32" t="str">
        <f t="shared" si="2"/>
        <v/>
      </c>
      <c r="J32" s="4"/>
    </row>
    <row r="33" spans="1:10" x14ac:dyDescent="0.35">
      <c r="A33" s="12"/>
      <c r="B33" s="13"/>
      <c r="C33" s="12"/>
      <c r="D33" s="12"/>
      <c r="E33" s="14"/>
      <c r="F33" s="12"/>
      <c r="G33" s="14"/>
      <c r="H33" s="12"/>
      <c r="I33" t="str">
        <f t="shared" si="2"/>
        <v/>
      </c>
      <c r="J33" s="4"/>
    </row>
    <row r="34" spans="1:10" x14ac:dyDescent="0.35">
      <c r="A34" s="12"/>
      <c r="B34" s="13"/>
      <c r="C34" s="12"/>
      <c r="D34" s="12"/>
      <c r="E34" s="14"/>
      <c r="F34" s="12"/>
      <c r="G34" s="14"/>
      <c r="H34" s="12"/>
      <c r="I34" t="str">
        <f t="shared" si="2"/>
        <v/>
      </c>
      <c r="J34" s="4"/>
    </row>
    <row r="35" spans="1:10" x14ac:dyDescent="0.35">
      <c r="A35" s="12"/>
      <c r="B35" s="13"/>
      <c r="C35" s="12"/>
      <c r="D35" s="12"/>
      <c r="E35" s="14"/>
      <c r="F35" s="12"/>
      <c r="G35" s="14"/>
      <c r="H35" s="12"/>
      <c r="I35" t="str">
        <f>MID(H35,27,15)</f>
        <v/>
      </c>
      <c r="J35" s="4"/>
    </row>
    <row r="36" spans="1:10" x14ac:dyDescent="0.35">
      <c r="A36" s="12"/>
      <c r="B36" s="13"/>
      <c r="C36" s="12"/>
      <c r="D36" s="12"/>
      <c r="E36" s="14"/>
      <c r="F36" s="12"/>
      <c r="G36" s="14"/>
      <c r="H36" s="12"/>
      <c r="I36" t="str">
        <f>MID(H36,20,15)</f>
        <v/>
      </c>
      <c r="J36" s="4"/>
    </row>
    <row r="37" spans="1:10" x14ac:dyDescent="0.35">
      <c r="A37" s="12"/>
      <c r="B37" s="13"/>
      <c r="C37" s="12"/>
      <c r="D37" s="12"/>
      <c r="E37" s="14"/>
      <c r="F37" s="12"/>
      <c r="G37" s="14"/>
      <c r="H37" s="12"/>
      <c r="I37" t="str">
        <f>MID(H37,20,15)</f>
        <v/>
      </c>
      <c r="J37" s="4"/>
    </row>
    <row r="38" spans="1:10" x14ac:dyDescent="0.35">
      <c r="A38" s="12"/>
      <c r="B38" s="13"/>
      <c r="C38" s="12"/>
      <c r="D38" s="12"/>
      <c r="E38" s="14"/>
      <c r="F38" s="12"/>
      <c r="G38" s="14"/>
      <c r="H38" s="12"/>
      <c r="I38" t="str">
        <f>MID(H38,36,15)</f>
        <v/>
      </c>
      <c r="J38" s="4"/>
    </row>
    <row r="39" spans="1:10" x14ac:dyDescent="0.35">
      <c r="A39" s="12"/>
      <c r="B39" s="13"/>
      <c r="C39" s="12"/>
      <c r="D39" s="12"/>
      <c r="E39" s="14"/>
      <c r="F39" s="12"/>
      <c r="G39" s="14"/>
      <c r="H39" s="12"/>
      <c r="I39" t="str">
        <f>MID(H39,36,15)</f>
        <v/>
      </c>
      <c r="J39" s="4"/>
    </row>
    <row r="40" spans="1:10" x14ac:dyDescent="0.35">
      <c r="A40" s="12"/>
      <c r="B40" s="13"/>
      <c r="C40" s="12"/>
      <c r="D40" s="12"/>
      <c r="E40" s="14"/>
      <c r="F40" s="12"/>
      <c r="G40" s="14"/>
      <c r="H40" s="12"/>
      <c r="I40" t="str">
        <f t="shared" ref="I40:I66" si="3">MID(H40,32,15)</f>
        <v/>
      </c>
      <c r="J40" s="4"/>
    </row>
    <row r="41" spans="1:10" x14ac:dyDescent="0.35">
      <c r="A41" s="12"/>
      <c r="B41" s="13"/>
      <c r="C41" s="12"/>
      <c r="D41" s="12"/>
      <c r="E41" s="14"/>
      <c r="F41" s="12"/>
      <c r="G41" s="14"/>
      <c r="H41" s="12"/>
      <c r="I41" t="str">
        <f t="shared" si="3"/>
        <v/>
      </c>
      <c r="J41" s="4"/>
    </row>
    <row r="42" spans="1:10" x14ac:dyDescent="0.35">
      <c r="A42" s="12"/>
      <c r="B42" s="13"/>
      <c r="C42" s="12"/>
      <c r="D42" s="12"/>
      <c r="E42" s="14"/>
      <c r="F42" s="12"/>
      <c r="G42" s="14"/>
      <c r="H42" s="12"/>
      <c r="I42" t="str">
        <f t="shared" si="3"/>
        <v/>
      </c>
      <c r="J42" s="4"/>
    </row>
    <row r="43" spans="1:10" x14ac:dyDescent="0.35">
      <c r="A43" s="12"/>
      <c r="B43" s="13"/>
      <c r="C43" s="12"/>
      <c r="D43" s="12"/>
      <c r="E43" s="14"/>
      <c r="F43" s="12"/>
      <c r="G43" s="14"/>
      <c r="H43" s="12"/>
      <c r="I43" t="str">
        <f t="shared" si="3"/>
        <v/>
      </c>
      <c r="J43" s="4"/>
    </row>
    <row r="44" spans="1:10" x14ac:dyDescent="0.35">
      <c r="A44" s="12"/>
      <c r="B44" s="13"/>
      <c r="C44" s="12"/>
      <c r="D44" s="12"/>
      <c r="E44" s="14"/>
      <c r="F44" s="12"/>
      <c r="G44" s="14"/>
      <c r="H44" s="12"/>
      <c r="I44" t="str">
        <f t="shared" si="3"/>
        <v/>
      </c>
      <c r="J44" s="4"/>
    </row>
    <row r="45" spans="1:10" x14ac:dyDescent="0.35">
      <c r="A45" s="12"/>
      <c r="B45" s="13"/>
      <c r="C45" s="12"/>
      <c r="D45" s="12"/>
      <c r="E45" s="14"/>
      <c r="F45" s="12"/>
      <c r="G45" s="14"/>
      <c r="H45" s="12"/>
      <c r="I45" t="str">
        <f t="shared" si="3"/>
        <v/>
      </c>
      <c r="J45" s="4"/>
    </row>
    <row r="46" spans="1:10" x14ac:dyDescent="0.35">
      <c r="A46" s="12"/>
      <c r="B46" s="13"/>
      <c r="C46" s="12"/>
      <c r="D46" s="12"/>
      <c r="E46" s="14"/>
      <c r="F46" s="12"/>
      <c r="G46" s="14"/>
      <c r="H46" s="12"/>
      <c r="I46" t="str">
        <f t="shared" si="3"/>
        <v/>
      </c>
      <c r="J46" s="4"/>
    </row>
    <row r="47" spans="1:10" x14ac:dyDescent="0.35">
      <c r="A47" s="12"/>
      <c r="B47" s="13"/>
      <c r="C47" s="12"/>
      <c r="D47" s="12"/>
      <c r="E47" s="14"/>
      <c r="F47" s="12"/>
      <c r="G47" s="14"/>
      <c r="H47" s="12"/>
      <c r="I47" t="str">
        <f t="shared" si="3"/>
        <v/>
      </c>
      <c r="J47" s="4"/>
    </row>
    <row r="48" spans="1:10" x14ac:dyDescent="0.35">
      <c r="A48" s="12"/>
      <c r="B48" s="13"/>
      <c r="C48" s="12"/>
      <c r="D48" s="12"/>
      <c r="E48" s="14"/>
      <c r="F48" s="12"/>
      <c r="G48" s="14"/>
      <c r="H48" s="12"/>
      <c r="I48" t="str">
        <f t="shared" si="3"/>
        <v/>
      </c>
      <c r="J48" s="4"/>
    </row>
    <row r="49" spans="1:10" x14ac:dyDescent="0.35">
      <c r="A49" s="12"/>
      <c r="B49" s="13"/>
      <c r="C49" s="12"/>
      <c r="D49" s="12"/>
      <c r="E49" s="14"/>
      <c r="F49" s="12"/>
      <c r="G49" s="14"/>
      <c r="H49" s="12"/>
      <c r="I49" t="str">
        <f t="shared" si="3"/>
        <v/>
      </c>
      <c r="J49" s="4"/>
    </row>
    <row r="50" spans="1:10" x14ac:dyDescent="0.35">
      <c r="A50" s="12"/>
      <c r="B50" s="13"/>
      <c r="C50" s="12"/>
      <c r="D50" s="12"/>
      <c r="E50" s="14"/>
      <c r="F50" s="12"/>
      <c r="G50" s="14"/>
      <c r="H50" s="12"/>
      <c r="I50" t="str">
        <f t="shared" si="3"/>
        <v/>
      </c>
      <c r="J50" s="4"/>
    </row>
    <row r="51" spans="1:10" x14ac:dyDescent="0.35">
      <c r="A51" s="12"/>
      <c r="B51" s="13"/>
      <c r="C51" s="12"/>
      <c r="D51" s="12"/>
      <c r="E51" s="14"/>
      <c r="F51" s="12"/>
      <c r="G51" s="14"/>
      <c r="H51" s="12"/>
      <c r="I51" t="str">
        <f t="shared" si="3"/>
        <v/>
      </c>
      <c r="J51" s="4"/>
    </row>
    <row r="52" spans="1:10" x14ac:dyDescent="0.35">
      <c r="A52" s="12"/>
      <c r="B52" s="13"/>
      <c r="C52" s="12"/>
      <c r="D52" s="12"/>
      <c r="E52" s="14"/>
      <c r="F52" s="12"/>
      <c r="G52" s="14"/>
      <c r="H52" s="12"/>
      <c r="I52" t="str">
        <f t="shared" si="3"/>
        <v/>
      </c>
      <c r="J52" s="4"/>
    </row>
    <row r="53" spans="1:10" x14ac:dyDescent="0.35">
      <c r="A53" s="12"/>
      <c r="B53" s="13"/>
      <c r="C53" s="12"/>
      <c r="D53" s="12"/>
      <c r="E53" s="14"/>
      <c r="F53" s="12"/>
      <c r="G53" s="14"/>
      <c r="H53" s="12"/>
      <c r="I53" t="str">
        <f t="shared" si="3"/>
        <v/>
      </c>
      <c r="J53" s="4"/>
    </row>
    <row r="54" spans="1:10" x14ac:dyDescent="0.35">
      <c r="A54" s="12"/>
      <c r="B54" s="13"/>
      <c r="C54" s="12"/>
      <c r="D54" s="12"/>
      <c r="E54" s="14"/>
      <c r="F54" s="12"/>
      <c r="G54" s="14"/>
      <c r="H54" s="12"/>
      <c r="I54" t="str">
        <f t="shared" si="3"/>
        <v/>
      </c>
      <c r="J54" s="4"/>
    </row>
    <row r="55" spans="1:10" x14ac:dyDescent="0.35">
      <c r="A55" s="12"/>
      <c r="B55" s="13"/>
      <c r="C55" s="12"/>
      <c r="D55" s="12"/>
      <c r="E55" s="14"/>
      <c r="F55" s="12"/>
      <c r="G55" s="14"/>
      <c r="H55" s="12"/>
      <c r="I55" t="str">
        <f t="shared" si="3"/>
        <v/>
      </c>
      <c r="J55" s="4"/>
    </row>
    <row r="56" spans="1:10" x14ac:dyDescent="0.35">
      <c r="A56" s="12"/>
      <c r="B56" s="13"/>
      <c r="C56" s="12"/>
      <c r="D56" s="12"/>
      <c r="E56" s="14"/>
      <c r="F56" s="12"/>
      <c r="G56" s="14"/>
      <c r="H56" s="12"/>
      <c r="I56" t="str">
        <f t="shared" si="3"/>
        <v/>
      </c>
      <c r="J56" s="4"/>
    </row>
    <row r="57" spans="1:10" x14ac:dyDescent="0.35">
      <c r="A57" s="12"/>
      <c r="B57" s="13"/>
      <c r="C57" s="12"/>
      <c r="D57" s="12"/>
      <c r="E57" s="14"/>
      <c r="F57" s="12"/>
      <c r="G57" s="14"/>
      <c r="H57" s="12"/>
      <c r="I57" t="str">
        <f t="shared" si="3"/>
        <v/>
      </c>
      <c r="J57" s="4"/>
    </row>
    <row r="58" spans="1:10" x14ac:dyDescent="0.35">
      <c r="A58" s="12"/>
      <c r="B58" s="13"/>
      <c r="C58" s="12"/>
      <c r="D58" s="12"/>
      <c r="E58" s="14"/>
      <c r="F58" s="12"/>
      <c r="G58" s="14"/>
      <c r="H58" s="12"/>
      <c r="I58" t="str">
        <f t="shared" si="3"/>
        <v/>
      </c>
      <c r="J58" s="4"/>
    </row>
    <row r="59" spans="1:10" x14ac:dyDescent="0.35">
      <c r="A59" s="12"/>
      <c r="B59" s="13"/>
      <c r="C59" s="12"/>
      <c r="D59" s="12"/>
      <c r="E59" s="14"/>
      <c r="F59" s="12"/>
      <c r="G59" s="14"/>
      <c r="H59" s="12"/>
      <c r="I59" t="str">
        <f t="shared" si="3"/>
        <v/>
      </c>
      <c r="J59" s="4"/>
    </row>
    <row r="60" spans="1:10" x14ac:dyDescent="0.35">
      <c r="A60" s="12"/>
      <c r="B60" s="13"/>
      <c r="C60" s="12"/>
      <c r="D60" s="12"/>
      <c r="E60" s="14"/>
      <c r="F60" s="12"/>
      <c r="G60" s="14"/>
      <c r="H60" s="12"/>
      <c r="I60" t="str">
        <f t="shared" si="3"/>
        <v/>
      </c>
      <c r="J60" s="4"/>
    </row>
    <row r="61" spans="1:10" x14ac:dyDescent="0.35">
      <c r="A61" s="12"/>
      <c r="B61" s="13"/>
      <c r="C61" s="12"/>
      <c r="D61" s="12"/>
      <c r="E61" s="14"/>
      <c r="F61" s="12"/>
      <c r="G61" s="14"/>
      <c r="H61" s="12"/>
      <c r="I61" t="str">
        <f t="shared" si="3"/>
        <v/>
      </c>
      <c r="J61" s="4"/>
    </row>
    <row r="62" spans="1:10" x14ac:dyDescent="0.35">
      <c r="A62" s="12"/>
      <c r="B62" s="13"/>
      <c r="C62" s="12"/>
      <c r="D62" s="12"/>
      <c r="E62" s="14"/>
      <c r="F62" s="12"/>
      <c r="G62" s="14"/>
      <c r="H62" s="12"/>
      <c r="I62" t="str">
        <f t="shared" si="3"/>
        <v/>
      </c>
      <c r="J62" s="4"/>
    </row>
    <row r="63" spans="1:10" x14ac:dyDescent="0.35">
      <c r="A63" s="12"/>
      <c r="B63" s="13"/>
      <c r="C63" s="12"/>
      <c r="D63" s="12"/>
      <c r="E63" s="14"/>
      <c r="F63" s="12"/>
      <c r="G63" s="14"/>
      <c r="H63" s="12"/>
      <c r="I63" t="str">
        <f t="shared" si="3"/>
        <v/>
      </c>
      <c r="J63" s="4"/>
    </row>
    <row r="64" spans="1:10" x14ac:dyDescent="0.35">
      <c r="A64" s="12"/>
      <c r="B64" s="13"/>
      <c r="C64" s="12"/>
      <c r="D64" s="12"/>
      <c r="E64" s="14"/>
      <c r="F64" s="12"/>
      <c r="G64" s="14"/>
      <c r="H64" s="12"/>
      <c r="I64" t="str">
        <f t="shared" si="3"/>
        <v/>
      </c>
      <c r="J64" s="4"/>
    </row>
    <row r="65" spans="1:10" x14ac:dyDescent="0.35">
      <c r="A65" s="12"/>
      <c r="B65" s="13"/>
      <c r="C65" s="12"/>
      <c r="D65" s="12"/>
      <c r="E65" s="14"/>
      <c r="F65" s="12"/>
      <c r="G65" s="14"/>
      <c r="H65" s="12"/>
      <c r="I65" t="str">
        <f t="shared" si="3"/>
        <v/>
      </c>
      <c r="J65" s="4"/>
    </row>
    <row r="66" spans="1:10" x14ac:dyDescent="0.35">
      <c r="A66" s="12"/>
      <c r="B66" s="13"/>
      <c r="C66" s="12"/>
      <c r="D66" s="12"/>
      <c r="E66" s="14"/>
      <c r="F66" s="12"/>
      <c r="G66" s="14"/>
      <c r="H66" s="12"/>
      <c r="I66" t="str">
        <f t="shared" si="3"/>
        <v/>
      </c>
      <c r="J66" s="4"/>
    </row>
    <row r="67" spans="1:10" x14ac:dyDescent="0.35">
      <c r="A67" s="12"/>
      <c r="B67" s="13"/>
      <c r="C67" s="12"/>
      <c r="D67" s="12"/>
      <c r="E67" s="14"/>
      <c r="F67" s="12"/>
      <c r="G67" s="14"/>
      <c r="H67" s="12"/>
      <c r="I67" t="str">
        <f t="shared" ref="I67:I130" si="4">MID(H67,32,15)</f>
        <v/>
      </c>
      <c r="J67" s="4"/>
    </row>
    <row r="68" spans="1:10" x14ac:dyDescent="0.35">
      <c r="A68" s="12"/>
      <c r="B68" s="13"/>
      <c r="C68" s="12"/>
      <c r="D68" s="12"/>
      <c r="E68" s="14"/>
      <c r="F68" s="12"/>
      <c r="G68" s="14"/>
      <c r="H68" s="12"/>
      <c r="I68" t="str">
        <f t="shared" si="4"/>
        <v/>
      </c>
      <c r="J68" s="4"/>
    </row>
    <row r="69" spans="1:10" x14ac:dyDescent="0.35">
      <c r="A69" s="12"/>
      <c r="B69" s="13"/>
      <c r="C69" s="12"/>
      <c r="D69" s="12"/>
      <c r="E69" s="14"/>
      <c r="F69" s="12"/>
      <c r="G69" s="14"/>
      <c r="H69" s="12"/>
      <c r="I69" t="str">
        <f t="shared" si="4"/>
        <v/>
      </c>
      <c r="J69" s="4"/>
    </row>
    <row r="70" spans="1:10" x14ac:dyDescent="0.35">
      <c r="A70" s="12"/>
      <c r="B70" s="13"/>
      <c r="C70" s="12"/>
      <c r="D70" s="12"/>
      <c r="E70" s="14"/>
      <c r="F70" s="12"/>
      <c r="G70" s="14"/>
      <c r="H70" s="12"/>
      <c r="I70" t="str">
        <f t="shared" si="4"/>
        <v/>
      </c>
      <c r="J70" s="4"/>
    </row>
    <row r="71" spans="1:10" x14ac:dyDescent="0.35">
      <c r="A71" s="12"/>
      <c r="B71" s="13"/>
      <c r="C71" s="12"/>
      <c r="D71" s="12"/>
      <c r="E71" s="14"/>
      <c r="F71" s="12"/>
      <c r="G71" s="14"/>
      <c r="H71" s="12"/>
      <c r="I71" t="str">
        <f t="shared" si="4"/>
        <v/>
      </c>
      <c r="J71" s="4"/>
    </row>
    <row r="72" spans="1:10" x14ac:dyDescent="0.35">
      <c r="A72" s="12"/>
      <c r="B72" s="13"/>
      <c r="C72" s="12"/>
      <c r="D72" s="12"/>
      <c r="E72" s="14"/>
      <c r="F72" s="12"/>
      <c r="G72" s="14"/>
      <c r="H72" s="12"/>
      <c r="I72" t="str">
        <f t="shared" si="4"/>
        <v/>
      </c>
      <c r="J72" s="4"/>
    </row>
    <row r="73" spans="1:10" x14ac:dyDescent="0.35">
      <c r="A73" s="12"/>
      <c r="B73" s="13"/>
      <c r="C73" s="12"/>
      <c r="D73" s="12"/>
      <c r="E73" s="14"/>
      <c r="F73" s="12"/>
      <c r="G73" s="14"/>
      <c r="H73" s="12"/>
      <c r="I73" t="str">
        <f t="shared" si="4"/>
        <v/>
      </c>
      <c r="J73" s="4"/>
    </row>
    <row r="74" spans="1:10" x14ac:dyDescent="0.35">
      <c r="A74" s="12"/>
      <c r="B74" s="13"/>
      <c r="C74" s="12"/>
      <c r="D74" s="12"/>
      <c r="E74" s="14"/>
      <c r="F74" s="12"/>
      <c r="G74" s="14"/>
      <c r="H74" s="12"/>
      <c r="I74" t="str">
        <f t="shared" si="4"/>
        <v/>
      </c>
      <c r="J74" s="4"/>
    </row>
    <row r="75" spans="1:10" x14ac:dyDescent="0.35">
      <c r="A75" s="12"/>
      <c r="B75" s="13"/>
      <c r="C75" s="12"/>
      <c r="D75" s="12"/>
      <c r="E75" s="14"/>
      <c r="F75" s="12"/>
      <c r="G75" s="14"/>
      <c r="H75" s="12"/>
      <c r="I75" t="str">
        <f t="shared" si="4"/>
        <v/>
      </c>
      <c r="J75" s="4"/>
    </row>
    <row r="76" spans="1:10" x14ac:dyDescent="0.35">
      <c r="A76" s="12"/>
      <c r="B76" s="13"/>
      <c r="C76" s="12"/>
      <c r="D76" s="12"/>
      <c r="E76" s="14"/>
      <c r="F76" s="12"/>
      <c r="G76" s="14"/>
      <c r="H76" s="12"/>
      <c r="I76" t="str">
        <f t="shared" si="4"/>
        <v/>
      </c>
      <c r="J76" s="4"/>
    </row>
    <row r="77" spans="1:10" x14ac:dyDescent="0.35">
      <c r="A77" s="12"/>
      <c r="B77" s="13"/>
      <c r="C77" s="12"/>
      <c r="D77" s="12"/>
      <c r="E77" s="14"/>
      <c r="F77" s="12"/>
      <c r="G77" s="14"/>
      <c r="H77" s="12"/>
      <c r="I77" t="str">
        <f t="shared" si="4"/>
        <v/>
      </c>
      <c r="J77" s="4"/>
    </row>
    <row r="78" spans="1:10" x14ac:dyDescent="0.35">
      <c r="A78" s="12"/>
      <c r="B78" s="13"/>
      <c r="C78" s="12"/>
      <c r="D78" s="12"/>
      <c r="E78" s="14"/>
      <c r="F78" s="12"/>
      <c r="G78" s="14"/>
      <c r="H78" s="12"/>
      <c r="I78" t="str">
        <f t="shared" si="4"/>
        <v/>
      </c>
      <c r="J78" s="4"/>
    </row>
    <row r="79" spans="1:10" x14ac:dyDescent="0.35">
      <c r="A79" s="12"/>
      <c r="B79" s="13"/>
      <c r="C79" s="12"/>
      <c r="D79" s="12"/>
      <c r="E79" s="14"/>
      <c r="F79" s="12"/>
      <c r="G79" s="14"/>
      <c r="H79" s="12"/>
      <c r="I79" t="str">
        <f t="shared" si="4"/>
        <v/>
      </c>
      <c r="J79" s="4"/>
    </row>
    <row r="80" spans="1:10" x14ac:dyDescent="0.35">
      <c r="A80" s="12"/>
      <c r="B80" s="13"/>
      <c r="C80" s="12"/>
      <c r="D80" s="12"/>
      <c r="E80" s="14"/>
      <c r="F80" s="12"/>
      <c r="G80" s="14"/>
      <c r="H80" s="12"/>
      <c r="I80" t="str">
        <f t="shared" si="4"/>
        <v/>
      </c>
      <c r="J80" s="4"/>
    </row>
    <row r="81" spans="1:10" x14ac:dyDescent="0.35">
      <c r="A81" s="12"/>
      <c r="B81" s="13"/>
      <c r="C81" s="12"/>
      <c r="D81" s="12"/>
      <c r="E81" s="14"/>
      <c r="F81" s="12"/>
      <c r="G81" s="14"/>
      <c r="H81" s="12"/>
      <c r="I81" t="str">
        <f t="shared" si="4"/>
        <v/>
      </c>
      <c r="J81" s="4"/>
    </row>
    <row r="82" spans="1:10" x14ac:dyDescent="0.35">
      <c r="A82" s="12"/>
      <c r="B82" s="13"/>
      <c r="C82" s="12"/>
      <c r="D82" s="12"/>
      <c r="E82" s="14"/>
      <c r="F82" s="12"/>
      <c r="G82" s="14"/>
      <c r="H82" s="12"/>
      <c r="I82" t="str">
        <f t="shared" si="4"/>
        <v/>
      </c>
      <c r="J82" s="4"/>
    </row>
    <row r="83" spans="1:10" x14ac:dyDescent="0.35">
      <c r="A83" s="12"/>
      <c r="B83" s="13"/>
      <c r="C83" s="12"/>
      <c r="D83" s="12"/>
      <c r="E83" s="14"/>
      <c r="F83" s="12"/>
      <c r="G83" s="14"/>
      <c r="H83" s="12"/>
      <c r="I83" t="str">
        <f t="shared" si="4"/>
        <v/>
      </c>
      <c r="J83" s="4"/>
    </row>
    <row r="84" spans="1:10" x14ac:dyDescent="0.35">
      <c r="A84" s="12"/>
      <c r="B84" s="13"/>
      <c r="C84" s="12"/>
      <c r="D84" s="12"/>
      <c r="E84" s="14"/>
      <c r="F84" s="12"/>
      <c r="G84" s="14"/>
      <c r="H84" s="12"/>
      <c r="I84" t="str">
        <f t="shared" si="4"/>
        <v/>
      </c>
      <c r="J84" s="4"/>
    </row>
    <row r="85" spans="1:10" x14ac:dyDescent="0.35">
      <c r="A85" s="12"/>
      <c r="B85" s="13"/>
      <c r="C85" s="12"/>
      <c r="D85" s="12"/>
      <c r="E85" s="14"/>
      <c r="F85" s="12"/>
      <c r="G85" s="14"/>
      <c r="H85" s="12"/>
      <c r="I85" t="str">
        <f t="shared" si="4"/>
        <v/>
      </c>
      <c r="J85" s="4"/>
    </row>
    <row r="86" spans="1:10" x14ac:dyDescent="0.35">
      <c r="A86" s="12"/>
      <c r="B86" s="13"/>
      <c r="C86" s="12"/>
      <c r="D86" s="12"/>
      <c r="E86" s="14"/>
      <c r="F86" s="12"/>
      <c r="G86" s="14"/>
      <c r="H86" s="12"/>
      <c r="I86" t="str">
        <f t="shared" si="4"/>
        <v/>
      </c>
      <c r="J86" s="4"/>
    </row>
    <row r="87" spans="1:10" x14ac:dyDescent="0.35">
      <c r="A87" s="12"/>
      <c r="B87" s="13"/>
      <c r="C87" s="12"/>
      <c r="D87" s="12"/>
      <c r="E87" s="14"/>
      <c r="F87" s="12"/>
      <c r="G87" s="14"/>
      <c r="H87" s="12"/>
      <c r="I87" t="str">
        <f t="shared" si="4"/>
        <v/>
      </c>
      <c r="J87" s="4"/>
    </row>
    <row r="88" spans="1:10" x14ac:dyDescent="0.35">
      <c r="A88" s="12"/>
      <c r="B88" s="13"/>
      <c r="C88" s="12"/>
      <c r="D88" s="12"/>
      <c r="E88" s="14"/>
      <c r="F88" s="12"/>
      <c r="G88" s="14"/>
      <c r="H88" s="12"/>
      <c r="I88" t="str">
        <f t="shared" si="4"/>
        <v/>
      </c>
      <c r="J88" s="4"/>
    </row>
    <row r="89" spans="1:10" x14ac:dyDescent="0.35">
      <c r="A89" s="12"/>
      <c r="B89" s="13"/>
      <c r="C89" s="12"/>
      <c r="D89" s="12"/>
      <c r="E89" s="14"/>
      <c r="F89" s="12"/>
      <c r="G89" s="14"/>
      <c r="H89" s="12"/>
      <c r="I89" t="str">
        <f t="shared" si="4"/>
        <v/>
      </c>
      <c r="J89" s="4"/>
    </row>
    <row r="90" spans="1:10" x14ac:dyDescent="0.35">
      <c r="A90" s="12"/>
      <c r="B90" s="13"/>
      <c r="C90" s="12"/>
      <c r="D90" s="12"/>
      <c r="E90" s="14"/>
      <c r="F90" s="12"/>
      <c r="G90" s="14"/>
      <c r="H90" s="12"/>
      <c r="I90" t="str">
        <f t="shared" si="4"/>
        <v/>
      </c>
      <c r="J90" s="4"/>
    </row>
    <row r="91" spans="1:10" x14ac:dyDescent="0.35">
      <c r="A91" s="12"/>
      <c r="B91" s="13"/>
      <c r="C91" s="12"/>
      <c r="D91" s="12"/>
      <c r="E91" s="14"/>
      <c r="F91" s="12"/>
      <c r="G91" s="14"/>
      <c r="H91" s="12"/>
      <c r="I91" t="str">
        <f t="shared" si="4"/>
        <v/>
      </c>
      <c r="J91" s="4"/>
    </row>
    <row r="92" spans="1:10" x14ac:dyDescent="0.35">
      <c r="A92" s="12"/>
      <c r="B92" s="13"/>
      <c r="C92" s="12"/>
      <c r="D92" s="12"/>
      <c r="E92" s="14"/>
      <c r="F92" s="12"/>
      <c r="G92" s="14"/>
      <c r="H92" s="12"/>
      <c r="I92" t="str">
        <f t="shared" si="4"/>
        <v/>
      </c>
      <c r="J92" s="4"/>
    </row>
    <row r="93" spans="1:10" x14ac:dyDescent="0.35">
      <c r="A93" s="12"/>
      <c r="B93" s="13"/>
      <c r="C93" s="12"/>
      <c r="D93" s="12"/>
      <c r="E93" s="14"/>
      <c r="F93" s="12"/>
      <c r="G93" s="14"/>
      <c r="H93" s="12"/>
      <c r="I93" t="str">
        <f t="shared" si="4"/>
        <v/>
      </c>
      <c r="J93" s="4"/>
    </row>
    <row r="94" spans="1:10" x14ac:dyDescent="0.35">
      <c r="A94" s="12"/>
      <c r="B94" s="13"/>
      <c r="C94" s="12"/>
      <c r="D94" s="12"/>
      <c r="E94" s="14"/>
      <c r="F94" s="12"/>
      <c r="G94" s="14"/>
      <c r="H94" s="12"/>
      <c r="I94" t="str">
        <f t="shared" si="4"/>
        <v/>
      </c>
      <c r="J94" s="4"/>
    </row>
    <row r="95" spans="1:10" x14ac:dyDescent="0.35">
      <c r="A95" s="12"/>
      <c r="B95" s="13"/>
      <c r="C95" s="12"/>
      <c r="D95" s="12"/>
      <c r="E95" s="14"/>
      <c r="F95" s="12"/>
      <c r="G95" s="14"/>
      <c r="H95" s="12"/>
      <c r="I95" t="str">
        <f t="shared" si="4"/>
        <v/>
      </c>
      <c r="J95" s="4"/>
    </row>
    <row r="96" spans="1:10" x14ac:dyDescent="0.35">
      <c r="A96" s="12"/>
      <c r="B96" s="13"/>
      <c r="C96" s="12"/>
      <c r="D96" s="12"/>
      <c r="E96" s="14"/>
      <c r="F96" s="12"/>
      <c r="G96" s="14"/>
      <c r="H96" s="12"/>
      <c r="I96" t="str">
        <f t="shared" si="4"/>
        <v/>
      </c>
      <c r="J96" s="4"/>
    </row>
    <row r="97" spans="1:10" x14ac:dyDescent="0.35">
      <c r="A97" s="12"/>
      <c r="B97" s="13"/>
      <c r="C97" s="12"/>
      <c r="D97" s="12"/>
      <c r="E97" s="14"/>
      <c r="F97" s="12"/>
      <c r="G97" s="14"/>
      <c r="H97" s="12"/>
      <c r="I97" t="str">
        <f t="shared" si="4"/>
        <v/>
      </c>
      <c r="J97" s="4"/>
    </row>
    <row r="98" spans="1:10" x14ac:dyDescent="0.35">
      <c r="A98" s="12"/>
      <c r="B98" s="13"/>
      <c r="C98" s="12"/>
      <c r="D98" s="12"/>
      <c r="E98" s="14"/>
      <c r="F98" s="12"/>
      <c r="G98" s="14"/>
      <c r="H98" s="12"/>
      <c r="I98" t="str">
        <f t="shared" si="4"/>
        <v/>
      </c>
      <c r="J98" s="4"/>
    </row>
    <row r="99" spans="1:10" x14ac:dyDescent="0.35">
      <c r="A99" s="12"/>
      <c r="B99" s="13"/>
      <c r="C99" s="12"/>
      <c r="D99" s="12"/>
      <c r="E99" s="14"/>
      <c r="F99" s="12"/>
      <c r="G99" s="14"/>
      <c r="H99" s="12"/>
      <c r="I99" t="str">
        <f t="shared" si="4"/>
        <v/>
      </c>
      <c r="J99" s="4"/>
    </row>
    <row r="100" spans="1:10" x14ac:dyDescent="0.35">
      <c r="A100" s="12"/>
      <c r="B100" s="13"/>
      <c r="C100" s="12"/>
      <c r="D100" s="12"/>
      <c r="E100" s="14"/>
      <c r="F100" s="12"/>
      <c r="G100" s="14"/>
      <c r="H100" s="12"/>
      <c r="I100" t="str">
        <f t="shared" si="4"/>
        <v/>
      </c>
      <c r="J100" s="4"/>
    </row>
    <row r="101" spans="1:10" x14ac:dyDescent="0.35">
      <c r="A101" s="12"/>
      <c r="B101" s="13"/>
      <c r="C101" s="12"/>
      <c r="D101" s="12"/>
      <c r="E101" s="14"/>
      <c r="F101" s="12"/>
      <c r="G101" s="14"/>
      <c r="H101" s="12"/>
      <c r="I101" t="str">
        <f t="shared" si="4"/>
        <v/>
      </c>
      <c r="J101" s="4"/>
    </row>
    <row r="102" spans="1:10" x14ac:dyDescent="0.35">
      <c r="A102" s="12"/>
      <c r="B102" s="13"/>
      <c r="C102" s="12"/>
      <c r="D102" s="12"/>
      <c r="E102" s="14"/>
      <c r="F102" s="12"/>
      <c r="G102" s="14"/>
      <c r="H102" s="12"/>
      <c r="I102" t="str">
        <f t="shared" si="4"/>
        <v/>
      </c>
      <c r="J102" s="4"/>
    </row>
    <row r="103" spans="1:10" x14ac:dyDescent="0.35">
      <c r="A103" s="12"/>
      <c r="B103" s="13"/>
      <c r="C103" s="12"/>
      <c r="D103" s="12"/>
      <c r="E103" s="14"/>
      <c r="F103" s="12"/>
      <c r="G103" s="14"/>
      <c r="H103" s="12"/>
      <c r="I103" t="str">
        <f t="shared" si="4"/>
        <v/>
      </c>
      <c r="J103" s="4"/>
    </row>
    <row r="104" spans="1:10" x14ac:dyDescent="0.35">
      <c r="A104" s="12"/>
      <c r="B104" s="13"/>
      <c r="C104" s="12"/>
      <c r="D104" s="12"/>
      <c r="E104" s="14"/>
      <c r="F104" s="12"/>
      <c r="G104" s="14"/>
      <c r="H104" s="12"/>
      <c r="I104" t="str">
        <f t="shared" si="4"/>
        <v/>
      </c>
      <c r="J104" s="4"/>
    </row>
    <row r="105" spans="1:10" x14ac:dyDescent="0.35">
      <c r="A105" s="12"/>
      <c r="B105" s="13"/>
      <c r="C105" s="12"/>
      <c r="D105" s="12"/>
      <c r="E105" s="14"/>
      <c r="F105" s="12"/>
      <c r="G105" s="14"/>
      <c r="H105" s="12"/>
      <c r="I105" t="str">
        <f t="shared" si="4"/>
        <v/>
      </c>
      <c r="J105" s="4"/>
    </row>
    <row r="106" spans="1:10" x14ac:dyDescent="0.35">
      <c r="A106" s="12"/>
      <c r="B106" s="13"/>
      <c r="C106" s="12"/>
      <c r="D106" s="12"/>
      <c r="E106" s="14"/>
      <c r="F106" s="12"/>
      <c r="G106" s="14"/>
      <c r="H106" s="12"/>
      <c r="I106" t="str">
        <f t="shared" si="4"/>
        <v/>
      </c>
      <c r="J106" s="4"/>
    </row>
    <row r="107" spans="1:10" x14ac:dyDescent="0.35">
      <c r="A107" s="12"/>
      <c r="B107" s="13"/>
      <c r="C107" s="12"/>
      <c r="D107" s="12"/>
      <c r="E107" s="14"/>
      <c r="F107" s="12"/>
      <c r="G107" s="14"/>
      <c r="H107" s="12"/>
      <c r="I107" t="str">
        <f t="shared" si="4"/>
        <v/>
      </c>
      <c r="J107" s="4"/>
    </row>
    <row r="108" spans="1:10" x14ac:dyDescent="0.35">
      <c r="A108" s="12"/>
      <c r="B108" s="13"/>
      <c r="C108" s="12"/>
      <c r="D108" s="12"/>
      <c r="E108" s="14"/>
      <c r="F108" s="12"/>
      <c r="G108" s="14"/>
      <c r="H108" s="12"/>
      <c r="I108" t="str">
        <f t="shared" si="4"/>
        <v/>
      </c>
      <c r="J108" s="4"/>
    </row>
    <row r="109" spans="1:10" x14ac:dyDescent="0.35">
      <c r="A109" s="12"/>
      <c r="B109" s="13"/>
      <c r="C109" s="12"/>
      <c r="D109" s="12"/>
      <c r="E109" s="14"/>
      <c r="F109" s="12"/>
      <c r="G109" s="14"/>
      <c r="H109" s="12"/>
      <c r="I109" t="str">
        <f t="shared" si="4"/>
        <v/>
      </c>
      <c r="J109" s="4"/>
    </row>
    <row r="110" spans="1:10" x14ac:dyDescent="0.35">
      <c r="A110" s="12"/>
      <c r="B110" s="13"/>
      <c r="C110" s="12"/>
      <c r="D110" s="12"/>
      <c r="E110" s="14"/>
      <c r="F110" s="12"/>
      <c r="G110" s="14"/>
      <c r="H110" s="12"/>
      <c r="I110" t="str">
        <f t="shared" si="4"/>
        <v/>
      </c>
      <c r="J110" s="4"/>
    </row>
    <row r="111" spans="1:10" x14ac:dyDescent="0.35">
      <c r="A111" s="12"/>
      <c r="B111" s="13"/>
      <c r="C111" s="12"/>
      <c r="D111" s="12"/>
      <c r="E111" s="14"/>
      <c r="F111" s="12"/>
      <c r="G111" s="14"/>
      <c r="H111" s="12"/>
      <c r="I111" t="str">
        <f t="shared" si="4"/>
        <v/>
      </c>
      <c r="J111" s="4"/>
    </row>
    <row r="112" spans="1:10" x14ac:dyDescent="0.35">
      <c r="A112" s="12"/>
      <c r="B112" s="13"/>
      <c r="C112" s="12"/>
      <c r="D112" s="12"/>
      <c r="E112" s="14"/>
      <c r="F112" s="12"/>
      <c r="G112" s="14"/>
      <c r="H112" s="12"/>
      <c r="I112" t="str">
        <f t="shared" si="4"/>
        <v/>
      </c>
      <c r="J112" s="4"/>
    </row>
    <row r="113" spans="1:10" x14ac:dyDescent="0.35">
      <c r="A113" s="12"/>
      <c r="B113" s="13"/>
      <c r="C113" s="12"/>
      <c r="D113" s="12"/>
      <c r="E113" s="14"/>
      <c r="F113" s="12"/>
      <c r="G113" s="14"/>
      <c r="H113" s="12"/>
      <c r="I113" t="str">
        <f t="shared" si="4"/>
        <v/>
      </c>
      <c r="J113" s="4"/>
    </row>
    <row r="114" spans="1:10" x14ac:dyDescent="0.35">
      <c r="A114" s="12"/>
      <c r="B114" s="13"/>
      <c r="C114" s="12"/>
      <c r="D114" s="12"/>
      <c r="E114" s="14"/>
      <c r="F114" s="12"/>
      <c r="G114" s="14"/>
      <c r="H114" s="12"/>
      <c r="I114" t="str">
        <f t="shared" si="4"/>
        <v/>
      </c>
      <c r="J114" s="4"/>
    </row>
    <row r="115" spans="1:10" x14ac:dyDescent="0.35">
      <c r="A115" s="12"/>
      <c r="B115" s="13"/>
      <c r="C115" s="12"/>
      <c r="D115" s="12"/>
      <c r="E115" s="14"/>
      <c r="F115" s="12"/>
      <c r="G115" s="14"/>
      <c r="H115" s="12"/>
      <c r="I115" t="str">
        <f t="shared" si="4"/>
        <v/>
      </c>
      <c r="J115" s="4"/>
    </row>
    <row r="116" spans="1:10" x14ac:dyDescent="0.35">
      <c r="A116" s="12"/>
      <c r="B116" s="13"/>
      <c r="C116" s="12"/>
      <c r="D116" s="12"/>
      <c r="E116" s="14"/>
      <c r="F116" s="12"/>
      <c r="G116" s="14"/>
      <c r="H116" s="12"/>
      <c r="I116" t="str">
        <f t="shared" si="4"/>
        <v/>
      </c>
      <c r="J116" s="4"/>
    </row>
    <row r="117" spans="1:10" x14ac:dyDescent="0.35">
      <c r="A117" s="12"/>
      <c r="B117" s="13"/>
      <c r="C117" s="12"/>
      <c r="D117" s="12"/>
      <c r="E117" s="14"/>
      <c r="F117" s="12"/>
      <c r="G117" s="14"/>
      <c r="H117" s="12"/>
      <c r="I117" t="str">
        <f t="shared" si="4"/>
        <v/>
      </c>
      <c r="J117" s="4"/>
    </row>
    <row r="118" spans="1:10" x14ac:dyDescent="0.35">
      <c r="A118" s="12"/>
      <c r="B118" s="13"/>
      <c r="C118" s="12"/>
      <c r="D118" s="12"/>
      <c r="E118" s="14"/>
      <c r="F118" s="12"/>
      <c r="G118" s="14"/>
      <c r="H118" s="12"/>
      <c r="I118" t="str">
        <f t="shared" si="4"/>
        <v/>
      </c>
      <c r="J118" s="4"/>
    </row>
    <row r="119" spans="1:10" x14ac:dyDescent="0.35">
      <c r="A119" s="12"/>
      <c r="B119" s="13"/>
      <c r="C119" s="12"/>
      <c r="D119" s="12"/>
      <c r="E119" s="14"/>
      <c r="F119" s="12"/>
      <c r="G119" s="14"/>
      <c r="H119" s="12"/>
      <c r="I119" t="str">
        <f t="shared" si="4"/>
        <v/>
      </c>
      <c r="J119" s="4"/>
    </row>
    <row r="120" spans="1:10" x14ac:dyDescent="0.35">
      <c r="A120" s="12"/>
      <c r="B120" s="13"/>
      <c r="C120" s="12"/>
      <c r="D120" s="12"/>
      <c r="E120" s="14"/>
      <c r="F120" s="12"/>
      <c r="G120" s="14"/>
      <c r="H120" s="12"/>
      <c r="I120" t="str">
        <f t="shared" si="4"/>
        <v/>
      </c>
      <c r="J120" s="4"/>
    </row>
    <row r="121" spans="1:10" x14ac:dyDescent="0.35">
      <c r="A121" s="12"/>
      <c r="B121" s="13"/>
      <c r="C121" s="12"/>
      <c r="D121" s="12"/>
      <c r="E121" s="14"/>
      <c r="F121" s="12"/>
      <c r="G121" s="14"/>
      <c r="H121" s="12"/>
      <c r="I121" t="str">
        <f t="shared" si="4"/>
        <v/>
      </c>
      <c r="J121" s="4"/>
    </row>
    <row r="122" spans="1:10" x14ac:dyDescent="0.35">
      <c r="A122" s="12"/>
      <c r="B122" s="13"/>
      <c r="C122" s="12"/>
      <c r="D122" s="12"/>
      <c r="E122" s="14"/>
      <c r="F122" s="12"/>
      <c r="G122" s="14"/>
      <c r="H122" s="12"/>
      <c r="I122" t="str">
        <f t="shared" si="4"/>
        <v/>
      </c>
      <c r="J122" s="4"/>
    </row>
    <row r="123" spans="1:10" x14ac:dyDescent="0.35">
      <c r="A123" s="12"/>
      <c r="B123" s="13"/>
      <c r="C123" s="12"/>
      <c r="D123" s="12"/>
      <c r="E123" s="14"/>
      <c r="F123" s="12"/>
      <c r="G123" s="14"/>
      <c r="H123" s="12"/>
      <c r="I123" t="str">
        <f t="shared" si="4"/>
        <v/>
      </c>
      <c r="J123" s="4"/>
    </row>
    <row r="124" spans="1:10" x14ac:dyDescent="0.35">
      <c r="A124" s="12"/>
      <c r="B124" s="13"/>
      <c r="C124" s="12"/>
      <c r="D124" s="12"/>
      <c r="E124" s="14"/>
      <c r="F124" s="12"/>
      <c r="G124" s="14"/>
      <c r="H124" s="12"/>
      <c r="I124" t="str">
        <f t="shared" si="4"/>
        <v/>
      </c>
      <c r="J124" s="4"/>
    </row>
    <row r="125" spans="1:10" x14ac:dyDescent="0.35">
      <c r="A125" s="12"/>
      <c r="B125" s="13"/>
      <c r="C125" s="12"/>
      <c r="D125" s="12"/>
      <c r="E125" s="14"/>
      <c r="F125" s="12"/>
      <c r="G125" s="14"/>
      <c r="H125" s="12"/>
      <c r="I125" t="str">
        <f t="shared" si="4"/>
        <v/>
      </c>
      <c r="J125" s="4"/>
    </row>
    <row r="126" spans="1:10" x14ac:dyDescent="0.35">
      <c r="A126" s="12"/>
      <c r="B126" s="13"/>
      <c r="C126" s="12"/>
      <c r="D126" s="12"/>
      <c r="E126" s="14"/>
      <c r="F126" s="12"/>
      <c r="G126" s="14"/>
      <c r="H126" s="12"/>
      <c r="I126" t="str">
        <f t="shared" si="4"/>
        <v/>
      </c>
      <c r="J126" s="4"/>
    </row>
    <row r="127" spans="1:10" x14ac:dyDescent="0.35">
      <c r="A127" s="12"/>
      <c r="B127" s="13"/>
      <c r="C127" s="12"/>
      <c r="D127" s="12"/>
      <c r="E127" s="14"/>
      <c r="F127" s="12"/>
      <c r="G127" s="14"/>
      <c r="H127" s="12"/>
      <c r="I127" t="str">
        <f t="shared" si="4"/>
        <v/>
      </c>
      <c r="J127" s="4"/>
    </row>
    <row r="128" spans="1:10" x14ac:dyDescent="0.35">
      <c r="A128" s="12"/>
      <c r="B128" s="13"/>
      <c r="C128" s="12"/>
      <c r="D128" s="12"/>
      <c r="E128" s="14"/>
      <c r="F128" s="12"/>
      <c r="G128" s="14"/>
      <c r="H128" s="12"/>
      <c r="I128" t="str">
        <f t="shared" si="4"/>
        <v/>
      </c>
      <c r="J128" s="4"/>
    </row>
    <row r="129" spans="1:10" x14ac:dyDescent="0.35">
      <c r="A129" s="12"/>
      <c r="B129" s="13"/>
      <c r="C129" s="12"/>
      <c r="D129" s="12"/>
      <c r="E129" s="14"/>
      <c r="F129" s="12"/>
      <c r="G129" s="14"/>
      <c r="H129" s="12"/>
      <c r="I129" t="str">
        <f t="shared" si="4"/>
        <v/>
      </c>
      <c r="J129" s="4"/>
    </row>
    <row r="130" spans="1:10" x14ac:dyDescent="0.35">
      <c r="A130" s="12"/>
      <c r="B130" s="13"/>
      <c r="C130" s="12"/>
      <c r="D130" s="12"/>
      <c r="E130" s="14"/>
      <c r="F130" s="12"/>
      <c r="G130" s="14"/>
      <c r="H130" s="12"/>
      <c r="I130" t="str">
        <f t="shared" si="4"/>
        <v/>
      </c>
      <c r="J130" s="4"/>
    </row>
    <row r="131" spans="1:10" x14ac:dyDescent="0.35">
      <c r="A131" s="12"/>
      <c r="B131" s="13"/>
      <c r="C131" s="12"/>
      <c r="D131" s="12"/>
      <c r="E131" s="14"/>
      <c r="F131" s="12"/>
      <c r="G131" s="14"/>
      <c r="H131" s="12"/>
      <c r="I131" t="str">
        <f t="shared" ref="I131:I144" si="5">MID(H131,32,15)</f>
        <v/>
      </c>
      <c r="J131" s="4"/>
    </row>
    <row r="132" spans="1:10" x14ac:dyDescent="0.35">
      <c r="A132" s="12"/>
      <c r="B132" s="13"/>
      <c r="C132" s="12"/>
      <c r="D132" s="12"/>
      <c r="E132" s="14"/>
      <c r="F132" s="12"/>
      <c r="G132" s="14"/>
      <c r="H132" s="12"/>
      <c r="I132" t="str">
        <f t="shared" si="5"/>
        <v/>
      </c>
      <c r="J132" s="4"/>
    </row>
    <row r="133" spans="1:10" x14ac:dyDescent="0.35">
      <c r="A133" s="12"/>
      <c r="B133" s="13"/>
      <c r="C133" s="12"/>
      <c r="D133" s="12"/>
      <c r="E133" s="14"/>
      <c r="F133" s="12"/>
      <c r="G133" s="14"/>
      <c r="H133" s="12"/>
      <c r="I133" t="str">
        <f t="shared" si="5"/>
        <v/>
      </c>
      <c r="J133" s="4"/>
    </row>
    <row r="134" spans="1:10" x14ac:dyDescent="0.35">
      <c r="A134" s="12"/>
      <c r="B134" s="13"/>
      <c r="C134" s="12"/>
      <c r="D134" s="12"/>
      <c r="E134" s="14"/>
      <c r="F134" s="12"/>
      <c r="G134" s="14"/>
      <c r="H134" s="12"/>
      <c r="I134" t="str">
        <f t="shared" si="5"/>
        <v/>
      </c>
      <c r="J134" s="4"/>
    </row>
    <row r="135" spans="1:10" x14ac:dyDescent="0.35">
      <c r="A135" s="12"/>
      <c r="B135" s="13"/>
      <c r="C135" s="12"/>
      <c r="D135" s="12"/>
      <c r="E135" s="14"/>
      <c r="F135" s="12"/>
      <c r="G135" s="14"/>
      <c r="H135" s="12"/>
      <c r="I135" t="str">
        <f t="shared" si="5"/>
        <v/>
      </c>
      <c r="J135" s="4"/>
    </row>
    <row r="136" spans="1:10" x14ac:dyDescent="0.35">
      <c r="A136" s="12"/>
      <c r="B136" s="13"/>
      <c r="C136" s="12"/>
      <c r="D136" s="12"/>
      <c r="E136" s="14"/>
      <c r="F136" s="12"/>
      <c r="G136" s="14"/>
      <c r="H136" s="12"/>
      <c r="I136" t="str">
        <f t="shared" si="5"/>
        <v/>
      </c>
      <c r="J136" s="4"/>
    </row>
    <row r="137" spans="1:10" x14ac:dyDescent="0.35">
      <c r="A137" s="12"/>
      <c r="B137" s="13"/>
      <c r="C137" s="12"/>
      <c r="D137" s="12"/>
      <c r="E137" s="14"/>
      <c r="F137" s="12"/>
      <c r="G137" s="14"/>
      <c r="H137" s="12"/>
      <c r="I137" t="str">
        <f t="shared" si="5"/>
        <v/>
      </c>
      <c r="J137" s="4"/>
    </row>
    <row r="138" spans="1:10" x14ac:dyDescent="0.35">
      <c r="A138" s="12"/>
      <c r="B138" s="13"/>
      <c r="C138" s="12"/>
      <c r="D138" s="12"/>
      <c r="E138" s="14"/>
      <c r="F138" s="12"/>
      <c r="G138" s="14"/>
      <c r="H138" s="12"/>
      <c r="I138" t="str">
        <f t="shared" si="5"/>
        <v/>
      </c>
      <c r="J138" s="4"/>
    </row>
    <row r="139" spans="1:10" x14ac:dyDescent="0.35">
      <c r="A139" s="12"/>
      <c r="B139" s="13"/>
      <c r="C139" s="12"/>
      <c r="D139" s="12"/>
      <c r="E139" s="14"/>
      <c r="F139" s="12"/>
      <c r="G139" s="14"/>
      <c r="H139" s="12"/>
      <c r="I139" t="str">
        <f t="shared" si="5"/>
        <v/>
      </c>
      <c r="J139" s="4"/>
    </row>
    <row r="140" spans="1:10" x14ac:dyDescent="0.35">
      <c r="A140" s="12"/>
      <c r="B140" s="13"/>
      <c r="C140" s="12"/>
      <c r="D140" s="12"/>
      <c r="E140" s="14"/>
      <c r="F140" s="12"/>
      <c r="G140" s="14"/>
      <c r="H140" s="12"/>
      <c r="I140" t="str">
        <f t="shared" si="5"/>
        <v/>
      </c>
      <c r="J140" s="4"/>
    </row>
    <row r="141" spans="1:10" x14ac:dyDescent="0.35">
      <c r="A141" s="12"/>
      <c r="B141" s="13"/>
      <c r="C141" s="12"/>
      <c r="D141" s="12"/>
      <c r="E141" s="14"/>
      <c r="F141" s="12"/>
      <c r="G141" s="14"/>
      <c r="H141" s="12"/>
      <c r="I141" t="str">
        <f t="shared" si="5"/>
        <v/>
      </c>
      <c r="J141" s="4"/>
    </row>
    <row r="142" spans="1:10" x14ac:dyDescent="0.35">
      <c r="A142" s="12"/>
      <c r="B142" s="13"/>
      <c r="C142" s="12"/>
      <c r="D142" s="12"/>
      <c r="E142" s="14"/>
      <c r="F142" s="12"/>
      <c r="G142" s="14"/>
      <c r="H142" s="12"/>
      <c r="I142" t="str">
        <f t="shared" si="5"/>
        <v/>
      </c>
      <c r="J142" s="4"/>
    </row>
    <row r="143" spans="1:10" x14ac:dyDescent="0.35">
      <c r="A143" s="12"/>
      <c r="B143" s="13"/>
      <c r="C143" s="12"/>
      <c r="D143" s="12"/>
      <c r="E143" s="14"/>
      <c r="F143" s="12"/>
      <c r="G143" s="14"/>
      <c r="H143" s="12"/>
      <c r="I143" t="str">
        <f>MID(H143,28,15)</f>
        <v/>
      </c>
      <c r="J143" s="4"/>
    </row>
    <row r="144" spans="1:10" x14ac:dyDescent="0.35">
      <c r="A144" s="12"/>
      <c r="B144" s="13"/>
      <c r="C144" s="12"/>
      <c r="D144" s="12"/>
      <c r="E144" s="14"/>
      <c r="F144" s="12"/>
      <c r="G144" s="14"/>
      <c r="H144" s="12"/>
      <c r="I144" t="str">
        <f t="shared" si="5"/>
        <v/>
      </c>
      <c r="J144" s="4"/>
    </row>
    <row r="145" spans="1:10" x14ac:dyDescent="0.35">
      <c r="A145" s="12"/>
      <c r="B145" s="13"/>
      <c r="C145" s="12"/>
      <c r="D145" s="12"/>
      <c r="E145" s="14"/>
      <c r="F145" s="12"/>
      <c r="G145" s="14"/>
      <c r="H145" s="12"/>
      <c r="I145" t="str">
        <f>MID(H145,27,15)</f>
        <v/>
      </c>
      <c r="J145" s="4"/>
    </row>
    <row r="146" spans="1:10" x14ac:dyDescent="0.35">
      <c r="A146" s="12"/>
      <c r="B146" s="13"/>
      <c r="C146" s="12"/>
      <c r="D146" s="12"/>
      <c r="E146" s="14"/>
      <c r="F146" s="12"/>
      <c r="G146" s="14"/>
      <c r="H146" s="12"/>
      <c r="I146" t="str">
        <f>MID(H146,27,15)</f>
        <v/>
      </c>
      <c r="J146" s="4"/>
    </row>
    <row r="147" spans="1:10" x14ac:dyDescent="0.35">
      <c r="G147" s="27">
        <f>SUM(G2:G146)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201B-C2FD-40E3-982B-6A9F504100D2}">
  <dimension ref="A1:M11"/>
  <sheetViews>
    <sheetView workbookViewId="0">
      <selection activeCell="B10" sqref="B10"/>
    </sheetView>
  </sheetViews>
  <sheetFormatPr defaultRowHeight="14.5" x14ac:dyDescent="0.35"/>
  <cols>
    <col min="1" max="1" width="2.81640625" bestFit="1" customWidth="1"/>
    <col min="2" max="2" width="15" bestFit="1" customWidth="1"/>
    <col min="3" max="3" width="10.08984375" bestFit="1" customWidth="1"/>
    <col min="4" max="4" width="10.90625" bestFit="1" customWidth="1"/>
    <col min="5" max="5" width="10.81640625" bestFit="1" customWidth="1"/>
    <col min="6" max="6" width="43.36328125" bestFit="1" customWidth="1"/>
    <col min="7" max="7" width="8.54296875" bestFit="1" customWidth="1"/>
    <col min="8" max="8" width="4.1796875" bestFit="1" customWidth="1"/>
    <col min="9" max="9" width="8.81640625" bestFit="1" customWidth="1"/>
    <col min="10" max="10" width="6.453125" bestFit="1" customWidth="1"/>
    <col min="11" max="11" width="7.36328125" bestFit="1" customWidth="1"/>
    <col min="12" max="12" width="7.81640625" bestFit="1" customWidth="1"/>
    <col min="13" max="13" width="13.54296875" bestFit="1" customWidth="1"/>
  </cols>
  <sheetData>
    <row r="1" spans="1:13" x14ac:dyDescent="0.35">
      <c r="A1" t="s">
        <v>434</v>
      </c>
      <c r="B1" t="s">
        <v>435</v>
      </c>
      <c r="C1" t="s">
        <v>436</v>
      </c>
      <c r="D1" s="1" t="s">
        <v>437</v>
      </c>
      <c r="E1" s="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35">
      <c r="A2" t="s">
        <v>455</v>
      </c>
      <c r="B2" s="4" t="s">
        <v>456</v>
      </c>
      <c r="C2" s="3">
        <v>45730</v>
      </c>
      <c r="D2" s="1">
        <v>249.55</v>
      </c>
      <c r="E2" s="1">
        <v>21721.43</v>
      </c>
      <c r="F2" t="s">
        <v>88</v>
      </c>
      <c r="H2" t="s">
        <v>11</v>
      </c>
      <c r="I2" s="2">
        <v>45839</v>
      </c>
      <c r="M2">
        <v>53826350</v>
      </c>
    </row>
    <row r="3" spans="1:13" x14ac:dyDescent="0.35">
      <c r="A3" t="s">
        <v>455</v>
      </c>
      <c r="B3" s="4" t="s">
        <v>456</v>
      </c>
      <c r="C3" s="3">
        <v>45730</v>
      </c>
      <c r="D3" s="1">
        <v>0</v>
      </c>
      <c r="E3" s="1">
        <v>-2.0499999999999998</v>
      </c>
      <c r="F3" t="s">
        <v>15</v>
      </c>
      <c r="H3" t="s">
        <v>11</v>
      </c>
      <c r="I3" s="2">
        <v>45839</v>
      </c>
      <c r="M3">
        <v>54969548</v>
      </c>
    </row>
    <row r="4" spans="1:13" x14ac:dyDescent="0.35">
      <c r="A4" t="s">
        <v>455</v>
      </c>
      <c r="B4" s="4" t="s">
        <v>462</v>
      </c>
      <c r="C4" s="3">
        <v>45918</v>
      </c>
      <c r="D4" s="1">
        <v>184.38</v>
      </c>
      <c r="E4" s="1">
        <v>184.38</v>
      </c>
      <c r="H4" t="s">
        <v>11</v>
      </c>
      <c r="I4" s="2">
        <v>46023</v>
      </c>
      <c r="M4">
        <v>68208016</v>
      </c>
    </row>
    <row r="5" spans="1:13" x14ac:dyDescent="0.35">
      <c r="A5" t="s">
        <v>464</v>
      </c>
      <c r="B5" s="4">
        <v>2830735</v>
      </c>
      <c r="C5" s="3">
        <v>46053</v>
      </c>
      <c r="D5" s="1">
        <v>0</v>
      </c>
      <c r="E5" s="1">
        <v>-7756</v>
      </c>
      <c r="F5" t="s">
        <v>465</v>
      </c>
      <c r="H5" t="s">
        <v>56</v>
      </c>
      <c r="I5" s="2">
        <v>46023</v>
      </c>
      <c r="M5">
        <v>68369723</v>
      </c>
    </row>
    <row r="6" spans="1:13" x14ac:dyDescent="0.35">
      <c r="A6" t="s">
        <v>464</v>
      </c>
      <c r="B6" s="4">
        <v>2830736</v>
      </c>
      <c r="C6" s="3">
        <v>46053</v>
      </c>
      <c r="D6" s="1">
        <v>0</v>
      </c>
      <c r="E6" s="1">
        <v>-15004</v>
      </c>
      <c r="F6" t="s">
        <v>466</v>
      </c>
      <c r="H6" t="s">
        <v>56</v>
      </c>
      <c r="I6" s="2">
        <v>46023</v>
      </c>
      <c r="M6">
        <v>68369723</v>
      </c>
    </row>
    <row r="7" spans="1:13" x14ac:dyDescent="0.35">
      <c r="A7" t="s">
        <v>464</v>
      </c>
      <c r="B7" s="4">
        <v>2830738</v>
      </c>
      <c r="C7" s="3">
        <v>46053</v>
      </c>
      <c r="D7" s="1">
        <v>0</v>
      </c>
      <c r="E7" s="1">
        <v>-17437</v>
      </c>
      <c r="F7" t="s">
        <v>468</v>
      </c>
      <c r="H7" t="s">
        <v>56</v>
      </c>
      <c r="I7" s="2">
        <v>46023</v>
      </c>
      <c r="M7">
        <v>68369723</v>
      </c>
    </row>
    <row r="8" spans="1:13" x14ac:dyDescent="0.35">
      <c r="A8" t="s">
        <v>464</v>
      </c>
      <c r="B8" s="4">
        <v>2830739</v>
      </c>
      <c r="C8" s="3">
        <v>46053</v>
      </c>
      <c r="D8" s="1">
        <v>0</v>
      </c>
      <c r="E8" s="1">
        <v>-5206</v>
      </c>
      <c r="F8" t="s">
        <v>469</v>
      </c>
      <c r="H8" t="s">
        <v>56</v>
      </c>
      <c r="I8" s="2">
        <v>46023</v>
      </c>
      <c r="M8">
        <v>68369723</v>
      </c>
    </row>
    <row r="9" spans="1:13" x14ac:dyDescent="0.35">
      <c r="A9" t="s">
        <v>455</v>
      </c>
      <c r="B9" s="4" t="s">
        <v>462</v>
      </c>
      <c r="C9" s="3">
        <v>45918</v>
      </c>
      <c r="D9" s="1">
        <v>-3.69</v>
      </c>
      <c r="E9" s="1">
        <v>-3.69</v>
      </c>
      <c r="F9" t="s">
        <v>470</v>
      </c>
      <c r="H9" t="s">
        <v>11</v>
      </c>
      <c r="I9" s="2">
        <v>46023</v>
      </c>
      <c r="M9">
        <v>68389624</v>
      </c>
    </row>
    <row r="10" spans="1:13" x14ac:dyDescent="0.35">
      <c r="A10" t="s">
        <v>455</v>
      </c>
      <c r="B10" s="4" t="s">
        <v>462</v>
      </c>
      <c r="C10" s="3">
        <v>45918</v>
      </c>
      <c r="D10" s="1">
        <v>0</v>
      </c>
      <c r="E10" s="1">
        <v>16376.07</v>
      </c>
      <c r="F10" t="s">
        <v>15</v>
      </c>
      <c r="H10" t="s">
        <v>11</v>
      </c>
      <c r="I10" s="2">
        <v>46023</v>
      </c>
      <c r="M10">
        <v>68459189</v>
      </c>
    </row>
    <row r="11" spans="1:13" x14ac:dyDescent="0.35">
      <c r="E11" s="76">
        <f>SUM(E2:E10)</f>
        <v>-7126.8599999999969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361C-3ADC-40DB-89BE-A9B218892CB0}">
  <dimension ref="A1:M708"/>
  <sheetViews>
    <sheetView topLeftCell="I1" workbookViewId="0">
      <selection activeCell="J1" sqref="J1"/>
    </sheetView>
  </sheetViews>
  <sheetFormatPr defaultRowHeight="14.5" x14ac:dyDescent="0.35"/>
  <cols>
    <col min="1" max="1" width="23.81640625" bestFit="1" customWidth="1"/>
    <col min="2" max="2" width="9.453125" bestFit="1" customWidth="1"/>
    <col min="3" max="3" width="7.81640625" bestFit="1" customWidth="1"/>
    <col min="4" max="4" width="13.90625" bestFit="1" customWidth="1"/>
    <col min="5" max="5" width="14.90625" bestFit="1" customWidth="1"/>
    <col min="6" max="6" width="8.1796875" bestFit="1" customWidth="1"/>
    <col min="7" max="7" width="11.90625" bestFit="1" customWidth="1"/>
    <col min="9" max="9" width="11.90625" bestFit="1" customWidth="1"/>
    <col min="10" max="10" width="47" bestFit="1" customWidth="1"/>
    <col min="11" max="11" width="13.6328125" bestFit="1" customWidth="1"/>
    <col min="12" max="12" width="13.08984375" bestFit="1" customWidth="1"/>
    <col min="13" max="13" width="9.453125" bestFit="1" customWidth="1"/>
  </cols>
  <sheetData>
    <row r="1" spans="1:13" ht="58" x14ac:dyDescent="0.35">
      <c r="A1" s="25" t="s">
        <v>483</v>
      </c>
      <c r="B1" s="25" t="s">
        <v>484</v>
      </c>
      <c r="C1" s="26" t="s">
        <v>486</v>
      </c>
      <c r="D1" s="25" t="s">
        <v>487</v>
      </c>
      <c r="E1" s="25" t="s">
        <v>489</v>
      </c>
      <c r="F1" s="26" t="s">
        <v>490</v>
      </c>
      <c r="G1" s="26" t="s">
        <v>491</v>
      </c>
      <c r="H1" s="26" t="s">
        <v>492</v>
      </c>
      <c r="I1" s="26" t="s">
        <v>493</v>
      </c>
      <c r="J1" s="25" t="s">
        <v>494</v>
      </c>
      <c r="K1" s="25" t="s">
        <v>874</v>
      </c>
      <c r="L1" s="25" t="s">
        <v>875</v>
      </c>
      <c r="M1" s="25" t="s">
        <v>877</v>
      </c>
    </row>
    <row r="2" spans="1:13" x14ac:dyDescent="0.35">
      <c r="A2" s="28" t="s">
        <v>495</v>
      </c>
      <c r="B2" s="32">
        <v>2025</v>
      </c>
      <c r="C2" s="28" t="s">
        <v>496</v>
      </c>
      <c r="D2" s="29">
        <v>45848</v>
      </c>
      <c r="E2" s="28">
        <v>256779421326</v>
      </c>
      <c r="F2" s="28" t="s">
        <v>11</v>
      </c>
      <c r="G2" s="30">
        <v>-70.8</v>
      </c>
      <c r="H2" s="28" t="s">
        <v>56</v>
      </c>
      <c r="I2" s="30">
        <v>-6088.85</v>
      </c>
      <c r="J2" s="28" t="s">
        <v>498</v>
      </c>
      <c r="K2" s="28" t="e" cm="1">
        <f t="array" ref="K2">VLOOKUP(E2,[2]A023951!D$1:H$1114,{3,5},0)</f>
        <v>#N/A</v>
      </c>
      <c r="L2" s="28"/>
      <c r="M2" s="28"/>
    </row>
    <row r="3" spans="1:13" x14ac:dyDescent="0.35">
      <c r="A3" s="28" t="s">
        <v>495</v>
      </c>
      <c r="B3" s="32">
        <v>2025</v>
      </c>
      <c r="C3" s="28" t="s">
        <v>496</v>
      </c>
      <c r="D3" s="29">
        <v>45848</v>
      </c>
      <c r="E3" s="28">
        <v>256779421327</v>
      </c>
      <c r="F3" s="28" t="s">
        <v>11</v>
      </c>
      <c r="G3" s="30">
        <v>-113.28</v>
      </c>
      <c r="H3" s="28" t="s">
        <v>56</v>
      </c>
      <c r="I3" s="30">
        <v>-9742.16</v>
      </c>
      <c r="J3" s="28" t="s">
        <v>498</v>
      </c>
      <c r="K3" s="28" t="e" cm="1">
        <f t="array" ref="K3">VLOOKUP(E3,[2]A023951!D$1:H$1114,{3,5},0)</f>
        <v>#N/A</v>
      </c>
      <c r="L3" s="28"/>
      <c r="M3" s="28"/>
    </row>
    <row r="4" spans="1:13" x14ac:dyDescent="0.35">
      <c r="A4" s="28" t="s">
        <v>495</v>
      </c>
      <c r="B4" s="32">
        <v>2025</v>
      </c>
      <c r="C4" s="28" t="s">
        <v>496</v>
      </c>
      <c r="D4" s="29">
        <v>45848</v>
      </c>
      <c r="E4" s="28">
        <v>256779421328</v>
      </c>
      <c r="F4" s="28" t="s">
        <v>11</v>
      </c>
      <c r="G4" s="30">
        <v>-242.75</v>
      </c>
      <c r="H4" s="28" t="s">
        <v>56</v>
      </c>
      <c r="I4" s="30">
        <v>-20876.66</v>
      </c>
      <c r="J4" s="28" t="s">
        <v>498</v>
      </c>
      <c r="K4" s="28" t="e" cm="1">
        <f t="array" ref="K4">VLOOKUP(E4,[2]A023951!D$1:H$1114,{3,5},0)</f>
        <v>#N/A</v>
      </c>
      <c r="L4" s="28"/>
      <c r="M4" s="28"/>
    </row>
    <row r="5" spans="1:13" x14ac:dyDescent="0.35">
      <c r="A5" s="28" t="s">
        <v>495</v>
      </c>
      <c r="B5" s="32">
        <v>2025</v>
      </c>
      <c r="C5" s="28" t="s">
        <v>499</v>
      </c>
      <c r="D5" s="29">
        <v>45904</v>
      </c>
      <c r="E5" s="28">
        <v>256779416909</v>
      </c>
      <c r="F5" s="28" t="s">
        <v>11</v>
      </c>
      <c r="G5" s="30">
        <v>989.55</v>
      </c>
      <c r="H5" s="28" t="s">
        <v>56</v>
      </c>
      <c r="I5" s="30">
        <v>86599.81</v>
      </c>
      <c r="J5" s="28" t="s">
        <v>500</v>
      </c>
      <c r="K5" s="28" cm="1">
        <f t="array" ref="K5:L5">VLOOKUP(E5,[2]A023951!D$1:H$1114,{3,5},0)</f>
        <v>-989.55</v>
      </c>
      <c r="L5" s="28">
        <v>-87733</v>
      </c>
      <c r="M5" s="31">
        <f t="shared" ref="M5:M10" si="0">I5+L5</f>
        <v>-1133.1900000000023</v>
      </c>
    </row>
    <row r="6" spans="1:13" x14ac:dyDescent="0.35">
      <c r="A6" s="28" t="s">
        <v>495</v>
      </c>
      <c r="B6" s="32">
        <v>2025</v>
      </c>
      <c r="C6" s="28" t="s">
        <v>499</v>
      </c>
      <c r="D6" s="29">
        <v>45904</v>
      </c>
      <c r="E6" s="28">
        <v>256779417134</v>
      </c>
      <c r="F6" s="28" t="s">
        <v>11</v>
      </c>
      <c r="G6" s="30">
        <v>536.44000000000005</v>
      </c>
      <c r="H6" s="28" t="s">
        <v>56</v>
      </c>
      <c r="I6" s="30">
        <v>46946.19</v>
      </c>
      <c r="J6" s="28" t="s">
        <v>501</v>
      </c>
      <c r="K6" s="28" cm="1">
        <f t="array" ref="K6:L6">VLOOKUP(E6,[2]A023951!D$1:H$1114,{3,5},0)</f>
        <v>-536.44000000000005</v>
      </c>
      <c r="L6" s="28">
        <v>-47020</v>
      </c>
      <c r="M6" s="31">
        <f t="shared" si="0"/>
        <v>-73.809999999997672</v>
      </c>
    </row>
    <row r="7" spans="1:13" x14ac:dyDescent="0.35">
      <c r="A7" s="28" t="s">
        <v>495</v>
      </c>
      <c r="B7" s="32">
        <v>2025</v>
      </c>
      <c r="C7" s="28" t="s">
        <v>499</v>
      </c>
      <c r="D7" s="29">
        <v>45904</v>
      </c>
      <c r="E7" s="28">
        <v>256779417137</v>
      </c>
      <c r="F7" s="28" t="s">
        <v>11</v>
      </c>
      <c r="G7" s="30">
        <v>409.79</v>
      </c>
      <c r="H7" s="28" t="s">
        <v>56</v>
      </c>
      <c r="I7" s="30">
        <v>35862.5</v>
      </c>
      <c r="J7" s="28" t="s">
        <v>502</v>
      </c>
      <c r="K7" s="28" cm="1">
        <f t="array" ref="K7:L7">VLOOKUP(E7,[2]A023951!D$1:H$1114,{3,5},0)</f>
        <v>-409.79</v>
      </c>
      <c r="L7" s="28">
        <v>-35918.879999999997</v>
      </c>
      <c r="M7" s="31">
        <f t="shared" si="0"/>
        <v>-56.379999999997381</v>
      </c>
    </row>
    <row r="8" spans="1:13" x14ac:dyDescent="0.35">
      <c r="A8" s="28" t="s">
        <v>495</v>
      </c>
      <c r="B8" s="32">
        <v>2025</v>
      </c>
      <c r="C8" s="28" t="s">
        <v>499</v>
      </c>
      <c r="D8" s="29">
        <v>45904</v>
      </c>
      <c r="E8" s="28">
        <v>256779417158</v>
      </c>
      <c r="F8" s="28" t="s">
        <v>11</v>
      </c>
      <c r="G8" s="30">
        <v>110</v>
      </c>
      <c r="H8" s="28" t="s">
        <v>56</v>
      </c>
      <c r="I8" s="30">
        <v>9626.58</v>
      </c>
      <c r="J8" s="28" t="s">
        <v>503</v>
      </c>
      <c r="K8" s="28" cm="1">
        <f t="array" ref="K8:L8">VLOOKUP(E8,[2]A023951!D$1:H$1114,{3,5},0)</f>
        <v>-110</v>
      </c>
      <c r="L8" s="28">
        <v>-9641.7099999999991</v>
      </c>
      <c r="M8" s="31">
        <f t="shared" si="0"/>
        <v>-15.1299999999992</v>
      </c>
    </row>
    <row r="9" spans="1:13" x14ac:dyDescent="0.35">
      <c r="A9" s="28" t="s">
        <v>495</v>
      </c>
      <c r="B9" s="32">
        <v>2025</v>
      </c>
      <c r="C9" s="28" t="s">
        <v>499</v>
      </c>
      <c r="D9" s="29">
        <v>45904</v>
      </c>
      <c r="E9" s="28">
        <v>256779417200</v>
      </c>
      <c r="F9" s="28" t="s">
        <v>11</v>
      </c>
      <c r="G9" s="30">
        <v>100.74</v>
      </c>
      <c r="H9" s="28" t="s">
        <v>56</v>
      </c>
      <c r="I9" s="30">
        <v>8816.19</v>
      </c>
      <c r="J9" s="28" t="s">
        <v>504</v>
      </c>
      <c r="K9" s="28" cm="1">
        <f t="array" ref="K9:L9">VLOOKUP(E9,[2]A023951!D$1:H$1114,{3,5},0)</f>
        <v>-100.74</v>
      </c>
      <c r="L9" s="28">
        <v>-8830.0499999999993</v>
      </c>
      <c r="M9" s="31">
        <f t="shared" si="0"/>
        <v>-13.859999999998763</v>
      </c>
    </row>
    <row r="10" spans="1:13" x14ac:dyDescent="0.35">
      <c r="A10" s="28" t="s">
        <v>495</v>
      </c>
      <c r="B10" s="32">
        <v>2025</v>
      </c>
      <c r="C10" s="28" t="s">
        <v>499</v>
      </c>
      <c r="D10" s="29">
        <v>45904</v>
      </c>
      <c r="E10" s="28">
        <v>256779417238</v>
      </c>
      <c r="F10" s="28" t="s">
        <v>11</v>
      </c>
      <c r="G10" s="30">
        <v>608.78</v>
      </c>
      <c r="H10" s="28" t="s">
        <v>56</v>
      </c>
      <c r="I10" s="30">
        <v>53276.97</v>
      </c>
      <c r="J10" s="28" t="s">
        <v>505</v>
      </c>
      <c r="K10" s="28" cm="1">
        <f t="array" ref="K10:L10">VLOOKUP(E10,[2]A023951!D$1:H$1114,{3,5},0)</f>
        <v>-608.78</v>
      </c>
      <c r="L10" s="28">
        <v>-53360.74</v>
      </c>
      <c r="M10" s="31">
        <f t="shared" si="0"/>
        <v>-83.769999999996799</v>
      </c>
    </row>
    <row r="11" spans="1:13" x14ac:dyDescent="0.35">
      <c r="A11" s="28" t="s">
        <v>495</v>
      </c>
      <c r="B11" s="32">
        <v>2025</v>
      </c>
      <c r="C11" s="28" t="s">
        <v>499</v>
      </c>
      <c r="D11" s="29">
        <v>45904</v>
      </c>
      <c r="E11" s="28">
        <v>256779417250</v>
      </c>
      <c r="F11" s="28" t="s">
        <v>11</v>
      </c>
      <c r="G11" s="30">
        <v>50</v>
      </c>
      <c r="H11" s="28" t="s">
        <v>56</v>
      </c>
      <c r="I11" s="30">
        <v>4375.72</v>
      </c>
      <c r="J11" s="28" t="s">
        <v>506</v>
      </c>
      <c r="K11" s="28" t="e" cm="1">
        <f t="array" ref="K11">VLOOKUP(E11,[2]A023951!D$1:H$1114,{3,5},0)</f>
        <v>#N/A</v>
      </c>
      <c r="L11" s="28"/>
      <c r="M11" s="28"/>
    </row>
    <row r="12" spans="1:13" x14ac:dyDescent="0.35">
      <c r="A12" s="28" t="s">
        <v>495</v>
      </c>
      <c r="B12" s="32">
        <v>2025</v>
      </c>
      <c r="C12" s="28" t="s">
        <v>499</v>
      </c>
      <c r="D12" s="29">
        <v>45904</v>
      </c>
      <c r="E12" s="28">
        <v>256779417257</v>
      </c>
      <c r="F12" s="28" t="s">
        <v>11</v>
      </c>
      <c r="G12" s="30">
        <v>22.77</v>
      </c>
      <c r="H12" s="28" t="s">
        <v>56</v>
      </c>
      <c r="I12" s="30">
        <v>1992.7</v>
      </c>
      <c r="J12" s="28" t="s">
        <v>507</v>
      </c>
      <c r="K12" s="28" cm="1">
        <f t="array" ref="K12:L12">VLOOKUP(E12,[2]A023951!D$1:H$1114,{3,5},0)</f>
        <v>-22.77</v>
      </c>
      <c r="L12" s="28">
        <v>-1995.83</v>
      </c>
      <c r="M12" s="31">
        <f t="shared" ref="M12:M21" si="1">I12+L12</f>
        <v>-3.1299999999998818</v>
      </c>
    </row>
    <row r="13" spans="1:13" x14ac:dyDescent="0.35">
      <c r="A13" s="28" t="s">
        <v>495</v>
      </c>
      <c r="B13" s="32">
        <v>2025</v>
      </c>
      <c r="C13" s="28" t="s">
        <v>499</v>
      </c>
      <c r="D13" s="29">
        <v>45904</v>
      </c>
      <c r="E13" s="28">
        <v>256779417280</v>
      </c>
      <c r="F13" s="28" t="s">
        <v>11</v>
      </c>
      <c r="G13" s="30">
        <v>249.98</v>
      </c>
      <c r="H13" s="28" t="s">
        <v>56</v>
      </c>
      <c r="I13" s="30">
        <v>21876.83</v>
      </c>
      <c r="J13" s="28" t="s">
        <v>508</v>
      </c>
      <c r="K13" s="28" cm="1">
        <f t="array" ref="K13:L13">VLOOKUP(E13,[2]A023951!D$1:H$1114,{3,5},0)</f>
        <v>-249.98</v>
      </c>
      <c r="L13" s="28">
        <v>-21911.23</v>
      </c>
      <c r="M13" s="31">
        <f t="shared" si="1"/>
        <v>-34.399999999997817</v>
      </c>
    </row>
    <row r="14" spans="1:13" x14ac:dyDescent="0.35">
      <c r="A14" s="28" t="s">
        <v>495</v>
      </c>
      <c r="B14" s="32">
        <v>2025</v>
      </c>
      <c r="C14" s="28" t="s">
        <v>499</v>
      </c>
      <c r="D14" s="29">
        <v>45904</v>
      </c>
      <c r="E14" s="28">
        <v>256779417317</v>
      </c>
      <c r="F14" s="28" t="s">
        <v>11</v>
      </c>
      <c r="G14" s="30">
        <v>170.85</v>
      </c>
      <c r="H14" s="28" t="s">
        <v>56</v>
      </c>
      <c r="I14" s="30">
        <v>14951.82</v>
      </c>
      <c r="J14" s="28" t="s">
        <v>509</v>
      </c>
      <c r="K14" s="28" cm="1">
        <f t="array" ref="K14:L14">VLOOKUP(E14,[2]A023951!D$1:H$1114,{3,5},0)</f>
        <v>-170.85</v>
      </c>
      <c r="L14" s="28">
        <v>-14975.33</v>
      </c>
      <c r="M14" s="31">
        <f t="shared" si="1"/>
        <v>-23.510000000000218</v>
      </c>
    </row>
    <row r="15" spans="1:13" x14ac:dyDescent="0.35">
      <c r="A15" s="28" t="s">
        <v>495</v>
      </c>
      <c r="B15" s="32">
        <v>2025</v>
      </c>
      <c r="C15" s="28" t="s">
        <v>499</v>
      </c>
      <c r="D15" s="29">
        <v>45842</v>
      </c>
      <c r="E15" s="28">
        <v>256779414859</v>
      </c>
      <c r="F15" s="28" t="s">
        <v>11</v>
      </c>
      <c r="G15" s="30">
        <v>318.47000000000003</v>
      </c>
      <c r="H15" s="28" t="s">
        <v>56</v>
      </c>
      <c r="I15" s="30">
        <v>27388.63</v>
      </c>
      <c r="J15" s="28" t="s">
        <v>510</v>
      </c>
      <c r="K15" s="28" cm="1">
        <f t="array" ref="K15:L15">VLOOKUP(E15,[2]A023951!D$1:H$1114,{3,5},0)</f>
        <v>-318.47000000000003</v>
      </c>
      <c r="L15" s="28">
        <v>-27385.08</v>
      </c>
      <c r="M15" s="31">
        <f t="shared" si="1"/>
        <v>3.5499999999992724</v>
      </c>
    </row>
    <row r="16" spans="1:13" x14ac:dyDescent="0.35">
      <c r="A16" s="28" t="s">
        <v>495</v>
      </c>
      <c r="B16" s="32">
        <v>2025</v>
      </c>
      <c r="C16" s="28" t="s">
        <v>499</v>
      </c>
      <c r="D16" s="29">
        <v>45842</v>
      </c>
      <c r="E16" s="28">
        <v>256779415012</v>
      </c>
      <c r="F16" s="28" t="s">
        <v>11</v>
      </c>
      <c r="G16" s="30">
        <v>184.3</v>
      </c>
      <c r="H16" s="28" t="s">
        <v>56</v>
      </c>
      <c r="I16" s="30">
        <v>15849.92</v>
      </c>
      <c r="J16" s="28" t="s">
        <v>511</v>
      </c>
      <c r="K16" s="28" cm="1">
        <f t="array" ref="K16:L16">VLOOKUP(E16,[2]A023951!D$1:H$1114,{3,5},0)</f>
        <v>-184</v>
      </c>
      <c r="L16" s="28">
        <v>-15822.07</v>
      </c>
      <c r="M16" s="31">
        <f t="shared" si="1"/>
        <v>27.850000000000364</v>
      </c>
    </row>
    <row r="17" spans="1:13" x14ac:dyDescent="0.35">
      <c r="A17" s="28" t="s">
        <v>495</v>
      </c>
      <c r="B17" s="32">
        <v>2025</v>
      </c>
      <c r="C17" s="28" t="s">
        <v>499</v>
      </c>
      <c r="D17" s="29">
        <v>45842</v>
      </c>
      <c r="E17" s="28">
        <v>256779415208</v>
      </c>
      <c r="F17" s="28" t="s">
        <v>11</v>
      </c>
      <c r="G17" s="30">
        <v>183.43</v>
      </c>
      <c r="H17" s="28" t="s">
        <v>56</v>
      </c>
      <c r="I17" s="30">
        <v>15775.1</v>
      </c>
      <c r="J17" s="28" t="s">
        <v>512</v>
      </c>
      <c r="K17" s="28" cm="1">
        <f t="array" ref="K17:L17">VLOOKUP(E17,[2]A023951!D$1:H$1114,{3,5},0)</f>
        <v>-183.43</v>
      </c>
      <c r="L17" s="28">
        <v>-16228.05</v>
      </c>
      <c r="M17" s="31">
        <f t="shared" si="1"/>
        <v>-452.94999999999891</v>
      </c>
    </row>
    <row r="18" spans="1:13" x14ac:dyDescent="0.35">
      <c r="A18" s="28" t="s">
        <v>495</v>
      </c>
      <c r="B18" s="32">
        <v>2025</v>
      </c>
      <c r="C18" s="28" t="s">
        <v>499</v>
      </c>
      <c r="D18" s="29">
        <v>45842</v>
      </c>
      <c r="E18" s="28">
        <v>256779415209</v>
      </c>
      <c r="F18" s="28" t="s">
        <v>11</v>
      </c>
      <c r="G18" s="30">
        <v>63.26</v>
      </c>
      <c r="H18" s="28" t="s">
        <v>56</v>
      </c>
      <c r="I18" s="30">
        <v>5440.4</v>
      </c>
      <c r="J18" s="28" t="s">
        <v>512</v>
      </c>
      <c r="K18" s="28" cm="1">
        <f t="array" ref="K18:L18">VLOOKUP(E18,[2]A023951!D$1:H$1114,{3,5},0)</f>
        <v>-63.26</v>
      </c>
      <c r="L18" s="28">
        <v>-5596.61</v>
      </c>
      <c r="M18" s="31">
        <f t="shared" si="1"/>
        <v>-156.21000000000004</v>
      </c>
    </row>
    <row r="19" spans="1:13" x14ac:dyDescent="0.35">
      <c r="A19" s="28" t="s">
        <v>495</v>
      </c>
      <c r="B19" s="32">
        <v>2025</v>
      </c>
      <c r="C19" s="28" t="s">
        <v>499</v>
      </c>
      <c r="D19" s="29">
        <v>45842</v>
      </c>
      <c r="E19" s="28">
        <v>256779415210</v>
      </c>
      <c r="F19" s="28" t="s">
        <v>11</v>
      </c>
      <c r="G19" s="30">
        <v>9629.6299999999992</v>
      </c>
      <c r="H19" s="28" t="s">
        <v>56</v>
      </c>
      <c r="I19" s="30">
        <v>828154.63</v>
      </c>
      <c r="J19" s="28" t="s">
        <v>512</v>
      </c>
      <c r="K19" s="28" cm="1">
        <f t="array" ref="K19:L19">VLOOKUP(E19,[2]A023951!D$1:H$1114,{3,5},0)</f>
        <v>-9629.6299999999992</v>
      </c>
      <c r="L19" s="28">
        <v>-851933.37</v>
      </c>
      <c r="M19" s="31">
        <f t="shared" si="1"/>
        <v>-23778.739999999991</v>
      </c>
    </row>
    <row r="20" spans="1:13" x14ac:dyDescent="0.35">
      <c r="A20" s="28" t="s">
        <v>495</v>
      </c>
      <c r="B20" s="32">
        <v>2025</v>
      </c>
      <c r="C20" s="28" t="s">
        <v>499</v>
      </c>
      <c r="D20" s="29">
        <v>45842</v>
      </c>
      <c r="E20" s="28">
        <v>256779415261</v>
      </c>
      <c r="F20" s="28" t="s">
        <v>11</v>
      </c>
      <c r="G20" s="30">
        <v>292.95999999999998</v>
      </c>
      <c r="H20" s="28" t="s">
        <v>56</v>
      </c>
      <c r="I20" s="30">
        <v>25194.76</v>
      </c>
      <c r="J20" s="28" t="s">
        <v>513</v>
      </c>
      <c r="K20" s="28" cm="1">
        <f t="array" ref="K20:L20">VLOOKUP(E20,[2]A023951!D$1:H$1114,{3,5},0)</f>
        <v>-292.26</v>
      </c>
      <c r="L20" s="28">
        <v>-25131.29</v>
      </c>
      <c r="M20" s="31">
        <f t="shared" si="1"/>
        <v>63.469999999997526</v>
      </c>
    </row>
    <row r="21" spans="1:13" x14ac:dyDescent="0.35">
      <c r="A21" s="28" t="s">
        <v>495</v>
      </c>
      <c r="B21" s="32">
        <v>2025</v>
      </c>
      <c r="C21" s="28" t="s">
        <v>499</v>
      </c>
      <c r="D21" s="29">
        <v>45842</v>
      </c>
      <c r="E21" s="28">
        <v>256779415270</v>
      </c>
      <c r="F21" s="28" t="s">
        <v>11</v>
      </c>
      <c r="G21" s="30">
        <v>420.86</v>
      </c>
      <c r="H21" s="28" t="s">
        <v>56</v>
      </c>
      <c r="I21" s="30">
        <v>36194.239999999998</v>
      </c>
      <c r="J21" s="28" t="s">
        <v>514</v>
      </c>
      <c r="K21" s="28" cm="1">
        <f t="array" ref="K21:L21">VLOOKUP(E21,[2]A023951!D$1:H$1114,{3,5},0)</f>
        <v>-420.86</v>
      </c>
      <c r="L21" s="28">
        <v>-37233.480000000003</v>
      </c>
      <c r="M21" s="31">
        <f t="shared" si="1"/>
        <v>-1039.2400000000052</v>
      </c>
    </row>
    <row r="22" spans="1:13" x14ac:dyDescent="0.35">
      <c r="A22" s="28" t="s">
        <v>495</v>
      </c>
      <c r="B22" s="32">
        <v>2025</v>
      </c>
      <c r="C22" s="28" t="s">
        <v>499</v>
      </c>
      <c r="D22" s="29">
        <v>45966</v>
      </c>
      <c r="E22" s="28">
        <v>256779418816</v>
      </c>
      <c r="F22" s="28" t="s">
        <v>11</v>
      </c>
      <c r="G22" s="30">
        <v>891</v>
      </c>
      <c r="H22" s="28" t="s">
        <v>56</v>
      </c>
      <c r="I22" s="30">
        <v>78411.02</v>
      </c>
      <c r="J22" s="28" t="s">
        <v>515</v>
      </c>
      <c r="K22" s="28" t="e" cm="1">
        <f t="array" ref="K22">VLOOKUP(E22,[2]A023951!D$1:H$1114,{3,5},0)</f>
        <v>#N/A</v>
      </c>
      <c r="L22" s="28"/>
      <c r="M22" s="28"/>
    </row>
    <row r="23" spans="1:13" x14ac:dyDescent="0.35">
      <c r="A23" s="28" t="s">
        <v>495</v>
      </c>
      <c r="B23" s="32">
        <v>2025</v>
      </c>
      <c r="C23" s="28" t="s">
        <v>499</v>
      </c>
      <c r="D23" s="29">
        <v>45966</v>
      </c>
      <c r="E23" s="28">
        <v>256779418872</v>
      </c>
      <c r="F23" s="28" t="s">
        <v>11</v>
      </c>
      <c r="G23" s="30">
        <v>5939.04</v>
      </c>
      <c r="H23" s="28" t="s">
        <v>56</v>
      </c>
      <c r="I23" s="30">
        <v>522655.65</v>
      </c>
      <c r="J23" s="28" t="s">
        <v>516</v>
      </c>
      <c r="K23" s="28" t="e" cm="1">
        <f t="array" ref="K23">VLOOKUP(E23,[2]A023951!D$1:H$1114,{3,5},0)</f>
        <v>#N/A</v>
      </c>
      <c r="L23" s="28"/>
      <c r="M23" s="28"/>
    </row>
    <row r="24" spans="1:13" x14ac:dyDescent="0.35">
      <c r="A24" s="28" t="s">
        <v>495</v>
      </c>
      <c r="B24" s="32">
        <v>2025</v>
      </c>
      <c r="C24" s="28" t="s">
        <v>499</v>
      </c>
      <c r="D24" s="29">
        <v>45966</v>
      </c>
      <c r="E24" s="28">
        <v>256779418892</v>
      </c>
      <c r="F24" s="28" t="s">
        <v>11</v>
      </c>
      <c r="G24" s="30">
        <v>1683.97</v>
      </c>
      <c r="H24" s="28" t="s">
        <v>56</v>
      </c>
      <c r="I24" s="30">
        <v>148195.07</v>
      </c>
      <c r="J24" s="28" t="s">
        <v>517</v>
      </c>
      <c r="K24" s="28" cm="1">
        <f t="array" ref="K24:L24">VLOOKUP(E24,[2]A023951!D$1:H$1114,{3,5},0)</f>
        <v>-1683.97</v>
      </c>
      <c r="L24" s="28">
        <v>-148614.68</v>
      </c>
      <c r="M24" s="31">
        <f>I24+L24</f>
        <v>-419.60999999998603</v>
      </c>
    </row>
    <row r="25" spans="1:13" x14ac:dyDescent="0.35">
      <c r="A25" s="28" t="s">
        <v>495</v>
      </c>
      <c r="B25" s="32">
        <v>2025</v>
      </c>
      <c r="C25" s="28" t="s">
        <v>499</v>
      </c>
      <c r="D25" s="29">
        <v>45966</v>
      </c>
      <c r="E25" s="28">
        <v>256779418904</v>
      </c>
      <c r="F25" s="28" t="s">
        <v>11</v>
      </c>
      <c r="G25" s="30">
        <v>1273.92</v>
      </c>
      <c r="H25" s="28" t="s">
        <v>56</v>
      </c>
      <c r="I25" s="30">
        <v>112109.28</v>
      </c>
      <c r="J25" s="28" t="s">
        <v>518</v>
      </c>
      <c r="K25" s="28" cm="1">
        <f t="array" ref="K25:L25">VLOOKUP(E25,[2]A023951!D$1:H$1114,{3,5},0)</f>
        <v>-1273.92</v>
      </c>
      <c r="L25" s="28">
        <v>-112426.72</v>
      </c>
      <c r="M25" s="31">
        <f>I25+L25</f>
        <v>-317.44000000000233</v>
      </c>
    </row>
    <row r="26" spans="1:13" x14ac:dyDescent="0.35">
      <c r="A26" s="28" t="s">
        <v>495</v>
      </c>
      <c r="B26" s="32">
        <v>2025</v>
      </c>
      <c r="C26" s="28" t="s">
        <v>499</v>
      </c>
      <c r="D26" s="29">
        <v>45966</v>
      </c>
      <c r="E26" s="28">
        <v>256779419165</v>
      </c>
      <c r="F26" s="28" t="s">
        <v>11</v>
      </c>
      <c r="G26" s="30">
        <v>191.57</v>
      </c>
      <c r="H26" s="28" t="s">
        <v>56</v>
      </c>
      <c r="I26" s="30">
        <v>16858.810000000001</v>
      </c>
      <c r="J26" s="28" t="s">
        <v>519</v>
      </c>
      <c r="K26" s="28" cm="1">
        <f t="array" ref="K26:L26">VLOOKUP(E26,[2]A023951!D$1:H$1114,{3,5},0)</f>
        <v>-191.57</v>
      </c>
      <c r="L26" s="28">
        <v>-16906.55</v>
      </c>
      <c r="M26" s="31">
        <f>I26+L26</f>
        <v>-47.739999999997963</v>
      </c>
    </row>
    <row r="27" spans="1:13" x14ac:dyDescent="0.35">
      <c r="A27" s="28" t="s">
        <v>495</v>
      </c>
      <c r="B27" s="32">
        <v>2025</v>
      </c>
      <c r="C27" s="28" t="s">
        <v>499</v>
      </c>
      <c r="D27" s="29">
        <v>45966</v>
      </c>
      <c r="E27" s="28">
        <v>256779419192</v>
      </c>
      <c r="F27" s="28" t="s">
        <v>11</v>
      </c>
      <c r="G27" s="30">
        <v>171.87</v>
      </c>
      <c r="H27" s="28" t="s">
        <v>56</v>
      </c>
      <c r="I27" s="30">
        <v>15125.14</v>
      </c>
      <c r="J27" s="28" t="s">
        <v>520</v>
      </c>
      <c r="K27" s="28" cm="1">
        <f t="array" ref="K27:L27">VLOOKUP(E27,[2]A023951!D$1:H$1114,{3,5},0)</f>
        <v>-171.87</v>
      </c>
      <c r="L27" s="28">
        <v>-15167.97</v>
      </c>
      <c r="M27" s="31">
        <f>I27+L27</f>
        <v>-42.829999999999927</v>
      </c>
    </row>
    <row r="28" spans="1:13" x14ac:dyDescent="0.35">
      <c r="A28" s="28" t="s">
        <v>495</v>
      </c>
      <c r="B28" s="32">
        <v>2025</v>
      </c>
      <c r="C28" s="28" t="s">
        <v>499</v>
      </c>
      <c r="D28" s="29">
        <v>45966</v>
      </c>
      <c r="E28" s="28">
        <v>256779419211</v>
      </c>
      <c r="F28" s="28" t="s">
        <v>11</v>
      </c>
      <c r="G28" s="30">
        <v>28.18</v>
      </c>
      <c r="H28" s="28" t="s">
        <v>56</v>
      </c>
      <c r="I28" s="30">
        <v>2479.94</v>
      </c>
      <c r="J28" s="28" t="s">
        <v>521</v>
      </c>
      <c r="K28" s="28" cm="1">
        <f t="array" ref="K28:L28">VLOOKUP(E28,[2]A023951!D$1:H$1114,{3,5},0)</f>
        <v>-28.18</v>
      </c>
      <c r="L28" s="28">
        <v>-2486.96</v>
      </c>
      <c r="M28" s="31">
        <f>I28+L28</f>
        <v>-7.0199999999999818</v>
      </c>
    </row>
    <row r="29" spans="1:13" x14ac:dyDescent="0.35">
      <c r="A29" s="28" t="s">
        <v>495</v>
      </c>
      <c r="B29" s="32">
        <v>2025</v>
      </c>
      <c r="C29" s="28" t="s">
        <v>499</v>
      </c>
      <c r="D29" s="29">
        <v>45966</v>
      </c>
      <c r="E29" s="28">
        <v>256779419222</v>
      </c>
      <c r="F29" s="28" t="s">
        <v>11</v>
      </c>
      <c r="G29" s="30">
        <v>3537</v>
      </c>
      <c r="H29" s="28" t="s">
        <v>56</v>
      </c>
      <c r="I29" s="30">
        <v>311267.99</v>
      </c>
      <c r="J29" s="28" t="s">
        <v>522</v>
      </c>
      <c r="K29" s="28" t="e" cm="1">
        <f t="array" ref="K29">VLOOKUP(E29,[2]A023951!D$1:H$1114,{3,5},0)</f>
        <v>#N/A</v>
      </c>
      <c r="L29" s="28"/>
      <c r="M29" s="28"/>
    </row>
    <row r="30" spans="1:13" x14ac:dyDescent="0.35">
      <c r="A30" s="28" t="s">
        <v>495</v>
      </c>
      <c r="B30" s="32">
        <v>2025</v>
      </c>
      <c r="C30" s="28" t="s">
        <v>499</v>
      </c>
      <c r="D30" s="29">
        <v>45964</v>
      </c>
      <c r="E30" s="28">
        <v>256779419122</v>
      </c>
      <c r="F30" s="28" t="s">
        <v>11</v>
      </c>
      <c r="G30" s="30">
        <v>670.42</v>
      </c>
      <c r="H30" s="28" t="s">
        <v>56</v>
      </c>
      <c r="I30" s="30">
        <v>58999.23</v>
      </c>
      <c r="J30" s="28" t="s">
        <v>523</v>
      </c>
      <c r="K30" s="28" cm="1">
        <f t="array" ref="K30:L30">VLOOKUP(E30,[2]A023951!D$1:H$1114,{3,5},0)</f>
        <v>-670.42</v>
      </c>
      <c r="L30" s="28">
        <v>-59439.1</v>
      </c>
      <c r="M30" s="31">
        <f>I30+L30</f>
        <v>-439.86999999999534</v>
      </c>
    </row>
    <row r="31" spans="1:13" x14ac:dyDescent="0.35">
      <c r="A31" s="28" t="s">
        <v>495</v>
      </c>
      <c r="B31" s="32">
        <v>2025</v>
      </c>
      <c r="C31" s="28" t="s">
        <v>496</v>
      </c>
      <c r="D31" s="29">
        <v>45964</v>
      </c>
      <c r="E31" s="28">
        <v>256779422067</v>
      </c>
      <c r="F31" s="28" t="s">
        <v>11</v>
      </c>
      <c r="G31" s="30">
        <v>-4608.8</v>
      </c>
      <c r="H31" s="28" t="s">
        <v>56</v>
      </c>
      <c r="I31" s="30">
        <v>-405590.02</v>
      </c>
      <c r="J31" s="28" t="s">
        <v>524</v>
      </c>
      <c r="K31" s="28" t="e" cm="1">
        <f t="array" ref="K31">VLOOKUP(E31,[2]A023951!D$1:H$1114,{3,5},0)</f>
        <v>#N/A</v>
      </c>
      <c r="L31" s="28"/>
      <c r="M31" s="28"/>
    </row>
    <row r="32" spans="1:13" x14ac:dyDescent="0.35">
      <c r="A32" s="28" t="s">
        <v>495</v>
      </c>
      <c r="B32" s="32">
        <v>2025</v>
      </c>
      <c r="C32" s="28" t="s">
        <v>499</v>
      </c>
      <c r="D32" s="29">
        <v>45877</v>
      </c>
      <c r="E32" s="28">
        <v>256779416096</v>
      </c>
      <c r="F32" s="28" t="s">
        <v>11</v>
      </c>
      <c r="G32" s="30">
        <v>7386.34</v>
      </c>
      <c r="H32" s="28" t="s">
        <v>56</v>
      </c>
      <c r="I32" s="30">
        <v>635447.72</v>
      </c>
      <c r="J32" s="28" t="s">
        <v>525</v>
      </c>
      <c r="K32" s="28" cm="1">
        <f t="array" ref="K32:L32">VLOOKUP(E32,[2]A023951!D$1:H$1114,{3,5},0)</f>
        <v>-7386.34</v>
      </c>
      <c r="L32" s="28">
        <v>-639885.32999999996</v>
      </c>
      <c r="M32" s="31">
        <f t="shared" ref="M32:M38" si="2">I32+L32</f>
        <v>-4437.609999999986</v>
      </c>
    </row>
    <row r="33" spans="1:13" x14ac:dyDescent="0.35">
      <c r="A33" s="28" t="s">
        <v>495</v>
      </c>
      <c r="B33" s="32">
        <v>2025</v>
      </c>
      <c r="C33" s="28" t="s">
        <v>499</v>
      </c>
      <c r="D33" s="29">
        <v>45877</v>
      </c>
      <c r="E33" s="28">
        <v>256779416137</v>
      </c>
      <c r="F33" s="28" t="s">
        <v>11</v>
      </c>
      <c r="G33" s="30">
        <v>55.28</v>
      </c>
      <c r="H33" s="28" t="s">
        <v>56</v>
      </c>
      <c r="I33" s="30">
        <v>4755.75</v>
      </c>
      <c r="J33" s="28" t="s">
        <v>526</v>
      </c>
      <c r="K33" s="28" cm="1">
        <f t="array" ref="K33:L33">VLOOKUP(E33,[2]A023951!D$1:H$1114,{3,5},0)</f>
        <v>-55</v>
      </c>
      <c r="L33" s="28">
        <v>-4764.7</v>
      </c>
      <c r="M33" s="31">
        <f t="shared" si="2"/>
        <v>-8.9499999999998181</v>
      </c>
    </row>
    <row r="34" spans="1:13" x14ac:dyDescent="0.35">
      <c r="A34" s="28" t="s">
        <v>495</v>
      </c>
      <c r="B34" s="32">
        <v>2025</v>
      </c>
      <c r="C34" s="28" t="s">
        <v>499</v>
      </c>
      <c r="D34" s="29">
        <v>45877</v>
      </c>
      <c r="E34" s="28">
        <v>256779416169</v>
      </c>
      <c r="F34" s="28" t="s">
        <v>11</v>
      </c>
      <c r="G34" s="30">
        <v>256.97000000000003</v>
      </c>
      <c r="H34" s="28" t="s">
        <v>56</v>
      </c>
      <c r="I34" s="30">
        <v>22107.16</v>
      </c>
      <c r="J34" s="28" t="s">
        <v>527</v>
      </c>
      <c r="K34" s="28" cm="1">
        <f t="array" ref="K34:L34">VLOOKUP(E34,[2]A023951!D$1:H$1114,{3,5},0)</f>
        <v>-257</v>
      </c>
      <c r="L34" s="28">
        <v>-22264.14</v>
      </c>
      <c r="M34" s="31">
        <f t="shared" si="2"/>
        <v>-156.97999999999956</v>
      </c>
    </row>
    <row r="35" spans="1:13" x14ac:dyDescent="0.35">
      <c r="A35" s="28" t="s">
        <v>495</v>
      </c>
      <c r="B35" s="32">
        <v>2025</v>
      </c>
      <c r="C35" s="28" t="s">
        <v>499</v>
      </c>
      <c r="D35" s="29">
        <v>45877</v>
      </c>
      <c r="E35" s="28">
        <v>256779416214</v>
      </c>
      <c r="F35" s="28" t="s">
        <v>11</v>
      </c>
      <c r="G35" s="30">
        <v>212.34</v>
      </c>
      <c r="H35" s="28" t="s">
        <v>56</v>
      </c>
      <c r="I35" s="30">
        <v>18267.64</v>
      </c>
      <c r="J35" s="28" t="s">
        <v>528</v>
      </c>
      <c r="K35" s="28" cm="1">
        <f t="array" ref="K35:L35">VLOOKUP(E35,[2]A023951!D$1:H$1114,{3,5},0)</f>
        <v>-212</v>
      </c>
      <c r="L35" s="28">
        <v>-18365.75</v>
      </c>
      <c r="M35" s="31">
        <f t="shared" si="2"/>
        <v>-98.110000000000582</v>
      </c>
    </row>
    <row r="36" spans="1:13" x14ac:dyDescent="0.35">
      <c r="A36" s="28" t="s">
        <v>495</v>
      </c>
      <c r="B36" s="32">
        <v>2025</v>
      </c>
      <c r="C36" s="28" t="s">
        <v>499</v>
      </c>
      <c r="D36" s="29">
        <v>45877</v>
      </c>
      <c r="E36" s="28">
        <v>256779416255</v>
      </c>
      <c r="F36" s="28" t="s">
        <v>11</v>
      </c>
      <c r="G36" s="30">
        <v>392.28</v>
      </c>
      <c r="H36" s="28" t="s">
        <v>56</v>
      </c>
      <c r="I36" s="30">
        <v>33747.9</v>
      </c>
      <c r="J36" s="28" t="s">
        <v>529</v>
      </c>
      <c r="K36" s="28" cm="1">
        <f t="array" ref="K36:L36">VLOOKUP(E36,[2]A023951!D$1:H$1114,{3,5},0)</f>
        <v>-392</v>
      </c>
      <c r="L36" s="28">
        <v>-33959.32</v>
      </c>
      <c r="M36" s="31">
        <f t="shared" si="2"/>
        <v>-211.41999999999825</v>
      </c>
    </row>
    <row r="37" spans="1:13" x14ac:dyDescent="0.35">
      <c r="A37" s="28" t="s">
        <v>495</v>
      </c>
      <c r="B37" s="32">
        <v>2025</v>
      </c>
      <c r="C37" s="28" t="s">
        <v>499</v>
      </c>
      <c r="D37" s="29">
        <v>45877</v>
      </c>
      <c r="E37" s="28">
        <v>256779416442</v>
      </c>
      <c r="F37" s="28" t="s">
        <v>11</v>
      </c>
      <c r="G37" s="30">
        <v>1053.3399999999999</v>
      </c>
      <c r="H37" s="28" t="s">
        <v>56</v>
      </c>
      <c r="I37" s="30">
        <v>90618.97</v>
      </c>
      <c r="J37" s="28" t="s">
        <v>530</v>
      </c>
      <c r="K37" s="28" cm="1">
        <f t="array" ref="K37:L37">VLOOKUP(E37,[2]A023951!D$1:H$1114,{3,5},0)</f>
        <v>-1053</v>
      </c>
      <c r="L37" s="28">
        <v>-91222.35</v>
      </c>
      <c r="M37" s="31">
        <f t="shared" si="2"/>
        <v>-603.38000000000466</v>
      </c>
    </row>
    <row r="38" spans="1:13" x14ac:dyDescent="0.35">
      <c r="A38" s="28" t="s">
        <v>495</v>
      </c>
      <c r="B38" s="32">
        <v>2025</v>
      </c>
      <c r="C38" s="28" t="s">
        <v>499</v>
      </c>
      <c r="D38" s="29">
        <v>45877</v>
      </c>
      <c r="E38" s="28">
        <v>256779416454</v>
      </c>
      <c r="F38" s="28" t="s">
        <v>11</v>
      </c>
      <c r="G38" s="30">
        <v>411.19</v>
      </c>
      <c r="H38" s="28" t="s">
        <v>56</v>
      </c>
      <c r="I38" s="30">
        <v>35374.730000000003</v>
      </c>
      <c r="J38" s="28" t="s">
        <v>531</v>
      </c>
      <c r="K38" s="28" cm="1">
        <f t="array" ref="K38:L38">VLOOKUP(E38,[2]A023951!D$1:H$1114,{3,5},0)</f>
        <v>-411</v>
      </c>
      <c r="L38" s="28">
        <v>-35605.300000000003</v>
      </c>
      <c r="M38" s="31">
        <f t="shared" si="2"/>
        <v>-230.56999999999971</v>
      </c>
    </row>
    <row r="39" spans="1:13" x14ac:dyDescent="0.35">
      <c r="A39" s="28" t="s">
        <v>495</v>
      </c>
      <c r="B39" s="32">
        <v>2025</v>
      </c>
      <c r="C39" s="28" t="s">
        <v>499</v>
      </c>
      <c r="D39" s="29">
        <v>45812</v>
      </c>
      <c r="E39" s="28">
        <v>256779414156</v>
      </c>
      <c r="F39" s="28" t="s">
        <v>11</v>
      </c>
      <c r="G39" s="30">
        <v>83.66</v>
      </c>
      <c r="H39" s="28" t="s">
        <v>56</v>
      </c>
      <c r="I39" s="30">
        <v>7152.16</v>
      </c>
      <c r="J39" s="28" t="s">
        <v>532</v>
      </c>
      <c r="K39" s="28" t="e" cm="1">
        <f t="array" ref="K39">VLOOKUP(E39,[2]A023951!D$1:H$1114,{3,5},0)</f>
        <v>#N/A</v>
      </c>
      <c r="L39" s="28"/>
      <c r="M39" s="28"/>
    </row>
    <row r="40" spans="1:13" x14ac:dyDescent="0.35">
      <c r="A40" s="28" t="s">
        <v>495</v>
      </c>
      <c r="B40" s="32">
        <v>2025</v>
      </c>
      <c r="C40" s="28" t="s">
        <v>499</v>
      </c>
      <c r="D40" s="29">
        <v>45812</v>
      </c>
      <c r="E40" s="28">
        <v>256779414173</v>
      </c>
      <c r="F40" s="28" t="s">
        <v>11</v>
      </c>
      <c r="G40" s="30">
        <v>2668.72</v>
      </c>
      <c r="H40" s="28" t="s">
        <v>56</v>
      </c>
      <c r="I40" s="30">
        <v>228150.95</v>
      </c>
      <c r="J40" s="28" t="s">
        <v>533</v>
      </c>
      <c r="K40" s="28" t="e" cm="1">
        <f t="array" ref="K40">VLOOKUP(E40,[2]A023951!D$1:H$1114,{3,5},0)</f>
        <v>#N/A</v>
      </c>
      <c r="L40" s="28"/>
      <c r="M40" s="28"/>
    </row>
    <row r="41" spans="1:13" x14ac:dyDescent="0.35">
      <c r="A41" s="28" t="s">
        <v>495</v>
      </c>
      <c r="B41" s="32">
        <v>2025</v>
      </c>
      <c r="C41" s="28" t="s">
        <v>499</v>
      </c>
      <c r="D41" s="29">
        <v>45812</v>
      </c>
      <c r="E41" s="28">
        <v>256779414206</v>
      </c>
      <c r="F41" s="28" t="s">
        <v>11</v>
      </c>
      <c r="G41" s="30">
        <v>201.33</v>
      </c>
      <c r="H41" s="28" t="s">
        <v>56</v>
      </c>
      <c r="I41" s="30">
        <v>17211.86</v>
      </c>
      <c r="J41" s="28" t="s">
        <v>534</v>
      </c>
      <c r="K41" s="28" t="e" cm="1">
        <f t="array" ref="K41">VLOOKUP(E41,[2]A023951!D$1:H$1114,{3,5},0)</f>
        <v>#N/A</v>
      </c>
      <c r="L41" s="28"/>
      <c r="M41" s="28"/>
    </row>
    <row r="42" spans="1:13" x14ac:dyDescent="0.35">
      <c r="A42" s="28" t="s">
        <v>495</v>
      </c>
      <c r="B42" s="32">
        <v>2025</v>
      </c>
      <c r="C42" s="28" t="s">
        <v>499</v>
      </c>
      <c r="D42" s="29">
        <v>45812</v>
      </c>
      <c r="E42" s="28">
        <v>256779414260</v>
      </c>
      <c r="F42" s="28" t="s">
        <v>11</v>
      </c>
      <c r="G42" s="30">
        <v>130.93</v>
      </c>
      <c r="H42" s="28" t="s">
        <v>56</v>
      </c>
      <c r="I42" s="30">
        <v>11193.31</v>
      </c>
      <c r="J42" s="28" t="s">
        <v>535</v>
      </c>
      <c r="K42" s="28" t="e" cm="1">
        <f t="array" ref="K42">VLOOKUP(E42,[2]A023951!D$1:H$1114,{3,5},0)</f>
        <v>#N/A</v>
      </c>
      <c r="L42" s="28"/>
      <c r="M42" s="28"/>
    </row>
    <row r="43" spans="1:13" x14ac:dyDescent="0.35">
      <c r="A43" s="28" t="s">
        <v>495</v>
      </c>
      <c r="B43" s="32">
        <v>2025</v>
      </c>
      <c r="C43" s="28" t="s">
        <v>499</v>
      </c>
      <c r="D43" s="29">
        <v>45812</v>
      </c>
      <c r="E43" s="28">
        <v>256779414271</v>
      </c>
      <c r="F43" s="28" t="s">
        <v>11</v>
      </c>
      <c r="G43" s="30">
        <v>967.68</v>
      </c>
      <c r="H43" s="28" t="s">
        <v>56</v>
      </c>
      <c r="I43" s="30">
        <v>82727.72</v>
      </c>
      <c r="J43" s="28" t="s">
        <v>536</v>
      </c>
      <c r="K43" s="28" t="e" cm="1">
        <f t="array" ref="K43">VLOOKUP(E43,[2]A023951!D$1:H$1114,{3,5},0)</f>
        <v>#N/A</v>
      </c>
      <c r="L43" s="28"/>
      <c r="M43" s="28"/>
    </row>
    <row r="44" spans="1:13" x14ac:dyDescent="0.35">
      <c r="A44" s="28" t="s">
        <v>495</v>
      </c>
      <c r="B44" s="32">
        <v>2025</v>
      </c>
      <c r="C44" s="28" t="s">
        <v>499</v>
      </c>
      <c r="D44" s="29">
        <v>45812</v>
      </c>
      <c r="E44" s="28">
        <v>256779414309</v>
      </c>
      <c r="F44" s="28" t="s">
        <v>11</v>
      </c>
      <c r="G44" s="30">
        <v>662.83</v>
      </c>
      <c r="H44" s="28" t="s">
        <v>56</v>
      </c>
      <c r="I44" s="30">
        <v>56665.85</v>
      </c>
      <c r="J44" s="28" t="s">
        <v>537</v>
      </c>
      <c r="K44" s="28" t="e" cm="1">
        <f t="array" ref="K44">VLOOKUP(E44,[2]A023951!D$1:H$1114,{3,5},0)</f>
        <v>#N/A</v>
      </c>
      <c r="L44" s="28"/>
      <c r="M44" s="28"/>
    </row>
    <row r="45" spans="1:13" x14ac:dyDescent="0.35">
      <c r="A45" s="28" t="s">
        <v>495</v>
      </c>
      <c r="B45" s="32">
        <v>2025</v>
      </c>
      <c r="C45" s="28" t="s">
        <v>496</v>
      </c>
      <c r="D45" s="29">
        <v>45791</v>
      </c>
      <c r="E45" s="28">
        <v>256779420272</v>
      </c>
      <c r="F45" s="28" t="s">
        <v>11</v>
      </c>
      <c r="G45" s="30">
        <v>-40.06</v>
      </c>
      <c r="H45" s="28" t="s">
        <v>56</v>
      </c>
      <c r="I45" s="30">
        <v>-3472.85</v>
      </c>
      <c r="J45" s="28" t="s">
        <v>538</v>
      </c>
      <c r="K45" s="28" t="e" cm="1">
        <f t="array" ref="K45">VLOOKUP(E45,[2]A023951!D$1:H$1114,{3,5},0)</f>
        <v>#N/A</v>
      </c>
      <c r="L45" s="28"/>
      <c r="M45" s="28"/>
    </row>
    <row r="46" spans="1:13" x14ac:dyDescent="0.35">
      <c r="A46" s="28" t="s">
        <v>495</v>
      </c>
      <c r="B46" s="32">
        <v>2025</v>
      </c>
      <c r="C46" s="28" t="s">
        <v>496</v>
      </c>
      <c r="D46" s="29">
        <v>45791</v>
      </c>
      <c r="E46" s="28">
        <v>256779420273</v>
      </c>
      <c r="F46" s="28" t="s">
        <v>11</v>
      </c>
      <c r="G46" s="30">
        <v>-28.62</v>
      </c>
      <c r="H46" s="28" t="s">
        <v>56</v>
      </c>
      <c r="I46" s="30">
        <v>-2481.1</v>
      </c>
      <c r="J46" s="28" t="s">
        <v>539</v>
      </c>
      <c r="K46" s="28" t="e" cm="1">
        <f t="array" ref="K46">VLOOKUP(E46,[2]A023951!D$1:H$1114,{3,5},0)</f>
        <v>#N/A</v>
      </c>
      <c r="L46" s="28"/>
      <c r="M46" s="28"/>
    </row>
    <row r="47" spans="1:13" x14ac:dyDescent="0.35">
      <c r="A47" s="28" t="s">
        <v>495</v>
      </c>
      <c r="B47" s="32">
        <v>2025</v>
      </c>
      <c r="C47" s="28" t="s">
        <v>496</v>
      </c>
      <c r="D47" s="29">
        <v>45791</v>
      </c>
      <c r="E47" s="28">
        <v>256779420275</v>
      </c>
      <c r="F47" s="28" t="s">
        <v>11</v>
      </c>
      <c r="G47" s="30">
        <v>-114.46</v>
      </c>
      <c r="H47" s="28" t="s">
        <v>56</v>
      </c>
      <c r="I47" s="30">
        <v>-9922.68</v>
      </c>
      <c r="J47" s="28" t="s">
        <v>540</v>
      </c>
      <c r="K47" s="28" t="e" cm="1">
        <f t="array" ref="K47">VLOOKUP(E47,[2]A023951!D$1:H$1114,{3,5},0)</f>
        <v>#N/A</v>
      </c>
      <c r="L47" s="28"/>
      <c r="M47" s="28"/>
    </row>
    <row r="48" spans="1:13" x14ac:dyDescent="0.35">
      <c r="A48" s="28" t="s">
        <v>495</v>
      </c>
      <c r="B48" s="32">
        <v>2025</v>
      </c>
      <c r="C48" s="28" t="s">
        <v>496</v>
      </c>
      <c r="D48" s="29">
        <v>45791</v>
      </c>
      <c r="E48" s="28">
        <v>256779420276</v>
      </c>
      <c r="F48" s="28" t="s">
        <v>11</v>
      </c>
      <c r="G48" s="30">
        <v>-68.680000000000007</v>
      </c>
      <c r="H48" s="28" t="s">
        <v>56</v>
      </c>
      <c r="I48" s="30">
        <v>-5953.96</v>
      </c>
      <c r="J48" s="28" t="s">
        <v>541</v>
      </c>
      <c r="K48" s="28" t="e" cm="1">
        <f t="array" ref="K48">VLOOKUP(E48,[2]A023951!D$1:H$1114,{3,5},0)</f>
        <v>#N/A</v>
      </c>
      <c r="L48" s="28"/>
      <c r="M48" s="28"/>
    </row>
    <row r="49" spans="1:13" x14ac:dyDescent="0.35">
      <c r="A49" s="28" t="s">
        <v>495</v>
      </c>
      <c r="B49" s="32">
        <v>2025</v>
      </c>
      <c r="C49" s="28" t="s">
        <v>496</v>
      </c>
      <c r="D49" s="29">
        <v>45791</v>
      </c>
      <c r="E49" s="28">
        <v>256779420268</v>
      </c>
      <c r="F49" s="28" t="s">
        <v>11</v>
      </c>
      <c r="G49" s="30">
        <v>-249.55</v>
      </c>
      <c r="H49" s="28" t="s">
        <v>56</v>
      </c>
      <c r="I49" s="30">
        <v>-21633.8</v>
      </c>
      <c r="J49" s="28" t="s">
        <v>542</v>
      </c>
      <c r="K49" s="28" t="e" cm="1">
        <f t="array" ref="K49">VLOOKUP(E49,[2]A023951!D$1:H$1114,{3,5},0)</f>
        <v>#N/A</v>
      </c>
      <c r="L49" s="28"/>
      <c r="M49" s="28"/>
    </row>
    <row r="50" spans="1:13" x14ac:dyDescent="0.35">
      <c r="A50" s="28" t="s">
        <v>495</v>
      </c>
      <c r="B50" s="32">
        <v>2025</v>
      </c>
      <c r="C50" s="28" t="s">
        <v>496</v>
      </c>
      <c r="D50" s="29">
        <v>45791</v>
      </c>
      <c r="E50" s="28">
        <v>256779420269</v>
      </c>
      <c r="F50" s="28" t="s">
        <v>11</v>
      </c>
      <c r="G50" s="30">
        <v>-40.06</v>
      </c>
      <c r="H50" s="28" t="s">
        <v>56</v>
      </c>
      <c r="I50" s="30">
        <v>-3472.85</v>
      </c>
      <c r="J50" s="28" t="s">
        <v>543</v>
      </c>
      <c r="K50" s="28" t="e" cm="1">
        <f t="array" ref="K50">VLOOKUP(E50,[2]A023951!D$1:H$1114,{3,5},0)</f>
        <v>#N/A</v>
      </c>
      <c r="L50" s="28"/>
      <c r="M50" s="28"/>
    </row>
    <row r="51" spans="1:13" x14ac:dyDescent="0.35">
      <c r="A51" s="28" t="s">
        <v>495</v>
      </c>
      <c r="B51" s="32">
        <v>2025</v>
      </c>
      <c r="C51" s="28" t="s">
        <v>496</v>
      </c>
      <c r="D51" s="29">
        <v>45791</v>
      </c>
      <c r="E51" s="28">
        <v>256779420274</v>
      </c>
      <c r="F51" s="28" t="s">
        <v>11</v>
      </c>
      <c r="G51" s="30">
        <v>-22.89</v>
      </c>
      <c r="H51" s="28" t="s">
        <v>56</v>
      </c>
      <c r="I51" s="30">
        <v>-1984.36</v>
      </c>
      <c r="J51" s="28" t="s">
        <v>544</v>
      </c>
      <c r="K51" s="28" t="e" cm="1">
        <f t="array" ref="K51">VLOOKUP(E51,[2]A023951!D$1:H$1114,{3,5},0)</f>
        <v>#N/A</v>
      </c>
      <c r="L51" s="28"/>
      <c r="M51" s="28"/>
    </row>
    <row r="52" spans="1:13" x14ac:dyDescent="0.35">
      <c r="A52" s="28" t="s">
        <v>495</v>
      </c>
      <c r="B52" s="32">
        <v>2025</v>
      </c>
      <c r="C52" s="28" t="s">
        <v>496</v>
      </c>
      <c r="D52" s="29">
        <v>45791</v>
      </c>
      <c r="E52" s="28">
        <v>256779420277</v>
      </c>
      <c r="F52" s="28" t="s">
        <v>11</v>
      </c>
      <c r="G52" s="30">
        <v>-312.5</v>
      </c>
      <c r="H52" s="28" t="s">
        <v>56</v>
      </c>
      <c r="I52" s="30">
        <v>-27091.02</v>
      </c>
      <c r="J52" s="28" t="s">
        <v>545</v>
      </c>
      <c r="K52" s="28" t="e" cm="1">
        <f t="array" ref="K52">VLOOKUP(E52,[2]A023951!D$1:H$1114,{3,5},0)</f>
        <v>#N/A</v>
      </c>
      <c r="L52" s="28"/>
      <c r="M52" s="28"/>
    </row>
    <row r="53" spans="1:13" x14ac:dyDescent="0.35">
      <c r="A53" s="28" t="s">
        <v>495</v>
      </c>
      <c r="B53" s="32">
        <v>2025</v>
      </c>
      <c r="C53" s="28" t="s">
        <v>496</v>
      </c>
      <c r="D53" s="29">
        <v>45791</v>
      </c>
      <c r="E53" s="28">
        <v>256779420278</v>
      </c>
      <c r="F53" s="28" t="s">
        <v>11</v>
      </c>
      <c r="G53" s="30">
        <v>-23.35</v>
      </c>
      <c r="H53" s="28" t="s">
        <v>56</v>
      </c>
      <c r="I53" s="30">
        <v>-2024.24</v>
      </c>
      <c r="J53" s="28" t="s">
        <v>546</v>
      </c>
      <c r="K53" s="28" t="e" cm="1">
        <f t="array" ref="K53">VLOOKUP(E53,[2]A023951!D$1:H$1114,{3,5},0)</f>
        <v>#N/A</v>
      </c>
      <c r="L53" s="28"/>
      <c r="M53" s="28"/>
    </row>
    <row r="54" spans="1:13" x14ac:dyDescent="0.35">
      <c r="A54" s="28" t="s">
        <v>495</v>
      </c>
      <c r="B54" s="32">
        <v>2025</v>
      </c>
      <c r="C54" s="28" t="s">
        <v>496</v>
      </c>
      <c r="D54" s="29">
        <v>45791</v>
      </c>
      <c r="E54" s="28">
        <v>256779420266</v>
      </c>
      <c r="F54" s="28" t="s">
        <v>11</v>
      </c>
      <c r="G54" s="30">
        <v>-57.23</v>
      </c>
      <c r="H54" s="28" t="s">
        <v>56</v>
      </c>
      <c r="I54" s="30">
        <v>-4961.34</v>
      </c>
      <c r="J54" s="28" t="s">
        <v>547</v>
      </c>
      <c r="K54" s="28" t="e" cm="1">
        <f t="array" ref="K54">VLOOKUP(E54,[2]A023951!D$1:H$1114,{3,5},0)</f>
        <v>#N/A</v>
      </c>
      <c r="L54" s="28"/>
      <c r="M54" s="28"/>
    </row>
    <row r="55" spans="1:13" x14ac:dyDescent="0.35">
      <c r="A55" s="28" t="s">
        <v>495</v>
      </c>
      <c r="B55" s="32">
        <v>2025</v>
      </c>
      <c r="C55" s="28" t="s">
        <v>496</v>
      </c>
      <c r="D55" s="29">
        <v>45791</v>
      </c>
      <c r="E55" s="28">
        <v>256779420267</v>
      </c>
      <c r="F55" s="28" t="s">
        <v>11</v>
      </c>
      <c r="G55" s="30">
        <v>-40.06</v>
      </c>
      <c r="H55" s="28" t="s">
        <v>56</v>
      </c>
      <c r="I55" s="30">
        <v>-3472.85</v>
      </c>
      <c r="J55" s="28" t="s">
        <v>548</v>
      </c>
      <c r="K55" s="28" t="e" cm="1">
        <f t="array" ref="K55">VLOOKUP(E55,[2]A023951!D$1:H$1114,{3,5},0)</f>
        <v>#N/A</v>
      </c>
      <c r="L55" s="28"/>
      <c r="M55" s="28"/>
    </row>
    <row r="56" spans="1:13" x14ac:dyDescent="0.35">
      <c r="A56" s="28" t="s">
        <v>495</v>
      </c>
      <c r="B56" s="32">
        <v>2025</v>
      </c>
      <c r="C56" s="28" t="s">
        <v>496</v>
      </c>
      <c r="D56" s="29">
        <v>45791</v>
      </c>
      <c r="E56" s="28">
        <v>256779420270</v>
      </c>
      <c r="F56" s="28" t="s">
        <v>11</v>
      </c>
      <c r="G56" s="30">
        <v>-45.79</v>
      </c>
      <c r="H56" s="28" t="s">
        <v>56</v>
      </c>
      <c r="I56" s="30">
        <v>-3969.59</v>
      </c>
      <c r="J56" s="28" t="s">
        <v>549</v>
      </c>
      <c r="K56" s="28" t="e" cm="1">
        <f t="array" ref="K56">VLOOKUP(E56,[2]A023951!D$1:H$1114,{3,5},0)</f>
        <v>#N/A</v>
      </c>
      <c r="L56" s="28"/>
      <c r="M56" s="28"/>
    </row>
    <row r="57" spans="1:13" x14ac:dyDescent="0.35">
      <c r="A57" s="28" t="s">
        <v>495</v>
      </c>
      <c r="B57" s="32">
        <v>2025</v>
      </c>
      <c r="C57" s="28" t="s">
        <v>496</v>
      </c>
      <c r="D57" s="29">
        <v>45791</v>
      </c>
      <c r="E57" s="28">
        <v>256779420271</v>
      </c>
      <c r="F57" s="28" t="s">
        <v>11</v>
      </c>
      <c r="G57" s="30">
        <v>-20.03</v>
      </c>
      <c r="H57" s="28" t="s">
        <v>56</v>
      </c>
      <c r="I57" s="30">
        <v>-1736.43</v>
      </c>
      <c r="J57" s="28" t="s">
        <v>550</v>
      </c>
      <c r="K57" s="28" t="e" cm="1">
        <f t="array" ref="K57">VLOOKUP(E57,[2]A023951!D$1:H$1114,{3,5},0)</f>
        <v>#N/A</v>
      </c>
      <c r="L57" s="28"/>
      <c r="M57" s="28"/>
    </row>
    <row r="58" spans="1:13" x14ac:dyDescent="0.35">
      <c r="A58" s="28" t="s">
        <v>495</v>
      </c>
      <c r="B58" s="32">
        <v>2025</v>
      </c>
      <c r="C58" s="28" t="s">
        <v>496</v>
      </c>
      <c r="D58" s="29">
        <v>45791</v>
      </c>
      <c r="E58" s="28">
        <v>256779420492</v>
      </c>
      <c r="F58" s="28" t="s">
        <v>11</v>
      </c>
      <c r="G58" s="30">
        <v>-2333.1799999999998</v>
      </c>
      <c r="H58" s="28" t="s">
        <v>56</v>
      </c>
      <c r="I58" s="30">
        <v>-202804.25</v>
      </c>
      <c r="J58" s="28" t="s">
        <v>551</v>
      </c>
      <c r="K58" s="28" t="e" cm="1">
        <f t="array" ref="K58">VLOOKUP(E58,[2]A023951!D$1:H$1114,{3,5},0)</f>
        <v>#N/A</v>
      </c>
      <c r="L58" s="28"/>
      <c r="M58" s="28"/>
    </row>
    <row r="59" spans="1:13" x14ac:dyDescent="0.35">
      <c r="A59" s="28" t="s">
        <v>495</v>
      </c>
      <c r="B59" s="32">
        <v>2025</v>
      </c>
      <c r="C59" s="28" t="s">
        <v>496</v>
      </c>
      <c r="D59" s="29">
        <v>45791</v>
      </c>
      <c r="E59" s="28">
        <v>256779420526</v>
      </c>
      <c r="F59" s="28" t="s">
        <v>11</v>
      </c>
      <c r="G59" s="30">
        <v>-2286.2399999999998</v>
      </c>
      <c r="H59" s="28" t="s">
        <v>56</v>
      </c>
      <c r="I59" s="30">
        <v>-198724.14</v>
      </c>
      <c r="J59" s="28" t="s">
        <v>552</v>
      </c>
      <c r="K59" s="28" t="e" cm="1">
        <f t="array" ref="K59">VLOOKUP(E59,[2]A023951!D$1:H$1114,{3,5},0)</f>
        <v>#N/A</v>
      </c>
      <c r="L59" s="28"/>
      <c r="M59" s="28"/>
    </row>
    <row r="60" spans="1:13" x14ac:dyDescent="0.35">
      <c r="A60" s="28" t="s">
        <v>495</v>
      </c>
      <c r="B60" s="32">
        <v>2025</v>
      </c>
      <c r="C60" s="28" t="s">
        <v>499</v>
      </c>
      <c r="D60" s="29">
        <v>45793</v>
      </c>
      <c r="E60" s="28">
        <v>256779413280</v>
      </c>
      <c r="F60" s="28" t="s">
        <v>11</v>
      </c>
      <c r="G60" s="30">
        <v>59</v>
      </c>
      <c r="H60" s="28" t="s">
        <v>56</v>
      </c>
      <c r="I60" s="30">
        <v>5073.04</v>
      </c>
      <c r="J60" s="28" t="s">
        <v>553</v>
      </c>
      <c r="K60" s="28" t="e" cm="1">
        <f t="array" ref="K60">VLOOKUP(E60,[2]A023951!D$1:H$1114,{3,5},0)</f>
        <v>#N/A</v>
      </c>
      <c r="L60" s="28"/>
      <c r="M60" s="28"/>
    </row>
    <row r="61" spans="1:13" x14ac:dyDescent="0.35">
      <c r="A61" s="28" t="s">
        <v>495</v>
      </c>
      <c r="B61" s="32">
        <v>2025</v>
      </c>
      <c r="C61" s="28" t="s">
        <v>499</v>
      </c>
      <c r="D61" s="29">
        <v>45793</v>
      </c>
      <c r="E61" s="28">
        <v>256779413308</v>
      </c>
      <c r="F61" s="28" t="s">
        <v>11</v>
      </c>
      <c r="G61" s="30">
        <v>723.47</v>
      </c>
      <c r="H61" s="28" t="s">
        <v>56</v>
      </c>
      <c r="I61" s="30">
        <v>62206.63</v>
      </c>
      <c r="J61" s="28" t="s">
        <v>554</v>
      </c>
      <c r="K61" s="28" t="e" cm="1">
        <f t="array" ref="K61">VLOOKUP(E61,[2]A023951!D$1:H$1114,{3,5},0)</f>
        <v>#N/A</v>
      </c>
      <c r="L61" s="28"/>
      <c r="M61" s="28"/>
    </row>
    <row r="62" spans="1:13" x14ac:dyDescent="0.35">
      <c r="A62" s="28" t="s">
        <v>495</v>
      </c>
      <c r="B62" s="32">
        <v>2025</v>
      </c>
      <c r="C62" s="28" t="s">
        <v>499</v>
      </c>
      <c r="D62" s="29">
        <v>45793</v>
      </c>
      <c r="E62" s="28">
        <v>256779413348</v>
      </c>
      <c r="F62" s="28" t="s">
        <v>11</v>
      </c>
      <c r="G62" s="30">
        <v>138.82</v>
      </c>
      <c r="H62" s="28" t="s">
        <v>56</v>
      </c>
      <c r="I62" s="30">
        <v>11936.26</v>
      </c>
      <c r="J62" s="28" t="s">
        <v>555</v>
      </c>
      <c r="K62" s="28" t="e" cm="1">
        <f t="array" ref="K62">VLOOKUP(E62,[2]A023951!D$1:H$1114,{3,5},0)</f>
        <v>#N/A</v>
      </c>
      <c r="L62" s="28"/>
      <c r="M62" s="28"/>
    </row>
    <row r="63" spans="1:13" x14ac:dyDescent="0.35">
      <c r="A63" s="28" t="s">
        <v>495</v>
      </c>
      <c r="B63" s="32">
        <v>2025</v>
      </c>
      <c r="C63" s="28" t="s">
        <v>499</v>
      </c>
      <c r="D63" s="29">
        <v>46000</v>
      </c>
      <c r="E63" s="28">
        <v>256779419995</v>
      </c>
      <c r="F63" s="28" t="s">
        <v>11</v>
      </c>
      <c r="G63" s="30">
        <v>187.19</v>
      </c>
      <c r="H63" s="28" t="s">
        <v>56</v>
      </c>
      <c r="I63" s="30">
        <v>16603.78</v>
      </c>
      <c r="J63" s="28" t="s">
        <v>556</v>
      </c>
      <c r="K63" s="28" cm="1">
        <f t="array" ref="K63:L63">VLOOKUP(E63,[2]A023951!D$1:H$1114,{3,5},0)</f>
        <v>-187.19</v>
      </c>
      <c r="L63" s="28">
        <v>-16688.88</v>
      </c>
      <c r="M63" s="31">
        <f t="shared" ref="M63:M69" si="3">I63+L63</f>
        <v>-85.100000000002183</v>
      </c>
    </row>
    <row r="64" spans="1:13" x14ac:dyDescent="0.35">
      <c r="A64" s="28" t="s">
        <v>495</v>
      </c>
      <c r="B64" s="32">
        <v>2025</v>
      </c>
      <c r="C64" s="28" t="s">
        <v>499</v>
      </c>
      <c r="D64" s="29">
        <v>45805</v>
      </c>
      <c r="E64" s="28">
        <v>256779413908</v>
      </c>
      <c r="F64" s="28" t="s">
        <v>11</v>
      </c>
      <c r="G64" s="30">
        <v>3200.83</v>
      </c>
      <c r="H64" s="28" t="s">
        <v>56</v>
      </c>
      <c r="I64" s="30">
        <v>275219.21000000002</v>
      </c>
      <c r="J64" s="28" t="s">
        <v>557</v>
      </c>
      <c r="K64" s="28" cm="1">
        <f t="array" ref="K64:L64">VLOOKUP(E64,[2]A023951!D$1:H$1114,{3,5},0)</f>
        <v>-3200.83</v>
      </c>
      <c r="L64" s="28">
        <v>-273269.15999999997</v>
      </c>
      <c r="M64" s="31">
        <f t="shared" si="3"/>
        <v>1950.0500000000466</v>
      </c>
    </row>
    <row r="65" spans="1:13" x14ac:dyDescent="0.35">
      <c r="A65" s="28" t="s">
        <v>495</v>
      </c>
      <c r="B65" s="32">
        <v>2025</v>
      </c>
      <c r="C65" s="28" t="s">
        <v>499</v>
      </c>
      <c r="D65" s="29">
        <v>45856</v>
      </c>
      <c r="E65" s="28">
        <v>256779415426</v>
      </c>
      <c r="F65" s="28" t="s">
        <v>11</v>
      </c>
      <c r="G65" s="30">
        <v>464.73</v>
      </c>
      <c r="H65" s="28" t="s">
        <v>56</v>
      </c>
      <c r="I65" s="30">
        <v>39967.089999999997</v>
      </c>
      <c r="J65" s="28" t="s">
        <v>558</v>
      </c>
      <c r="K65" s="28" cm="1">
        <f t="array" ref="K65:L65">VLOOKUP(E65,[2]A023951!D$1:H$1114,{3,5},0)</f>
        <v>-464.73</v>
      </c>
      <c r="L65" s="28">
        <v>-39961.910000000003</v>
      </c>
      <c r="M65" s="31">
        <f t="shared" si="3"/>
        <v>5.1799999999930151</v>
      </c>
    </row>
    <row r="66" spans="1:13" x14ac:dyDescent="0.35">
      <c r="A66" s="28" t="s">
        <v>495</v>
      </c>
      <c r="B66" s="32">
        <v>2025</v>
      </c>
      <c r="C66" s="28" t="s">
        <v>499</v>
      </c>
      <c r="D66" s="29">
        <v>45856</v>
      </c>
      <c r="E66" s="28">
        <v>256779415442</v>
      </c>
      <c r="F66" s="28" t="s">
        <v>11</v>
      </c>
      <c r="G66" s="30">
        <v>1.59</v>
      </c>
      <c r="H66" s="28" t="s">
        <v>56</v>
      </c>
      <c r="I66" s="30">
        <v>136.74</v>
      </c>
      <c r="J66" s="28" t="s">
        <v>559</v>
      </c>
      <c r="K66" s="28" cm="1">
        <f t="array" ref="K66:L66">VLOOKUP(E66,[2]A023951!D$1:H$1114,{3,5},0)</f>
        <v>-1.59</v>
      </c>
      <c r="L66" s="28">
        <v>-136.72</v>
      </c>
      <c r="M66" s="31">
        <f t="shared" si="3"/>
        <v>2.0000000000010232E-2</v>
      </c>
    </row>
    <row r="67" spans="1:13" x14ac:dyDescent="0.35">
      <c r="A67" s="28" t="s">
        <v>495</v>
      </c>
      <c r="B67" s="32">
        <v>2025</v>
      </c>
      <c r="C67" s="28" t="s">
        <v>499</v>
      </c>
      <c r="D67" s="29">
        <v>45856</v>
      </c>
      <c r="E67" s="28">
        <v>256779415453</v>
      </c>
      <c r="F67" s="28" t="s">
        <v>11</v>
      </c>
      <c r="G67" s="30">
        <v>293.45999999999998</v>
      </c>
      <c r="H67" s="28" t="s">
        <v>56</v>
      </c>
      <c r="I67" s="30">
        <v>25237.759999999998</v>
      </c>
      <c r="J67" s="28" t="s">
        <v>560</v>
      </c>
      <c r="K67" s="28" cm="1">
        <f t="array" ref="K67:L67">VLOOKUP(E67,[2]A023951!D$1:H$1114,{3,5},0)</f>
        <v>-293.45999999999998</v>
      </c>
      <c r="L67" s="28">
        <v>-25234.48</v>
      </c>
      <c r="M67" s="31">
        <f t="shared" si="3"/>
        <v>3.2799999999988358</v>
      </c>
    </row>
    <row r="68" spans="1:13" x14ac:dyDescent="0.35">
      <c r="A68" s="28" t="s">
        <v>495</v>
      </c>
      <c r="B68" s="32">
        <v>2025</v>
      </c>
      <c r="C68" s="28" t="s">
        <v>499</v>
      </c>
      <c r="D68" s="29">
        <v>45856</v>
      </c>
      <c r="E68" s="28">
        <v>256779415474</v>
      </c>
      <c r="F68" s="28" t="s">
        <v>11</v>
      </c>
      <c r="G68" s="30">
        <v>608.41</v>
      </c>
      <c r="H68" s="28" t="s">
        <v>56</v>
      </c>
      <c r="I68" s="30">
        <v>52323.67</v>
      </c>
      <c r="J68" s="28" t="s">
        <v>561</v>
      </c>
      <c r="K68" s="28" cm="1">
        <f t="array" ref="K68:L68">VLOOKUP(E68,[2]A023951!D$1:H$1114,{3,5},0)</f>
        <v>-608.41</v>
      </c>
      <c r="L68" s="28">
        <v>-52316.88</v>
      </c>
      <c r="M68" s="31">
        <f t="shared" si="3"/>
        <v>6.7900000000008731</v>
      </c>
    </row>
    <row r="69" spans="1:13" x14ac:dyDescent="0.35">
      <c r="A69" s="28" t="s">
        <v>495</v>
      </c>
      <c r="B69" s="32">
        <v>2025</v>
      </c>
      <c r="C69" s="28" t="s">
        <v>499</v>
      </c>
      <c r="D69" s="29">
        <v>45856</v>
      </c>
      <c r="E69" s="28">
        <v>256779415517</v>
      </c>
      <c r="F69" s="28" t="s">
        <v>11</v>
      </c>
      <c r="G69" s="30">
        <v>116.74</v>
      </c>
      <c r="H69" s="28" t="s">
        <v>56</v>
      </c>
      <c r="I69" s="30">
        <v>10039.719999999999</v>
      </c>
      <c r="J69" s="28" t="s">
        <v>562</v>
      </c>
      <c r="K69" s="28" cm="1">
        <f t="array" ref="K69:L69">VLOOKUP(E69,[2]A023951!D$1:H$1114,{3,5},0)</f>
        <v>-116.74</v>
      </c>
      <c r="L69" s="28">
        <v>-10038.42</v>
      </c>
      <c r="M69" s="31">
        <f t="shared" si="3"/>
        <v>1.2999999999992724</v>
      </c>
    </row>
    <row r="70" spans="1:13" x14ac:dyDescent="0.35">
      <c r="A70" s="28" t="s">
        <v>495</v>
      </c>
      <c r="B70" s="32">
        <v>2025</v>
      </c>
      <c r="C70" s="28" t="s">
        <v>499</v>
      </c>
      <c r="D70" s="29">
        <v>45856</v>
      </c>
      <c r="E70" s="28">
        <v>256779415792</v>
      </c>
      <c r="F70" s="28" t="s">
        <v>11</v>
      </c>
      <c r="G70" s="30">
        <v>608.41</v>
      </c>
      <c r="H70" s="28" t="s">
        <v>56</v>
      </c>
      <c r="I70" s="30">
        <v>52323.67</v>
      </c>
      <c r="J70" s="28" t="s">
        <v>561</v>
      </c>
      <c r="K70" s="28" t="e" cm="1">
        <f t="array" ref="K70">VLOOKUP(E70,[2]A023951!D$1:H$1114,{3,5},0)</f>
        <v>#N/A</v>
      </c>
      <c r="L70" s="28"/>
      <c r="M70" s="28"/>
    </row>
    <row r="71" spans="1:13" x14ac:dyDescent="0.35">
      <c r="A71" s="28" t="s">
        <v>495</v>
      </c>
      <c r="B71" s="32">
        <v>2025</v>
      </c>
      <c r="C71" s="28" t="s">
        <v>499</v>
      </c>
      <c r="D71" s="29">
        <v>45729</v>
      </c>
      <c r="E71" s="28">
        <v>246779411312</v>
      </c>
      <c r="F71" s="28" t="s">
        <v>11</v>
      </c>
      <c r="G71" s="30">
        <v>27</v>
      </c>
      <c r="H71" s="28" t="s">
        <v>56</v>
      </c>
      <c r="I71" s="30">
        <v>2340.66</v>
      </c>
      <c r="J71" s="28" t="s">
        <v>563</v>
      </c>
      <c r="K71" s="28" cm="1">
        <f t="array" ref="K71:L71">VLOOKUP(E71,[2]A023951!D$1:H$1114,{3,5},0)</f>
        <v>-27</v>
      </c>
      <c r="L71" s="28">
        <v>-2350.15</v>
      </c>
      <c r="M71" s="31">
        <f t="shared" ref="M71:M79" si="4">I71+L71</f>
        <v>-9.4900000000002365</v>
      </c>
    </row>
    <row r="72" spans="1:13" x14ac:dyDescent="0.35">
      <c r="A72" s="28" t="s">
        <v>495</v>
      </c>
      <c r="B72" s="32">
        <v>2025</v>
      </c>
      <c r="C72" s="28" t="s">
        <v>499</v>
      </c>
      <c r="D72" s="29">
        <v>45736</v>
      </c>
      <c r="E72" s="28">
        <v>246779413730</v>
      </c>
      <c r="F72" s="28" t="s">
        <v>11</v>
      </c>
      <c r="G72" s="30">
        <v>3.2</v>
      </c>
      <c r="H72" s="28" t="s">
        <v>56</v>
      </c>
      <c r="I72" s="30">
        <v>277.41000000000003</v>
      </c>
      <c r="J72" s="28" t="s">
        <v>564</v>
      </c>
      <c r="K72" s="28" cm="1">
        <f t="array" ref="K72:L72">VLOOKUP(E72,[2]A023951!D$1:H$1114,{3,5},0)</f>
        <v>-3.2</v>
      </c>
      <c r="L72" s="28">
        <v>-278.54000000000002</v>
      </c>
      <c r="M72" s="31">
        <f t="shared" si="4"/>
        <v>-1.1299999999999955</v>
      </c>
    </row>
    <row r="73" spans="1:13" x14ac:dyDescent="0.35">
      <c r="A73" s="28" t="s">
        <v>495</v>
      </c>
      <c r="B73" s="32">
        <v>2025</v>
      </c>
      <c r="C73" s="28" t="s">
        <v>499</v>
      </c>
      <c r="D73" s="29">
        <v>45736</v>
      </c>
      <c r="E73" s="28">
        <v>246779413747</v>
      </c>
      <c r="F73" s="28" t="s">
        <v>11</v>
      </c>
      <c r="G73" s="30">
        <v>2.74</v>
      </c>
      <c r="H73" s="28" t="s">
        <v>56</v>
      </c>
      <c r="I73" s="30">
        <v>237.53</v>
      </c>
      <c r="J73" s="28" t="s">
        <v>565</v>
      </c>
      <c r="K73" s="28" cm="1">
        <f t="array" ref="K73:L73">VLOOKUP(E73,[2]A023951!D$1:H$1114,{3,5},0)</f>
        <v>-2.74</v>
      </c>
      <c r="L73" s="28">
        <v>-238.5</v>
      </c>
      <c r="M73" s="31">
        <f t="shared" si="4"/>
        <v>-0.96999999999999886</v>
      </c>
    </row>
    <row r="74" spans="1:13" x14ac:dyDescent="0.35">
      <c r="A74" s="28" t="s">
        <v>495</v>
      </c>
      <c r="B74" s="32">
        <v>2025</v>
      </c>
      <c r="C74" s="28" t="s">
        <v>499</v>
      </c>
      <c r="D74" s="29">
        <v>45736</v>
      </c>
      <c r="E74" s="28">
        <v>246779413815</v>
      </c>
      <c r="F74" s="28" t="s">
        <v>11</v>
      </c>
      <c r="G74" s="30">
        <v>50</v>
      </c>
      <c r="H74" s="28" t="s">
        <v>56</v>
      </c>
      <c r="I74" s="30">
        <v>4334.5600000000004</v>
      </c>
      <c r="J74" s="28" t="s">
        <v>566</v>
      </c>
      <c r="K74" s="28" cm="1">
        <f t="array" ref="K74:L74">VLOOKUP(E74,[2]A023951!D$1:H$1114,{3,5},0)</f>
        <v>-50</v>
      </c>
      <c r="L74" s="28">
        <v>-4352.12</v>
      </c>
      <c r="M74" s="31">
        <f t="shared" si="4"/>
        <v>-17.559999999999491</v>
      </c>
    </row>
    <row r="75" spans="1:13" x14ac:dyDescent="0.35">
      <c r="A75" s="28" t="s">
        <v>495</v>
      </c>
      <c r="B75" s="32">
        <v>2025</v>
      </c>
      <c r="C75" s="28" t="s">
        <v>499</v>
      </c>
      <c r="D75" s="29">
        <v>45736</v>
      </c>
      <c r="E75" s="28">
        <v>246779413920</v>
      </c>
      <c r="F75" s="28" t="s">
        <v>11</v>
      </c>
      <c r="G75" s="30">
        <v>22.5</v>
      </c>
      <c r="H75" s="28" t="s">
        <v>56</v>
      </c>
      <c r="I75" s="30">
        <v>1950.55</v>
      </c>
      <c r="J75" s="28" t="s">
        <v>565</v>
      </c>
      <c r="K75" s="28" cm="1">
        <f t="array" ref="K75:L75">VLOOKUP(E75,[2]A023951!D$1:H$1114,{3,5},0)</f>
        <v>-22.5</v>
      </c>
      <c r="L75" s="28">
        <v>-1958.45</v>
      </c>
      <c r="M75" s="31">
        <f t="shared" si="4"/>
        <v>-7.9000000000000909</v>
      </c>
    </row>
    <row r="76" spans="1:13" x14ac:dyDescent="0.35">
      <c r="A76" s="28" t="s">
        <v>495</v>
      </c>
      <c r="B76" s="32">
        <v>2025</v>
      </c>
      <c r="C76" s="28" t="s">
        <v>499</v>
      </c>
      <c r="D76" s="29">
        <v>45736</v>
      </c>
      <c r="E76" s="28">
        <v>246779413936</v>
      </c>
      <c r="F76" s="28" t="s">
        <v>11</v>
      </c>
      <c r="G76" s="30">
        <v>27.5</v>
      </c>
      <c r="H76" s="28" t="s">
        <v>56</v>
      </c>
      <c r="I76" s="30">
        <v>2384.0100000000002</v>
      </c>
      <c r="J76" s="28" t="s">
        <v>565</v>
      </c>
      <c r="K76" s="28" cm="1">
        <f t="array" ref="K76:L76">VLOOKUP(E76,[2]A023951!D$1:H$1114,{3,5},0)</f>
        <v>-27.5</v>
      </c>
      <c r="L76" s="28">
        <v>-2393.67</v>
      </c>
      <c r="M76" s="31">
        <f t="shared" si="4"/>
        <v>-9.6599999999998545</v>
      </c>
    </row>
    <row r="77" spans="1:13" x14ac:dyDescent="0.35">
      <c r="A77" s="28" t="s">
        <v>495</v>
      </c>
      <c r="B77" s="32">
        <v>2025</v>
      </c>
      <c r="C77" s="28" t="s">
        <v>499</v>
      </c>
      <c r="D77" s="29">
        <v>45736</v>
      </c>
      <c r="E77" s="28">
        <v>246779413941</v>
      </c>
      <c r="F77" s="28" t="s">
        <v>11</v>
      </c>
      <c r="G77" s="30">
        <v>30</v>
      </c>
      <c r="H77" s="28" t="s">
        <v>56</v>
      </c>
      <c r="I77" s="30">
        <v>2600.7399999999998</v>
      </c>
      <c r="J77" s="28" t="s">
        <v>565</v>
      </c>
      <c r="K77" s="28" cm="1">
        <f t="array" ref="K77:L77">VLOOKUP(E77,[2]A023951!D$1:H$1114,{3,5},0)</f>
        <v>-30</v>
      </c>
      <c r="L77" s="28">
        <v>-2611.27</v>
      </c>
      <c r="M77" s="31">
        <f t="shared" si="4"/>
        <v>-10.5300000000002</v>
      </c>
    </row>
    <row r="78" spans="1:13" x14ac:dyDescent="0.35">
      <c r="A78" s="28" t="s">
        <v>495</v>
      </c>
      <c r="B78" s="32">
        <v>2025</v>
      </c>
      <c r="C78" s="28" t="s">
        <v>499</v>
      </c>
      <c r="D78" s="29">
        <v>45736</v>
      </c>
      <c r="E78" s="28">
        <v>246779414384</v>
      </c>
      <c r="F78" s="28" t="s">
        <v>11</v>
      </c>
      <c r="G78" s="30">
        <v>182.5</v>
      </c>
      <c r="H78" s="28" t="s">
        <v>56</v>
      </c>
      <c r="I78" s="30">
        <v>15821.15</v>
      </c>
      <c r="J78" s="28" t="s">
        <v>567</v>
      </c>
      <c r="K78" s="28" cm="1">
        <f t="array" ref="K78:L78">VLOOKUP(E78,[2]A023951!D$1:H$1114,{3,5},0)</f>
        <v>-182.5</v>
      </c>
      <c r="L78" s="28">
        <v>-15885.24</v>
      </c>
      <c r="M78" s="31">
        <f t="shared" si="4"/>
        <v>-64.090000000000146</v>
      </c>
    </row>
    <row r="79" spans="1:13" x14ac:dyDescent="0.35">
      <c r="A79" s="28" t="s">
        <v>495</v>
      </c>
      <c r="B79" s="32">
        <v>2025</v>
      </c>
      <c r="C79" s="28" t="s">
        <v>499</v>
      </c>
      <c r="D79" s="29">
        <v>45736</v>
      </c>
      <c r="E79" s="28">
        <v>246779414385</v>
      </c>
      <c r="F79" s="28" t="s">
        <v>11</v>
      </c>
      <c r="G79" s="30">
        <v>240</v>
      </c>
      <c r="H79" s="28" t="s">
        <v>56</v>
      </c>
      <c r="I79" s="30">
        <v>20805.900000000001</v>
      </c>
      <c r="J79" s="28" t="s">
        <v>568</v>
      </c>
      <c r="K79" s="28" cm="1">
        <f t="array" ref="K79:L79">VLOOKUP(E79,[2]A023951!D$1:H$1114,{3,5},0)</f>
        <v>-240</v>
      </c>
      <c r="L79" s="28">
        <v>-20890.18</v>
      </c>
      <c r="M79" s="31">
        <f t="shared" si="4"/>
        <v>-84.279999999998836</v>
      </c>
    </row>
    <row r="80" spans="1:13" x14ac:dyDescent="0.35">
      <c r="A80" s="28" t="s">
        <v>495</v>
      </c>
      <c r="B80" s="32">
        <v>2025</v>
      </c>
      <c r="C80" s="28" t="s">
        <v>499</v>
      </c>
      <c r="D80" s="29">
        <v>45736</v>
      </c>
      <c r="E80" s="28">
        <v>246779414057</v>
      </c>
      <c r="F80" s="28" t="s">
        <v>11</v>
      </c>
      <c r="G80" s="30">
        <v>43.07</v>
      </c>
      <c r="H80" s="28" t="s">
        <v>56</v>
      </c>
      <c r="I80" s="30">
        <v>3733.79</v>
      </c>
      <c r="J80" s="28" t="s">
        <v>569</v>
      </c>
      <c r="K80" s="28" t="e" cm="1">
        <f t="array" ref="K80">VLOOKUP(E80,[2]A023951!D$1:H$1114,{3,5},0)</f>
        <v>#N/A</v>
      </c>
      <c r="L80" s="28"/>
      <c r="M80" s="28"/>
    </row>
    <row r="81" spans="1:13" x14ac:dyDescent="0.35">
      <c r="A81" s="28" t="s">
        <v>495</v>
      </c>
      <c r="B81" s="32">
        <v>2025</v>
      </c>
      <c r="C81" s="28" t="s">
        <v>499</v>
      </c>
      <c r="D81" s="29">
        <v>45736</v>
      </c>
      <c r="E81" s="28">
        <v>246779414058</v>
      </c>
      <c r="F81" s="28" t="s">
        <v>11</v>
      </c>
      <c r="G81" s="30">
        <v>398.23</v>
      </c>
      <c r="H81" s="28" t="s">
        <v>56</v>
      </c>
      <c r="I81" s="30">
        <v>34523.06</v>
      </c>
      <c r="J81" s="28" t="s">
        <v>569</v>
      </c>
      <c r="K81" s="28" t="e" cm="1">
        <f t="array" ref="K81">VLOOKUP(E81,[2]A023951!D$1:H$1114,{3,5},0)</f>
        <v>#N/A</v>
      </c>
      <c r="L81" s="28"/>
      <c r="M81" s="28"/>
    </row>
    <row r="82" spans="1:13" x14ac:dyDescent="0.35">
      <c r="A82" s="28" t="s">
        <v>495</v>
      </c>
      <c r="B82" s="32">
        <v>2025</v>
      </c>
      <c r="C82" s="28" t="s">
        <v>499</v>
      </c>
      <c r="D82" s="29">
        <v>45736</v>
      </c>
      <c r="E82" s="28">
        <v>246779414120</v>
      </c>
      <c r="F82" s="28" t="s">
        <v>11</v>
      </c>
      <c r="G82" s="30">
        <v>250.75</v>
      </c>
      <c r="H82" s="28" t="s">
        <v>56</v>
      </c>
      <c r="I82" s="30">
        <v>21737.83</v>
      </c>
      <c r="J82" s="28" t="s">
        <v>570</v>
      </c>
      <c r="K82" s="28" t="e" cm="1">
        <f t="array" ref="K82">VLOOKUP(E82,[2]A023951!D$1:H$1114,{3,5},0)</f>
        <v>#N/A</v>
      </c>
      <c r="L82" s="28"/>
      <c r="M82" s="28"/>
    </row>
    <row r="83" spans="1:13" x14ac:dyDescent="0.35">
      <c r="A83" s="28" t="s">
        <v>495</v>
      </c>
      <c r="B83" s="32">
        <v>2025</v>
      </c>
      <c r="C83" s="28" t="s">
        <v>499</v>
      </c>
      <c r="D83" s="29">
        <v>45736</v>
      </c>
      <c r="E83" s="28">
        <v>246779414121</v>
      </c>
      <c r="F83" s="28" t="s">
        <v>11</v>
      </c>
      <c r="G83" s="30">
        <v>226.56</v>
      </c>
      <c r="H83" s="28" t="s">
        <v>56</v>
      </c>
      <c r="I83" s="30">
        <v>19640.77</v>
      </c>
      <c r="J83" s="28" t="s">
        <v>571</v>
      </c>
      <c r="K83" s="28" t="e" cm="1">
        <f t="array" ref="K83">VLOOKUP(E83,[2]A023951!D$1:H$1114,{3,5},0)</f>
        <v>#N/A</v>
      </c>
      <c r="L83" s="28"/>
      <c r="M83" s="28"/>
    </row>
    <row r="84" spans="1:13" x14ac:dyDescent="0.35">
      <c r="A84" s="28" t="s">
        <v>495</v>
      </c>
      <c r="B84" s="32">
        <v>2025</v>
      </c>
      <c r="C84" s="28" t="s">
        <v>499</v>
      </c>
      <c r="D84" s="29">
        <v>45736</v>
      </c>
      <c r="E84" s="28">
        <v>246779414122</v>
      </c>
      <c r="F84" s="28" t="s">
        <v>11</v>
      </c>
      <c r="G84" s="30">
        <v>35.4</v>
      </c>
      <c r="H84" s="28" t="s">
        <v>56</v>
      </c>
      <c r="I84" s="30">
        <v>3068.87</v>
      </c>
      <c r="J84" s="28" t="s">
        <v>572</v>
      </c>
      <c r="K84" s="28" t="e" cm="1">
        <f t="array" ref="K84">VLOOKUP(E84,[2]A023951!D$1:H$1114,{3,5},0)</f>
        <v>#N/A</v>
      </c>
      <c r="L84" s="28"/>
      <c r="M84" s="28"/>
    </row>
    <row r="85" spans="1:13" x14ac:dyDescent="0.35">
      <c r="A85" s="28" t="s">
        <v>495</v>
      </c>
      <c r="B85" s="32">
        <v>2025</v>
      </c>
      <c r="C85" s="28" t="s">
        <v>499</v>
      </c>
      <c r="D85" s="29">
        <v>45736</v>
      </c>
      <c r="E85" s="28">
        <v>246779414204</v>
      </c>
      <c r="F85" s="28" t="s">
        <v>11</v>
      </c>
      <c r="G85" s="30">
        <v>249.87</v>
      </c>
      <c r="H85" s="28" t="s">
        <v>56</v>
      </c>
      <c r="I85" s="30">
        <v>21661.55</v>
      </c>
      <c r="J85" s="28" t="s">
        <v>573</v>
      </c>
      <c r="K85" s="28" t="e" cm="1">
        <f t="array" ref="K85">VLOOKUP(E85,[2]A023951!D$1:H$1114,{3,5},0)</f>
        <v>#N/A</v>
      </c>
      <c r="L85" s="28"/>
      <c r="M85" s="28"/>
    </row>
    <row r="86" spans="1:13" x14ac:dyDescent="0.35">
      <c r="A86" s="28" t="s">
        <v>495</v>
      </c>
      <c r="B86" s="32">
        <v>2025</v>
      </c>
      <c r="C86" s="28" t="s">
        <v>499</v>
      </c>
      <c r="D86" s="29">
        <v>45736</v>
      </c>
      <c r="E86" s="28">
        <v>246779414460</v>
      </c>
      <c r="F86" s="28" t="s">
        <v>11</v>
      </c>
      <c r="G86" s="30">
        <v>173.05</v>
      </c>
      <c r="H86" s="28" t="s">
        <v>56</v>
      </c>
      <c r="I86" s="30">
        <v>15001.92</v>
      </c>
      <c r="J86" s="28" t="s">
        <v>569</v>
      </c>
      <c r="K86" s="28" t="e" cm="1">
        <f t="array" ref="K86">VLOOKUP(E86,[2]A023951!D$1:H$1114,{3,5},0)</f>
        <v>#N/A</v>
      </c>
      <c r="L86" s="28"/>
      <c r="M86" s="28"/>
    </row>
    <row r="87" spans="1:13" x14ac:dyDescent="0.35">
      <c r="A87" s="28" t="s">
        <v>495</v>
      </c>
      <c r="B87" s="32">
        <v>2025</v>
      </c>
      <c r="C87" s="28" t="s">
        <v>499</v>
      </c>
      <c r="D87" s="29">
        <v>45736</v>
      </c>
      <c r="E87" s="28">
        <v>246779414461</v>
      </c>
      <c r="F87" s="28" t="s">
        <v>11</v>
      </c>
      <c r="G87" s="30">
        <v>226.56</v>
      </c>
      <c r="H87" s="28" t="s">
        <v>56</v>
      </c>
      <c r="I87" s="30">
        <v>19640.77</v>
      </c>
      <c r="J87" s="28" t="s">
        <v>574</v>
      </c>
      <c r="K87" s="28" t="e" cm="1">
        <f t="array" ref="K87">VLOOKUP(E87,[2]A023951!D$1:H$1114,{3,5},0)</f>
        <v>#N/A</v>
      </c>
      <c r="L87" s="28"/>
      <c r="M87" s="28"/>
    </row>
    <row r="88" spans="1:13" x14ac:dyDescent="0.35">
      <c r="A88" s="28" t="s">
        <v>495</v>
      </c>
      <c r="B88" s="32">
        <v>2025</v>
      </c>
      <c r="C88" s="28" t="s">
        <v>499</v>
      </c>
      <c r="D88" s="29">
        <v>45736</v>
      </c>
      <c r="E88" s="28">
        <v>246779414525</v>
      </c>
      <c r="F88" s="28" t="s">
        <v>11</v>
      </c>
      <c r="G88" s="30">
        <v>211.39</v>
      </c>
      <c r="H88" s="28" t="s">
        <v>56</v>
      </c>
      <c r="I88" s="30">
        <v>18325.669999999998</v>
      </c>
      <c r="J88" s="28" t="s">
        <v>575</v>
      </c>
      <c r="K88" s="28" t="e" cm="1">
        <f t="array" ref="K88">VLOOKUP(E88,[2]A023951!D$1:H$1114,{3,5},0)</f>
        <v>#N/A</v>
      </c>
      <c r="L88" s="28"/>
      <c r="M88" s="28"/>
    </row>
    <row r="89" spans="1:13" x14ac:dyDescent="0.35">
      <c r="A89" s="28" t="s">
        <v>495</v>
      </c>
      <c r="B89" s="32">
        <v>2025</v>
      </c>
      <c r="C89" s="28" t="s">
        <v>499</v>
      </c>
      <c r="D89" s="29">
        <v>45736</v>
      </c>
      <c r="E89" s="28">
        <v>246779414526</v>
      </c>
      <c r="F89" s="28" t="s">
        <v>11</v>
      </c>
      <c r="G89" s="30">
        <v>141.6</v>
      </c>
      <c r="H89" s="28" t="s">
        <v>56</v>
      </c>
      <c r="I89" s="30">
        <v>12275.48</v>
      </c>
      <c r="J89" s="28" t="s">
        <v>576</v>
      </c>
      <c r="K89" s="28" t="e" cm="1">
        <f t="array" ref="K89">VLOOKUP(E89,[2]A023951!D$1:H$1114,{3,5},0)</f>
        <v>#N/A</v>
      </c>
      <c r="L89" s="28"/>
      <c r="M89" s="28"/>
    </row>
    <row r="90" spans="1:13" x14ac:dyDescent="0.35">
      <c r="A90" s="28" t="s">
        <v>495</v>
      </c>
      <c r="B90" s="32">
        <v>2025</v>
      </c>
      <c r="C90" s="28" t="s">
        <v>499</v>
      </c>
      <c r="D90" s="29">
        <v>45736</v>
      </c>
      <c r="E90" s="28">
        <v>246779414527</v>
      </c>
      <c r="F90" s="28" t="s">
        <v>11</v>
      </c>
      <c r="G90" s="30">
        <v>70.8</v>
      </c>
      <c r="H90" s="28" t="s">
        <v>56</v>
      </c>
      <c r="I90" s="30">
        <v>6137.74</v>
      </c>
      <c r="J90" s="28" t="s">
        <v>577</v>
      </c>
      <c r="K90" s="28" t="e" cm="1">
        <f t="array" ref="K90">VLOOKUP(E90,[2]A023951!D$1:H$1114,{3,5},0)</f>
        <v>#N/A</v>
      </c>
      <c r="L90" s="28"/>
      <c r="M90" s="28"/>
    </row>
    <row r="91" spans="1:13" x14ac:dyDescent="0.35">
      <c r="A91" s="28" t="s">
        <v>495</v>
      </c>
      <c r="B91" s="32">
        <v>2025</v>
      </c>
      <c r="C91" s="28" t="s">
        <v>499</v>
      </c>
      <c r="D91" s="29">
        <v>45736</v>
      </c>
      <c r="E91" s="28">
        <v>246779414528</v>
      </c>
      <c r="F91" s="28" t="s">
        <v>11</v>
      </c>
      <c r="G91" s="30">
        <v>236</v>
      </c>
      <c r="H91" s="28" t="s">
        <v>56</v>
      </c>
      <c r="I91" s="30">
        <v>20459.14</v>
      </c>
      <c r="J91" s="28" t="s">
        <v>578</v>
      </c>
      <c r="K91" s="28" t="e" cm="1">
        <f t="array" ref="K91">VLOOKUP(E91,[2]A023951!D$1:H$1114,{3,5},0)</f>
        <v>#N/A</v>
      </c>
      <c r="L91" s="28"/>
      <c r="M91" s="28"/>
    </row>
    <row r="92" spans="1:13" x14ac:dyDescent="0.35">
      <c r="A92" s="28" t="s">
        <v>495</v>
      </c>
      <c r="B92" s="32">
        <v>2025</v>
      </c>
      <c r="C92" s="28" t="s">
        <v>499</v>
      </c>
      <c r="D92" s="29">
        <v>45736</v>
      </c>
      <c r="E92" s="28">
        <v>246779414781</v>
      </c>
      <c r="F92" s="28" t="s">
        <v>11</v>
      </c>
      <c r="G92" s="30">
        <v>218.36</v>
      </c>
      <c r="H92" s="28" t="s">
        <v>56</v>
      </c>
      <c r="I92" s="30">
        <v>18929.900000000001</v>
      </c>
      <c r="J92" s="28" t="s">
        <v>565</v>
      </c>
      <c r="K92" s="28" t="e" cm="1">
        <f t="array" ref="K92">VLOOKUP(E92,[2]A023951!D$1:H$1114,{3,5},0)</f>
        <v>#N/A</v>
      </c>
      <c r="L92" s="28"/>
      <c r="M92" s="28"/>
    </row>
    <row r="93" spans="1:13" x14ac:dyDescent="0.35">
      <c r="A93" s="28" t="s">
        <v>495</v>
      </c>
      <c r="B93" s="32">
        <v>2025</v>
      </c>
      <c r="C93" s="28" t="s">
        <v>499</v>
      </c>
      <c r="D93" s="29">
        <v>45736</v>
      </c>
      <c r="E93" s="28">
        <v>246779414863</v>
      </c>
      <c r="F93" s="28" t="s">
        <v>11</v>
      </c>
      <c r="G93" s="30">
        <v>23.6</v>
      </c>
      <c r="H93" s="28" t="s">
        <v>56</v>
      </c>
      <c r="I93" s="30">
        <v>2045.91</v>
      </c>
      <c r="J93" s="28" t="s">
        <v>564</v>
      </c>
      <c r="K93" s="28" t="e" cm="1">
        <f t="array" ref="K93">VLOOKUP(E93,[2]A023951!D$1:H$1114,{3,5},0)</f>
        <v>#N/A</v>
      </c>
      <c r="L93" s="28"/>
      <c r="M93" s="28"/>
    </row>
    <row r="94" spans="1:13" x14ac:dyDescent="0.35">
      <c r="A94" s="28" t="s">
        <v>495</v>
      </c>
      <c r="B94" s="32">
        <v>2025</v>
      </c>
      <c r="C94" s="28" t="s">
        <v>499</v>
      </c>
      <c r="D94" s="29">
        <v>45736</v>
      </c>
      <c r="E94" s="28">
        <v>246779414864</v>
      </c>
      <c r="F94" s="28" t="s">
        <v>11</v>
      </c>
      <c r="G94" s="30">
        <v>26.55</v>
      </c>
      <c r="H94" s="28" t="s">
        <v>56</v>
      </c>
      <c r="I94" s="30">
        <v>2301.65</v>
      </c>
      <c r="J94" s="28" t="s">
        <v>564</v>
      </c>
      <c r="K94" s="28" t="e" cm="1">
        <f t="array" ref="K94">VLOOKUP(E94,[2]A023951!D$1:H$1114,{3,5},0)</f>
        <v>#N/A</v>
      </c>
      <c r="L94" s="28"/>
      <c r="M94" s="28"/>
    </row>
    <row r="95" spans="1:13" x14ac:dyDescent="0.35">
      <c r="A95" s="28" t="s">
        <v>495</v>
      </c>
      <c r="B95" s="32">
        <v>2025</v>
      </c>
      <c r="C95" s="28" t="s">
        <v>499</v>
      </c>
      <c r="D95" s="29">
        <v>45736</v>
      </c>
      <c r="E95" s="28">
        <v>246779414865</v>
      </c>
      <c r="F95" s="28" t="s">
        <v>11</v>
      </c>
      <c r="G95" s="30">
        <v>32.450000000000003</v>
      </c>
      <c r="H95" s="28" t="s">
        <v>56</v>
      </c>
      <c r="I95" s="30">
        <v>2813.13</v>
      </c>
      <c r="J95" s="28" t="s">
        <v>564</v>
      </c>
      <c r="K95" s="28" t="e" cm="1">
        <f t="array" ref="K95">VLOOKUP(E95,[2]A023951!D$1:H$1114,{3,5},0)</f>
        <v>#N/A</v>
      </c>
      <c r="L95" s="28"/>
      <c r="M95" s="28"/>
    </row>
    <row r="96" spans="1:13" x14ac:dyDescent="0.35">
      <c r="A96" s="28" t="s">
        <v>495</v>
      </c>
      <c r="B96" s="32">
        <v>2025</v>
      </c>
      <c r="C96" s="28" t="s">
        <v>499</v>
      </c>
      <c r="D96" s="29">
        <v>45736</v>
      </c>
      <c r="E96" s="28">
        <v>246779414866</v>
      </c>
      <c r="F96" s="28" t="s">
        <v>11</v>
      </c>
      <c r="G96" s="30">
        <v>26.55</v>
      </c>
      <c r="H96" s="28" t="s">
        <v>56</v>
      </c>
      <c r="I96" s="30">
        <v>2301.65</v>
      </c>
      <c r="J96" s="28" t="s">
        <v>564</v>
      </c>
      <c r="K96" s="28" t="e" cm="1">
        <f t="array" ref="K96">VLOOKUP(E96,[2]A023951!D$1:H$1114,{3,5},0)</f>
        <v>#N/A</v>
      </c>
      <c r="L96" s="28"/>
      <c r="M96" s="28"/>
    </row>
    <row r="97" spans="1:13" x14ac:dyDescent="0.35">
      <c r="A97" s="28" t="s">
        <v>495</v>
      </c>
      <c r="B97" s="32">
        <v>2025</v>
      </c>
      <c r="C97" s="28" t="s">
        <v>499</v>
      </c>
      <c r="D97" s="29">
        <v>45736</v>
      </c>
      <c r="E97" s="28">
        <v>246779414867</v>
      </c>
      <c r="F97" s="28" t="s">
        <v>11</v>
      </c>
      <c r="G97" s="30">
        <v>26.55</v>
      </c>
      <c r="H97" s="28" t="s">
        <v>56</v>
      </c>
      <c r="I97" s="30">
        <v>2301.65</v>
      </c>
      <c r="J97" s="28" t="s">
        <v>564</v>
      </c>
      <c r="K97" s="28" t="e" cm="1">
        <f t="array" ref="K97">VLOOKUP(E97,[2]A023951!D$1:H$1114,{3,5},0)</f>
        <v>#N/A</v>
      </c>
      <c r="L97" s="28"/>
      <c r="M97" s="28"/>
    </row>
    <row r="98" spans="1:13" x14ac:dyDescent="0.35">
      <c r="A98" s="28" t="s">
        <v>495</v>
      </c>
      <c r="B98" s="32">
        <v>2025</v>
      </c>
      <c r="C98" s="28" t="s">
        <v>499</v>
      </c>
      <c r="D98" s="29">
        <v>45736</v>
      </c>
      <c r="E98" s="28">
        <v>246779414868</v>
      </c>
      <c r="F98" s="28" t="s">
        <v>11</v>
      </c>
      <c r="G98" s="30">
        <v>2.95</v>
      </c>
      <c r="H98" s="28" t="s">
        <v>56</v>
      </c>
      <c r="I98" s="30">
        <v>255.74</v>
      </c>
      <c r="J98" s="28" t="s">
        <v>564</v>
      </c>
      <c r="K98" s="28" t="e" cm="1">
        <f t="array" ref="K98">VLOOKUP(E98,[2]A023951!D$1:H$1114,{3,5},0)</f>
        <v>#N/A</v>
      </c>
      <c r="L98" s="28"/>
      <c r="M98" s="28"/>
    </row>
    <row r="99" spans="1:13" x14ac:dyDescent="0.35">
      <c r="A99" s="28" t="s">
        <v>495</v>
      </c>
      <c r="B99" s="32">
        <v>2025</v>
      </c>
      <c r="C99" s="28" t="s">
        <v>499</v>
      </c>
      <c r="D99" s="29">
        <v>45736</v>
      </c>
      <c r="E99" s="28">
        <v>246779414869</v>
      </c>
      <c r="F99" s="28" t="s">
        <v>11</v>
      </c>
      <c r="G99" s="30">
        <v>35.4</v>
      </c>
      <c r="H99" s="28" t="s">
        <v>56</v>
      </c>
      <c r="I99" s="30">
        <v>3068.87</v>
      </c>
      <c r="J99" s="28" t="s">
        <v>564</v>
      </c>
      <c r="K99" s="28" t="e" cm="1">
        <f t="array" ref="K99">VLOOKUP(E99,[2]A023951!D$1:H$1114,{3,5},0)</f>
        <v>#N/A</v>
      </c>
      <c r="L99" s="28"/>
      <c r="M99" s="28"/>
    </row>
    <row r="100" spans="1:13" x14ac:dyDescent="0.35">
      <c r="A100" s="28" t="s">
        <v>495</v>
      </c>
      <c r="B100" s="32">
        <v>2025</v>
      </c>
      <c r="C100" s="28" t="s">
        <v>499</v>
      </c>
      <c r="D100" s="29">
        <v>45736</v>
      </c>
      <c r="E100" s="28">
        <v>246779413889</v>
      </c>
      <c r="F100" s="28" t="s">
        <v>11</v>
      </c>
      <c r="G100" s="30">
        <v>42.5</v>
      </c>
      <c r="H100" s="28" t="s">
        <v>56</v>
      </c>
      <c r="I100" s="30">
        <v>3684.38</v>
      </c>
      <c r="J100" s="28" t="s">
        <v>565</v>
      </c>
      <c r="K100" s="28" cm="1">
        <f t="array" ref="K100:L100">VLOOKUP(E100,[2]A023951!D$1:H$1114,{3,5},0)</f>
        <v>-42.5</v>
      </c>
      <c r="L100" s="28">
        <v>-3699.3</v>
      </c>
      <c r="M100" s="31">
        <f>I100+L100</f>
        <v>-14.920000000000073</v>
      </c>
    </row>
    <row r="101" spans="1:13" x14ac:dyDescent="0.35">
      <c r="A101" s="28" t="s">
        <v>495</v>
      </c>
      <c r="B101" s="32">
        <v>2025</v>
      </c>
      <c r="C101" s="28" t="s">
        <v>499</v>
      </c>
      <c r="D101" s="29">
        <v>45736</v>
      </c>
      <c r="E101" s="28">
        <v>246779414662</v>
      </c>
      <c r="F101" s="28" t="s">
        <v>11</v>
      </c>
      <c r="G101" s="30">
        <v>275</v>
      </c>
      <c r="H101" s="28" t="s">
        <v>56</v>
      </c>
      <c r="I101" s="30">
        <v>23840.1</v>
      </c>
      <c r="J101" s="28" t="s">
        <v>579</v>
      </c>
      <c r="K101" s="28" cm="1">
        <f t="array" ref="K101:L101">VLOOKUP(E101,[2]A023951!D$1:H$1114,{3,5},0)</f>
        <v>-275</v>
      </c>
      <c r="L101" s="28">
        <v>-23936.66</v>
      </c>
      <c r="M101" s="31">
        <f>I101+L101</f>
        <v>-96.56000000000131</v>
      </c>
    </row>
    <row r="102" spans="1:13" x14ac:dyDescent="0.35">
      <c r="A102" s="28" t="s">
        <v>495</v>
      </c>
      <c r="B102" s="32">
        <v>2025</v>
      </c>
      <c r="C102" s="28" t="s">
        <v>499</v>
      </c>
      <c r="D102" s="29">
        <v>45736</v>
      </c>
      <c r="E102" s="28">
        <v>246779414663</v>
      </c>
      <c r="F102" s="28" t="s">
        <v>11</v>
      </c>
      <c r="G102" s="30">
        <v>45</v>
      </c>
      <c r="H102" s="28" t="s">
        <v>56</v>
      </c>
      <c r="I102" s="30">
        <v>3901.11</v>
      </c>
      <c r="J102" s="28" t="s">
        <v>580</v>
      </c>
      <c r="K102" s="28" cm="1">
        <f t="array" ref="K102:L102">VLOOKUP(E102,[2]A023951!D$1:H$1114,{3,5},0)</f>
        <v>-45</v>
      </c>
      <c r="L102" s="28">
        <v>-3916.91</v>
      </c>
      <c r="M102" s="31">
        <f>I102+L102</f>
        <v>-15.799999999999727</v>
      </c>
    </row>
    <row r="103" spans="1:13" x14ac:dyDescent="0.35">
      <c r="A103" s="28" t="s">
        <v>495</v>
      </c>
      <c r="B103" s="32">
        <v>2025</v>
      </c>
      <c r="C103" s="28" t="s">
        <v>499</v>
      </c>
      <c r="D103" s="29">
        <v>45736</v>
      </c>
      <c r="E103" s="28">
        <v>246779414590</v>
      </c>
      <c r="F103" s="28" t="s">
        <v>11</v>
      </c>
      <c r="G103" s="30">
        <v>300.49</v>
      </c>
      <c r="H103" s="28" t="s">
        <v>56</v>
      </c>
      <c r="I103" s="30">
        <v>26049.86</v>
      </c>
      <c r="J103" s="28" t="s">
        <v>581</v>
      </c>
      <c r="K103" s="28" t="e" cm="1">
        <f t="array" ref="K103">VLOOKUP(E103,[2]A023951!D$1:H$1114,{3,5},0)</f>
        <v>#N/A</v>
      </c>
      <c r="L103" s="28"/>
      <c r="M103" s="28"/>
    </row>
    <row r="104" spans="1:13" x14ac:dyDescent="0.35">
      <c r="A104" s="28" t="s">
        <v>495</v>
      </c>
      <c r="B104" s="32">
        <v>2025</v>
      </c>
      <c r="C104" s="28" t="s">
        <v>499</v>
      </c>
      <c r="D104" s="29">
        <v>45736</v>
      </c>
      <c r="E104" s="28">
        <v>246779414726</v>
      </c>
      <c r="F104" s="28" t="s">
        <v>11</v>
      </c>
      <c r="G104" s="30">
        <v>165.4</v>
      </c>
      <c r="H104" s="28" t="s">
        <v>56</v>
      </c>
      <c r="I104" s="30">
        <v>14338.73</v>
      </c>
      <c r="J104" s="28" t="s">
        <v>564</v>
      </c>
      <c r="K104" s="28" t="e" cm="1">
        <f t="array" ref="K104">VLOOKUP(E104,[2]A023951!D$1:H$1114,{3,5},0)</f>
        <v>#N/A</v>
      </c>
      <c r="L104" s="28"/>
      <c r="M104" s="28"/>
    </row>
    <row r="105" spans="1:13" x14ac:dyDescent="0.35">
      <c r="A105" s="28" t="s">
        <v>495</v>
      </c>
      <c r="B105" s="32">
        <v>2025</v>
      </c>
      <c r="C105" s="28" t="s">
        <v>499</v>
      </c>
      <c r="D105" s="29">
        <v>45708</v>
      </c>
      <c r="E105" s="28">
        <v>246779410010</v>
      </c>
      <c r="F105" s="28" t="s">
        <v>11</v>
      </c>
      <c r="G105" s="30">
        <v>2380.9499999999998</v>
      </c>
      <c r="H105" s="28" t="s">
        <v>56</v>
      </c>
      <c r="I105" s="30">
        <v>205484.7</v>
      </c>
      <c r="J105" s="28" t="s">
        <v>582</v>
      </c>
      <c r="K105" s="28" cm="1">
        <f t="array" ref="K105:L105">VLOOKUP(E105,[2]A023951!D$1:H$1114,{3,5},0)</f>
        <v>-2380.9499999999998</v>
      </c>
      <c r="L105" s="28">
        <v>-206046.42</v>
      </c>
      <c r="M105" s="31">
        <f t="shared" ref="M105:M124" si="5">I105+L105</f>
        <v>-561.72000000000116</v>
      </c>
    </row>
    <row r="106" spans="1:13" x14ac:dyDescent="0.35">
      <c r="A106" s="28" t="s">
        <v>495</v>
      </c>
      <c r="B106" s="32">
        <v>2025</v>
      </c>
      <c r="C106" s="28" t="s">
        <v>499</v>
      </c>
      <c r="D106" s="29">
        <v>45708</v>
      </c>
      <c r="E106" s="28">
        <v>246779410030</v>
      </c>
      <c r="F106" s="28" t="s">
        <v>11</v>
      </c>
      <c r="G106" s="30">
        <v>2380.9499999999998</v>
      </c>
      <c r="H106" s="28" t="s">
        <v>56</v>
      </c>
      <c r="I106" s="30">
        <v>205484.7</v>
      </c>
      <c r="J106" s="28" t="s">
        <v>583</v>
      </c>
      <c r="K106" s="28" cm="1">
        <f t="array" ref="K106:L106">VLOOKUP(E106,[2]A023951!D$1:H$1114,{3,5},0)</f>
        <v>-2380.9499999999998</v>
      </c>
      <c r="L106" s="28">
        <v>-206046.42</v>
      </c>
      <c r="M106" s="31">
        <f t="shared" si="5"/>
        <v>-561.72000000000116</v>
      </c>
    </row>
    <row r="107" spans="1:13" x14ac:dyDescent="0.35">
      <c r="A107" s="28" t="s">
        <v>495</v>
      </c>
      <c r="B107" s="32">
        <v>2025</v>
      </c>
      <c r="C107" s="28" t="s">
        <v>499</v>
      </c>
      <c r="D107" s="29">
        <v>45708</v>
      </c>
      <c r="E107" s="28">
        <v>246779410063</v>
      </c>
      <c r="F107" s="28" t="s">
        <v>11</v>
      </c>
      <c r="G107" s="30">
        <v>95.24</v>
      </c>
      <c r="H107" s="28" t="s">
        <v>56</v>
      </c>
      <c r="I107" s="30">
        <v>8219.56</v>
      </c>
      <c r="J107" s="28" t="s">
        <v>584</v>
      </c>
      <c r="K107" s="28" cm="1">
        <f t="array" ref="K107:L107">VLOOKUP(E107,[2]A023951!D$1:H$1114,{3,5},0)</f>
        <v>-95.24</v>
      </c>
      <c r="L107" s="28">
        <v>-8242.0300000000007</v>
      </c>
      <c r="M107" s="31">
        <f t="shared" si="5"/>
        <v>-22.470000000001164</v>
      </c>
    </row>
    <row r="108" spans="1:13" x14ac:dyDescent="0.35">
      <c r="A108" s="28" t="s">
        <v>495</v>
      </c>
      <c r="B108" s="32">
        <v>2025</v>
      </c>
      <c r="C108" s="28" t="s">
        <v>499</v>
      </c>
      <c r="D108" s="29">
        <v>45708</v>
      </c>
      <c r="E108" s="28">
        <v>246779410064</v>
      </c>
      <c r="F108" s="28" t="s">
        <v>11</v>
      </c>
      <c r="G108" s="30">
        <v>52.38</v>
      </c>
      <c r="H108" s="28" t="s">
        <v>56</v>
      </c>
      <c r="I108" s="30">
        <v>4520.59</v>
      </c>
      <c r="J108" s="28" t="s">
        <v>585</v>
      </c>
      <c r="K108" s="28" cm="1">
        <f t="array" ref="K108:L108">VLOOKUP(E108,[2]A023951!D$1:H$1114,{3,5},0)</f>
        <v>-52.38</v>
      </c>
      <c r="L108" s="28">
        <v>-4532.9399999999996</v>
      </c>
      <c r="M108" s="31">
        <f t="shared" si="5"/>
        <v>-12.349999999999454</v>
      </c>
    </row>
    <row r="109" spans="1:13" x14ac:dyDescent="0.35">
      <c r="A109" s="28" t="s">
        <v>495</v>
      </c>
      <c r="B109" s="32">
        <v>2025</v>
      </c>
      <c r="C109" s="28" t="s">
        <v>499</v>
      </c>
      <c r="D109" s="29">
        <v>45708</v>
      </c>
      <c r="E109" s="28">
        <v>246779410080</v>
      </c>
      <c r="F109" s="28" t="s">
        <v>11</v>
      </c>
      <c r="G109" s="30">
        <v>95.24</v>
      </c>
      <c r="H109" s="28" t="s">
        <v>56</v>
      </c>
      <c r="I109" s="30">
        <v>8219.56</v>
      </c>
      <c r="J109" s="28" t="s">
        <v>586</v>
      </c>
      <c r="K109" s="28" cm="1">
        <f t="array" ref="K109:L109">VLOOKUP(E109,[2]A023951!D$1:H$1114,{3,5},0)</f>
        <v>-95.24</v>
      </c>
      <c r="L109" s="28">
        <v>-8242.0300000000007</v>
      </c>
      <c r="M109" s="31">
        <f t="shared" si="5"/>
        <v>-22.470000000001164</v>
      </c>
    </row>
    <row r="110" spans="1:13" x14ac:dyDescent="0.35">
      <c r="A110" s="28" t="s">
        <v>495</v>
      </c>
      <c r="B110" s="32">
        <v>2025</v>
      </c>
      <c r="C110" s="28" t="s">
        <v>499</v>
      </c>
      <c r="D110" s="29">
        <v>45708</v>
      </c>
      <c r="E110" s="28">
        <v>246779410098</v>
      </c>
      <c r="F110" s="28" t="s">
        <v>11</v>
      </c>
      <c r="G110" s="30">
        <v>2380.9499999999998</v>
      </c>
      <c r="H110" s="28" t="s">
        <v>56</v>
      </c>
      <c r="I110" s="30">
        <v>205484.7</v>
      </c>
      <c r="J110" s="28" t="s">
        <v>587</v>
      </c>
      <c r="K110" s="28" cm="1">
        <f t="array" ref="K110:L110">VLOOKUP(E110,[2]A023951!D$1:H$1114,{3,5},0)</f>
        <v>-2380.9499999999998</v>
      </c>
      <c r="L110" s="28">
        <v>-206046.42</v>
      </c>
      <c r="M110" s="31">
        <f t="shared" si="5"/>
        <v>-561.72000000000116</v>
      </c>
    </row>
    <row r="111" spans="1:13" x14ac:dyDescent="0.35">
      <c r="A111" s="28" t="s">
        <v>495</v>
      </c>
      <c r="B111" s="32">
        <v>2025</v>
      </c>
      <c r="C111" s="28" t="s">
        <v>499</v>
      </c>
      <c r="D111" s="29">
        <v>45708</v>
      </c>
      <c r="E111" s="28">
        <v>246779410131</v>
      </c>
      <c r="F111" s="28" t="s">
        <v>11</v>
      </c>
      <c r="G111" s="30">
        <v>95.24</v>
      </c>
      <c r="H111" s="28" t="s">
        <v>56</v>
      </c>
      <c r="I111" s="30">
        <v>8219.56</v>
      </c>
      <c r="J111" s="28" t="s">
        <v>588</v>
      </c>
      <c r="K111" s="28" cm="1">
        <f t="array" ref="K111:L111">VLOOKUP(E111,[2]A023951!D$1:H$1114,{3,5},0)</f>
        <v>-95.24</v>
      </c>
      <c r="L111" s="28">
        <v>-8242.0300000000007</v>
      </c>
      <c r="M111" s="31">
        <f t="shared" si="5"/>
        <v>-22.470000000001164</v>
      </c>
    </row>
    <row r="112" spans="1:13" x14ac:dyDescent="0.35">
      <c r="A112" s="28" t="s">
        <v>495</v>
      </c>
      <c r="B112" s="32">
        <v>2025</v>
      </c>
      <c r="C112" s="28" t="s">
        <v>499</v>
      </c>
      <c r="D112" s="29">
        <v>45708</v>
      </c>
      <c r="E112" s="28">
        <v>246779410132</v>
      </c>
      <c r="F112" s="28" t="s">
        <v>11</v>
      </c>
      <c r="G112" s="30">
        <v>52.38</v>
      </c>
      <c r="H112" s="28" t="s">
        <v>56</v>
      </c>
      <c r="I112" s="30">
        <v>4520.59</v>
      </c>
      <c r="J112" s="28" t="s">
        <v>589</v>
      </c>
      <c r="K112" s="28" cm="1">
        <f t="array" ref="K112:L112">VLOOKUP(E112,[2]A023951!D$1:H$1114,{3,5},0)</f>
        <v>-52.38</v>
      </c>
      <c r="L112" s="28">
        <v>-4532.9399999999996</v>
      </c>
      <c r="M112" s="31">
        <f t="shared" si="5"/>
        <v>-12.349999999999454</v>
      </c>
    </row>
    <row r="113" spans="1:13" x14ac:dyDescent="0.35">
      <c r="A113" s="28" t="s">
        <v>495</v>
      </c>
      <c r="B113" s="32">
        <v>2025</v>
      </c>
      <c r="C113" s="28" t="s">
        <v>499</v>
      </c>
      <c r="D113" s="29">
        <v>45708</v>
      </c>
      <c r="E113" s="28">
        <v>246779410141</v>
      </c>
      <c r="F113" s="28" t="s">
        <v>11</v>
      </c>
      <c r="G113" s="30">
        <v>2380.9499999999998</v>
      </c>
      <c r="H113" s="28" t="s">
        <v>56</v>
      </c>
      <c r="I113" s="30">
        <v>205484.7</v>
      </c>
      <c r="J113" s="28" t="s">
        <v>590</v>
      </c>
      <c r="K113" s="28" cm="1">
        <f t="array" ref="K113:L113">VLOOKUP(E113,[2]A023951!D$1:H$1114,{3,5},0)</f>
        <v>-2380.9499999999998</v>
      </c>
      <c r="L113" s="28">
        <v>-206046.42</v>
      </c>
      <c r="M113" s="31">
        <f t="shared" si="5"/>
        <v>-561.72000000000116</v>
      </c>
    </row>
    <row r="114" spans="1:13" x14ac:dyDescent="0.35">
      <c r="A114" s="28" t="s">
        <v>495</v>
      </c>
      <c r="B114" s="32">
        <v>2025</v>
      </c>
      <c r="C114" s="28" t="s">
        <v>499</v>
      </c>
      <c r="D114" s="29">
        <v>45708</v>
      </c>
      <c r="E114" s="28">
        <v>246779410174</v>
      </c>
      <c r="F114" s="28" t="s">
        <v>11</v>
      </c>
      <c r="G114" s="30">
        <v>95.24</v>
      </c>
      <c r="H114" s="28" t="s">
        <v>56</v>
      </c>
      <c r="I114" s="30">
        <v>8219.56</v>
      </c>
      <c r="J114" s="28" t="s">
        <v>591</v>
      </c>
      <c r="K114" s="28" cm="1">
        <f t="array" ref="K114:L114">VLOOKUP(E114,[2]A023951!D$1:H$1114,{3,5},0)</f>
        <v>-95.24</v>
      </c>
      <c r="L114" s="28">
        <v>-8242.0300000000007</v>
      </c>
      <c r="M114" s="31">
        <f t="shared" si="5"/>
        <v>-22.470000000001164</v>
      </c>
    </row>
    <row r="115" spans="1:13" x14ac:dyDescent="0.35">
      <c r="A115" s="28" t="s">
        <v>495</v>
      </c>
      <c r="B115" s="32">
        <v>2025</v>
      </c>
      <c r="C115" s="28" t="s">
        <v>499</v>
      </c>
      <c r="D115" s="29">
        <v>45708</v>
      </c>
      <c r="E115" s="28">
        <v>246779410175</v>
      </c>
      <c r="F115" s="28" t="s">
        <v>11</v>
      </c>
      <c r="G115" s="30">
        <v>52.38</v>
      </c>
      <c r="H115" s="28" t="s">
        <v>56</v>
      </c>
      <c r="I115" s="30">
        <v>4520.59</v>
      </c>
      <c r="J115" s="28" t="s">
        <v>592</v>
      </c>
      <c r="K115" s="28" cm="1">
        <f t="array" ref="K115:L115">VLOOKUP(E115,[2]A023951!D$1:H$1114,{3,5},0)</f>
        <v>-52.38</v>
      </c>
      <c r="L115" s="28">
        <v>-4532.9399999999996</v>
      </c>
      <c r="M115" s="31">
        <f t="shared" si="5"/>
        <v>-12.349999999999454</v>
      </c>
    </row>
    <row r="116" spans="1:13" x14ac:dyDescent="0.35">
      <c r="A116" s="28" t="s">
        <v>495</v>
      </c>
      <c r="B116" s="32">
        <v>2025</v>
      </c>
      <c r="C116" s="28" t="s">
        <v>499</v>
      </c>
      <c r="D116" s="29">
        <v>45708</v>
      </c>
      <c r="E116" s="28">
        <v>246779410184</v>
      </c>
      <c r="F116" s="28" t="s">
        <v>11</v>
      </c>
      <c r="G116" s="30">
        <v>2333.1799999999998</v>
      </c>
      <c r="H116" s="28" t="s">
        <v>56</v>
      </c>
      <c r="I116" s="30">
        <v>201361.97</v>
      </c>
      <c r="J116" s="28" t="s">
        <v>593</v>
      </c>
      <c r="K116" s="28" cm="1">
        <f t="array" ref="K116:L116">VLOOKUP(E116,[2]A023951!D$1:H$1114,{3,5},0)</f>
        <v>-2333.1799999999998</v>
      </c>
      <c r="L116" s="28">
        <v>-201912.42</v>
      </c>
      <c r="M116" s="31">
        <f t="shared" si="5"/>
        <v>-550.45000000001164</v>
      </c>
    </row>
    <row r="117" spans="1:13" x14ac:dyDescent="0.35">
      <c r="A117" s="28" t="s">
        <v>495</v>
      </c>
      <c r="B117" s="32">
        <v>2025</v>
      </c>
      <c r="C117" s="28" t="s">
        <v>499</v>
      </c>
      <c r="D117" s="29">
        <v>45708</v>
      </c>
      <c r="E117" s="28">
        <v>246779410217</v>
      </c>
      <c r="F117" s="28" t="s">
        <v>11</v>
      </c>
      <c r="G117" s="30">
        <v>93.33</v>
      </c>
      <c r="H117" s="28" t="s">
        <v>56</v>
      </c>
      <c r="I117" s="30">
        <v>8054.72</v>
      </c>
      <c r="J117" s="28" t="s">
        <v>594</v>
      </c>
      <c r="K117" s="28" cm="1">
        <f t="array" ref="K117:L117">VLOOKUP(E117,[2]A023951!D$1:H$1114,{3,5},0)</f>
        <v>-93.33</v>
      </c>
      <c r="L117" s="28">
        <v>-8076.74</v>
      </c>
      <c r="M117" s="31">
        <f t="shared" si="5"/>
        <v>-22.019999999999527</v>
      </c>
    </row>
    <row r="118" spans="1:13" x14ac:dyDescent="0.35">
      <c r="A118" s="28" t="s">
        <v>495</v>
      </c>
      <c r="B118" s="32">
        <v>2025</v>
      </c>
      <c r="C118" s="28" t="s">
        <v>499</v>
      </c>
      <c r="D118" s="29">
        <v>45708</v>
      </c>
      <c r="E118" s="28">
        <v>246779410218</v>
      </c>
      <c r="F118" s="28" t="s">
        <v>11</v>
      </c>
      <c r="G118" s="30">
        <v>51.33</v>
      </c>
      <c r="H118" s="28" t="s">
        <v>56</v>
      </c>
      <c r="I118" s="30">
        <v>4429.97</v>
      </c>
      <c r="J118" s="28" t="s">
        <v>595</v>
      </c>
      <c r="K118" s="28" cm="1">
        <f t="array" ref="K118:L118">VLOOKUP(E118,[2]A023951!D$1:H$1114,{3,5},0)</f>
        <v>-51.33</v>
      </c>
      <c r="L118" s="28">
        <v>-4442.08</v>
      </c>
      <c r="M118" s="31">
        <f t="shared" si="5"/>
        <v>-12.109999999999673</v>
      </c>
    </row>
    <row r="119" spans="1:13" x14ac:dyDescent="0.35">
      <c r="A119" s="28" t="s">
        <v>495</v>
      </c>
      <c r="B119" s="32">
        <v>2025</v>
      </c>
      <c r="C119" s="28" t="s">
        <v>499</v>
      </c>
      <c r="D119" s="29">
        <v>45708</v>
      </c>
      <c r="E119" s="28">
        <v>246779410260</v>
      </c>
      <c r="F119" s="28" t="s">
        <v>11</v>
      </c>
      <c r="G119" s="30">
        <v>91.45</v>
      </c>
      <c r="H119" s="28" t="s">
        <v>56</v>
      </c>
      <c r="I119" s="30">
        <v>7892.47</v>
      </c>
      <c r="J119" s="28" t="s">
        <v>596</v>
      </c>
      <c r="K119" s="28" cm="1">
        <f t="array" ref="K119:L119">VLOOKUP(E119,[2]A023951!D$1:H$1114,{3,5},0)</f>
        <v>-91.45</v>
      </c>
      <c r="L119" s="28">
        <v>-7914.04</v>
      </c>
      <c r="M119" s="31">
        <f t="shared" si="5"/>
        <v>-21.569999999999709</v>
      </c>
    </row>
    <row r="120" spans="1:13" x14ac:dyDescent="0.35">
      <c r="A120" s="28" t="s">
        <v>495</v>
      </c>
      <c r="B120" s="32">
        <v>2025</v>
      </c>
      <c r="C120" s="28" t="s">
        <v>499</v>
      </c>
      <c r="D120" s="29">
        <v>45708</v>
      </c>
      <c r="E120" s="28">
        <v>246779410261</v>
      </c>
      <c r="F120" s="28" t="s">
        <v>11</v>
      </c>
      <c r="G120" s="30">
        <v>50.3</v>
      </c>
      <c r="H120" s="28" t="s">
        <v>56</v>
      </c>
      <c r="I120" s="30">
        <v>4341.07</v>
      </c>
      <c r="J120" s="28" t="s">
        <v>597</v>
      </c>
      <c r="K120" s="28" cm="1">
        <f t="array" ref="K120:L120">VLOOKUP(E120,[2]A023951!D$1:H$1114,{3,5},0)</f>
        <v>-50.3</v>
      </c>
      <c r="L120" s="28">
        <v>-4352.9399999999996</v>
      </c>
      <c r="M120" s="31">
        <f t="shared" si="5"/>
        <v>-11.869999999999891</v>
      </c>
    </row>
    <row r="121" spans="1:13" x14ac:dyDescent="0.35">
      <c r="A121" s="28" t="s">
        <v>495</v>
      </c>
      <c r="B121" s="32">
        <v>2025</v>
      </c>
      <c r="C121" s="28" t="s">
        <v>499</v>
      </c>
      <c r="D121" s="29">
        <v>45708</v>
      </c>
      <c r="E121" s="28">
        <v>246779410311</v>
      </c>
      <c r="F121" s="28" t="s">
        <v>11</v>
      </c>
      <c r="G121" s="30">
        <v>95.24</v>
      </c>
      <c r="H121" s="28" t="s">
        <v>56</v>
      </c>
      <c r="I121" s="30">
        <v>8219.56</v>
      </c>
      <c r="J121" s="28" t="s">
        <v>598</v>
      </c>
      <c r="K121" s="28" cm="1">
        <f t="array" ref="K121:L121">VLOOKUP(E121,[2]A023951!D$1:H$1114,{3,5},0)</f>
        <v>-95.24</v>
      </c>
      <c r="L121" s="28">
        <v>-8242.0300000000007</v>
      </c>
      <c r="M121" s="31">
        <f t="shared" si="5"/>
        <v>-22.470000000001164</v>
      </c>
    </row>
    <row r="122" spans="1:13" x14ac:dyDescent="0.35">
      <c r="A122" s="28" t="s">
        <v>495</v>
      </c>
      <c r="B122" s="32">
        <v>2025</v>
      </c>
      <c r="C122" s="28" t="s">
        <v>499</v>
      </c>
      <c r="D122" s="29">
        <v>45708</v>
      </c>
      <c r="E122" s="28">
        <v>246779410312</v>
      </c>
      <c r="F122" s="28" t="s">
        <v>11</v>
      </c>
      <c r="G122" s="30">
        <v>52.38</v>
      </c>
      <c r="H122" s="28" t="s">
        <v>56</v>
      </c>
      <c r="I122" s="30">
        <v>4520.59</v>
      </c>
      <c r="J122" s="28" t="s">
        <v>599</v>
      </c>
      <c r="K122" s="28" cm="1">
        <f t="array" ref="K122:L122">VLOOKUP(E122,[2]A023951!D$1:H$1114,{3,5},0)</f>
        <v>-52.38</v>
      </c>
      <c r="L122" s="28">
        <v>-4559.28</v>
      </c>
      <c r="M122" s="31">
        <f t="shared" si="5"/>
        <v>-38.6899999999996</v>
      </c>
    </row>
    <row r="123" spans="1:13" x14ac:dyDescent="0.35">
      <c r="A123" s="28" t="s">
        <v>495</v>
      </c>
      <c r="B123" s="32">
        <v>2025</v>
      </c>
      <c r="C123" s="28" t="s">
        <v>499</v>
      </c>
      <c r="D123" s="29">
        <v>45708</v>
      </c>
      <c r="E123" s="28">
        <v>246779410315</v>
      </c>
      <c r="F123" s="28" t="s">
        <v>11</v>
      </c>
      <c r="G123" s="30">
        <v>2380.9499999999998</v>
      </c>
      <c r="H123" s="28" t="s">
        <v>56</v>
      </c>
      <c r="I123" s="30">
        <v>205484.7</v>
      </c>
      <c r="J123" s="28" t="s">
        <v>600</v>
      </c>
      <c r="K123" s="28" cm="1">
        <f t="array" ref="K123:L123">VLOOKUP(E123,[2]A023951!D$1:H$1114,{3,5},0)</f>
        <v>-2380.9499999999998</v>
      </c>
      <c r="L123" s="28">
        <v>-207243.64</v>
      </c>
      <c r="M123" s="31">
        <f t="shared" si="5"/>
        <v>-1758.9400000000023</v>
      </c>
    </row>
    <row r="124" spans="1:13" x14ac:dyDescent="0.35">
      <c r="A124" s="28" t="s">
        <v>495</v>
      </c>
      <c r="B124" s="32">
        <v>2025</v>
      </c>
      <c r="C124" s="28" t="s">
        <v>499</v>
      </c>
      <c r="D124" s="29">
        <v>45708</v>
      </c>
      <c r="E124" s="28">
        <v>246779410227</v>
      </c>
      <c r="F124" s="28" t="s">
        <v>11</v>
      </c>
      <c r="G124" s="30">
        <v>2286.2399999999998</v>
      </c>
      <c r="H124" s="28" t="s">
        <v>56</v>
      </c>
      <c r="I124" s="30">
        <v>197310.88</v>
      </c>
      <c r="J124" s="28" t="s">
        <v>601</v>
      </c>
      <c r="K124" s="28" cm="1">
        <f t="array" ref="K124:L124">VLOOKUP(E124,[2]A023951!D$1:H$1114,{3,5},0)</f>
        <v>-2286.2399999999998</v>
      </c>
      <c r="L124" s="28">
        <v>-197850.25</v>
      </c>
      <c r="M124" s="31">
        <f t="shared" si="5"/>
        <v>-539.36999999999534</v>
      </c>
    </row>
    <row r="125" spans="1:13" x14ac:dyDescent="0.35">
      <c r="A125" s="28" t="s">
        <v>495</v>
      </c>
      <c r="B125" s="32">
        <v>2025</v>
      </c>
      <c r="C125" s="28" t="s">
        <v>499</v>
      </c>
      <c r="D125" s="29">
        <v>45889</v>
      </c>
      <c r="E125" s="28">
        <v>256779416593</v>
      </c>
      <c r="F125" s="28" t="s">
        <v>11</v>
      </c>
      <c r="G125" s="30">
        <v>810</v>
      </c>
      <c r="H125" s="28" t="s">
        <v>56</v>
      </c>
      <c r="I125" s="30">
        <v>69684.399999999994</v>
      </c>
      <c r="J125" s="28" t="s">
        <v>602</v>
      </c>
      <c r="K125" s="28" t="e" cm="1">
        <f t="array" ref="K125">VLOOKUP(E125,[2]A023951!D$1:H$1114,{3,5},0)</f>
        <v>#N/A</v>
      </c>
      <c r="L125" s="28"/>
      <c r="M125" s="28"/>
    </row>
    <row r="126" spans="1:13" x14ac:dyDescent="0.35">
      <c r="A126" s="28" t="s">
        <v>495</v>
      </c>
      <c r="B126" s="32">
        <v>2025</v>
      </c>
      <c r="C126" s="28" t="s">
        <v>499</v>
      </c>
      <c r="D126" s="29">
        <v>45889</v>
      </c>
      <c r="E126" s="28">
        <v>256779416600</v>
      </c>
      <c r="F126" s="28" t="s">
        <v>11</v>
      </c>
      <c r="G126" s="30">
        <v>737.41</v>
      </c>
      <c r="H126" s="28" t="s">
        <v>56</v>
      </c>
      <c r="I126" s="30">
        <v>63439.47</v>
      </c>
      <c r="J126" s="28" t="s">
        <v>603</v>
      </c>
      <c r="K126" s="28" t="e" cm="1">
        <f t="array" ref="K126">VLOOKUP(E126,[2]A023951!D$1:H$1114,{3,5},0)</f>
        <v>#N/A</v>
      </c>
      <c r="L126" s="28"/>
      <c r="M126" s="28"/>
    </row>
    <row r="127" spans="1:13" x14ac:dyDescent="0.35">
      <c r="A127" s="28" t="s">
        <v>495</v>
      </c>
      <c r="B127" s="32">
        <v>2025</v>
      </c>
      <c r="C127" s="28" t="s">
        <v>499</v>
      </c>
      <c r="D127" s="29">
        <v>45889</v>
      </c>
      <c r="E127" s="28">
        <v>256779416801</v>
      </c>
      <c r="F127" s="28" t="s">
        <v>11</v>
      </c>
      <c r="G127" s="30">
        <v>110</v>
      </c>
      <c r="H127" s="28" t="s">
        <v>56</v>
      </c>
      <c r="I127" s="30">
        <v>9463.31</v>
      </c>
      <c r="J127" s="28" t="s">
        <v>604</v>
      </c>
      <c r="K127" s="28" t="e" cm="1">
        <f t="array" ref="K127">VLOOKUP(E127,[2]A023951!D$1:H$1114,{3,5},0)</f>
        <v>#N/A</v>
      </c>
      <c r="L127" s="28"/>
      <c r="M127" s="28"/>
    </row>
    <row r="128" spans="1:13" x14ac:dyDescent="0.35">
      <c r="A128" s="28" t="s">
        <v>495</v>
      </c>
      <c r="B128" s="32">
        <v>2025</v>
      </c>
      <c r="C128" s="28" t="s">
        <v>499</v>
      </c>
      <c r="D128" s="29">
        <v>45889</v>
      </c>
      <c r="E128" s="28">
        <v>256779416807</v>
      </c>
      <c r="F128" s="28" t="s">
        <v>11</v>
      </c>
      <c r="G128" s="30">
        <v>248.96</v>
      </c>
      <c r="H128" s="28" t="s">
        <v>56</v>
      </c>
      <c r="I128" s="30">
        <v>21418.06</v>
      </c>
      <c r="J128" s="28" t="s">
        <v>605</v>
      </c>
      <c r="K128" s="28" t="e" cm="1">
        <f t="array" ref="K128">VLOOKUP(E128,[2]A023951!D$1:H$1114,{3,5},0)</f>
        <v>#N/A</v>
      </c>
      <c r="L128" s="28"/>
      <c r="M128" s="28"/>
    </row>
    <row r="129" spans="1:13" x14ac:dyDescent="0.35">
      <c r="A129" s="28" t="s">
        <v>495</v>
      </c>
      <c r="B129" s="32">
        <v>2025</v>
      </c>
      <c r="C129" s="28" t="s">
        <v>499</v>
      </c>
      <c r="D129" s="29">
        <v>45889</v>
      </c>
      <c r="E129" s="28">
        <v>256779416814</v>
      </c>
      <c r="F129" s="28" t="s">
        <v>11</v>
      </c>
      <c r="G129" s="30">
        <v>230</v>
      </c>
      <c r="H129" s="28" t="s">
        <v>56</v>
      </c>
      <c r="I129" s="30">
        <v>19786.93</v>
      </c>
      <c r="J129" s="28" t="s">
        <v>606</v>
      </c>
      <c r="K129" s="28" t="e" cm="1">
        <f t="array" ref="K129">VLOOKUP(E129,[2]A023951!D$1:H$1114,{3,5},0)</f>
        <v>#N/A</v>
      </c>
      <c r="L129" s="28"/>
      <c r="M129" s="28"/>
    </row>
    <row r="130" spans="1:13" x14ac:dyDescent="0.35">
      <c r="A130" s="28" t="s">
        <v>495</v>
      </c>
      <c r="B130" s="32">
        <v>2025</v>
      </c>
      <c r="C130" s="28" t="s">
        <v>499</v>
      </c>
      <c r="D130" s="29">
        <v>45889</v>
      </c>
      <c r="E130" s="28">
        <v>256779416838</v>
      </c>
      <c r="F130" s="28" t="s">
        <v>11</v>
      </c>
      <c r="G130" s="30">
        <v>685.03</v>
      </c>
      <c r="H130" s="28" t="s">
        <v>56</v>
      </c>
      <c r="I130" s="30">
        <v>58933.21</v>
      </c>
      <c r="J130" s="28" t="s">
        <v>607</v>
      </c>
      <c r="K130" s="28" cm="1">
        <f t="array" ref="K130:L130">VLOOKUP(E130,[2]A023951!D$1:H$1114,{3,5},0)</f>
        <v>-685.03</v>
      </c>
      <c r="L130" s="28">
        <v>-59344.77</v>
      </c>
      <c r="M130" s="31">
        <f>I130+L130</f>
        <v>-411.55999999999767</v>
      </c>
    </row>
    <row r="131" spans="1:13" x14ac:dyDescent="0.35">
      <c r="A131" s="28" t="s">
        <v>495</v>
      </c>
      <c r="B131" s="32">
        <v>2025</v>
      </c>
      <c r="C131" s="28" t="s">
        <v>499</v>
      </c>
      <c r="D131" s="29">
        <v>45889</v>
      </c>
      <c r="E131" s="28">
        <v>256779416869</v>
      </c>
      <c r="F131" s="28" t="s">
        <v>11</v>
      </c>
      <c r="G131" s="30">
        <v>115.98</v>
      </c>
      <c r="H131" s="28" t="s">
        <v>56</v>
      </c>
      <c r="I131" s="30">
        <v>9977.77</v>
      </c>
      <c r="J131" s="28" t="s">
        <v>608</v>
      </c>
      <c r="K131" s="28" cm="1">
        <f t="array" ref="K131:L131">VLOOKUP(E131,[2]A023951!D$1:H$1114,{3,5},0)</f>
        <v>-115.98</v>
      </c>
      <c r="L131" s="28">
        <v>-10047.450000000001</v>
      </c>
      <c r="M131" s="31">
        <f>I131+L131</f>
        <v>-69.680000000000291</v>
      </c>
    </row>
    <row r="132" spans="1:13" x14ac:dyDescent="0.35">
      <c r="A132" s="28" t="s">
        <v>495</v>
      </c>
      <c r="B132" s="32">
        <v>2025</v>
      </c>
      <c r="C132" s="28" t="s">
        <v>499</v>
      </c>
      <c r="D132" s="29">
        <v>45999</v>
      </c>
      <c r="E132" s="28">
        <v>256779419858</v>
      </c>
      <c r="F132" s="28" t="s">
        <v>11</v>
      </c>
      <c r="G132" s="30">
        <v>147.37</v>
      </c>
      <c r="H132" s="28" t="s">
        <v>56</v>
      </c>
      <c r="I132" s="30">
        <v>13071.74</v>
      </c>
      <c r="J132" s="28" t="s">
        <v>609</v>
      </c>
      <c r="K132" s="28" cm="1">
        <f t="array" ref="K132:L132">VLOOKUP(E132,[2]A023951!D$1:H$1114,{3,5},0)</f>
        <v>-147.37</v>
      </c>
      <c r="L132" s="28">
        <v>-13138.74</v>
      </c>
      <c r="M132" s="31">
        <f>I132+L132</f>
        <v>-67</v>
      </c>
    </row>
    <row r="133" spans="1:13" x14ac:dyDescent="0.35">
      <c r="A133" s="28" t="s">
        <v>495</v>
      </c>
      <c r="B133" s="32">
        <v>2025</v>
      </c>
      <c r="C133" s="28" t="s">
        <v>499</v>
      </c>
      <c r="D133" s="29">
        <v>45707</v>
      </c>
      <c r="E133" s="28">
        <v>246779410081</v>
      </c>
      <c r="F133" s="28" t="s">
        <v>11</v>
      </c>
      <c r="G133" s="30">
        <v>52.38</v>
      </c>
      <c r="H133" s="28" t="s">
        <v>56</v>
      </c>
      <c r="I133" s="30">
        <v>4520.59</v>
      </c>
      <c r="J133" s="28" t="s">
        <v>610</v>
      </c>
      <c r="K133" s="28" cm="1">
        <f t="array" ref="K133:L133">VLOOKUP(E133,[2]A023951!D$1:H$1114,{3,5},0)</f>
        <v>-52.38</v>
      </c>
      <c r="L133" s="28">
        <v>-4532.9399999999996</v>
      </c>
      <c r="M133" s="31">
        <f>I133+L133</f>
        <v>-12.349999999999454</v>
      </c>
    </row>
    <row r="134" spans="1:13" x14ac:dyDescent="0.35">
      <c r="A134" s="28" t="s">
        <v>495</v>
      </c>
      <c r="B134" s="32">
        <v>2025</v>
      </c>
      <c r="C134" s="28" t="s">
        <v>499</v>
      </c>
      <c r="D134" s="29">
        <v>45797</v>
      </c>
      <c r="E134" s="28">
        <v>256779413835</v>
      </c>
      <c r="F134" s="28" t="s">
        <v>11</v>
      </c>
      <c r="G134" s="30">
        <v>206.02</v>
      </c>
      <c r="H134" s="28" t="s">
        <v>56</v>
      </c>
      <c r="I134" s="30">
        <v>17714.36</v>
      </c>
      <c r="J134" s="28" t="s">
        <v>611</v>
      </c>
      <c r="K134" s="28" t="e" cm="1">
        <f t="array" ref="K134">VLOOKUP(E134,[2]A023951!D$1:H$1114,{3,5},0)</f>
        <v>#N/A</v>
      </c>
      <c r="L134" s="28"/>
      <c r="M134" s="28"/>
    </row>
    <row r="135" spans="1:13" x14ac:dyDescent="0.35">
      <c r="A135" s="28" t="s">
        <v>495</v>
      </c>
      <c r="B135" s="32">
        <v>2025</v>
      </c>
      <c r="C135" s="28" t="s">
        <v>499</v>
      </c>
      <c r="D135" s="29">
        <v>45797</v>
      </c>
      <c r="E135" s="28">
        <v>256779413480</v>
      </c>
      <c r="F135" s="28" t="s">
        <v>11</v>
      </c>
      <c r="G135" s="30">
        <v>183.84</v>
      </c>
      <c r="H135" s="28" t="s">
        <v>56</v>
      </c>
      <c r="I135" s="30">
        <v>15807.24</v>
      </c>
      <c r="J135" s="28" t="s">
        <v>612</v>
      </c>
      <c r="K135" s="28" t="e" cm="1">
        <f t="array" ref="K135">VLOOKUP(E135,[2]A023951!D$1:H$1114,{3,5},0)</f>
        <v>#N/A</v>
      </c>
      <c r="L135" s="28"/>
      <c r="M135" s="28"/>
    </row>
    <row r="136" spans="1:13" x14ac:dyDescent="0.35">
      <c r="A136" s="28" t="s">
        <v>495</v>
      </c>
      <c r="B136" s="32">
        <v>2025</v>
      </c>
      <c r="C136" s="28" t="s">
        <v>499</v>
      </c>
      <c r="D136" s="29">
        <v>45797</v>
      </c>
      <c r="E136" s="28">
        <v>256779413879</v>
      </c>
      <c r="F136" s="28" t="s">
        <v>11</v>
      </c>
      <c r="G136" s="30">
        <v>37.17</v>
      </c>
      <c r="H136" s="28" t="s">
        <v>56</v>
      </c>
      <c r="I136" s="30">
        <v>3196.01</v>
      </c>
      <c r="J136" s="28" t="s">
        <v>613</v>
      </c>
      <c r="K136" s="28" t="e" cm="1">
        <f t="array" ref="K136">VLOOKUP(E136,[2]A023951!D$1:H$1114,{3,5},0)</f>
        <v>#N/A</v>
      </c>
      <c r="L136" s="28"/>
      <c r="M136" s="28"/>
    </row>
    <row r="137" spans="1:13" x14ac:dyDescent="0.35">
      <c r="A137" s="28" t="s">
        <v>495</v>
      </c>
      <c r="B137" s="32">
        <v>2025</v>
      </c>
      <c r="C137" s="28" t="s">
        <v>496</v>
      </c>
      <c r="D137" s="29">
        <v>45873</v>
      </c>
      <c r="E137" s="28">
        <v>256779421623</v>
      </c>
      <c r="F137" s="28" t="s">
        <v>11</v>
      </c>
      <c r="G137" s="30">
        <v>-608.41</v>
      </c>
      <c r="H137" s="28" t="s">
        <v>56</v>
      </c>
      <c r="I137" s="30">
        <v>-52323.67</v>
      </c>
      <c r="J137" s="28" t="s">
        <v>614</v>
      </c>
      <c r="K137" s="28" t="e" cm="1">
        <f t="array" ref="K137">VLOOKUP(E137,[2]A023951!D$1:H$1114,{3,5},0)</f>
        <v>#N/A</v>
      </c>
      <c r="L137" s="28"/>
      <c r="M137" s="28"/>
    </row>
    <row r="138" spans="1:13" x14ac:dyDescent="0.35">
      <c r="A138" s="28" t="s">
        <v>495</v>
      </c>
      <c r="B138" s="32">
        <v>2025</v>
      </c>
      <c r="C138" s="28" t="s">
        <v>499</v>
      </c>
      <c r="D138" s="29">
        <v>45750</v>
      </c>
      <c r="E138" s="28">
        <v>256779410196</v>
      </c>
      <c r="F138" s="28" t="s">
        <v>11</v>
      </c>
      <c r="G138" s="30">
        <v>246.52</v>
      </c>
      <c r="H138" s="28" t="s">
        <v>56</v>
      </c>
      <c r="I138" s="30">
        <v>21427.97</v>
      </c>
      <c r="J138" s="28" t="s">
        <v>615</v>
      </c>
      <c r="K138" s="28" cm="1">
        <f t="array" ref="K138:L138">VLOOKUP(E138,[2]A023951!D$1:H$1114,{3,5},0)</f>
        <v>-246.52</v>
      </c>
      <c r="L138" s="28">
        <v>-21133.41</v>
      </c>
      <c r="M138" s="31">
        <f>I138+L138</f>
        <v>294.56000000000131</v>
      </c>
    </row>
    <row r="139" spans="1:13" x14ac:dyDescent="0.35">
      <c r="A139" s="28" t="s">
        <v>495</v>
      </c>
      <c r="B139" s="32">
        <v>2025</v>
      </c>
      <c r="C139" s="28" t="s">
        <v>499</v>
      </c>
      <c r="D139" s="29">
        <v>45750</v>
      </c>
      <c r="E139" s="28">
        <v>256779410262</v>
      </c>
      <c r="F139" s="28" t="s">
        <v>11</v>
      </c>
      <c r="G139" s="30">
        <v>93.33</v>
      </c>
      <c r="H139" s="28" t="s">
        <v>56</v>
      </c>
      <c r="I139" s="30">
        <v>8112.41</v>
      </c>
      <c r="J139" s="28" t="s">
        <v>594</v>
      </c>
      <c r="K139" s="28" cm="1">
        <f t="array" ref="K139:L139">VLOOKUP(E139,[2]A023951!D$1:H$1114,{3,5},0)</f>
        <v>0</v>
      </c>
      <c r="L139" s="28">
        <v>-93.33</v>
      </c>
      <c r="M139" s="31">
        <f>I139+L139</f>
        <v>8019.08</v>
      </c>
    </row>
    <row r="140" spans="1:13" x14ac:dyDescent="0.35">
      <c r="A140" s="28" t="s">
        <v>495</v>
      </c>
      <c r="B140" s="32">
        <v>2025</v>
      </c>
      <c r="C140" s="28" t="s">
        <v>499</v>
      </c>
      <c r="D140" s="29">
        <v>45750</v>
      </c>
      <c r="E140" s="28">
        <v>256779410263</v>
      </c>
      <c r="F140" s="28" t="s">
        <v>11</v>
      </c>
      <c r="G140" s="30">
        <v>51.33</v>
      </c>
      <c r="H140" s="28" t="s">
        <v>56</v>
      </c>
      <c r="I140" s="30">
        <v>4461.7</v>
      </c>
      <c r="J140" s="28" t="s">
        <v>595</v>
      </c>
      <c r="K140" s="28" cm="1">
        <f t="array" ref="K140:L140">VLOOKUP(E140,[2]A023951!D$1:H$1114,{3,5},0)</f>
        <v>0</v>
      </c>
      <c r="L140" s="28">
        <v>-51.33</v>
      </c>
      <c r="M140" s="31">
        <f>I140+L140</f>
        <v>4410.37</v>
      </c>
    </row>
    <row r="141" spans="1:13" x14ac:dyDescent="0.35">
      <c r="A141" s="28" t="s">
        <v>495</v>
      </c>
      <c r="B141" s="32">
        <v>2025</v>
      </c>
      <c r="C141" s="28" t="s">
        <v>499</v>
      </c>
      <c r="D141" s="29">
        <v>45750</v>
      </c>
      <c r="E141" s="28">
        <v>256779410272</v>
      </c>
      <c r="F141" s="28" t="s">
        <v>11</v>
      </c>
      <c r="G141" s="30">
        <v>2286.2399999999998</v>
      </c>
      <c r="H141" s="28" t="s">
        <v>56</v>
      </c>
      <c r="I141" s="30">
        <v>198724.14</v>
      </c>
      <c r="J141" s="28" t="s">
        <v>601</v>
      </c>
      <c r="K141" s="28" t="e" cm="1">
        <f t="array" ref="K141">VLOOKUP(E141,[2]A023951!D$1:H$1114,{3,5},0)</f>
        <v>#N/A</v>
      </c>
      <c r="L141" s="28"/>
      <c r="M141" s="28"/>
    </row>
    <row r="142" spans="1:13" x14ac:dyDescent="0.35">
      <c r="A142" s="28" t="s">
        <v>495</v>
      </c>
      <c r="B142" s="32">
        <v>2025</v>
      </c>
      <c r="C142" s="28" t="s">
        <v>499</v>
      </c>
      <c r="D142" s="29">
        <v>45750</v>
      </c>
      <c r="E142" s="28">
        <v>256779410303</v>
      </c>
      <c r="F142" s="28" t="s">
        <v>11</v>
      </c>
      <c r="G142" s="30">
        <v>91.45</v>
      </c>
      <c r="H142" s="28" t="s">
        <v>56</v>
      </c>
      <c r="I142" s="30">
        <v>7949</v>
      </c>
      <c r="J142" s="28" t="s">
        <v>596</v>
      </c>
      <c r="K142" s="28" cm="1">
        <f t="array" ref="K142:L142">VLOOKUP(E142,[2]A023951!D$1:H$1114,{3,5},0)</f>
        <v>-91.45</v>
      </c>
      <c r="L142" s="28">
        <v>-7839.73</v>
      </c>
      <c r="M142" s="31">
        <f>I142+L142</f>
        <v>109.27000000000044</v>
      </c>
    </row>
    <row r="143" spans="1:13" x14ac:dyDescent="0.35">
      <c r="A143" s="28" t="s">
        <v>495</v>
      </c>
      <c r="B143" s="32">
        <v>2025</v>
      </c>
      <c r="C143" s="28" t="s">
        <v>499</v>
      </c>
      <c r="D143" s="29">
        <v>45750</v>
      </c>
      <c r="E143" s="28">
        <v>256779410304</v>
      </c>
      <c r="F143" s="28" t="s">
        <v>11</v>
      </c>
      <c r="G143" s="30">
        <v>50.3</v>
      </c>
      <c r="H143" s="28" t="s">
        <v>56</v>
      </c>
      <c r="I143" s="30">
        <v>4372.17</v>
      </c>
      <c r="J143" s="28" t="s">
        <v>597</v>
      </c>
      <c r="K143" s="28" cm="1">
        <f t="array" ref="K143:L143">VLOOKUP(E143,[2]A023951!D$1:H$1114,{3,5},0)</f>
        <v>-50.3</v>
      </c>
      <c r="L143" s="28">
        <v>-4312.07</v>
      </c>
      <c r="M143" s="31">
        <f>I143+L143</f>
        <v>60.100000000000364</v>
      </c>
    </row>
    <row r="144" spans="1:13" x14ac:dyDescent="0.35">
      <c r="A144" s="28" t="s">
        <v>495</v>
      </c>
      <c r="B144" s="32">
        <v>2025</v>
      </c>
      <c r="C144" s="28" t="s">
        <v>499</v>
      </c>
      <c r="D144" s="29">
        <v>45750</v>
      </c>
      <c r="E144" s="28">
        <v>256779410076</v>
      </c>
      <c r="F144" s="28" t="s">
        <v>11</v>
      </c>
      <c r="G144" s="30">
        <v>25.22</v>
      </c>
      <c r="H144" s="28" t="s">
        <v>56</v>
      </c>
      <c r="I144" s="30">
        <v>2192.17</v>
      </c>
      <c r="J144" s="28" t="s">
        <v>616</v>
      </c>
      <c r="K144" s="28" t="e" cm="1">
        <f t="array" ref="K144">VLOOKUP(E144,[2]A023951!D$1:H$1114,{3,5},0)</f>
        <v>#N/A</v>
      </c>
      <c r="L144" s="28"/>
      <c r="M144" s="28"/>
    </row>
    <row r="145" spans="1:13" x14ac:dyDescent="0.35">
      <c r="A145" s="28" t="s">
        <v>495</v>
      </c>
      <c r="B145" s="32">
        <v>2025</v>
      </c>
      <c r="C145" s="28" t="s">
        <v>499</v>
      </c>
      <c r="D145" s="29">
        <v>45750</v>
      </c>
      <c r="E145" s="28">
        <v>256779410077</v>
      </c>
      <c r="F145" s="28" t="s">
        <v>11</v>
      </c>
      <c r="G145" s="30">
        <v>84.96</v>
      </c>
      <c r="H145" s="28" t="s">
        <v>56</v>
      </c>
      <c r="I145" s="30">
        <v>7384.88</v>
      </c>
      <c r="J145" s="28" t="s">
        <v>617</v>
      </c>
      <c r="K145" s="28" t="e" cm="1">
        <f t="array" ref="K145">VLOOKUP(E145,[2]A023951!D$1:H$1114,{3,5},0)</f>
        <v>#N/A</v>
      </c>
      <c r="L145" s="28"/>
      <c r="M145" s="28"/>
    </row>
    <row r="146" spans="1:13" x14ac:dyDescent="0.35">
      <c r="A146" s="28" t="s">
        <v>495</v>
      </c>
      <c r="B146" s="32">
        <v>2025</v>
      </c>
      <c r="C146" s="28" t="s">
        <v>499</v>
      </c>
      <c r="D146" s="29">
        <v>45750</v>
      </c>
      <c r="E146" s="28">
        <v>256779410127</v>
      </c>
      <c r="F146" s="28" t="s">
        <v>11</v>
      </c>
      <c r="G146" s="30">
        <v>183.99</v>
      </c>
      <c r="H146" s="28" t="s">
        <v>56</v>
      </c>
      <c r="I146" s="30">
        <v>15992.75</v>
      </c>
      <c r="J146" s="28" t="s">
        <v>618</v>
      </c>
      <c r="K146" s="28" t="e" cm="1">
        <f t="array" ref="K146">VLOOKUP(E146,[2]A023951!D$1:H$1114,{3,5},0)</f>
        <v>#N/A</v>
      </c>
      <c r="L146" s="28"/>
      <c r="M146" s="28"/>
    </row>
    <row r="147" spans="1:13" x14ac:dyDescent="0.35">
      <c r="A147" s="28" t="s">
        <v>495</v>
      </c>
      <c r="B147" s="32">
        <v>2025</v>
      </c>
      <c r="C147" s="28" t="s">
        <v>499</v>
      </c>
      <c r="D147" s="29">
        <v>45750</v>
      </c>
      <c r="E147" s="28">
        <v>256779410213</v>
      </c>
      <c r="F147" s="28" t="s">
        <v>11</v>
      </c>
      <c r="G147" s="30">
        <v>236</v>
      </c>
      <c r="H147" s="28" t="s">
        <v>56</v>
      </c>
      <c r="I147" s="30">
        <v>20513.55</v>
      </c>
      <c r="J147" s="28" t="s">
        <v>619</v>
      </c>
      <c r="K147" s="28" t="e" cm="1">
        <f t="array" ref="K147">VLOOKUP(E147,[2]A023951!D$1:H$1114,{3,5},0)</f>
        <v>#N/A</v>
      </c>
      <c r="L147" s="28"/>
      <c r="M147" s="28"/>
    </row>
    <row r="148" spans="1:13" x14ac:dyDescent="0.35">
      <c r="A148" s="28" t="s">
        <v>495</v>
      </c>
      <c r="B148" s="32">
        <v>2025</v>
      </c>
      <c r="C148" s="28" t="s">
        <v>499</v>
      </c>
      <c r="D148" s="29">
        <v>45750</v>
      </c>
      <c r="E148" s="28">
        <v>256779410214</v>
      </c>
      <c r="F148" s="28" t="s">
        <v>11</v>
      </c>
      <c r="G148" s="30">
        <v>70.8</v>
      </c>
      <c r="H148" s="28" t="s">
        <v>56</v>
      </c>
      <c r="I148" s="30">
        <v>6154.06</v>
      </c>
      <c r="J148" s="28" t="s">
        <v>620</v>
      </c>
      <c r="K148" s="28" t="e" cm="1">
        <f t="array" ref="K148">VLOOKUP(E148,[2]A023951!D$1:H$1114,{3,5},0)</f>
        <v>#N/A</v>
      </c>
      <c r="L148" s="28"/>
      <c r="M148" s="28"/>
    </row>
    <row r="149" spans="1:13" x14ac:dyDescent="0.35">
      <c r="A149" s="28" t="s">
        <v>495</v>
      </c>
      <c r="B149" s="32">
        <v>2025</v>
      </c>
      <c r="C149" s="28" t="s">
        <v>499</v>
      </c>
      <c r="D149" s="29">
        <v>45750</v>
      </c>
      <c r="E149" s="28">
        <v>256779410231</v>
      </c>
      <c r="F149" s="28" t="s">
        <v>11</v>
      </c>
      <c r="G149" s="30">
        <v>2333.1799999999998</v>
      </c>
      <c r="H149" s="28" t="s">
        <v>56</v>
      </c>
      <c r="I149" s="30">
        <v>202804.25</v>
      </c>
      <c r="J149" s="28" t="s">
        <v>593</v>
      </c>
      <c r="K149" s="28" t="e" cm="1">
        <f t="array" ref="K149">VLOOKUP(E149,[2]A023951!D$1:H$1114,{3,5},0)</f>
        <v>#N/A</v>
      </c>
      <c r="L149" s="28"/>
      <c r="M149" s="28"/>
    </row>
    <row r="150" spans="1:13" x14ac:dyDescent="0.35">
      <c r="A150" s="28" t="s">
        <v>495</v>
      </c>
      <c r="B150" s="32">
        <v>2025</v>
      </c>
      <c r="C150" s="28" t="s">
        <v>499</v>
      </c>
      <c r="D150" s="29">
        <v>45950</v>
      </c>
      <c r="E150" s="28">
        <v>256779418653</v>
      </c>
      <c r="F150" s="28" t="s">
        <v>11</v>
      </c>
      <c r="G150" s="30">
        <v>170.68</v>
      </c>
      <c r="H150" s="28" t="s">
        <v>56</v>
      </c>
      <c r="I150" s="30">
        <v>15052.4</v>
      </c>
      <c r="J150" s="28" t="s">
        <v>621</v>
      </c>
      <c r="K150" s="28" cm="1">
        <f t="array" ref="K150:L150">VLOOKUP(E150,[2]A023951!D$1:H$1114,{3,5},0)</f>
        <v>-170.68</v>
      </c>
      <c r="L150" s="28">
        <v>-15132.4</v>
      </c>
      <c r="M150" s="31">
        <f>I150+L150</f>
        <v>-80</v>
      </c>
    </row>
    <row r="151" spans="1:13" x14ac:dyDescent="0.35">
      <c r="A151" s="28" t="s">
        <v>495</v>
      </c>
      <c r="B151" s="32">
        <v>2025</v>
      </c>
      <c r="C151" s="28" t="s">
        <v>499</v>
      </c>
      <c r="D151" s="29">
        <v>45950</v>
      </c>
      <c r="E151" s="28">
        <v>256779418692</v>
      </c>
      <c r="F151" s="28" t="s">
        <v>11</v>
      </c>
      <c r="G151" s="30">
        <v>531.26</v>
      </c>
      <c r="H151" s="28" t="s">
        <v>56</v>
      </c>
      <c r="I151" s="30">
        <v>46852.23</v>
      </c>
      <c r="J151" s="28" t="s">
        <v>622</v>
      </c>
      <c r="K151" s="28" t="e" cm="1">
        <f t="array" ref="K151">VLOOKUP(E151,[2]A023951!D$1:H$1114,{3,5},0)</f>
        <v>#N/A</v>
      </c>
      <c r="L151" s="28"/>
      <c r="M151" s="28"/>
    </row>
    <row r="152" spans="1:13" x14ac:dyDescent="0.35">
      <c r="A152" s="28" t="s">
        <v>495</v>
      </c>
      <c r="B152" s="32">
        <v>2025</v>
      </c>
      <c r="C152" s="28" t="s">
        <v>499</v>
      </c>
      <c r="D152" s="29">
        <v>45768</v>
      </c>
      <c r="E152" s="28">
        <v>256779412155</v>
      </c>
      <c r="F152" s="28" t="s">
        <v>11</v>
      </c>
      <c r="G152" s="30">
        <v>2330.73</v>
      </c>
      <c r="H152" s="28" t="s">
        <v>56</v>
      </c>
      <c r="I152" s="30">
        <v>199999.94</v>
      </c>
      <c r="J152" s="28" t="s">
        <v>623</v>
      </c>
      <c r="K152" s="28" cm="1">
        <f t="array" ref="K152:L152">VLOOKUP(E152,[2]A023951!D$1:H$1114,{3,5},0)</f>
        <v>-2330.73</v>
      </c>
      <c r="L152" s="28">
        <v>-199806.42</v>
      </c>
      <c r="M152" s="31">
        <f>I152+L152</f>
        <v>193.51999999998952</v>
      </c>
    </row>
    <row r="153" spans="1:13" x14ac:dyDescent="0.35">
      <c r="A153" s="28" t="s">
        <v>495</v>
      </c>
      <c r="B153" s="32">
        <v>2025</v>
      </c>
      <c r="C153" s="28" t="s">
        <v>499</v>
      </c>
      <c r="D153" s="29">
        <v>45768</v>
      </c>
      <c r="E153" s="28">
        <v>256779412184</v>
      </c>
      <c r="F153" s="28" t="s">
        <v>11</v>
      </c>
      <c r="G153" s="30">
        <v>93.23</v>
      </c>
      <c r="H153" s="28" t="s">
        <v>56</v>
      </c>
      <c r="I153" s="30">
        <v>8000.07</v>
      </c>
      <c r="J153" s="28" t="s">
        <v>623</v>
      </c>
      <c r="K153" s="28" cm="1">
        <f t="array" ref="K153:L153">VLOOKUP(E153,[2]A023951!D$1:H$1114,{3,5},0)</f>
        <v>-93.23</v>
      </c>
      <c r="L153" s="28">
        <v>-7992.33</v>
      </c>
      <c r="M153" s="31">
        <f>I153+L153</f>
        <v>7.7399999999997817</v>
      </c>
    </row>
    <row r="154" spans="1:13" x14ac:dyDescent="0.35">
      <c r="A154" s="28" t="s">
        <v>495</v>
      </c>
      <c r="B154" s="32">
        <v>2025</v>
      </c>
      <c r="C154" s="28" t="s">
        <v>499</v>
      </c>
      <c r="D154" s="29">
        <v>45768</v>
      </c>
      <c r="E154" s="28">
        <v>256779412185</v>
      </c>
      <c r="F154" s="28" t="s">
        <v>11</v>
      </c>
      <c r="G154" s="30">
        <v>51.28</v>
      </c>
      <c r="H154" s="28" t="s">
        <v>56</v>
      </c>
      <c r="I154" s="30">
        <v>4400.34</v>
      </c>
      <c r="J154" s="28" t="s">
        <v>623</v>
      </c>
      <c r="K154" s="28" cm="1">
        <f t="array" ref="K154:L154">VLOOKUP(E154,[2]A023951!D$1:H$1114,{3,5},0)</f>
        <v>-51.28</v>
      </c>
      <c r="L154" s="28">
        <v>-4396.08</v>
      </c>
      <c r="M154" s="31">
        <f>I154+L154</f>
        <v>4.2600000000002183</v>
      </c>
    </row>
    <row r="155" spans="1:13" x14ac:dyDescent="0.35">
      <c r="A155" s="28" t="s">
        <v>495</v>
      </c>
      <c r="B155" s="32">
        <v>2025</v>
      </c>
      <c r="C155" s="28" t="s">
        <v>499</v>
      </c>
      <c r="D155" s="29">
        <v>45768</v>
      </c>
      <c r="E155" s="28">
        <v>256779412189</v>
      </c>
      <c r="F155" s="28" t="s">
        <v>56</v>
      </c>
      <c r="G155" s="30">
        <v>262.20999999999998</v>
      </c>
      <c r="H155" s="28" t="s">
        <v>56</v>
      </c>
      <c r="I155" s="30">
        <v>262.20999999999998</v>
      </c>
      <c r="J155" s="28" t="s">
        <v>623</v>
      </c>
      <c r="K155" s="28" cm="1">
        <f t="array" ref="K155:L155">VLOOKUP(E155,[2]A023951!D$1:H$1114,{3,5},0)</f>
        <v>0</v>
      </c>
      <c r="L155" s="28">
        <v>-262.20999999999998</v>
      </c>
      <c r="M155" s="31">
        <f>I155+L155</f>
        <v>0</v>
      </c>
    </row>
    <row r="156" spans="1:13" x14ac:dyDescent="0.35">
      <c r="A156" s="28" t="s">
        <v>495</v>
      </c>
      <c r="B156" s="32">
        <v>2025</v>
      </c>
      <c r="C156" s="28" t="s">
        <v>496</v>
      </c>
      <c r="D156" s="29">
        <v>45862</v>
      </c>
      <c r="E156" s="28">
        <v>256779421498</v>
      </c>
      <c r="F156" s="28" t="s">
        <v>11</v>
      </c>
      <c r="G156" s="30">
        <v>-95.24</v>
      </c>
      <c r="H156" s="28" t="s">
        <v>56</v>
      </c>
      <c r="I156" s="30">
        <v>-8190.7</v>
      </c>
      <c r="J156" s="28" t="s">
        <v>624</v>
      </c>
      <c r="K156" s="28" t="e" cm="1">
        <f t="array" ref="K156">VLOOKUP(E156,[2]A023951!D$1:H$1114,{3,5},0)</f>
        <v>#N/A</v>
      </c>
      <c r="L156" s="28"/>
      <c r="M156" s="28"/>
    </row>
    <row r="157" spans="1:13" x14ac:dyDescent="0.35">
      <c r="A157" s="28" t="s">
        <v>495</v>
      </c>
      <c r="B157" s="32">
        <v>2025</v>
      </c>
      <c r="C157" s="28" t="s">
        <v>496</v>
      </c>
      <c r="D157" s="29">
        <v>45862</v>
      </c>
      <c r="E157" s="28">
        <v>256779421512</v>
      </c>
      <c r="F157" s="28" t="s">
        <v>11</v>
      </c>
      <c r="G157" s="30">
        <v>-2333.1799999999998</v>
      </c>
      <c r="H157" s="28" t="s">
        <v>56</v>
      </c>
      <c r="I157" s="30">
        <v>-200655.04</v>
      </c>
      <c r="J157" s="28" t="s">
        <v>625</v>
      </c>
      <c r="K157" s="28" t="e" cm="1">
        <f t="array" ref="K157">VLOOKUP(E157,[2]A023951!D$1:H$1114,{3,5},0)</f>
        <v>#N/A</v>
      </c>
      <c r="L157" s="28"/>
      <c r="M157" s="28"/>
    </row>
    <row r="158" spans="1:13" x14ac:dyDescent="0.35">
      <c r="A158" s="28" t="s">
        <v>495</v>
      </c>
      <c r="B158" s="32">
        <v>2025</v>
      </c>
      <c r="C158" s="28" t="s">
        <v>496</v>
      </c>
      <c r="D158" s="29">
        <v>45800</v>
      </c>
      <c r="E158" s="28">
        <v>256779421106</v>
      </c>
      <c r="F158" s="28" t="s">
        <v>11</v>
      </c>
      <c r="G158" s="30">
        <v>-707.71</v>
      </c>
      <c r="H158" s="28" t="s">
        <v>56</v>
      </c>
      <c r="I158" s="30">
        <v>-60851.519999999997</v>
      </c>
      <c r="J158" s="28" t="s">
        <v>626</v>
      </c>
      <c r="K158" s="28" t="e" cm="1">
        <f t="array" ref="K158">VLOOKUP(E158,[2]A023951!D$1:H$1114,{3,5},0)</f>
        <v>#N/A</v>
      </c>
      <c r="L158" s="28"/>
      <c r="M158" s="28"/>
    </row>
    <row r="159" spans="1:13" x14ac:dyDescent="0.35">
      <c r="A159" s="28" t="s">
        <v>495</v>
      </c>
      <c r="B159" s="32">
        <v>2025</v>
      </c>
      <c r="C159" s="28" t="s">
        <v>496</v>
      </c>
      <c r="D159" s="29">
        <v>45800</v>
      </c>
      <c r="E159" s="28">
        <v>256779421109</v>
      </c>
      <c r="F159" s="28" t="s">
        <v>11</v>
      </c>
      <c r="G159" s="30">
        <v>-3.78</v>
      </c>
      <c r="H159" s="28" t="s">
        <v>56</v>
      </c>
      <c r="I159" s="30">
        <v>-325.02</v>
      </c>
      <c r="J159" s="28" t="s">
        <v>627</v>
      </c>
      <c r="K159" s="28" t="e" cm="1">
        <f t="array" ref="K159">VLOOKUP(E159,[2]A023951!D$1:H$1114,{3,5},0)</f>
        <v>#N/A</v>
      </c>
      <c r="L159" s="28"/>
      <c r="M159" s="28"/>
    </row>
    <row r="160" spans="1:13" x14ac:dyDescent="0.35">
      <c r="A160" s="28" t="s">
        <v>495</v>
      </c>
      <c r="B160" s="32">
        <v>2025</v>
      </c>
      <c r="C160" s="28" t="s">
        <v>499</v>
      </c>
      <c r="D160" s="29">
        <v>45798</v>
      </c>
      <c r="E160" s="28">
        <v>256779413391</v>
      </c>
      <c r="F160" s="28" t="s">
        <v>11</v>
      </c>
      <c r="G160" s="30">
        <v>253.29</v>
      </c>
      <c r="H160" s="28" t="s">
        <v>56</v>
      </c>
      <c r="I160" s="30">
        <v>21778.81</v>
      </c>
      <c r="J160" s="28" t="s">
        <v>628</v>
      </c>
      <c r="K160" s="28" cm="1">
        <f t="array" ref="K160:L160">VLOOKUP(E160,[2]A023951!D$1:H$1114,{3,5},0)</f>
        <v>-253.29</v>
      </c>
      <c r="L160" s="28">
        <v>-21624.5</v>
      </c>
      <c r="M160" s="31">
        <f t="shared" ref="M160:M172" si="6">I160+L160</f>
        <v>154.31000000000131</v>
      </c>
    </row>
    <row r="161" spans="1:13" x14ac:dyDescent="0.35">
      <c r="A161" s="28" t="s">
        <v>495</v>
      </c>
      <c r="B161" s="32">
        <v>2025</v>
      </c>
      <c r="C161" s="28" t="s">
        <v>499</v>
      </c>
      <c r="D161" s="29">
        <v>45798</v>
      </c>
      <c r="E161" s="28">
        <v>256779413392</v>
      </c>
      <c r="F161" s="28" t="s">
        <v>11</v>
      </c>
      <c r="G161" s="30">
        <v>218.17</v>
      </c>
      <c r="H161" s="28" t="s">
        <v>56</v>
      </c>
      <c r="I161" s="30">
        <v>18759.060000000001</v>
      </c>
      <c r="J161" s="28" t="s">
        <v>628</v>
      </c>
      <c r="K161" s="28" cm="1">
        <f t="array" ref="K161:L161">VLOOKUP(E161,[2]A023951!D$1:H$1114,{3,5},0)</f>
        <v>-218.17</v>
      </c>
      <c r="L161" s="28">
        <v>-18626.150000000001</v>
      </c>
      <c r="M161" s="31">
        <f t="shared" si="6"/>
        <v>132.90999999999985</v>
      </c>
    </row>
    <row r="162" spans="1:13" x14ac:dyDescent="0.35">
      <c r="A162" s="28" t="s">
        <v>495</v>
      </c>
      <c r="B162" s="32">
        <v>2025</v>
      </c>
      <c r="C162" s="28" t="s">
        <v>499</v>
      </c>
      <c r="D162" s="29">
        <v>45798</v>
      </c>
      <c r="E162" s="28">
        <v>256779413393</v>
      </c>
      <c r="F162" s="28" t="s">
        <v>11</v>
      </c>
      <c r="G162" s="30">
        <v>229.87</v>
      </c>
      <c r="H162" s="28" t="s">
        <v>56</v>
      </c>
      <c r="I162" s="30">
        <v>19765.07</v>
      </c>
      <c r="J162" s="28" t="s">
        <v>628</v>
      </c>
      <c r="K162" s="28" cm="1">
        <f t="array" ref="K162:L162">VLOOKUP(E162,[2]A023951!D$1:H$1114,{3,5},0)</f>
        <v>-229.87</v>
      </c>
      <c r="L162" s="28">
        <v>-19625.03</v>
      </c>
      <c r="M162" s="31">
        <f t="shared" si="6"/>
        <v>140.04000000000087</v>
      </c>
    </row>
    <row r="163" spans="1:13" x14ac:dyDescent="0.35">
      <c r="A163" s="28" t="s">
        <v>495</v>
      </c>
      <c r="B163" s="32">
        <v>2025</v>
      </c>
      <c r="C163" s="28" t="s">
        <v>499</v>
      </c>
      <c r="D163" s="29">
        <v>45798</v>
      </c>
      <c r="E163" s="28">
        <v>256779413394</v>
      </c>
      <c r="F163" s="28" t="s">
        <v>11</v>
      </c>
      <c r="G163" s="30">
        <v>218.17</v>
      </c>
      <c r="H163" s="28" t="s">
        <v>56</v>
      </c>
      <c r="I163" s="30">
        <v>18759.060000000001</v>
      </c>
      <c r="J163" s="28" t="s">
        <v>628</v>
      </c>
      <c r="K163" s="28" cm="1">
        <f t="array" ref="K163:L163">VLOOKUP(E163,[2]A023951!D$1:H$1114,{3,5},0)</f>
        <v>-218.17</v>
      </c>
      <c r="L163" s="28">
        <v>-18626.150000000001</v>
      </c>
      <c r="M163" s="31">
        <f t="shared" si="6"/>
        <v>132.90999999999985</v>
      </c>
    </row>
    <row r="164" spans="1:13" x14ac:dyDescent="0.35">
      <c r="A164" s="28" t="s">
        <v>495</v>
      </c>
      <c r="B164" s="32">
        <v>2025</v>
      </c>
      <c r="C164" s="28" t="s">
        <v>499</v>
      </c>
      <c r="D164" s="29">
        <v>45798</v>
      </c>
      <c r="E164" s="28">
        <v>256779413395</v>
      </c>
      <c r="F164" s="28" t="s">
        <v>11</v>
      </c>
      <c r="G164" s="30">
        <v>264.98</v>
      </c>
      <c r="H164" s="28" t="s">
        <v>56</v>
      </c>
      <c r="I164" s="30">
        <v>22783.96</v>
      </c>
      <c r="J164" s="28" t="s">
        <v>629</v>
      </c>
      <c r="K164" s="28" cm="1">
        <f t="array" ref="K164:L164">VLOOKUP(E164,[2]A023951!D$1:H$1114,{3,5},0)</f>
        <v>-264.98</v>
      </c>
      <c r="L164" s="28">
        <v>-22622.53</v>
      </c>
      <c r="M164" s="31">
        <f t="shared" si="6"/>
        <v>161.43000000000029</v>
      </c>
    </row>
    <row r="165" spans="1:13" x14ac:dyDescent="0.35">
      <c r="A165" s="28" t="s">
        <v>495</v>
      </c>
      <c r="B165" s="32">
        <v>2025</v>
      </c>
      <c r="C165" s="28" t="s">
        <v>499</v>
      </c>
      <c r="D165" s="29">
        <v>45798</v>
      </c>
      <c r="E165" s="28">
        <v>256779413396</v>
      </c>
      <c r="F165" s="28" t="s">
        <v>11</v>
      </c>
      <c r="G165" s="30">
        <v>218.17</v>
      </c>
      <c r="H165" s="28" t="s">
        <v>56</v>
      </c>
      <c r="I165" s="30">
        <v>18759.060000000001</v>
      </c>
      <c r="J165" s="28" t="s">
        <v>629</v>
      </c>
      <c r="K165" s="28" cm="1">
        <f t="array" ref="K165:L165">VLOOKUP(E165,[2]A023951!D$1:H$1114,{3,5},0)</f>
        <v>-218.17</v>
      </c>
      <c r="L165" s="28">
        <v>-18626.150000000001</v>
      </c>
      <c r="M165" s="31">
        <f t="shared" si="6"/>
        <v>132.90999999999985</v>
      </c>
    </row>
    <row r="166" spans="1:13" x14ac:dyDescent="0.35">
      <c r="A166" s="28" t="s">
        <v>495</v>
      </c>
      <c r="B166" s="32">
        <v>2025</v>
      </c>
      <c r="C166" s="28" t="s">
        <v>499</v>
      </c>
      <c r="D166" s="29">
        <v>45798</v>
      </c>
      <c r="E166" s="28">
        <v>256779413397</v>
      </c>
      <c r="F166" s="28" t="s">
        <v>11</v>
      </c>
      <c r="G166" s="30">
        <v>229.87</v>
      </c>
      <c r="H166" s="28" t="s">
        <v>56</v>
      </c>
      <c r="I166" s="30">
        <v>19765.07</v>
      </c>
      <c r="J166" s="28" t="s">
        <v>629</v>
      </c>
      <c r="K166" s="28" cm="1">
        <f t="array" ref="K166:L166">VLOOKUP(E166,[2]A023951!D$1:H$1114,{3,5},0)</f>
        <v>-229.87</v>
      </c>
      <c r="L166" s="28">
        <v>-19625.03</v>
      </c>
      <c r="M166" s="31">
        <f t="shared" si="6"/>
        <v>140.04000000000087</v>
      </c>
    </row>
    <row r="167" spans="1:13" x14ac:dyDescent="0.35">
      <c r="A167" s="28" t="s">
        <v>495</v>
      </c>
      <c r="B167" s="32">
        <v>2025</v>
      </c>
      <c r="C167" s="28" t="s">
        <v>499</v>
      </c>
      <c r="D167" s="29">
        <v>45798</v>
      </c>
      <c r="E167" s="28">
        <v>256779413398</v>
      </c>
      <c r="F167" s="28" t="s">
        <v>11</v>
      </c>
      <c r="G167" s="30">
        <v>218.17</v>
      </c>
      <c r="H167" s="28" t="s">
        <v>56</v>
      </c>
      <c r="I167" s="30">
        <v>18759.060000000001</v>
      </c>
      <c r="J167" s="28" t="s">
        <v>629</v>
      </c>
      <c r="K167" s="28" cm="1">
        <f t="array" ref="K167:L167">VLOOKUP(E167,[2]A023951!D$1:H$1114,{3,5},0)</f>
        <v>-218.17</v>
      </c>
      <c r="L167" s="28">
        <v>-18626.150000000001</v>
      </c>
      <c r="M167" s="31">
        <f t="shared" si="6"/>
        <v>132.90999999999985</v>
      </c>
    </row>
    <row r="168" spans="1:13" x14ac:dyDescent="0.35">
      <c r="A168" s="28" t="s">
        <v>495</v>
      </c>
      <c r="B168" s="32">
        <v>2025</v>
      </c>
      <c r="C168" s="28" t="s">
        <v>499</v>
      </c>
      <c r="D168" s="29">
        <v>45798</v>
      </c>
      <c r="E168" s="28">
        <v>256779413399</v>
      </c>
      <c r="F168" s="28" t="s">
        <v>11</v>
      </c>
      <c r="G168" s="30">
        <v>229.87</v>
      </c>
      <c r="H168" s="28" t="s">
        <v>56</v>
      </c>
      <c r="I168" s="30">
        <v>19765.07</v>
      </c>
      <c r="J168" s="28" t="s">
        <v>629</v>
      </c>
      <c r="K168" s="28" cm="1">
        <f t="array" ref="K168:L168">VLOOKUP(E168,[2]A023951!D$1:H$1114,{3,5},0)</f>
        <v>-229.87</v>
      </c>
      <c r="L168" s="28">
        <v>-19625.03</v>
      </c>
      <c r="M168" s="31">
        <f t="shared" si="6"/>
        <v>140.04000000000087</v>
      </c>
    </row>
    <row r="169" spans="1:13" x14ac:dyDescent="0.35">
      <c r="A169" s="28" t="s">
        <v>495</v>
      </c>
      <c r="B169" s="32">
        <v>2025</v>
      </c>
      <c r="C169" s="28" t="s">
        <v>499</v>
      </c>
      <c r="D169" s="29">
        <v>45798</v>
      </c>
      <c r="E169" s="28">
        <v>256779413400</v>
      </c>
      <c r="F169" s="28" t="s">
        <v>11</v>
      </c>
      <c r="G169" s="30">
        <v>218.17</v>
      </c>
      <c r="H169" s="28" t="s">
        <v>56</v>
      </c>
      <c r="I169" s="30">
        <v>18759.060000000001</v>
      </c>
      <c r="J169" s="28" t="s">
        <v>629</v>
      </c>
      <c r="K169" s="28" cm="1">
        <f t="array" ref="K169:L169">VLOOKUP(E169,[2]A023951!D$1:H$1114,{3,5},0)</f>
        <v>-218.17</v>
      </c>
      <c r="L169" s="28">
        <v>-18626.150000000001</v>
      </c>
      <c r="M169" s="31">
        <f t="shared" si="6"/>
        <v>132.90999999999985</v>
      </c>
    </row>
    <row r="170" spans="1:13" x14ac:dyDescent="0.35">
      <c r="A170" s="28" t="s">
        <v>495</v>
      </c>
      <c r="B170" s="32">
        <v>2025</v>
      </c>
      <c r="C170" s="28" t="s">
        <v>499</v>
      </c>
      <c r="D170" s="29">
        <v>45798</v>
      </c>
      <c r="E170" s="28">
        <v>256779413401</v>
      </c>
      <c r="F170" s="28" t="s">
        <v>11</v>
      </c>
      <c r="G170" s="30">
        <v>229.87</v>
      </c>
      <c r="H170" s="28" t="s">
        <v>56</v>
      </c>
      <c r="I170" s="30">
        <v>19765.07</v>
      </c>
      <c r="J170" s="28" t="s">
        <v>629</v>
      </c>
      <c r="K170" s="28" cm="1">
        <f t="array" ref="K170:L170">VLOOKUP(E170,[2]A023951!D$1:H$1114,{3,5},0)</f>
        <v>-229.87</v>
      </c>
      <c r="L170" s="28">
        <v>-19625.03</v>
      </c>
      <c r="M170" s="31">
        <f t="shared" si="6"/>
        <v>140.04000000000087</v>
      </c>
    </row>
    <row r="171" spans="1:13" x14ac:dyDescent="0.35">
      <c r="A171" s="28" t="s">
        <v>495</v>
      </c>
      <c r="B171" s="32">
        <v>2025</v>
      </c>
      <c r="C171" s="28" t="s">
        <v>499</v>
      </c>
      <c r="D171" s="29">
        <v>45798</v>
      </c>
      <c r="E171" s="28">
        <v>256779413402</v>
      </c>
      <c r="F171" s="28" t="s">
        <v>11</v>
      </c>
      <c r="G171" s="30">
        <v>229.87</v>
      </c>
      <c r="H171" s="28" t="s">
        <v>56</v>
      </c>
      <c r="I171" s="30">
        <v>19765.07</v>
      </c>
      <c r="J171" s="28" t="s">
        <v>629</v>
      </c>
      <c r="K171" s="28" cm="1">
        <f t="array" ref="K171:L171">VLOOKUP(E171,[2]A023951!D$1:H$1114,{3,5},0)</f>
        <v>-229.87</v>
      </c>
      <c r="L171" s="28">
        <v>-19625.03</v>
      </c>
      <c r="M171" s="31">
        <f t="shared" si="6"/>
        <v>140.04000000000087</v>
      </c>
    </row>
    <row r="172" spans="1:13" x14ac:dyDescent="0.35">
      <c r="A172" s="28" t="s">
        <v>495</v>
      </c>
      <c r="B172" s="32">
        <v>2025</v>
      </c>
      <c r="C172" s="28" t="s">
        <v>499</v>
      </c>
      <c r="D172" s="29">
        <v>45798</v>
      </c>
      <c r="E172" s="28">
        <v>256779413403</v>
      </c>
      <c r="F172" s="28" t="s">
        <v>11</v>
      </c>
      <c r="G172" s="30">
        <v>402.88</v>
      </c>
      <c r="H172" s="28" t="s">
        <v>56</v>
      </c>
      <c r="I172" s="30">
        <v>34641.11</v>
      </c>
      <c r="J172" s="28" t="s">
        <v>630</v>
      </c>
      <c r="K172" s="28" cm="1">
        <f t="array" ref="K172:L172">VLOOKUP(E172,[2]A023951!D$1:H$1114,{3,5},0)</f>
        <v>-402.88</v>
      </c>
      <c r="L172" s="28">
        <v>-34395.67</v>
      </c>
      <c r="M172" s="31">
        <f t="shared" si="6"/>
        <v>245.44000000000233</v>
      </c>
    </row>
    <row r="173" spans="1:13" x14ac:dyDescent="0.35">
      <c r="A173" s="28" t="s">
        <v>495</v>
      </c>
      <c r="B173" s="32">
        <v>2025</v>
      </c>
      <c r="C173" s="28" t="s">
        <v>496</v>
      </c>
      <c r="D173" s="29">
        <v>45890</v>
      </c>
      <c r="E173" s="28">
        <v>256779421698</v>
      </c>
      <c r="F173" s="28" t="s">
        <v>11</v>
      </c>
      <c r="G173" s="30">
        <v>-30</v>
      </c>
      <c r="H173" s="28" t="s">
        <v>56</v>
      </c>
      <c r="I173" s="30">
        <v>-2580.9</v>
      </c>
      <c r="J173" s="28" t="s">
        <v>631</v>
      </c>
      <c r="K173" s="28" t="e" cm="1">
        <f t="array" ref="K173">VLOOKUP(E173,[2]A023951!D$1:H$1114,{3,5},0)</f>
        <v>#N/A</v>
      </c>
      <c r="L173" s="28"/>
      <c r="M173" s="28"/>
    </row>
    <row r="174" spans="1:13" x14ac:dyDescent="0.35">
      <c r="A174" s="28" t="s">
        <v>495</v>
      </c>
      <c r="B174" s="32">
        <v>2025</v>
      </c>
      <c r="C174" s="28" t="s">
        <v>496</v>
      </c>
      <c r="D174" s="29">
        <v>45890</v>
      </c>
      <c r="E174" s="28">
        <v>256779421699</v>
      </c>
      <c r="F174" s="28" t="s">
        <v>11</v>
      </c>
      <c r="G174" s="30">
        <v>-30</v>
      </c>
      <c r="H174" s="28" t="s">
        <v>56</v>
      </c>
      <c r="I174" s="30">
        <v>-2580.9</v>
      </c>
      <c r="J174" s="28" t="s">
        <v>632</v>
      </c>
      <c r="K174" s="28" t="e" cm="1">
        <f t="array" ref="K174">VLOOKUP(E174,[2]A023951!D$1:H$1114,{3,5},0)</f>
        <v>#N/A</v>
      </c>
      <c r="L174" s="28"/>
      <c r="M174" s="28"/>
    </row>
    <row r="175" spans="1:13" x14ac:dyDescent="0.35">
      <c r="A175" s="28" t="s">
        <v>495</v>
      </c>
      <c r="B175" s="32">
        <v>2025</v>
      </c>
      <c r="C175" s="28" t="s">
        <v>496</v>
      </c>
      <c r="D175" s="29">
        <v>45890</v>
      </c>
      <c r="E175" s="28">
        <v>256779421700</v>
      </c>
      <c r="F175" s="28" t="s">
        <v>11</v>
      </c>
      <c r="G175" s="30">
        <v>-30</v>
      </c>
      <c r="H175" s="28" t="s">
        <v>56</v>
      </c>
      <c r="I175" s="30">
        <v>-2580.9</v>
      </c>
      <c r="J175" s="28" t="s">
        <v>633</v>
      </c>
      <c r="K175" s="28" t="e" cm="1">
        <f t="array" ref="K175">VLOOKUP(E175,[2]A023951!D$1:H$1114,{3,5},0)</f>
        <v>#N/A</v>
      </c>
      <c r="L175" s="28"/>
      <c r="M175" s="28"/>
    </row>
    <row r="176" spans="1:13" x14ac:dyDescent="0.35">
      <c r="A176" s="28" t="s">
        <v>495</v>
      </c>
      <c r="B176" s="32">
        <v>2025</v>
      </c>
      <c r="C176" s="28" t="s">
        <v>496</v>
      </c>
      <c r="D176" s="29">
        <v>45890</v>
      </c>
      <c r="E176" s="28">
        <v>256779421701</v>
      </c>
      <c r="F176" s="28" t="s">
        <v>11</v>
      </c>
      <c r="G176" s="30">
        <v>-30</v>
      </c>
      <c r="H176" s="28" t="s">
        <v>56</v>
      </c>
      <c r="I176" s="30">
        <v>-2580.9</v>
      </c>
      <c r="J176" s="28" t="s">
        <v>634</v>
      </c>
      <c r="K176" s="28" t="e" cm="1">
        <f t="array" ref="K176">VLOOKUP(E176,[2]A023951!D$1:H$1114,{3,5},0)</f>
        <v>#N/A</v>
      </c>
      <c r="L176" s="28"/>
      <c r="M176" s="28"/>
    </row>
    <row r="177" spans="1:13" x14ac:dyDescent="0.35">
      <c r="A177" s="28" t="s">
        <v>495</v>
      </c>
      <c r="B177" s="32">
        <v>2025</v>
      </c>
      <c r="C177" s="28" t="s">
        <v>496</v>
      </c>
      <c r="D177" s="29">
        <v>45890</v>
      </c>
      <c r="E177" s="28">
        <v>256779421702</v>
      </c>
      <c r="F177" s="28" t="s">
        <v>11</v>
      </c>
      <c r="G177" s="30">
        <v>-30</v>
      </c>
      <c r="H177" s="28" t="s">
        <v>56</v>
      </c>
      <c r="I177" s="30">
        <v>-2580.9</v>
      </c>
      <c r="J177" s="28" t="s">
        <v>635</v>
      </c>
      <c r="K177" s="28" t="e" cm="1">
        <f t="array" ref="K177">VLOOKUP(E177,[2]A023951!D$1:H$1114,{3,5},0)</f>
        <v>#N/A</v>
      </c>
      <c r="L177" s="28"/>
      <c r="M177" s="28"/>
    </row>
    <row r="178" spans="1:13" x14ac:dyDescent="0.35">
      <c r="A178" s="28" t="s">
        <v>495</v>
      </c>
      <c r="B178" s="32">
        <v>2025</v>
      </c>
      <c r="C178" s="28" t="s">
        <v>496</v>
      </c>
      <c r="D178" s="29">
        <v>45890</v>
      </c>
      <c r="E178" s="28">
        <v>256779421703</v>
      </c>
      <c r="F178" s="28" t="s">
        <v>11</v>
      </c>
      <c r="G178" s="30">
        <v>-27.39</v>
      </c>
      <c r="H178" s="28" t="s">
        <v>56</v>
      </c>
      <c r="I178" s="30">
        <v>-2356.36</v>
      </c>
      <c r="J178" s="28" t="s">
        <v>636</v>
      </c>
      <c r="K178" s="28" t="e" cm="1">
        <f t="array" ref="K178">VLOOKUP(E178,[2]A023951!D$1:H$1114,{3,5},0)</f>
        <v>#N/A</v>
      </c>
      <c r="L178" s="28"/>
      <c r="M178" s="28"/>
    </row>
    <row r="179" spans="1:13" x14ac:dyDescent="0.35">
      <c r="A179" s="28" t="s">
        <v>495</v>
      </c>
      <c r="B179" s="32">
        <v>2025</v>
      </c>
      <c r="C179" s="28" t="s">
        <v>496</v>
      </c>
      <c r="D179" s="29">
        <v>45890</v>
      </c>
      <c r="E179" s="28">
        <v>256779421705</v>
      </c>
      <c r="F179" s="28" t="s">
        <v>11</v>
      </c>
      <c r="G179" s="30">
        <v>-212.5</v>
      </c>
      <c r="H179" s="28" t="s">
        <v>56</v>
      </c>
      <c r="I179" s="30">
        <v>-18281.400000000001</v>
      </c>
      <c r="J179" s="28" t="s">
        <v>637</v>
      </c>
      <c r="K179" s="28" t="e" cm="1">
        <f t="array" ref="K179">VLOOKUP(E179,[2]A023951!D$1:H$1114,{3,5},0)</f>
        <v>#N/A</v>
      </c>
      <c r="L179" s="28"/>
      <c r="M179" s="28"/>
    </row>
    <row r="180" spans="1:13" x14ac:dyDescent="0.35">
      <c r="A180" s="28" t="s">
        <v>495</v>
      </c>
      <c r="B180" s="32">
        <v>2025</v>
      </c>
      <c r="C180" s="28" t="s">
        <v>496</v>
      </c>
      <c r="D180" s="29">
        <v>45890</v>
      </c>
      <c r="E180" s="28">
        <v>256779421706</v>
      </c>
      <c r="F180" s="28" t="s">
        <v>11</v>
      </c>
      <c r="G180" s="30">
        <v>-362.02</v>
      </c>
      <c r="H180" s="28" t="s">
        <v>56</v>
      </c>
      <c r="I180" s="30">
        <v>-31144.62</v>
      </c>
      <c r="J180" s="28" t="s">
        <v>638</v>
      </c>
      <c r="K180" s="28" t="e" cm="1">
        <f t="array" ref="K180">VLOOKUP(E180,[2]A023951!D$1:H$1114,{3,5},0)</f>
        <v>#N/A</v>
      </c>
      <c r="L180" s="28"/>
      <c r="M180" s="28"/>
    </row>
    <row r="181" spans="1:13" x14ac:dyDescent="0.35">
      <c r="A181" s="28" t="s">
        <v>495</v>
      </c>
      <c r="B181" s="32">
        <v>2025</v>
      </c>
      <c r="C181" s="28" t="s">
        <v>496</v>
      </c>
      <c r="D181" s="29">
        <v>45890</v>
      </c>
      <c r="E181" s="28">
        <v>256779421707</v>
      </c>
      <c r="F181" s="28" t="s">
        <v>11</v>
      </c>
      <c r="G181" s="30">
        <v>-228.75</v>
      </c>
      <c r="H181" s="28" t="s">
        <v>56</v>
      </c>
      <c r="I181" s="30">
        <v>-19679.39</v>
      </c>
      <c r="J181" s="28" t="s">
        <v>639</v>
      </c>
      <c r="K181" s="28" t="e" cm="1">
        <f t="array" ref="K181">VLOOKUP(E181,[2]A023951!D$1:H$1114,{3,5},0)</f>
        <v>#N/A</v>
      </c>
      <c r="L181" s="28"/>
      <c r="M181" s="28"/>
    </row>
    <row r="182" spans="1:13" x14ac:dyDescent="0.35">
      <c r="A182" s="28" t="s">
        <v>495</v>
      </c>
      <c r="B182" s="32">
        <v>2025</v>
      </c>
      <c r="C182" s="28" t="s">
        <v>496</v>
      </c>
      <c r="D182" s="29">
        <v>45890</v>
      </c>
      <c r="E182" s="28">
        <v>256779421708</v>
      </c>
      <c r="F182" s="28" t="s">
        <v>11</v>
      </c>
      <c r="G182" s="30">
        <v>-281.5</v>
      </c>
      <c r="H182" s="28" t="s">
        <v>56</v>
      </c>
      <c r="I182" s="30">
        <v>-24217.48</v>
      </c>
      <c r="J182" s="28" t="s">
        <v>640</v>
      </c>
      <c r="K182" s="28" t="e" cm="1">
        <f t="array" ref="K182">VLOOKUP(E182,[2]A023951!D$1:H$1114,{3,5},0)</f>
        <v>#N/A</v>
      </c>
      <c r="L182" s="28"/>
      <c r="M182" s="28"/>
    </row>
    <row r="183" spans="1:13" x14ac:dyDescent="0.35">
      <c r="A183" s="28" t="s">
        <v>495</v>
      </c>
      <c r="B183" s="32">
        <v>2025</v>
      </c>
      <c r="C183" s="28" t="s">
        <v>499</v>
      </c>
      <c r="D183" s="29">
        <v>45771</v>
      </c>
      <c r="E183" s="28">
        <v>256779412776</v>
      </c>
      <c r="F183" s="28" t="s">
        <v>11</v>
      </c>
      <c r="G183" s="30">
        <v>632.46</v>
      </c>
      <c r="H183" s="28" t="s">
        <v>56</v>
      </c>
      <c r="I183" s="30">
        <v>54974.57</v>
      </c>
      <c r="J183" s="28" t="s">
        <v>641</v>
      </c>
      <c r="K183" s="28" cm="1">
        <f t="array" ref="K183:L183">VLOOKUP(E183,[2]A023951!D$1:H$1114,{3,5},0)</f>
        <v>-632.46</v>
      </c>
      <c r="L183" s="28">
        <v>-54218.879999999997</v>
      </c>
      <c r="M183" s="31">
        <f>I183+L183</f>
        <v>755.69000000000233</v>
      </c>
    </row>
    <row r="184" spans="1:13" x14ac:dyDescent="0.35">
      <c r="A184" s="28" t="s">
        <v>495</v>
      </c>
      <c r="B184" s="32">
        <v>2025</v>
      </c>
      <c r="C184" s="28" t="s">
        <v>499</v>
      </c>
      <c r="D184" s="29">
        <v>45826</v>
      </c>
      <c r="E184" s="28">
        <v>256779414431</v>
      </c>
      <c r="F184" s="28" t="s">
        <v>11</v>
      </c>
      <c r="G184" s="30">
        <v>52.38</v>
      </c>
      <c r="H184" s="28" t="s">
        <v>56</v>
      </c>
      <c r="I184" s="30">
        <v>4478.01</v>
      </c>
      <c r="J184" s="28" t="s">
        <v>589</v>
      </c>
      <c r="K184" s="28" cm="1">
        <f t="array" ref="K184:L184">VLOOKUP(E184,[2]A023951!D$1:H$1114,{3,5},0)</f>
        <v>-52.38</v>
      </c>
      <c r="L184" s="28">
        <v>-4455.66</v>
      </c>
      <c r="M184" s="31">
        <f>I184+L184</f>
        <v>22.350000000000364</v>
      </c>
    </row>
    <row r="185" spans="1:13" x14ac:dyDescent="0.35">
      <c r="A185" s="28" t="s">
        <v>495</v>
      </c>
      <c r="B185" s="32">
        <v>2025</v>
      </c>
      <c r="C185" s="28" t="s">
        <v>499</v>
      </c>
      <c r="D185" s="29">
        <v>45826</v>
      </c>
      <c r="E185" s="28">
        <v>256779414430</v>
      </c>
      <c r="F185" s="28" t="s">
        <v>11</v>
      </c>
      <c r="G185" s="30">
        <v>95.24</v>
      </c>
      <c r="H185" s="28" t="s">
        <v>56</v>
      </c>
      <c r="I185" s="30">
        <v>8142.14</v>
      </c>
      <c r="J185" s="28" t="s">
        <v>588</v>
      </c>
      <c r="K185" s="28" t="e" cm="1">
        <f t="array" ref="K185">VLOOKUP(E185,[2]A023951!D$1:H$1114,{3,5},0)</f>
        <v>#N/A</v>
      </c>
      <c r="L185" s="28"/>
      <c r="M185" s="28"/>
    </row>
    <row r="186" spans="1:13" x14ac:dyDescent="0.35">
      <c r="A186" s="28" t="s">
        <v>495</v>
      </c>
      <c r="B186" s="32">
        <v>2025</v>
      </c>
      <c r="C186" s="28" t="s">
        <v>499</v>
      </c>
      <c r="D186" s="29">
        <v>45826</v>
      </c>
      <c r="E186" s="28">
        <v>256779414445</v>
      </c>
      <c r="F186" s="28" t="s">
        <v>11</v>
      </c>
      <c r="G186" s="30">
        <v>2333.1799999999998</v>
      </c>
      <c r="H186" s="28" t="s">
        <v>56</v>
      </c>
      <c r="I186" s="30">
        <v>199465.38</v>
      </c>
      <c r="J186" s="28" t="s">
        <v>593</v>
      </c>
      <c r="K186" s="28" t="e" cm="1">
        <f t="array" ref="K186">VLOOKUP(E186,[2]A023951!D$1:H$1114,{3,5},0)</f>
        <v>#N/A</v>
      </c>
      <c r="L186" s="28"/>
      <c r="M186" s="28"/>
    </row>
    <row r="187" spans="1:13" x14ac:dyDescent="0.35">
      <c r="A187" s="28" t="s">
        <v>495</v>
      </c>
      <c r="B187" s="32">
        <v>2025</v>
      </c>
      <c r="C187" s="28" t="s">
        <v>499</v>
      </c>
      <c r="D187" s="29">
        <v>45951</v>
      </c>
      <c r="E187" s="28">
        <v>256779418474</v>
      </c>
      <c r="F187" s="28" t="s">
        <v>11</v>
      </c>
      <c r="G187" s="30">
        <v>562.38</v>
      </c>
      <c r="H187" s="28" t="s">
        <v>56</v>
      </c>
      <c r="I187" s="30">
        <v>49596.73</v>
      </c>
      <c r="J187" s="28" t="s">
        <v>642</v>
      </c>
      <c r="K187" s="28" cm="1">
        <f t="array" ref="K187:L187">VLOOKUP(E187,[2]A023951!D$1:H$1114,{3,5},0)</f>
        <v>-562.38</v>
      </c>
      <c r="L187" s="28">
        <v>-49860.33</v>
      </c>
      <c r="M187" s="31">
        <f>I187+L187</f>
        <v>-263.59999999999854</v>
      </c>
    </row>
    <row r="188" spans="1:13" x14ac:dyDescent="0.35">
      <c r="A188" s="28" t="s">
        <v>495</v>
      </c>
      <c r="B188" s="32">
        <v>2025</v>
      </c>
      <c r="C188" s="28" t="s">
        <v>499</v>
      </c>
      <c r="D188" s="29">
        <v>45951</v>
      </c>
      <c r="E188" s="28">
        <v>256779418480</v>
      </c>
      <c r="F188" s="28" t="s">
        <v>11</v>
      </c>
      <c r="G188" s="30">
        <v>13.59</v>
      </c>
      <c r="H188" s="28" t="s">
        <v>56</v>
      </c>
      <c r="I188" s="30">
        <v>1198.51</v>
      </c>
      <c r="J188" s="28" t="s">
        <v>643</v>
      </c>
      <c r="K188" s="28" cm="1">
        <f t="array" ref="K188:L188">VLOOKUP(E188,[2]A023951!D$1:H$1114,{3,5},0)</f>
        <v>-13.59</v>
      </c>
      <c r="L188" s="28">
        <v>-1204.8800000000001</v>
      </c>
      <c r="M188" s="31">
        <f>I188+L188</f>
        <v>-6.3700000000001182</v>
      </c>
    </row>
    <row r="189" spans="1:13" x14ac:dyDescent="0.35">
      <c r="A189" s="28" t="s">
        <v>495</v>
      </c>
      <c r="B189" s="32">
        <v>2025</v>
      </c>
      <c r="C189" s="28" t="s">
        <v>499</v>
      </c>
      <c r="D189" s="29">
        <v>45951</v>
      </c>
      <c r="E189" s="28">
        <v>256779418489</v>
      </c>
      <c r="F189" s="28" t="s">
        <v>11</v>
      </c>
      <c r="G189" s="30">
        <v>562.38</v>
      </c>
      <c r="H189" s="28" t="s">
        <v>56</v>
      </c>
      <c r="I189" s="30">
        <v>49596.73</v>
      </c>
      <c r="J189" s="28" t="s">
        <v>642</v>
      </c>
      <c r="K189" s="28" t="e" cm="1">
        <f t="array" ref="K189">VLOOKUP(E189,[2]A023951!D$1:H$1114,{3,5},0)</f>
        <v>#N/A</v>
      </c>
      <c r="L189" s="28"/>
      <c r="M189" s="28"/>
    </row>
    <row r="190" spans="1:13" x14ac:dyDescent="0.35">
      <c r="A190" s="28" t="s">
        <v>495</v>
      </c>
      <c r="B190" s="32">
        <v>2025</v>
      </c>
      <c r="C190" s="28" t="s">
        <v>499</v>
      </c>
      <c r="D190" s="29">
        <v>45951</v>
      </c>
      <c r="E190" s="28">
        <v>256779418495</v>
      </c>
      <c r="F190" s="28" t="s">
        <v>11</v>
      </c>
      <c r="G190" s="30">
        <v>13.59</v>
      </c>
      <c r="H190" s="28" t="s">
        <v>56</v>
      </c>
      <c r="I190" s="30">
        <v>1198.51</v>
      </c>
      <c r="J190" s="28" t="s">
        <v>643</v>
      </c>
      <c r="K190" s="28" t="e" cm="1">
        <f t="array" ref="K190">VLOOKUP(E190,[2]A023951!D$1:H$1114,{3,5},0)</f>
        <v>#N/A</v>
      </c>
      <c r="L190" s="28"/>
      <c r="M190" s="28"/>
    </row>
    <row r="191" spans="1:13" x14ac:dyDescent="0.35">
      <c r="A191" s="28" t="s">
        <v>495</v>
      </c>
      <c r="B191" s="32">
        <v>2025</v>
      </c>
      <c r="C191" s="28" t="s">
        <v>499</v>
      </c>
      <c r="D191" s="29">
        <v>45735</v>
      </c>
      <c r="E191" s="28">
        <v>246779412994</v>
      </c>
      <c r="F191" s="28" t="s">
        <v>11</v>
      </c>
      <c r="G191" s="30">
        <v>2297.27</v>
      </c>
      <c r="H191" s="28" t="s">
        <v>56</v>
      </c>
      <c r="I191" s="30">
        <v>199153.23</v>
      </c>
      <c r="J191" s="28" t="s">
        <v>644</v>
      </c>
      <c r="K191" s="28" cm="1">
        <f t="array" ref="K191:L191">VLOOKUP(E191,[2]A023951!D$1:H$1114,{3,5},0)</f>
        <v>-2297.27</v>
      </c>
      <c r="L191" s="28">
        <v>-199959.93</v>
      </c>
      <c r="M191" s="31">
        <f>I191+L191</f>
        <v>-806.69999999998254</v>
      </c>
    </row>
    <row r="192" spans="1:13" x14ac:dyDescent="0.35">
      <c r="A192" s="28" t="s">
        <v>495</v>
      </c>
      <c r="B192" s="32">
        <v>2025</v>
      </c>
      <c r="C192" s="28" t="s">
        <v>499</v>
      </c>
      <c r="D192" s="29">
        <v>45735</v>
      </c>
      <c r="E192" s="28">
        <v>246779413023</v>
      </c>
      <c r="F192" s="28" t="s">
        <v>11</v>
      </c>
      <c r="G192" s="30">
        <v>91.89</v>
      </c>
      <c r="H192" s="28" t="s">
        <v>56</v>
      </c>
      <c r="I192" s="30">
        <v>7966.06</v>
      </c>
      <c r="J192" s="28" t="s">
        <v>644</v>
      </c>
      <c r="K192" s="28" cm="1">
        <f t="array" ref="K192:L192">VLOOKUP(E192,[2]A023951!D$1:H$1114,{3,5},0)</f>
        <v>-91.89</v>
      </c>
      <c r="L192" s="28">
        <v>-7998.33</v>
      </c>
      <c r="M192" s="31">
        <f>I192+L192</f>
        <v>-32.269999999999527</v>
      </c>
    </row>
    <row r="193" spans="1:13" x14ac:dyDescent="0.35">
      <c r="A193" s="28" t="s">
        <v>495</v>
      </c>
      <c r="B193" s="32">
        <v>2025</v>
      </c>
      <c r="C193" s="28" t="s">
        <v>499</v>
      </c>
      <c r="D193" s="29">
        <v>45735</v>
      </c>
      <c r="E193" s="28">
        <v>246779413024</v>
      </c>
      <c r="F193" s="28" t="s">
        <v>11</v>
      </c>
      <c r="G193" s="30">
        <v>50.54</v>
      </c>
      <c r="H193" s="28" t="s">
        <v>56</v>
      </c>
      <c r="I193" s="30">
        <v>4381.38</v>
      </c>
      <c r="J193" s="28" t="s">
        <v>644</v>
      </c>
      <c r="K193" s="28" cm="1">
        <f t="array" ref="K193:L193">VLOOKUP(E193,[2]A023951!D$1:H$1114,{3,5},0)</f>
        <v>-50.54</v>
      </c>
      <c r="L193" s="28">
        <v>-4399.12</v>
      </c>
      <c r="M193" s="31">
        <f>I193+L193</f>
        <v>-17.739999999999782</v>
      </c>
    </row>
    <row r="194" spans="1:13" x14ac:dyDescent="0.35">
      <c r="A194" s="28" t="s">
        <v>495</v>
      </c>
      <c r="B194" s="32">
        <v>2025</v>
      </c>
      <c r="C194" s="28" t="s">
        <v>499</v>
      </c>
      <c r="D194" s="29">
        <v>45735</v>
      </c>
      <c r="E194" s="28">
        <v>246779413202</v>
      </c>
      <c r="F194" s="28" t="s">
        <v>11</v>
      </c>
      <c r="G194" s="30">
        <v>39.06</v>
      </c>
      <c r="H194" s="28" t="s">
        <v>56</v>
      </c>
      <c r="I194" s="30">
        <v>3386.16</v>
      </c>
      <c r="J194" s="28" t="s">
        <v>645</v>
      </c>
      <c r="K194" s="28" cm="1">
        <f t="array" ref="K194:L194">VLOOKUP(E194,[2]A023951!D$1:H$1114,{3,5},0)</f>
        <v>-39.06</v>
      </c>
      <c r="L194" s="28">
        <v>-3380.24</v>
      </c>
      <c r="M194" s="31">
        <f>I194+L194</f>
        <v>5.9200000000000728</v>
      </c>
    </row>
    <row r="195" spans="1:13" x14ac:dyDescent="0.35">
      <c r="A195" s="28" t="s">
        <v>495</v>
      </c>
      <c r="B195" s="32">
        <v>2025</v>
      </c>
      <c r="C195" s="28" t="s">
        <v>499</v>
      </c>
      <c r="D195" s="29">
        <v>45735</v>
      </c>
      <c r="E195" s="28">
        <v>246779413317</v>
      </c>
      <c r="F195" s="28" t="s">
        <v>11</v>
      </c>
      <c r="G195" s="30">
        <v>20.100000000000001</v>
      </c>
      <c r="H195" s="28" t="s">
        <v>56</v>
      </c>
      <c r="I195" s="30">
        <v>1742.49</v>
      </c>
      <c r="J195" s="28" t="s">
        <v>646</v>
      </c>
      <c r="K195" s="28" t="e" cm="1">
        <f t="array" ref="K195">VLOOKUP(E195,[2]A023951!D$1:H$1114,{3,5},0)</f>
        <v>#N/A</v>
      </c>
      <c r="L195" s="28"/>
      <c r="M195" s="28"/>
    </row>
    <row r="196" spans="1:13" x14ac:dyDescent="0.35">
      <c r="A196" s="28" t="s">
        <v>495</v>
      </c>
      <c r="B196" s="32">
        <v>2025</v>
      </c>
      <c r="C196" s="28" t="s">
        <v>499</v>
      </c>
      <c r="D196" s="29">
        <v>45827</v>
      </c>
      <c r="E196" s="28">
        <v>256779414741</v>
      </c>
      <c r="F196" s="28" t="s">
        <v>11</v>
      </c>
      <c r="G196" s="30">
        <v>579.79</v>
      </c>
      <c r="H196" s="28" t="s">
        <v>56</v>
      </c>
      <c r="I196" s="30">
        <v>49566.7</v>
      </c>
      <c r="J196" s="28" t="s">
        <v>647</v>
      </c>
      <c r="K196" s="28" cm="1">
        <f t="array" ref="K196:L196">VLOOKUP(E196,[2]A023951!D$1:H$1114,{3,5},0)</f>
        <v>-579.79</v>
      </c>
      <c r="L196" s="28">
        <v>-49319.31</v>
      </c>
      <c r="M196" s="31">
        <f>I196+L196</f>
        <v>247.38999999999942</v>
      </c>
    </row>
    <row r="197" spans="1:13" x14ac:dyDescent="0.35">
      <c r="A197" s="28" t="s">
        <v>495</v>
      </c>
      <c r="B197" s="32">
        <v>2025</v>
      </c>
      <c r="C197" s="28" t="s">
        <v>499</v>
      </c>
      <c r="D197" s="29">
        <v>45981</v>
      </c>
      <c r="E197" s="28">
        <v>256779419620</v>
      </c>
      <c r="F197" s="28" t="s">
        <v>11</v>
      </c>
      <c r="G197" s="30">
        <v>102.39</v>
      </c>
      <c r="H197" s="28" t="s">
        <v>56</v>
      </c>
      <c r="I197" s="30">
        <v>9010.67</v>
      </c>
      <c r="J197" s="28" t="s">
        <v>648</v>
      </c>
      <c r="K197" s="28" cm="1">
        <f t="array" ref="K197:L197">VLOOKUP(E197,[2]A023951!D$1:H$1114,{3,5},0)</f>
        <v>-102.39</v>
      </c>
      <c r="L197" s="28">
        <v>-9036.18</v>
      </c>
      <c r="M197" s="31">
        <f>I197+L197</f>
        <v>-25.510000000000218</v>
      </c>
    </row>
    <row r="198" spans="1:13" x14ac:dyDescent="0.35">
      <c r="A198" s="28" t="s">
        <v>495</v>
      </c>
      <c r="B198" s="32">
        <v>2025</v>
      </c>
      <c r="C198" s="28" t="s">
        <v>499</v>
      </c>
      <c r="D198" s="29">
        <v>45981</v>
      </c>
      <c r="E198" s="28">
        <v>256779419531</v>
      </c>
      <c r="F198" s="28" t="s">
        <v>11</v>
      </c>
      <c r="G198" s="30">
        <v>417.77</v>
      </c>
      <c r="H198" s="28" t="s">
        <v>56</v>
      </c>
      <c r="I198" s="30">
        <v>36765.18</v>
      </c>
      <c r="J198" s="28" t="s">
        <v>649</v>
      </c>
      <c r="K198" s="28" cm="1">
        <f t="array" ref="K198:L198">VLOOKUP(E198,[2]A023951!D$1:H$1114,{3,5},0)</f>
        <v>-417.77</v>
      </c>
      <c r="L198" s="28">
        <v>-36869.279999999999</v>
      </c>
      <c r="M198" s="31">
        <f>I198+L198</f>
        <v>-104.09999999999854</v>
      </c>
    </row>
    <row r="199" spans="1:13" x14ac:dyDescent="0.35">
      <c r="A199" s="28" t="s">
        <v>495</v>
      </c>
      <c r="B199" s="32">
        <v>2025</v>
      </c>
      <c r="C199" s="28" t="s">
        <v>499</v>
      </c>
      <c r="D199" s="29">
        <v>45981</v>
      </c>
      <c r="E199" s="28">
        <v>256779419542</v>
      </c>
      <c r="F199" s="28" t="s">
        <v>11</v>
      </c>
      <c r="G199" s="30">
        <v>409.4</v>
      </c>
      <c r="H199" s="28" t="s">
        <v>56</v>
      </c>
      <c r="I199" s="30">
        <v>36028.589999999997</v>
      </c>
      <c r="J199" s="28" t="s">
        <v>650</v>
      </c>
      <c r="K199" s="28" cm="1">
        <f t="array" ref="K199:L199">VLOOKUP(E199,[2]A023951!D$1:H$1114,{3,5},0)</f>
        <v>-409.4</v>
      </c>
      <c r="L199" s="28">
        <v>-36130.6</v>
      </c>
      <c r="M199" s="31">
        <f>I199+L199</f>
        <v>-102.01000000000204</v>
      </c>
    </row>
    <row r="200" spans="1:13" x14ac:dyDescent="0.35">
      <c r="A200" s="28" t="s">
        <v>495</v>
      </c>
      <c r="B200" s="32">
        <v>2025</v>
      </c>
      <c r="C200" s="28" t="s">
        <v>499</v>
      </c>
      <c r="D200" s="29">
        <v>45981</v>
      </c>
      <c r="E200" s="28">
        <v>256779419581</v>
      </c>
      <c r="F200" s="28" t="s">
        <v>11</v>
      </c>
      <c r="G200" s="30">
        <v>156.19999999999999</v>
      </c>
      <c r="H200" s="28" t="s">
        <v>56</v>
      </c>
      <c r="I200" s="30">
        <v>13746.13</v>
      </c>
      <c r="J200" s="28" t="s">
        <v>651</v>
      </c>
      <c r="K200" s="28" t="e" cm="1">
        <f t="array" ref="K200">VLOOKUP(E200,[2]A023951!D$1:H$1114,{3,5},0)</f>
        <v>#N/A</v>
      </c>
      <c r="L200" s="28"/>
      <c r="M200" s="28"/>
    </row>
    <row r="201" spans="1:13" x14ac:dyDescent="0.35">
      <c r="A201" s="28" t="s">
        <v>495</v>
      </c>
      <c r="B201" s="32">
        <v>2025</v>
      </c>
      <c r="C201" s="28" t="s">
        <v>499</v>
      </c>
      <c r="D201" s="29">
        <v>45769</v>
      </c>
      <c r="E201" s="28">
        <v>256779412524</v>
      </c>
      <c r="F201" s="28" t="s">
        <v>11</v>
      </c>
      <c r="G201" s="30">
        <v>36.5</v>
      </c>
      <c r="H201" s="28" t="s">
        <v>56</v>
      </c>
      <c r="I201" s="30">
        <v>3172.65</v>
      </c>
      <c r="J201" s="28" t="s">
        <v>575</v>
      </c>
      <c r="K201" s="28" cm="1">
        <f t="array" ref="K201:L201">VLOOKUP(E201,[2]A023951!D$1:H$1114,{3,5},0)</f>
        <v>-36.5</v>
      </c>
      <c r="L201" s="28">
        <v>-3129.03</v>
      </c>
      <c r="M201" s="31">
        <f t="shared" ref="M201:M216" si="7">I201+L201</f>
        <v>43.619999999999891</v>
      </c>
    </row>
    <row r="202" spans="1:13" x14ac:dyDescent="0.35">
      <c r="A202" s="28" t="s">
        <v>495</v>
      </c>
      <c r="B202" s="32">
        <v>2025</v>
      </c>
      <c r="C202" s="28" t="s">
        <v>499</v>
      </c>
      <c r="D202" s="29">
        <v>45769</v>
      </c>
      <c r="E202" s="28">
        <v>256779412529</v>
      </c>
      <c r="F202" s="28" t="s">
        <v>11</v>
      </c>
      <c r="G202" s="30">
        <v>29.57</v>
      </c>
      <c r="H202" s="28" t="s">
        <v>56</v>
      </c>
      <c r="I202" s="30">
        <v>2570.2800000000002</v>
      </c>
      <c r="J202" s="28" t="s">
        <v>575</v>
      </c>
      <c r="K202" s="28" cm="1">
        <f t="array" ref="K202:L202">VLOOKUP(E202,[2]A023951!D$1:H$1114,{3,5},0)</f>
        <v>-29.57</v>
      </c>
      <c r="L202" s="28">
        <v>-2534.9499999999998</v>
      </c>
      <c r="M202" s="31">
        <f t="shared" si="7"/>
        <v>35.330000000000382</v>
      </c>
    </row>
    <row r="203" spans="1:13" x14ac:dyDescent="0.35">
      <c r="A203" s="28" t="s">
        <v>495</v>
      </c>
      <c r="B203" s="32">
        <v>2025</v>
      </c>
      <c r="C203" s="28" t="s">
        <v>499</v>
      </c>
      <c r="D203" s="29">
        <v>45769</v>
      </c>
      <c r="E203" s="28">
        <v>256779412536</v>
      </c>
      <c r="F203" s="28" t="s">
        <v>11</v>
      </c>
      <c r="G203" s="30">
        <v>37.020000000000003</v>
      </c>
      <c r="H203" s="28" t="s">
        <v>56</v>
      </c>
      <c r="I203" s="30">
        <v>3217.85</v>
      </c>
      <c r="J203" s="28" t="s">
        <v>575</v>
      </c>
      <c r="K203" s="28" cm="1">
        <f t="array" ref="K203:L203">VLOOKUP(E203,[2]A023951!D$1:H$1114,{3,5},0)</f>
        <v>-37.020000000000003</v>
      </c>
      <c r="L203" s="28">
        <v>-3173.61</v>
      </c>
      <c r="M203" s="31">
        <f t="shared" si="7"/>
        <v>44.239999999999782</v>
      </c>
    </row>
    <row r="204" spans="1:13" x14ac:dyDescent="0.35">
      <c r="A204" s="28" t="s">
        <v>495</v>
      </c>
      <c r="B204" s="32">
        <v>2025</v>
      </c>
      <c r="C204" s="28" t="s">
        <v>499</v>
      </c>
      <c r="D204" s="29">
        <v>45769</v>
      </c>
      <c r="E204" s="28">
        <v>256779412537</v>
      </c>
      <c r="F204" s="28" t="s">
        <v>11</v>
      </c>
      <c r="G204" s="30">
        <v>407.58</v>
      </c>
      <c r="H204" s="28" t="s">
        <v>56</v>
      </c>
      <c r="I204" s="30">
        <v>35427.599999999999</v>
      </c>
      <c r="J204" s="28" t="s">
        <v>575</v>
      </c>
      <c r="K204" s="28" cm="1">
        <f t="array" ref="K204:L204">VLOOKUP(E204,[2]A023951!D$1:H$1114,{3,5},0)</f>
        <v>-407.58</v>
      </c>
      <c r="L204" s="28">
        <v>-34940.6</v>
      </c>
      <c r="M204" s="31">
        <f t="shared" si="7"/>
        <v>487</v>
      </c>
    </row>
    <row r="205" spans="1:13" x14ac:dyDescent="0.35">
      <c r="A205" s="28" t="s">
        <v>495</v>
      </c>
      <c r="B205" s="32">
        <v>2025</v>
      </c>
      <c r="C205" s="28" t="s">
        <v>499</v>
      </c>
      <c r="D205" s="29">
        <v>45769</v>
      </c>
      <c r="E205" s="28">
        <v>256779412562</v>
      </c>
      <c r="F205" s="28" t="s">
        <v>11</v>
      </c>
      <c r="G205" s="30">
        <v>54.65</v>
      </c>
      <c r="H205" s="28" t="s">
        <v>56</v>
      </c>
      <c r="I205" s="30">
        <v>4750.28</v>
      </c>
      <c r="J205" s="28" t="s">
        <v>575</v>
      </c>
      <c r="K205" s="28" cm="1">
        <f t="array" ref="K205:L205">VLOOKUP(E205,[2]A023951!D$1:H$1114,{3,5},0)</f>
        <v>-54.65</v>
      </c>
      <c r="L205" s="28">
        <v>-4684.9799999999996</v>
      </c>
      <c r="M205" s="31">
        <f t="shared" si="7"/>
        <v>65.300000000000182</v>
      </c>
    </row>
    <row r="206" spans="1:13" x14ac:dyDescent="0.35">
      <c r="A206" s="28" t="s">
        <v>495</v>
      </c>
      <c r="B206" s="32">
        <v>2025</v>
      </c>
      <c r="C206" s="28" t="s">
        <v>499</v>
      </c>
      <c r="D206" s="29">
        <v>45769</v>
      </c>
      <c r="E206" s="28">
        <v>256779412563</v>
      </c>
      <c r="F206" s="28" t="s">
        <v>11</v>
      </c>
      <c r="G206" s="30">
        <v>27</v>
      </c>
      <c r="H206" s="28" t="s">
        <v>56</v>
      </c>
      <c r="I206" s="30">
        <v>2346.89</v>
      </c>
      <c r="J206" s="28" t="s">
        <v>575</v>
      </c>
      <c r="K206" s="28" cm="1">
        <f t="array" ref="K206:L206">VLOOKUP(E206,[2]A023951!D$1:H$1114,{3,5},0)</f>
        <v>-27</v>
      </c>
      <c r="L206" s="28">
        <v>-2314.63</v>
      </c>
      <c r="M206" s="31">
        <f t="shared" si="7"/>
        <v>32.259999999999764</v>
      </c>
    </row>
    <row r="207" spans="1:13" x14ac:dyDescent="0.35">
      <c r="A207" s="28" t="s">
        <v>495</v>
      </c>
      <c r="B207" s="32">
        <v>2025</v>
      </c>
      <c r="C207" s="28" t="s">
        <v>499</v>
      </c>
      <c r="D207" s="29">
        <v>45769</v>
      </c>
      <c r="E207" s="28">
        <v>256779412564</v>
      </c>
      <c r="F207" s="28" t="s">
        <v>11</v>
      </c>
      <c r="G207" s="30">
        <v>55.2</v>
      </c>
      <c r="H207" s="28" t="s">
        <v>56</v>
      </c>
      <c r="I207" s="30">
        <v>4798.08</v>
      </c>
      <c r="J207" s="28" t="s">
        <v>575</v>
      </c>
      <c r="K207" s="28" cm="1">
        <f t="array" ref="K207:L207">VLOOKUP(E207,[2]A023951!D$1:H$1114,{3,5},0)</f>
        <v>-55.2</v>
      </c>
      <c r="L207" s="28">
        <v>-4732.13</v>
      </c>
      <c r="M207" s="31">
        <f t="shared" si="7"/>
        <v>65.949999999999818</v>
      </c>
    </row>
    <row r="208" spans="1:13" x14ac:dyDescent="0.35">
      <c r="A208" s="28" t="s">
        <v>495</v>
      </c>
      <c r="B208" s="32">
        <v>2025</v>
      </c>
      <c r="C208" s="28" t="s">
        <v>499</v>
      </c>
      <c r="D208" s="29">
        <v>45769</v>
      </c>
      <c r="E208" s="28">
        <v>256779412570</v>
      </c>
      <c r="F208" s="28" t="s">
        <v>11</v>
      </c>
      <c r="G208" s="30">
        <v>43.38</v>
      </c>
      <c r="H208" s="28" t="s">
        <v>56</v>
      </c>
      <c r="I208" s="30">
        <v>3770.67</v>
      </c>
      <c r="J208" s="28" t="s">
        <v>575</v>
      </c>
      <c r="K208" s="28" cm="1">
        <f t="array" ref="K208:L208">VLOOKUP(E208,[2]A023951!D$1:H$1114,{3,5},0)</f>
        <v>-43.38</v>
      </c>
      <c r="L208" s="28">
        <v>-3718.84</v>
      </c>
      <c r="M208" s="31">
        <f t="shared" si="7"/>
        <v>51.829999999999927</v>
      </c>
    </row>
    <row r="209" spans="1:13" x14ac:dyDescent="0.35">
      <c r="A209" s="28" t="s">
        <v>495</v>
      </c>
      <c r="B209" s="32">
        <v>2025</v>
      </c>
      <c r="C209" s="28" t="s">
        <v>499</v>
      </c>
      <c r="D209" s="29">
        <v>45769</v>
      </c>
      <c r="E209" s="28">
        <v>256779412576</v>
      </c>
      <c r="F209" s="28" t="s">
        <v>11</v>
      </c>
      <c r="G209" s="30">
        <v>46</v>
      </c>
      <c r="H209" s="28" t="s">
        <v>56</v>
      </c>
      <c r="I209" s="30">
        <v>3998.4</v>
      </c>
      <c r="J209" s="28" t="s">
        <v>575</v>
      </c>
      <c r="K209" s="28" cm="1">
        <f t="array" ref="K209:L209">VLOOKUP(E209,[2]A023951!D$1:H$1114,{3,5},0)</f>
        <v>-46</v>
      </c>
      <c r="L209" s="28">
        <v>-3943.44</v>
      </c>
      <c r="M209" s="31">
        <f t="shared" si="7"/>
        <v>54.960000000000036</v>
      </c>
    </row>
    <row r="210" spans="1:13" x14ac:dyDescent="0.35">
      <c r="A210" s="28" t="s">
        <v>495</v>
      </c>
      <c r="B210" s="32">
        <v>2025</v>
      </c>
      <c r="C210" s="28" t="s">
        <v>499</v>
      </c>
      <c r="D210" s="29">
        <v>45769</v>
      </c>
      <c r="E210" s="28">
        <v>256779412577</v>
      </c>
      <c r="F210" s="28" t="s">
        <v>11</v>
      </c>
      <c r="G210" s="30">
        <v>46</v>
      </c>
      <c r="H210" s="28" t="s">
        <v>56</v>
      </c>
      <c r="I210" s="30">
        <v>3998.4</v>
      </c>
      <c r="J210" s="28" t="s">
        <v>575</v>
      </c>
      <c r="K210" s="28" cm="1">
        <f t="array" ref="K210:L210">VLOOKUP(E210,[2]A023951!D$1:H$1114,{3,5},0)</f>
        <v>-46</v>
      </c>
      <c r="L210" s="28">
        <v>-3943.44</v>
      </c>
      <c r="M210" s="31">
        <f t="shared" si="7"/>
        <v>54.960000000000036</v>
      </c>
    </row>
    <row r="211" spans="1:13" x14ac:dyDescent="0.35">
      <c r="A211" s="28" t="s">
        <v>495</v>
      </c>
      <c r="B211" s="32">
        <v>2025</v>
      </c>
      <c r="C211" s="28" t="s">
        <v>499</v>
      </c>
      <c r="D211" s="29">
        <v>45769</v>
      </c>
      <c r="E211" s="28">
        <v>256779412579</v>
      </c>
      <c r="F211" s="28" t="s">
        <v>11</v>
      </c>
      <c r="G211" s="30">
        <v>57.6</v>
      </c>
      <c r="H211" s="28" t="s">
        <v>56</v>
      </c>
      <c r="I211" s="30">
        <v>5006.7</v>
      </c>
      <c r="J211" s="28" t="s">
        <v>575</v>
      </c>
      <c r="K211" s="28" cm="1">
        <f t="array" ref="K211:L211">VLOOKUP(E211,[2]A023951!D$1:H$1114,{3,5},0)</f>
        <v>-57.6</v>
      </c>
      <c r="L211" s="28">
        <v>-4937.87</v>
      </c>
      <c r="M211" s="31">
        <f t="shared" si="7"/>
        <v>68.829999999999927</v>
      </c>
    </row>
    <row r="212" spans="1:13" x14ac:dyDescent="0.35">
      <c r="A212" s="28" t="s">
        <v>495</v>
      </c>
      <c r="B212" s="32">
        <v>2025</v>
      </c>
      <c r="C212" s="28" t="s">
        <v>499</v>
      </c>
      <c r="D212" s="29">
        <v>45769</v>
      </c>
      <c r="E212" s="28">
        <v>256779412580</v>
      </c>
      <c r="F212" s="28" t="s">
        <v>11</v>
      </c>
      <c r="G212" s="30">
        <v>40.5</v>
      </c>
      <c r="H212" s="28" t="s">
        <v>56</v>
      </c>
      <c r="I212" s="30">
        <v>3520.33</v>
      </c>
      <c r="J212" s="28" t="s">
        <v>575</v>
      </c>
      <c r="K212" s="28" cm="1">
        <f t="array" ref="K212:L212">VLOOKUP(E212,[2]A023951!D$1:H$1114,{3,5},0)</f>
        <v>-40.5</v>
      </c>
      <c r="L212" s="28">
        <v>-3471.94</v>
      </c>
      <c r="M212" s="31">
        <f t="shared" si="7"/>
        <v>48.389999999999873</v>
      </c>
    </row>
    <row r="213" spans="1:13" x14ac:dyDescent="0.35">
      <c r="A213" s="28" t="s">
        <v>495</v>
      </c>
      <c r="B213" s="32">
        <v>2025</v>
      </c>
      <c r="C213" s="28" t="s">
        <v>499</v>
      </c>
      <c r="D213" s="29">
        <v>45769</v>
      </c>
      <c r="E213" s="28">
        <v>256779412581</v>
      </c>
      <c r="F213" s="28" t="s">
        <v>11</v>
      </c>
      <c r="G213" s="30">
        <v>51.5</v>
      </c>
      <c r="H213" s="28" t="s">
        <v>56</v>
      </c>
      <c r="I213" s="30">
        <v>4476.47</v>
      </c>
      <c r="J213" s="28" t="s">
        <v>575</v>
      </c>
      <c r="K213" s="28" cm="1">
        <f t="array" ref="K213:L213">VLOOKUP(E213,[2]A023951!D$1:H$1114,{3,5},0)</f>
        <v>-51.5</v>
      </c>
      <c r="L213" s="28">
        <v>-4414.9399999999996</v>
      </c>
      <c r="M213" s="31">
        <f t="shared" si="7"/>
        <v>61.530000000000655</v>
      </c>
    </row>
    <row r="214" spans="1:13" x14ac:dyDescent="0.35">
      <c r="A214" s="28" t="s">
        <v>495</v>
      </c>
      <c r="B214" s="32">
        <v>2025</v>
      </c>
      <c r="C214" s="28" t="s">
        <v>499</v>
      </c>
      <c r="D214" s="29">
        <v>45769</v>
      </c>
      <c r="E214" s="28">
        <v>256779412583</v>
      </c>
      <c r="F214" s="28" t="s">
        <v>11</v>
      </c>
      <c r="G214" s="30">
        <v>51.75</v>
      </c>
      <c r="H214" s="28" t="s">
        <v>56</v>
      </c>
      <c r="I214" s="30">
        <v>4498.2</v>
      </c>
      <c r="J214" s="28" t="s">
        <v>575</v>
      </c>
      <c r="K214" s="28" cm="1">
        <f t="array" ref="K214:L214">VLOOKUP(E214,[2]A023951!D$1:H$1114,{3,5},0)</f>
        <v>-51.75</v>
      </c>
      <c r="L214" s="28">
        <v>-4436.37</v>
      </c>
      <c r="M214" s="31">
        <f t="shared" si="7"/>
        <v>61.829999999999927</v>
      </c>
    </row>
    <row r="215" spans="1:13" x14ac:dyDescent="0.35">
      <c r="A215" s="28" t="s">
        <v>495</v>
      </c>
      <c r="B215" s="32">
        <v>2025</v>
      </c>
      <c r="C215" s="28" t="s">
        <v>499</v>
      </c>
      <c r="D215" s="29">
        <v>45769</v>
      </c>
      <c r="E215" s="28">
        <v>256779412585</v>
      </c>
      <c r="F215" s="28" t="s">
        <v>11</v>
      </c>
      <c r="G215" s="30">
        <v>48.75</v>
      </c>
      <c r="H215" s="28" t="s">
        <v>56</v>
      </c>
      <c r="I215" s="30">
        <v>4237.4399999999996</v>
      </c>
      <c r="J215" s="28" t="s">
        <v>575</v>
      </c>
      <c r="K215" s="28" cm="1">
        <f t="array" ref="K215:L215">VLOOKUP(E215,[2]A023951!D$1:H$1114,{3,5},0)</f>
        <v>-48.75</v>
      </c>
      <c r="L215" s="28">
        <v>-4179.1899999999996</v>
      </c>
      <c r="M215" s="31">
        <f t="shared" si="7"/>
        <v>58.25</v>
      </c>
    </row>
    <row r="216" spans="1:13" x14ac:dyDescent="0.35">
      <c r="A216" s="28" t="s">
        <v>495</v>
      </c>
      <c r="B216" s="32">
        <v>2025</v>
      </c>
      <c r="C216" s="28" t="s">
        <v>499</v>
      </c>
      <c r="D216" s="29">
        <v>45769</v>
      </c>
      <c r="E216" s="28">
        <v>256779412586</v>
      </c>
      <c r="F216" s="28" t="s">
        <v>11</v>
      </c>
      <c r="G216" s="30">
        <v>51.5</v>
      </c>
      <c r="H216" s="28" t="s">
        <v>56</v>
      </c>
      <c r="I216" s="30">
        <v>4476.47</v>
      </c>
      <c r="J216" s="28" t="s">
        <v>575</v>
      </c>
      <c r="K216" s="28" cm="1">
        <f t="array" ref="K216:L216">VLOOKUP(E216,[2]A023951!D$1:H$1114,{3,5},0)</f>
        <v>-51.5</v>
      </c>
      <c r="L216" s="28">
        <v>-4414.9399999999996</v>
      </c>
      <c r="M216" s="31">
        <f t="shared" si="7"/>
        <v>61.530000000000655</v>
      </c>
    </row>
    <row r="217" spans="1:13" x14ac:dyDescent="0.35">
      <c r="A217" s="28" t="s">
        <v>495</v>
      </c>
      <c r="B217" s="32">
        <v>2025</v>
      </c>
      <c r="C217" s="28" t="s">
        <v>499</v>
      </c>
      <c r="D217" s="29">
        <v>45769</v>
      </c>
      <c r="E217" s="28">
        <v>256779412609</v>
      </c>
      <c r="F217" s="28" t="s">
        <v>11</v>
      </c>
      <c r="G217" s="30">
        <v>700.06</v>
      </c>
      <c r="H217" s="28" t="s">
        <v>56</v>
      </c>
      <c r="I217" s="30">
        <v>60850.49</v>
      </c>
      <c r="J217" s="28" t="s">
        <v>652</v>
      </c>
      <c r="K217" s="28" t="e" cm="1">
        <f t="array" ref="K217">VLOOKUP(E217,[2]A023951!D$1:H$1114,{3,5},0)</f>
        <v>#N/A</v>
      </c>
      <c r="L217" s="28"/>
      <c r="M217" s="28"/>
    </row>
    <row r="218" spans="1:13" x14ac:dyDescent="0.35">
      <c r="A218" s="28" t="s">
        <v>495</v>
      </c>
      <c r="B218" s="32">
        <v>2025</v>
      </c>
      <c r="C218" s="28" t="s">
        <v>499</v>
      </c>
      <c r="D218" s="29">
        <v>45769</v>
      </c>
      <c r="E218" s="28">
        <v>256779412649</v>
      </c>
      <c r="F218" s="28" t="s">
        <v>11</v>
      </c>
      <c r="G218" s="30">
        <v>79.650000000000006</v>
      </c>
      <c r="H218" s="28" t="s">
        <v>56</v>
      </c>
      <c r="I218" s="30">
        <v>6923.32</v>
      </c>
      <c r="J218" s="28" t="s">
        <v>653</v>
      </c>
      <c r="K218" s="28" t="e" cm="1">
        <f t="array" ref="K218">VLOOKUP(E218,[2]A023951!D$1:H$1114,{3,5},0)</f>
        <v>#N/A</v>
      </c>
      <c r="L218" s="28"/>
      <c r="M218" s="28"/>
    </row>
    <row r="219" spans="1:13" x14ac:dyDescent="0.35">
      <c r="A219" s="28" t="s">
        <v>495</v>
      </c>
      <c r="B219" s="32">
        <v>2025</v>
      </c>
      <c r="C219" s="28" t="s">
        <v>499</v>
      </c>
      <c r="D219" s="29">
        <v>45918</v>
      </c>
      <c r="E219" s="28">
        <v>256779417517</v>
      </c>
      <c r="F219" s="28" t="s">
        <v>11</v>
      </c>
      <c r="G219" s="30">
        <v>4.68</v>
      </c>
      <c r="H219" s="28" t="s">
        <v>56</v>
      </c>
      <c r="I219" s="30">
        <v>409.57</v>
      </c>
      <c r="J219" s="28" t="s">
        <v>654</v>
      </c>
      <c r="K219" s="28" cm="1">
        <f t="array" ref="K219:L219">VLOOKUP(E219,[2]A023951!D$1:H$1114,{3,5},0)</f>
        <v>-4.68</v>
      </c>
      <c r="L219" s="28">
        <v>-410.21</v>
      </c>
      <c r="M219" s="31">
        <f t="shared" ref="M219:M224" si="8">I219+L219</f>
        <v>-0.63999999999998636</v>
      </c>
    </row>
    <row r="220" spans="1:13" x14ac:dyDescent="0.35">
      <c r="A220" s="28" t="s">
        <v>495</v>
      </c>
      <c r="B220" s="32">
        <v>2025</v>
      </c>
      <c r="C220" s="28" t="s">
        <v>499</v>
      </c>
      <c r="D220" s="29">
        <v>45918</v>
      </c>
      <c r="E220" s="28">
        <v>256779417557</v>
      </c>
      <c r="F220" s="28" t="s">
        <v>11</v>
      </c>
      <c r="G220" s="30">
        <v>725.96</v>
      </c>
      <c r="H220" s="28" t="s">
        <v>56</v>
      </c>
      <c r="I220" s="30">
        <v>63531.9</v>
      </c>
      <c r="J220" s="28" t="s">
        <v>655</v>
      </c>
      <c r="K220" s="28" cm="1">
        <f t="array" ref="K220:L220">VLOOKUP(E220,[2]A023951!D$1:H$1114,{3,5},0)</f>
        <v>-725.96</v>
      </c>
      <c r="L220" s="28">
        <v>-63631.79</v>
      </c>
      <c r="M220" s="31">
        <f t="shared" si="8"/>
        <v>-99.889999999999418</v>
      </c>
    </row>
    <row r="221" spans="1:13" x14ac:dyDescent="0.35">
      <c r="A221" s="28" t="s">
        <v>495</v>
      </c>
      <c r="B221" s="32">
        <v>2025</v>
      </c>
      <c r="C221" s="28" t="s">
        <v>499</v>
      </c>
      <c r="D221" s="29">
        <v>45918</v>
      </c>
      <c r="E221" s="28">
        <v>256779417580</v>
      </c>
      <c r="F221" s="28" t="s">
        <v>11</v>
      </c>
      <c r="G221" s="30">
        <v>184.38</v>
      </c>
      <c r="H221" s="28" t="s">
        <v>56</v>
      </c>
      <c r="I221" s="30">
        <v>16135.89</v>
      </c>
      <c r="J221" s="28" t="s">
        <v>656</v>
      </c>
      <c r="K221" s="28" cm="1">
        <f t="array" ref="K221:L221">VLOOKUP(E221,[2]A023951!D$1:H$1114,{3,5},0)</f>
        <v>-184.38</v>
      </c>
      <c r="L221" s="28">
        <v>-184.38</v>
      </c>
      <c r="M221" s="31">
        <f t="shared" si="8"/>
        <v>15951.51</v>
      </c>
    </row>
    <row r="222" spans="1:13" x14ac:dyDescent="0.35">
      <c r="A222" s="28" t="s">
        <v>495</v>
      </c>
      <c r="B222" s="32">
        <v>2025</v>
      </c>
      <c r="C222" s="28" t="s">
        <v>499</v>
      </c>
      <c r="D222" s="29">
        <v>45918</v>
      </c>
      <c r="E222" s="28">
        <v>256779417597</v>
      </c>
      <c r="F222" s="28" t="s">
        <v>11</v>
      </c>
      <c r="G222" s="30">
        <v>1055.04</v>
      </c>
      <c r="H222" s="28" t="s">
        <v>56</v>
      </c>
      <c r="I222" s="30">
        <v>92331.12</v>
      </c>
      <c r="J222" s="28" t="s">
        <v>657</v>
      </c>
      <c r="K222" s="28" cm="1">
        <f t="array" ref="K222:L222">VLOOKUP(E222,[2]A023951!D$1:H$1114,{3,5},0)</f>
        <v>-1055.04</v>
      </c>
      <c r="L222" s="28">
        <v>-92476.28</v>
      </c>
      <c r="M222" s="31">
        <f t="shared" si="8"/>
        <v>-145.16000000000349</v>
      </c>
    </row>
    <row r="223" spans="1:13" x14ac:dyDescent="0.35">
      <c r="A223" s="28" t="s">
        <v>495</v>
      </c>
      <c r="B223" s="32">
        <v>2025</v>
      </c>
      <c r="C223" s="28" t="s">
        <v>499</v>
      </c>
      <c r="D223" s="29">
        <v>45996</v>
      </c>
      <c r="E223" s="28">
        <v>256779419808</v>
      </c>
      <c r="F223" s="28" t="s">
        <v>11</v>
      </c>
      <c r="G223" s="30">
        <v>27.95</v>
      </c>
      <c r="H223" s="28" t="s">
        <v>56</v>
      </c>
      <c r="I223" s="30">
        <v>2479.17</v>
      </c>
      <c r="J223" s="28" t="s">
        <v>658</v>
      </c>
      <c r="K223" s="28" cm="1">
        <f t="array" ref="K223:L223">VLOOKUP(E223,[2]A023951!D$1:H$1114,{3,5},0)</f>
        <v>-27.95</v>
      </c>
      <c r="L223" s="28">
        <v>-2491.88</v>
      </c>
      <c r="M223" s="31">
        <f t="shared" si="8"/>
        <v>-12.710000000000036</v>
      </c>
    </row>
    <row r="224" spans="1:13" x14ac:dyDescent="0.35">
      <c r="A224" s="28" t="s">
        <v>495</v>
      </c>
      <c r="B224" s="32">
        <v>2025</v>
      </c>
      <c r="C224" s="28" t="s">
        <v>499</v>
      </c>
      <c r="D224" s="29">
        <v>45996</v>
      </c>
      <c r="E224" s="28">
        <v>256779419908</v>
      </c>
      <c r="F224" s="28" t="s">
        <v>11</v>
      </c>
      <c r="G224" s="30">
        <v>375.94</v>
      </c>
      <c r="H224" s="28" t="s">
        <v>56</v>
      </c>
      <c r="I224" s="30">
        <v>33345.93</v>
      </c>
      <c r="J224" s="28" t="s">
        <v>659</v>
      </c>
      <c r="K224" s="28" cm="1">
        <f t="array" ref="K224:L224">VLOOKUP(E224,[2]A023951!D$1:H$1114,{3,5},0)</f>
        <v>-375.94</v>
      </c>
      <c r="L224" s="28">
        <v>-33516.85</v>
      </c>
      <c r="M224" s="31">
        <f t="shared" si="8"/>
        <v>-170.91999999999825</v>
      </c>
    </row>
    <row r="225" spans="1:13" x14ac:dyDescent="0.35">
      <c r="A225" s="28" t="s">
        <v>495</v>
      </c>
      <c r="B225" s="32">
        <v>2025</v>
      </c>
      <c r="C225" s="28" t="s">
        <v>496</v>
      </c>
      <c r="D225" s="29">
        <v>45799</v>
      </c>
      <c r="E225" s="28">
        <v>256779420844</v>
      </c>
      <c r="F225" s="28" t="s">
        <v>56</v>
      </c>
      <c r="G225" s="30">
        <v>-262.20999999999998</v>
      </c>
      <c r="H225" s="28" t="s">
        <v>56</v>
      </c>
      <c r="I225" s="30">
        <v>-262.20999999999998</v>
      </c>
      <c r="J225" s="28" t="s">
        <v>660</v>
      </c>
      <c r="K225" s="28" t="e" cm="1">
        <f t="array" ref="K225">VLOOKUP(E225,[2]A023951!D$1:H$1114,{3,5},0)</f>
        <v>#N/A</v>
      </c>
      <c r="L225" s="28"/>
      <c r="M225" s="28"/>
    </row>
    <row r="226" spans="1:13" x14ac:dyDescent="0.35">
      <c r="A226" s="28" t="s">
        <v>495</v>
      </c>
      <c r="B226" s="32">
        <v>2025</v>
      </c>
      <c r="C226" s="28" t="s">
        <v>496</v>
      </c>
      <c r="D226" s="29">
        <v>45799</v>
      </c>
      <c r="E226" s="28">
        <v>256779420845</v>
      </c>
      <c r="F226" s="28" t="s">
        <v>11</v>
      </c>
      <c r="G226" s="30">
        <v>-466.37</v>
      </c>
      <c r="H226" s="28" t="s">
        <v>56</v>
      </c>
      <c r="I226" s="30">
        <v>-40430.199999999997</v>
      </c>
      <c r="J226" s="28" t="s">
        <v>661</v>
      </c>
      <c r="K226" s="28" t="e" cm="1">
        <f t="array" ref="K226">VLOOKUP(E226,[2]A023951!D$1:H$1114,{3,5},0)</f>
        <v>#N/A</v>
      </c>
      <c r="L226" s="28"/>
      <c r="M226" s="28"/>
    </row>
    <row r="227" spans="1:13" x14ac:dyDescent="0.35">
      <c r="A227" s="28" t="s">
        <v>495</v>
      </c>
      <c r="B227" s="32">
        <v>2025</v>
      </c>
      <c r="C227" s="28" t="s">
        <v>499</v>
      </c>
      <c r="D227" s="29">
        <v>45922</v>
      </c>
      <c r="E227" s="28">
        <v>256779417744</v>
      </c>
      <c r="F227" s="28" t="s">
        <v>11</v>
      </c>
      <c r="G227" s="30">
        <v>870</v>
      </c>
      <c r="H227" s="28" t="s">
        <v>56</v>
      </c>
      <c r="I227" s="30">
        <v>76137.47</v>
      </c>
      <c r="J227" s="28" t="s">
        <v>662</v>
      </c>
      <c r="K227" s="28" cm="1">
        <f t="array" ref="K227:L227">VLOOKUP(E227,[2]A023951!D$1:H$1114,{3,5},0)</f>
        <v>-870</v>
      </c>
      <c r="L227" s="28">
        <v>-76257.17</v>
      </c>
      <c r="M227" s="31">
        <f>I227+L227</f>
        <v>-119.69999999999709</v>
      </c>
    </row>
    <row r="228" spans="1:13" x14ac:dyDescent="0.35">
      <c r="A228" s="28" t="s">
        <v>495</v>
      </c>
      <c r="B228" s="32">
        <v>2025</v>
      </c>
      <c r="C228" s="28" t="s">
        <v>499</v>
      </c>
      <c r="D228" s="29">
        <v>45922</v>
      </c>
      <c r="E228" s="28">
        <v>256779417801</v>
      </c>
      <c r="F228" s="28" t="s">
        <v>11</v>
      </c>
      <c r="G228" s="30">
        <v>4755.47</v>
      </c>
      <c r="H228" s="28" t="s">
        <v>56</v>
      </c>
      <c r="I228" s="30">
        <v>416171.77</v>
      </c>
      <c r="J228" s="28" t="s">
        <v>663</v>
      </c>
      <c r="K228" s="28" cm="1">
        <f t="array" ref="K228:L228">VLOOKUP(E228,[2]A023951!D$1:H$1114,{3,5},0)</f>
        <v>-4755.47</v>
      </c>
      <c r="L228" s="28">
        <v>-416826.08</v>
      </c>
      <c r="M228" s="31">
        <f>I228+L228</f>
        <v>-654.30999999999767</v>
      </c>
    </row>
    <row r="229" spans="1:13" x14ac:dyDescent="0.35">
      <c r="A229" s="28" t="s">
        <v>495</v>
      </c>
      <c r="B229" s="32">
        <v>2025</v>
      </c>
      <c r="C229" s="28" t="s">
        <v>499</v>
      </c>
      <c r="D229" s="29">
        <v>45770</v>
      </c>
      <c r="E229" s="28">
        <v>256779412884</v>
      </c>
      <c r="F229" s="28" t="s">
        <v>11</v>
      </c>
      <c r="G229" s="30">
        <v>136.08000000000001</v>
      </c>
      <c r="H229" s="28" t="s">
        <v>56</v>
      </c>
      <c r="I229" s="30">
        <v>11828.32</v>
      </c>
      <c r="J229" s="28" t="s">
        <v>664</v>
      </c>
      <c r="K229" s="28" t="e" cm="1">
        <f t="array" ref="K229">VLOOKUP(E229,[2]A023951!D$1:H$1114,{3,5},0)</f>
        <v>#N/A</v>
      </c>
      <c r="L229" s="28"/>
      <c r="M229" s="28"/>
    </row>
    <row r="230" spans="1:13" x14ac:dyDescent="0.35">
      <c r="A230" s="28" t="s">
        <v>495</v>
      </c>
      <c r="B230" s="32">
        <v>2025</v>
      </c>
      <c r="C230" s="28" t="s">
        <v>499</v>
      </c>
      <c r="D230" s="29">
        <v>45770</v>
      </c>
      <c r="E230" s="28">
        <v>256779412918</v>
      </c>
      <c r="F230" s="28" t="s">
        <v>11</v>
      </c>
      <c r="G230" s="30">
        <v>183.35</v>
      </c>
      <c r="H230" s="28" t="s">
        <v>56</v>
      </c>
      <c r="I230" s="30">
        <v>15937.12</v>
      </c>
      <c r="J230" s="28" t="s">
        <v>665</v>
      </c>
      <c r="K230" s="28" t="e" cm="1">
        <f t="array" ref="K230">VLOOKUP(E230,[2]A023951!D$1:H$1114,{3,5},0)</f>
        <v>#N/A</v>
      </c>
      <c r="L230" s="28"/>
      <c r="M230" s="28"/>
    </row>
    <row r="231" spans="1:13" x14ac:dyDescent="0.35">
      <c r="A231" s="28" t="s">
        <v>495</v>
      </c>
      <c r="B231" s="32">
        <v>2025</v>
      </c>
      <c r="C231" s="28" t="s">
        <v>499</v>
      </c>
      <c r="D231" s="29">
        <v>45770</v>
      </c>
      <c r="E231" s="28">
        <v>256779412948</v>
      </c>
      <c r="F231" s="28" t="s">
        <v>11</v>
      </c>
      <c r="G231" s="30">
        <v>3.1</v>
      </c>
      <c r="H231" s="28" t="s">
        <v>56</v>
      </c>
      <c r="I231" s="30">
        <v>269.45999999999998</v>
      </c>
      <c r="J231" s="28" t="s">
        <v>665</v>
      </c>
      <c r="K231" s="28" t="e" cm="1">
        <f t="array" ref="K231">VLOOKUP(E231,[2]A023951!D$1:H$1114,{3,5},0)</f>
        <v>#N/A</v>
      </c>
      <c r="L231" s="28"/>
      <c r="M231" s="28"/>
    </row>
    <row r="232" spans="1:13" x14ac:dyDescent="0.35">
      <c r="A232" s="28" t="s">
        <v>495</v>
      </c>
      <c r="B232" s="32">
        <v>2025</v>
      </c>
      <c r="C232" s="28" t="s">
        <v>499</v>
      </c>
      <c r="D232" s="29">
        <v>45737</v>
      </c>
      <c r="E232" s="28">
        <v>246779414296</v>
      </c>
      <c r="F232" s="28" t="s">
        <v>11</v>
      </c>
      <c r="G232" s="30">
        <v>553.87</v>
      </c>
      <c r="H232" s="28" t="s">
        <v>56</v>
      </c>
      <c r="I232" s="30">
        <v>48015.69</v>
      </c>
      <c r="J232" s="28" t="s">
        <v>666</v>
      </c>
      <c r="K232" s="28" t="e" cm="1">
        <f t="array" ref="K232">VLOOKUP(E232,[2]A023951!D$1:H$1114,{3,5},0)</f>
        <v>#N/A</v>
      </c>
      <c r="L232" s="28"/>
      <c r="M232" s="28"/>
    </row>
    <row r="233" spans="1:13" x14ac:dyDescent="0.35">
      <c r="A233" s="28" t="s">
        <v>495</v>
      </c>
      <c r="B233" s="32">
        <v>2025</v>
      </c>
      <c r="C233" s="28" t="s">
        <v>499</v>
      </c>
      <c r="D233" s="29">
        <v>45737</v>
      </c>
      <c r="E233" s="28">
        <v>246779414297</v>
      </c>
      <c r="F233" s="28" t="s">
        <v>11</v>
      </c>
      <c r="G233" s="30">
        <v>424.8</v>
      </c>
      <c r="H233" s="28" t="s">
        <v>56</v>
      </c>
      <c r="I233" s="30">
        <v>36826.449999999997</v>
      </c>
      <c r="J233" s="28" t="s">
        <v>667</v>
      </c>
      <c r="K233" s="28" t="e" cm="1">
        <f t="array" ref="K233">VLOOKUP(E233,[2]A023951!D$1:H$1114,{3,5},0)</f>
        <v>#N/A</v>
      </c>
      <c r="L233" s="28"/>
      <c r="M233" s="28"/>
    </row>
    <row r="234" spans="1:13" x14ac:dyDescent="0.35">
      <c r="A234" s="28" t="s">
        <v>495</v>
      </c>
      <c r="B234" s="32">
        <v>2025</v>
      </c>
      <c r="C234" s="28" t="s">
        <v>499</v>
      </c>
      <c r="D234" s="29">
        <v>45737</v>
      </c>
      <c r="E234" s="28">
        <v>246779414298</v>
      </c>
      <c r="F234" s="28" t="s">
        <v>11</v>
      </c>
      <c r="G234" s="30">
        <v>70.8</v>
      </c>
      <c r="H234" s="28" t="s">
        <v>56</v>
      </c>
      <c r="I234" s="30">
        <v>6137.74</v>
      </c>
      <c r="J234" s="28" t="s">
        <v>668</v>
      </c>
      <c r="K234" s="28" t="e" cm="1">
        <f t="array" ref="K234">VLOOKUP(E234,[2]A023951!D$1:H$1114,{3,5},0)</f>
        <v>#N/A</v>
      </c>
      <c r="L234" s="28"/>
      <c r="M234" s="28"/>
    </row>
    <row r="235" spans="1:13" x14ac:dyDescent="0.35">
      <c r="A235" s="28" t="s">
        <v>495</v>
      </c>
      <c r="B235" s="32">
        <v>2025</v>
      </c>
      <c r="C235" s="28" t="s">
        <v>499</v>
      </c>
      <c r="D235" s="29">
        <v>45810</v>
      </c>
      <c r="E235" s="28">
        <v>256779413931</v>
      </c>
      <c r="F235" s="28" t="s">
        <v>11</v>
      </c>
      <c r="G235" s="30">
        <v>395.23</v>
      </c>
      <c r="H235" s="28" t="s">
        <v>56</v>
      </c>
      <c r="I235" s="30">
        <v>33788.519999999997</v>
      </c>
      <c r="J235" s="28" t="s">
        <v>669</v>
      </c>
      <c r="K235" s="28" cm="1">
        <f t="array" ref="K235:L235">VLOOKUP(E235,[2]A023951!D$1:H$1114,{3,5},0)</f>
        <v>-395.23</v>
      </c>
      <c r="L235" s="28">
        <v>-33619.879999999997</v>
      </c>
      <c r="M235" s="31">
        <f>I235+L235</f>
        <v>168.63999999999942</v>
      </c>
    </row>
    <row r="236" spans="1:13" x14ac:dyDescent="0.35">
      <c r="A236" s="28" t="s">
        <v>495</v>
      </c>
      <c r="B236" s="32">
        <v>2025</v>
      </c>
      <c r="C236" s="28" t="s">
        <v>499</v>
      </c>
      <c r="D236" s="29">
        <v>45810</v>
      </c>
      <c r="E236" s="28">
        <v>256779413972</v>
      </c>
      <c r="F236" s="28" t="s">
        <v>56</v>
      </c>
      <c r="G236" s="30">
        <v>262.20999999999998</v>
      </c>
      <c r="H236" s="28" t="s">
        <v>56</v>
      </c>
      <c r="I236" s="30">
        <v>262.20999999999998</v>
      </c>
      <c r="J236" s="28" t="s">
        <v>670</v>
      </c>
      <c r="K236" s="28" cm="1">
        <f t="array" ref="K236:L236">VLOOKUP(E236,[2]A023951!D$1:H$1114,{3,5},0)</f>
        <v>0</v>
      </c>
      <c r="L236" s="28">
        <v>-262</v>
      </c>
      <c r="M236" s="31">
        <f>I236+L236</f>
        <v>0.20999999999997954</v>
      </c>
    </row>
    <row r="237" spans="1:13" x14ac:dyDescent="0.35">
      <c r="A237" s="28" t="s">
        <v>495</v>
      </c>
      <c r="B237" s="32">
        <v>2025</v>
      </c>
      <c r="C237" s="28" t="s">
        <v>499</v>
      </c>
      <c r="D237" s="29">
        <v>45937</v>
      </c>
      <c r="E237" s="28">
        <v>256779418176</v>
      </c>
      <c r="F237" s="28" t="s">
        <v>11</v>
      </c>
      <c r="G237" s="30">
        <v>639.04999999999995</v>
      </c>
      <c r="H237" s="28" t="s">
        <v>56</v>
      </c>
      <c r="I237" s="30">
        <v>56358.31</v>
      </c>
      <c r="J237" s="28" t="s">
        <v>671</v>
      </c>
      <c r="K237" s="28" cm="1">
        <f t="array" ref="K237:L237">VLOOKUP(E237,[2]A023951!D$1:H$1114,{3,5},0)</f>
        <v>-639.04999999999995</v>
      </c>
      <c r="L237" s="28">
        <v>-56657.85</v>
      </c>
      <c r="M237" s="31">
        <f>I237+L237</f>
        <v>-299.54000000000087</v>
      </c>
    </row>
    <row r="238" spans="1:13" x14ac:dyDescent="0.35">
      <c r="A238" s="28" t="s">
        <v>495</v>
      </c>
      <c r="B238" s="32">
        <v>2025</v>
      </c>
      <c r="C238" s="28" t="s">
        <v>499</v>
      </c>
      <c r="D238" s="29">
        <v>45937</v>
      </c>
      <c r="E238" s="28">
        <v>256779418185</v>
      </c>
      <c r="F238" s="28" t="s">
        <v>11</v>
      </c>
      <c r="G238" s="30">
        <v>405.44</v>
      </c>
      <c r="H238" s="28" t="s">
        <v>56</v>
      </c>
      <c r="I238" s="30">
        <v>35756.07</v>
      </c>
      <c r="J238" s="28" t="s">
        <v>672</v>
      </c>
      <c r="K238" s="28" t="e" cm="1">
        <f t="array" ref="K238">VLOOKUP(E238,[2]A023951!D$1:H$1114,{3,5},0)</f>
        <v>#N/A</v>
      </c>
      <c r="L238" s="28"/>
      <c r="M238" s="28"/>
    </row>
    <row r="239" spans="1:13" x14ac:dyDescent="0.35">
      <c r="A239" s="28" t="s">
        <v>495</v>
      </c>
      <c r="B239" s="32">
        <v>2025</v>
      </c>
      <c r="C239" s="28" t="s">
        <v>499</v>
      </c>
      <c r="D239" s="29">
        <v>45857</v>
      </c>
      <c r="E239" s="28">
        <v>256779415769</v>
      </c>
      <c r="F239" s="28" t="s">
        <v>11</v>
      </c>
      <c r="G239" s="30">
        <v>234.91</v>
      </c>
      <c r="H239" s="28" t="s">
        <v>56</v>
      </c>
      <c r="I239" s="30">
        <v>20202.419999999998</v>
      </c>
      <c r="J239" s="28" t="s">
        <v>673</v>
      </c>
      <c r="K239" s="28" cm="1">
        <f t="array" ref="K239:L239">VLOOKUP(E239,[2]A023951!D$1:H$1114,{3,5},0)</f>
        <v>-234.91</v>
      </c>
      <c r="L239" s="28">
        <v>-20199.8</v>
      </c>
      <c r="M239" s="31">
        <f>I239+L239</f>
        <v>2.6199999999989814</v>
      </c>
    </row>
    <row r="240" spans="1:13" x14ac:dyDescent="0.35">
      <c r="A240" s="28" t="s">
        <v>495</v>
      </c>
      <c r="B240" s="32">
        <v>2025</v>
      </c>
      <c r="C240" s="28" t="s">
        <v>499</v>
      </c>
      <c r="D240" s="29">
        <v>45787</v>
      </c>
      <c r="E240" s="28">
        <v>256779413240</v>
      </c>
      <c r="F240" s="28" t="s">
        <v>11</v>
      </c>
      <c r="G240" s="30">
        <v>424.03</v>
      </c>
      <c r="H240" s="28" t="s">
        <v>56</v>
      </c>
      <c r="I240" s="30">
        <v>36459.67</v>
      </c>
      <c r="J240" s="28" t="s">
        <v>674</v>
      </c>
      <c r="K240" s="28" cm="1">
        <f t="array" ref="K240:L240">VLOOKUP(E240,[2]A023951!D$1:H$1114,{3,5},0)</f>
        <v>-424.03</v>
      </c>
      <c r="L240" s="28">
        <v>-36201.339999999997</v>
      </c>
      <c r="M240" s="31">
        <f>I240+L240</f>
        <v>258.33000000000175</v>
      </c>
    </row>
    <row r="241" spans="1:13" x14ac:dyDescent="0.35">
      <c r="A241" s="28" t="s">
        <v>495</v>
      </c>
      <c r="B241" s="32">
        <v>2025</v>
      </c>
      <c r="C241" s="28" t="s">
        <v>499</v>
      </c>
      <c r="D241" s="29">
        <v>45787</v>
      </c>
      <c r="E241" s="28">
        <v>256779413250</v>
      </c>
      <c r="F241" s="28" t="s">
        <v>11</v>
      </c>
      <c r="G241" s="30">
        <v>423.28</v>
      </c>
      <c r="H241" s="28" t="s">
        <v>56</v>
      </c>
      <c r="I241" s="30">
        <v>36395.18</v>
      </c>
      <c r="J241" s="28" t="s">
        <v>675</v>
      </c>
      <c r="K241" s="28" cm="1">
        <f t="array" ref="K241:L241">VLOOKUP(E241,[2]A023951!D$1:H$1114,{3,5},0)</f>
        <v>-423.28</v>
      </c>
      <c r="L241" s="28">
        <v>-36137.300000000003</v>
      </c>
      <c r="M241" s="31">
        <f>I241+L241</f>
        <v>257.87999999999738</v>
      </c>
    </row>
    <row r="242" spans="1:13" x14ac:dyDescent="0.35">
      <c r="A242" s="28" t="s">
        <v>495</v>
      </c>
      <c r="B242" s="32">
        <v>2025</v>
      </c>
      <c r="C242" s="28" t="s">
        <v>499</v>
      </c>
      <c r="D242" s="29">
        <v>45787</v>
      </c>
      <c r="E242" s="28">
        <v>256779413161</v>
      </c>
      <c r="F242" s="28" t="s">
        <v>11</v>
      </c>
      <c r="G242" s="30">
        <v>707.71</v>
      </c>
      <c r="H242" s="28" t="s">
        <v>56</v>
      </c>
      <c r="I242" s="30">
        <v>60851.519999999997</v>
      </c>
      <c r="J242" s="28" t="s">
        <v>676</v>
      </c>
      <c r="K242" s="28" t="e" cm="1">
        <f t="array" ref="K242">VLOOKUP(E242,[2]A023951!D$1:H$1114,{3,5},0)</f>
        <v>#N/A</v>
      </c>
      <c r="L242" s="28"/>
      <c r="M242" s="28"/>
    </row>
    <row r="243" spans="1:13" x14ac:dyDescent="0.35">
      <c r="A243" s="28" t="s">
        <v>495</v>
      </c>
      <c r="B243" s="32">
        <v>2025</v>
      </c>
      <c r="C243" s="28" t="s">
        <v>499</v>
      </c>
      <c r="D243" s="29">
        <v>45787</v>
      </c>
      <c r="E243" s="28">
        <v>256779413169</v>
      </c>
      <c r="F243" s="28" t="s">
        <v>11</v>
      </c>
      <c r="G243" s="30">
        <v>3.78</v>
      </c>
      <c r="H243" s="28" t="s">
        <v>56</v>
      </c>
      <c r="I243" s="30">
        <v>325.02</v>
      </c>
      <c r="J243" s="28" t="s">
        <v>677</v>
      </c>
      <c r="K243" s="28" t="e" cm="1">
        <f t="array" ref="K243">VLOOKUP(E243,[2]A023951!D$1:H$1114,{3,5},0)</f>
        <v>#N/A</v>
      </c>
      <c r="L243" s="28"/>
      <c r="M243" s="28"/>
    </row>
    <row r="244" spans="1:13" x14ac:dyDescent="0.35">
      <c r="A244" s="28" t="s">
        <v>495</v>
      </c>
      <c r="B244" s="32">
        <v>2025</v>
      </c>
      <c r="C244" s="28" t="s">
        <v>499</v>
      </c>
      <c r="D244" s="29">
        <v>45997</v>
      </c>
      <c r="E244" s="28">
        <v>256779419983</v>
      </c>
      <c r="F244" s="28" t="s">
        <v>11</v>
      </c>
      <c r="G244" s="30">
        <v>55.63</v>
      </c>
      <c r="H244" s="28" t="s">
        <v>56</v>
      </c>
      <c r="I244" s="30">
        <v>4934.3900000000003</v>
      </c>
      <c r="J244" s="28" t="s">
        <v>678</v>
      </c>
      <c r="K244" s="28" cm="1">
        <f t="array" ref="K244:L244">VLOOKUP(E244,[2]A023951!D$1:H$1114,{3,5},0)</f>
        <v>-55.63</v>
      </c>
      <c r="L244" s="28">
        <v>-4959.68</v>
      </c>
      <c r="M244" s="31">
        <f>I244+L244</f>
        <v>-25.289999999999964</v>
      </c>
    </row>
    <row r="245" spans="1:13" x14ac:dyDescent="0.35">
      <c r="A245" s="28" t="s">
        <v>495</v>
      </c>
      <c r="B245" s="32">
        <v>2025</v>
      </c>
      <c r="C245" s="28" t="s">
        <v>499</v>
      </c>
      <c r="D245" s="29">
        <v>45948</v>
      </c>
      <c r="E245" s="28">
        <v>256779418424</v>
      </c>
      <c r="F245" s="28" t="s">
        <v>11</v>
      </c>
      <c r="G245" s="30">
        <v>1334.62</v>
      </c>
      <c r="H245" s="28" t="s">
        <v>56</v>
      </c>
      <c r="I245" s="30">
        <v>117701.17</v>
      </c>
      <c r="J245" s="28" t="s">
        <v>679</v>
      </c>
      <c r="K245" s="28" cm="1">
        <f t="array" ref="K245:L245">VLOOKUP(E245,[2]A023951!D$1:H$1114,{3,5},0)</f>
        <v>-1334.62</v>
      </c>
      <c r="L245" s="28">
        <v>-118326.74</v>
      </c>
      <c r="M245" s="31">
        <f>I245+L245</f>
        <v>-625.57000000000698</v>
      </c>
    </row>
    <row r="246" spans="1:13" x14ac:dyDescent="0.35">
      <c r="A246" s="28" t="s">
        <v>495</v>
      </c>
      <c r="B246" s="32">
        <v>2025</v>
      </c>
      <c r="C246" s="28" t="s">
        <v>499</v>
      </c>
      <c r="D246" s="29">
        <v>45948</v>
      </c>
      <c r="E246" s="28">
        <v>256779418433</v>
      </c>
      <c r="F246" s="28" t="s">
        <v>11</v>
      </c>
      <c r="G246" s="30">
        <v>351.43</v>
      </c>
      <c r="H246" s="28" t="s">
        <v>56</v>
      </c>
      <c r="I246" s="30">
        <v>30992.880000000001</v>
      </c>
      <c r="J246" s="28" t="s">
        <v>680</v>
      </c>
      <c r="K246" s="28" cm="1">
        <f t="array" ref="K246:L246">VLOOKUP(E246,[2]A023951!D$1:H$1114,{3,5},0)</f>
        <v>-351.43</v>
      </c>
      <c r="L246" s="28">
        <v>-31157.61</v>
      </c>
      <c r="M246" s="31">
        <f>I246+L246</f>
        <v>-164.72999999999956</v>
      </c>
    </row>
    <row r="247" spans="1:13" x14ac:dyDescent="0.35">
      <c r="A247" s="28" t="s">
        <v>495</v>
      </c>
      <c r="B247" s="32">
        <v>2025</v>
      </c>
      <c r="C247" s="28" t="s">
        <v>499</v>
      </c>
      <c r="D247" s="29">
        <v>45815</v>
      </c>
      <c r="E247" s="28">
        <v>256779414253</v>
      </c>
      <c r="F247" s="28" t="s">
        <v>11</v>
      </c>
      <c r="G247" s="30">
        <v>9947.26</v>
      </c>
      <c r="H247" s="28" t="s">
        <v>56</v>
      </c>
      <c r="I247" s="30">
        <v>850399.02</v>
      </c>
      <c r="J247" s="28" t="s">
        <v>681</v>
      </c>
      <c r="K247" s="28" t="e" cm="1">
        <f t="array" ref="K247">VLOOKUP(E247,[2]A023951!D$1:H$1114,{3,5},0)</f>
        <v>#N/A</v>
      </c>
      <c r="L247" s="28"/>
      <c r="M247" s="28"/>
    </row>
    <row r="248" spans="1:13" x14ac:dyDescent="0.35">
      <c r="A248" s="28" t="s">
        <v>495</v>
      </c>
      <c r="B248" s="32">
        <v>2025</v>
      </c>
      <c r="C248" s="28" t="s">
        <v>499</v>
      </c>
      <c r="D248" s="29">
        <v>45936</v>
      </c>
      <c r="E248" s="28">
        <v>256779418006</v>
      </c>
      <c r="F248" s="28" t="s">
        <v>11</v>
      </c>
      <c r="G248" s="30">
        <v>4667.07</v>
      </c>
      <c r="H248" s="28" t="s">
        <v>56</v>
      </c>
      <c r="I248" s="30">
        <v>411592.5</v>
      </c>
      <c r="J248" s="28" t="s">
        <v>682</v>
      </c>
      <c r="K248" s="28" cm="1">
        <f t="array" ref="K248:L248">VLOOKUP(E248,[2]A023951!D$1:H$1114,{3,5},0)</f>
        <v>-4667.07</v>
      </c>
      <c r="L248" s="28">
        <v>-413780.08</v>
      </c>
      <c r="M248" s="31">
        <f>I248+L248</f>
        <v>-2187.5800000000163</v>
      </c>
    </row>
    <row r="249" spans="1:13" x14ac:dyDescent="0.35">
      <c r="A249" s="28" t="s">
        <v>495</v>
      </c>
      <c r="B249" s="32">
        <v>2025</v>
      </c>
      <c r="C249" s="28" t="s">
        <v>499</v>
      </c>
      <c r="D249" s="29">
        <v>45935</v>
      </c>
      <c r="E249" s="28">
        <v>256779417892</v>
      </c>
      <c r="F249" s="28" t="s">
        <v>11</v>
      </c>
      <c r="G249" s="30">
        <v>58.45</v>
      </c>
      <c r="H249" s="28" t="s">
        <v>56</v>
      </c>
      <c r="I249" s="30">
        <v>5154.75</v>
      </c>
      <c r="J249" s="28" t="s">
        <v>683</v>
      </c>
      <c r="K249" s="28" cm="1">
        <f t="array" ref="K249:L249">VLOOKUP(E249,[2]A023951!D$1:H$1114,{3,5},0)</f>
        <v>-58.45</v>
      </c>
      <c r="L249" s="28">
        <v>-5182.1499999999996</v>
      </c>
      <c r="M249" s="31">
        <f>I249+L249</f>
        <v>-27.399999999999636</v>
      </c>
    </row>
    <row r="250" spans="1:13" x14ac:dyDescent="0.35">
      <c r="A250" s="28" t="s">
        <v>495</v>
      </c>
      <c r="B250" s="32">
        <v>2025</v>
      </c>
      <c r="C250" s="28" t="s">
        <v>499</v>
      </c>
      <c r="D250" s="29">
        <v>45935</v>
      </c>
      <c r="E250" s="28">
        <v>256779417931</v>
      </c>
      <c r="F250" s="28" t="s">
        <v>11</v>
      </c>
      <c r="G250" s="30">
        <v>288.83999999999997</v>
      </c>
      <c r="H250" s="28" t="s">
        <v>56</v>
      </c>
      <c r="I250" s="30">
        <v>25473.02</v>
      </c>
      <c r="J250" s="28" t="s">
        <v>684</v>
      </c>
      <c r="K250" s="28" cm="1">
        <f t="array" ref="K250:L250">VLOOKUP(E250,[2]A023951!D$1:H$1114,{3,5},0)</f>
        <v>-288.83999999999997</v>
      </c>
      <c r="L250" s="28">
        <v>-25608.41</v>
      </c>
      <c r="M250" s="31">
        <f>I250+L250</f>
        <v>-135.38999999999942</v>
      </c>
    </row>
    <row r="251" spans="1:13" x14ac:dyDescent="0.35">
      <c r="A251" s="28" t="s">
        <v>495</v>
      </c>
      <c r="B251" s="32">
        <v>2025</v>
      </c>
      <c r="C251" s="28" t="s">
        <v>499</v>
      </c>
      <c r="D251" s="29">
        <v>45935</v>
      </c>
      <c r="E251" s="28">
        <v>256779417971</v>
      </c>
      <c r="F251" s="28" t="s">
        <v>11</v>
      </c>
      <c r="G251" s="30">
        <v>94.81</v>
      </c>
      <c r="H251" s="28" t="s">
        <v>56</v>
      </c>
      <c r="I251" s="30">
        <v>8361.3700000000008</v>
      </c>
      <c r="J251" s="28" t="s">
        <v>685</v>
      </c>
      <c r="K251" s="28" cm="1">
        <f t="array" ref="K251:L251">VLOOKUP(E251,[2]A023951!D$1:H$1114,{3,5},0)</f>
        <v>-94.81</v>
      </c>
      <c r="L251" s="28">
        <v>-8405.81</v>
      </c>
      <c r="M251" s="31">
        <f>I251+L251</f>
        <v>-44.43999999999869</v>
      </c>
    </row>
    <row r="252" spans="1:13" x14ac:dyDescent="0.35">
      <c r="A252" s="28" t="s">
        <v>495</v>
      </c>
      <c r="B252" s="32">
        <v>2025</v>
      </c>
      <c r="C252" s="28" t="s">
        <v>499</v>
      </c>
      <c r="D252" s="29">
        <v>45935</v>
      </c>
      <c r="E252" s="28">
        <v>256779418357</v>
      </c>
      <c r="F252" s="28" t="s">
        <v>11</v>
      </c>
      <c r="G252" s="30">
        <v>394.19</v>
      </c>
      <c r="H252" s="28" t="s">
        <v>56</v>
      </c>
      <c r="I252" s="30">
        <v>34763.919999999998</v>
      </c>
      <c r="J252" s="28" t="s">
        <v>686</v>
      </c>
      <c r="K252" s="28" t="e" cm="1">
        <f t="array" ref="K252">VLOOKUP(E252,[2]A023951!D$1:H$1114,{3,5},0)</f>
        <v>#N/A</v>
      </c>
      <c r="L252" s="28"/>
      <c r="M252" s="28"/>
    </row>
    <row r="253" spans="1:13" x14ac:dyDescent="0.35">
      <c r="A253" s="28" t="s">
        <v>495</v>
      </c>
      <c r="B253" s="32">
        <v>2025</v>
      </c>
      <c r="C253" s="28" t="s">
        <v>499</v>
      </c>
      <c r="D253" s="29">
        <v>45935</v>
      </c>
      <c r="E253" s="28">
        <v>256779418391</v>
      </c>
      <c r="F253" s="28" t="s">
        <v>11</v>
      </c>
      <c r="G253" s="30">
        <v>38.51</v>
      </c>
      <c r="H253" s="28" t="s">
        <v>56</v>
      </c>
      <c r="I253" s="30">
        <v>3396.23</v>
      </c>
      <c r="J253" s="28" t="s">
        <v>687</v>
      </c>
      <c r="K253" s="28" cm="1">
        <f t="array" ref="K253:L253">VLOOKUP(E253,[2]A023951!D$1:H$1114,{3,5},0)</f>
        <v>-38.51</v>
      </c>
      <c r="L253" s="28">
        <v>-3414.28</v>
      </c>
      <c r="M253" s="31">
        <f>I253+L253</f>
        <v>-18.050000000000182</v>
      </c>
    </row>
    <row r="254" spans="1:13" x14ac:dyDescent="0.35">
      <c r="A254" s="28" t="s">
        <v>495</v>
      </c>
      <c r="B254" s="32">
        <v>2025</v>
      </c>
      <c r="C254" s="28" t="s">
        <v>499</v>
      </c>
      <c r="D254" s="29">
        <v>45935</v>
      </c>
      <c r="E254" s="28">
        <v>256779418068</v>
      </c>
      <c r="F254" s="28" t="s">
        <v>11</v>
      </c>
      <c r="G254" s="30">
        <v>94.81</v>
      </c>
      <c r="H254" s="28" t="s">
        <v>56</v>
      </c>
      <c r="I254" s="30">
        <v>8361.3700000000008</v>
      </c>
      <c r="J254" s="28" t="s">
        <v>685</v>
      </c>
      <c r="K254" s="28" t="e" cm="1">
        <f t="array" ref="K254">VLOOKUP(E254,[2]A023951!D$1:H$1114,{3,5},0)</f>
        <v>#N/A</v>
      </c>
      <c r="L254" s="28"/>
      <c r="M254" s="28"/>
    </row>
    <row r="255" spans="1:13" x14ac:dyDescent="0.35">
      <c r="A255" s="28" t="s">
        <v>495</v>
      </c>
      <c r="B255" s="32">
        <v>2025</v>
      </c>
      <c r="C255" s="28" t="s">
        <v>499</v>
      </c>
      <c r="D255" s="29">
        <v>45906</v>
      </c>
      <c r="E255" s="28">
        <v>256779417093</v>
      </c>
      <c r="F255" s="28" t="s">
        <v>11</v>
      </c>
      <c r="G255" s="30">
        <v>4608.8</v>
      </c>
      <c r="H255" s="28" t="s">
        <v>56</v>
      </c>
      <c r="I255" s="30">
        <v>403336.04</v>
      </c>
      <c r="J255" s="28" t="s">
        <v>688</v>
      </c>
      <c r="K255" s="28" t="e" cm="1">
        <f t="array" ref="K255">VLOOKUP(E255,[2]A023951!D$1:H$1114,{3,5},0)</f>
        <v>#N/A</v>
      </c>
      <c r="L255" s="28"/>
      <c r="M255" s="28"/>
    </row>
    <row r="256" spans="1:13" x14ac:dyDescent="0.35">
      <c r="A256" s="28" t="s">
        <v>495</v>
      </c>
      <c r="B256" s="32">
        <v>2025</v>
      </c>
      <c r="C256" s="28" t="s">
        <v>499</v>
      </c>
      <c r="D256" s="29">
        <v>45795</v>
      </c>
      <c r="E256" s="28">
        <v>256779413859</v>
      </c>
      <c r="F256" s="28" t="s">
        <v>11</v>
      </c>
      <c r="G256" s="30">
        <v>413</v>
      </c>
      <c r="H256" s="28" t="s">
        <v>56</v>
      </c>
      <c r="I256" s="30">
        <v>35511.269999999997</v>
      </c>
      <c r="J256" s="28" t="s">
        <v>689</v>
      </c>
      <c r="K256" s="28" t="e" cm="1">
        <f t="array" ref="K256">VLOOKUP(E256,[2]A023951!D$1:H$1114,{3,5},0)</f>
        <v>#N/A</v>
      </c>
      <c r="L256" s="28"/>
      <c r="M256" s="28"/>
    </row>
    <row r="257" spans="1:13" x14ac:dyDescent="0.35">
      <c r="A257" s="28" t="s">
        <v>495</v>
      </c>
      <c r="B257" s="32">
        <v>2026</v>
      </c>
      <c r="C257" s="28" t="s">
        <v>499</v>
      </c>
      <c r="D257" s="29">
        <v>46024</v>
      </c>
      <c r="E257" s="28">
        <v>256779440007</v>
      </c>
      <c r="F257" s="28" t="s">
        <v>11</v>
      </c>
      <c r="G257" s="30">
        <v>1332.49</v>
      </c>
      <c r="H257" s="28" t="s">
        <v>56</v>
      </c>
      <c r="I257" s="30">
        <v>120914.33</v>
      </c>
      <c r="J257" s="28" t="s">
        <v>690</v>
      </c>
      <c r="K257" s="28" t="e" cm="1">
        <f t="array" ref="K257">VLOOKUP(E257,[2]A023951!D$1:H$1114,{3,5},0)</f>
        <v>#N/A</v>
      </c>
      <c r="L257" s="28"/>
      <c r="M257" s="28"/>
    </row>
    <row r="258" spans="1:13" x14ac:dyDescent="0.35">
      <c r="A258" s="28" t="s">
        <v>495</v>
      </c>
      <c r="B258" s="32">
        <v>2026</v>
      </c>
      <c r="C258" s="28" t="s">
        <v>496</v>
      </c>
      <c r="D258" s="29">
        <v>46027</v>
      </c>
      <c r="E258" s="28">
        <v>256779422164</v>
      </c>
      <c r="F258" s="28" t="s">
        <v>11</v>
      </c>
      <c r="G258" s="30">
        <v>-562.38</v>
      </c>
      <c r="H258" s="28" t="s">
        <v>56</v>
      </c>
      <c r="I258" s="30">
        <v>-51032.13</v>
      </c>
      <c r="J258" s="28" t="s">
        <v>691</v>
      </c>
      <c r="K258" s="28" t="e" cm="1">
        <f t="array" ref="K258">VLOOKUP(E258,[2]A023951!D$1:H$1114,{3,5},0)</f>
        <v>#N/A</v>
      </c>
      <c r="L258" s="28"/>
      <c r="M258" s="28"/>
    </row>
    <row r="259" spans="1:13" x14ac:dyDescent="0.35">
      <c r="A259" s="28" t="s">
        <v>495</v>
      </c>
      <c r="B259" s="32">
        <v>2026</v>
      </c>
      <c r="C259" s="28" t="s">
        <v>496</v>
      </c>
      <c r="D259" s="29">
        <v>46027</v>
      </c>
      <c r="E259" s="28">
        <v>256779422170</v>
      </c>
      <c r="F259" s="28" t="s">
        <v>11</v>
      </c>
      <c r="G259" s="30">
        <v>-13.59</v>
      </c>
      <c r="H259" s="28" t="s">
        <v>56</v>
      </c>
      <c r="I259" s="30">
        <v>-1233.2</v>
      </c>
      <c r="J259" s="28" t="s">
        <v>692</v>
      </c>
      <c r="K259" s="28" t="e" cm="1">
        <f t="array" ref="K259">VLOOKUP(E259,[2]A023951!D$1:H$1114,{3,5},0)</f>
        <v>#N/A</v>
      </c>
      <c r="L259" s="28"/>
      <c r="M259" s="28"/>
    </row>
    <row r="260" spans="1:13" x14ac:dyDescent="0.35">
      <c r="A260" s="28" t="s">
        <v>495</v>
      </c>
      <c r="B260" s="32">
        <v>2026</v>
      </c>
      <c r="C260" s="28" t="s">
        <v>499</v>
      </c>
      <c r="D260" s="29">
        <v>46027</v>
      </c>
      <c r="E260" s="28">
        <v>256779440060</v>
      </c>
      <c r="F260" s="28" t="s">
        <v>11</v>
      </c>
      <c r="G260" s="30">
        <v>198.57</v>
      </c>
      <c r="H260" s="28" t="s">
        <v>56</v>
      </c>
      <c r="I260" s="30">
        <v>18018.87</v>
      </c>
      <c r="J260" s="28" t="s">
        <v>693</v>
      </c>
      <c r="K260" s="28" t="e" cm="1">
        <f t="array" ref="K260">VLOOKUP(E260,[2]A023951!D$1:H$1114,{3,5},0)</f>
        <v>#N/A</v>
      </c>
      <c r="L260" s="28"/>
      <c r="M260" s="28"/>
    </row>
    <row r="261" spans="1:13" x14ac:dyDescent="0.35">
      <c r="A261" s="28" t="s">
        <v>495</v>
      </c>
      <c r="B261" s="32">
        <v>2026</v>
      </c>
      <c r="C261" s="28" t="s">
        <v>499</v>
      </c>
      <c r="D261" s="29">
        <v>46027</v>
      </c>
      <c r="E261" s="28">
        <v>256779440067</v>
      </c>
      <c r="F261" s="28" t="s">
        <v>11</v>
      </c>
      <c r="G261" s="30">
        <v>100.07</v>
      </c>
      <c r="H261" s="28" t="s">
        <v>56</v>
      </c>
      <c r="I261" s="30">
        <v>9080.67</v>
      </c>
      <c r="J261" s="28" t="s">
        <v>694</v>
      </c>
      <c r="K261" s="28" t="e" cm="1">
        <f t="array" ref="K261">VLOOKUP(E261,[2]A023951!D$1:H$1114,{3,5},0)</f>
        <v>#N/A</v>
      </c>
      <c r="L261" s="28"/>
      <c r="M261" s="28"/>
    </row>
    <row r="262" spans="1:13" x14ac:dyDescent="0.35">
      <c r="A262" s="28" t="s">
        <v>495</v>
      </c>
      <c r="B262" s="32">
        <v>2026</v>
      </c>
      <c r="C262" s="28" t="s">
        <v>499</v>
      </c>
      <c r="D262" s="29">
        <v>46027</v>
      </c>
      <c r="E262" s="28">
        <v>256779440078</v>
      </c>
      <c r="F262" s="28" t="s">
        <v>11</v>
      </c>
      <c r="G262" s="30">
        <v>78.75</v>
      </c>
      <c r="H262" s="28" t="s">
        <v>56</v>
      </c>
      <c r="I262" s="30">
        <v>7146.02</v>
      </c>
      <c r="J262" s="28" t="s">
        <v>695</v>
      </c>
      <c r="K262" s="28" t="e" cm="1">
        <f t="array" ref="K262">VLOOKUP(E262,[2]A023951!D$1:H$1114,{3,5},0)</f>
        <v>#N/A</v>
      </c>
      <c r="L262" s="28"/>
      <c r="M262" s="28"/>
    </row>
    <row r="263" spans="1:13" x14ac:dyDescent="0.35">
      <c r="A263" s="28" t="s">
        <v>495</v>
      </c>
      <c r="B263" s="32">
        <v>2026</v>
      </c>
      <c r="C263" s="28" t="s">
        <v>499</v>
      </c>
      <c r="D263" s="29">
        <v>46027</v>
      </c>
      <c r="E263" s="28">
        <v>256779440116</v>
      </c>
      <c r="F263" s="28" t="s">
        <v>11</v>
      </c>
      <c r="G263" s="30">
        <v>498.28</v>
      </c>
      <c r="H263" s="28" t="s">
        <v>56</v>
      </c>
      <c r="I263" s="30">
        <v>45215.49</v>
      </c>
      <c r="J263" s="28" t="s">
        <v>696</v>
      </c>
      <c r="K263" s="28" t="e" cm="1">
        <f t="array" ref="K263">VLOOKUP(E263,[2]A023951!D$1:H$1114,{3,5},0)</f>
        <v>#N/A</v>
      </c>
      <c r="L263" s="28"/>
      <c r="M263" s="28"/>
    </row>
    <row r="264" spans="1:13" x14ac:dyDescent="0.35">
      <c r="A264" s="28" t="s">
        <v>495</v>
      </c>
      <c r="B264" s="32">
        <v>2026</v>
      </c>
      <c r="C264" s="28" t="s">
        <v>697</v>
      </c>
      <c r="D264" s="29">
        <v>46030</v>
      </c>
      <c r="E264" s="28" t="s">
        <v>497</v>
      </c>
      <c r="F264" s="28" t="s">
        <v>56</v>
      </c>
      <c r="G264" s="30">
        <v>-719881.09</v>
      </c>
      <c r="H264" s="28" t="s">
        <v>56</v>
      </c>
      <c r="I264" s="30">
        <v>-719881.09</v>
      </c>
      <c r="J264" s="28" t="s">
        <v>497</v>
      </c>
      <c r="K264" s="28" t="e" cm="1">
        <f t="array" ref="K264">VLOOKUP(E264,[2]A023951!D$1:H$1114,{3,5},0)</f>
        <v>#N/A</v>
      </c>
      <c r="L264" s="28"/>
      <c r="M264" s="28"/>
    </row>
    <row r="265" spans="1:13" x14ac:dyDescent="0.35">
      <c r="A265" s="28" t="s">
        <v>495</v>
      </c>
      <c r="B265" s="32">
        <v>2026</v>
      </c>
      <c r="C265" s="28" t="s">
        <v>499</v>
      </c>
      <c r="D265" s="29">
        <v>46031</v>
      </c>
      <c r="E265" s="28">
        <v>256779440126</v>
      </c>
      <c r="F265" s="28" t="s">
        <v>11</v>
      </c>
      <c r="G265" s="30">
        <v>122.48</v>
      </c>
      <c r="H265" s="28" t="s">
        <v>56</v>
      </c>
      <c r="I265" s="30">
        <v>11114.22</v>
      </c>
      <c r="J265" s="28" t="s">
        <v>650</v>
      </c>
      <c r="K265" s="28" t="e" cm="1">
        <f t="array" ref="K265">VLOOKUP(E265,[2]A023951!D$1:H$1114,{3,5},0)</f>
        <v>#N/A</v>
      </c>
      <c r="L265" s="28"/>
      <c r="M265" s="28"/>
    </row>
    <row r="266" spans="1:13" x14ac:dyDescent="0.35">
      <c r="A266" s="28" t="s">
        <v>495</v>
      </c>
      <c r="B266" s="32">
        <v>2026</v>
      </c>
      <c r="C266" s="28" t="s">
        <v>499</v>
      </c>
      <c r="D266" s="29">
        <v>46031</v>
      </c>
      <c r="E266" s="28">
        <v>256779440136</v>
      </c>
      <c r="F266" s="28" t="s">
        <v>11</v>
      </c>
      <c r="G266" s="30">
        <v>27.81</v>
      </c>
      <c r="H266" s="28" t="s">
        <v>56</v>
      </c>
      <c r="I266" s="30">
        <v>2523.5700000000002</v>
      </c>
      <c r="J266" s="28" t="s">
        <v>698</v>
      </c>
      <c r="K266" s="28" t="e" cm="1">
        <f t="array" ref="K266">VLOOKUP(E266,[2]A023951!D$1:H$1114,{3,5},0)</f>
        <v>#N/A</v>
      </c>
      <c r="L266" s="28"/>
      <c r="M266" s="28"/>
    </row>
    <row r="267" spans="1:13" x14ac:dyDescent="0.35">
      <c r="A267" s="28" t="s">
        <v>495</v>
      </c>
      <c r="B267" s="32">
        <v>2026</v>
      </c>
      <c r="C267" s="28" t="s">
        <v>499</v>
      </c>
      <c r="D267" s="29">
        <v>46028</v>
      </c>
      <c r="E267" s="28">
        <v>256779440150</v>
      </c>
      <c r="F267" s="28" t="s">
        <v>11</v>
      </c>
      <c r="G267" s="30">
        <v>112.85</v>
      </c>
      <c r="H267" s="28" t="s">
        <v>56</v>
      </c>
      <c r="I267" s="30">
        <v>10240.36</v>
      </c>
      <c r="J267" s="28" t="s">
        <v>699</v>
      </c>
      <c r="K267" s="28" t="e" cm="1">
        <f t="array" ref="K267">VLOOKUP(E267,[2]A023951!D$1:H$1114,{3,5},0)</f>
        <v>#N/A</v>
      </c>
      <c r="L267" s="28"/>
      <c r="M267" s="28"/>
    </row>
    <row r="268" spans="1:13" x14ac:dyDescent="0.35">
      <c r="A268" s="28" t="s">
        <v>495</v>
      </c>
      <c r="B268" s="32">
        <v>2026</v>
      </c>
      <c r="C268" s="28" t="s">
        <v>499</v>
      </c>
      <c r="D268" s="29">
        <v>46028</v>
      </c>
      <c r="E268" s="28">
        <v>256779440159</v>
      </c>
      <c r="F268" s="28" t="s">
        <v>11</v>
      </c>
      <c r="G268" s="30">
        <v>160.22</v>
      </c>
      <c r="H268" s="28" t="s">
        <v>56</v>
      </c>
      <c r="I268" s="30">
        <v>14538.87</v>
      </c>
      <c r="J268" s="28" t="s">
        <v>700</v>
      </c>
      <c r="K268" s="28" t="e" cm="1">
        <f t="array" ref="K268">VLOOKUP(E268,[2]A023951!D$1:H$1114,{3,5},0)</f>
        <v>#N/A</v>
      </c>
      <c r="L268" s="28"/>
      <c r="M268" s="28"/>
    </row>
    <row r="269" spans="1:13" x14ac:dyDescent="0.35">
      <c r="A269" s="28" t="s">
        <v>495</v>
      </c>
      <c r="B269" s="32">
        <v>2026</v>
      </c>
      <c r="C269" s="28" t="s">
        <v>499</v>
      </c>
      <c r="D269" s="29">
        <v>46028</v>
      </c>
      <c r="E269" s="28">
        <v>256779440208</v>
      </c>
      <c r="F269" s="28" t="s">
        <v>11</v>
      </c>
      <c r="G269" s="30">
        <v>650.12</v>
      </c>
      <c r="H269" s="28" t="s">
        <v>56</v>
      </c>
      <c r="I269" s="30">
        <v>58993.93</v>
      </c>
      <c r="J269" s="28" t="s">
        <v>701</v>
      </c>
      <c r="K269" s="28" t="e" cm="1">
        <f t="array" ref="K269">VLOOKUP(E269,[2]A023951!D$1:H$1114,{3,5},0)</f>
        <v>#N/A</v>
      </c>
      <c r="L269" s="28"/>
      <c r="M269" s="28"/>
    </row>
    <row r="270" spans="1:13" x14ac:dyDescent="0.35">
      <c r="A270" s="28" t="s">
        <v>495</v>
      </c>
      <c r="B270" s="32">
        <v>2026</v>
      </c>
      <c r="C270" s="28" t="s">
        <v>499</v>
      </c>
      <c r="D270" s="29">
        <v>46034</v>
      </c>
      <c r="E270" s="28">
        <v>256779440227</v>
      </c>
      <c r="F270" s="28" t="s">
        <v>11</v>
      </c>
      <c r="G270" s="30">
        <v>304.07</v>
      </c>
      <c r="H270" s="28" t="s">
        <v>56</v>
      </c>
      <c r="I270" s="30">
        <v>27592.27</v>
      </c>
      <c r="J270" s="28" t="s">
        <v>702</v>
      </c>
      <c r="K270" s="28" t="e" cm="1">
        <f t="array" ref="K270">VLOOKUP(E270,[2]A023951!D$1:H$1114,{3,5},0)</f>
        <v>#N/A</v>
      </c>
      <c r="L270" s="28"/>
      <c r="M270" s="28"/>
    </row>
    <row r="271" spans="1:13" x14ac:dyDescent="0.35">
      <c r="A271" s="28" t="s">
        <v>495</v>
      </c>
      <c r="B271" s="32">
        <v>2026</v>
      </c>
      <c r="C271" s="28" t="s">
        <v>499</v>
      </c>
      <c r="D271" s="29">
        <v>46028</v>
      </c>
      <c r="E271" s="28">
        <v>256779440238</v>
      </c>
      <c r="F271" s="28" t="s">
        <v>11</v>
      </c>
      <c r="G271" s="30">
        <v>1083.58</v>
      </c>
      <c r="H271" s="28" t="s">
        <v>56</v>
      </c>
      <c r="I271" s="30">
        <v>98327.45</v>
      </c>
      <c r="J271" s="28" t="s">
        <v>703</v>
      </c>
      <c r="K271" s="28" t="e" cm="1">
        <f t="array" ref="K271">VLOOKUP(E271,[2]A023951!D$1:H$1114,{3,5},0)</f>
        <v>#N/A</v>
      </c>
      <c r="L271" s="28"/>
      <c r="M271" s="28"/>
    </row>
    <row r="272" spans="1:13" x14ac:dyDescent="0.35">
      <c r="A272" s="28" t="s">
        <v>495</v>
      </c>
      <c r="B272" s="32">
        <v>2026</v>
      </c>
      <c r="C272" s="28" t="s">
        <v>499</v>
      </c>
      <c r="D272" s="29">
        <v>46034</v>
      </c>
      <c r="E272" s="28">
        <v>256779440285</v>
      </c>
      <c r="F272" s="28" t="s">
        <v>11</v>
      </c>
      <c r="G272" s="30">
        <v>535.29</v>
      </c>
      <c r="H272" s="28" t="s">
        <v>56</v>
      </c>
      <c r="I272" s="30">
        <v>48573.9</v>
      </c>
      <c r="J272" s="28" t="s">
        <v>704</v>
      </c>
      <c r="K272" s="28" t="e" cm="1">
        <f t="array" ref="K272">VLOOKUP(E272,[2]A023951!D$1:H$1114,{3,5},0)</f>
        <v>#N/A</v>
      </c>
      <c r="L272" s="28"/>
      <c r="M272" s="28"/>
    </row>
    <row r="273" spans="1:13" x14ac:dyDescent="0.35">
      <c r="A273" s="28" t="s">
        <v>495</v>
      </c>
      <c r="B273" s="32">
        <v>2026</v>
      </c>
      <c r="C273" s="28" t="s">
        <v>499</v>
      </c>
      <c r="D273" s="29">
        <v>46028</v>
      </c>
      <c r="E273" s="28">
        <v>256779440309</v>
      </c>
      <c r="F273" s="28" t="s">
        <v>56</v>
      </c>
      <c r="G273" s="30">
        <v>200000</v>
      </c>
      <c r="H273" s="28" t="s">
        <v>56</v>
      </c>
      <c r="I273" s="30">
        <v>200000</v>
      </c>
      <c r="J273" s="28" t="s">
        <v>705</v>
      </c>
      <c r="K273" s="28" t="e" cm="1">
        <f t="array" ref="K273">VLOOKUP(E273,[2]A023951!D$1:H$1114,{3,5},0)</f>
        <v>#N/A</v>
      </c>
      <c r="L273" s="28"/>
      <c r="M273" s="28"/>
    </row>
    <row r="274" spans="1:13" x14ac:dyDescent="0.35">
      <c r="A274" s="28" t="s">
        <v>495</v>
      </c>
      <c r="B274" s="32">
        <v>2026</v>
      </c>
      <c r="C274" s="28" t="s">
        <v>499</v>
      </c>
      <c r="D274" s="29">
        <v>46028</v>
      </c>
      <c r="E274" s="28">
        <v>256779440310</v>
      </c>
      <c r="F274" s="28" t="s">
        <v>56</v>
      </c>
      <c r="G274" s="30">
        <v>8000</v>
      </c>
      <c r="H274" s="28" t="s">
        <v>56</v>
      </c>
      <c r="I274" s="30">
        <v>8000</v>
      </c>
      <c r="J274" s="28" t="s">
        <v>705</v>
      </c>
      <c r="K274" s="28" t="e" cm="1">
        <f t="array" ref="K274">VLOOKUP(E274,[2]A023951!D$1:H$1114,{3,5},0)</f>
        <v>#N/A</v>
      </c>
      <c r="L274" s="28"/>
      <c r="M274" s="28"/>
    </row>
    <row r="275" spans="1:13" x14ac:dyDescent="0.35">
      <c r="A275" s="28" t="s">
        <v>495</v>
      </c>
      <c r="B275" s="32">
        <v>2026</v>
      </c>
      <c r="C275" s="28" t="s">
        <v>499</v>
      </c>
      <c r="D275" s="29">
        <v>46028</v>
      </c>
      <c r="E275" s="28">
        <v>256779440311</v>
      </c>
      <c r="F275" s="28" t="s">
        <v>56</v>
      </c>
      <c r="G275" s="30">
        <v>4400</v>
      </c>
      <c r="H275" s="28" t="s">
        <v>56</v>
      </c>
      <c r="I275" s="30">
        <v>4400</v>
      </c>
      <c r="J275" s="28" t="s">
        <v>705</v>
      </c>
      <c r="K275" s="28" t="e" cm="1">
        <f t="array" ref="K275">VLOOKUP(E275,[2]A023951!D$1:H$1114,{3,5},0)</f>
        <v>#N/A</v>
      </c>
      <c r="L275" s="28"/>
      <c r="M275" s="28"/>
    </row>
    <row r="276" spans="1:13" x14ac:dyDescent="0.35">
      <c r="A276" s="28" t="s">
        <v>495</v>
      </c>
      <c r="B276" s="32">
        <v>2026</v>
      </c>
      <c r="C276" s="28" t="s">
        <v>499</v>
      </c>
      <c r="D276" s="29">
        <v>46035</v>
      </c>
      <c r="E276" s="28">
        <v>256779440363</v>
      </c>
      <c r="F276" s="28" t="s">
        <v>11</v>
      </c>
      <c r="G276" s="30">
        <v>937.45</v>
      </c>
      <c r="H276" s="28" t="s">
        <v>56</v>
      </c>
      <c r="I276" s="30">
        <v>85067.16</v>
      </c>
      <c r="J276" s="28" t="s">
        <v>706</v>
      </c>
      <c r="K276" s="28" t="e" cm="1">
        <f t="array" ref="K276">VLOOKUP(E276,[2]A023951!D$1:H$1114,{3,5},0)</f>
        <v>#N/A</v>
      </c>
      <c r="L276" s="28"/>
      <c r="M276" s="28"/>
    </row>
    <row r="277" spans="1:13" x14ac:dyDescent="0.35">
      <c r="A277" s="28" t="s">
        <v>495</v>
      </c>
      <c r="B277" s="32">
        <v>2026</v>
      </c>
      <c r="C277" s="28" t="s">
        <v>499</v>
      </c>
      <c r="D277" s="29">
        <v>46043</v>
      </c>
      <c r="E277" s="28">
        <v>256779440381</v>
      </c>
      <c r="F277" s="28" t="s">
        <v>11</v>
      </c>
      <c r="G277" s="30">
        <v>6.79</v>
      </c>
      <c r="H277" s="28" t="s">
        <v>56</v>
      </c>
      <c r="I277" s="30">
        <v>616.15</v>
      </c>
      <c r="J277" s="28" t="s">
        <v>707</v>
      </c>
      <c r="K277" s="28" t="e" cm="1">
        <f t="array" ref="K277">VLOOKUP(E277,[2]A023951!D$1:H$1114,{3,5},0)</f>
        <v>#N/A</v>
      </c>
      <c r="L277" s="28"/>
      <c r="M277" s="28"/>
    </row>
    <row r="278" spans="1:13" x14ac:dyDescent="0.35">
      <c r="A278" s="28" t="s">
        <v>495</v>
      </c>
      <c r="B278" s="32">
        <v>2026</v>
      </c>
      <c r="C278" s="28" t="s">
        <v>499</v>
      </c>
      <c r="D278" s="29">
        <v>46043</v>
      </c>
      <c r="E278" s="28">
        <v>256779440388</v>
      </c>
      <c r="F278" s="28" t="s">
        <v>11</v>
      </c>
      <c r="G278" s="30">
        <v>57.29</v>
      </c>
      <c r="H278" s="28" t="s">
        <v>56</v>
      </c>
      <c r="I278" s="30">
        <v>5198.67</v>
      </c>
      <c r="J278" s="28" t="s">
        <v>708</v>
      </c>
      <c r="K278" s="28" t="e" cm="1">
        <f t="array" ref="K278">VLOOKUP(E278,[2]A023951!D$1:H$1114,{3,5},0)</f>
        <v>#N/A</v>
      </c>
      <c r="L278" s="28"/>
      <c r="M278" s="28"/>
    </row>
    <row r="279" spans="1:13" x14ac:dyDescent="0.35">
      <c r="A279" s="28" t="s">
        <v>495</v>
      </c>
      <c r="B279" s="32">
        <v>2026</v>
      </c>
      <c r="C279" s="28" t="s">
        <v>499</v>
      </c>
      <c r="D279" s="29">
        <v>46045</v>
      </c>
      <c r="E279" s="28">
        <v>256779440411</v>
      </c>
      <c r="F279" s="28" t="s">
        <v>11</v>
      </c>
      <c r="G279" s="30">
        <v>554.49</v>
      </c>
      <c r="H279" s="28" t="s">
        <v>56</v>
      </c>
      <c r="I279" s="30">
        <v>50316.160000000003</v>
      </c>
      <c r="J279" s="28" t="s">
        <v>709</v>
      </c>
      <c r="K279" s="28" t="e" cm="1">
        <f t="array" ref="K279">VLOOKUP(E279,[2]A023951!D$1:H$1114,{3,5},0)</f>
        <v>#N/A</v>
      </c>
      <c r="L279" s="28"/>
      <c r="M279" s="28"/>
    </row>
    <row r="280" spans="1:13" x14ac:dyDescent="0.35">
      <c r="A280" s="28" t="s">
        <v>495</v>
      </c>
      <c r="B280" s="32">
        <v>2026</v>
      </c>
      <c r="C280" s="28" t="s">
        <v>499</v>
      </c>
      <c r="D280" s="29">
        <v>46045</v>
      </c>
      <c r="E280" s="28">
        <v>256779440427</v>
      </c>
      <c r="F280" s="28" t="s">
        <v>11</v>
      </c>
      <c r="G280" s="30">
        <v>44.06</v>
      </c>
      <c r="H280" s="28" t="s">
        <v>56</v>
      </c>
      <c r="I280" s="30">
        <v>3998.14</v>
      </c>
      <c r="J280" s="28" t="s">
        <v>710</v>
      </c>
      <c r="K280" s="28" t="e" cm="1">
        <f t="array" ref="K280">VLOOKUP(E280,[2]A023951!D$1:H$1114,{3,5},0)</f>
        <v>#N/A</v>
      </c>
      <c r="L280" s="28"/>
      <c r="M280" s="28"/>
    </row>
    <row r="281" spans="1:13" x14ac:dyDescent="0.35">
      <c r="A281" s="28" t="s">
        <v>495</v>
      </c>
      <c r="B281" s="32">
        <v>2026</v>
      </c>
      <c r="C281" s="28" t="s">
        <v>499</v>
      </c>
      <c r="D281" s="29">
        <v>46049</v>
      </c>
      <c r="E281" s="28">
        <v>256779440443</v>
      </c>
      <c r="F281" s="28" t="s">
        <v>11</v>
      </c>
      <c r="G281" s="30">
        <v>18.41</v>
      </c>
      <c r="H281" s="28" t="s">
        <v>56</v>
      </c>
      <c r="I281" s="30">
        <v>1670.58</v>
      </c>
      <c r="J281" s="28" t="s">
        <v>711</v>
      </c>
      <c r="K281" s="28" t="e" cm="1">
        <f t="array" ref="K281">VLOOKUP(E281,[2]A023951!D$1:H$1114,{3,5},0)</f>
        <v>#N/A</v>
      </c>
      <c r="L281" s="28"/>
      <c r="M281" s="28"/>
    </row>
    <row r="282" spans="1:13" x14ac:dyDescent="0.35">
      <c r="A282" s="28" t="s">
        <v>495</v>
      </c>
      <c r="B282" s="32">
        <v>2025</v>
      </c>
      <c r="C282" s="28" t="s">
        <v>499</v>
      </c>
      <c r="D282" s="29">
        <v>45848</v>
      </c>
      <c r="E282" s="28">
        <v>256779415364</v>
      </c>
      <c r="F282" s="28" t="s">
        <v>11</v>
      </c>
      <c r="G282" s="30">
        <v>200</v>
      </c>
      <c r="H282" s="28" t="s">
        <v>56</v>
      </c>
      <c r="I282" s="30">
        <v>17200.13</v>
      </c>
      <c r="J282" s="28" t="s">
        <v>712</v>
      </c>
      <c r="K282" s="28" cm="1">
        <f t="array" ref="K282:L282">VLOOKUP(E282,[2]A023951!D$1:H$1114,{3,5},0)</f>
        <v>-200</v>
      </c>
      <c r="L282" s="28">
        <v>-17694</v>
      </c>
      <c r="M282" s="31">
        <f t="shared" ref="M282:M294" si="9">I282+L282</f>
        <v>-493.86999999999898</v>
      </c>
    </row>
    <row r="283" spans="1:13" x14ac:dyDescent="0.35">
      <c r="A283" s="28" t="s">
        <v>495</v>
      </c>
      <c r="B283" s="32">
        <v>2025</v>
      </c>
      <c r="C283" s="28" t="s">
        <v>499</v>
      </c>
      <c r="D283" s="29">
        <v>45848</v>
      </c>
      <c r="E283" s="28">
        <v>256779415365</v>
      </c>
      <c r="F283" s="28" t="s">
        <v>11</v>
      </c>
      <c r="G283" s="30">
        <v>313</v>
      </c>
      <c r="H283" s="28" t="s">
        <v>56</v>
      </c>
      <c r="I283" s="30">
        <v>26918.21</v>
      </c>
      <c r="J283" s="28" t="s">
        <v>713</v>
      </c>
      <c r="K283" s="28" cm="1">
        <f t="array" ref="K283:L283">VLOOKUP(E283,[2]A023951!D$1:H$1114,{3,5},0)</f>
        <v>-313</v>
      </c>
      <c r="L283" s="28">
        <v>-27691.11</v>
      </c>
      <c r="M283" s="31">
        <f t="shared" si="9"/>
        <v>-772.90000000000146</v>
      </c>
    </row>
    <row r="284" spans="1:13" x14ac:dyDescent="0.35">
      <c r="A284" s="28" t="s">
        <v>495</v>
      </c>
      <c r="B284" s="32">
        <v>2025</v>
      </c>
      <c r="C284" s="28" t="s">
        <v>499</v>
      </c>
      <c r="D284" s="29">
        <v>45848</v>
      </c>
      <c r="E284" s="28">
        <v>256779415366</v>
      </c>
      <c r="F284" s="28" t="s">
        <v>11</v>
      </c>
      <c r="G284" s="30">
        <v>192</v>
      </c>
      <c r="H284" s="28" t="s">
        <v>56</v>
      </c>
      <c r="I284" s="30">
        <v>16512.13</v>
      </c>
      <c r="J284" s="28" t="s">
        <v>714</v>
      </c>
      <c r="K284" s="28" cm="1">
        <f t="array" ref="K284:L284">VLOOKUP(E284,[2]A023951!D$1:H$1114,{3,5},0)</f>
        <v>-192</v>
      </c>
      <c r="L284" s="28">
        <v>-16986.240000000002</v>
      </c>
      <c r="M284" s="31">
        <f t="shared" si="9"/>
        <v>-474.11000000000058</v>
      </c>
    </row>
    <row r="285" spans="1:13" x14ac:dyDescent="0.35">
      <c r="A285" s="28" t="s">
        <v>495</v>
      </c>
      <c r="B285" s="32">
        <v>2025</v>
      </c>
      <c r="C285" s="28" t="s">
        <v>499</v>
      </c>
      <c r="D285" s="29">
        <v>45848</v>
      </c>
      <c r="E285" s="28">
        <v>256779415367</v>
      </c>
      <c r="F285" s="28" t="s">
        <v>11</v>
      </c>
      <c r="G285" s="30">
        <v>200</v>
      </c>
      <c r="H285" s="28" t="s">
        <v>56</v>
      </c>
      <c r="I285" s="30">
        <v>17200.13</v>
      </c>
      <c r="J285" s="28" t="s">
        <v>715</v>
      </c>
      <c r="K285" s="28" cm="1">
        <f t="array" ref="K285:L285">VLOOKUP(E285,[2]A023951!D$1:H$1114,{3,5},0)</f>
        <v>-200</v>
      </c>
      <c r="L285" s="28">
        <v>-17694</v>
      </c>
      <c r="M285" s="31">
        <f t="shared" si="9"/>
        <v>-493.86999999999898</v>
      </c>
    </row>
    <row r="286" spans="1:13" x14ac:dyDescent="0.35">
      <c r="A286" s="28" t="s">
        <v>495</v>
      </c>
      <c r="B286" s="32">
        <v>2025</v>
      </c>
      <c r="C286" s="28" t="s">
        <v>499</v>
      </c>
      <c r="D286" s="29">
        <v>45848</v>
      </c>
      <c r="E286" s="28">
        <v>256779415368</v>
      </c>
      <c r="F286" s="28" t="s">
        <v>11</v>
      </c>
      <c r="G286" s="30">
        <v>60</v>
      </c>
      <c r="H286" s="28" t="s">
        <v>56</v>
      </c>
      <c r="I286" s="30">
        <v>5160.04</v>
      </c>
      <c r="J286" s="28" t="s">
        <v>716</v>
      </c>
      <c r="K286" s="28" cm="1">
        <f t="array" ref="K286:L286">VLOOKUP(E286,[2]A023951!D$1:H$1114,{3,5},0)</f>
        <v>-60</v>
      </c>
      <c r="L286" s="28">
        <v>-5308.2</v>
      </c>
      <c r="M286" s="31">
        <f t="shared" si="9"/>
        <v>-148.15999999999985</v>
      </c>
    </row>
    <row r="287" spans="1:13" x14ac:dyDescent="0.35">
      <c r="A287" s="28" t="s">
        <v>495</v>
      </c>
      <c r="B287" s="32">
        <v>2025</v>
      </c>
      <c r="C287" s="28" t="s">
        <v>499</v>
      </c>
      <c r="D287" s="29">
        <v>45848</v>
      </c>
      <c r="E287" s="28">
        <v>256779415369</v>
      </c>
      <c r="F287" s="28" t="s">
        <v>11</v>
      </c>
      <c r="G287" s="30">
        <v>3</v>
      </c>
      <c r="H287" s="28" t="s">
        <v>56</v>
      </c>
      <c r="I287" s="30">
        <v>258</v>
      </c>
      <c r="J287" s="28" t="s">
        <v>717</v>
      </c>
      <c r="K287" s="28" cm="1">
        <f t="array" ref="K287:L287">VLOOKUP(E287,[2]A023951!D$1:H$1114,{3,5},0)</f>
        <v>-3</v>
      </c>
      <c r="L287" s="28">
        <v>-265.41000000000003</v>
      </c>
      <c r="M287" s="31">
        <f t="shared" si="9"/>
        <v>-7.410000000000025</v>
      </c>
    </row>
    <row r="288" spans="1:13" x14ac:dyDescent="0.35">
      <c r="A288" s="28" t="s">
        <v>495</v>
      </c>
      <c r="B288" s="32">
        <v>2025</v>
      </c>
      <c r="C288" s="28" t="s">
        <v>499</v>
      </c>
      <c r="D288" s="29">
        <v>45848</v>
      </c>
      <c r="E288" s="28">
        <v>256779415370</v>
      </c>
      <c r="F288" s="28" t="s">
        <v>11</v>
      </c>
      <c r="G288" s="30">
        <v>72</v>
      </c>
      <c r="H288" s="28" t="s">
        <v>56</v>
      </c>
      <c r="I288" s="30">
        <v>6192.05</v>
      </c>
      <c r="J288" s="28" t="s">
        <v>718</v>
      </c>
      <c r="K288" s="28" cm="1">
        <f t="array" ref="K288:L288">VLOOKUP(E288,[2]A023951!D$1:H$1114,{3,5},0)</f>
        <v>-72</v>
      </c>
      <c r="L288" s="28">
        <v>-6369.84</v>
      </c>
      <c r="M288" s="31">
        <f t="shared" si="9"/>
        <v>-177.78999999999996</v>
      </c>
    </row>
    <row r="289" spans="1:13" x14ac:dyDescent="0.35">
      <c r="A289" s="28" t="s">
        <v>495</v>
      </c>
      <c r="B289" s="32">
        <v>2025</v>
      </c>
      <c r="C289" s="28" t="s">
        <v>499</v>
      </c>
      <c r="D289" s="29">
        <v>45848</v>
      </c>
      <c r="E289" s="28">
        <v>256779415371</v>
      </c>
      <c r="F289" s="28" t="s">
        <v>11</v>
      </c>
      <c r="G289" s="30">
        <v>43.32</v>
      </c>
      <c r="H289" s="28" t="s">
        <v>56</v>
      </c>
      <c r="I289" s="30">
        <v>3725.55</v>
      </c>
      <c r="J289" s="28" t="s">
        <v>719</v>
      </c>
      <c r="K289" s="28" cm="1">
        <f t="array" ref="K289:L289">VLOOKUP(E289,[2]A023951!D$1:H$1114,{3,5},0)</f>
        <v>-43.32</v>
      </c>
      <c r="L289" s="28">
        <v>-3832.52</v>
      </c>
      <c r="M289" s="31">
        <f t="shared" si="9"/>
        <v>-106.9699999999998</v>
      </c>
    </row>
    <row r="290" spans="1:13" x14ac:dyDescent="0.35">
      <c r="A290" s="28" t="s">
        <v>495</v>
      </c>
      <c r="B290" s="32">
        <v>2025</v>
      </c>
      <c r="C290" s="28" t="s">
        <v>499</v>
      </c>
      <c r="D290" s="29">
        <v>45848</v>
      </c>
      <c r="E290" s="28">
        <v>256779415372</v>
      </c>
      <c r="F290" s="28" t="s">
        <v>11</v>
      </c>
      <c r="G290" s="30">
        <v>155.38</v>
      </c>
      <c r="H290" s="28" t="s">
        <v>56</v>
      </c>
      <c r="I290" s="30">
        <v>13362.78</v>
      </c>
      <c r="J290" s="28" t="s">
        <v>720</v>
      </c>
      <c r="K290" s="28" cm="1">
        <f t="array" ref="K290:L290">VLOOKUP(E290,[2]A023951!D$1:H$1114,{3,5},0)</f>
        <v>-155.38</v>
      </c>
      <c r="L290" s="28">
        <v>-13746.47</v>
      </c>
      <c r="M290" s="31">
        <f t="shared" si="9"/>
        <v>-383.68999999999869</v>
      </c>
    </row>
    <row r="291" spans="1:13" x14ac:dyDescent="0.35">
      <c r="A291" s="28" t="s">
        <v>495</v>
      </c>
      <c r="B291" s="32">
        <v>2025</v>
      </c>
      <c r="C291" s="28" t="s">
        <v>499</v>
      </c>
      <c r="D291" s="29">
        <v>45848</v>
      </c>
      <c r="E291" s="28">
        <v>256779415373</v>
      </c>
      <c r="F291" s="28" t="s">
        <v>11</v>
      </c>
      <c r="G291" s="30">
        <v>2.63</v>
      </c>
      <c r="H291" s="28" t="s">
        <v>56</v>
      </c>
      <c r="I291" s="30">
        <v>226.18</v>
      </c>
      <c r="J291" s="28" t="s">
        <v>721</v>
      </c>
      <c r="K291" s="28" cm="1">
        <f t="array" ref="K291:L291">VLOOKUP(E291,[2]A023951!D$1:H$1114,{3,5},0)</f>
        <v>-2.63</v>
      </c>
      <c r="L291" s="28">
        <v>-232.68</v>
      </c>
      <c r="M291" s="31">
        <f t="shared" si="9"/>
        <v>-6.5</v>
      </c>
    </row>
    <row r="292" spans="1:13" x14ac:dyDescent="0.35">
      <c r="A292" s="28" t="s">
        <v>495</v>
      </c>
      <c r="B292" s="32">
        <v>2025</v>
      </c>
      <c r="C292" s="28" t="s">
        <v>499</v>
      </c>
      <c r="D292" s="29">
        <v>45848</v>
      </c>
      <c r="E292" s="28">
        <v>256779415374</v>
      </c>
      <c r="F292" s="28" t="s">
        <v>11</v>
      </c>
      <c r="G292" s="30">
        <v>469.38</v>
      </c>
      <c r="H292" s="28" t="s">
        <v>56</v>
      </c>
      <c r="I292" s="30">
        <v>40366.99</v>
      </c>
      <c r="J292" s="28" t="s">
        <v>666</v>
      </c>
      <c r="K292" s="28" cm="1">
        <f t="array" ref="K292:L292">VLOOKUP(E292,[2]A023951!D$1:H$1114,{3,5},0)</f>
        <v>-469.38</v>
      </c>
      <c r="L292" s="28">
        <v>-41526.050000000003</v>
      </c>
      <c r="M292" s="31">
        <f t="shared" si="9"/>
        <v>-1159.0600000000049</v>
      </c>
    </row>
    <row r="293" spans="1:13" x14ac:dyDescent="0.35">
      <c r="A293" s="28" t="s">
        <v>495</v>
      </c>
      <c r="B293" s="32">
        <v>2025</v>
      </c>
      <c r="C293" s="28" t="s">
        <v>499</v>
      </c>
      <c r="D293" s="29">
        <v>45848</v>
      </c>
      <c r="E293" s="28">
        <v>256779415375</v>
      </c>
      <c r="F293" s="28" t="s">
        <v>11</v>
      </c>
      <c r="G293" s="30">
        <v>360</v>
      </c>
      <c r="H293" s="28" t="s">
        <v>56</v>
      </c>
      <c r="I293" s="30">
        <v>30960.240000000002</v>
      </c>
      <c r="J293" s="28" t="s">
        <v>667</v>
      </c>
      <c r="K293" s="28" cm="1">
        <f t="array" ref="K293:L293">VLOOKUP(E293,[2]A023951!D$1:H$1114,{3,5},0)</f>
        <v>-360</v>
      </c>
      <c r="L293" s="28">
        <v>-31849.200000000001</v>
      </c>
      <c r="M293" s="31">
        <f t="shared" si="9"/>
        <v>-888.95999999999913</v>
      </c>
    </row>
    <row r="294" spans="1:13" x14ac:dyDescent="0.35">
      <c r="A294" s="28" t="s">
        <v>495</v>
      </c>
      <c r="B294" s="32">
        <v>2025</v>
      </c>
      <c r="C294" s="28" t="s">
        <v>499</v>
      </c>
      <c r="D294" s="29">
        <v>45848</v>
      </c>
      <c r="E294" s="28">
        <v>256779415376</v>
      </c>
      <c r="F294" s="28" t="s">
        <v>11</v>
      </c>
      <c r="G294" s="30">
        <v>60</v>
      </c>
      <c r="H294" s="28" t="s">
        <v>56</v>
      </c>
      <c r="I294" s="30">
        <v>5160.04</v>
      </c>
      <c r="J294" s="28" t="s">
        <v>668</v>
      </c>
      <c r="K294" s="28" cm="1">
        <f t="array" ref="K294:L294">VLOOKUP(E294,[2]A023951!D$1:H$1114,{3,5},0)</f>
        <v>-60</v>
      </c>
      <c r="L294" s="28">
        <v>-5308.2</v>
      </c>
      <c r="M294" s="31">
        <f t="shared" si="9"/>
        <v>-148.15999999999985</v>
      </c>
    </row>
    <row r="295" spans="1:13" x14ac:dyDescent="0.35">
      <c r="A295" s="28" t="s">
        <v>495</v>
      </c>
      <c r="B295" s="32">
        <v>2025</v>
      </c>
      <c r="C295" s="28" t="s">
        <v>496</v>
      </c>
      <c r="D295" s="29">
        <v>45848</v>
      </c>
      <c r="E295" s="28">
        <v>256779421222</v>
      </c>
      <c r="F295" s="28" t="s">
        <v>11</v>
      </c>
      <c r="G295" s="30">
        <v>-295</v>
      </c>
      <c r="H295" s="28" t="s">
        <v>56</v>
      </c>
      <c r="I295" s="30">
        <v>-25370.2</v>
      </c>
      <c r="J295" s="28" t="s">
        <v>722</v>
      </c>
      <c r="K295" s="28" t="e" cm="1">
        <f t="array" ref="K295">VLOOKUP(E295,[2]A023951!D$1:H$1114,{3,5},0)</f>
        <v>#N/A</v>
      </c>
      <c r="L295" s="28"/>
      <c r="M295" s="28"/>
    </row>
    <row r="296" spans="1:13" x14ac:dyDescent="0.35">
      <c r="A296" s="28" t="s">
        <v>495</v>
      </c>
      <c r="B296" s="32">
        <v>2025</v>
      </c>
      <c r="C296" s="28" t="s">
        <v>496</v>
      </c>
      <c r="D296" s="29">
        <v>45848</v>
      </c>
      <c r="E296" s="28">
        <v>256779421223</v>
      </c>
      <c r="F296" s="28" t="s">
        <v>11</v>
      </c>
      <c r="G296" s="30">
        <v>-28.32</v>
      </c>
      <c r="H296" s="28" t="s">
        <v>56</v>
      </c>
      <c r="I296" s="30">
        <v>-2435.54</v>
      </c>
      <c r="J296" s="28" t="s">
        <v>723</v>
      </c>
      <c r="K296" s="28" t="e" cm="1">
        <f t="array" ref="K296">VLOOKUP(E296,[2]A023951!D$1:H$1114,{3,5},0)</f>
        <v>#N/A</v>
      </c>
      <c r="L296" s="28"/>
      <c r="M296" s="28"/>
    </row>
    <row r="297" spans="1:13" x14ac:dyDescent="0.35">
      <c r="A297" s="28" t="s">
        <v>495</v>
      </c>
      <c r="B297" s="32">
        <v>2025</v>
      </c>
      <c r="C297" s="28" t="s">
        <v>496</v>
      </c>
      <c r="D297" s="29">
        <v>45848</v>
      </c>
      <c r="E297" s="28">
        <v>256779421224</v>
      </c>
      <c r="F297" s="28" t="s">
        <v>11</v>
      </c>
      <c r="G297" s="30">
        <v>-28.32</v>
      </c>
      <c r="H297" s="28" t="s">
        <v>56</v>
      </c>
      <c r="I297" s="30">
        <v>-2435.54</v>
      </c>
      <c r="J297" s="28" t="s">
        <v>724</v>
      </c>
      <c r="K297" s="28" t="e" cm="1">
        <f t="array" ref="K297">VLOOKUP(E297,[2]A023951!D$1:H$1114,{3,5},0)</f>
        <v>#N/A</v>
      </c>
      <c r="L297" s="28"/>
      <c r="M297" s="28"/>
    </row>
    <row r="298" spans="1:13" x14ac:dyDescent="0.35">
      <c r="A298" s="28" t="s">
        <v>495</v>
      </c>
      <c r="B298" s="32">
        <v>2025</v>
      </c>
      <c r="C298" s="28" t="s">
        <v>496</v>
      </c>
      <c r="D298" s="29">
        <v>45848</v>
      </c>
      <c r="E298" s="28">
        <v>256779421225</v>
      </c>
      <c r="F298" s="28" t="s">
        <v>11</v>
      </c>
      <c r="G298" s="30">
        <v>-28.32</v>
      </c>
      <c r="H298" s="28" t="s">
        <v>56</v>
      </c>
      <c r="I298" s="30">
        <v>-2435.54</v>
      </c>
      <c r="J298" s="28" t="s">
        <v>725</v>
      </c>
      <c r="K298" s="28" t="e" cm="1">
        <f t="array" ref="K298">VLOOKUP(E298,[2]A023951!D$1:H$1114,{3,5},0)</f>
        <v>#N/A</v>
      </c>
      <c r="L298" s="28"/>
      <c r="M298" s="28"/>
    </row>
    <row r="299" spans="1:13" x14ac:dyDescent="0.35">
      <c r="A299" s="28" t="s">
        <v>495</v>
      </c>
      <c r="B299" s="32">
        <v>2025</v>
      </c>
      <c r="C299" s="28" t="s">
        <v>496</v>
      </c>
      <c r="D299" s="29">
        <v>45848</v>
      </c>
      <c r="E299" s="28">
        <v>256779421226</v>
      </c>
      <c r="F299" s="28" t="s">
        <v>11</v>
      </c>
      <c r="G299" s="30">
        <v>-28.32</v>
      </c>
      <c r="H299" s="28" t="s">
        <v>56</v>
      </c>
      <c r="I299" s="30">
        <v>-2435.54</v>
      </c>
      <c r="J299" s="28" t="s">
        <v>726</v>
      </c>
      <c r="K299" s="28" t="e" cm="1">
        <f t="array" ref="K299">VLOOKUP(E299,[2]A023951!D$1:H$1114,{3,5},0)</f>
        <v>#N/A</v>
      </c>
      <c r="L299" s="28"/>
      <c r="M299" s="28"/>
    </row>
    <row r="300" spans="1:13" x14ac:dyDescent="0.35">
      <c r="A300" s="28" t="s">
        <v>495</v>
      </c>
      <c r="B300" s="32">
        <v>2025</v>
      </c>
      <c r="C300" s="28" t="s">
        <v>496</v>
      </c>
      <c r="D300" s="29">
        <v>45848</v>
      </c>
      <c r="E300" s="28">
        <v>256779421227</v>
      </c>
      <c r="F300" s="28" t="s">
        <v>11</v>
      </c>
      <c r="G300" s="30">
        <v>-28.32</v>
      </c>
      <c r="H300" s="28" t="s">
        <v>56</v>
      </c>
      <c r="I300" s="30">
        <v>-2435.54</v>
      </c>
      <c r="J300" s="28" t="s">
        <v>727</v>
      </c>
      <c r="K300" s="28" t="e" cm="1">
        <f t="array" ref="K300">VLOOKUP(E300,[2]A023951!D$1:H$1114,{3,5},0)</f>
        <v>#N/A</v>
      </c>
      <c r="L300" s="28"/>
      <c r="M300" s="28"/>
    </row>
    <row r="301" spans="1:13" x14ac:dyDescent="0.35">
      <c r="A301" s="28" t="s">
        <v>495</v>
      </c>
      <c r="B301" s="32">
        <v>2025</v>
      </c>
      <c r="C301" s="28" t="s">
        <v>496</v>
      </c>
      <c r="D301" s="29">
        <v>45848</v>
      </c>
      <c r="E301" s="28">
        <v>256779421228</v>
      </c>
      <c r="F301" s="28" t="s">
        <v>11</v>
      </c>
      <c r="G301" s="30">
        <v>-28.32</v>
      </c>
      <c r="H301" s="28" t="s">
        <v>56</v>
      </c>
      <c r="I301" s="30">
        <v>-2435.54</v>
      </c>
      <c r="J301" s="28" t="s">
        <v>728</v>
      </c>
      <c r="K301" s="28" t="e" cm="1">
        <f t="array" ref="K301">VLOOKUP(E301,[2]A023951!D$1:H$1114,{3,5},0)</f>
        <v>#N/A</v>
      </c>
      <c r="L301" s="28"/>
      <c r="M301" s="28"/>
    </row>
    <row r="302" spans="1:13" x14ac:dyDescent="0.35">
      <c r="A302" s="28" t="s">
        <v>495</v>
      </c>
      <c r="B302" s="32">
        <v>2025</v>
      </c>
      <c r="C302" s="28" t="s">
        <v>496</v>
      </c>
      <c r="D302" s="29">
        <v>45848</v>
      </c>
      <c r="E302" s="28">
        <v>256779421229</v>
      </c>
      <c r="F302" s="28" t="s">
        <v>11</v>
      </c>
      <c r="G302" s="30">
        <v>-28.32</v>
      </c>
      <c r="H302" s="28" t="s">
        <v>56</v>
      </c>
      <c r="I302" s="30">
        <v>-2435.54</v>
      </c>
      <c r="J302" s="28" t="s">
        <v>729</v>
      </c>
      <c r="K302" s="28" t="e" cm="1">
        <f t="array" ref="K302">VLOOKUP(E302,[2]A023951!D$1:H$1114,{3,5},0)</f>
        <v>#N/A</v>
      </c>
      <c r="L302" s="28"/>
      <c r="M302" s="28"/>
    </row>
    <row r="303" spans="1:13" x14ac:dyDescent="0.35">
      <c r="A303" s="28" t="s">
        <v>495</v>
      </c>
      <c r="B303" s="32">
        <v>2025</v>
      </c>
      <c r="C303" s="28" t="s">
        <v>496</v>
      </c>
      <c r="D303" s="29">
        <v>45848</v>
      </c>
      <c r="E303" s="28">
        <v>256779421230</v>
      </c>
      <c r="F303" s="28" t="s">
        <v>11</v>
      </c>
      <c r="G303" s="30">
        <v>-28.32</v>
      </c>
      <c r="H303" s="28" t="s">
        <v>56</v>
      </c>
      <c r="I303" s="30">
        <v>-2435.54</v>
      </c>
      <c r="J303" s="28" t="s">
        <v>730</v>
      </c>
      <c r="K303" s="28" t="e" cm="1">
        <f t="array" ref="K303">VLOOKUP(E303,[2]A023951!D$1:H$1114,{3,5},0)</f>
        <v>#N/A</v>
      </c>
      <c r="L303" s="28"/>
      <c r="M303" s="28"/>
    </row>
    <row r="304" spans="1:13" x14ac:dyDescent="0.35">
      <c r="A304" s="28" t="s">
        <v>495</v>
      </c>
      <c r="B304" s="32">
        <v>2025</v>
      </c>
      <c r="C304" s="28" t="s">
        <v>496</v>
      </c>
      <c r="D304" s="29">
        <v>45848</v>
      </c>
      <c r="E304" s="28">
        <v>256779421231</v>
      </c>
      <c r="F304" s="28" t="s">
        <v>11</v>
      </c>
      <c r="G304" s="30">
        <v>-28.32</v>
      </c>
      <c r="H304" s="28" t="s">
        <v>56</v>
      </c>
      <c r="I304" s="30">
        <v>-2435.54</v>
      </c>
      <c r="J304" s="28" t="s">
        <v>731</v>
      </c>
      <c r="K304" s="28" t="e" cm="1">
        <f t="array" ref="K304">VLOOKUP(E304,[2]A023951!D$1:H$1114,{3,5},0)</f>
        <v>#N/A</v>
      </c>
      <c r="L304" s="28"/>
      <c r="M304" s="28"/>
    </row>
    <row r="305" spans="1:13" x14ac:dyDescent="0.35">
      <c r="A305" s="28" t="s">
        <v>495</v>
      </c>
      <c r="B305" s="32">
        <v>2025</v>
      </c>
      <c r="C305" s="28" t="s">
        <v>496</v>
      </c>
      <c r="D305" s="29">
        <v>45848</v>
      </c>
      <c r="E305" s="28">
        <v>256779421232</v>
      </c>
      <c r="F305" s="28" t="s">
        <v>11</v>
      </c>
      <c r="G305" s="30">
        <v>-28.32</v>
      </c>
      <c r="H305" s="28" t="s">
        <v>56</v>
      </c>
      <c r="I305" s="30">
        <v>-2435.54</v>
      </c>
      <c r="J305" s="28" t="s">
        <v>732</v>
      </c>
      <c r="K305" s="28" t="e" cm="1">
        <f t="array" ref="K305">VLOOKUP(E305,[2]A023951!D$1:H$1114,{3,5},0)</f>
        <v>#N/A</v>
      </c>
      <c r="L305" s="28"/>
      <c r="M305" s="28"/>
    </row>
    <row r="306" spans="1:13" x14ac:dyDescent="0.35">
      <c r="A306" s="28" t="s">
        <v>495</v>
      </c>
      <c r="B306" s="32">
        <v>2025</v>
      </c>
      <c r="C306" s="28" t="s">
        <v>496</v>
      </c>
      <c r="D306" s="29">
        <v>45848</v>
      </c>
      <c r="E306" s="28">
        <v>256779421233</v>
      </c>
      <c r="F306" s="28" t="s">
        <v>11</v>
      </c>
      <c r="G306" s="30">
        <v>-28.32</v>
      </c>
      <c r="H306" s="28" t="s">
        <v>56</v>
      </c>
      <c r="I306" s="30">
        <v>-2435.54</v>
      </c>
      <c r="J306" s="28" t="s">
        <v>733</v>
      </c>
      <c r="K306" s="28" t="e" cm="1">
        <f t="array" ref="K306">VLOOKUP(E306,[2]A023951!D$1:H$1114,{3,5},0)</f>
        <v>#N/A</v>
      </c>
      <c r="L306" s="28"/>
      <c r="M306" s="28"/>
    </row>
    <row r="307" spans="1:13" x14ac:dyDescent="0.35">
      <c r="A307" s="28" t="s">
        <v>495</v>
      </c>
      <c r="B307" s="32">
        <v>2025</v>
      </c>
      <c r="C307" s="28" t="s">
        <v>496</v>
      </c>
      <c r="D307" s="29">
        <v>45848</v>
      </c>
      <c r="E307" s="28">
        <v>256779421234</v>
      </c>
      <c r="F307" s="28" t="s">
        <v>11</v>
      </c>
      <c r="G307" s="30">
        <v>-35.4</v>
      </c>
      <c r="H307" s="28" t="s">
        <v>56</v>
      </c>
      <c r="I307" s="30">
        <v>-3044.42</v>
      </c>
      <c r="J307" s="28" t="s">
        <v>734</v>
      </c>
      <c r="K307" s="28" t="e" cm="1">
        <f t="array" ref="K307">VLOOKUP(E307,[2]A023951!D$1:H$1114,{3,5},0)</f>
        <v>#N/A</v>
      </c>
      <c r="L307" s="28"/>
      <c r="M307" s="28"/>
    </row>
    <row r="308" spans="1:13" x14ac:dyDescent="0.35">
      <c r="A308" s="28" t="s">
        <v>495</v>
      </c>
      <c r="B308" s="32">
        <v>2025</v>
      </c>
      <c r="C308" s="28" t="s">
        <v>496</v>
      </c>
      <c r="D308" s="29">
        <v>45848</v>
      </c>
      <c r="E308" s="28">
        <v>256779421235</v>
      </c>
      <c r="F308" s="28" t="s">
        <v>11</v>
      </c>
      <c r="G308" s="30">
        <v>-35.4</v>
      </c>
      <c r="H308" s="28" t="s">
        <v>56</v>
      </c>
      <c r="I308" s="30">
        <v>-3044.42</v>
      </c>
      <c r="J308" s="28" t="s">
        <v>735</v>
      </c>
      <c r="K308" s="28" t="e" cm="1">
        <f t="array" ref="K308">VLOOKUP(E308,[2]A023951!D$1:H$1114,{3,5},0)</f>
        <v>#N/A</v>
      </c>
      <c r="L308" s="28"/>
      <c r="M308" s="28"/>
    </row>
    <row r="309" spans="1:13" x14ac:dyDescent="0.35">
      <c r="A309" s="28" t="s">
        <v>495</v>
      </c>
      <c r="B309" s="32">
        <v>2025</v>
      </c>
      <c r="C309" s="28" t="s">
        <v>496</v>
      </c>
      <c r="D309" s="29">
        <v>45848</v>
      </c>
      <c r="E309" s="28">
        <v>256779421237</v>
      </c>
      <c r="F309" s="28" t="s">
        <v>11</v>
      </c>
      <c r="G309" s="30">
        <v>-35.4</v>
      </c>
      <c r="H309" s="28" t="s">
        <v>56</v>
      </c>
      <c r="I309" s="30">
        <v>-3044.42</v>
      </c>
      <c r="J309" s="28" t="s">
        <v>736</v>
      </c>
      <c r="K309" s="28" t="e" cm="1">
        <f t="array" ref="K309">VLOOKUP(E309,[2]A023951!D$1:H$1114,{3,5},0)</f>
        <v>#N/A</v>
      </c>
      <c r="L309" s="28"/>
      <c r="M309" s="28"/>
    </row>
    <row r="310" spans="1:13" x14ac:dyDescent="0.35">
      <c r="A310" s="28" t="s">
        <v>495</v>
      </c>
      <c r="B310" s="32">
        <v>2025</v>
      </c>
      <c r="C310" s="28" t="s">
        <v>496</v>
      </c>
      <c r="D310" s="29">
        <v>45848</v>
      </c>
      <c r="E310" s="28">
        <v>256779421238</v>
      </c>
      <c r="F310" s="28" t="s">
        <v>11</v>
      </c>
      <c r="G310" s="30">
        <v>-35.4</v>
      </c>
      <c r="H310" s="28" t="s">
        <v>56</v>
      </c>
      <c r="I310" s="30">
        <v>-3044.42</v>
      </c>
      <c r="J310" s="28" t="s">
        <v>737</v>
      </c>
      <c r="K310" s="28" t="e" cm="1">
        <f t="array" ref="K310">VLOOKUP(E310,[2]A023951!D$1:H$1114,{3,5},0)</f>
        <v>#N/A</v>
      </c>
      <c r="L310" s="28"/>
      <c r="M310" s="28"/>
    </row>
    <row r="311" spans="1:13" x14ac:dyDescent="0.35">
      <c r="A311" s="28" t="s">
        <v>495</v>
      </c>
      <c r="B311" s="32">
        <v>2025</v>
      </c>
      <c r="C311" s="28" t="s">
        <v>496</v>
      </c>
      <c r="D311" s="29">
        <v>45848</v>
      </c>
      <c r="E311" s="28">
        <v>256779421239</v>
      </c>
      <c r="F311" s="28" t="s">
        <v>11</v>
      </c>
      <c r="G311" s="30">
        <v>-35.4</v>
      </c>
      <c r="H311" s="28" t="s">
        <v>56</v>
      </c>
      <c r="I311" s="30">
        <v>-3044.42</v>
      </c>
      <c r="J311" s="28" t="s">
        <v>738</v>
      </c>
      <c r="K311" s="28" t="e" cm="1">
        <f t="array" ref="K311">VLOOKUP(E311,[2]A023951!D$1:H$1114,{3,5},0)</f>
        <v>#N/A</v>
      </c>
      <c r="L311" s="28"/>
      <c r="M311" s="28"/>
    </row>
    <row r="312" spans="1:13" x14ac:dyDescent="0.35">
      <c r="A312" s="28" t="s">
        <v>495</v>
      </c>
      <c r="B312" s="32">
        <v>2025</v>
      </c>
      <c r="C312" s="28" t="s">
        <v>496</v>
      </c>
      <c r="D312" s="29">
        <v>45848</v>
      </c>
      <c r="E312" s="28">
        <v>256779421240</v>
      </c>
      <c r="F312" s="28" t="s">
        <v>11</v>
      </c>
      <c r="G312" s="30">
        <v>-35.4</v>
      </c>
      <c r="H312" s="28" t="s">
        <v>56</v>
      </c>
      <c r="I312" s="30">
        <v>-3044.42</v>
      </c>
      <c r="J312" s="28" t="s">
        <v>739</v>
      </c>
      <c r="K312" s="28" t="e" cm="1">
        <f t="array" ref="K312">VLOOKUP(E312,[2]A023951!D$1:H$1114,{3,5},0)</f>
        <v>#N/A</v>
      </c>
      <c r="L312" s="28"/>
      <c r="M312" s="28"/>
    </row>
    <row r="313" spans="1:13" x14ac:dyDescent="0.35">
      <c r="A313" s="28" t="s">
        <v>495</v>
      </c>
      <c r="B313" s="32">
        <v>2025</v>
      </c>
      <c r="C313" s="28" t="s">
        <v>496</v>
      </c>
      <c r="D313" s="29">
        <v>45848</v>
      </c>
      <c r="E313" s="28">
        <v>256779421241</v>
      </c>
      <c r="F313" s="28" t="s">
        <v>11</v>
      </c>
      <c r="G313" s="30">
        <v>-35.4</v>
      </c>
      <c r="H313" s="28" t="s">
        <v>56</v>
      </c>
      <c r="I313" s="30">
        <v>-3044.42</v>
      </c>
      <c r="J313" s="28" t="s">
        <v>740</v>
      </c>
      <c r="K313" s="28" t="e" cm="1">
        <f t="array" ref="K313">VLOOKUP(E313,[2]A023951!D$1:H$1114,{3,5},0)</f>
        <v>#N/A</v>
      </c>
      <c r="L313" s="28"/>
      <c r="M313" s="28"/>
    </row>
    <row r="314" spans="1:13" x14ac:dyDescent="0.35">
      <c r="A314" s="28" t="s">
        <v>495</v>
      </c>
      <c r="B314" s="32">
        <v>2025</v>
      </c>
      <c r="C314" s="28" t="s">
        <v>496</v>
      </c>
      <c r="D314" s="29">
        <v>45848</v>
      </c>
      <c r="E314" s="28">
        <v>256779421242</v>
      </c>
      <c r="F314" s="28" t="s">
        <v>11</v>
      </c>
      <c r="G314" s="30">
        <v>-35.4</v>
      </c>
      <c r="H314" s="28" t="s">
        <v>56</v>
      </c>
      <c r="I314" s="30">
        <v>-3044.42</v>
      </c>
      <c r="J314" s="28" t="s">
        <v>741</v>
      </c>
      <c r="K314" s="28" t="e" cm="1">
        <f t="array" ref="K314">VLOOKUP(E314,[2]A023951!D$1:H$1114,{3,5},0)</f>
        <v>#N/A</v>
      </c>
      <c r="L314" s="28"/>
      <c r="M314" s="28"/>
    </row>
    <row r="315" spans="1:13" x14ac:dyDescent="0.35">
      <c r="A315" s="28" t="s">
        <v>495</v>
      </c>
      <c r="B315" s="32">
        <v>2025</v>
      </c>
      <c r="C315" s="28" t="s">
        <v>496</v>
      </c>
      <c r="D315" s="29">
        <v>45848</v>
      </c>
      <c r="E315" s="28">
        <v>256779421243</v>
      </c>
      <c r="F315" s="28" t="s">
        <v>11</v>
      </c>
      <c r="G315" s="30">
        <v>-35.4</v>
      </c>
      <c r="H315" s="28" t="s">
        <v>56</v>
      </c>
      <c r="I315" s="30">
        <v>-3044.42</v>
      </c>
      <c r="J315" s="28" t="s">
        <v>742</v>
      </c>
      <c r="K315" s="28" t="e" cm="1">
        <f t="array" ref="K315">VLOOKUP(E315,[2]A023951!D$1:H$1114,{3,5},0)</f>
        <v>#N/A</v>
      </c>
      <c r="L315" s="28"/>
      <c r="M315" s="28"/>
    </row>
    <row r="316" spans="1:13" x14ac:dyDescent="0.35">
      <c r="A316" s="28" t="s">
        <v>495</v>
      </c>
      <c r="B316" s="32">
        <v>2025</v>
      </c>
      <c r="C316" s="28" t="s">
        <v>496</v>
      </c>
      <c r="D316" s="29">
        <v>45848</v>
      </c>
      <c r="E316" s="28">
        <v>256779421244</v>
      </c>
      <c r="F316" s="28" t="s">
        <v>11</v>
      </c>
      <c r="G316" s="30">
        <v>-91.43</v>
      </c>
      <c r="H316" s="28" t="s">
        <v>56</v>
      </c>
      <c r="I316" s="30">
        <v>-7863.04</v>
      </c>
      <c r="J316" s="28" t="s">
        <v>743</v>
      </c>
      <c r="K316" s="28" t="e" cm="1">
        <f t="array" ref="K316">VLOOKUP(E316,[2]A023951!D$1:H$1114,{3,5},0)</f>
        <v>#N/A</v>
      </c>
      <c r="L316" s="28"/>
      <c r="M316" s="28"/>
    </row>
    <row r="317" spans="1:13" x14ac:dyDescent="0.35">
      <c r="A317" s="28" t="s">
        <v>495</v>
      </c>
      <c r="B317" s="32">
        <v>2025</v>
      </c>
      <c r="C317" s="28" t="s">
        <v>496</v>
      </c>
      <c r="D317" s="29">
        <v>45848</v>
      </c>
      <c r="E317" s="28">
        <v>256779421245</v>
      </c>
      <c r="F317" s="28" t="s">
        <v>11</v>
      </c>
      <c r="G317" s="30">
        <v>-236</v>
      </c>
      <c r="H317" s="28" t="s">
        <v>56</v>
      </c>
      <c r="I317" s="30">
        <v>-20296.16</v>
      </c>
      <c r="J317" s="28" t="s">
        <v>743</v>
      </c>
      <c r="K317" s="28" t="e" cm="1">
        <f t="array" ref="K317">VLOOKUP(E317,[2]A023951!D$1:H$1114,{3,5},0)</f>
        <v>#N/A</v>
      </c>
      <c r="L317" s="28"/>
      <c r="M317" s="28"/>
    </row>
    <row r="318" spans="1:13" x14ac:dyDescent="0.35">
      <c r="A318" s="28" t="s">
        <v>495</v>
      </c>
      <c r="B318" s="32">
        <v>2025</v>
      </c>
      <c r="C318" s="28" t="s">
        <v>496</v>
      </c>
      <c r="D318" s="29">
        <v>45848</v>
      </c>
      <c r="E318" s="28">
        <v>256779421246</v>
      </c>
      <c r="F318" s="28" t="s">
        <v>11</v>
      </c>
      <c r="G318" s="30">
        <v>-70.8</v>
      </c>
      <c r="H318" s="28" t="s">
        <v>56</v>
      </c>
      <c r="I318" s="30">
        <v>-6088.85</v>
      </c>
      <c r="J318" s="28" t="s">
        <v>743</v>
      </c>
      <c r="K318" s="28" t="e" cm="1">
        <f t="array" ref="K318">VLOOKUP(E318,[2]A023951!D$1:H$1114,{3,5},0)</f>
        <v>#N/A</v>
      </c>
      <c r="L318" s="28"/>
      <c r="M318" s="28"/>
    </row>
    <row r="319" spans="1:13" x14ac:dyDescent="0.35">
      <c r="A319" s="28" t="s">
        <v>495</v>
      </c>
      <c r="B319" s="32">
        <v>2025</v>
      </c>
      <c r="C319" s="28" t="s">
        <v>496</v>
      </c>
      <c r="D319" s="29">
        <v>45848</v>
      </c>
      <c r="E319" s="28">
        <v>256779421247</v>
      </c>
      <c r="F319" s="28" t="s">
        <v>11</v>
      </c>
      <c r="G319" s="30">
        <v>-211.39</v>
      </c>
      <c r="H319" s="28" t="s">
        <v>56</v>
      </c>
      <c r="I319" s="30">
        <v>-18179.68</v>
      </c>
      <c r="J319" s="28" t="s">
        <v>744</v>
      </c>
      <c r="K319" s="28" t="e" cm="1">
        <f t="array" ref="K319">VLOOKUP(E319,[2]A023951!D$1:H$1114,{3,5},0)</f>
        <v>#N/A</v>
      </c>
      <c r="L319" s="28"/>
      <c r="M319" s="28"/>
    </row>
    <row r="320" spans="1:13" x14ac:dyDescent="0.35">
      <c r="A320" s="28" t="s">
        <v>495</v>
      </c>
      <c r="B320" s="32">
        <v>2025</v>
      </c>
      <c r="C320" s="28" t="s">
        <v>496</v>
      </c>
      <c r="D320" s="29">
        <v>45848</v>
      </c>
      <c r="E320" s="28">
        <v>256779421248</v>
      </c>
      <c r="F320" s="28" t="s">
        <v>11</v>
      </c>
      <c r="G320" s="30">
        <v>-141.6</v>
      </c>
      <c r="H320" s="28" t="s">
        <v>56</v>
      </c>
      <c r="I320" s="30">
        <v>-12177.69</v>
      </c>
      <c r="J320" s="28" t="s">
        <v>745</v>
      </c>
      <c r="K320" s="28" t="e" cm="1">
        <f t="array" ref="K320">VLOOKUP(E320,[2]A023951!D$1:H$1114,{3,5},0)</f>
        <v>#N/A</v>
      </c>
      <c r="L320" s="28"/>
      <c r="M320" s="28"/>
    </row>
    <row r="321" spans="1:13" x14ac:dyDescent="0.35">
      <c r="A321" s="28" t="s">
        <v>495</v>
      </c>
      <c r="B321" s="32">
        <v>2025</v>
      </c>
      <c r="C321" s="28" t="s">
        <v>496</v>
      </c>
      <c r="D321" s="29">
        <v>45848</v>
      </c>
      <c r="E321" s="28">
        <v>256779421249</v>
      </c>
      <c r="F321" s="28" t="s">
        <v>11</v>
      </c>
      <c r="G321" s="30">
        <v>-70.8</v>
      </c>
      <c r="H321" s="28" t="s">
        <v>56</v>
      </c>
      <c r="I321" s="30">
        <v>-6088.85</v>
      </c>
      <c r="J321" s="28" t="s">
        <v>746</v>
      </c>
      <c r="K321" s="28" t="e" cm="1">
        <f t="array" ref="K321">VLOOKUP(E321,[2]A023951!D$1:H$1114,{3,5},0)</f>
        <v>#N/A</v>
      </c>
      <c r="L321" s="28"/>
      <c r="M321" s="28"/>
    </row>
    <row r="322" spans="1:13" x14ac:dyDescent="0.35">
      <c r="A322" s="28" t="s">
        <v>495</v>
      </c>
      <c r="B322" s="32">
        <v>2025</v>
      </c>
      <c r="C322" s="28" t="s">
        <v>496</v>
      </c>
      <c r="D322" s="29">
        <v>45848</v>
      </c>
      <c r="E322" s="28">
        <v>256779421250</v>
      </c>
      <c r="F322" s="28" t="s">
        <v>11</v>
      </c>
      <c r="G322" s="30">
        <v>-236</v>
      </c>
      <c r="H322" s="28" t="s">
        <v>56</v>
      </c>
      <c r="I322" s="30">
        <v>-20296.16</v>
      </c>
      <c r="J322" s="28" t="s">
        <v>747</v>
      </c>
      <c r="K322" s="28" t="e" cm="1">
        <f t="array" ref="K322">VLOOKUP(E322,[2]A023951!D$1:H$1114,{3,5},0)</f>
        <v>#N/A</v>
      </c>
      <c r="L322" s="28"/>
      <c r="M322" s="28"/>
    </row>
    <row r="323" spans="1:13" x14ac:dyDescent="0.35">
      <c r="A323" s="28" t="s">
        <v>495</v>
      </c>
      <c r="B323" s="32">
        <v>2025</v>
      </c>
      <c r="C323" s="28" t="s">
        <v>496</v>
      </c>
      <c r="D323" s="29">
        <v>45848</v>
      </c>
      <c r="E323" s="28">
        <v>256779421251</v>
      </c>
      <c r="F323" s="28" t="s">
        <v>11</v>
      </c>
      <c r="G323" s="30">
        <v>-300.49</v>
      </c>
      <c r="H323" s="28" t="s">
        <v>56</v>
      </c>
      <c r="I323" s="30">
        <v>-25842.34</v>
      </c>
      <c r="J323" s="28" t="s">
        <v>748</v>
      </c>
      <c r="K323" s="28" t="e" cm="1">
        <f t="array" ref="K323">VLOOKUP(E323,[2]A023951!D$1:H$1114,{3,5},0)</f>
        <v>#N/A</v>
      </c>
      <c r="L323" s="28"/>
      <c r="M323" s="28"/>
    </row>
    <row r="324" spans="1:13" x14ac:dyDescent="0.35">
      <c r="A324" s="28" t="s">
        <v>495</v>
      </c>
      <c r="B324" s="32">
        <v>2025</v>
      </c>
      <c r="C324" s="28" t="s">
        <v>496</v>
      </c>
      <c r="D324" s="29">
        <v>45848</v>
      </c>
      <c r="E324" s="28">
        <v>256779421252</v>
      </c>
      <c r="F324" s="28" t="s">
        <v>11</v>
      </c>
      <c r="G324" s="30">
        <v>-165.4</v>
      </c>
      <c r="H324" s="28" t="s">
        <v>56</v>
      </c>
      <c r="I324" s="30">
        <v>-14224.51</v>
      </c>
      <c r="J324" s="28" t="s">
        <v>749</v>
      </c>
      <c r="K324" s="28" t="e" cm="1">
        <f t="array" ref="K324">VLOOKUP(E324,[2]A023951!D$1:H$1114,{3,5},0)</f>
        <v>#N/A</v>
      </c>
      <c r="L324" s="28"/>
      <c r="M324" s="28"/>
    </row>
    <row r="325" spans="1:13" x14ac:dyDescent="0.35">
      <c r="A325" s="28" t="s">
        <v>495</v>
      </c>
      <c r="B325" s="32">
        <v>2025</v>
      </c>
      <c r="C325" s="28" t="s">
        <v>496</v>
      </c>
      <c r="D325" s="29">
        <v>45848</v>
      </c>
      <c r="E325" s="28">
        <v>256779421253</v>
      </c>
      <c r="F325" s="28" t="s">
        <v>11</v>
      </c>
      <c r="G325" s="30">
        <v>-14.75</v>
      </c>
      <c r="H325" s="28" t="s">
        <v>56</v>
      </c>
      <c r="I325" s="30">
        <v>-1268.51</v>
      </c>
      <c r="J325" s="28" t="s">
        <v>723</v>
      </c>
      <c r="K325" s="28" t="e" cm="1">
        <f t="array" ref="K325">VLOOKUP(E325,[2]A023951!D$1:H$1114,{3,5},0)</f>
        <v>#N/A</v>
      </c>
      <c r="L325" s="28"/>
      <c r="M325" s="28"/>
    </row>
    <row r="326" spans="1:13" x14ac:dyDescent="0.35">
      <c r="A326" s="28" t="s">
        <v>495</v>
      </c>
      <c r="B326" s="32">
        <v>2025</v>
      </c>
      <c r="C326" s="28" t="s">
        <v>496</v>
      </c>
      <c r="D326" s="29">
        <v>45848</v>
      </c>
      <c r="E326" s="28">
        <v>256779421254</v>
      </c>
      <c r="F326" s="28" t="s">
        <v>11</v>
      </c>
      <c r="G326" s="30">
        <v>-250.75</v>
      </c>
      <c r="H326" s="28" t="s">
        <v>56</v>
      </c>
      <c r="I326" s="30">
        <v>-21564.67</v>
      </c>
      <c r="J326" s="28" t="s">
        <v>750</v>
      </c>
      <c r="K326" s="28" t="e" cm="1">
        <f t="array" ref="K326">VLOOKUP(E326,[2]A023951!D$1:H$1114,{3,5},0)</f>
        <v>#N/A</v>
      </c>
      <c r="L326" s="28"/>
      <c r="M326" s="28"/>
    </row>
    <row r="327" spans="1:13" x14ac:dyDescent="0.35">
      <c r="A327" s="28" t="s">
        <v>495</v>
      </c>
      <c r="B327" s="32">
        <v>2025</v>
      </c>
      <c r="C327" s="28" t="s">
        <v>496</v>
      </c>
      <c r="D327" s="29">
        <v>45848</v>
      </c>
      <c r="E327" s="28">
        <v>256779421255</v>
      </c>
      <c r="F327" s="28" t="s">
        <v>11</v>
      </c>
      <c r="G327" s="30">
        <v>-226.56</v>
      </c>
      <c r="H327" s="28" t="s">
        <v>56</v>
      </c>
      <c r="I327" s="30">
        <v>-19484.310000000001</v>
      </c>
      <c r="J327" s="28" t="s">
        <v>751</v>
      </c>
      <c r="K327" s="28" t="e" cm="1">
        <f t="array" ref="K327">VLOOKUP(E327,[2]A023951!D$1:H$1114,{3,5},0)</f>
        <v>#N/A</v>
      </c>
      <c r="L327" s="28"/>
      <c r="M327" s="28"/>
    </row>
    <row r="328" spans="1:13" x14ac:dyDescent="0.35">
      <c r="A328" s="28" t="s">
        <v>495</v>
      </c>
      <c r="B328" s="32">
        <v>2025</v>
      </c>
      <c r="C328" s="28" t="s">
        <v>496</v>
      </c>
      <c r="D328" s="29">
        <v>45848</v>
      </c>
      <c r="E328" s="28">
        <v>256779421256</v>
      </c>
      <c r="F328" s="28" t="s">
        <v>11</v>
      </c>
      <c r="G328" s="30">
        <v>-249.87</v>
      </c>
      <c r="H328" s="28" t="s">
        <v>56</v>
      </c>
      <c r="I328" s="30">
        <v>-21488.99</v>
      </c>
      <c r="J328" s="28" t="s">
        <v>752</v>
      </c>
      <c r="K328" s="28" t="e" cm="1">
        <f t="array" ref="K328">VLOOKUP(E328,[2]A023951!D$1:H$1114,{3,5},0)</f>
        <v>#N/A</v>
      </c>
      <c r="L328" s="28"/>
      <c r="M328" s="28"/>
    </row>
    <row r="329" spans="1:13" x14ac:dyDescent="0.35">
      <c r="A329" s="28" t="s">
        <v>495</v>
      </c>
      <c r="B329" s="32">
        <v>2025</v>
      </c>
      <c r="C329" s="28" t="s">
        <v>496</v>
      </c>
      <c r="D329" s="29">
        <v>45848</v>
      </c>
      <c r="E329" s="28">
        <v>256779421257</v>
      </c>
      <c r="F329" s="28" t="s">
        <v>11</v>
      </c>
      <c r="G329" s="30">
        <v>-173.05</v>
      </c>
      <c r="H329" s="28" t="s">
        <v>56</v>
      </c>
      <c r="I329" s="30">
        <v>-14882.42</v>
      </c>
      <c r="J329" s="28" t="s">
        <v>753</v>
      </c>
      <c r="K329" s="28" t="e" cm="1">
        <f t="array" ref="K329">VLOOKUP(E329,[2]A023951!D$1:H$1114,{3,5},0)</f>
        <v>#N/A</v>
      </c>
      <c r="L329" s="28"/>
      <c r="M329" s="28"/>
    </row>
    <row r="330" spans="1:13" x14ac:dyDescent="0.35">
      <c r="A330" s="28" t="s">
        <v>495</v>
      </c>
      <c r="B330" s="32">
        <v>2025</v>
      </c>
      <c r="C330" s="28" t="s">
        <v>496</v>
      </c>
      <c r="D330" s="29">
        <v>45848</v>
      </c>
      <c r="E330" s="28">
        <v>256779421258</v>
      </c>
      <c r="F330" s="28" t="s">
        <v>11</v>
      </c>
      <c r="G330" s="30">
        <v>-226.56</v>
      </c>
      <c r="H330" s="28" t="s">
        <v>56</v>
      </c>
      <c r="I330" s="30">
        <v>-19484.310000000001</v>
      </c>
      <c r="J330" s="28" t="s">
        <v>754</v>
      </c>
      <c r="K330" s="28" t="e" cm="1">
        <f t="array" ref="K330">VLOOKUP(E330,[2]A023951!D$1:H$1114,{3,5},0)</f>
        <v>#N/A</v>
      </c>
      <c r="L330" s="28"/>
      <c r="M330" s="28"/>
    </row>
    <row r="331" spans="1:13" x14ac:dyDescent="0.35">
      <c r="A331" s="28" t="s">
        <v>495</v>
      </c>
      <c r="B331" s="32">
        <v>2025</v>
      </c>
      <c r="C331" s="28" t="s">
        <v>496</v>
      </c>
      <c r="D331" s="29">
        <v>45848</v>
      </c>
      <c r="E331" s="28">
        <v>256779421259</v>
      </c>
      <c r="F331" s="28" t="s">
        <v>11</v>
      </c>
      <c r="G331" s="30">
        <v>-218.36</v>
      </c>
      <c r="H331" s="28" t="s">
        <v>56</v>
      </c>
      <c r="I331" s="30">
        <v>-18779.11</v>
      </c>
      <c r="J331" s="28" t="s">
        <v>755</v>
      </c>
      <c r="K331" s="28" t="e" cm="1">
        <f t="array" ref="K331">VLOOKUP(E331,[2]A023951!D$1:H$1114,{3,5},0)</f>
        <v>#N/A</v>
      </c>
      <c r="L331" s="28"/>
      <c r="M331" s="28"/>
    </row>
    <row r="332" spans="1:13" x14ac:dyDescent="0.35">
      <c r="A332" s="28" t="s">
        <v>495</v>
      </c>
      <c r="B332" s="32">
        <v>2025</v>
      </c>
      <c r="C332" s="28" t="s">
        <v>496</v>
      </c>
      <c r="D332" s="29">
        <v>45848</v>
      </c>
      <c r="E332" s="28">
        <v>256779421260</v>
      </c>
      <c r="F332" s="28" t="s">
        <v>11</v>
      </c>
      <c r="G332" s="30">
        <v>-23.6</v>
      </c>
      <c r="H332" s="28" t="s">
        <v>56</v>
      </c>
      <c r="I332" s="30">
        <v>-2029.62</v>
      </c>
      <c r="J332" s="28" t="s">
        <v>756</v>
      </c>
      <c r="K332" s="28" t="e" cm="1">
        <f t="array" ref="K332">VLOOKUP(E332,[2]A023951!D$1:H$1114,{3,5},0)</f>
        <v>#N/A</v>
      </c>
      <c r="L332" s="28"/>
      <c r="M332" s="28"/>
    </row>
    <row r="333" spans="1:13" x14ac:dyDescent="0.35">
      <c r="A333" s="28" t="s">
        <v>495</v>
      </c>
      <c r="B333" s="32">
        <v>2025</v>
      </c>
      <c r="C333" s="28" t="s">
        <v>496</v>
      </c>
      <c r="D333" s="29">
        <v>45848</v>
      </c>
      <c r="E333" s="28">
        <v>256779421261</v>
      </c>
      <c r="F333" s="28" t="s">
        <v>11</v>
      </c>
      <c r="G333" s="30">
        <v>-26.55</v>
      </c>
      <c r="H333" s="28" t="s">
        <v>56</v>
      </c>
      <c r="I333" s="30">
        <v>-2283.3200000000002</v>
      </c>
      <c r="J333" s="28" t="s">
        <v>757</v>
      </c>
      <c r="K333" s="28" t="e" cm="1">
        <f t="array" ref="K333">VLOOKUP(E333,[2]A023951!D$1:H$1114,{3,5},0)</f>
        <v>#N/A</v>
      </c>
      <c r="L333" s="28"/>
      <c r="M333" s="28"/>
    </row>
    <row r="334" spans="1:13" x14ac:dyDescent="0.35">
      <c r="A334" s="28" t="s">
        <v>495</v>
      </c>
      <c r="B334" s="32">
        <v>2025</v>
      </c>
      <c r="C334" s="28" t="s">
        <v>496</v>
      </c>
      <c r="D334" s="29">
        <v>45848</v>
      </c>
      <c r="E334" s="28">
        <v>256779421262</v>
      </c>
      <c r="F334" s="28" t="s">
        <v>11</v>
      </c>
      <c r="G334" s="30">
        <v>-32.450000000000003</v>
      </c>
      <c r="H334" s="28" t="s">
        <v>56</v>
      </c>
      <c r="I334" s="30">
        <v>-2790.72</v>
      </c>
      <c r="J334" s="28" t="s">
        <v>758</v>
      </c>
      <c r="K334" s="28" t="e" cm="1">
        <f t="array" ref="K334">VLOOKUP(E334,[2]A023951!D$1:H$1114,{3,5},0)</f>
        <v>#N/A</v>
      </c>
      <c r="L334" s="28"/>
      <c r="M334" s="28"/>
    </row>
    <row r="335" spans="1:13" x14ac:dyDescent="0.35">
      <c r="A335" s="28" t="s">
        <v>495</v>
      </c>
      <c r="B335" s="32">
        <v>2025</v>
      </c>
      <c r="C335" s="28" t="s">
        <v>496</v>
      </c>
      <c r="D335" s="29">
        <v>45848</v>
      </c>
      <c r="E335" s="28">
        <v>256779421263</v>
      </c>
      <c r="F335" s="28" t="s">
        <v>11</v>
      </c>
      <c r="G335" s="30">
        <v>-26.55</v>
      </c>
      <c r="H335" s="28" t="s">
        <v>56</v>
      </c>
      <c r="I335" s="30">
        <v>-2283.3200000000002</v>
      </c>
      <c r="J335" s="28" t="s">
        <v>759</v>
      </c>
      <c r="K335" s="28" t="e" cm="1">
        <f t="array" ref="K335">VLOOKUP(E335,[2]A023951!D$1:H$1114,{3,5},0)</f>
        <v>#N/A</v>
      </c>
      <c r="L335" s="28"/>
      <c r="M335" s="28"/>
    </row>
    <row r="336" spans="1:13" x14ac:dyDescent="0.35">
      <c r="A336" s="28" t="s">
        <v>495</v>
      </c>
      <c r="B336" s="32">
        <v>2025</v>
      </c>
      <c r="C336" s="28" t="s">
        <v>496</v>
      </c>
      <c r="D336" s="29">
        <v>45848</v>
      </c>
      <c r="E336" s="28">
        <v>256779421264</v>
      </c>
      <c r="F336" s="28" t="s">
        <v>11</v>
      </c>
      <c r="G336" s="30">
        <v>-26.55</v>
      </c>
      <c r="H336" s="28" t="s">
        <v>56</v>
      </c>
      <c r="I336" s="30">
        <v>-2283.3200000000002</v>
      </c>
      <c r="J336" s="28" t="s">
        <v>760</v>
      </c>
      <c r="K336" s="28" t="e" cm="1">
        <f t="array" ref="K336">VLOOKUP(E336,[2]A023951!D$1:H$1114,{3,5},0)</f>
        <v>#N/A</v>
      </c>
      <c r="L336" s="28"/>
      <c r="M336" s="28"/>
    </row>
    <row r="337" spans="1:13" x14ac:dyDescent="0.35">
      <c r="A337" s="28" t="s">
        <v>495</v>
      </c>
      <c r="B337" s="32">
        <v>2025</v>
      </c>
      <c r="C337" s="28" t="s">
        <v>496</v>
      </c>
      <c r="D337" s="29">
        <v>45848</v>
      </c>
      <c r="E337" s="28">
        <v>256779421265</v>
      </c>
      <c r="F337" s="28" t="s">
        <v>11</v>
      </c>
      <c r="G337" s="30">
        <v>-2.95</v>
      </c>
      <c r="H337" s="28" t="s">
        <v>56</v>
      </c>
      <c r="I337" s="30">
        <v>-253.7</v>
      </c>
      <c r="J337" s="28" t="s">
        <v>761</v>
      </c>
      <c r="K337" s="28" t="e" cm="1">
        <f t="array" ref="K337">VLOOKUP(E337,[2]A023951!D$1:H$1114,{3,5},0)</f>
        <v>#N/A</v>
      </c>
      <c r="L337" s="28"/>
      <c r="M337" s="28"/>
    </row>
    <row r="338" spans="1:13" x14ac:dyDescent="0.35">
      <c r="A338" s="28" t="s">
        <v>495</v>
      </c>
      <c r="B338" s="32">
        <v>2025</v>
      </c>
      <c r="C338" s="28" t="s">
        <v>496</v>
      </c>
      <c r="D338" s="29">
        <v>45848</v>
      </c>
      <c r="E338" s="28">
        <v>256779421266</v>
      </c>
      <c r="F338" s="28" t="s">
        <v>11</v>
      </c>
      <c r="G338" s="30">
        <v>-26.55</v>
      </c>
      <c r="H338" s="28" t="s">
        <v>56</v>
      </c>
      <c r="I338" s="30">
        <v>-2283.3200000000002</v>
      </c>
      <c r="J338" s="28" t="s">
        <v>724</v>
      </c>
      <c r="K338" s="28" t="e" cm="1">
        <f t="array" ref="K338">VLOOKUP(E338,[2]A023951!D$1:H$1114,{3,5},0)</f>
        <v>#N/A</v>
      </c>
      <c r="L338" s="28"/>
      <c r="M338" s="28"/>
    </row>
    <row r="339" spans="1:13" x14ac:dyDescent="0.35">
      <c r="A339" s="28" t="s">
        <v>495</v>
      </c>
      <c r="B339" s="32">
        <v>2025</v>
      </c>
      <c r="C339" s="28" t="s">
        <v>496</v>
      </c>
      <c r="D339" s="29">
        <v>45848</v>
      </c>
      <c r="E339" s="28">
        <v>256779421267</v>
      </c>
      <c r="F339" s="28" t="s">
        <v>11</v>
      </c>
      <c r="G339" s="30">
        <v>-26.55</v>
      </c>
      <c r="H339" s="28" t="s">
        <v>56</v>
      </c>
      <c r="I339" s="30">
        <v>-2283.3200000000002</v>
      </c>
      <c r="J339" s="28" t="s">
        <v>725</v>
      </c>
      <c r="K339" s="28" t="e" cm="1">
        <f t="array" ref="K339">VLOOKUP(E339,[2]A023951!D$1:H$1114,{3,5},0)</f>
        <v>#N/A</v>
      </c>
      <c r="L339" s="28"/>
      <c r="M339" s="28"/>
    </row>
    <row r="340" spans="1:13" x14ac:dyDescent="0.35">
      <c r="A340" s="28" t="s">
        <v>495</v>
      </c>
      <c r="B340" s="32">
        <v>2025</v>
      </c>
      <c r="C340" s="28" t="s">
        <v>496</v>
      </c>
      <c r="D340" s="29">
        <v>45848</v>
      </c>
      <c r="E340" s="28">
        <v>256779421268</v>
      </c>
      <c r="F340" s="28" t="s">
        <v>11</v>
      </c>
      <c r="G340" s="30">
        <v>-29.5</v>
      </c>
      <c r="H340" s="28" t="s">
        <v>56</v>
      </c>
      <c r="I340" s="30">
        <v>-2537.02</v>
      </c>
      <c r="J340" s="28" t="s">
        <v>726</v>
      </c>
      <c r="K340" s="28" t="e" cm="1">
        <f t="array" ref="K340">VLOOKUP(E340,[2]A023951!D$1:H$1114,{3,5},0)</f>
        <v>#N/A</v>
      </c>
      <c r="L340" s="28"/>
      <c r="M340" s="28"/>
    </row>
    <row r="341" spans="1:13" x14ac:dyDescent="0.35">
      <c r="A341" s="28" t="s">
        <v>495</v>
      </c>
      <c r="B341" s="32">
        <v>2025</v>
      </c>
      <c r="C341" s="28" t="s">
        <v>496</v>
      </c>
      <c r="D341" s="29">
        <v>45848</v>
      </c>
      <c r="E341" s="28">
        <v>256779421269</v>
      </c>
      <c r="F341" s="28" t="s">
        <v>11</v>
      </c>
      <c r="G341" s="30">
        <v>-5.9</v>
      </c>
      <c r="H341" s="28" t="s">
        <v>56</v>
      </c>
      <c r="I341" s="30">
        <v>-507.4</v>
      </c>
      <c r="J341" s="28" t="s">
        <v>727</v>
      </c>
      <c r="K341" s="28" t="e" cm="1">
        <f t="array" ref="K341">VLOOKUP(E341,[2]A023951!D$1:H$1114,{3,5},0)</f>
        <v>#N/A</v>
      </c>
      <c r="L341" s="28"/>
      <c r="M341" s="28"/>
    </row>
    <row r="342" spans="1:13" x14ac:dyDescent="0.35">
      <c r="A342" s="28" t="s">
        <v>495</v>
      </c>
      <c r="B342" s="32">
        <v>2025</v>
      </c>
      <c r="C342" s="28" t="s">
        <v>496</v>
      </c>
      <c r="D342" s="29">
        <v>45848</v>
      </c>
      <c r="E342" s="28">
        <v>256779421270</v>
      </c>
      <c r="F342" s="28" t="s">
        <v>11</v>
      </c>
      <c r="G342" s="30">
        <v>-20.65</v>
      </c>
      <c r="H342" s="28" t="s">
        <v>56</v>
      </c>
      <c r="I342" s="30">
        <v>-1775.91</v>
      </c>
      <c r="J342" s="28" t="s">
        <v>728</v>
      </c>
      <c r="K342" s="28" t="e" cm="1">
        <f t="array" ref="K342">VLOOKUP(E342,[2]A023951!D$1:H$1114,{3,5},0)</f>
        <v>#N/A</v>
      </c>
      <c r="L342" s="28"/>
      <c r="M342" s="28"/>
    </row>
    <row r="343" spans="1:13" x14ac:dyDescent="0.35">
      <c r="A343" s="28" t="s">
        <v>495</v>
      </c>
      <c r="B343" s="32">
        <v>2025</v>
      </c>
      <c r="C343" s="28" t="s">
        <v>496</v>
      </c>
      <c r="D343" s="29">
        <v>45848</v>
      </c>
      <c r="E343" s="28">
        <v>256779421271</v>
      </c>
      <c r="F343" s="28" t="s">
        <v>11</v>
      </c>
      <c r="G343" s="30">
        <v>-14.75</v>
      </c>
      <c r="H343" s="28" t="s">
        <v>56</v>
      </c>
      <c r="I343" s="30">
        <v>-1268.51</v>
      </c>
      <c r="J343" s="28" t="s">
        <v>729</v>
      </c>
      <c r="K343" s="28" t="e" cm="1">
        <f t="array" ref="K343">VLOOKUP(E343,[2]A023951!D$1:H$1114,{3,5},0)</f>
        <v>#N/A</v>
      </c>
      <c r="L343" s="28"/>
      <c r="M343" s="28"/>
    </row>
    <row r="344" spans="1:13" x14ac:dyDescent="0.35">
      <c r="A344" s="28" t="s">
        <v>495</v>
      </c>
      <c r="B344" s="32">
        <v>2025</v>
      </c>
      <c r="C344" s="28" t="s">
        <v>496</v>
      </c>
      <c r="D344" s="29">
        <v>45848</v>
      </c>
      <c r="E344" s="28">
        <v>256779421272</v>
      </c>
      <c r="F344" s="28" t="s">
        <v>11</v>
      </c>
      <c r="G344" s="30">
        <v>-32.32</v>
      </c>
      <c r="H344" s="28" t="s">
        <v>56</v>
      </c>
      <c r="I344" s="30">
        <v>-2779.54</v>
      </c>
      <c r="J344" s="28" t="s">
        <v>730</v>
      </c>
      <c r="K344" s="28" t="e" cm="1">
        <f t="array" ref="K344">VLOOKUP(E344,[2]A023951!D$1:H$1114,{3,5},0)</f>
        <v>#N/A</v>
      </c>
      <c r="L344" s="28"/>
      <c r="M344" s="28"/>
    </row>
    <row r="345" spans="1:13" x14ac:dyDescent="0.35">
      <c r="A345" s="28" t="s">
        <v>495</v>
      </c>
      <c r="B345" s="32">
        <v>2025</v>
      </c>
      <c r="C345" s="28" t="s">
        <v>496</v>
      </c>
      <c r="D345" s="29">
        <v>45848</v>
      </c>
      <c r="E345" s="28">
        <v>256779421273</v>
      </c>
      <c r="F345" s="28" t="s">
        <v>11</v>
      </c>
      <c r="G345" s="30">
        <v>-30.49</v>
      </c>
      <c r="H345" s="28" t="s">
        <v>56</v>
      </c>
      <c r="I345" s="30">
        <v>-2622.16</v>
      </c>
      <c r="J345" s="28" t="s">
        <v>731</v>
      </c>
      <c r="K345" s="28" t="e" cm="1">
        <f t="array" ref="K345">VLOOKUP(E345,[2]A023951!D$1:H$1114,{3,5},0)</f>
        <v>#N/A</v>
      </c>
      <c r="L345" s="28"/>
      <c r="M345" s="28"/>
    </row>
    <row r="346" spans="1:13" x14ac:dyDescent="0.35">
      <c r="A346" s="28" t="s">
        <v>495</v>
      </c>
      <c r="B346" s="32">
        <v>2025</v>
      </c>
      <c r="C346" s="28" t="s">
        <v>496</v>
      </c>
      <c r="D346" s="29">
        <v>45848</v>
      </c>
      <c r="E346" s="28">
        <v>256779421274</v>
      </c>
      <c r="F346" s="28" t="s">
        <v>11</v>
      </c>
      <c r="G346" s="30">
        <v>-17.7</v>
      </c>
      <c r="H346" s="28" t="s">
        <v>56</v>
      </c>
      <c r="I346" s="30">
        <v>-1522.21</v>
      </c>
      <c r="J346" s="28" t="s">
        <v>732</v>
      </c>
      <c r="K346" s="28" t="e" cm="1">
        <f t="array" ref="K346">VLOOKUP(E346,[2]A023951!D$1:H$1114,{3,5},0)</f>
        <v>#N/A</v>
      </c>
      <c r="L346" s="28"/>
      <c r="M346" s="28"/>
    </row>
    <row r="347" spans="1:13" x14ac:dyDescent="0.35">
      <c r="A347" s="28" t="s">
        <v>495</v>
      </c>
      <c r="B347" s="32">
        <v>2025</v>
      </c>
      <c r="C347" s="28" t="s">
        <v>496</v>
      </c>
      <c r="D347" s="29">
        <v>45848</v>
      </c>
      <c r="E347" s="28">
        <v>256779421275</v>
      </c>
      <c r="F347" s="28" t="s">
        <v>11</v>
      </c>
      <c r="G347" s="30">
        <v>-2.95</v>
      </c>
      <c r="H347" s="28" t="s">
        <v>56</v>
      </c>
      <c r="I347" s="30">
        <v>-253.7</v>
      </c>
      <c r="J347" s="28" t="s">
        <v>733</v>
      </c>
      <c r="K347" s="28" t="e" cm="1">
        <f t="array" ref="K347">VLOOKUP(E347,[2]A023951!D$1:H$1114,{3,5},0)</f>
        <v>#N/A</v>
      </c>
      <c r="L347" s="28"/>
      <c r="M347" s="28"/>
    </row>
    <row r="348" spans="1:13" x14ac:dyDescent="0.35">
      <c r="A348" s="28" t="s">
        <v>495</v>
      </c>
      <c r="B348" s="32">
        <v>2025</v>
      </c>
      <c r="C348" s="28" t="s">
        <v>496</v>
      </c>
      <c r="D348" s="29">
        <v>45848</v>
      </c>
      <c r="E348" s="28">
        <v>256779421276</v>
      </c>
      <c r="F348" s="28" t="s">
        <v>11</v>
      </c>
      <c r="G348" s="30">
        <v>-1.18</v>
      </c>
      <c r="H348" s="28" t="s">
        <v>56</v>
      </c>
      <c r="I348" s="30">
        <v>-101.48</v>
      </c>
      <c r="J348" s="28" t="s">
        <v>733</v>
      </c>
      <c r="K348" s="28" t="e" cm="1">
        <f t="array" ref="K348">VLOOKUP(E348,[2]A023951!D$1:H$1114,{3,5},0)</f>
        <v>#N/A</v>
      </c>
      <c r="L348" s="28"/>
      <c r="M348" s="28"/>
    </row>
    <row r="349" spans="1:13" x14ac:dyDescent="0.35">
      <c r="A349" s="28" t="s">
        <v>495</v>
      </c>
      <c r="B349" s="32">
        <v>2025</v>
      </c>
      <c r="C349" s="28" t="s">
        <v>496</v>
      </c>
      <c r="D349" s="29">
        <v>45848</v>
      </c>
      <c r="E349" s="28">
        <v>256779421277</v>
      </c>
      <c r="F349" s="28" t="s">
        <v>11</v>
      </c>
      <c r="G349" s="30">
        <v>-29.5</v>
      </c>
      <c r="H349" s="28" t="s">
        <v>56</v>
      </c>
      <c r="I349" s="30">
        <v>-2537.02</v>
      </c>
      <c r="J349" s="28" t="s">
        <v>762</v>
      </c>
      <c r="K349" s="28" t="e" cm="1">
        <f t="array" ref="K349">VLOOKUP(E349,[2]A023951!D$1:H$1114,{3,5},0)</f>
        <v>#N/A</v>
      </c>
      <c r="L349" s="28"/>
      <c r="M349" s="28"/>
    </row>
    <row r="350" spans="1:13" x14ac:dyDescent="0.35">
      <c r="A350" s="28" t="s">
        <v>495</v>
      </c>
      <c r="B350" s="32">
        <v>2025</v>
      </c>
      <c r="C350" s="28" t="s">
        <v>496</v>
      </c>
      <c r="D350" s="29">
        <v>45848</v>
      </c>
      <c r="E350" s="28">
        <v>256779421278</v>
      </c>
      <c r="F350" s="28" t="s">
        <v>11</v>
      </c>
      <c r="G350" s="30">
        <v>-29.5</v>
      </c>
      <c r="H350" s="28" t="s">
        <v>56</v>
      </c>
      <c r="I350" s="30">
        <v>-2537.02</v>
      </c>
      <c r="J350" s="28" t="s">
        <v>763</v>
      </c>
      <c r="K350" s="28" t="e" cm="1">
        <f t="array" ref="K350">VLOOKUP(E350,[2]A023951!D$1:H$1114,{3,5},0)</f>
        <v>#N/A</v>
      </c>
      <c r="L350" s="28"/>
      <c r="M350" s="28"/>
    </row>
    <row r="351" spans="1:13" x14ac:dyDescent="0.35">
      <c r="A351" s="28" t="s">
        <v>495</v>
      </c>
      <c r="B351" s="32">
        <v>2025</v>
      </c>
      <c r="C351" s="28" t="s">
        <v>496</v>
      </c>
      <c r="D351" s="29">
        <v>45848</v>
      </c>
      <c r="E351" s="28">
        <v>256779421279</v>
      </c>
      <c r="F351" s="28" t="s">
        <v>11</v>
      </c>
      <c r="G351" s="30">
        <v>-20.65</v>
      </c>
      <c r="H351" s="28" t="s">
        <v>56</v>
      </c>
      <c r="I351" s="30">
        <v>-1775.91</v>
      </c>
      <c r="J351" s="28" t="s">
        <v>764</v>
      </c>
      <c r="K351" s="28" t="e" cm="1">
        <f t="array" ref="K351">VLOOKUP(E351,[2]A023951!D$1:H$1114,{3,5},0)</f>
        <v>#N/A</v>
      </c>
      <c r="L351" s="28"/>
      <c r="M351" s="28"/>
    </row>
    <row r="352" spans="1:13" x14ac:dyDescent="0.35">
      <c r="A352" s="28" t="s">
        <v>495</v>
      </c>
      <c r="B352" s="32">
        <v>2025</v>
      </c>
      <c r="C352" s="28" t="s">
        <v>496</v>
      </c>
      <c r="D352" s="29">
        <v>45848</v>
      </c>
      <c r="E352" s="28">
        <v>256779421280</v>
      </c>
      <c r="F352" s="28" t="s">
        <v>11</v>
      </c>
      <c r="G352" s="30">
        <v>-23.6</v>
      </c>
      <c r="H352" s="28" t="s">
        <v>56</v>
      </c>
      <c r="I352" s="30">
        <v>-2029.62</v>
      </c>
      <c r="J352" s="28" t="s">
        <v>765</v>
      </c>
      <c r="K352" s="28" t="e" cm="1">
        <f t="array" ref="K352">VLOOKUP(E352,[2]A023951!D$1:H$1114,{3,5},0)</f>
        <v>#N/A</v>
      </c>
      <c r="L352" s="28"/>
      <c r="M352" s="28"/>
    </row>
    <row r="353" spans="1:13" x14ac:dyDescent="0.35">
      <c r="A353" s="28" t="s">
        <v>495</v>
      </c>
      <c r="B353" s="32">
        <v>2025</v>
      </c>
      <c r="C353" s="28" t="s">
        <v>496</v>
      </c>
      <c r="D353" s="29">
        <v>45848</v>
      </c>
      <c r="E353" s="28">
        <v>256779421281</v>
      </c>
      <c r="F353" s="28" t="s">
        <v>11</v>
      </c>
      <c r="G353" s="30">
        <v>-8.85</v>
      </c>
      <c r="H353" s="28" t="s">
        <v>56</v>
      </c>
      <c r="I353" s="30">
        <v>-761.11</v>
      </c>
      <c r="J353" s="28" t="s">
        <v>766</v>
      </c>
      <c r="K353" s="28" t="e" cm="1">
        <f t="array" ref="K353">VLOOKUP(E353,[2]A023951!D$1:H$1114,{3,5},0)</f>
        <v>#N/A</v>
      </c>
      <c r="L353" s="28"/>
      <c r="M353" s="28"/>
    </row>
    <row r="354" spans="1:13" x14ac:dyDescent="0.35">
      <c r="A354" s="28" t="s">
        <v>495</v>
      </c>
      <c r="B354" s="32">
        <v>2025</v>
      </c>
      <c r="C354" s="28" t="s">
        <v>496</v>
      </c>
      <c r="D354" s="29">
        <v>45848</v>
      </c>
      <c r="E354" s="28">
        <v>256779421282</v>
      </c>
      <c r="F354" s="28" t="s">
        <v>11</v>
      </c>
      <c r="G354" s="30">
        <v>-32.450000000000003</v>
      </c>
      <c r="H354" s="28" t="s">
        <v>56</v>
      </c>
      <c r="I354" s="30">
        <v>-2790.72</v>
      </c>
      <c r="J354" s="28" t="s">
        <v>767</v>
      </c>
      <c r="K354" s="28" t="e" cm="1">
        <f t="array" ref="K354">VLOOKUP(E354,[2]A023951!D$1:H$1114,{3,5},0)</f>
        <v>#N/A</v>
      </c>
      <c r="L354" s="28"/>
      <c r="M354" s="28"/>
    </row>
    <row r="355" spans="1:13" x14ac:dyDescent="0.35">
      <c r="A355" s="28" t="s">
        <v>495</v>
      </c>
      <c r="B355" s="32">
        <v>2025</v>
      </c>
      <c r="C355" s="28" t="s">
        <v>496</v>
      </c>
      <c r="D355" s="29">
        <v>45848</v>
      </c>
      <c r="E355" s="28">
        <v>256779421283</v>
      </c>
      <c r="F355" s="28" t="s">
        <v>11</v>
      </c>
      <c r="G355" s="30">
        <v>-26.55</v>
      </c>
      <c r="H355" s="28" t="s">
        <v>56</v>
      </c>
      <c r="I355" s="30">
        <v>-2283.3200000000002</v>
      </c>
      <c r="J355" s="28" t="s">
        <v>768</v>
      </c>
      <c r="K355" s="28" t="e" cm="1">
        <f t="array" ref="K355">VLOOKUP(E355,[2]A023951!D$1:H$1114,{3,5},0)</f>
        <v>#N/A</v>
      </c>
      <c r="L355" s="28"/>
      <c r="M355" s="28"/>
    </row>
    <row r="356" spans="1:13" x14ac:dyDescent="0.35">
      <c r="A356" s="28" t="s">
        <v>495</v>
      </c>
      <c r="B356" s="32">
        <v>2025</v>
      </c>
      <c r="C356" s="28" t="s">
        <v>496</v>
      </c>
      <c r="D356" s="29">
        <v>45848</v>
      </c>
      <c r="E356" s="28">
        <v>256779421284</v>
      </c>
      <c r="F356" s="28" t="s">
        <v>11</v>
      </c>
      <c r="G356" s="30">
        <v>-20.100000000000001</v>
      </c>
      <c r="H356" s="28" t="s">
        <v>56</v>
      </c>
      <c r="I356" s="30">
        <v>-1728.61</v>
      </c>
      <c r="J356" s="28" t="s">
        <v>769</v>
      </c>
      <c r="K356" s="28" t="e" cm="1">
        <f t="array" ref="K356">VLOOKUP(E356,[2]A023951!D$1:H$1114,{3,5},0)</f>
        <v>#N/A</v>
      </c>
      <c r="L356" s="28"/>
      <c r="M356" s="28"/>
    </row>
    <row r="357" spans="1:13" x14ac:dyDescent="0.35">
      <c r="A357" s="28" t="s">
        <v>495</v>
      </c>
      <c r="B357" s="32">
        <v>2025</v>
      </c>
      <c r="C357" s="28" t="s">
        <v>496</v>
      </c>
      <c r="D357" s="29">
        <v>45848</v>
      </c>
      <c r="E357" s="28">
        <v>256779421285</v>
      </c>
      <c r="F357" s="28" t="s">
        <v>11</v>
      </c>
      <c r="G357" s="30">
        <v>-183.99</v>
      </c>
      <c r="H357" s="28" t="s">
        <v>56</v>
      </c>
      <c r="I357" s="30">
        <v>-15823.26</v>
      </c>
      <c r="J357" s="28" t="s">
        <v>770</v>
      </c>
      <c r="K357" s="28" t="e" cm="1">
        <f t="array" ref="K357">VLOOKUP(E357,[2]A023951!D$1:H$1114,{3,5},0)</f>
        <v>#N/A</v>
      </c>
      <c r="L357" s="28"/>
      <c r="M357" s="28"/>
    </row>
    <row r="358" spans="1:13" x14ac:dyDescent="0.35">
      <c r="A358" s="28" t="s">
        <v>495</v>
      </c>
      <c r="B358" s="32">
        <v>2025</v>
      </c>
      <c r="C358" s="28" t="s">
        <v>496</v>
      </c>
      <c r="D358" s="29">
        <v>45848</v>
      </c>
      <c r="E358" s="28">
        <v>256779421286</v>
      </c>
      <c r="F358" s="28" t="s">
        <v>11</v>
      </c>
      <c r="G358" s="30">
        <v>-236</v>
      </c>
      <c r="H358" s="28" t="s">
        <v>56</v>
      </c>
      <c r="I358" s="30">
        <v>-20296.16</v>
      </c>
      <c r="J358" s="28" t="s">
        <v>771</v>
      </c>
      <c r="K358" s="28" t="e" cm="1">
        <f t="array" ref="K358">VLOOKUP(E358,[2]A023951!D$1:H$1114,{3,5},0)</f>
        <v>#N/A</v>
      </c>
      <c r="L358" s="28"/>
      <c r="M358" s="28"/>
    </row>
    <row r="359" spans="1:13" x14ac:dyDescent="0.35">
      <c r="A359" s="28" t="s">
        <v>495</v>
      </c>
      <c r="B359" s="32">
        <v>2025</v>
      </c>
      <c r="C359" s="28" t="s">
        <v>496</v>
      </c>
      <c r="D359" s="29">
        <v>45848</v>
      </c>
      <c r="E359" s="28">
        <v>256779421287</v>
      </c>
      <c r="F359" s="28" t="s">
        <v>11</v>
      </c>
      <c r="G359" s="30">
        <v>-70.8</v>
      </c>
      <c r="H359" s="28" t="s">
        <v>56</v>
      </c>
      <c r="I359" s="30">
        <v>-6088.85</v>
      </c>
      <c r="J359" s="28" t="s">
        <v>772</v>
      </c>
      <c r="K359" s="28" t="e" cm="1">
        <f t="array" ref="K359">VLOOKUP(E359,[2]A023951!D$1:H$1114,{3,5},0)</f>
        <v>#N/A</v>
      </c>
      <c r="L359" s="28"/>
      <c r="M359" s="28"/>
    </row>
    <row r="360" spans="1:13" x14ac:dyDescent="0.35">
      <c r="A360" s="28" t="s">
        <v>495</v>
      </c>
      <c r="B360" s="32">
        <v>2025</v>
      </c>
      <c r="C360" s="28" t="s">
        <v>496</v>
      </c>
      <c r="D360" s="29">
        <v>45848</v>
      </c>
      <c r="E360" s="28">
        <v>256779421288</v>
      </c>
      <c r="F360" s="28" t="s">
        <v>11</v>
      </c>
      <c r="G360" s="30">
        <v>-25.22</v>
      </c>
      <c r="H360" s="28" t="s">
        <v>56</v>
      </c>
      <c r="I360" s="30">
        <v>-2168.94</v>
      </c>
      <c r="J360" s="28" t="s">
        <v>773</v>
      </c>
      <c r="K360" s="28" t="e" cm="1">
        <f t="array" ref="K360">VLOOKUP(E360,[2]A023951!D$1:H$1114,{3,5},0)</f>
        <v>#N/A</v>
      </c>
      <c r="L360" s="28"/>
      <c r="M360" s="28"/>
    </row>
    <row r="361" spans="1:13" x14ac:dyDescent="0.35">
      <c r="A361" s="28" t="s">
        <v>495</v>
      </c>
      <c r="B361" s="32">
        <v>2025</v>
      </c>
      <c r="C361" s="28" t="s">
        <v>496</v>
      </c>
      <c r="D361" s="29">
        <v>45848</v>
      </c>
      <c r="E361" s="28">
        <v>256779421289</v>
      </c>
      <c r="F361" s="28" t="s">
        <v>11</v>
      </c>
      <c r="G361" s="30">
        <v>-84.96</v>
      </c>
      <c r="H361" s="28" t="s">
        <v>56</v>
      </c>
      <c r="I361" s="30">
        <v>-7306.62</v>
      </c>
      <c r="J361" s="28" t="s">
        <v>774</v>
      </c>
      <c r="K361" s="28" t="e" cm="1">
        <f t="array" ref="K361">VLOOKUP(E361,[2]A023951!D$1:H$1114,{3,5},0)</f>
        <v>#N/A</v>
      </c>
      <c r="L361" s="28"/>
      <c r="M361" s="28"/>
    </row>
    <row r="362" spans="1:13" x14ac:dyDescent="0.35">
      <c r="A362" s="28" t="s">
        <v>495</v>
      </c>
      <c r="B362" s="32">
        <v>2025</v>
      </c>
      <c r="C362" s="28" t="s">
        <v>496</v>
      </c>
      <c r="D362" s="29">
        <v>45848</v>
      </c>
      <c r="E362" s="28">
        <v>256779421290</v>
      </c>
      <c r="F362" s="28" t="s">
        <v>11</v>
      </c>
      <c r="G362" s="30">
        <v>-244.58</v>
      </c>
      <c r="H362" s="28" t="s">
        <v>56</v>
      </c>
      <c r="I362" s="30">
        <v>-21034.04</v>
      </c>
      <c r="J362" s="28" t="s">
        <v>742</v>
      </c>
      <c r="K362" s="28" t="e" cm="1">
        <f t="array" ref="K362">VLOOKUP(E362,[2]A023951!D$1:H$1114,{3,5},0)</f>
        <v>#N/A</v>
      </c>
      <c r="L362" s="28"/>
      <c r="M362" s="28"/>
    </row>
    <row r="363" spans="1:13" x14ac:dyDescent="0.35">
      <c r="A363" s="28" t="s">
        <v>495</v>
      </c>
      <c r="B363" s="32">
        <v>2025</v>
      </c>
      <c r="C363" s="28" t="s">
        <v>496</v>
      </c>
      <c r="D363" s="29">
        <v>45848</v>
      </c>
      <c r="E363" s="28">
        <v>256779421291</v>
      </c>
      <c r="F363" s="28" t="s">
        <v>11</v>
      </c>
      <c r="G363" s="30">
        <v>-113.28</v>
      </c>
      <c r="H363" s="28" t="s">
        <v>56</v>
      </c>
      <c r="I363" s="30">
        <v>-9742.16</v>
      </c>
      <c r="J363" s="28" t="s">
        <v>742</v>
      </c>
      <c r="K363" s="28" t="e" cm="1">
        <f t="array" ref="K363">VLOOKUP(E363,[2]A023951!D$1:H$1114,{3,5},0)</f>
        <v>#N/A</v>
      </c>
      <c r="L363" s="28"/>
      <c r="M363" s="28"/>
    </row>
    <row r="364" spans="1:13" x14ac:dyDescent="0.35">
      <c r="A364" s="28" t="s">
        <v>495</v>
      </c>
      <c r="B364" s="32">
        <v>2025</v>
      </c>
      <c r="C364" s="28" t="s">
        <v>496</v>
      </c>
      <c r="D364" s="29">
        <v>45848</v>
      </c>
      <c r="E364" s="28">
        <v>256779421292</v>
      </c>
      <c r="F364" s="28" t="s">
        <v>11</v>
      </c>
      <c r="G364" s="30">
        <v>-236</v>
      </c>
      <c r="H364" s="28" t="s">
        <v>56</v>
      </c>
      <c r="I364" s="30">
        <v>-20296.16</v>
      </c>
      <c r="J364" s="28" t="s">
        <v>742</v>
      </c>
      <c r="K364" s="28" t="e" cm="1">
        <f t="array" ref="K364">VLOOKUP(E364,[2]A023951!D$1:H$1114,{3,5},0)</f>
        <v>#N/A</v>
      </c>
      <c r="L364" s="28"/>
      <c r="M364" s="28"/>
    </row>
    <row r="365" spans="1:13" x14ac:dyDescent="0.35">
      <c r="A365" s="28" t="s">
        <v>495</v>
      </c>
      <c r="B365" s="32">
        <v>2025</v>
      </c>
      <c r="C365" s="28" t="s">
        <v>496</v>
      </c>
      <c r="D365" s="29">
        <v>45848</v>
      </c>
      <c r="E365" s="28">
        <v>256779421293</v>
      </c>
      <c r="F365" s="28" t="s">
        <v>11</v>
      </c>
      <c r="G365" s="30">
        <v>-70.8</v>
      </c>
      <c r="H365" s="28" t="s">
        <v>56</v>
      </c>
      <c r="I365" s="30">
        <v>-6088.85</v>
      </c>
      <c r="J365" s="28" t="s">
        <v>742</v>
      </c>
      <c r="K365" s="28" t="e" cm="1">
        <f t="array" ref="K365">VLOOKUP(E365,[2]A023951!D$1:H$1114,{3,5},0)</f>
        <v>#N/A</v>
      </c>
      <c r="L365" s="28"/>
      <c r="M365" s="28"/>
    </row>
    <row r="366" spans="1:13" x14ac:dyDescent="0.35">
      <c r="A366" s="28" t="s">
        <v>495</v>
      </c>
      <c r="B366" s="32">
        <v>2025</v>
      </c>
      <c r="C366" s="28" t="s">
        <v>496</v>
      </c>
      <c r="D366" s="29">
        <v>45848</v>
      </c>
      <c r="E366" s="28">
        <v>256779421294</v>
      </c>
      <c r="F366" s="28" t="s">
        <v>11</v>
      </c>
      <c r="G366" s="30">
        <v>-79.650000000000006</v>
      </c>
      <c r="H366" s="28" t="s">
        <v>56</v>
      </c>
      <c r="I366" s="30">
        <v>-6849.95</v>
      </c>
      <c r="J366" s="28" t="s">
        <v>775</v>
      </c>
      <c r="K366" s="28" t="e" cm="1">
        <f t="array" ref="K366">VLOOKUP(E366,[2]A023951!D$1:H$1114,{3,5},0)</f>
        <v>#N/A</v>
      </c>
      <c r="L366" s="28"/>
      <c r="M366" s="28"/>
    </row>
    <row r="367" spans="1:13" x14ac:dyDescent="0.35">
      <c r="A367" s="28" t="s">
        <v>495</v>
      </c>
      <c r="B367" s="32">
        <v>2025</v>
      </c>
      <c r="C367" s="28" t="s">
        <v>496</v>
      </c>
      <c r="D367" s="29">
        <v>45848</v>
      </c>
      <c r="E367" s="28">
        <v>256779421295</v>
      </c>
      <c r="F367" s="28" t="s">
        <v>11</v>
      </c>
      <c r="G367" s="30">
        <v>-3.54</v>
      </c>
      <c r="H367" s="28" t="s">
        <v>56</v>
      </c>
      <c r="I367" s="30">
        <v>-304.44</v>
      </c>
      <c r="J367" s="28" t="s">
        <v>776</v>
      </c>
      <c r="K367" s="28" t="e" cm="1">
        <f t="array" ref="K367">VLOOKUP(E367,[2]A023951!D$1:H$1114,{3,5},0)</f>
        <v>#N/A</v>
      </c>
      <c r="L367" s="28"/>
      <c r="M367" s="28"/>
    </row>
    <row r="368" spans="1:13" x14ac:dyDescent="0.35">
      <c r="A368" s="28" t="s">
        <v>495</v>
      </c>
      <c r="B368" s="32">
        <v>2025</v>
      </c>
      <c r="C368" s="28" t="s">
        <v>496</v>
      </c>
      <c r="D368" s="29">
        <v>45848</v>
      </c>
      <c r="E368" s="28">
        <v>256779421296</v>
      </c>
      <c r="F368" s="28" t="s">
        <v>11</v>
      </c>
      <c r="G368" s="30">
        <v>-3.54</v>
      </c>
      <c r="H368" s="28" t="s">
        <v>56</v>
      </c>
      <c r="I368" s="30">
        <v>-304.44</v>
      </c>
      <c r="J368" s="28" t="s">
        <v>777</v>
      </c>
      <c r="K368" s="28" t="e" cm="1">
        <f t="array" ref="K368">VLOOKUP(E368,[2]A023951!D$1:H$1114,{3,5},0)</f>
        <v>#N/A</v>
      </c>
      <c r="L368" s="28"/>
      <c r="M368" s="28"/>
    </row>
    <row r="369" spans="1:13" x14ac:dyDescent="0.35">
      <c r="A369" s="28" t="s">
        <v>495</v>
      </c>
      <c r="B369" s="32">
        <v>2025</v>
      </c>
      <c r="C369" s="28" t="s">
        <v>496</v>
      </c>
      <c r="D369" s="29">
        <v>45848</v>
      </c>
      <c r="E369" s="28">
        <v>256779421297</v>
      </c>
      <c r="F369" s="28" t="s">
        <v>11</v>
      </c>
      <c r="G369" s="30">
        <v>-236</v>
      </c>
      <c r="H369" s="28" t="s">
        <v>56</v>
      </c>
      <c r="I369" s="30">
        <v>-20296.16</v>
      </c>
      <c r="J369" s="28" t="s">
        <v>778</v>
      </c>
      <c r="K369" s="28" t="e" cm="1">
        <f t="array" ref="K369">VLOOKUP(E369,[2]A023951!D$1:H$1114,{3,5},0)</f>
        <v>#N/A</v>
      </c>
      <c r="L369" s="28"/>
      <c r="M369" s="28"/>
    </row>
    <row r="370" spans="1:13" x14ac:dyDescent="0.35">
      <c r="A370" s="28" t="s">
        <v>495</v>
      </c>
      <c r="B370" s="32">
        <v>2025</v>
      </c>
      <c r="C370" s="28" t="s">
        <v>496</v>
      </c>
      <c r="D370" s="29">
        <v>45848</v>
      </c>
      <c r="E370" s="28">
        <v>256779421298</v>
      </c>
      <c r="F370" s="28" t="s">
        <v>11</v>
      </c>
      <c r="G370" s="30">
        <v>-369.34</v>
      </c>
      <c r="H370" s="28" t="s">
        <v>56</v>
      </c>
      <c r="I370" s="30">
        <v>-31763.49</v>
      </c>
      <c r="J370" s="28" t="s">
        <v>779</v>
      </c>
      <c r="K370" s="28" t="e" cm="1">
        <f t="array" ref="K370">VLOOKUP(E370,[2]A023951!D$1:H$1114,{3,5},0)</f>
        <v>#N/A</v>
      </c>
      <c r="L370" s="28"/>
      <c r="M370" s="28"/>
    </row>
    <row r="371" spans="1:13" x14ac:dyDescent="0.35">
      <c r="A371" s="28" t="s">
        <v>495</v>
      </c>
      <c r="B371" s="32">
        <v>2025</v>
      </c>
      <c r="C371" s="28" t="s">
        <v>496</v>
      </c>
      <c r="D371" s="29">
        <v>45848</v>
      </c>
      <c r="E371" s="28">
        <v>256779421299</v>
      </c>
      <c r="F371" s="28" t="s">
        <v>11</v>
      </c>
      <c r="G371" s="30">
        <v>-226.56</v>
      </c>
      <c r="H371" s="28" t="s">
        <v>56</v>
      </c>
      <c r="I371" s="30">
        <v>-19484.310000000001</v>
      </c>
      <c r="J371" s="28" t="s">
        <v>780</v>
      </c>
      <c r="K371" s="28" t="e" cm="1">
        <f t="array" ref="K371">VLOOKUP(E371,[2]A023951!D$1:H$1114,{3,5},0)</f>
        <v>#N/A</v>
      </c>
      <c r="L371" s="28"/>
      <c r="M371" s="28"/>
    </row>
    <row r="372" spans="1:13" x14ac:dyDescent="0.35">
      <c r="A372" s="28" t="s">
        <v>495</v>
      </c>
      <c r="B372" s="32">
        <v>2025</v>
      </c>
      <c r="C372" s="28" t="s">
        <v>496</v>
      </c>
      <c r="D372" s="29">
        <v>45848</v>
      </c>
      <c r="E372" s="28">
        <v>256779421300</v>
      </c>
      <c r="F372" s="28" t="s">
        <v>11</v>
      </c>
      <c r="G372" s="30">
        <v>-236</v>
      </c>
      <c r="H372" s="28" t="s">
        <v>56</v>
      </c>
      <c r="I372" s="30">
        <v>-20296.16</v>
      </c>
      <c r="J372" s="28" t="s">
        <v>781</v>
      </c>
      <c r="K372" s="28" t="e" cm="1">
        <f t="array" ref="K372">VLOOKUP(E372,[2]A023951!D$1:H$1114,{3,5},0)</f>
        <v>#N/A</v>
      </c>
      <c r="L372" s="28"/>
      <c r="M372" s="28"/>
    </row>
    <row r="373" spans="1:13" x14ac:dyDescent="0.35">
      <c r="A373" s="28" t="s">
        <v>495</v>
      </c>
      <c r="B373" s="32">
        <v>2025</v>
      </c>
      <c r="C373" s="28" t="s">
        <v>496</v>
      </c>
      <c r="D373" s="29">
        <v>45848</v>
      </c>
      <c r="E373" s="28">
        <v>256779421301</v>
      </c>
      <c r="F373" s="28" t="s">
        <v>11</v>
      </c>
      <c r="G373" s="30">
        <v>-70.8</v>
      </c>
      <c r="H373" s="28" t="s">
        <v>56</v>
      </c>
      <c r="I373" s="30">
        <v>-6088.85</v>
      </c>
      <c r="J373" s="28" t="s">
        <v>782</v>
      </c>
      <c r="K373" s="28" t="e" cm="1">
        <f t="array" ref="K373">VLOOKUP(E373,[2]A023951!D$1:H$1114,{3,5},0)</f>
        <v>#N/A</v>
      </c>
      <c r="L373" s="28"/>
      <c r="M373" s="28"/>
    </row>
    <row r="374" spans="1:13" x14ac:dyDescent="0.35">
      <c r="A374" s="28" t="s">
        <v>495</v>
      </c>
      <c r="B374" s="32">
        <v>2025</v>
      </c>
      <c r="C374" s="28" t="s">
        <v>496</v>
      </c>
      <c r="D374" s="29">
        <v>45848</v>
      </c>
      <c r="E374" s="28">
        <v>256779421302</v>
      </c>
      <c r="F374" s="28" t="s">
        <v>11</v>
      </c>
      <c r="G374" s="30">
        <v>-3.54</v>
      </c>
      <c r="H374" s="28" t="s">
        <v>56</v>
      </c>
      <c r="I374" s="30">
        <v>-304.44</v>
      </c>
      <c r="J374" s="28" t="s">
        <v>783</v>
      </c>
      <c r="K374" s="28" t="e" cm="1">
        <f t="array" ref="K374">VLOOKUP(E374,[2]A023951!D$1:H$1114,{3,5},0)</f>
        <v>#N/A</v>
      </c>
      <c r="L374" s="28"/>
      <c r="M374" s="28"/>
    </row>
    <row r="375" spans="1:13" x14ac:dyDescent="0.35">
      <c r="A375" s="28" t="s">
        <v>495</v>
      </c>
      <c r="B375" s="32">
        <v>2025</v>
      </c>
      <c r="C375" s="28" t="s">
        <v>496</v>
      </c>
      <c r="D375" s="29">
        <v>45848</v>
      </c>
      <c r="E375" s="28">
        <v>256779421303</v>
      </c>
      <c r="F375" s="28" t="s">
        <v>11</v>
      </c>
      <c r="G375" s="30">
        <v>-84.96</v>
      </c>
      <c r="H375" s="28" t="s">
        <v>56</v>
      </c>
      <c r="I375" s="30">
        <v>-7306.62</v>
      </c>
      <c r="J375" s="28" t="s">
        <v>784</v>
      </c>
      <c r="K375" s="28" t="e" cm="1">
        <f t="array" ref="K375">VLOOKUP(E375,[2]A023951!D$1:H$1114,{3,5},0)</f>
        <v>#N/A</v>
      </c>
      <c r="L375" s="28"/>
      <c r="M375" s="28"/>
    </row>
    <row r="376" spans="1:13" x14ac:dyDescent="0.35">
      <c r="A376" s="28" t="s">
        <v>495</v>
      </c>
      <c r="B376" s="32">
        <v>2025</v>
      </c>
      <c r="C376" s="28" t="s">
        <v>496</v>
      </c>
      <c r="D376" s="29">
        <v>45848</v>
      </c>
      <c r="E376" s="28">
        <v>256779421304</v>
      </c>
      <c r="F376" s="28" t="s">
        <v>11</v>
      </c>
      <c r="G376" s="30">
        <v>-51.12</v>
      </c>
      <c r="H376" s="28" t="s">
        <v>56</v>
      </c>
      <c r="I376" s="30">
        <v>-4396.3500000000004</v>
      </c>
      <c r="J376" s="28" t="s">
        <v>784</v>
      </c>
      <c r="K376" s="28" t="e" cm="1">
        <f t="array" ref="K376">VLOOKUP(E376,[2]A023951!D$1:H$1114,{3,5},0)</f>
        <v>#N/A</v>
      </c>
      <c r="L376" s="28"/>
      <c r="M376" s="28"/>
    </row>
    <row r="377" spans="1:13" x14ac:dyDescent="0.35">
      <c r="A377" s="28" t="s">
        <v>495</v>
      </c>
      <c r="B377" s="32">
        <v>2025</v>
      </c>
      <c r="C377" s="28" t="s">
        <v>496</v>
      </c>
      <c r="D377" s="29">
        <v>45848</v>
      </c>
      <c r="E377" s="28">
        <v>256779421305</v>
      </c>
      <c r="F377" s="28" t="s">
        <v>11</v>
      </c>
      <c r="G377" s="30">
        <v>-183.35</v>
      </c>
      <c r="H377" s="28" t="s">
        <v>56</v>
      </c>
      <c r="I377" s="30">
        <v>-15768.22</v>
      </c>
      <c r="J377" s="28" t="s">
        <v>785</v>
      </c>
      <c r="K377" s="28" t="e" cm="1">
        <f t="array" ref="K377">VLOOKUP(E377,[2]A023951!D$1:H$1114,{3,5},0)</f>
        <v>#N/A</v>
      </c>
      <c r="L377" s="28"/>
      <c r="M377" s="28"/>
    </row>
    <row r="378" spans="1:13" x14ac:dyDescent="0.35">
      <c r="A378" s="28" t="s">
        <v>495</v>
      </c>
      <c r="B378" s="32">
        <v>2025</v>
      </c>
      <c r="C378" s="28" t="s">
        <v>496</v>
      </c>
      <c r="D378" s="29">
        <v>45848</v>
      </c>
      <c r="E378" s="28">
        <v>256779421306</v>
      </c>
      <c r="F378" s="28" t="s">
        <v>11</v>
      </c>
      <c r="G378" s="30">
        <v>-3.1</v>
      </c>
      <c r="H378" s="28" t="s">
        <v>56</v>
      </c>
      <c r="I378" s="30">
        <v>-266.60000000000002</v>
      </c>
      <c r="J378" s="28" t="s">
        <v>786</v>
      </c>
      <c r="K378" s="28" t="e" cm="1">
        <f t="array" ref="K378">VLOOKUP(E378,[2]A023951!D$1:H$1114,{3,5},0)</f>
        <v>#N/A</v>
      </c>
      <c r="L378" s="28"/>
      <c r="M378" s="28"/>
    </row>
    <row r="379" spans="1:13" x14ac:dyDescent="0.35">
      <c r="A379" s="28" t="s">
        <v>495</v>
      </c>
      <c r="B379" s="32">
        <v>2025</v>
      </c>
      <c r="C379" s="28" t="s">
        <v>496</v>
      </c>
      <c r="D379" s="29">
        <v>45848</v>
      </c>
      <c r="E379" s="28">
        <v>256779421307</v>
      </c>
      <c r="F379" s="28" t="s">
        <v>11</v>
      </c>
      <c r="G379" s="30">
        <v>-553.87</v>
      </c>
      <c r="H379" s="28" t="s">
        <v>56</v>
      </c>
      <c r="I379" s="30">
        <v>-47633.19</v>
      </c>
      <c r="J379" s="28" t="s">
        <v>787</v>
      </c>
      <c r="K379" s="28" t="e" cm="1">
        <f t="array" ref="K379">VLOOKUP(E379,[2]A023951!D$1:H$1114,{3,5},0)</f>
        <v>#N/A</v>
      </c>
      <c r="L379" s="28"/>
      <c r="M379" s="28"/>
    </row>
    <row r="380" spans="1:13" x14ac:dyDescent="0.35">
      <c r="A380" s="28" t="s">
        <v>495</v>
      </c>
      <c r="B380" s="32">
        <v>2025</v>
      </c>
      <c r="C380" s="28" t="s">
        <v>496</v>
      </c>
      <c r="D380" s="29">
        <v>45848</v>
      </c>
      <c r="E380" s="28">
        <v>256779421308</v>
      </c>
      <c r="F380" s="28" t="s">
        <v>11</v>
      </c>
      <c r="G380" s="30">
        <v>-424.8</v>
      </c>
      <c r="H380" s="28" t="s">
        <v>56</v>
      </c>
      <c r="I380" s="30">
        <v>-36533.08</v>
      </c>
      <c r="J380" s="28" t="s">
        <v>788</v>
      </c>
      <c r="K380" s="28" t="e" cm="1">
        <f t="array" ref="K380">VLOOKUP(E380,[2]A023951!D$1:H$1114,{3,5},0)</f>
        <v>#N/A</v>
      </c>
      <c r="L380" s="28"/>
      <c r="M380" s="28"/>
    </row>
    <row r="381" spans="1:13" x14ac:dyDescent="0.35">
      <c r="A381" s="28" t="s">
        <v>495</v>
      </c>
      <c r="B381" s="32">
        <v>2025</v>
      </c>
      <c r="C381" s="28" t="s">
        <v>496</v>
      </c>
      <c r="D381" s="29">
        <v>45848</v>
      </c>
      <c r="E381" s="28">
        <v>256779421309</v>
      </c>
      <c r="F381" s="28" t="s">
        <v>11</v>
      </c>
      <c r="G381" s="30">
        <v>-70.8</v>
      </c>
      <c r="H381" s="28" t="s">
        <v>56</v>
      </c>
      <c r="I381" s="30">
        <v>-6088.85</v>
      </c>
      <c r="J381" s="28" t="s">
        <v>789</v>
      </c>
      <c r="K381" s="28" t="e" cm="1">
        <f t="array" ref="K381">VLOOKUP(E381,[2]A023951!D$1:H$1114,{3,5},0)</f>
        <v>#N/A</v>
      </c>
      <c r="L381" s="28"/>
      <c r="M381" s="28"/>
    </row>
    <row r="382" spans="1:13" x14ac:dyDescent="0.35">
      <c r="A382" s="28" t="s">
        <v>495</v>
      </c>
      <c r="B382" s="32">
        <v>2025</v>
      </c>
      <c r="C382" s="28" t="s">
        <v>499</v>
      </c>
      <c r="D382" s="29">
        <v>45848</v>
      </c>
      <c r="E382" s="28">
        <v>256779415304</v>
      </c>
      <c r="F382" s="28" t="s">
        <v>11</v>
      </c>
      <c r="G382" s="30">
        <v>30</v>
      </c>
      <c r="H382" s="28" t="s">
        <v>56</v>
      </c>
      <c r="I382" s="30">
        <v>2580.02</v>
      </c>
      <c r="J382" s="28" t="s">
        <v>790</v>
      </c>
      <c r="K382" s="28" cm="1">
        <f t="array" ref="K382:L382">VLOOKUP(E382,[2]A023951!D$1:H$1114,{3,5},0)</f>
        <v>-30</v>
      </c>
      <c r="L382" s="28">
        <v>-2654.1</v>
      </c>
      <c r="M382" s="31">
        <f t="shared" ref="M382:M407" si="10">I382+L382</f>
        <v>-74.079999999999927</v>
      </c>
    </row>
    <row r="383" spans="1:13" x14ac:dyDescent="0.35">
      <c r="A383" s="28" t="s">
        <v>495</v>
      </c>
      <c r="B383" s="32">
        <v>2025</v>
      </c>
      <c r="C383" s="28" t="s">
        <v>499</v>
      </c>
      <c r="D383" s="29">
        <v>45848</v>
      </c>
      <c r="E383" s="28">
        <v>256779415305</v>
      </c>
      <c r="F383" s="28" t="s">
        <v>11</v>
      </c>
      <c r="G383" s="30">
        <v>30</v>
      </c>
      <c r="H383" s="28" t="s">
        <v>56</v>
      </c>
      <c r="I383" s="30">
        <v>2580.02</v>
      </c>
      <c r="J383" s="28" t="s">
        <v>790</v>
      </c>
      <c r="K383" s="28" cm="1">
        <f t="array" ref="K383:L383">VLOOKUP(E383,[2]A023951!D$1:H$1114,{3,5},0)</f>
        <v>-30</v>
      </c>
      <c r="L383" s="28">
        <v>-2654.1</v>
      </c>
      <c r="M383" s="31">
        <f t="shared" si="10"/>
        <v>-74.079999999999927</v>
      </c>
    </row>
    <row r="384" spans="1:13" x14ac:dyDescent="0.35">
      <c r="A384" s="28" t="s">
        <v>495</v>
      </c>
      <c r="B384" s="32">
        <v>2025</v>
      </c>
      <c r="C384" s="28" t="s">
        <v>499</v>
      </c>
      <c r="D384" s="29">
        <v>45848</v>
      </c>
      <c r="E384" s="28">
        <v>256779415306</v>
      </c>
      <c r="F384" s="28" t="s">
        <v>11</v>
      </c>
      <c r="G384" s="30">
        <v>30</v>
      </c>
      <c r="H384" s="28" t="s">
        <v>56</v>
      </c>
      <c r="I384" s="30">
        <v>2580.02</v>
      </c>
      <c r="J384" s="28" t="s">
        <v>790</v>
      </c>
      <c r="K384" s="28" cm="1">
        <f t="array" ref="K384:L384">VLOOKUP(E384,[2]A023951!D$1:H$1114,{3,5},0)</f>
        <v>-30</v>
      </c>
      <c r="L384" s="28">
        <v>-2654.1</v>
      </c>
      <c r="M384" s="31">
        <f t="shared" si="10"/>
        <v>-74.079999999999927</v>
      </c>
    </row>
    <row r="385" spans="1:13" x14ac:dyDescent="0.35">
      <c r="A385" s="28" t="s">
        <v>495</v>
      </c>
      <c r="B385" s="32">
        <v>2025</v>
      </c>
      <c r="C385" s="28" t="s">
        <v>499</v>
      </c>
      <c r="D385" s="29">
        <v>45848</v>
      </c>
      <c r="E385" s="28">
        <v>256779415307</v>
      </c>
      <c r="F385" s="28" t="s">
        <v>11</v>
      </c>
      <c r="G385" s="30">
        <v>30</v>
      </c>
      <c r="H385" s="28" t="s">
        <v>56</v>
      </c>
      <c r="I385" s="30">
        <v>2580.02</v>
      </c>
      <c r="J385" s="28" t="s">
        <v>790</v>
      </c>
      <c r="K385" s="28" cm="1">
        <f t="array" ref="K385:L385">VLOOKUP(E385,[2]A023951!D$1:H$1114,{3,5},0)</f>
        <v>-30</v>
      </c>
      <c r="L385" s="28">
        <v>-2654.1</v>
      </c>
      <c r="M385" s="31">
        <f t="shared" si="10"/>
        <v>-74.079999999999927</v>
      </c>
    </row>
    <row r="386" spans="1:13" x14ac:dyDescent="0.35">
      <c r="A386" s="28" t="s">
        <v>495</v>
      </c>
      <c r="B386" s="32">
        <v>2025</v>
      </c>
      <c r="C386" s="28" t="s">
        <v>499</v>
      </c>
      <c r="D386" s="29">
        <v>45848</v>
      </c>
      <c r="E386" s="28">
        <v>256779415308</v>
      </c>
      <c r="F386" s="28" t="s">
        <v>11</v>
      </c>
      <c r="G386" s="30">
        <v>30</v>
      </c>
      <c r="H386" s="28" t="s">
        <v>56</v>
      </c>
      <c r="I386" s="30">
        <v>2580.02</v>
      </c>
      <c r="J386" s="28" t="s">
        <v>790</v>
      </c>
      <c r="K386" s="28" cm="1">
        <f t="array" ref="K386:L386">VLOOKUP(E386,[2]A023951!D$1:H$1114,{3,5},0)</f>
        <v>-30</v>
      </c>
      <c r="L386" s="28">
        <v>-2654.1</v>
      </c>
      <c r="M386" s="31">
        <f t="shared" si="10"/>
        <v>-74.079999999999927</v>
      </c>
    </row>
    <row r="387" spans="1:13" x14ac:dyDescent="0.35">
      <c r="A387" s="28" t="s">
        <v>495</v>
      </c>
      <c r="B387" s="32">
        <v>2025</v>
      </c>
      <c r="C387" s="28" t="s">
        <v>499</v>
      </c>
      <c r="D387" s="29">
        <v>45848</v>
      </c>
      <c r="E387" s="28">
        <v>256779415321</v>
      </c>
      <c r="F387" s="28" t="s">
        <v>11</v>
      </c>
      <c r="G387" s="30">
        <v>212.5</v>
      </c>
      <c r="H387" s="28" t="s">
        <v>56</v>
      </c>
      <c r="I387" s="30">
        <v>18275.14</v>
      </c>
      <c r="J387" s="28" t="s">
        <v>570</v>
      </c>
      <c r="K387" s="28" cm="1">
        <f t="array" ref="K387:L387">VLOOKUP(E387,[2]A023951!D$1:H$1114,{3,5},0)</f>
        <v>-212.5</v>
      </c>
      <c r="L387" s="28">
        <v>-18799.88</v>
      </c>
      <c r="M387" s="31">
        <f t="shared" si="10"/>
        <v>-524.7400000000016</v>
      </c>
    </row>
    <row r="388" spans="1:13" x14ac:dyDescent="0.35">
      <c r="A388" s="28" t="s">
        <v>495</v>
      </c>
      <c r="B388" s="32">
        <v>2025</v>
      </c>
      <c r="C388" s="28" t="s">
        <v>499</v>
      </c>
      <c r="D388" s="29">
        <v>45848</v>
      </c>
      <c r="E388" s="28">
        <v>256779415339</v>
      </c>
      <c r="F388" s="28" t="s">
        <v>11</v>
      </c>
      <c r="G388" s="30">
        <v>27.39</v>
      </c>
      <c r="H388" s="28" t="s">
        <v>56</v>
      </c>
      <c r="I388" s="30">
        <v>2355.56</v>
      </c>
      <c r="J388" s="28" t="s">
        <v>791</v>
      </c>
      <c r="K388" s="28" cm="1">
        <f t="array" ref="K388:L388">VLOOKUP(E388,[2]A023951!D$1:H$1114,{3,5},0)</f>
        <v>-27.39</v>
      </c>
      <c r="L388" s="28">
        <v>-2423.19</v>
      </c>
      <c r="M388" s="31">
        <f t="shared" si="10"/>
        <v>-67.630000000000109</v>
      </c>
    </row>
    <row r="389" spans="1:13" x14ac:dyDescent="0.35">
      <c r="A389" s="28" t="s">
        <v>495</v>
      </c>
      <c r="B389" s="32">
        <v>2025</v>
      </c>
      <c r="C389" s="28" t="s">
        <v>499</v>
      </c>
      <c r="D389" s="29">
        <v>45848</v>
      </c>
      <c r="E389" s="28">
        <v>256779415377</v>
      </c>
      <c r="F389" s="28" t="s">
        <v>11</v>
      </c>
      <c r="G389" s="30">
        <v>50</v>
      </c>
      <c r="H389" s="28" t="s">
        <v>56</v>
      </c>
      <c r="I389" s="30">
        <v>4300.03</v>
      </c>
      <c r="J389" s="28" t="s">
        <v>792</v>
      </c>
      <c r="K389" s="28" cm="1">
        <f t="array" ref="K389:L389">VLOOKUP(E389,[2]A023951!D$1:H$1114,{3,5},0)</f>
        <v>-50</v>
      </c>
      <c r="L389" s="28">
        <v>-4423.5</v>
      </c>
      <c r="M389" s="31">
        <f t="shared" si="10"/>
        <v>-123.47000000000025</v>
      </c>
    </row>
    <row r="390" spans="1:13" x14ac:dyDescent="0.35">
      <c r="A390" s="28" t="s">
        <v>495</v>
      </c>
      <c r="B390" s="32">
        <v>2025</v>
      </c>
      <c r="C390" s="28" t="s">
        <v>499</v>
      </c>
      <c r="D390" s="29">
        <v>45848</v>
      </c>
      <c r="E390" s="28">
        <v>256779415378</v>
      </c>
      <c r="F390" s="28" t="s">
        <v>11</v>
      </c>
      <c r="G390" s="30">
        <v>120</v>
      </c>
      <c r="H390" s="28" t="s">
        <v>56</v>
      </c>
      <c r="I390" s="30">
        <v>10320.08</v>
      </c>
      <c r="J390" s="28" t="s">
        <v>793</v>
      </c>
      <c r="K390" s="28" cm="1">
        <f t="array" ref="K390:L390">VLOOKUP(E390,[2]A023951!D$1:H$1114,{3,5},0)</f>
        <v>-120</v>
      </c>
      <c r="L390" s="28">
        <v>-10616.4</v>
      </c>
      <c r="M390" s="31">
        <f t="shared" si="10"/>
        <v>-296.31999999999971</v>
      </c>
    </row>
    <row r="391" spans="1:13" x14ac:dyDescent="0.35">
      <c r="A391" s="28" t="s">
        <v>495</v>
      </c>
      <c r="B391" s="32">
        <v>2025</v>
      </c>
      <c r="C391" s="28" t="s">
        <v>499</v>
      </c>
      <c r="D391" s="29">
        <v>45848</v>
      </c>
      <c r="E391" s="28">
        <v>256779415379</v>
      </c>
      <c r="F391" s="28" t="s">
        <v>11</v>
      </c>
      <c r="G391" s="30">
        <v>233.11</v>
      </c>
      <c r="H391" s="28" t="s">
        <v>56</v>
      </c>
      <c r="I391" s="30">
        <v>20047.62</v>
      </c>
      <c r="J391" s="28" t="s">
        <v>794</v>
      </c>
      <c r="K391" s="28" cm="1">
        <f t="array" ref="K391:L391">VLOOKUP(E391,[2]A023951!D$1:H$1114,{3,5},0)</f>
        <v>-233.11</v>
      </c>
      <c r="L391" s="28">
        <v>-20623.240000000002</v>
      </c>
      <c r="M391" s="31">
        <f t="shared" si="10"/>
        <v>-575.62000000000262</v>
      </c>
    </row>
    <row r="392" spans="1:13" x14ac:dyDescent="0.35">
      <c r="A392" s="28" t="s">
        <v>495</v>
      </c>
      <c r="B392" s="32">
        <v>2025</v>
      </c>
      <c r="C392" s="28" t="s">
        <v>499</v>
      </c>
      <c r="D392" s="29">
        <v>45848</v>
      </c>
      <c r="E392" s="28">
        <v>256779415380</v>
      </c>
      <c r="F392" s="28" t="s">
        <v>11</v>
      </c>
      <c r="G392" s="30">
        <v>200</v>
      </c>
      <c r="H392" s="28" t="s">
        <v>56</v>
      </c>
      <c r="I392" s="30">
        <v>17200.13</v>
      </c>
      <c r="J392" s="28" t="s">
        <v>795</v>
      </c>
      <c r="K392" s="28" cm="1">
        <f t="array" ref="K392:L392">VLOOKUP(E392,[2]A023951!D$1:H$1114,{3,5},0)</f>
        <v>-200</v>
      </c>
      <c r="L392" s="28">
        <v>-17694</v>
      </c>
      <c r="M392" s="31">
        <f t="shared" si="10"/>
        <v>-493.86999999999898</v>
      </c>
    </row>
    <row r="393" spans="1:13" x14ac:dyDescent="0.35">
      <c r="A393" s="28" t="s">
        <v>495</v>
      </c>
      <c r="B393" s="32">
        <v>2025</v>
      </c>
      <c r="C393" s="28" t="s">
        <v>499</v>
      </c>
      <c r="D393" s="29">
        <v>45848</v>
      </c>
      <c r="E393" s="28">
        <v>256779415381</v>
      </c>
      <c r="F393" s="28" t="s">
        <v>11</v>
      </c>
      <c r="G393" s="30">
        <v>60</v>
      </c>
      <c r="H393" s="28" t="s">
        <v>56</v>
      </c>
      <c r="I393" s="30">
        <v>5160.04</v>
      </c>
      <c r="J393" s="28" t="s">
        <v>796</v>
      </c>
      <c r="K393" s="28" cm="1">
        <f t="array" ref="K393:L393">VLOOKUP(E393,[2]A023951!D$1:H$1114,{3,5},0)</f>
        <v>-60</v>
      </c>
      <c r="L393" s="28">
        <v>-5308.2</v>
      </c>
      <c r="M393" s="31">
        <f t="shared" si="10"/>
        <v>-148.15999999999985</v>
      </c>
    </row>
    <row r="394" spans="1:13" x14ac:dyDescent="0.35">
      <c r="A394" s="28" t="s">
        <v>495</v>
      </c>
      <c r="B394" s="32">
        <v>2025</v>
      </c>
      <c r="C394" s="28" t="s">
        <v>499</v>
      </c>
      <c r="D394" s="29">
        <v>45848</v>
      </c>
      <c r="E394" s="28">
        <v>256779415382</v>
      </c>
      <c r="F394" s="28" t="s">
        <v>11</v>
      </c>
      <c r="G394" s="30">
        <v>117.64</v>
      </c>
      <c r="H394" s="28" t="s">
        <v>56</v>
      </c>
      <c r="I394" s="30">
        <v>10117.120000000001</v>
      </c>
      <c r="J394" s="28" t="s">
        <v>797</v>
      </c>
      <c r="K394" s="28" cm="1">
        <f t="array" ref="K394:L394">VLOOKUP(E394,[2]A023951!D$1:H$1114,{3,5},0)</f>
        <v>-117.64</v>
      </c>
      <c r="L394" s="28">
        <v>-10407.61</v>
      </c>
      <c r="M394" s="31">
        <f t="shared" si="10"/>
        <v>-290.48999999999978</v>
      </c>
    </row>
    <row r="395" spans="1:13" x14ac:dyDescent="0.35">
      <c r="A395" s="28" t="s">
        <v>495</v>
      </c>
      <c r="B395" s="32">
        <v>2025</v>
      </c>
      <c r="C395" s="28" t="s">
        <v>499</v>
      </c>
      <c r="D395" s="29">
        <v>45848</v>
      </c>
      <c r="E395" s="28">
        <v>256779415383</v>
      </c>
      <c r="F395" s="28" t="s">
        <v>11</v>
      </c>
      <c r="G395" s="30">
        <v>155.80000000000001</v>
      </c>
      <c r="H395" s="28" t="s">
        <v>56</v>
      </c>
      <c r="I395" s="30">
        <v>13398.9</v>
      </c>
      <c r="J395" s="28" t="s">
        <v>798</v>
      </c>
      <c r="K395" s="28" cm="1">
        <f t="array" ref="K395:L395">VLOOKUP(E395,[2]A023951!D$1:H$1114,{3,5},0)</f>
        <v>-155.80000000000001</v>
      </c>
      <c r="L395" s="28">
        <v>-13783.63</v>
      </c>
      <c r="M395" s="31">
        <f t="shared" si="10"/>
        <v>-384.72999999999956</v>
      </c>
    </row>
    <row r="396" spans="1:13" x14ac:dyDescent="0.35">
      <c r="A396" s="28" t="s">
        <v>495</v>
      </c>
      <c r="B396" s="32">
        <v>2025</v>
      </c>
      <c r="C396" s="28" t="s">
        <v>499</v>
      </c>
      <c r="D396" s="29">
        <v>45848</v>
      </c>
      <c r="E396" s="28">
        <v>256779415384</v>
      </c>
      <c r="F396" s="28" t="s">
        <v>11</v>
      </c>
      <c r="G396" s="30">
        <v>350</v>
      </c>
      <c r="H396" s="28" t="s">
        <v>56</v>
      </c>
      <c r="I396" s="30">
        <v>30100.23</v>
      </c>
      <c r="J396" s="28" t="s">
        <v>799</v>
      </c>
      <c r="K396" s="28" cm="1">
        <f t="array" ref="K396:L396">VLOOKUP(E396,[2]A023951!D$1:H$1114,{3,5},0)</f>
        <v>-350</v>
      </c>
      <c r="L396" s="28">
        <v>-30964.5</v>
      </c>
      <c r="M396" s="31">
        <f t="shared" si="10"/>
        <v>-864.27000000000044</v>
      </c>
    </row>
    <row r="397" spans="1:13" x14ac:dyDescent="0.35">
      <c r="A397" s="28" t="s">
        <v>495</v>
      </c>
      <c r="B397" s="32">
        <v>2025</v>
      </c>
      <c r="C397" s="28" t="s">
        <v>499</v>
      </c>
      <c r="D397" s="29">
        <v>45848</v>
      </c>
      <c r="E397" s="28">
        <v>256779415385</v>
      </c>
      <c r="F397" s="28" t="s">
        <v>11</v>
      </c>
      <c r="G397" s="30">
        <v>24</v>
      </c>
      <c r="H397" s="28" t="s">
        <v>56</v>
      </c>
      <c r="I397" s="30">
        <v>2064.02</v>
      </c>
      <c r="J397" s="28" t="s">
        <v>800</v>
      </c>
      <c r="K397" s="28" cm="1">
        <f t="array" ref="K397:L397">VLOOKUP(E397,[2]A023951!D$1:H$1114,{3,5},0)</f>
        <v>-24</v>
      </c>
      <c r="L397" s="28">
        <v>-2123.2800000000002</v>
      </c>
      <c r="M397" s="31">
        <f t="shared" si="10"/>
        <v>-59.260000000000218</v>
      </c>
    </row>
    <row r="398" spans="1:13" x14ac:dyDescent="0.35">
      <c r="A398" s="28" t="s">
        <v>495</v>
      </c>
      <c r="B398" s="32">
        <v>2025</v>
      </c>
      <c r="C398" s="28" t="s">
        <v>499</v>
      </c>
      <c r="D398" s="29">
        <v>45848</v>
      </c>
      <c r="E398" s="28">
        <v>256779415386</v>
      </c>
      <c r="F398" s="28" t="s">
        <v>11</v>
      </c>
      <c r="G398" s="30">
        <v>7.5</v>
      </c>
      <c r="H398" s="28" t="s">
        <v>56</v>
      </c>
      <c r="I398" s="30">
        <v>645.01</v>
      </c>
      <c r="J398" s="28" t="s">
        <v>801</v>
      </c>
      <c r="K398" s="28" cm="1">
        <f t="array" ref="K398:L398">VLOOKUP(E398,[2]A023951!D$1:H$1114,{3,5},0)</f>
        <v>-7.5</v>
      </c>
      <c r="L398" s="28">
        <v>-663.53</v>
      </c>
      <c r="M398" s="31">
        <f t="shared" si="10"/>
        <v>-18.519999999999982</v>
      </c>
    </row>
    <row r="399" spans="1:13" x14ac:dyDescent="0.35">
      <c r="A399" s="28" t="s">
        <v>495</v>
      </c>
      <c r="B399" s="32">
        <v>2025</v>
      </c>
      <c r="C399" s="28" t="s">
        <v>499</v>
      </c>
      <c r="D399" s="29">
        <v>45848</v>
      </c>
      <c r="E399" s="28">
        <v>256779415387</v>
      </c>
      <c r="F399" s="28" t="s">
        <v>11</v>
      </c>
      <c r="G399" s="30">
        <v>70.900000000000006</v>
      </c>
      <c r="H399" s="28" t="s">
        <v>56</v>
      </c>
      <c r="I399" s="30">
        <v>6097.45</v>
      </c>
      <c r="J399" s="28" t="s">
        <v>802</v>
      </c>
      <c r="K399" s="28" cm="1">
        <f t="array" ref="K399:L399">VLOOKUP(E399,[2]A023951!D$1:H$1114,{3,5},0)</f>
        <v>-70.900000000000006</v>
      </c>
      <c r="L399" s="28">
        <v>-6096.66</v>
      </c>
      <c r="M399" s="31">
        <f t="shared" si="10"/>
        <v>0.78999999999996362</v>
      </c>
    </row>
    <row r="400" spans="1:13" x14ac:dyDescent="0.35">
      <c r="A400" s="28" t="s">
        <v>495</v>
      </c>
      <c r="B400" s="32">
        <v>2025</v>
      </c>
      <c r="C400" s="28" t="s">
        <v>499</v>
      </c>
      <c r="D400" s="29">
        <v>45848</v>
      </c>
      <c r="E400" s="28">
        <v>256779415388</v>
      </c>
      <c r="F400" s="28" t="s">
        <v>11</v>
      </c>
      <c r="G400" s="30">
        <v>2261.63</v>
      </c>
      <c r="H400" s="28" t="s">
        <v>56</v>
      </c>
      <c r="I400" s="30">
        <v>194501.7</v>
      </c>
      <c r="J400" s="28" t="s">
        <v>533</v>
      </c>
      <c r="K400" s="28" cm="1">
        <f t="array" ref="K400:L400">VLOOKUP(E400,[2]A023951!D$1:H$1114,{3,5},0)</f>
        <v>-2261.63</v>
      </c>
      <c r="L400" s="28">
        <v>-200086.41</v>
      </c>
      <c r="M400" s="31">
        <f t="shared" si="10"/>
        <v>-5584.7099999999919</v>
      </c>
    </row>
    <row r="401" spans="1:13" x14ac:dyDescent="0.35">
      <c r="A401" s="28" t="s">
        <v>495</v>
      </c>
      <c r="B401" s="32">
        <v>2025</v>
      </c>
      <c r="C401" s="28" t="s">
        <v>499</v>
      </c>
      <c r="D401" s="29">
        <v>45848</v>
      </c>
      <c r="E401" s="28">
        <v>256779415389</v>
      </c>
      <c r="F401" s="28" t="s">
        <v>11</v>
      </c>
      <c r="G401" s="30">
        <v>170.62</v>
      </c>
      <c r="H401" s="28" t="s">
        <v>56</v>
      </c>
      <c r="I401" s="30">
        <v>14673.43</v>
      </c>
      <c r="J401" s="28" t="s">
        <v>803</v>
      </c>
      <c r="K401" s="28" cm="1">
        <f t="array" ref="K401:L401">VLOOKUP(E401,[2]A023951!D$1:H$1114,{3,5},0)</f>
        <v>-170.62</v>
      </c>
      <c r="L401" s="28">
        <v>-15094.75</v>
      </c>
      <c r="M401" s="31">
        <f t="shared" si="10"/>
        <v>-421.31999999999971</v>
      </c>
    </row>
    <row r="402" spans="1:13" x14ac:dyDescent="0.35">
      <c r="A402" s="28" t="s">
        <v>495</v>
      </c>
      <c r="B402" s="32">
        <v>2025</v>
      </c>
      <c r="C402" s="28" t="s">
        <v>499</v>
      </c>
      <c r="D402" s="29">
        <v>45848</v>
      </c>
      <c r="E402" s="28">
        <v>256779415390</v>
      </c>
      <c r="F402" s="28" t="s">
        <v>11</v>
      </c>
      <c r="G402" s="30">
        <v>110.96</v>
      </c>
      <c r="H402" s="28" t="s">
        <v>56</v>
      </c>
      <c r="I402" s="30">
        <v>9542.6299999999992</v>
      </c>
      <c r="J402" s="28" t="s">
        <v>535</v>
      </c>
      <c r="K402" s="28" cm="1">
        <f t="array" ref="K402:L402">VLOOKUP(E402,[2]A023951!D$1:H$1114,{3,5},0)</f>
        <v>-110.96</v>
      </c>
      <c r="L402" s="28">
        <v>-9816.6299999999992</v>
      </c>
      <c r="M402" s="31">
        <f t="shared" si="10"/>
        <v>-274</v>
      </c>
    </row>
    <row r="403" spans="1:13" x14ac:dyDescent="0.35">
      <c r="A403" s="28" t="s">
        <v>495</v>
      </c>
      <c r="B403" s="32">
        <v>2025</v>
      </c>
      <c r="C403" s="28" t="s">
        <v>499</v>
      </c>
      <c r="D403" s="29">
        <v>45848</v>
      </c>
      <c r="E403" s="28">
        <v>256779415391</v>
      </c>
      <c r="F403" s="28" t="s">
        <v>11</v>
      </c>
      <c r="G403" s="30">
        <v>820.07</v>
      </c>
      <c r="H403" s="28" t="s">
        <v>56</v>
      </c>
      <c r="I403" s="30">
        <v>70526.570000000007</v>
      </c>
      <c r="J403" s="28" t="s">
        <v>536</v>
      </c>
      <c r="K403" s="28" cm="1">
        <f t="array" ref="K403:L403">VLOOKUP(E403,[2]A023951!D$1:H$1114,{3,5},0)</f>
        <v>-820.07</v>
      </c>
      <c r="L403" s="28">
        <v>-72551.59</v>
      </c>
      <c r="M403" s="31">
        <f t="shared" si="10"/>
        <v>-2025.0199999999895</v>
      </c>
    </row>
    <row r="404" spans="1:13" x14ac:dyDescent="0.35">
      <c r="A404" s="28" t="s">
        <v>495</v>
      </c>
      <c r="B404" s="32">
        <v>2025</v>
      </c>
      <c r="C404" s="28" t="s">
        <v>499</v>
      </c>
      <c r="D404" s="29">
        <v>45848</v>
      </c>
      <c r="E404" s="28">
        <v>256779415392</v>
      </c>
      <c r="F404" s="28" t="s">
        <v>11</v>
      </c>
      <c r="G404" s="30">
        <v>200</v>
      </c>
      <c r="H404" s="28" t="s">
        <v>56</v>
      </c>
      <c r="I404" s="30">
        <v>17200.13</v>
      </c>
      <c r="J404" s="28" t="s">
        <v>537</v>
      </c>
      <c r="K404" s="28" cm="1">
        <f t="array" ref="K404:L404">VLOOKUP(E404,[2]A023951!D$1:H$1114,{3,5},0)</f>
        <v>-200</v>
      </c>
      <c r="L404" s="28">
        <v>-17694</v>
      </c>
      <c r="M404" s="31">
        <f t="shared" si="10"/>
        <v>-493.86999999999898</v>
      </c>
    </row>
    <row r="405" spans="1:13" x14ac:dyDescent="0.35">
      <c r="A405" s="28" t="s">
        <v>495</v>
      </c>
      <c r="B405" s="32">
        <v>2025</v>
      </c>
      <c r="C405" s="28" t="s">
        <v>499</v>
      </c>
      <c r="D405" s="29">
        <v>45848</v>
      </c>
      <c r="E405" s="28">
        <v>256779415393</v>
      </c>
      <c r="F405" s="28" t="s">
        <v>11</v>
      </c>
      <c r="G405" s="30">
        <v>60</v>
      </c>
      <c r="H405" s="28" t="s">
        <v>56</v>
      </c>
      <c r="I405" s="30">
        <v>5160.04</v>
      </c>
      <c r="J405" s="28" t="s">
        <v>804</v>
      </c>
      <c r="K405" s="28" cm="1">
        <f t="array" ref="K405:L405">VLOOKUP(E405,[2]A023951!D$1:H$1114,{3,5},0)</f>
        <v>-60</v>
      </c>
      <c r="L405" s="28">
        <v>-5308.2</v>
      </c>
      <c r="M405" s="31">
        <f t="shared" si="10"/>
        <v>-148.15999999999985</v>
      </c>
    </row>
    <row r="406" spans="1:13" x14ac:dyDescent="0.35">
      <c r="A406" s="28" t="s">
        <v>495</v>
      </c>
      <c r="B406" s="32">
        <v>2025</v>
      </c>
      <c r="C406" s="28" t="s">
        <v>499</v>
      </c>
      <c r="D406" s="29">
        <v>45848</v>
      </c>
      <c r="E406" s="28">
        <v>256779415394</v>
      </c>
      <c r="F406" s="28" t="s">
        <v>11</v>
      </c>
      <c r="G406" s="30">
        <v>96</v>
      </c>
      <c r="H406" s="28" t="s">
        <v>56</v>
      </c>
      <c r="I406" s="30">
        <v>8256.06</v>
      </c>
      <c r="J406" s="28" t="s">
        <v>805</v>
      </c>
      <c r="K406" s="28" cm="1">
        <f t="array" ref="K406:L406">VLOOKUP(E406,[2]A023951!D$1:H$1114,{3,5},0)</f>
        <v>-96</v>
      </c>
      <c r="L406" s="28">
        <v>-8493.1200000000008</v>
      </c>
      <c r="M406" s="31">
        <f t="shared" si="10"/>
        <v>-237.06000000000131</v>
      </c>
    </row>
    <row r="407" spans="1:13" x14ac:dyDescent="0.35">
      <c r="A407" s="28" t="s">
        <v>495</v>
      </c>
      <c r="B407" s="32">
        <v>2025</v>
      </c>
      <c r="C407" s="28" t="s">
        <v>499</v>
      </c>
      <c r="D407" s="29">
        <v>45848</v>
      </c>
      <c r="E407" s="28">
        <v>256779415395</v>
      </c>
      <c r="F407" s="28" t="s">
        <v>11</v>
      </c>
      <c r="G407" s="30">
        <v>205.72</v>
      </c>
      <c r="H407" s="28" t="s">
        <v>56</v>
      </c>
      <c r="I407" s="30">
        <v>17692.060000000001</v>
      </c>
      <c r="J407" s="28" t="s">
        <v>806</v>
      </c>
      <c r="K407" s="28" cm="1">
        <f t="array" ref="K407:L407">VLOOKUP(E407,[2]A023951!D$1:H$1114,{3,5},0)</f>
        <v>-205.72</v>
      </c>
      <c r="L407" s="28">
        <v>-18200.05</v>
      </c>
      <c r="M407" s="31">
        <f t="shared" si="10"/>
        <v>-507.98999999999796</v>
      </c>
    </row>
    <row r="408" spans="1:13" x14ac:dyDescent="0.35">
      <c r="A408" s="28" t="s">
        <v>495</v>
      </c>
      <c r="B408" s="32">
        <v>2025</v>
      </c>
      <c r="C408" s="28" t="s">
        <v>496</v>
      </c>
      <c r="D408" s="29">
        <v>45848</v>
      </c>
      <c r="E408" s="28">
        <v>256779421310</v>
      </c>
      <c r="F408" s="28" t="s">
        <v>11</v>
      </c>
      <c r="G408" s="30">
        <v>-59</v>
      </c>
      <c r="H408" s="28" t="s">
        <v>56</v>
      </c>
      <c r="I408" s="30">
        <v>-5074.04</v>
      </c>
      <c r="J408" s="28" t="s">
        <v>807</v>
      </c>
      <c r="K408" s="28" t="e" cm="1">
        <f t="array" ref="K408">VLOOKUP(E408,[2]A023951!D$1:H$1114,{3,5},0)</f>
        <v>#N/A</v>
      </c>
      <c r="L408" s="28"/>
      <c r="M408" s="28"/>
    </row>
    <row r="409" spans="1:13" x14ac:dyDescent="0.35">
      <c r="A409" s="28" t="s">
        <v>495</v>
      </c>
      <c r="B409" s="32">
        <v>2025</v>
      </c>
      <c r="C409" s="28" t="s">
        <v>496</v>
      </c>
      <c r="D409" s="29">
        <v>45848</v>
      </c>
      <c r="E409" s="28">
        <v>256779421311</v>
      </c>
      <c r="F409" s="28" t="s">
        <v>11</v>
      </c>
      <c r="G409" s="30">
        <v>-141.6</v>
      </c>
      <c r="H409" s="28" t="s">
        <v>56</v>
      </c>
      <c r="I409" s="30">
        <v>-12177.69</v>
      </c>
      <c r="J409" s="28" t="s">
        <v>808</v>
      </c>
      <c r="K409" s="28" t="e" cm="1">
        <f t="array" ref="K409">VLOOKUP(E409,[2]A023951!D$1:H$1114,{3,5},0)</f>
        <v>#N/A</v>
      </c>
      <c r="L409" s="28"/>
      <c r="M409" s="28"/>
    </row>
    <row r="410" spans="1:13" x14ac:dyDescent="0.35">
      <c r="A410" s="28" t="s">
        <v>495</v>
      </c>
      <c r="B410" s="32">
        <v>2025</v>
      </c>
      <c r="C410" s="28" t="s">
        <v>496</v>
      </c>
      <c r="D410" s="29">
        <v>45848</v>
      </c>
      <c r="E410" s="28">
        <v>256779421312</v>
      </c>
      <c r="F410" s="28" t="s">
        <v>11</v>
      </c>
      <c r="G410" s="30">
        <v>-275.07</v>
      </c>
      <c r="H410" s="28" t="s">
        <v>56</v>
      </c>
      <c r="I410" s="30">
        <v>-23656.2</v>
      </c>
      <c r="J410" s="28" t="s">
        <v>808</v>
      </c>
      <c r="K410" s="28" t="e" cm="1">
        <f t="array" ref="K410">VLOOKUP(E410,[2]A023951!D$1:H$1114,{3,5},0)</f>
        <v>#N/A</v>
      </c>
      <c r="L410" s="28"/>
      <c r="M410" s="28"/>
    </row>
    <row r="411" spans="1:13" x14ac:dyDescent="0.35">
      <c r="A411" s="28" t="s">
        <v>495</v>
      </c>
      <c r="B411" s="32">
        <v>2025</v>
      </c>
      <c r="C411" s="28" t="s">
        <v>496</v>
      </c>
      <c r="D411" s="29">
        <v>45848</v>
      </c>
      <c r="E411" s="28">
        <v>256779421313</v>
      </c>
      <c r="F411" s="28" t="s">
        <v>11</v>
      </c>
      <c r="G411" s="30">
        <v>-236</v>
      </c>
      <c r="H411" s="28" t="s">
        <v>56</v>
      </c>
      <c r="I411" s="30">
        <v>-20296.16</v>
      </c>
      <c r="J411" s="28" t="s">
        <v>808</v>
      </c>
      <c r="K411" s="28" t="e" cm="1">
        <f t="array" ref="K411">VLOOKUP(E411,[2]A023951!D$1:H$1114,{3,5},0)</f>
        <v>#N/A</v>
      </c>
      <c r="L411" s="28"/>
      <c r="M411" s="28"/>
    </row>
    <row r="412" spans="1:13" x14ac:dyDescent="0.35">
      <c r="A412" s="28" t="s">
        <v>495</v>
      </c>
      <c r="B412" s="32">
        <v>2025</v>
      </c>
      <c r="C412" s="28" t="s">
        <v>496</v>
      </c>
      <c r="D412" s="29">
        <v>45848</v>
      </c>
      <c r="E412" s="28">
        <v>256779421314</v>
      </c>
      <c r="F412" s="28" t="s">
        <v>11</v>
      </c>
      <c r="G412" s="30">
        <v>-70.8</v>
      </c>
      <c r="H412" s="28" t="s">
        <v>56</v>
      </c>
      <c r="I412" s="30">
        <v>-6088.85</v>
      </c>
      <c r="J412" s="28" t="s">
        <v>808</v>
      </c>
      <c r="K412" s="28" t="e" cm="1">
        <f t="array" ref="K412">VLOOKUP(E412,[2]A023951!D$1:H$1114,{3,5},0)</f>
        <v>#N/A</v>
      </c>
      <c r="L412" s="28"/>
      <c r="M412" s="28"/>
    </row>
    <row r="413" spans="1:13" x14ac:dyDescent="0.35">
      <c r="A413" s="28" t="s">
        <v>495</v>
      </c>
      <c r="B413" s="32">
        <v>2025</v>
      </c>
      <c r="C413" s="28" t="s">
        <v>496</v>
      </c>
      <c r="D413" s="29">
        <v>45848</v>
      </c>
      <c r="E413" s="28">
        <v>256779421315</v>
      </c>
      <c r="F413" s="28" t="s">
        <v>11</v>
      </c>
      <c r="G413" s="30">
        <v>-138.82</v>
      </c>
      <c r="H413" s="28" t="s">
        <v>56</v>
      </c>
      <c r="I413" s="30">
        <v>-11938.61</v>
      </c>
      <c r="J413" s="28" t="s">
        <v>809</v>
      </c>
      <c r="K413" s="28" t="e" cm="1">
        <f t="array" ref="K413">VLOOKUP(E413,[2]A023951!D$1:H$1114,{3,5},0)</f>
        <v>#N/A</v>
      </c>
      <c r="L413" s="28"/>
      <c r="M413" s="28"/>
    </row>
    <row r="414" spans="1:13" x14ac:dyDescent="0.35">
      <c r="A414" s="28" t="s">
        <v>495</v>
      </c>
      <c r="B414" s="32">
        <v>2025</v>
      </c>
      <c r="C414" s="28" t="s">
        <v>496</v>
      </c>
      <c r="D414" s="29">
        <v>45848</v>
      </c>
      <c r="E414" s="28">
        <v>256779421316</v>
      </c>
      <c r="F414" s="28" t="s">
        <v>11</v>
      </c>
      <c r="G414" s="30">
        <v>-183.84</v>
      </c>
      <c r="H414" s="28" t="s">
        <v>56</v>
      </c>
      <c r="I414" s="30">
        <v>-15810.36</v>
      </c>
      <c r="J414" s="28" t="s">
        <v>810</v>
      </c>
      <c r="K414" s="28" t="e" cm="1">
        <f t="array" ref="K414">VLOOKUP(E414,[2]A023951!D$1:H$1114,{3,5},0)</f>
        <v>#N/A</v>
      </c>
      <c r="L414" s="28"/>
      <c r="M414" s="28"/>
    </row>
    <row r="415" spans="1:13" x14ac:dyDescent="0.35">
      <c r="A415" s="28" t="s">
        <v>495</v>
      </c>
      <c r="B415" s="32">
        <v>2025</v>
      </c>
      <c r="C415" s="28" t="s">
        <v>496</v>
      </c>
      <c r="D415" s="29">
        <v>45848</v>
      </c>
      <c r="E415" s="28">
        <v>256779421317</v>
      </c>
      <c r="F415" s="28" t="s">
        <v>11</v>
      </c>
      <c r="G415" s="30">
        <v>-413</v>
      </c>
      <c r="H415" s="28" t="s">
        <v>56</v>
      </c>
      <c r="I415" s="30">
        <v>-35518.28</v>
      </c>
      <c r="J415" s="28" t="s">
        <v>811</v>
      </c>
      <c r="K415" s="28" t="e" cm="1">
        <f t="array" ref="K415">VLOOKUP(E415,[2]A023951!D$1:H$1114,{3,5},0)</f>
        <v>#N/A</v>
      </c>
      <c r="L415" s="28"/>
      <c r="M415" s="28"/>
    </row>
    <row r="416" spans="1:13" x14ac:dyDescent="0.35">
      <c r="A416" s="28" t="s">
        <v>495</v>
      </c>
      <c r="B416" s="32">
        <v>2025</v>
      </c>
      <c r="C416" s="28" t="s">
        <v>496</v>
      </c>
      <c r="D416" s="29">
        <v>45848</v>
      </c>
      <c r="E416" s="28">
        <v>256779421318</v>
      </c>
      <c r="F416" s="28" t="s">
        <v>11</v>
      </c>
      <c r="G416" s="30">
        <v>-28.32</v>
      </c>
      <c r="H416" s="28" t="s">
        <v>56</v>
      </c>
      <c r="I416" s="30">
        <v>-2435.54</v>
      </c>
      <c r="J416" s="28" t="s">
        <v>812</v>
      </c>
      <c r="K416" s="28" t="e" cm="1">
        <f t="array" ref="K416">VLOOKUP(E416,[2]A023951!D$1:H$1114,{3,5},0)</f>
        <v>#N/A</v>
      </c>
      <c r="L416" s="28"/>
      <c r="M416" s="28"/>
    </row>
    <row r="417" spans="1:13" x14ac:dyDescent="0.35">
      <c r="A417" s="28" t="s">
        <v>495</v>
      </c>
      <c r="B417" s="32">
        <v>2025</v>
      </c>
      <c r="C417" s="28" t="s">
        <v>496</v>
      </c>
      <c r="D417" s="29">
        <v>45848</v>
      </c>
      <c r="E417" s="28">
        <v>256779421319</v>
      </c>
      <c r="F417" s="28" t="s">
        <v>11</v>
      </c>
      <c r="G417" s="30">
        <v>-8.85</v>
      </c>
      <c r="H417" s="28" t="s">
        <v>56</v>
      </c>
      <c r="I417" s="30">
        <v>-761.11</v>
      </c>
      <c r="J417" s="28" t="s">
        <v>812</v>
      </c>
      <c r="K417" s="28" t="e" cm="1">
        <f t="array" ref="K417">VLOOKUP(E417,[2]A023951!D$1:H$1114,{3,5},0)</f>
        <v>#N/A</v>
      </c>
      <c r="L417" s="28"/>
      <c r="M417" s="28"/>
    </row>
    <row r="418" spans="1:13" x14ac:dyDescent="0.35">
      <c r="A418" s="28" t="s">
        <v>495</v>
      </c>
      <c r="B418" s="32">
        <v>2025</v>
      </c>
      <c r="C418" s="28" t="s">
        <v>496</v>
      </c>
      <c r="D418" s="29">
        <v>45848</v>
      </c>
      <c r="E418" s="28">
        <v>256779421320</v>
      </c>
      <c r="F418" s="28" t="s">
        <v>11</v>
      </c>
      <c r="G418" s="30">
        <v>-83.66</v>
      </c>
      <c r="H418" s="28" t="s">
        <v>56</v>
      </c>
      <c r="I418" s="30">
        <v>-7194.82</v>
      </c>
      <c r="J418" s="28" t="s">
        <v>813</v>
      </c>
      <c r="K418" s="28" t="e" cm="1">
        <f t="array" ref="K418">VLOOKUP(E418,[2]A023951!D$1:H$1114,{3,5},0)</f>
        <v>#N/A</v>
      </c>
      <c r="L418" s="28"/>
      <c r="M418" s="28"/>
    </row>
    <row r="419" spans="1:13" x14ac:dyDescent="0.35">
      <c r="A419" s="28" t="s">
        <v>495</v>
      </c>
      <c r="B419" s="32">
        <v>2025</v>
      </c>
      <c r="C419" s="28" t="s">
        <v>496</v>
      </c>
      <c r="D419" s="29">
        <v>45848</v>
      </c>
      <c r="E419" s="28">
        <v>256779421321</v>
      </c>
      <c r="F419" s="28" t="s">
        <v>11</v>
      </c>
      <c r="G419" s="30">
        <v>-2668.72</v>
      </c>
      <c r="H419" s="28" t="s">
        <v>56</v>
      </c>
      <c r="I419" s="30">
        <v>-229511.71</v>
      </c>
      <c r="J419" s="28" t="s">
        <v>814</v>
      </c>
      <c r="K419" s="28" t="e" cm="1">
        <f t="array" ref="K419">VLOOKUP(E419,[2]A023951!D$1:H$1114,{3,5},0)</f>
        <v>#N/A</v>
      </c>
      <c r="L419" s="28"/>
      <c r="M419" s="28"/>
    </row>
    <row r="420" spans="1:13" x14ac:dyDescent="0.35">
      <c r="A420" s="28" t="s">
        <v>495</v>
      </c>
      <c r="B420" s="32">
        <v>2025</v>
      </c>
      <c r="C420" s="28" t="s">
        <v>496</v>
      </c>
      <c r="D420" s="29">
        <v>45848</v>
      </c>
      <c r="E420" s="28">
        <v>256779421322</v>
      </c>
      <c r="F420" s="28" t="s">
        <v>11</v>
      </c>
      <c r="G420" s="30">
        <v>-201.33</v>
      </c>
      <c r="H420" s="28" t="s">
        <v>56</v>
      </c>
      <c r="I420" s="30">
        <v>-17314.509999999998</v>
      </c>
      <c r="J420" s="28" t="s">
        <v>815</v>
      </c>
      <c r="K420" s="28" t="e" cm="1">
        <f t="array" ref="K420">VLOOKUP(E420,[2]A023951!D$1:H$1114,{3,5},0)</f>
        <v>#N/A</v>
      </c>
      <c r="L420" s="28"/>
      <c r="M420" s="28"/>
    </row>
    <row r="421" spans="1:13" x14ac:dyDescent="0.35">
      <c r="A421" s="28" t="s">
        <v>495</v>
      </c>
      <c r="B421" s="32">
        <v>2025</v>
      </c>
      <c r="C421" s="28" t="s">
        <v>496</v>
      </c>
      <c r="D421" s="29">
        <v>45848</v>
      </c>
      <c r="E421" s="28">
        <v>256779421323</v>
      </c>
      <c r="F421" s="28" t="s">
        <v>11</v>
      </c>
      <c r="G421" s="30">
        <v>-130.93</v>
      </c>
      <c r="H421" s="28" t="s">
        <v>56</v>
      </c>
      <c r="I421" s="30">
        <v>-11260.07</v>
      </c>
      <c r="J421" s="28" t="s">
        <v>816</v>
      </c>
      <c r="K421" s="28" t="e" cm="1">
        <f t="array" ref="K421">VLOOKUP(E421,[2]A023951!D$1:H$1114,{3,5},0)</f>
        <v>#N/A</v>
      </c>
      <c r="L421" s="28"/>
      <c r="M421" s="28"/>
    </row>
    <row r="422" spans="1:13" x14ac:dyDescent="0.35">
      <c r="A422" s="28" t="s">
        <v>495</v>
      </c>
      <c r="B422" s="32">
        <v>2025</v>
      </c>
      <c r="C422" s="28" t="s">
        <v>496</v>
      </c>
      <c r="D422" s="29">
        <v>45848</v>
      </c>
      <c r="E422" s="28">
        <v>256779421324</v>
      </c>
      <c r="F422" s="28" t="s">
        <v>11</v>
      </c>
      <c r="G422" s="30">
        <v>-967.68</v>
      </c>
      <c r="H422" s="28" t="s">
        <v>56</v>
      </c>
      <c r="I422" s="30">
        <v>-83221.13</v>
      </c>
      <c r="J422" s="28" t="s">
        <v>817</v>
      </c>
      <c r="K422" s="28" t="e" cm="1">
        <f t="array" ref="K422">VLOOKUP(E422,[2]A023951!D$1:H$1114,{3,5},0)</f>
        <v>#N/A</v>
      </c>
      <c r="L422" s="28"/>
      <c r="M422" s="28"/>
    </row>
    <row r="423" spans="1:13" x14ac:dyDescent="0.35">
      <c r="A423" s="28" t="s">
        <v>495</v>
      </c>
      <c r="B423" s="32">
        <v>2025</v>
      </c>
      <c r="C423" s="28" t="s">
        <v>496</v>
      </c>
      <c r="D423" s="29">
        <v>45848</v>
      </c>
      <c r="E423" s="28">
        <v>256779421325</v>
      </c>
      <c r="F423" s="28" t="s">
        <v>11</v>
      </c>
      <c r="G423" s="30">
        <v>-236</v>
      </c>
      <c r="H423" s="28" t="s">
        <v>56</v>
      </c>
      <c r="I423" s="30">
        <v>-20296.16</v>
      </c>
      <c r="J423" s="28" t="s">
        <v>498</v>
      </c>
      <c r="K423" s="28" t="e" cm="1">
        <f t="array" ref="K423">VLOOKUP(E423,[2]A023951!D$1:H$1114,{3,5},0)</f>
        <v>#N/A</v>
      </c>
      <c r="L423" s="28"/>
      <c r="M423" s="28"/>
    </row>
    <row r="424" spans="1:13" x14ac:dyDescent="0.35">
      <c r="A424" s="28" t="s">
        <v>495</v>
      </c>
      <c r="B424" s="32">
        <v>2025</v>
      </c>
      <c r="C424" s="28" t="s">
        <v>499</v>
      </c>
      <c r="D424" s="29">
        <v>45733</v>
      </c>
      <c r="E424" s="28">
        <v>246779411739</v>
      </c>
      <c r="F424" s="28" t="s">
        <v>11</v>
      </c>
      <c r="G424" s="30">
        <v>34.25</v>
      </c>
      <c r="H424" s="28" t="s">
        <v>56</v>
      </c>
      <c r="I424" s="30">
        <v>2969.18</v>
      </c>
      <c r="J424" s="28" t="s">
        <v>818</v>
      </c>
      <c r="K424" s="28" cm="1">
        <f t="array" ref="K424:L424">VLOOKUP(E424,[2]A023951!D$1:H$1114,{3,5},0)</f>
        <v>-34.25</v>
      </c>
      <c r="L424" s="28">
        <v>-2981.2</v>
      </c>
      <c r="M424" s="31">
        <f t="shared" ref="M424:M434" si="11">I424+L424</f>
        <v>-12.019999999999982</v>
      </c>
    </row>
    <row r="425" spans="1:13" x14ac:dyDescent="0.35">
      <c r="A425" s="28" t="s">
        <v>495</v>
      </c>
      <c r="B425" s="32">
        <v>2025</v>
      </c>
      <c r="C425" s="28" t="s">
        <v>499</v>
      </c>
      <c r="D425" s="29">
        <v>45733</v>
      </c>
      <c r="E425" s="28">
        <v>246779411740</v>
      </c>
      <c r="F425" s="28" t="s">
        <v>11</v>
      </c>
      <c r="G425" s="30">
        <v>22.83</v>
      </c>
      <c r="H425" s="28" t="s">
        <v>56</v>
      </c>
      <c r="I425" s="30">
        <v>1979.16</v>
      </c>
      <c r="J425" s="28" t="s">
        <v>818</v>
      </c>
      <c r="K425" s="28" cm="1">
        <f t="array" ref="K425:L425">VLOOKUP(E425,[2]A023951!D$1:H$1114,{3,5},0)</f>
        <v>-22.83</v>
      </c>
      <c r="L425" s="28">
        <v>-1987.18</v>
      </c>
      <c r="M425" s="31">
        <f t="shared" si="11"/>
        <v>-8.0199999999999818</v>
      </c>
    </row>
    <row r="426" spans="1:13" x14ac:dyDescent="0.35">
      <c r="A426" s="28" t="s">
        <v>495</v>
      </c>
      <c r="B426" s="32">
        <v>2025</v>
      </c>
      <c r="C426" s="28" t="s">
        <v>499</v>
      </c>
      <c r="D426" s="29">
        <v>45733</v>
      </c>
      <c r="E426" s="28">
        <v>246779411741</v>
      </c>
      <c r="F426" s="28" t="s">
        <v>11</v>
      </c>
      <c r="G426" s="30">
        <v>240</v>
      </c>
      <c r="H426" s="28" t="s">
        <v>56</v>
      </c>
      <c r="I426" s="30">
        <v>20805.900000000001</v>
      </c>
      <c r="J426" s="28" t="s">
        <v>818</v>
      </c>
      <c r="K426" s="28" cm="1">
        <f t="array" ref="K426:L426">VLOOKUP(E426,[2]A023951!D$1:H$1114,{3,5},0)</f>
        <v>-240</v>
      </c>
      <c r="L426" s="28">
        <v>-20890.18</v>
      </c>
      <c r="M426" s="31">
        <f t="shared" si="11"/>
        <v>-84.279999999998836</v>
      </c>
    </row>
    <row r="427" spans="1:13" x14ac:dyDescent="0.35">
      <c r="A427" s="28" t="s">
        <v>495</v>
      </c>
      <c r="B427" s="32">
        <v>2025</v>
      </c>
      <c r="C427" s="28" t="s">
        <v>499</v>
      </c>
      <c r="D427" s="29">
        <v>45733</v>
      </c>
      <c r="E427" s="28">
        <v>246779411742</v>
      </c>
      <c r="F427" s="28" t="s">
        <v>11</v>
      </c>
      <c r="G427" s="30">
        <v>23.27</v>
      </c>
      <c r="H427" s="28" t="s">
        <v>56</v>
      </c>
      <c r="I427" s="30">
        <v>2017.31</v>
      </c>
      <c r="J427" s="28" t="s">
        <v>818</v>
      </c>
      <c r="K427" s="28" cm="1">
        <f t="array" ref="K427:L427">VLOOKUP(E427,[2]A023951!D$1:H$1114,{3,5},0)</f>
        <v>-23.27</v>
      </c>
      <c r="L427" s="28">
        <v>-2025.48</v>
      </c>
      <c r="M427" s="31">
        <f t="shared" si="11"/>
        <v>-8.1700000000000728</v>
      </c>
    </row>
    <row r="428" spans="1:13" x14ac:dyDescent="0.35">
      <c r="A428" s="28" t="s">
        <v>495</v>
      </c>
      <c r="B428" s="32">
        <v>2025</v>
      </c>
      <c r="C428" s="28" t="s">
        <v>499</v>
      </c>
      <c r="D428" s="29">
        <v>45733</v>
      </c>
      <c r="E428" s="28">
        <v>246779411789</v>
      </c>
      <c r="F428" s="28" t="s">
        <v>11</v>
      </c>
      <c r="G428" s="30">
        <v>428.11</v>
      </c>
      <c r="H428" s="28" t="s">
        <v>56</v>
      </c>
      <c r="I428" s="30">
        <v>37113.4</v>
      </c>
      <c r="J428" s="28" t="s">
        <v>818</v>
      </c>
      <c r="K428" s="28" cm="1">
        <f t="array" ref="K428:L428">VLOOKUP(E428,[2]A023951!D$1:H$1114,{3,5},0)</f>
        <v>-428.11</v>
      </c>
      <c r="L428" s="28">
        <v>-37263.730000000003</v>
      </c>
      <c r="M428" s="31">
        <f t="shared" si="11"/>
        <v>-150.33000000000175</v>
      </c>
    </row>
    <row r="429" spans="1:13" x14ac:dyDescent="0.35">
      <c r="A429" s="28" t="s">
        <v>495</v>
      </c>
      <c r="B429" s="32">
        <v>2025</v>
      </c>
      <c r="C429" s="28" t="s">
        <v>499</v>
      </c>
      <c r="D429" s="29">
        <v>45733</v>
      </c>
      <c r="E429" s="28">
        <v>246779411895</v>
      </c>
      <c r="F429" s="28" t="s">
        <v>11</v>
      </c>
      <c r="G429" s="30">
        <v>4.26</v>
      </c>
      <c r="H429" s="28" t="s">
        <v>56</v>
      </c>
      <c r="I429" s="30">
        <v>369.3</v>
      </c>
      <c r="J429" s="28" t="s">
        <v>819</v>
      </c>
      <c r="K429" s="28" cm="1">
        <f t="array" ref="K429:L429">VLOOKUP(E429,[2]A023951!D$1:H$1114,{3,5},0)</f>
        <v>-4.26</v>
      </c>
      <c r="L429" s="28">
        <v>-370.8</v>
      </c>
      <c r="M429" s="31">
        <f t="shared" si="11"/>
        <v>-1.5</v>
      </c>
    </row>
    <row r="430" spans="1:13" x14ac:dyDescent="0.35">
      <c r="A430" s="28" t="s">
        <v>495</v>
      </c>
      <c r="B430" s="32">
        <v>2025</v>
      </c>
      <c r="C430" s="28" t="s">
        <v>499</v>
      </c>
      <c r="D430" s="29">
        <v>45733</v>
      </c>
      <c r="E430" s="28">
        <v>246779411896</v>
      </c>
      <c r="F430" s="28" t="s">
        <v>11</v>
      </c>
      <c r="G430" s="30">
        <v>39.770000000000003</v>
      </c>
      <c r="H430" s="28" t="s">
        <v>56</v>
      </c>
      <c r="I430" s="30">
        <v>3447.71</v>
      </c>
      <c r="J430" s="28" t="s">
        <v>819</v>
      </c>
      <c r="K430" s="28" cm="1">
        <f t="array" ref="K430:L430">VLOOKUP(E430,[2]A023951!D$1:H$1114,{3,5},0)</f>
        <v>-39.770000000000003</v>
      </c>
      <c r="L430" s="28">
        <v>-3461.68</v>
      </c>
      <c r="M430" s="31">
        <f t="shared" si="11"/>
        <v>-13.9699999999998</v>
      </c>
    </row>
    <row r="431" spans="1:13" x14ac:dyDescent="0.35">
      <c r="A431" s="28" t="s">
        <v>495</v>
      </c>
      <c r="B431" s="32">
        <v>2025</v>
      </c>
      <c r="C431" s="28" t="s">
        <v>499</v>
      </c>
      <c r="D431" s="29">
        <v>45733</v>
      </c>
      <c r="E431" s="28">
        <v>246779411915</v>
      </c>
      <c r="F431" s="28" t="s">
        <v>11</v>
      </c>
      <c r="G431" s="30">
        <v>23.17</v>
      </c>
      <c r="H431" s="28" t="s">
        <v>56</v>
      </c>
      <c r="I431" s="30">
        <v>2008.64</v>
      </c>
      <c r="J431" s="28" t="s">
        <v>819</v>
      </c>
      <c r="K431" s="28" cm="1">
        <f t="array" ref="K431:L431">VLOOKUP(E431,[2]A023951!D$1:H$1114,{3,5},0)</f>
        <v>-23.17</v>
      </c>
      <c r="L431" s="28">
        <v>-2016.77</v>
      </c>
      <c r="M431" s="31">
        <f t="shared" si="11"/>
        <v>-8.1299999999998818</v>
      </c>
    </row>
    <row r="432" spans="1:13" x14ac:dyDescent="0.35">
      <c r="A432" s="28" t="s">
        <v>495</v>
      </c>
      <c r="B432" s="32">
        <v>2025</v>
      </c>
      <c r="C432" s="28" t="s">
        <v>499</v>
      </c>
      <c r="D432" s="29">
        <v>45733</v>
      </c>
      <c r="E432" s="28">
        <v>246779411973</v>
      </c>
      <c r="F432" s="28" t="s">
        <v>11</v>
      </c>
      <c r="G432" s="30">
        <v>426.09</v>
      </c>
      <c r="H432" s="28" t="s">
        <v>56</v>
      </c>
      <c r="I432" s="30">
        <v>36938.28</v>
      </c>
      <c r="J432" s="28" t="s">
        <v>819</v>
      </c>
      <c r="K432" s="28" cm="1">
        <f t="array" ref="K432:L432">VLOOKUP(E432,[2]A023951!D$1:H$1114,{3,5},0)</f>
        <v>-426.09</v>
      </c>
      <c r="L432" s="28">
        <v>-37087.9</v>
      </c>
      <c r="M432" s="31">
        <f t="shared" si="11"/>
        <v>-149.62000000000262</v>
      </c>
    </row>
    <row r="433" spans="1:13" x14ac:dyDescent="0.35">
      <c r="A433" s="28" t="s">
        <v>495</v>
      </c>
      <c r="B433" s="32">
        <v>2025</v>
      </c>
      <c r="C433" s="28" t="s">
        <v>499</v>
      </c>
      <c r="D433" s="29">
        <v>45733</v>
      </c>
      <c r="E433" s="28">
        <v>246779412044</v>
      </c>
      <c r="F433" s="28" t="s">
        <v>11</v>
      </c>
      <c r="G433" s="30">
        <v>30.37</v>
      </c>
      <c r="H433" s="28" t="s">
        <v>56</v>
      </c>
      <c r="I433" s="30">
        <v>2632.81</v>
      </c>
      <c r="J433" s="28" t="s">
        <v>820</v>
      </c>
      <c r="K433" s="28" cm="1">
        <f t="array" ref="K433:L433">VLOOKUP(E433,[2]A023951!D$1:H$1114,{3,5},0)</f>
        <v>-30.37</v>
      </c>
      <c r="L433" s="28">
        <v>-2643.48</v>
      </c>
      <c r="M433" s="31">
        <f t="shared" si="11"/>
        <v>-10.670000000000073</v>
      </c>
    </row>
    <row r="434" spans="1:13" x14ac:dyDescent="0.35">
      <c r="A434" s="28" t="s">
        <v>495</v>
      </c>
      <c r="B434" s="32">
        <v>2025</v>
      </c>
      <c r="C434" s="28" t="s">
        <v>499</v>
      </c>
      <c r="D434" s="29">
        <v>45733</v>
      </c>
      <c r="E434" s="28">
        <v>246779412046</v>
      </c>
      <c r="F434" s="28" t="s">
        <v>11</v>
      </c>
      <c r="G434" s="30">
        <v>16.82</v>
      </c>
      <c r="H434" s="28" t="s">
        <v>56</v>
      </c>
      <c r="I434" s="30">
        <v>1458.15</v>
      </c>
      <c r="J434" s="28" t="s">
        <v>820</v>
      </c>
      <c r="K434" s="28" cm="1">
        <f t="array" ref="K434:L434">VLOOKUP(E434,[2]A023951!D$1:H$1114,{3,5},0)</f>
        <v>-16.82</v>
      </c>
      <c r="L434" s="28">
        <v>-1464.05</v>
      </c>
      <c r="M434" s="31">
        <f t="shared" si="11"/>
        <v>-5.8999999999998636</v>
      </c>
    </row>
    <row r="435" spans="1:13" x14ac:dyDescent="0.35">
      <c r="A435" s="28" t="s">
        <v>495</v>
      </c>
      <c r="B435" s="32">
        <v>2025</v>
      </c>
      <c r="C435" s="28" t="s">
        <v>499</v>
      </c>
      <c r="D435" s="29">
        <v>45762</v>
      </c>
      <c r="E435" s="28">
        <v>256779411091</v>
      </c>
      <c r="F435" s="28" t="s">
        <v>11</v>
      </c>
      <c r="G435" s="30">
        <v>54.87</v>
      </c>
      <c r="H435" s="28" t="s">
        <v>56</v>
      </c>
      <c r="I435" s="30">
        <v>4769.3999999999996</v>
      </c>
      <c r="J435" s="28" t="s">
        <v>821</v>
      </c>
      <c r="K435" s="28" t="e" cm="1">
        <f t="array" ref="K435">VLOOKUP(E435,[2]A023951!D$1:H$1114,{3,5},0)</f>
        <v>#N/A</v>
      </c>
      <c r="L435" s="28"/>
      <c r="M435" s="28"/>
    </row>
    <row r="436" spans="1:13" x14ac:dyDescent="0.35">
      <c r="A436" s="28" t="s">
        <v>495</v>
      </c>
      <c r="B436" s="32">
        <v>2025</v>
      </c>
      <c r="C436" s="28" t="s">
        <v>499</v>
      </c>
      <c r="D436" s="29">
        <v>45762</v>
      </c>
      <c r="E436" s="28">
        <v>256779411092</v>
      </c>
      <c r="F436" s="28" t="s">
        <v>11</v>
      </c>
      <c r="G436" s="30">
        <v>54.87</v>
      </c>
      <c r="H436" s="28" t="s">
        <v>56</v>
      </c>
      <c r="I436" s="30">
        <v>4769.3999999999996</v>
      </c>
      <c r="J436" s="28" t="s">
        <v>821</v>
      </c>
      <c r="K436" s="28" t="e" cm="1">
        <f t="array" ref="K436">VLOOKUP(E436,[2]A023951!D$1:H$1114,{3,5},0)</f>
        <v>#N/A</v>
      </c>
      <c r="L436" s="28"/>
      <c r="M436" s="28"/>
    </row>
    <row r="437" spans="1:13" x14ac:dyDescent="0.35">
      <c r="A437" s="28" t="s">
        <v>495</v>
      </c>
      <c r="B437" s="32">
        <v>2025</v>
      </c>
      <c r="C437" s="28" t="s">
        <v>499</v>
      </c>
      <c r="D437" s="29">
        <v>45762</v>
      </c>
      <c r="E437" s="28">
        <v>256779411093</v>
      </c>
      <c r="F437" s="28" t="s">
        <v>11</v>
      </c>
      <c r="G437" s="30">
        <v>57.82</v>
      </c>
      <c r="H437" s="28" t="s">
        <v>56</v>
      </c>
      <c r="I437" s="30">
        <v>5025.82</v>
      </c>
      <c r="J437" s="28" t="s">
        <v>821</v>
      </c>
      <c r="K437" s="28" t="e" cm="1">
        <f t="array" ref="K437">VLOOKUP(E437,[2]A023951!D$1:H$1114,{3,5},0)</f>
        <v>#N/A</v>
      </c>
      <c r="L437" s="28"/>
      <c r="M437" s="28"/>
    </row>
    <row r="438" spans="1:13" x14ac:dyDescent="0.35">
      <c r="A438" s="28" t="s">
        <v>495</v>
      </c>
      <c r="B438" s="32">
        <v>2025</v>
      </c>
      <c r="C438" s="28" t="s">
        <v>499</v>
      </c>
      <c r="D438" s="29">
        <v>45762</v>
      </c>
      <c r="E438" s="28">
        <v>256779411094</v>
      </c>
      <c r="F438" s="28" t="s">
        <v>11</v>
      </c>
      <c r="G438" s="30">
        <v>34.22</v>
      </c>
      <c r="H438" s="28" t="s">
        <v>56</v>
      </c>
      <c r="I438" s="30">
        <v>2974.46</v>
      </c>
      <c r="J438" s="28" t="s">
        <v>821</v>
      </c>
      <c r="K438" s="28" t="e" cm="1">
        <f t="array" ref="K438">VLOOKUP(E438,[2]A023951!D$1:H$1114,{3,5},0)</f>
        <v>#N/A</v>
      </c>
      <c r="L438" s="28"/>
      <c r="M438" s="28"/>
    </row>
    <row r="439" spans="1:13" x14ac:dyDescent="0.35">
      <c r="A439" s="28" t="s">
        <v>495</v>
      </c>
      <c r="B439" s="32">
        <v>2025</v>
      </c>
      <c r="C439" s="28" t="s">
        <v>499</v>
      </c>
      <c r="D439" s="29">
        <v>45762</v>
      </c>
      <c r="E439" s="28">
        <v>256779411095</v>
      </c>
      <c r="F439" s="28" t="s">
        <v>11</v>
      </c>
      <c r="G439" s="30">
        <v>48.97</v>
      </c>
      <c r="H439" s="28" t="s">
        <v>56</v>
      </c>
      <c r="I439" s="30">
        <v>4256.5600000000004</v>
      </c>
      <c r="J439" s="28" t="s">
        <v>821</v>
      </c>
      <c r="K439" s="28" t="e" cm="1">
        <f t="array" ref="K439">VLOOKUP(E439,[2]A023951!D$1:H$1114,{3,5},0)</f>
        <v>#N/A</v>
      </c>
      <c r="L439" s="28"/>
      <c r="M439" s="28"/>
    </row>
    <row r="440" spans="1:13" x14ac:dyDescent="0.35">
      <c r="A440" s="28" t="s">
        <v>495</v>
      </c>
      <c r="B440" s="32">
        <v>2025</v>
      </c>
      <c r="C440" s="28" t="s">
        <v>499</v>
      </c>
      <c r="D440" s="29">
        <v>45762</v>
      </c>
      <c r="E440" s="28">
        <v>256779411096</v>
      </c>
      <c r="F440" s="28" t="s">
        <v>11</v>
      </c>
      <c r="G440" s="30">
        <v>43.07</v>
      </c>
      <c r="H440" s="28" t="s">
        <v>56</v>
      </c>
      <c r="I440" s="30">
        <v>3743.72</v>
      </c>
      <c r="J440" s="28" t="s">
        <v>821</v>
      </c>
      <c r="K440" s="28" t="e" cm="1">
        <f t="array" ref="K440">VLOOKUP(E440,[2]A023951!D$1:H$1114,{3,5},0)</f>
        <v>#N/A</v>
      </c>
      <c r="L440" s="28"/>
      <c r="M440" s="28"/>
    </row>
    <row r="441" spans="1:13" x14ac:dyDescent="0.35">
      <c r="A441" s="28" t="s">
        <v>495</v>
      </c>
      <c r="B441" s="32">
        <v>2025</v>
      </c>
      <c r="C441" s="28" t="s">
        <v>499</v>
      </c>
      <c r="D441" s="29">
        <v>45762</v>
      </c>
      <c r="E441" s="28">
        <v>256779411098</v>
      </c>
      <c r="F441" s="28" t="s">
        <v>11</v>
      </c>
      <c r="G441" s="30">
        <v>60.64</v>
      </c>
      <c r="H441" s="28" t="s">
        <v>56</v>
      </c>
      <c r="I441" s="30">
        <v>5270.94</v>
      </c>
      <c r="J441" s="28" t="s">
        <v>821</v>
      </c>
      <c r="K441" s="28" t="e" cm="1">
        <f t="array" ref="K441">VLOOKUP(E441,[2]A023951!D$1:H$1114,{3,5},0)</f>
        <v>#N/A</v>
      </c>
      <c r="L441" s="28"/>
      <c r="M441" s="28"/>
    </row>
    <row r="442" spans="1:13" x14ac:dyDescent="0.35">
      <c r="A442" s="28" t="s">
        <v>495</v>
      </c>
      <c r="B442" s="32">
        <v>2025</v>
      </c>
      <c r="C442" s="28" t="s">
        <v>499</v>
      </c>
      <c r="D442" s="29">
        <v>45762</v>
      </c>
      <c r="E442" s="28">
        <v>256779411099</v>
      </c>
      <c r="F442" s="28" t="s">
        <v>11</v>
      </c>
      <c r="G442" s="30">
        <v>58.81</v>
      </c>
      <c r="H442" s="28" t="s">
        <v>56</v>
      </c>
      <c r="I442" s="30">
        <v>5111.87</v>
      </c>
      <c r="J442" s="28" t="s">
        <v>821</v>
      </c>
      <c r="K442" s="28" t="e" cm="1">
        <f t="array" ref="K442">VLOOKUP(E442,[2]A023951!D$1:H$1114,{3,5},0)</f>
        <v>#N/A</v>
      </c>
      <c r="L442" s="28"/>
      <c r="M442" s="28"/>
    </row>
    <row r="443" spans="1:13" x14ac:dyDescent="0.35">
      <c r="A443" s="28" t="s">
        <v>495</v>
      </c>
      <c r="B443" s="32">
        <v>2025</v>
      </c>
      <c r="C443" s="28" t="s">
        <v>499</v>
      </c>
      <c r="D443" s="29">
        <v>45762</v>
      </c>
      <c r="E443" s="28">
        <v>256779411100</v>
      </c>
      <c r="F443" s="28" t="s">
        <v>11</v>
      </c>
      <c r="G443" s="30">
        <v>46.02</v>
      </c>
      <c r="H443" s="28" t="s">
        <v>56</v>
      </c>
      <c r="I443" s="30">
        <v>4000.14</v>
      </c>
      <c r="J443" s="28" t="s">
        <v>821</v>
      </c>
      <c r="K443" s="28" t="e" cm="1">
        <f t="array" ref="K443">VLOOKUP(E443,[2]A023951!D$1:H$1114,{3,5},0)</f>
        <v>#N/A</v>
      </c>
      <c r="L443" s="28"/>
      <c r="M443" s="28"/>
    </row>
    <row r="444" spans="1:13" x14ac:dyDescent="0.35">
      <c r="A444" s="28" t="s">
        <v>495</v>
      </c>
      <c r="B444" s="32">
        <v>2025</v>
      </c>
      <c r="C444" s="28" t="s">
        <v>499</v>
      </c>
      <c r="D444" s="29">
        <v>45762</v>
      </c>
      <c r="E444" s="28">
        <v>256779411101</v>
      </c>
      <c r="F444" s="28" t="s">
        <v>11</v>
      </c>
      <c r="G444" s="30">
        <v>32.450000000000003</v>
      </c>
      <c r="H444" s="28" t="s">
        <v>56</v>
      </c>
      <c r="I444" s="30">
        <v>2820.61</v>
      </c>
      <c r="J444" s="28" t="s">
        <v>821</v>
      </c>
      <c r="K444" s="28" t="e" cm="1">
        <f t="array" ref="K444">VLOOKUP(E444,[2]A023951!D$1:H$1114,{3,5},0)</f>
        <v>#N/A</v>
      </c>
      <c r="L444" s="28"/>
      <c r="M444" s="28"/>
    </row>
    <row r="445" spans="1:13" x14ac:dyDescent="0.35">
      <c r="A445" s="28" t="s">
        <v>495</v>
      </c>
      <c r="B445" s="32">
        <v>2025</v>
      </c>
      <c r="C445" s="28" t="s">
        <v>499</v>
      </c>
      <c r="D445" s="29">
        <v>45762</v>
      </c>
      <c r="E445" s="28">
        <v>256779411458</v>
      </c>
      <c r="F445" s="28" t="s">
        <v>11</v>
      </c>
      <c r="G445" s="30">
        <v>35.4</v>
      </c>
      <c r="H445" s="28" t="s">
        <v>56</v>
      </c>
      <c r="I445" s="30">
        <v>3077.03</v>
      </c>
      <c r="J445" s="28" t="s">
        <v>790</v>
      </c>
      <c r="K445" s="28" t="e" cm="1">
        <f t="array" ref="K445">VLOOKUP(E445,[2]A023951!D$1:H$1114,{3,5},0)</f>
        <v>#N/A</v>
      </c>
      <c r="L445" s="28"/>
      <c r="M445" s="28"/>
    </row>
    <row r="446" spans="1:13" x14ac:dyDescent="0.35">
      <c r="A446" s="28" t="s">
        <v>495</v>
      </c>
      <c r="B446" s="32">
        <v>2025</v>
      </c>
      <c r="C446" s="28" t="s">
        <v>499</v>
      </c>
      <c r="D446" s="29">
        <v>45762</v>
      </c>
      <c r="E446" s="28">
        <v>256779411459</v>
      </c>
      <c r="F446" s="28" t="s">
        <v>11</v>
      </c>
      <c r="G446" s="30">
        <v>29.5</v>
      </c>
      <c r="H446" s="28" t="s">
        <v>56</v>
      </c>
      <c r="I446" s="30">
        <v>2564.19</v>
      </c>
      <c r="J446" s="28" t="s">
        <v>790</v>
      </c>
      <c r="K446" s="28" t="e" cm="1">
        <f t="array" ref="K446">VLOOKUP(E446,[2]A023951!D$1:H$1114,{3,5},0)</f>
        <v>#N/A</v>
      </c>
      <c r="L446" s="28"/>
      <c r="M446" s="28"/>
    </row>
    <row r="447" spans="1:13" x14ac:dyDescent="0.35">
      <c r="A447" s="28" t="s">
        <v>495</v>
      </c>
      <c r="B447" s="32">
        <v>2025</v>
      </c>
      <c r="C447" s="28" t="s">
        <v>499</v>
      </c>
      <c r="D447" s="29">
        <v>45762</v>
      </c>
      <c r="E447" s="28">
        <v>256779411460</v>
      </c>
      <c r="F447" s="28" t="s">
        <v>11</v>
      </c>
      <c r="G447" s="30">
        <v>29.5</v>
      </c>
      <c r="H447" s="28" t="s">
        <v>56</v>
      </c>
      <c r="I447" s="30">
        <v>2564.19</v>
      </c>
      <c r="J447" s="28" t="s">
        <v>790</v>
      </c>
      <c r="K447" s="28" t="e" cm="1">
        <f t="array" ref="K447">VLOOKUP(E447,[2]A023951!D$1:H$1114,{3,5},0)</f>
        <v>#N/A</v>
      </c>
      <c r="L447" s="28"/>
      <c r="M447" s="28"/>
    </row>
    <row r="448" spans="1:13" x14ac:dyDescent="0.35">
      <c r="A448" s="28" t="s">
        <v>495</v>
      </c>
      <c r="B448" s="32">
        <v>2025</v>
      </c>
      <c r="C448" s="28" t="s">
        <v>499</v>
      </c>
      <c r="D448" s="29">
        <v>45762</v>
      </c>
      <c r="E448" s="28">
        <v>256779411461</v>
      </c>
      <c r="F448" s="28" t="s">
        <v>11</v>
      </c>
      <c r="G448" s="30">
        <v>35.4</v>
      </c>
      <c r="H448" s="28" t="s">
        <v>56</v>
      </c>
      <c r="I448" s="30">
        <v>3077.03</v>
      </c>
      <c r="J448" s="28" t="s">
        <v>790</v>
      </c>
      <c r="K448" s="28" t="e" cm="1">
        <f t="array" ref="K448">VLOOKUP(E448,[2]A023951!D$1:H$1114,{3,5},0)</f>
        <v>#N/A</v>
      </c>
      <c r="L448" s="28"/>
      <c r="M448" s="28"/>
    </row>
    <row r="449" spans="1:13" x14ac:dyDescent="0.35">
      <c r="A449" s="28" t="s">
        <v>495</v>
      </c>
      <c r="B449" s="32">
        <v>2025</v>
      </c>
      <c r="C449" s="28" t="s">
        <v>499</v>
      </c>
      <c r="D449" s="29">
        <v>45762</v>
      </c>
      <c r="E449" s="28">
        <v>256779411462</v>
      </c>
      <c r="F449" s="28" t="s">
        <v>11</v>
      </c>
      <c r="G449" s="30">
        <v>20.65</v>
      </c>
      <c r="H449" s="28" t="s">
        <v>56</v>
      </c>
      <c r="I449" s="30">
        <v>1794.94</v>
      </c>
      <c r="J449" s="28" t="s">
        <v>790</v>
      </c>
      <c r="K449" s="28" t="e" cm="1">
        <f t="array" ref="K449">VLOOKUP(E449,[2]A023951!D$1:H$1114,{3,5},0)</f>
        <v>#N/A</v>
      </c>
      <c r="L449" s="28"/>
      <c r="M449" s="28"/>
    </row>
    <row r="450" spans="1:13" x14ac:dyDescent="0.35">
      <c r="A450" s="28" t="s">
        <v>495</v>
      </c>
      <c r="B450" s="32">
        <v>2025</v>
      </c>
      <c r="C450" s="28" t="s">
        <v>499</v>
      </c>
      <c r="D450" s="29">
        <v>45762</v>
      </c>
      <c r="E450" s="28">
        <v>256779411463</v>
      </c>
      <c r="F450" s="28" t="s">
        <v>11</v>
      </c>
      <c r="G450" s="30">
        <v>23.6</v>
      </c>
      <c r="H450" s="28" t="s">
        <v>56</v>
      </c>
      <c r="I450" s="30">
        <v>2051.35</v>
      </c>
      <c r="J450" s="28" t="s">
        <v>790</v>
      </c>
      <c r="K450" s="28" cm="1">
        <f t="array" ref="K450:L450">VLOOKUP(E450,[2]A023951!D$1:H$1114,{3,5},0)</f>
        <v>-23.6</v>
      </c>
      <c r="L450" s="28">
        <v>-2023.16</v>
      </c>
      <c r="M450" s="31">
        <f>I450+L450</f>
        <v>28.189999999999827</v>
      </c>
    </row>
    <row r="451" spans="1:13" x14ac:dyDescent="0.35">
      <c r="A451" s="28" t="s">
        <v>495</v>
      </c>
      <c r="B451" s="32">
        <v>2025</v>
      </c>
      <c r="C451" s="28" t="s">
        <v>499</v>
      </c>
      <c r="D451" s="29">
        <v>45762</v>
      </c>
      <c r="E451" s="28">
        <v>256779411464</v>
      </c>
      <c r="F451" s="28" t="s">
        <v>11</v>
      </c>
      <c r="G451" s="30">
        <v>8.85</v>
      </c>
      <c r="H451" s="28" t="s">
        <v>56</v>
      </c>
      <c r="I451" s="30">
        <v>769.26</v>
      </c>
      <c r="J451" s="28" t="s">
        <v>790</v>
      </c>
      <c r="K451" s="28" t="e" cm="1">
        <f t="array" ref="K451">VLOOKUP(E451,[2]A023951!D$1:H$1114,{3,5},0)</f>
        <v>#N/A</v>
      </c>
      <c r="L451" s="28"/>
      <c r="M451" s="28"/>
    </row>
    <row r="452" spans="1:13" x14ac:dyDescent="0.35">
      <c r="A452" s="28" t="s">
        <v>495</v>
      </c>
      <c r="B452" s="32">
        <v>2025</v>
      </c>
      <c r="C452" s="28" t="s">
        <v>499</v>
      </c>
      <c r="D452" s="29">
        <v>45762</v>
      </c>
      <c r="E452" s="28">
        <v>256779411465</v>
      </c>
      <c r="F452" s="28" t="s">
        <v>11</v>
      </c>
      <c r="G452" s="30">
        <v>32.450000000000003</v>
      </c>
      <c r="H452" s="28" t="s">
        <v>56</v>
      </c>
      <c r="I452" s="30">
        <v>2820.61</v>
      </c>
      <c r="J452" s="28" t="s">
        <v>790</v>
      </c>
      <c r="K452" s="28" cm="1">
        <f t="array" ref="K452:L452">VLOOKUP(E452,[2]A023951!D$1:H$1114,{3,5},0)</f>
        <v>-32.450000000000003</v>
      </c>
      <c r="L452" s="28">
        <v>-2781.84</v>
      </c>
      <c r="M452" s="31">
        <f>I452+L452</f>
        <v>38.769999999999982</v>
      </c>
    </row>
    <row r="453" spans="1:13" x14ac:dyDescent="0.35">
      <c r="A453" s="28" t="s">
        <v>495</v>
      </c>
      <c r="B453" s="32">
        <v>2025</v>
      </c>
      <c r="C453" s="28" t="s">
        <v>499</v>
      </c>
      <c r="D453" s="29">
        <v>45762</v>
      </c>
      <c r="E453" s="28">
        <v>256779411466</v>
      </c>
      <c r="F453" s="28" t="s">
        <v>11</v>
      </c>
      <c r="G453" s="30">
        <v>35.4</v>
      </c>
      <c r="H453" s="28" t="s">
        <v>56</v>
      </c>
      <c r="I453" s="30">
        <v>3077.03</v>
      </c>
      <c r="J453" s="28" t="s">
        <v>790</v>
      </c>
      <c r="K453" s="28" cm="1">
        <f t="array" ref="K453:L453">VLOOKUP(E453,[2]A023951!D$1:H$1114,{3,5},0)</f>
        <v>-35.4</v>
      </c>
      <c r="L453" s="28">
        <v>-3034.73</v>
      </c>
      <c r="M453" s="31">
        <f>I453+L453</f>
        <v>42.300000000000182</v>
      </c>
    </row>
    <row r="454" spans="1:13" x14ac:dyDescent="0.35">
      <c r="A454" s="28" t="s">
        <v>495</v>
      </c>
      <c r="B454" s="32">
        <v>2025</v>
      </c>
      <c r="C454" s="28" t="s">
        <v>499</v>
      </c>
      <c r="D454" s="29">
        <v>45762</v>
      </c>
      <c r="E454" s="28">
        <v>256779411467</v>
      </c>
      <c r="F454" s="28" t="s">
        <v>11</v>
      </c>
      <c r="G454" s="30">
        <v>35.4</v>
      </c>
      <c r="H454" s="28" t="s">
        <v>56</v>
      </c>
      <c r="I454" s="30">
        <v>3077.03</v>
      </c>
      <c r="J454" s="28" t="s">
        <v>790</v>
      </c>
      <c r="K454" s="28" cm="1">
        <f t="array" ref="K454:L454">VLOOKUP(E454,[2]A023951!D$1:H$1114,{3,5},0)</f>
        <v>-35.4</v>
      </c>
      <c r="L454" s="28">
        <v>-3034.73</v>
      </c>
      <c r="M454" s="31">
        <f>I454+L454</f>
        <v>42.300000000000182</v>
      </c>
    </row>
    <row r="455" spans="1:13" x14ac:dyDescent="0.35">
      <c r="A455" s="28" t="s">
        <v>495</v>
      </c>
      <c r="B455" s="32">
        <v>2025</v>
      </c>
      <c r="C455" s="28" t="s">
        <v>499</v>
      </c>
      <c r="D455" s="29">
        <v>45762</v>
      </c>
      <c r="E455" s="28">
        <v>256779411468</v>
      </c>
      <c r="F455" s="28" t="s">
        <v>11</v>
      </c>
      <c r="G455" s="30">
        <v>26.55</v>
      </c>
      <c r="H455" s="28" t="s">
        <v>56</v>
      </c>
      <c r="I455" s="30">
        <v>2307.77</v>
      </c>
      <c r="J455" s="28" t="s">
        <v>790</v>
      </c>
      <c r="K455" s="28" cm="1">
        <f t="array" ref="K455:L455">VLOOKUP(E455,[2]A023951!D$1:H$1114,{3,5},0)</f>
        <v>-26.55</v>
      </c>
      <c r="L455" s="28">
        <v>-2276.0500000000002</v>
      </c>
      <c r="M455" s="31">
        <f>I455+L455</f>
        <v>31.7199999999998</v>
      </c>
    </row>
    <row r="456" spans="1:13" x14ac:dyDescent="0.35">
      <c r="A456" s="28" t="s">
        <v>495</v>
      </c>
      <c r="B456" s="32">
        <v>2025</v>
      </c>
      <c r="C456" s="28" t="s">
        <v>499</v>
      </c>
      <c r="D456" s="29">
        <v>45762</v>
      </c>
      <c r="E456" s="28">
        <v>256779411469</v>
      </c>
      <c r="F456" s="28" t="s">
        <v>11</v>
      </c>
      <c r="G456" s="30">
        <v>35.4</v>
      </c>
      <c r="H456" s="28" t="s">
        <v>56</v>
      </c>
      <c r="I456" s="30">
        <v>3077.03</v>
      </c>
      <c r="J456" s="28" t="s">
        <v>790</v>
      </c>
      <c r="K456" s="28" t="e" cm="1">
        <f t="array" ref="K456">VLOOKUP(E456,[2]A023951!D$1:H$1114,{3,5},0)</f>
        <v>#N/A</v>
      </c>
      <c r="L456" s="28"/>
      <c r="M456" s="28"/>
    </row>
    <row r="457" spans="1:13" x14ac:dyDescent="0.35">
      <c r="A457" s="28" t="s">
        <v>495</v>
      </c>
      <c r="B457" s="32">
        <v>2025</v>
      </c>
      <c r="C457" s="28" t="s">
        <v>496</v>
      </c>
      <c r="D457" s="29">
        <v>45947</v>
      </c>
      <c r="E457" s="28">
        <v>256779422006</v>
      </c>
      <c r="F457" s="28" t="s">
        <v>11</v>
      </c>
      <c r="G457" s="30">
        <v>-94.81</v>
      </c>
      <c r="H457" s="28" t="s">
        <v>56</v>
      </c>
      <c r="I457" s="30">
        <v>-8361.3700000000008</v>
      </c>
      <c r="J457" s="28" t="s">
        <v>822</v>
      </c>
      <c r="K457" s="28" t="e" cm="1">
        <f t="array" ref="K457">VLOOKUP(E457,[2]A023951!D$1:H$1114,{3,5},0)</f>
        <v>#N/A</v>
      </c>
      <c r="L457" s="28"/>
      <c r="M457" s="28"/>
    </row>
    <row r="458" spans="1:13" x14ac:dyDescent="0.35">
      <c r="A458" s="28" t="s">
        <v>495</v>
      </c>
      <c r="B458" s="32">
        <v>2025</v>
      </c>
      <c r="C458" s="28" t="s">
        <v>499</v>
      </c>
      <c r="D458" s="29">
        <v>45763</v>
      </c>
      <c r="E458" s="28">
        <v>256779411969</v>
      </c>
      <c r="F458" s="28" t="s">
        <v>11</v>
      </c>
      <c r="G458" s="30">
        <v>79.08</v>
      </c>
      <c r="H458" s="28" t="s">
        <v>56</v>
      </c>
      <c r="I458" s="30">
        <v>6873.78</v>
      </c>
      <c r="J458" s="28" t="s">
        <v>823</v>
      </c>
      <c r="K458" s="28" cm="1">
        <f t="array" ref="K458:L458">VLOOKUP(E458,[2]A023951!D$1:H$1114,{3,5},0)</f>
        <v>-79.08</v>
      </c>
      <c r="L458" s="28">
        <v>-6779.29</v>
      </c>
      <c r="M458" s="31">
        <f t="shared" ref="M458:M464" si="12">I458+L458</f>
        <v>94.489999999999782</v>
      </c>
    </row>
    <row r="459" spans="1:13" x14ac:dyDescent="0.35">
      <c r="A459" s="28" t="s">
        <v>495</v>
      </c>
      <c r="B459" s="32">
        <v>2025</v>
      </c>
      <c r="C459" s="28" t="s">
        <v>499</v>
      </c>
      <c r="D459" s="29">
        <v>45763</v>
      </c>
      <c r="E459" s="28">
        <v>256779411970</v>
      </c>
      <c r="F459" s="28" t="s">
        <v>11</v>
      </c>
      <c r="G459" s="30">
        <v>8.66</v>
      </c>
      <c r="H459" s="28" t="s">
        <v>56</v>
      </c>
      <c r="I459" s="30">
        <v>752.74</v>
      </c>
      <c r="J459" s="28" t="s">
        <v>823</v>
      </c>
      <c r="K459" s="28" cm="1">
        <f t="array" ref="K459:L459">VLOOKUP(E459,[2]A023951!D$1:H$1114,{3,5},0)</f>
        <v>-8.66</v>
      </c>
      <c r="L459" s="28">
        <v>-742.4</v>
      </c>
      <c r="M459" s="31">
        <f t="shared" si="12"/>
        <v>10.340000000000032</v>
      </c>
    </row>
    <row r="460" spans="1:13" x14ac:dyDescent="0.35">
      <c r="A460" s="28" t="s">
        <v>495</v>
      </c>
      <c r="B460" s="32">
        <v>2025</v>
      </c>
      <c r="C460" s="28" t="s">
        <v>499</v>
      </c>
      <c r="D460" s="29">
        <v>45763</v>
      </c>
      <c r="E460" s="28">
        <v>256779412012</v>
      </c>
      <c r="F460" s="28" t="s">
        <v>11</v>
      </c>
      <c r="G460" s="30">
        <v>1051.22</v>
      </c>
      <c r="H460" s="28" t="s">
        <v>56</v>
      </c>
      <c r="I460" s="30">
        <v>91373.96</v>
      </c>
      <c r="J460" s="28" t="s">
        <v>824</v>
      </c>
      <c r="K460" s="28" cm="1">
        <f t="array" ref="K460:L460">VLOOKUP(E460,[2]A023951!D$1:H$1114,{3,5},0)</f>
        <v>0</v>
      </c>
      <c r="L460" s="28">
        <v>-1051.22</v>
      </c>
      <c r="M460" s="31">
        <f t="shared" si="12"/>
        <v>90322.74</v>
      </c>
    </row>
    <row r="461" spans="1:13" x14ac:dyDescent="0.35">
      <c r="A461" s="28" t="s">
        <v>495</v>
      </c>
      <c r="B461" s="32">
        <v>2025</v>
      </c>
      <c r="C461" s="28" t="s">
        <v>499</v>
      </c>
      <c r="D461" s="29">
        <v>45763</v>
      </c>
      <c r="E461" s="28">
        <v>256779412053</v>
      </c>
      <c r="F461" s="28" t="s">
        <v>11</v>
      </c>
      <c r="G461" s="30">
        <v>985.93</v>
      </c>
      <c r="H461" s="28" t="s">
        <v>56</v>
      </c>
      <c r="I461" s="30">
        <v>85698.83</v>
      </c>
      <c r="J461" s="28" t="s">
        <v>825</v>
      </c>
      <c r="K461" s="28" cm="1">
        <f t="array" ref="K461:L461">VLOOKUP(E461,[2]A023951!D$1:H$1114,{3,5},0)</f>
        <v>-985.93</v>
      </c>
      <c r="L461" s="28">
        <v>-84520.79</v>
      </c>
      <c r="M461" s="31">
        <f t="shared" si="12"/>
        <v>1178.0400000000081</v>
      </c>
    </row>
    <row r="462" spans="1:13" x14ac:dyDescent="0.35">
      <c r="A462" s="28" t="s">
        <v>495</v>
      </c>
      <c r="B462" s="32">
        <v>2025</v>
      </c>
      <c r="C462" s="28" t="s">
        <v>499</v>
      </c>
      <c r="D462" s="29">
        <v>45763</v>
      </c>
      <c r="E462" s="28">
        <v>256779412091</v>
      </c>
      <c r="F462" s="28" t="s">
        <v>11</v>
      </c>
      <c r="G462" s="30">
        <v>96.4</v>
      </c>
      <c r="H462" s="28" t="s">
        <v>56</v>
      </c>
      <c r="I462" s="30">
        <v>8379.26</v>
      </c>
      <c r="J462" s="28" t="s">
        <v>826</v>
      </c>
      <c r="K462" s="28" cm="1">
        <f t="array" ref="K462:L462">VLOOKUP(E462,[2]A023951!D$1:H$1114,{3,5},0)</f>
        <v>-96.4</v>
      </c>
      <c r="L462" s="28">
        <v>-8264.08</v>
      </c>
      <c r="M462" s="31">
        <f t="shared" si="12"/>
        <v>115.18000000000029</v>
      </c>
    </row>
    <row r="463" spans="1:13" x14ac:dyDescent="0.35">
      <c r="A463" s="28" t="s">
        <v>495</v>
      </c>
      <c r="B463" s="32">
        <v>2025</v>
      </c>
      <c r="C463" s="28" t="s">
        <v>499</v>
      </c>
      <c r="D463" s="29">
        <v>45763</v>
      </c>
      <c r="E463" s="28">
        <v>256779412092</v>
      </c>
      <c r="F463" s="28" t="s">
        <v>11</v>
      </c>
      <c r="G463" s="30">
        <v>289.17</v>
      </c>
      <c r="H463" s="28" t="s">
        <v>56</v>
      </c>
      <c r="I463" s="30">
        <v>25135.18</v>
      </c>
      <c r="J463" s="28" t="s">
        <v>826</v>
      </c>
      <c r="K463" s="28" cm="1">
        <f t="array" ref="K463:L463">VLOOKUP(E463,[2]A023951!D$1:H$1114,{3,5},0)</f>
        <v>-289.17</v>
      </c>
      <c r="L463" s="28">
        <v>-24789.67</v>
      </c>
      <c r="M463" s="31">
        <f t="shared" si="12"/>
        <v>345.51000000000204</v>
      </c>
    </row>
    <row r="464" spans="1:13" x14ac:dyDescent="0.35">
      <c r="A464" s="28" t="s">
        <v>495</v>
      </c>
      <c r="B464" s="32">
        <v>2025</v>
      </c>
      <c r="C464" s="28" t="s">
        <v>499</v>
      </c>
      <c r="D464" s="29">
        <v>45763</v>
      </c>
      <c r="E464" s="28">
        <v>256779412123</v>
      </c>
      <c r="F464" s="28" t="s">
        <v>11</v>
      </c>
      <c r="G464" s="30">
        <v>3318.21</v>
      </c>
      <c r="H464" s="28" t="s">
        <v>56</v>
      </c>
      <c r="I464" s="30">
        <v>288424.84999999998</v>
      </c>
      <c r="J464" s="28" t="s">
        <v>827</v>
      </c>
      <c r="K464" s="28" cm="1">
        <f t="array" ref="K464:L464">VLOOKUP(E464,[2]A023951!D$1:H$1114,{3,5},0)</f>
        <v>-3318.21</v>
      </c>
      <c r="L464" s="28">
        <v>-284460.08</v>
      </c>
      <c r="M464" s="31">
        <f t="shared" si="12"/>
        <v>3964.7699999999604</v>
      </c>
    </row>
    <row r="465" spans="1:13" x14ac:dyDescent="0.35">
      <c r="A465" s="28" t="s">
        <v>495</v>
      </c>
      <c r="B465" s="32">
        <v>2025</v>
      </c>
      <c r="C465" s="28" t="s">
        <v>499</v>
      </c>
      <c r="D465" s="29">
        <v>45763</v>
      </c>
      <c r="E465" s="28">
        <v>256779411722</v>
      </c>
      <c r="F465" s="28" t="s">
        <v>11</v>
      </c>
      <c r="G465" s="30">
        <v>236</v>
      </c>
      <c r="H465" s="28" t="s">
        <v>56</v>
      </c>
      <c r="I465" s="30">
        <v>20513.55</v>
      </c>
      <c r="J465" s="28" t="s">
        <v>712</v>
      </c>
      <c r="K465" s="28" t="e" cm="1">
        <f t="array" ref="K465">VLOOKUP(E465,[2]A023951!D$1:H$1114,{3,5},0)</f>
        <v>#N/A</v>
      </c>
      <c r="L465" s="28"/>
      <c r="M465" s="28"/>
    </row>
    <row r="466" spans="1:13" x14ac:dyDescent="0.35">
      <c r="A466" s="28" t="s">
        <v>495</v>
      </c>
      <c r="B466" s="32">
        <v>2025</v>
      </c>
      <c r="C466" s="28" t="s">
        <v>499</v>
      </c>
      <c r="D466" s="29">
        <v>45763</v>
      </c>
      <c r="E466" s="28">
        <v>256779411795</v>
      </c>
      <c r="F466" s="28" t="s">
        <v>11</v>
      </c>
      <c r="G466" s="30">
        <v>369.34</v>
      </c>
      <c r="H466" s="28" t="s">
        <v>56</v>
      </c>
      <c r="I466" s="30">
        <v>32103.7</v>
      </c>
      <c r="J466" s="28" t="s">
        <v>713</v>
      </c>
      <c r="K466" s="28" t="e" cm="1">
        <f t="array" ref="K466">VLOOKUP(E466,[2]A023951!D$1:H$1114,{3,5},0)</f>
        <v>#N/A</v>
      </c>
      <c r="L466" s="28"/>
      <c r="M466" s="28"/>
    </row>
    <row r="467" spans="1:13" x14ac:dyDescent="0.35">
      <c r="A467" s="28" t="s">
        <v>495</v>
      </c>
      <c r="B467" s="32">
        <v>2025</v>
      </c>
      <c r="C467" s="28" t="s">
        <v>499</v>
      </c>
      <c r="D467" s="29">
        <v>45763</v>
      </c>
      <c r="E467" s="28">
        <v>256779411796</v>
      </c>
      <c r="F467" s="28" t="s">
        <v>11</v>
      </c>
      <c r="G467" s="30">
        <v>226.56</v>
      </c>
      <c r="H467" s="28" t="s">
        <v>56</v>
      </c>
      <c r="I467" s="30">
        <v>19693.009999999998</v>
      </c>
      <c r="J467" s="28" t="s">
        <v>714</v>
      </c>
      <c r="K467" s="28" t="e" cm="1">
        <f t="array" ref="K467">VLOOKUP(E467,[2]A023951!D$1:H$1114,{3,5},0)</f>
        <v>#N/A</v>
      </c>
      <c r="L467" s="28"/>
      <c r="M467" s="28"/>
    </row>
    <row r="468" spans="1:13" x14ac:dyDescent="0.35">
      <c r="A468" s="28" t="s">
        <v>495</v>
      </c>
      <c r="B468" s="32">
        <v>2025</v>
      </c>
      <c r="C468" s="28" t="s">
        <v>499</v>
      </c>
      <c r="D468" s="29">
        <v>45763</v>
      </c>
      <c r="E468" s="28">
        <v>256779411797</v>
      </c>
      <c r="F468" s="28" t="s">
        <v>11</v>
      </c>
      <c r="G468" s="30">
        <v>35.4</v>
      </c>
      <c r="H468" s="28" t="s">
        <v>56</v>
      </c>
      <c r="I468" s="30">
        <v>3077.03</v>
      </c>
      <c r="J468" s="28" t="s">
        <v>828</v>
      </c>
      <c r="K468" s="28" t="e" cm="1">
        <f t="array" ref="K468">VLOOKUP(E468,[2]A023951!D$1:H$1114,{3,5},0)</f>
        <v>#N/A</v>
      </c>
      <c r="L468" s="28"/>
      <c r="M468" s="28"/>
    </row>
    <row r="469" spans="1:13" x14ac:dyDescent="0.35">
      <c r="A469" s="28" t="s">
        <v>495</v>
      </c>
      <c r="B469" s="32">
        <v>2025</v>
      </c>
      <c r="C469" s="28" t="s">
        <v>499</v>
      </c>
      <c r="D469" s="29">
        <v>45763</v>
      </c>
      <c r="E469" s="28">
        <v>256779411798</v>
      </c>
      <c r="F469" s="28" t="s">
        <v>11</v>
      </c>
      <c r="G469" s="30">
        <v>236</v>
      </c>
      <c r="H469" s="28" t="s">
        <v>56</v>
      </c>
      <c r="I469" s="30">
        <v>20513.55</v>
      </c>
      <c r="J469" s="28" t="s">
        <v>715</v>
      </c>
      <c r="K469" s="28" t="e" cm="1">
        <f t="array" ref="K469">VLOOKUP(E469,[2]A023951!D$1:H$1114,{3,5},0)</f>
        <v>#N/A</v>
      </c>
      <c r="L469" s="28"/>
      <c r="M469" s="28"/>
    </row>
    <row r="470" spans="1:13" x14ac:dyDescent="0.35">
      <c r="A470" s="28" t="s">
        <v>495</v>
      </c>
      <c r="B470" s="32">
        <v>2025</v>
      </c>
      <c r="C470" s="28" t="s">
        <v>499</v>
      </c>
      <c r="D470" s="29">
        <v>45763</v>
      </c>
      <c r="E470" s="28">
        <v>256779411799</v>
      </c>
      <c r="F470" s="28" t="s">
        <v>11</v>
      </c>
      <c r="G470" s="30">
        <v>70.8</v>
      </c>
      <c r="H470" s="28" t="s">
        <v>56</v>
      </c>
      <c r="I470" s="30">
        <v>6154.06</v>
      </c>
      <c r="J470" s="28" t="s">
        <v>716</v>
      </c>
      <c r="K470" s="28" t="e" cm="1">
        <f t="array" ref="K470">VLOOKUP(E470,[2]A023951!D$1:H$1114,{3,5},0)</f>
        <v>#N/A</v>
      </c>
      <c r="L470" s="28"/>
      <c r="M470" s="28"/>
    </row>
    <row r="471" spans="1:13" x14ac:dyDescent="0.35">
      <c r="A471" s="28" t="s">
        <v>495</v>
      </c>
      <c r="B471" s="32">
        <v>2025</v>
      </c>
      <c r="C471" s="28" t="s">
        <v>499</v>
      </c>
      <c r="D471" s="29">
        <v>45763</v>
      </c>
      <c r="E471" s="28">
        <v>256779411867</v>
      </c>
      <c r="F471" s="28" t="s">
        <v>11</v>
      </c>
      <c r="G471" s="30">
        <v>295</v>
      </c>
      <c r="H471" s="28" t="s">
        <v>56</v>
      </c>
      <c r="I471" s="30">
        <v>25641.94</v>
      </c>
      <c r="J471" s="28" t="s">
        <v>829</v>
      </c>
      <c r="K471" s="28" cm="1">
        <f t="array" ref="K471:L471">VLOOKUP(E471,[2]A023951!D$1:H$1114,{3,5},0)</f>
        <v>-295</v>
      </c>
      <c r="L471" s="28">
        <v>-25289.46</v>
      </c>
      <c r="M471" s="31">
        <f t="shared" ref="M471:M479" si="13">I471+L471</f>
        <v>352.47999999999956</v>
      </c>
    </row>
    <row r="472" spans="1:13" x14ac:dyDescent="0.35">
      <c r="A472" s="28" t="s">
        <v>495</v>
      </c>
      <c r="B472" s="32">
        <v>2025</v>
      </c>
      <c r="C472" s="28" t="s">
        <v>499</v>
      </c>
      <c r="D472" s="29">
        <v>45863</v>
      </c>
      <c r="E472" s="28">
        <v>256779415989</v>
      </c>
      <c r="F472" s="28" t="s">
        <v>11</v>
      </c>
      <c r="G472" s="30">
        <v>299.83999999999997</v>
      </c>
      <c r="H472" s="28" t="s">
        <v>56</v>
      </c>
      <c r="I472" s="30">
        <v>25786.44</v>
      </c>
      <c r="J472" s="28" t="s">
        <v>830</v>
      </c>
      <c r="K472" s="28" cm="1">
        <f t="array" ref="K472:L472">VLOOKUP(E472,[2]A023951!D$1:H$1114,{3,5},0)</f>
        <v>-299.83999999999997</v>
      </c>
      <c r="L472" s="28">
        <v>-25783.09</v>
      </c>
      <c r="M472" s="31">
        <f t="shared" si="13"/>
        <v>3.3499999999985448</v>
      </c>
    </row>
    <row r="473" spans="1:13" x14ac:dyDescent="0.35">
      <c r="A473" s="28" t="s">
        <v>495</v>
      </c>
      <c r="B473" s="32">
        <v>2025</v>
      </c>
      <c r="C473" s="28" t="s">
        <v>499</v>
      </c>
      <c r="D473" s="29">
        <v>45863</v>
      </c>
      <c r="E473" s="28">
        <v>256779416007</v>
      </c>
      <c r="F473" s="28" t="s">
        <v>11</v>
      </c>
      <c r="G473" s="30">
        <v>421.15</v>
      </c>
      <c r="H473" s="28" t="s">
        <v>56</v>
      </c>
      <c r="I473" s="30">
        <v>36219.18</v>
      </c>
      <c r="J473" s="28" t="s">
        <v>831</v>
      </c>
      <c r="K473" s="28" cm="1">
        <f t="array" ref="K473:L473">VLOOKUP(E473,[2]A023951!D$1:H$1114,{3,5},0)</f>
        <v>-421.15</v>
      </c>
      <c r="L473" s="28">
        <v>-36214.480000000003</v>
      </c>
      <c r="M473" s="31">
        <f t="shared" si="13"/>
        <v>4.6999999999970896</v>
      </c>
    </row>
    <row r="474" spans="1:13" x14ac:dyDescent="0.35">
      <c r="A474" s="28" t="s">
        <v>495</v>
      </c>
      <c r="B474" s="32">
        <v>2025</v>
      </c>
      <c r="C474" s="28" t="s">
        <v>499</v>
      </c>
      <c r="D474" s="29">
        <v>45730</v>
      </c>
      <c r="E474" s="28">
        <v>246779411407</v>
      </c>
      <c r="F474" s="28" t="s">
        <v>11</v>
      </c>
      <c r="G474" s="30">
        <v>57.23</v>
      </c>
      <c r="H474" s="28" t="s">
        <v>56</v>
      </c>
      <c r="I474" s="30">
        <v>4961.34</v>
      </c>
      <c r="J474" s="28" t="s">
        <v>832</v>
      </c>
      <c r="K474" s="28" cm="1">
        <f t="array" ref="K474:L474">VLOOKUP(E474,[2]A023951!D$1:H$1114,{3,5},0)</f>
        <v>-57.23</v>
      </c>
      <c r="L474" s="28">
        <v>-4981.4399999999996</v>
      </c>
      <c r="M474" s="31">
        <f t="shared" si="13"/>
        <v>-20.099999999999454</v>
      </c>
    </row>
    <row r="475" spans="1:13" x14ac:dyDescent="0.35">
      <c r="A475" s="28" t="s">
        <v>495</v>
      </c>
      <c r="B475" s="32">
        <v>2025</v>
      </c>
      <c r="C475" s="28" t="s">
        <v>499</v>
      </c>
      <c r="D475" s="29">
        <v>45730</v>
      </c>
      <c r="E475" s="28">
        <v>246779411411</v>
      </c>
      <c r="F475" s="28" t="s">
        <v>11</v>
      </c>
      <c r="G475" s="30">
        <v>45.79</v>
      </c>
      <c r="H475" s="28" t="s">
        <v>56</v>
      </c>
      <c r="I475" s="30">
        <v>3969.59</v>
      </c>
      <c r="J475" s="28" t="s">
        <v>832</v>
      </c>
      <c r="K475" s="28" cm="1">
        <f t="array" ref="K475:L475">VLOOKUP(E475,[2]A023951!D$1:H$1114,{3,5},0)</f>
        <v>-45.79</v>
      </c>
      <c r="L475" s="28">
        <v>-3985.67</v>
      </c>
      <c r="M475" s="31">
        <f t="shared" si="13"/>
        <v>-16.079999999999927</v>
      </c>
    </row>
    <row r="476" spans="1:13" x14ac:dyDescent="0.35">
      <c r="A476" s="28" t="s">
        <v>495</v>
      </c>
      <c r="B476" s="32">
        <v>2025</v>
      </c>
      <c r="C476" s="28" t="s">
        <v>499</v>
      </c>
      <c r="D476" s="29">
        <v>45730</v>
      </c>
      <c r="E476" s="28">
        <v>246779411412</v>
      </c>
      <c r="F476" s="28" t="s">
        <v>11</v>
      </c>
      <c r="G476" s="30">
        <v>20.03</v>
      </c>
      <c r="H476" s="28" t="s">
        <v>56</v>
      </c>
      <c r="I476" s="30">
        <v>1736.43</v>
      </c>
      <c r="J476" s="28" t="s">
        <v>832</v>
      </c>
      <c r="K476" s="28" cm="1">
        <f t="array" ref="K476:L476">VLOOKUP(E476,[2]A023951!D$1:H$1114,{3,5},0)</f>
        <v>-20.03</v>
      </c>
      <c r="L476" s="28">
        <v>-1743.46</v>
      </c>
      <c r="M476" s="31">
        <f t="shared" si="13"/>
        <v>-7.0299999999999727</v>
      </c>
    </row>
    <row r="477" spans="1:13" x14ac:dyDescent="0.35">
      <c r="A477" s="28" t="s">
        <v>495</v>
      </c>
      <c r="B477" s="32">
        <v>2025</v>
      </c>
      <c r="C477" s="28" t="s">
        <v>499</v>
      </c>
      <c r="D477" s="29">
        <v>45730</v>
      </c>
      <c r="E477" s="28">
        <v>246779411413</v>
      </c>
      <c r="F477" s="28" t="s">
        <v>11</v>
      </c>
      <c r="G477" s="30">
        <v>40.06</v>
      </c>
      <c r="H477" s="28" t="s">
        <v>56</v>
      </c>
      <c r="I477" s="30">
        <v>3472.85</v>
      </c>
      <c r="J477" s="28" t="s">
        <v>832</v>
      </c>
      <c r="K477" s="28" cm="1">
        <f t="array" ref="K477:L477">VLOOKUP(E477,[2]A023951!D$1:H$1114,{3,5},0)</f>
        <v>-40.06</v>
      </c>
      <c r="L477" s="28">
        <v>-3486.92</v>
      </c>
      <c r="M477" s="31">
        <f t="shared" si="13"/>
        <v>-14.070000000000164</v>
      </c>
    </row>
    <row r="478" spans="1:13" x14ac:dyDescent="0.35">
      <c r="A478" s="28" t="s">
        <v>495</v>
      </c>
      <c r="B478" s="32">
        <v>2025</v>
      </c>
      <c r="C478" s="28" t="s">
        <v>499</v>
      </c>
      <c r="D478" s="29">
        <v>45730</v>
      </c>
      <c r="E478" s="28">
        <v>246779411415</v>
      </c>
      <c r="F478" s="28" t="s">
        <v>11</v>
      </c>
      <c r="G478" s="30">
        <v>22.89</v>
      </c>
      <c r="H478" s="28" t="s">
        <v>56</v>
      </c>
      <c r="I478" s="30">
        <v>1984.36</v>
      </c>
      <c r="J478" s="28" t="s">
        <v>832</v>
      </c>
      <c r="K478" s="28" cm="1">
        <f t="array" ref="K478:L478">VLOOKUP(E478,[2]A023951!D$1:H$1114,{3,5},0)</f>
        <v>-22.89</v>
      </c>
      <c r="L478" s="28">
        <v>-1992.4</v>
      </c>
      <c r="M478" s="31">
        <f t="shared" si="13"/>
        <v>-8.040000000000191</v>
      </c>
    </row>
    <row r="479" spans="1:13" x14ac:dyDescent="0.35">
      <c r="A479" s="28" t="s">
        <v>495</v>
      </c>
      <c r="B479" s="32">
        <v>2025</v>
      </c>
      <c r="C479" s="28" t="s">
        <v>499</v>
      </c>
      <c r="D479" s="29">
        <v>45730</v>
      </c>
      <c r="E479" s="28">
        <v>246779411419</v>
      </c>
      <c r="F479" s="28" t="s">
        <v>11</v>
      </c>
      <c r="G479" s="30">
        <v>23.35</v>
      </c>
      <c r="H479" s="28" t="s">
        <v>56</v>
      </c>
      <c r="I479" s="30">
        <v>2024.24</v>
      </c>
      <c r="J479" s="28" t="s">
        <v>832</v>
      </c>
      <c r="K479" s="28" cm="1">
        <f t="array" ref="K479:L479">VLOOKUP(E479,[2]A023951!D$1:H$1114,{3,5},0)</f>
        <v>-23.35</v>
      </c>
      <c r="L479" s="28">
        <v>-2032.44</v>
      </c>
      <c r="M479" s="31">
        <f t="shared" si="13"/>
        <v>-8.2000000000000455</v>
      </c>
    </row>
    <row r="480" spans="1:13" x14ac:dyDescent="0.35">
      <c r="A480" s="28" t="s">
        <v>495</v>
      </c>
      <c r="B480" s="32">
        <v>2025</v>
      </c>
      <c r="C480" s="28" t="s">
        <v>499</v>
      </c>
      <c r="D480" s="29">
        <v>45730</v>
      </c>
      <c r="E480" s="28">
        <v>246779412207</v>
      </c>
      <c r="F480" s="28" t="s">
        <v>11</v>
      </c>
      <c r="G480" s="30">
        <v>312.5</v>
      </c>
      <c r="H480" s="28" t="s">
        <v>56</v>
      </c>
      <c r="I480" s="30">
        <v>27091.02</v>
      </c>
      <c r="J480" s="28" t="s">
        <v>832</v>
      </c>
      <c r="K480" s="28" t="e" cm="1">
        <f t="array" ref="K480">VLOOKUP(E480,[2]A023951!D$1:H$1114,{3,5},0)</f>
        <v>#N/A</v>
      </c>
      <c r="L480" s="28"/>
      <c r="M480" s="28"/>
    </row>
    <row r="481" spans="1:13" x14ac:dyDescent="0.35">
      <c r="A481" s="28" t="s">
        <v>495</v>
      </c>
      <c r="B481" s="32">
        <v>2025</v>
      </c>
      <c r="C481" s="28" t="s">
        <v>499</v>
      </c>
      <c r="D481" s="29">
        <v>45730</v>
      </c>
      <c r="E481" s="28">
        <v>246779412208</v>
      </c>
      <c r="F481" s="28" t="s">
        <v>11</v>
      </c>
      <c r="G481" s="30">
        <v>23.35</v>
      </c>
      <c r="H481" s="28" t="s">
        <v>56</v>
      </c>
      <c r="I481" s="30">
        <v>2024.24</v>
      </c>
      <c r="J481" s="28" t="s">
        <v>832</v>
      </c>
      <c r="K481" s="28" t="e" cm="1">
        <f t="array" ref="K481">VLOOKUP(E481,[2]A023951!D$1:H$1114,{3,5},0)</f>
        <v>#N/A</v>
      </c>
      <c r="L481" s="28"/>
      <c r="M481" s="28"/>
    </row>
    <row r="482" spans="1:13" x14ac:dyDescent="0.35">
      <c r="A482" s="28" t="s">
        <v>495</v>
      </c>
      <c r="B482" s="32">
        <v>2025</v>
      </c>
      <c r="C482" s="28" t="s">
        <v>499</v>
      </c>
      <c r="D482" s="29">
        <v>45730</v>
      </c>
      <c r="E482" s="28">
        <v>246779412197</v>
      </c>
      <c r="F482" s="28" t="s">
        <v>11</v>
      </c>
      <c r="G482" s="30">
        <v>40.06</v>
      </c>
      <c r="H482" s="28" t="s">
        <v>56</v>
      </c>
      <c r="I482" s="30">
        <v>3472.85</v>
      </c>
      <c r="J482" s="28" t="s">
        <v>832</v>
      </c>
      <c r="K482" s="28" t="e" cm="1">
        <f t="array" ref="K482">VLOOKUP(E482,[2]A023951!D$1:H$1114,{3,5},0)</f>
        <v>#N/A</v>
      </c>
      <c r="L482" s="28"/>
      <c r="M482" s="28"/>
    </row>
    <row r="483" spans="1:13" x14ac:dyDescent="0.35">
      <c r="A483" s="28" t="s">
        <v>495</v>
      </c>
      <c r="B483" s="32">
        <v>2025</v>
      </c>
      <c r="C483" s="28" t="s">
        <v>499</v>
      </c>
      <c r="D483" s="29">
        <v>45730</v>
      </c>
      <c r="E483" s="28">
        <v>246779412198</v>
      </c>
      <c r="F483" s="28" t="s">
        <v>11</v>
      </c>
      <c r="G483" s="30">
        <v>249.55</v>
      </c>
      <c r="H483" s="28" t="s">
        <v>56</v>
      </c>
      <c r="I483" s="30">
        <v>21633.8</v>
      </c>
      <c r="J483" s="28" t="s">
        <v>832</v>
      </c>
      <c r="K483" s="28" t="e" cm="1">
        <f t="array" ref="K483">VLOOKUP(E483,[2]A023951!D$1:H$1114,{3,5},0)</f>
        <v>#N/A</v>
      </c>
      <c r="L483" s="28"/>
      <c r="M483" s="28"/>
    </row>
    <row r="484" spans="1:13" x14ac:dyDescent="0.35">
      <c r="A484" s="28" t="s">
        <v>495</v>
      </c>
      <c r="B484" s="32">
        <v>2025</v>
      </c>
      <c r="C484" s="28" t="s">
        <v>499</v>
      </c>
      <c r="D484" s="29">
        <v>45730</v>
      </c>
      <c r="E484" s="28">
        <v>246779412199</v>
      </c>
      <c r="F484" s="28" t="s">
        <v>11</v>
      </c>
      <c r="G484" s="30">
        <v>40.06</v>
      </c>
      <c r="H484" s="28" t="s">
        <v>56</v>
      </c>
      <c r="I484" s="30">
        <v>3472.85</v>
      </c>
      <c r="J484" s="28" t="s">
        <v>832</v>
      </c>
      <c r="K484" s="28" t="e" cm="1">
        <f t="array" ref="K484">VLOOKUP(E484,[2]A023951!D$1:H$1114,{3,5},0)</f>
        <v>#N/A</v>
      </c>
      <c r="L484" s="28"/>
      <c r="M484" s="28"/>
    </row>
    <row r="485" spans="1:13" x14ac:dyDescent="0.35">
      <c r="A485" s="28" t="s">
        <v>495</v>
      </c>
      <c r="B485" s="32">
        <v>2025</v>
      </c>
      <c r="C485" s="28" t="s">
        <v>499</v>
      </c>
      <c r="D485" s="29">
        <v>45730</v>
      </c>
      <c r="E485" s="28">
        <v>246779412200</v>
      </c>
      <c r="F485" s="28" t="s">
        <v>11</v>
      </c>
      <c r="G485" s="30">
        <v>45.79</v>
      </c>
      <c r="H485" s="28" t="s">
        <v>56</v>
      </c>
      <c r="I485" s="30">
        <v>3969.59</v>
      </c>
      <c r="J485" s="28" t="s">
        <v>832</v>
      </c>
      <c r="K485" s="28" t="e" cm="1">
        <f t="array" ref="K485">VLOOKUP(E485,[2]A023951!D$1:H$1114,{3,5},0)</f>
        <v>#N/A</v>
      </c>
      <c r="L485" s="28"/>
      <c r="M485" s="28"/>
    </row>
    <row r="486" spans="1:13" x14ac:dyDescent="0.35">
      <c r="A486" s="28" t="s">
        <v>495</v>
      </c>
      <c r="B486" s="32">
        <v>2025</v>
      </c>
      <c r="C486" s="28" t="s">
        <v>499</v>
      </c>
      <c r="D486" s="29">
        <v>45730</v>
      </c>
      <c r="E486" s="28">
        <v>246779411408</v>
      </c>
      <c r="F486" s="28" t="s">
        <v>11</v>
      </c>
      <c r="G486" s="30">
        <v>40.06</v>
      </c>
      <c r="H486" s="28" t="s">
        <v>56</v>
      </c>
      <c r="I486" s="30">
        <v>3472.85</v>
      </c>
      <c r="J486" s="28" t="s">
        <v>832</v>
      </c>
      <c r="K486" s="28" cm="1">
        <f t="array" ref="K486:L486">VLOOKUP(E486,[2]A023951!D$1:H$1114,{3,5},0)</f>
        <v>-40.06</v>
      </c>
      <c r="L486" s="28">
        <v>-3486.92</v>
      </c>
      <c r="M486" s="31">
        <f t="shared" ref="M486:M492" si="14">I486+L486</f>
        <v>-14.070000000000164</v>
      </c>
    </row>
    <row r="487" spans="1:13" x14ac:dyDescent="0.35">
      <c r="A487" s="28" t="s">
        <v>495</v>
      </c>
      <c r="B487" s="32">
        <v>2025</v>
      </c>
      <c r="C487" s="28" t="s">
        <v>499</v>
      </c>
      <c r="D487" s="29">
        <v>45730</v>
      </c>
      <c r="E487" s="28">
        <v>246779411409</v>
      </c>
      <c r="F487" s="28" t="s">
        <v>11</v>
      </c>
      <c r="G487" s="30">
        <v>249.55</v>
      </c>
      <c r="H487" s="28" t="s">
        <v>56</v>
      </c>
      <c r="I487" s="30">
        <v>21633.8</v>
      </c>
      <c r="J487" s="28" t="s">
        <v>832</v>
      </c>
      <c r="K487" s="28" cm="1">
        <f t="array" ref="K487:L487">VLOOKUP(E487,[2]A023951!D$1:H$1114,{3,5},0)</f>
        <v>-249.55</v>
      </c>
      <c r="L487" s="28">
        <v>-21721.43</v>
      </c>
      <c r="M487" s="31">
        <f t="shared" si="14"/>
        <v>-87.630000000001019</v>
      </c>
    </row>
    <row r="488" spans="1:13" x14ac:dyDescent="0.35">
      <c r="A488" s="28" t="s">
        <v>495</v>
      </c>
      <c r="B488" s="32">
        <v>2025</v>
      </c>
      <c r="C488" s="28" t="s">
        <v>499</v>
      </c>
      <c r="D488" s="29">
        <v>45730</v>
      </c>
      <c r="E488" s="28">
        <v>246779411410</v>
      </c>
      <c r="F488" s="28" t="s">
        <v>11</v>
      </c>
      <c r="G488" s="30">
        <v>40.06</v>
      </c>
      <c r="H488" s="28" t="s">
        <v>56</v>
      </c>
      <c r="I488" s="30">
        <v>3472.85</v>
      </c>
      <c r="J488" s="28" t="s">
        <v>832</v>
      </c>
      <c r="K488" s="28" cm="1">
        <f t="array" ref="K488:L488">VLOOKUP(E488,[2]A023951!D$1:H$1114,{3,5},0)</f>
        <v>-40.06</v>
      </c>
      <c r="L488" s="28">
        <v>-3486.92</v>
      </c>
      <c r="M488" s="31">
        <f t="shared" si="14"/>
        <v>-14.070000000000164</v>
      </c>
    </row>
    <row r="489" spans="1:13" x14ac:dyDescent="0.35">
      <c r="A489" s="28" t="s">
        <v>495</v>
      </c>
      <c r="B489" s="32">
        <v>2025</v>
      </c>
      <c r="C489" s="28" t="s">
        <v>499</v>
      </c>
      <c r="D489" s="29">
        <v>45730</v>
      </c>
      <c r="E489" s="28">
        <v>246779411414</v>
      </c>
      <c r="F489" s="28" t="s">
        <v>11</v>
      </c>
      <c r="G489" s="30">
        <v>28.62</v>
      </c>
      <c r="H489" s="28" t="s">
        <v>56</v>
      </c>
      <c r="I489" s="30">
        <v>2481.1</v>
      </c>
      <c r="J489" s="28" t="s">
        <v>832</v>
      </c>
      <c r="K489" s="28" cm="1">
        <f t="array" ref="K489:L489">VLOOKUP(E489,[2]A023951!D$1:H$1114,{3,5},0)</f>
        <v>-28.62</v>
      </c>
      <c r="L489" s="28">
        <v>-2491.15</v>
      </c>
      <c r="M489" s="31">
        <f t="shared" si="14"/>
        <v>-10.050000000000182</v>
      </c>
    </row>
    <row r="490" spans="1:13" x14ac:dyDescent="0.35">
      <c r="A490" s="28" t="s">
        <v>495</v>
      </c>
      <c r="B490" s="32">
        <v>2025</v>
      </c>
      <c r="C490" s="28" t="s">
        <v>499</v>
      </c>
      <c r="D490" s="29">
        <v>45730</v>
      </c>
      <c r="E490" s="28">
        <v>246779411416</v>
      </c>
      <c r="F490" s="28" t="s">
        <v>11</v>
      </c>
      <c r="G490" s="30">
        <v>114.46</v>
      </c>
      <c r="H490" s="28" t="s">
        <v>56</v>
      </c>
      <c r="I490" s="30">
        <v>9922.68</v>
      </c>
      <c r="J490" s="28" t="s">
        <v>832</v>
      </c>
      <c r="K490" s="28" cm="1">
        <f t="array" ref="K490:L490">VLOOKUP(E490,[2]A023951!D$1:H$1114,{3,5},0)</f>
        <v>-114.46</v>
      </c>
      <c r="L490" s="28">
        <v>-9962.8700000000008</v>
      </c>
      <c r="M490" s="31">
        <f t="shared" si="14"/>
        <v>-40.190000000000509</v>
      </c>
    </row>
    <row r="491" spans="1:13" x14ac:dyDescent="0.35">
      <c r="A491" s="28" t="s">
        <v>495</v>
      </c>
      <c r="B491" s="32">
        <v>2025</v>
      </c>
      <c r="C491" s="28" t="s">
        <v>499</v>
      </c>
      <c r="D491" s="29">
        <v>45730</v>
      </c>
      <c r="E491" s="28">
        <v>246779411417</v>
      </c>
      <c r="F491" s="28" t="s">
        <v>11</v>
      </c>
      <c r="G491" s="30">
        <v>68.680000000000007</v>
      </c>
      <c r="H491" s="28" t="s">
        <v>56</v>
      </c>
      <c r="I491" s="30">
        <v>5953.96</v>
      </c>
      <c r="J491" s="28" t="s">
        <v>832</v>
      </c>
      <c r="K491" s="28" cm="1">
        <f t="array" ref="K491:L491">VLOOKUP(E491,[2]A023951!D$1:H$1114,{3,5},0)</f>
        <v>-68.680000000000007</v>
      </c>
      <c r="L491" s="28">
        <v>-5978.07</v>
      </c>
      <c r="M491" s="31">
        <f t="shared" si="14"/>
        <v>-24.109999999999673</v>
      </c>
    </row>
    <row r="492" spans="1:13" x14ac:dyDescent="0.35">
      <c r="A492" s="28" t="s">
        <v>495</v>
      </c>
      <c r="B492" s="32">
        <v>2025</v>
      </c>
      <c r="C492" s="28" t="s">
        <v>499</v>
      </c>
      <c r="D492" s="29">
        <v>45730</v>
      </c>
      <c r="E492" s="28">
        <v>246779411418</v>
      </c>
      <c r="F492" s="28" t="s">
        <v>11</v>
      </c>
      <c r="G492" s="30">
        <v>312.5</v>
      </c>
      <c r="H492" s="28" t="s">
        <v>56</v>
      </c>
      <c r="I492" s="30">
        <v>27091.02</v>
      </c>
      <c r="J492" s="28" t="s">
        <v>832</v>
      </c>
      <c r="K492" s="28" cm="1">
        <f t="array" ref="K492:L492">VLOOKUP(E492,[2]A023951!D$1:H$1114,{3,5},0)</f>
        <v>-312.5</v>
      </c>
      <c r="L492" s="28">
        <v>-27200.75</v>
      </c>
      <c r="M492" s="31">
        <f t="shared" si="14"/>
        <v>-109.72999999999956</v>
      </c>
    </row>
    <row r="493" spans="1:13" x14ac:dyDescent="0.35">
      <c r="A493" s="28" t="s">
        <v>495</v>
      </c>
      <c r="B493" s="32">
        <v>2025</v>
      </c>
      <c r="C493" s="28" t="s">
        <v>499</v>
      </c>
      <c r="D493" s="29">
        <v>45730</v>
      </c>
      <c r="E493" s="28">
        <v>246779412202</v>
      </c>
      <c r="F493" s="28" t="s">
        <v>11</v>
      </c>
      <c r="G493" s="30">
        <v>40.06</v>
      </c>
      <c r="H493" s="28" t="s">
        <v>56</v>
      </c>
      <c r="I493" s="30">
        <v>3472.85</v>
      </c>
      <c r="J493" s="28" t="s">
        <v>832</v>
      </c>
      <c r="K493" s="28" t="e" cm="1">
        <f t="array" ref="K493">VLOOKUP(E493,[2]A023951!D$1:H$1114,{3,5},0)</f>
        <v>#N/A</v>
      </c>
      <c r="L493" s="28"/>
      <c r="M493" s="28"/>
    </row>
    <row r="494" spans="1:13" x14ac:dyDescent="0.35">
      <c r="A494" s="28" t="s">
        <v>495</v>
      </c>
      <c r="B494" s="32">
        <v>2025</v>
      </c>
      <c r="C494" s="28" t="s">
        <v>499</v>
      </c>
      <c r="D494" s="29">
        <v>45730</v>
      </c>
      <c r="E494" s="28">
        <v>246779412203</v>
      </c>
      <c r="F494" s="28" t="s">
        <v>11</v>
      </c>
      <c r="G494" s="30">
        <v>28.62</v>
      </c>
      <c r="H494" s="28" t="s">
        <v>56</v>
      </c>
      <c r="I494" s="30">
        <v>2481.1</v>
      </c>
      <c r="J494" s="28" t="s">
        <v>832</v>
      </c>
      <c r="K494" s="28" t="e" cm="1">
        <f t="array" ref="K494">VLOOKUP(E494,[2]A023951!D$1:H$1114,{3,5},0)</f>
        <v>#N/A</v>
      </c>
      <c r="L494" s="28"/>
      <c r="M494" s="28"/>
    </row>
    <row r="495" spans="1:13" x14ac:dyDescent="0.35">
      <c r="A495" s="28" t="s">
        <v>495</v>
      </c>
      <c r="B495" s="32">
        <v>2025</v>
      </c>
      <c r="C495" s="28" t="s">
        <v>499</v>
      </c>
      <c r="D495" s="29">
        <v>45730</v>
      </c>
      <c r="E495" s="28">
        <v>246779412204</v>
      </c>
      <c r="F495" s="28" t="s">
        <v>11</v>
      </c>
      <c r="G495" s="30">
        <v>22.89</v>
      </c>
      <c r="H495" s="28" t="s">
        <v>56</v>
      </c>
      <c r="I495" s="30">
        <v>1984.36</v>
      </c>
      <c r="J495" s="28" t="s">
        <v>832</v>
      </c>
      <c r="K495" s="28" t="e" cm="1">
        <f t="array" ref="K495">VLOOKUP(E495,[2]A023951!D$1:H$1114,{3,5},0)</f>
        <v>#N/A</v>
      </c>
      <c r="L495" s="28"/>
      <c r="M495" s="28"/>
    </row>
    <row r="496" spans="1:13" x14ac:dyDescent="0.35">
      <c r="A496" s="28" t="s">
        <v>495</v>
      </c>
      <c r="B496" s="32">
        <v>2025</v>
      </c>
      <c r="C496" s="28" t="s">
        <v>499</v>
      </c>
      <c r="D496" s="29">
        <v>45730</v>
      </c>
      <c r="E496" s="28">
        <v>246779412205</v>
      </c>
      <c r="F496" s="28" t="s">
        <v>11</v>
      </c>
      <c r="G496" s="30">
        <v>114.46</v>
      </c>
      <c r="H496" s="28" t="s">
        <v>56</v>
      </c>
      <c r="I496" s="30">
        <v>9922.68</v>
      </c>
      <c r="J496" s="28" t="s">
        <v>832</v>
      </c>
      <c r="K496" s="28" t="e" cm="1">
        <f t="array" ref="K496">VLOOKUP(E496,[2]A023951!D$1:H$1114,{3,5},0)</f>
        <v>#N/A</v>
      </c>
      <c r="L496" s="28"/>
      <c r="M496" s="28"/>
    </row>
    <row r="497" spans="1:13" x14ac:dyDescent="0.35">
      <c r="A497" s="28" t="s">
        <v>495</v>
      </c>
      <c r="B497" s="32">
        <v>2025</v>
      </c>
      <c r="C497" s="28" t="s">
        <v>499</v>
      </c>
      <c r="D497" s="29">
        <v>45730</v>
      </c>
      <c r="E497" s="28">
        <v>246779412206</v>
      </c>
      <c r="F497" s="28" t="s">
        <v>11</v>
      </c>
      <c r="G497" s="30">
        <v>68.680000000000007</v>
      </c>
      <c r="H497" s="28" t="s">
        <v>56</v>
      </c>
      <c r="I497" s="30">
        <v>5953.96</v>
      </c>
      <c r="J497" s="28" t="s">
        <v>832</v>
      </c>
      <c r="K497" s="28" t="e" cm="1">
        <f t="array" ref="K497">VLOOKUP(E497,[2]A023951!D$1:H$1114,{3,5},0)</f>
        <v>#N/A</v>
      </c>
      <c r="L497" s="28"/>
      <c r="M497" s="28"/>
    </row>
    <row r="498" spans="1:13" x14ac:dyDescent="0.35">
      <c r="A498" s="28" t="s">
        <v>495</v>
      </c>
      <c r="B498" s="32">
        <v>2025</v>
      </c>
      <c r="C498" s="28" t="s">
        <v>499</v>
      </c>
      <c r="D498" s="29">
        <v>45730</v>
      </c>
      <c r="E498" s="28">
        <v>246779412196</v>
      </c>
      <c r="F498" s="28" t="s">
        <v>11</v>
      </c>
      <c r="G498" s="30">
        <v>57.23</v>
      </c>
      <c r="H498" s="28" t="s">
        <v>56</v>
      </c>
      <c r="I498" s="30">
        <v>4961.34</v>
      </c>
      <c r="J498" s="28" t="s">
        <v>832</v>
      </c>
      <c r="K498" s="28" t="e" cm="1">
        <f t="array" ref="K498">VLOOKUP(E498,[2]A023951!D$1:H$1114,{3,5},0)</f>
        <v>#N/A</v>
      </c>
      <c r="L498" s="28"/>
      <c r="M498" s="28"/>
    </row>
    <row r="499" spans="1:13" x14ac:dyDescent="0.35">
      <c r="A499" s="28" t="s">
        <v>495</v>
      </c>
      <c r="B499" s="32">
        <v>2025</v>
      </c>
      <c r="C499" s="28" t="s">
        <v>499</v>
      </c>
      <c r="D499" s="29">
        <v>45730</v>
      </c>
      <c r="E499" s="28">
        <v>246779412201</v>
      </c>
      <c r="F499" s="28" t="s">
        <v>11</v>
      </c>
      <c r="G499" s="30">
        <v>20.03</v>
      </c>
      <c r="H499" s="28" t="s">
        <v>56</v>
      </c>
      <c r="I499" s="30">
        <v>1736.43</v>
      </c>
      <c r="J499" s="28" t="s">
        <v>832</v>
      </c>
      <c r="K499" s="28" t="e" cm="1">
        <f t="array" ref="K499">VLOOKUP(E499,[2]A023951!D$1:H$1114,{3,5},0)</f>
        <v>#N/A</v>
      </c>
      <c r="L499" s="28"/>
      <c r="M499" s="28"/>
    </row>
    <row r="500" spans="1:13" x14ac:dyDescent="0.35">
      <c r="A500" s="28" t="s">
        <v>495</v>
      </c>
      <c r="B500" s="32">
        <v>2025</v>
      </c>
      <c r="C500" s="28" t="s">
        <v>499</v>
      </c>
      <c r="D500" s="29">
        <v>45848</v>
      </c>
      <c r="E500" s="28">
        <v>256779415289</v>
      </c>
      <c r="F500" s="28" t="s">
        <v>11</v>
      </c>
      <c r="G500" s="30">
        <v>250</v>
      </c>
      <c r="H500" s="28" t="s">
        <v>56</v>
      </c>
      <c r="I500" s="30">
        <v>21500.17</v>
      </c>
      <c r="J500" s="28" t="s">
        <v>829</v>
      </c>
      <c r="K500" s="28" cm="1">
        <f t="array" ref="K500:L500">VLOOKUP(E500,[2]A023951!D$1:H$1114,{3,5},0)</f>
        <v>-250</v>
      </c>
      <c r="L500" s="28">
        <v>-22117.5</v>
      </c>
      <c r="M500" s="31">
        <f t="shared" ref="M500:M506" si="15">I500+L500</f>
        <v>-617.33000000000175</v>
      </c>
    </row>
    <row r="501" spans="1:13" x14ac:dyDescent="0.35">
      <c r="A501" s="28" t="s">
        <v>495</v>
      </c>
      <c r="B501" s="32">
        <v>2025</v>
      </c>
      <c r="C501" s="28" t="s">
        <v>499</v>
      </c>
      <c r="D501" s="29">
        <v>45848</v>
      </c>
      <c r="E501" s="28">
        <v>256779415290</v>
      </c>
      <c r="F501" s="28" t="s">
        <v>11</v>
      </c>
      <c r="G501" s="30">
        <v>24</v>
      </c>
      <c r="H501" s="28" t="s">
        <v>56</v>
      </c>
      <c r="I501" s="30">
        <v>2064.02</v>
      </c>
      <c r="J501" s="28" t="s">
        <v>574</v>
      </c>
      <c r="K501" s="28" cm="1">
        <f t="array" ref="K501:L501">VLOOKUP(E501,[2]A023951!D$1:H$1114,{3,5},0)</f>
        <v>-24</v>
      </c>
      <c r="L501" s="28">
        <v>-2123.2800000000002</v>
      </c>
      <c r="M501" s="31">
        <f t="shared" si="15"/>
        <v>-59.260000000000218</v>
      </c>
    </row>
    <row r="502" spans="1:13" x14ac:dyDescent="0.35">
      <c r="A502" s="28" t="s">
        <v>495</v>
      </c>
      <c r="B502" s="32">
        <v>2025</v>
      </c>
      <c r="C502" s="28" t="s">
        <v>499</v>
      </c>
      <c r="D502" s="29">
        <v>45848</v>
      </c>
      <c r="E502" s="28">
        <v>256779415291</v>
      </c>
      <c r="F502" s="28" t="s">
        <v>11</v>
      </c>
      <c r="G502" s="30">
        <v>24</v>
      </c>
      <c r="H502" s="28" t="s">
        <v>56</v>
      </c>
      <c r="I502" s="30">
        <v>2064.02</v>
      </c>
      <c r="J502" s="28" t="s">
        <v>821</v>
      </c>
      <c r="K502" s="28" cm="1">
        <f t="array" ref="K502:L502">VLOOKUP(E502,[2]A023951!D$1:H$1114,{3,5},0)</f>
        <v>-24</v>
      </c>
      <c r="L502" s="28">
        <v>-2123.2800000000002</v>
      </c>
      <c r="M502" s="31">
        <f t="shared" si="15"/>
        <v>-59.260000000000218</v>
      </c>
    </row>
    <row r="503" spans="1:13" x14ac:dyDescent="0.35">
      <c r="A503" s="28" t="s">
        <v>495</v>
      </c>
      <c r="B503" s="32">
        <v>2025</v>
      </c>
      <c r="C503" s="28" t="s">
        <v>499</v>
      </c>
      <c r="D503" s="29">
        <v>45848</v>
      </c>
      <c r="E503" s="28">
        <v>256779415292</v>
      </c>
      <c r="F503" s="28" t="s">
        <v>11</v>
      </c>
      <c r="G503" s="30">
        <v>24</v>
      </c>
      <c r="H503" s="28" t="s">
        <v>56</v>
      </c>
      <c r="I503" s="30">
        <v>2064.02</v>
      </c>
      <c r="J503" s="28" t="s">
        <v>821</v>
      </c>
      <c r="K503" s="28" cm="1">
        <f t="array" ref="K503:L503">VLOOKUP(E503,[2]A023951!D$1:H$1114,{3,5},0)</f>
        <v>-24</v>
      </c>
      <c r="L503" s="28">
        <v>-2123.2800000000002</v>
      </c>
      <c r="M503" s="31">
        <f t="shared" si="15"/>
        <v>-59.260000000000218</v>
      </c>
    </row>
    <row r="504" spans="1:13" x14ac:dyDescent="0.35">
      <c r="A504" s="28" t="s">
        <v>495</v>
      </c>
      <c r="B504" s="32">
        <v>2025</v>
      </c>
      <c r="C504" s="28" t="s">
        <v>499</v>
      </c>
      <c r="D504" s="29">
        <v>45848</v>
      </c>
      <c r="E504" s="28">
        <v>256779415293</v>
      </c>
      <c r="F504" s="28" t="s">
        <v>11</v>
      </c>
      <c r="G504" s="30">
        <v>24</v>
      </c>
      <c r="H504" s="28" t="s">
        <v>56</v>
      </c>
      <c r="I504" s="30">
        <v>2064.02</v>
      </c>
      <c r="J504" s="28" t="s">
        <v>821</v>
      </c>
      <c r="K504" s="28" cm="1">
        <f t="array" ref="K504:L504">VLOOKUP(E504,[2]A023951!D$1:H$1114,{3,5},0)</f>
        <v>-24</v>
      </c>
      <c r="L504" s="28">
        <v>-2123.2800000000002</v>
      </c>
      <c r="M504" s="31">
        <f t="shared" si="15"/>
        <v>-59.260000000000218</v>
      </c>
    </row>
    <row r="505" spans="1:13" x14ac:dyDescent="0.35">
      <c r="A505" s="28" t="s">
        <v>495</v>
      </c>
      <c r="B505" s="32">
        <v>2025</v>
      </c>
      <c r="C505" s="28" t="s">
        <v>499</v>
      </c>
      <c r="D505" s="29">
        <v>45848</v>
      </c>
      <c r="E505" s="28">
        <v>256779415294</v>
      </c>
      <c r="F505" s="28" t="s">
        <v>11</v>
      </c>
      <c r="G505" s="30">
        <v>24</v>
      </c>
      <c r="H505" s="28" t="s">
        <v>56</v>
      </c>
      <c r="I505" s="30">
        <v>2064.02</v>
      </c>
      <c r="J505" s="28" t="s">
        <v>821</v>
      </c>
      <c r="K505" s="28" cm="1">
        <f t="array" ref="K505:L505">VLOOKUP(E505,[2]A023951!D$1:H$1114,{3,5},0)</f>
        <v>-24</v>
      </c>
      <c r="L505" s="28">
        <v>-2123.2800000000002</v>
      </c>
      <c r="M505" s="31">
        <f t="shared" si="15"/>
        <v>-59.260000000000218</v>
      </c>
    </row>
    <row r="506" spans="1:13" x14ac:dyDescent="0.35">
      <c r="A506" s="28" t="s">
        <v>495</v>
      </c>
      <c r="B506" s="32">
        <v>2025</v>
      </c>
      <c r="C506" s="28" t="s">
        <v>499</v>
      </c>
      <c r="D506" s="29">
        <v>45848</v>
      </c>
      <c r="E506" s="28">
        <v>256779415295</v>
      </c>
      <c r="F506" s="28" t="s">
        <v>11</v>
      </c>
      <c r="G506" s="30">
        <v>24</v>
      </c>
      <c r="H506" s="28" t="s">
        <v>56</v>
      </c>
      <c r="I506" s="30">
        <v>2064.02</v>
      </c>
      <c r="J506" s="28" t="s">
        <v>821</v>
      </c>
      <c r="K506" s="28" cm="1">
        <f t="array" ref="K506:L506">VLOOKUP(E506,[2]A023951!D$1:H$1114,{3,5},0)</f>
        <v>-24</v>
      </c>
      <c r="L506" s="28">
        <v>-2123.2800000000002</v>
      </c>
      <c r="M506" s="31">
        <f t="shared" si="15"/>
        <v>-59.260000000000218</v>
      </c>
    </row>
    <row r="507" spans="1:13" x14ac:dyDescent="0.35">
      <c r="A507" s="28" t="s">
        <v>495</v>
      </c>
      <c r="B507" s="32">
        <v>2025</v>
      </c>
      <c r="C507" s="28" t="s">
        <v>499</v>
      </c>
      <c r="D507" s="29">
        <v>45848</v>
      </c>
      <c r="E507" s="28">
        <v>256779415296</v>
      </c>
      <c r="F507" s="28" t="s">
        <v>11</v>
      </c>
      <c r="G507" s="30">
        <v>24</v>
      </c>
      <c r="H507" s="28" t="s">
        <v>56</v>
      </c>
      <c r="I507" s="30">
        <v>2064.02</v>
      </c>
      <c r="J507" s="28" t="s">
        <v>821</v>
      </c>
      <c r="K507" s="28" t="e" cm="1">
        <f t="array" ref="K507">VLOOKUP(E507,[2]A023951!D$1:H$1114,{3,5},0)</f>
        <v>#N/A</v>
      </c>
      <c r="L507" s="28"/>
      <c r="M507" s="28"/>
    </row>
    <row r="508" spans="1:13" x14ac:dyDescent="0.35">
      <c r="A508" s="28" t="s">
        <v>495</v>
      </c>
      <c r="B508" s="32">
        <v>2025</v>
      </c>
      <c r="C508" s="28" t="s">
        <v>499</v>
      </c>
      <c r="D508" s="29">
        <v>45848</v>
      </c>
      <c r="E508" s="28">
        <v>256779415297</v>
      </c>
      <c r="F508" s="28" t="s">
        <v>11</v>
      </c>
      <c r="G508" s="30">
        <v>24</v>
      </c>
      <c r="H508" s="28" t="s">
        <v>56</v>
      </c>
      <c r="I508" s="30">
        <v>2064.02</v>
      </c>
      <c r="J508" s="28" t="s">
        <v>821</v>
      </c>
      <c r="K508" s="28" cm="1">
        <f t="array" ref="K508:L508">VLOOKUP(E508,[2]A023951!D$1:H$1114,{3,5},0)</f>
        <v>-24</v>
      </c>
      <c r="L508" s="28">
        <v>-2123.2800000000002</v>
      </c>
      <c r="M508" s="31">
        <f t="shared" ref="M508:M539" si="16">I508+L508</f>
        <v>-59.260000000000218</v>
      </c>
    </row>
    <row r="509" spans="1:13" x14ac:dyDescent="0.35">
      <c r="A509" s="28" t="s">
        <v>495</v>
      </c>
      <c r="B509" s="32">
        <v>2025</v>
      </c>
      <c r="C509" s="28" t="s">
        <v>499</v>
      </c>
      <c r="D509" s="29">
        <v>45848</v>
      </c>
      <c r="E509" s="28">
        <v>256779415298</v>
      </c>
      <c r="F509" s="28" t="s">
        <v>11</v>
      </c>
      <c r="G509" s="30">
        <v>24</v>
      </c>
      <c r="H509" s="28" t="s">
        <v>56</v>
      </c>
      <c r="I509" s="30">
        <v>2064.02</v>
      </c>
      <c r="J509" s="28" t="s">
        <v>821</v>
      </c>
      <c r="K509" s="28" cm="1">
        <f t="array" ref="K509:L509">VLOOKUP(E509,[2]A023951!D$1:H$1114,{3,5},0)</f>
        <v>-24</v>
      </c>
      <c r="L509" s="28">
        <v>-2123.2800000000002</v>
      </c>
      <c r="M509" s="31">
        <f t="shared" si="16"/>
        <v>-59.260000000000218</v>
      </c>
    </row>
    <row r="510" spans="1:13" x14ac:dyDescent="0.35">
      <c r="A510" s="28" t="s">
        <v>495</v>
      </c>
      <c r="B510" s="32">
        <v>2025</v>
      </c>
      <c r="C510" s="28" t="s">
        <v>499</v>
      </c>
      <c r="D510" s="29">
        <v>45848</v>
      </c>
      <c r="E510" s="28">
        <v>256779415299</v>
      </c>
      <c r="F510" s="28" t="s">
        <v>11</v>
      </c>
      <c r="G510" s="30">
        <v>24</v>
      </c>
      <c r="H510" s="28" t="s">
        <v>56</v>
      </c>
      <c r="I510" s="30">
        <v>2064.02</v>
      </c>
      <c r="J510" s="28" t="s">
        <v>821</v>
      </c>
      <c r="K510" s="28" cm="1">
        <f t="array" ref="K510:L510">VLOOKUP(E510,[2]A023951!D$1:H$1114,{3,5},0)</f>
        <v>-24</v>
      </c>
      <c r="L510" s="28">
        <v>-2123.2800000000002</v>
      </c>
      <c r="M510" s="31">
        <f t="shared" si="16"/>
        <v>-59.260000000000218</v>
      </c>
    </row>
    <row r="511" spans="1:13" x14ac:dyDescent="0.35">
      <c r="A511" s="28" t="s">
        <v>495</v>
      </c>
      <c r="B511" s="32">
        <v>2025</v>
      </c>
      <c r="C511" s="28" t="s">
        <v>499</v>
      </c>
      <c r="D511" s="29">
        <v>45848</v>
      </c>
      <c r="E511" s="28">
        <v>256779415300</v>
      </c>
      <c r="F511" s="28" t="s">
        <v>11</v>
      </c>
      <c r="G511" s="30">
        <v>24</v>
      </c>
      <c r="H511" s="28" t="s">
        <v>56</v>
      </c>
      <c r="I511" s="30">
        <v>2064.02</v>
      </c>
      <c r="J511" s="28" t="s">
        <v>821</v>
      </c>
      <c r="K511" s="28" cm="1">
        <f t="array" ref="K511:L511">VLOOKUP(E511,[2]A023951!D$1:H$1114,{3,5},0)</f>
        <v>-24</v>
      </c>
      <c r="L511" s="28">
        <v>-2123.2800000000002</v>
      </c>
      <c r="M511" s="31">
        <f t="shared" si="16"/>
        <v>-59.260000000000218</v>
      </c>
    </row>
    <row r="512" spans="1:13" x14ac:dyDescent="0.35">
      <c r="A512" s="28" t="s">
        <v>495</v>
      </c>
      <c r="B512" s="32">
        <v>2025</v>
      </c>
      <c r="C512" s="28" t="s">
        <v>499</v>
      </c>
      <c r="D512" s="29">
        <v>45848</v>
      </c>
      <c r="E512" s="28">
        <v>256779415301</v>
      </c>
      <c r="F512" s="28" t="s">
        <v>11</v>
      </c>
      <c r="G512" s="30">
        <v>30</v>
      </c>
      <c r="H512" s="28" t="s">
        <v>56</v>
      </c>
      <c r="I512" s="30">
        <v>2580.02</v>
      </c>
      <c r="J512" s="28" t="s">
        <v>572</v>
      </c>
      <c r="K512" s="28" cm="1">
        <f t="array" ref="K512:L512">VLOOKUP(E512,[2]A023951!D$1:H$1114,{3,5},0)</f>
        <v>-30</v>
      </c>
      <c r="L512" s="28">
        <v>-2654.1</v>
      </c>
      <c r="M512" s="31">
        <f t="shared" si="16"/>
        <v>-74.079999999999927</v>
      </c>
    </row>
    <row r="513" spans="1:13" x14ac:dyDescent="0.35">
      <c r="A513" s="28" t="s">
        <v>495</v>
      </c>
      <c r="B513" s="32">
        <v>2025</v>
      </c>
      <c r="C513" s="28" t="s">
        <v>499</v>
      </c>
      <c r="D513" s="29">
        <v>45848</v>
      </c>
      <c r="E513" s="28">
        <v>256779415302</v>
      </c>
      <c r="F513" s="28" t="s">
        <v>11</v>
      </c>
      <c r="G513" s="30">
        <v>30</v>
      </c>
      <c r="H513" s="28" t="s">
        <v>56</v>
      </c>
      <c r="I513" s="30">
        <v>2580.02</v>
      </c>
      <c r="J513" s="28" t="s">
        <v>564</v>
      </c>
      <c r="K513" s="28" cm="1">
        <f t="array" ref="K513:L513">VLOOKUP(E513,[2]A023951!D$1:H$1114,{3,5},0)</f>
        <v>-30</v>
      </c>
      <c r="L513" s="28">
        <v>-2654.1</v>
      </c>
      <c r="M513" s="31">
        <f t="shared" si="16"/>
        <v>-74.079999999999927</v>
      </c>
    </row>
    <row r="514" spans="1:13" x14ac:dyDescent="0.35">
      <c r="A514" s="28" t="s">
        <v>495</v>
      </c>
      <c r="B514" s="32">
        <v>2025</v>
      </c>
      <c r="C514" s="28" t="s">
        <v>499</v>
      </c>
      <c r="D514" s="29">
        <v>45848</v>
      </c>
      <c r="E514" s="28">
        <v>256779415309</v>
      </c>
      <c r="F514" s="28" t="s">
        <v>11</v>
      </c>
      <c r="G514" s="30">
        <v>30</v>
      </c>
      <c r="H514" s="28" t="s">
        <v>56</v>
      </c>
      <c r="I514" s="30">
        <v>2580.02</v>
      </c>
      <c r="J514" s="28" t="s">
        <v>828</v>
      </c>
      <c r="K514" s="28" cm="1">
        <f t="array" ref="K514:L514">VLOOKUP(E514,[2]A023951!D$1:H$1114,{3,5},0)</f>
        <v>-30</v>
      </c>
      <c r="L514" s="28">
        <v>-2654.1</v>
      </c>
      <c r="M514" s="31">
        <f t="shared" si="16"/>
        <v>-74.079999999999927</v>
      </c>
    </row>
    <row r="515" spans="1:13" x14ac:dyDescent="0.35">
      <c r="A515" s="28" t="s">
        <v>495</v>
      </c>
      <c r="B515" s="32">
        <v>2025</v>
      </c>
      <c r="C515" s="28" t="s">
        <v>499</v>
      </c>
      <c r="D515" s="29">
        <v>45848</v>
      </c>
      <c r="E515" s="28">
        <v>256779415310</v>
      </c>
      <c r="F515" s="28" t="s">
        <v>11</v>
      </c>
      <c r="G515" s="30">
        <v>30</v>
      </c>
      <c r="H515" s="28" t="s">
        <v>56</v>
      </c>
      <c r="I515" s="30">
        <v>2580.02</v>
      </c>
      <c r="J515" s="28" t="s">
        <v>833</v>
      </c>
      <c r="K515" s="28" cm="1">
        <f t="array" ref="K515:L515">VLOOKUP(E515,[2]A023951!D$1:H$1114,{3,5},0)</f>
        <v>-30</v>
      </c>
      <c r="L515" s="28">
        <v>-2654.1</v>
      </c>
      <c r="M515" s="31">
        <f t="shared" si="16"/>
        <v>-74.079999999999927</v>
      </c>
    </row>
    <row r="516" spans="1:13" x14ac:dyDescent="0.35">
      <c r="A516" s="28" t="s">
        <v>495</v>
      </c>
      <c r="B516" s="32">
        <v>2025</v>
      </c>
      <c r="C516" s="28" t="s">
        <v>499</v>
      </c>
      <c r="D516" s="29">
        <v>45848</v>
      </c>
      <c r="E516" s="28">
        <v>256779415311</v>
      </c>
      <c r="F516" s="28" t="s">
        <v>11</v>
      </c>
      <c r="G516" s="30">
        <v>77.48</v>
      </c>
      <c r="H516" s="28" t="s">
        <v>56</v>
      </c>
      <c r="I516" s="30">
        <v>6663.33</v>
      </c>
      <c r="J516" s="28" t="s">
        <v>569</v>
      </c>
      <c r="K516" s="28" cm="1">
        <f t="array" ref="K516:L516">VLOOKUP(E516,[2]A023951!D$1:H$1114,{3,5},0)</f>
        <v>-77.48</v>
      </c>
      <c r="L516" s="28">
        <v>-6854.66</v>
      </c>
      <c r="M516" s="31">
        <f t="shared" si="16"/>
        <v>-191.32999999999993</v>
      </c>
    </row>
    <row r="517" spans="1:13" x14ac:dyDescent="0.35">
      <c r="A517" s="28" t="s">
        <v>495</v>
      </c>
      <c r="B517" s="32">
        <v>2025</v>
      </c>
      <c r="C517" s="28" t="s">
        <v>499</v>
      </c>
      <c r="D517" s="29">
        <v>45848</v>
      </c>
      <c r="E517" s="28">
        <v>256779415312</v>
      </c>
      <c r="F517" s="28" t="s">
        <v>11</v>
      </c>
      <c r="G517" s="30">
        <v>200</v>
      </c>
      <c r="H517" s="28" t="s">
        <v>56</v>
      </c>
      <c r="I517" s="30">
        <v>17200.13</v>
      </c>
      <c r="J517" s="28" t="s">
        <v>619</v>
      </c>
      <c r="K517" s="28" cm="1">
        <f t="array" ref="K517:L517">VLOOKUP(E517,[2]A023951!D$1:H$1114,{3,5},0)</f>
        <v>-200</v>
      </c>
      <c r="L517" s="28">
        <v>-17694</v>
      </c>
      <c r="M517" s="31">
        <f t="shared" si="16"/>
        <v>-493.86999999999898</v>
      </c>
    </row>
    <row r="518" spans="1:13" x14ac:dyDescent="0.35">
      <c r="A518" s="28" t="s">
        <v>495</v>
      </c>
      <c r="B518" s="32">
        <v>2025</v>
      </c>
      <c r="C518" s="28" t="s">
        <v>499</v>
      </c>
      <c r="D518" s="29">
        <v>45848</v>
      </c>
      <c r="E518" s="28">
        <v>256779415313</v>
      </c>
      <c r="F518" s="28" t="s">
        <v>11</v>
      </c>
      <c r="G518" s="30">
        <v>60</v>
      </c>
      <c r="H518" s="28" t="s">
        <v>56</v>
      </c>
      <c r="I518" s="30">
        <v>5160.04</v>
      </c>
      <c r="J518" s="28" t="s">
        <v>834</v>
      </c>
      <c r="K518" s="28" cm="1">
        <f t="array" ref="K518:L518">VLOOKUP(E518,[2]A023951!D$1:H$1114,{3,5},0)</f>
        <v>-60</v>
      </c>
      <c r="L518" s="28">
        <v>-5308.2</v>
      </c>
      <c r="M518" s="31">
        <f t="shared" si="16"/>
        <v>-148.15999999999985</v>
      </c>
    </row>
    <row r="519" spans="1:13" x14ac:dyDescent="0.35">
      <c r="A519" s="28" t="s">
        <v>495</v>
      </c>
      <c r="B519" s="32">
        <v>2025</v>
      </c>
      <c r="C519" s="28" t="s">
        <v>499</v>
      </c>
      <c r="D519" s="29">
        <v>45848</v>
      </c>
      <c r="E519" s="28">
        <v>256779415314</v>
      </c>
      <c r="F519" s="28" t="s">
        <v>11</v>
      </c>
      <c r="G519" s="30">
        <v>179.14</v>
      </c>
      <c r="H519" s="28" t="s">
        <v>56</v>
      </c>
      <c r="I519" s="30">
        <v>15406.16</v>
      </c>
      <c r="J519" s="28" t="s">
        <v>575</v>
      </c>
      <c r="K519" s="28" cm="1">
        <f t="array" ref="K519:L519">VLOOKUP(E519,[2]A023951!D$1:H$1114,{3,5},0)</f>
        <v>-179.14</v>
      </c>
      <c r="L519" s="28">
        <v>-15848.52</v>
      </c>
      <c r="M519" s="31">
        <f t="shared" si="16"/>
        <v>-442.36000000000058</v>
      </c>
    </row>
    <row r="520" spans="1:13" x14ac:dyDescent="0.35">
      <c r="A520" s="28" t="s">
        <v>495</v>
      </c>
      <c r="B520" s="32">
        <v>2025</v>
      </c>
      <c r="C520" s="28" t="s">
        <v>499</v>
      </c>
      <c r="D520" s="29">
        <v>45848</v>
      </c>
      <c r="E520" s="28">
        <v>256779415315</v>
      </c>
      <c r="F520" s="28" t="s">
        <v>11</v>
      </c>
      <c r="G520" s="30">
        <v>120</v>
      </c>
      <c r="H520" s="28" t="s">
        <v>56</v>
      </c>
      <c r="I520" s="30">
        <v>10320.08</v>
      </c>
      <c r="J520" s="28" t="s">
        <v>576</v>
      </c>
      <c r="K520" s="28" cm="1">
        <f t="array" ref="K520:L520">VLOOKUP(E520,[2]A023951!D$1:H$1114,{3,5},0)</f>
        <v>-120</v>
      </c>
      <c r="L520" s="28">
        <v>-10616.4</v>
      </c>
      <c r="M520" s="31">
        <f t="shared" si="16"/>
        <v>-296.31999999999971</v>
      </c>
    </row>
    <row r="521" spans="1:13" x14ac:dyDescent="0.35">
      <c r="A521" s="28" t="s">
        <v>495</v>
      </c>
      <c r="B521" s="32">
        <v>2025</v>
      </c>
      <c r="C521" s="28" t="s">
        <v>499</v>
      </c>
      <c r="D521" s="29">
        <v>45848</v>
      </c>
      <c r="E521" s="28">
        <v>256779415316</v>
      </c>
      <c r="F521" s="28" t="s">
        <v>11</v>
      </c>
      <c r="G521" s="30">
        <v>60</v>
      </c>
      <c r="H521" s="28" t="s">
        <v>56</v>
      </c>
      <c r="I521" s="30">
        <v>5160.04</v>
      </c>
      <c r="J521" s="28" t="s">
        <v>577</v>
      </c>
      <c r="K521" s="28" cm="1">
        <f t="array" ref="K521:L521">VLOOKUP(E521,[2]A023951!D$1:H$1114,{3,5},0)</f>
        <v>-60</v>
      </c>
      <c r="L521" s="28">
        <v>-5308.2</v>
      </c>
      <c r="M521" s="31">
        <f t="shared" si="16"/>
        <v>-148.15999999999985</v>
      </c>
    </row>
    <row r="522" spans="1:13" x14ac:dyDescent="0.35">
      <c r="A522" s="28" t="s">
        <v>495</v>
      </c>
      <c r="B522" s="32">
        <v>2025</v>
      </c>
      <c r="C522" s="28" t="s">
        <v>499</v>
      </c>
      <c r="D522" s="29">
        <v>45848</v>
      </c>
      <c r="E522" s="28">
        <v>256779415317</v>
      </c>
      <c r="F522" s="28" t="s">
        <v>11</v>
      </c>
      <c r="G522" s="30">
        <v>200</v>
      </c>
      <c r="H522" s="28" t="s">
        <v>56</v>
      </c>
      <c r="I522" s="30">
        <v>17200.13</v>
      </c>
      <c r="J522" s="28" t="s">
        <v>578</v>
      </c>
      <c r="K522" s="28" cm="1">
        <f t="array" ref="K522:L522">VLOOKUP(E522,[2]A023951!D$1:H$1114,{3,5},0)</f>
        <v>-200</v>
      </c>
      <c r="L522" s="28">
        <v>-17694</v>
      </c>
      <c r="M522" s="31">
        <f t="shared" si="16"/>
        <v>-493.86999999999898</v>
      </c>
    </row>
    <row r="523" spans="1:13" x14ac:dyDescent="0.35">
      <c r="A523" s="28" t="s">
        <v>495</v>
      </c>
      <c r="B523" s="32">
        <v>2025</v>
      </c>
      <c r="C523" s="28" t="s">
        <v>499</v>
      </c>
      <c r="D523" s="29">
        <v>45848</v>
      </c>
      <c r="E523" s="28">
        <v>256779415318</v>
      </c>
      <c r="F523" s="28" t="s">
        <v>11</v>
      </c>
      <c r="G523" s="30">
        <v>254.65</v>
      </c>
      <c r="H523" s="28" t="s">
        <v>56</v>
      </c>
      <c r="I523" s="30">
        <v>21900.07</v>
      </c>
      <c r="J523" s="28" t="s">
        <v>581</v>
      </c>
      <c r="K523" s="28" cm="1">
        <f t="array" ref="K523:L523">VLOOKUP(E523,[2]A023951!D$1:H$1114,{3,5},0)</f>
        <v>-254.65</v>
      </c>
      <c r="L523" s="28">
        <v>-22528.89</v>
      </c>
      <c r="M523" s="31">
        <f t="shared" si="16"/>
        <v>-628.81999999999971</v>
      </c>
    </row>
    <row r="524" spans="1:13" x14ac:dyDescent="0.35">
      <c r="A524" s="28" t="s">
        <v>495</v>
      </c>
      <c r="B524" s="32">
        <v>2025</v>
      </c>
      <c r="C524" s="28" t="s">
        <v>499</v>
      </c>
      <c r="D524" s="29">
        <v>45848</v>
      </c>
      <c r="E524" s="28">
        <v>256779415319</v>
      </c>
      <c r="F524" s="28" t="s">
        <v>11</v>
      </c>
      <c r="G524" s="30">
        <v>140.16999999999999</v>
      </c>
      <c r="H524" s="28" t="s">
        <v>56</v>
      </c>
      <c r="I524" s="30">
        <v>12054.71</v>
      </c>
      <c r="J524" s="28" t="s">
        <v>564</v>
      </c>
      <c r="K524" s="28" cm="1">
        <f t="array" ref="K524:L524">VLOOKUP(E524,[2]A023951!D$1:H$1114,{3,5},0)</f>
        <v>-140.16999999999999</v>
      </c>
      <c r="L524" s="28">
        <v>-12400.84</v>
      </c>
      <c r="M524" s="31">
        <f t="shared" si="16"/>
        <v>-346.13000000000102</v>
      </c>
    </row>
    <row r="525" spans="1:13" x14ac:dyDescent="0.35">
      <c r="A525" s="28" t="s">
        <v>495</v>
      </c>
      <c r="B525" s="32">
        <v>2025</v>
      </c>
      <c r="C525" s="28" t="s">
        <v>499</v>
      </c>
      <c r="D525" s="29">
        <v>45848</v>
      </c>
      <c r="E525" s="28">
        <v>256779415320</v>
      </c>
      <c r="F525" s="28" t="s">
        <v>11</v>
      </c>
      <c r="G525" s="30">
        <v>12.5</v>
      </c>
      <c r="H525" s="28" t="s">
        <v>56</v>
      </c>
      <c r="I525" s="30">
        <v>1075.01</v>
      </c>
      <c r="J525" s="28" t="s">
        <v>569</v>
      </c>
      <c r="K525" s="28" cm="1">
        <f t="array" ref="K525:L525">VLOOKUP(E525,[2]A023951!D$1:H$1114,{3,5},0)</f>
        <v>-12.5</v>
      </c>
      <c r="L525" s="28">
        <v>-1105.8800000000001</v>
      </c>
      <c r="M525" s="31">
        <f t="shared" si="16"/>
        <v>-30.870000000000118</v>
      </c>
    </row>
    <row r="526" spans="1:13" x14ac:dyDescent="0.35">
      <c r="A526" s="28" t="s">
        <v>495</v>
      </c>
      <c r="B526" s="32">
        <v>2025</v>
      </c>
      <c r="C526" s="28" t="s">
        <v>499</v>
      </c>
      <c r="D526" s="29">
        <v>45848</v>
      </c>
      <c r="E526" s="28">
        <v>256779415322</v>
      </c>
      <c r="F526" s="28" t="s">
        <v>11</v>
      </c>
      <c r="G526" s="30">
        <v>192</v>
      </c>
      <c r="H526" s="28" t="s">
        <v>56</v>
      </c>
      <c r="I526" s="30">
        <v>16512.13</v>
      </c>
      <c r="J526" s="28" t="s">
        <v>571</v>
      </c>
      <c r="K526" s="28" cm="1">
        <f t="array" ref="K526:L526">VLOOKUP(E526,[2]A023951!D$1:H$1114,{3,5},0)</f>
        <v>-192</v>
      </c>
      <c r="L526" s="28">
        <v>-16986.240000000002</v>
      </c>
      <c r="M526" s="31">
        <f t="shared" si="16"/>
        <v>-474.11000000000058</v>
      </c>
    </row>
    <row r="527" spans="1:13" x14ac:dyDescent="0.35">
      <c r="A527" s="28" t="s">
        <v>495</v>
      </c>
      <c r="B527" s="32">
        <v>2025</v>
      </c>
      <c r="C527" s="28" t="s">
        <v>499</v>
      </c>
      <c r="D527" s="29">
        <v>45848</v>
      </c>
      <c r="E527" s="28">
        <v>256779415323</v>
      </c>
      <c r="F527" s="28" t="s">
        <v>11</v>
      </c>
      <c r="G527" s="30">
        <v>211.75</v>
      </c>
      <c r="H527" s="28" t="s">
        <v>56</v>
      </c>
      <c r="I527" s="30">
        <v>18210.64</v>
      </c>
      <c r="J527" s="28" t="s">
        <v>573</v>
      </c>
      <c r="K527" s="28" cm="1">
        <f t="array" ref="K527:L527">VLOOKUP(E527,[2]A023951!D$1:H$1114,{3,5},0)</f>
        <v>-211.75</v>
      </c>
      <c r="L527" s="28">
        <v>-18733.52</v>
      </c>
      <c r="M527" s="31">
        <f t="shared" si="16"/>
        <v>-522.88000000000102</v>
      </c>
    </row>
    <row r="528" spans="1:13" x14ac:dyDescent="0.35">
      <c r="A528" s="28" t="s">
        <v>495</v>
      </c>
      <c r="B528" s="32">
        <v>2025</v>
      </c>
      <c r="C528" s="28" t="s">
        <v>499</v>
      </c>
      <c r="D528" s="29">
        <v>45848</v>
      </c>
      <c r="E528" s="28">
        <v>256779415324</v>
      </c>
      <c r="F528" s="28" t="s">
        <v>11</v>
      </c>
      <c r="G528" s="30">
        <v>146.65</v>
      </c>
      <c r="H528" s="28" t="s">
        <v>56</v>
      </c>
      <c r="I528" s="30">
        <v>12612</v>
      </c>
      <c r="J528" s="28" t="s">
        <v>569</v>
      </c>
      <c r="K528" s="28" cm="1">
        <f t="array" ref="K528:L528">VLOOKUP(E528,[2]A023951!D$1:H$1114,{3,5},0)</f>
        <v>-146.65</v>
      </c>
      <c r="L528" s="28">
        <v>-12974.13</v>
      </c>
      <c r="M528" s="31">
        <f t="shared" si="16"/>
        <v>-362.1299999999992</v>
      </c>
    </row>
    <row r="529" spans="1:13" x14ac:dyDescent="0.35">
      <c r="A529" s="28" t="s">
        <v>495</v>
      </c>
      <c r="B529" s="32">
        <v>2025</v>
      </c>
      <c r="C529" s="28" t="s">
        <v>499</v>
      </c>
      <c r="D529" s="29">
        <v>45848</v>
      </c>
      <c r="E529" s="28">
        <v>256779415325</v>
      </c>
      <c r="F529" s="28" t="s">
        <v>11</v>
      </c>
      <c r="G529" s="30">
        <v>192</v>
      </c>
      <c r="H529" s="28" t="s">
        <v>56</v>
      </c>
      <c r="I529" s="30">
        <v>16512.13</v>
      </c>
      <c r="J529" s="28" t="s">
        <v>574</v>
      </c>
      <c r="K529" s="28" cm="1">
        <f t="array" ref="K529:L529">VLOOKUP(E529,[2]A023951!D$1:H$1114,{3,5},0)</f>
        <v>-192</v>
      </c>
      <c r="L529" s="28">
        <v>-16986.240000000002</v>
      </c>
      <c r="M529" s="31">
        <f t="shared" si="16"/>
        <v>-474.11000000000058</v>
      </c>
    </row>
    <row r="530" spans="1:13" x14ac:dyDescent="0.35">
      <c r="A530" s="28" t="s">
        <v>495</v>
      </c>
      <c r="B530" s="32">
        <v>2025</v>
      </c>
      <c r="C530" s="28" t="s">
        <v>499</v>
      </c>
      <c r="D530" s="29">
        <v>45848</v>
      </c>
      <c r="E530" s="28">
        <v>256779415326</v>
      </c>
      <c r="F530" s="28" t="s">
        <v>11</v>
      </c>
      <c r="G530" s="30">
        <v>185.05</v>
      </c>
      <c r="H530" s="28" t="s">
        <v>56</v>
      </c>
      <c r="I530" s="30">
        <v>15914.42</v>
      </c>
      <c r="J530" s="28" t="s">
        <v>565</v>
      </c>
      <c r="K530" s="28" cm="1">
        <f t="array" ref="K530:L530">VLOOKUP(E530,[2]A023951!D$1:H$1114,{3,5},0)</f>
        <v>-185.05</v>
      </c>
      <c r="L530" s="28">
        <v>-16371.37</v>
      </c>
      <c r="M530" s="31">
        <f t="shared" si="16"/>
        <v>-456.95000000000073</v>
      </c>
    </row>
    <row r="531" spans="1:13" x14ac:dyDescent="0.35">
      <c r="A531" s="28" t="s">
        <v>495</v>
      </c>
      <c r="B531" s="32">
        <v>2025</v>
      </c>
      <c r="C531" s="28" t="s">
        <v>499</v>
      </c>
      <c r="D531" s="29">
        <v>45848</v>
      </c>
      <c r="E531" s="28">
        <v>256779415327</v>
      </c>
      <c r="F531" s="28" t="s">
        <v>11</v>
      </c>
      <c r="G531" s="30">
        <v>20</v>
      </c>
      <c r="H531" s="28" t="s">
        <v>56</v>
      </c>
      <c r="I531" s="30">
        <v>1720.01</v>
      </c>
      <c r="J531" s="28" t="s">
        <v>564</v>
      </c>
      <c r="K531" s="28" cm="1">
        <f t="array" ref="K531:L531">VLOOKUP(E531,[2]A023951!D$1:H$1114,{3,5},0)</f>
        <v>-20</v>
      </c>
      <c r="L531" s="28">
        <v>-1769.4</v>
      </c>
      <c r="M531" s="31">
        <f t="shared" si="16"/>
        <v>-49.3900000000001</v>
      </c>
    </row>
    <row r="532" spans="1:13" x14ac:dyDescent="0.35">
      <c r="A532" s="28" t="s">
        <v>495</v>
      </c>
      <c r="B532" s="32">
        <v>2025</v>
      </c>
      <c r="C532" s="28" t="s">
        <v>499</v>
      </c>
      <c r="D532" s="29">
        <v>45848</v>
      </c>
      <c r="E532" s="28">
        <v>256779415328</v>
      </c>
      <c r="F532" s="28" t="s">
        <v>11</v>
      </c>
      <c r="G532" s="30">
        <v>22.5</v>
      </c>
      <c r="H532" s="28" t="s">
        <v>56</v>
      </c>
      <c r="I532" s="30">
        <v>1935.02</v>
      </c>
      <c r="J532" s="28" t="s">
        <v>564</v>
      </c>
      <c r="K532" s="28" cm="1">
        <f t="array" ref="K532:L532">VLOOKUP(E532,[2]A023951!D$1:H$1114,{3,5},0)</f>
        <v>-22.5</v>
      </c>
      <c r="L532" s="28">
        <v>-1990.58</v>
      </c>
      <c r="M532" s="31">
        <f t="shared" si="16"/>
        <v>-55.559999999999945</v>
      </c>
    </row>
    <row r="533" spans="1:13" x14ac:dyDescent="0.35">
      <c r="A533" s="28" t="s">
        <v>495</v>
      </c>
      <c r="B533" s="32">
        <v>2025</v>
      </c>
      <c r="C533" s="28" t="s">
        <v>499</v>
      </c>
      <c r="D533" s="29">
        <v>45848</v>
      </c>
      <c r="E533" s="28">
        <v>256779415329</v>
      </c>
      <c r="F533" s="28" t="s">
        <v>11</v>
      </c>
      <c r="G533" s="30">
        <v>27.5</v>
      </c>
      <c r="H533" s="28" t="s">
        <v>56</v>
      </c>
      <c r="I533" s="30">
        <v>2365.02</v>
      </c>
      <c r="J533" s="28" t="s">
        <v>564</v>
      </c>
      <c r="K533" s="28" cm="1">
        <f t="array" ref="K533:L533">VLOOKUP(E533,[2]A023951!D$1:H$1114,{3,5},0)</f>
        <v>-27.5</v>
      </c>
      <c r="L533" s="28">
        <v>-2432.9299999999998</v>
      </c>
      <c r="M533" s="31">
        <f t="shared" si="16"/>
        <v>-67.909999999999854</v>
      </c>
    </row>
    <row r="534" spans="1:13" x14ac:dyDescent="0.35">
      <c r="A534" s="28" t="s">
        <v>495</v>
      </c>
      <c r="B534" s="32">
        <v>2025</v>
      </c>
      <c r="C534" s="28" t="s">
        <v>499</v>
      </c>
      <c r="D534" s="29">
        <v>45848</v>
      </c>
      <c r="E534" s="28">
        <v>256779415330</v>
      </c>
      <c r="F534" s="28" t="s">
        <v>11</v>
      </c>
      <c r="G534" s="30">
        <v>22.5</v>
      </c>
      <c r="H534" s="28" t="s">
        <v>56</v>
      </c>
      <c r="I534" s="30">
        <v>1935.02</v>
      </c>
      <c r="J534" s="28" t="s">
        <v>564</v>
      </c>
      <c r="K534" s="28" cm="1">
        <f t="array" ref="K534:L534">VLOOKUP(E534,[2]A023951!D$1:H$1114,{3,5},0)</f>
        <v>-22.5</v>
      </c>
      <c r="L534" s="28">
        <v>-1990.58</v>
      </c>
      <c r="M534" s="31">
        <f t="shared" si="16"/>
        <v>-55.559999999999945</v>
      </c>
    </row>
    <row r="535" spans="1:13" x14ac:dyDescent="0.35">
      <c r="A535" s="28" t="s">
        <v>495</v>
      </c>
      <c r="B535" s="32">
        <v>2025</v>
      </c>
      <c r="C535" s="28" t="s">
        <v>499</v>
      </c>
      <c r="D535" s="29">
        <v>45848</v>
      </c>
      <c r="E535" s="28">
        <v>256779415331</v>
      </c>
      <c r="F535" s="28" t="s">
        <v>11</v>
      </c>
      <c r="G535" s="30">
        <v>22.5</v>
      </c>
      <c r="H535" s="28" t="s">
        <v>56</v>
      </c>
      <c r="I535" s="30">
        <v>1935.02</v>
      </c>
      <c r="J535" s="28" t="s">
        <v>564</v>
      </c>
      <c r="K535" s="28" cm="1">
        <f t="array" ref="K535:L535">VLOOKUP(E535,[2]A023951!D$1:H$1114,{3,5},0)</f>
        <v>-22.5</v>
      </c>
      <c r="L535" s="28">
        <v>-1990.58</v>
      </c>
      <c r="M535" s="31">
        <f t="shared" si="16"/>
        <v>-55.559999999999945</v>
      </c>
    </row>
    <row r="536" spans="1:13" x14ac:dyDescent="0.35">
      <c r="A536" s="28" t="s">
        <v>495</v>
      </c>
      <c r="B536" s="32">
        <v>2025</v>
      </c>
      <c r="C536" s="28" t="s">
        <v>499</v>
      </c>
      <c r="D536" s="29">
        <v>45848</v>
      </c>
      <c r="E536" s="28">
        <v>256779415332</v>
      </c>
      <c r="F536" s="28" t="s">
        <v>11</v>
      </c>
      <c r="G536" s="30">
        <v>2.5</v>
      </c>
      <c r="H536" s="28" t="s">
        <v>56</v>
      </c>
      <c r="I536" s="30">
        <v>215</v>
      </c>
      <c r="J536" s="28" t="s">
        <v>564</v>
      </c>
      <c r="K536" s="28" cm="1">
        <f t="array" ref="K536:L536">VLOOKUP(E536,[2]A023951!D$1:H$1114,{3,5},0)</f>
        <v>-2.5</v>
      </c>
      <c r="L536" s="28">
        <v>-221.18</v>
      </c>
      <c r="M536" s="31">
        <f t="shared" si="16"/>
        <v>-6.1800000000000068</v>
      </c>
    </row>
    <row r="537" spans="1:13" x14ac:dyDescent="0.35">
      <c r="A537" s="28" t="s">
        <v>495</v>
      </c>
      <c r="B537" s="32">
        <v>2025</v>
      </c>
      <c r="C537" s="28" t="s">
        <v>499</v>
      </c>
      <c r="D537" s="29">
        <v>45848</v>
      </c>
      <c r="E537" s="28">
        <v>256779415333</v>
      </c>
      <c r="F537" s="28" t="s">
        <v>11</v>
      </c>
      <c r="G537" s="30">
        <v>22.5</v>
      </c>
      <c r="H537" s="28" t="s">
        <v>56</v>
      </c>
      <c r="I537" s="30">
        <v>1935.02</v>
      </c>
      <c r="J537" s="28" t="s">
        <v>791</v>
      </c>
      <c r="K537" s="28" cm="1">
        <f t="array" ref="K537:L537">VLOOKUP(E537,[2]A023951!D$1:H$1114,{3,5},0)</f>
        <v>-22.5</v>
      </c>
      <c r="L537" s="28">
        <v>-1990.58</v>
      </c>
      <c r="M537" s="31">
        <f t="shared" si="16"/>
        <v>-55.559999999999945</v>
      </c>
    </row>
    <row r="538" spans="1:13" x14ac:dyDescent="0.35">
      <c r="A538" s="28" t="s">
        <v>495</v>
      </c>
      <c r="B538" s="32">
        <v>2025</v>
      </c>
      <c r="C538" s="28" t="s">
        <v>499</v>
      </c>
      <c r="D538" s="29">
        <v>45848</v>
      </c>
      <c r="E538" s="28">
        <v>256779415334</v>
      </c>
      <c r="F538" s="28" t="s">
        <v>11</v>
      </c>
      <c r="G538" s="30">
        <v>22.5</v>
      </c>
      <c r="H538" s="28" t="s">
        <v>56</v>
      </c>
      <c r="I538" s="30">
        <v>1935.02</v>
      </c>
      <c r="J538" s="28" t="s">
        <v>791</v>
      </c>
      <c r="K538" s="28" cm="1">
        <f t="array" ref="K538:L538">VLOOKUP(E538,[2]A023951!D$1:H$1114,{3,5},0)</f>
        <v>-22.5</v>
      </c>
      <c r="L538" s="28">
        <v>-1990.58</v>
      </c>
      <c r="M538" s="31">
        <f t="shared" si="16"/>
        <v>-55.559999999999945</v>
      </c>
    </row>
    <row r="539" spans="1:13" x14ac:dyDescent="0.35">
      <c r="A539" s="28" t="s">
        <v>495</v>
      </c>
      <c r="B539" s="32">
        <v>2025</v>
      </c>
      <c r="C539" s="28" t="s">
        <v>499</v>
      </c>
      <c r="D539" s="29">
        <v>45848</v>
      </c>
      <c r="E539" s="28">
        <v>256779415335</v>
      </c>
      <c r="F539" s="28" t="s">
        <v>11</v>
      </c>
      <c r="G539" s="30">
        <v>25</v>
      </c>
      <c r="H539" s="28" t="s">
        <v>56</v>
      </c>
      <c r="I539" s="30">
        <v>2150.02</v>
      </c>
      <c r="J539" s="28" t="s">
        <v>791</v>
      </c>
      <c r="K539" s="28" cm="1">
        <f t="array" ref="K539:L539">VLOOKUP(E539,[2]A023951!D$1:H$1114,{3,5},0)</f>
        <v>-25</v>
      </c>
      <c r="L539" s="28">
        <v>-2211.75</v>
      </c>
      <c r="M539" s="31">
        <f t="shared" si="16"/>
        <v>-61.730000000000018</v>
      </c>
    </row>
    <row r="540" spans="1:13" x14ac:dyDescent="0.35">
      <c r="A540" s="28" t="s">
        <v>495</v>
      </c>
      <c r="B540" s="32">
        <v>2025</v>
      </c>
      <c r="C540" s="28" t="s">
        <v>499</v>
      </c>
      <c r="D540" s="29">
        <v>45848</v>
      </c>
      <c r="E540" s="28">
        <v>256779415337</v>
      </c>
      <c r="F540" s="28" t="s">
        <v>11</v>
      </c>
      <c r="G540" s="30">
        <v>17.5</v>
      </c>
      <c r="H540" s="28" t="s">
        <v>56</v>
      </c>
      <c r="I540" s="30">
        <v>1505.01</v>
      </c>
      <c r="J540" s="28" t="s">
        <v>791</v>
      </c>
      <c r="K540" s="28" cm="1">
        <f t="array" ref="K540:L540">VLOOKUP(E540,[2]A023951!D$1:H$1114,{3,5},0)</f>
        <v>-17.5</v>
      </c>
      <c r="L540" s="28">
        <v>-1548.23</v>
      </c>
      <c r="M540" s="31">
        <f t="shared" ref="M540:M564" si="17">I540+L540</f>
        <v>-43.220000000000027</v>
      </c>
    </row>
    <row r="541" spans="1:13" x14ac:dyDescent="0.35">
      <c r="A541" s="28" t="s">
        <v>495</v>
      </c>
      <c r="B541" s="32">
        <v>2025</v>
      </c>
      <c r="C541" s="28" t="s">
        <v>499</v>
      </c>
      <c r="D541" s="29">
        <v>45848</v>
      </c>
      <c r="E541" s="28">
        <v>256779415338</v>
      </c>
      <c r="F541" s="28" t="s">
        <v>11</v>
      </c>
      <c r="G541" s="30">
        <v>12.5</v>
      </c>
      <c r="H541" s="28" t="s">
        <v>56</v>
      </c>
      <c r="I541" s="30">
        <v>1075.01</v>
      </c>
      <c r="J541" s="28" t="s">
        <v>791</v>
      </c>
      <c r="K541" s="28" cm="1">
        <f t="array" ref="K541:L541">VLOOKUP(E541,[2]A023951!D$1:H$1114,{3,5},0)</f>
        <v>-12.5</v>
      </c>
      <c r="L541" s="28">
        <v>-1105.8800000000001</v>
      </c>
      <c r="M541" s="31">
        <f t="shared" si="17"/>
        <v>-30.870000000000118</v>
      </c>
    </row>
    <row r="542" spans="1:13" x14ac:dyDescent="0.35">
      <c r="A542" s="28" t="s">
        <v>495</v>
      </c>
      <c r="B542" s="32">
        <v>2025</v>
      </c>
      <c r="C542" s="28" t="s">
        <v>499</v>
      </c>
      <c r="D542" s="29">
        <v>45848</v>
      </c>
      <c r="E542" s="28">
        <v>256779415340</v>
      </c>
      <c r="F542" s="28" t="s">
        <v>11</v>
      </c>
      <c r="G542" s="30">
        <v>25.84</v>
      </c>
      <c r="H542" s="28" t="s">
        <v>56</v>
      </c>
      <c r="I542" s="30">
        <v>2222.2600000000002</v>
      </c>
      <c r="J542" s="28" t="s">
        <v>791</v>
      </c>
      <c r="K542" s="28" cm="1">
        <f t="array" ref="K542:L542">VLOOKUP(E542,[2]A023951!D$1:H$1114,{3,5},0)</f>
        <v>-25.84</v>
      </c>
      <c r="L542" s="28">
        <v>-2286.06</v>
      </c>
      <c r="M542" s="31">
        <f t="shared" si="17"/>
        <v>-63.799999999999727</v>
      </c>
    </row>
    <row r="543" spans="1:13" x14ac:dyDescent="0.35">
      <c r="A543" s="28" t="s">
        <v>495</v>
      </c>
      <c r="B543" s="32">
        <v>2025</v>
      </c>
      <c r="C543" s="28" t="s">
        <v>499</v>
      </c>
      <c r="D543" s="29">
        <v>45848</v>
      </c>
      <c r="E543" s="28">
        <v>256779415341</v>
      </c>
      <c r="F543" s="28" t="s">
        <v>11</v>
      </c>
      <c r="G543" s="30">
        <v>15</v>
      </c>
      <c r="H543" s="28" t="s">
        <v>56</v>
      </c>
      <c r="I543" s="30">
        <v>1290.01</v>
      </c>
      <c r="J543" s="28" t="s">
        <v>791</v>
      </c>
      <c r="K543" s="28" cm="1">
        <f t="array" ref="K543:L543">VLOOKUP(E543,[2]A023951!D$1:H$1114,{3,5},0)</f>
        <v>-15</v>
      </c>
      <c r="L543" s="28">
        <v>-1327.05</v>
      </c>
      <c r="M543" s="31">
        <f t="shared" si="17"/>
        <v>-37.039999999999964</v>
      </c>
    </row>
    <row r="544" spans="1:13" x14ac:dyDescent="0.35">
      <c r="A544" s="28" t="s">
        <v>495</v>
      </c>
      <c r="B544" s="32">
        <v>2025</v>
      </c>
      <c r="C544" s="28" t="s">
        <v>499</v>
      </c>
      <c r="D544" s="29">
        <v>45848</v>
      </c>
      <c r="E544" s="28">
        <v>256779415342</v>
      </c>
      <c r="F544" s="28" t="s">
        <v>11</v>
      </c>
      <c r="G544" s="30">
        <v>2.5</v>
      </c>
      <c r="H544" s="28" t="s">
        <v>56</v>
      </c>
      <c r="I544" s="30">
        <v>215</v>
      </c>
      <c r="J544" s="28" t="s">
        <v>791</v>
      </c>
      <c r="K544" s="28" cm="1">
        <f t="array" ref="K544:L544">VLOOKUP(E544,[2]A023951!D$1:H$1114,{3,5},0)</f>
        <v>-2.5</v>
      </c>
      <c r="L544" s="28">
        <v>-221.18</v>
      </c>
      <c r="M544" s="31">
        <f t="shared" si="17"/>
        <v>-6.1800000000000068</v>
      </c>
    </row>
    <row r="545" spans="1:13" x14ac:dyDescent="0.35">
      <c r="A545" s="28" t="s">
        <v>495</v>
      </c>
      <c r="B545" s="32">
        <v>2025</v>
      </c>
      <c r="C545" s="28" t="s">
        <v>499</v>
      </c>
      <c r="D545" s="29">
        <v>45848</v>
      </c>
      <c r="E545" s="28">
        <v>256779415343</v>
      </c>
      <c r="F545" s="28" t="s">
        <v>11</v>
      </c>
      <c r="G545" s="30">
        <v>1</v>
      </c>
      <c r="H545" s="28" t="s">
        <v>56</v>
      </c>
      <c r="I545" s="30">
        <v>86</v>
      </c>
      <c r="J545" s="28" t="s">
        <v>835</v>
      </c>
      <c r="K545" s="28" cm="1">
        <f t="array" ref="K545:L545">VLOOKUP(E545,[2]A023951!D$1:H$1114,{3,5},0)</f>
        <v>-1</v>
      </c>
      <c r="L545" s="28">
        <v>-88.47</v>
      </c>
      <c r="M545" s="31">
        <f t="shared" si="17"/>
        <v>-2.4699999999999989</v>
      </c>
    </row>
    <row r="546" spans="1:13" x14ac:dyDescent="0.35">
      <c r="A546" s="28" t="s">
        <v>495</v>
      </c>
      <c r="B546" s="32">
        <v>2025</v>
      </c>
      <c r="C546" s="28" t="s">
        <v>499</v>
      </c>
      <c r="D546" s="29">
        <v>45848</v>
      </c>
      <c r="E546" s="28">
        <v>256779415344</v>
      </c>
      <c r="F546" s="28" t="s">
        <v>11</v>
      </c>
      <c r="G546" s="30">
        <v>25</v>
      </c>
      <c r="H546" s="28" t="s">
        <v>56</v>
      </c>
      <c r="I546" s="30">
        <v>2150.02</v>
      </c>
      <c r="J546" s="28" t="s">
        <v>790</v>
      </c>
      <c r="K546" s="28" cm="1">
        <f t="array" ref="K546:L546">VLOOKUP(E546,[2]A023951!D$1:H$1114,{3,5},0)</f>
        <v>-25</v>
      </c>
      <c r="L546" s="28">
        <v>-2211.75</v>
      </c>
      <c r="M546" s="31">
        <f t="shared" si="17"/>
        <v>-61.730000000000018</v>
      </c>
    </row>
    <row r="547" spans="1:13" x14ac:dyDescent="0.35">
      <c r="A547" s="28" t="s">
        <v>495</v>
      </c>
      <c r="B547" s="32">
        <v>2025</v>
      </c>
      <c r="C547" s="28" t="s">
        <v>499</v>
      </c>
      <c r="D547" s="29">
        <v>45848</v>
      </c>
      <c r="E547" s="28">
        <v>256779415345</v>
      </c>
      <c r="F547" s="28" t="s">
        <v>11</v>
      </c>
      <c r="G547" s="30">
        <v>25</v>
      </c>
      <c r="H547" s="28" t="s">
        <v>56</v>
      </c>
      <c r="I547" s="30">
        <v>2150.02</v>
      </c>
      <c r="J547" s="28" t="s">
        <v>790</v>
      </c>
      <c r="K547" s="28" cm="1">
        <f t="array" ref="K547:L547">VLOOKUP(E547,[2]A023951!D$1:H$1114,{3,5},0)</f>
        <v>-25</v>
      </c>
      <c r="L547" s="28">
        <v>-2211.75</v>
      </c>
      <c r="M547" s="31">
        <f t="shared" si="17"/>
        <v>-61.730000000000018</v>
      </c>
    </row>
    <row r="548" spans="1:13" x14ac:dyDescent="0.35">
      <c r="A548" s="28" t="s">
        <v>495</v>
      </c>
      <c r="B548" s="32">
        <v>2025</v>
      </c>
      <c r="C548" s="28" t="s">
        <v>499</v>
      </c>
      <c r="D548" s="29">
        <v>45848</v>
      </c>
      <c r="E548" s="28">
        <v>256779415346</v>
      </c>
      <c r="F548" s="28" t="s">
        <v>11</v>
      </c>
      <c r="G548" s="30">
        <v>17.5</v>
      </c>
      <c r="H548" s="28" t="s">
        <v>56</v>
      </c>
      <c r="I548" s="30">
        <v>1505.01</v>
      </c>
      <c r="J548" s="28" t="s">
        <v>790</v>
      </c>
      <c r="K548" s="28" cm="1">
        <f t="array" ref="K548:L548">VLOOKUP(E548,[2]A023951!D$1:H$1114,{3,5},0)</f>
        <v>-17.5</v>
      </c>
      <c r="L548" s="28">
        <v>-1548.23</v>
      </c>
      <c r="M548" s="31">
        <f t="shared" si="17"/>
        <v>-43.220000000000027</v>
      </c>
    </row>
    <row r="549" spans="1:13" x14ac:dyDescent="0.35">
      <c r="A549" s="28" t="s">
        <v>495</v>
      </c>
      <c r="B549" s="32">
        <v>2025</v>
      </c>
      <c r="C549" s="28" t="s">
        <v>499</v>
      </c>
      <c r="D549" s="29">
        <v>45848</v>
      </c>
      <c r="E549" s="28">
        <v>256779415347</v>
      </c>
      <c r="F549" s="28" t="s">
        <v>11</v>
      </c>
      <c r="G549" s="30">
        <v>20</v>
      </c>
      <c r="H549" s="28" t="s">
        <v>56</v>
      </c>
      <c r="I549" s="30">
        <v>1720.01</v>
      </c>
      <c r="J549" s="28" t="s">
        <v>790</v>
      </c>
      <c r="K549" s="28" cm="1">
        <f t="array" ref="K549:L549">VLOOKUP(E549,[2]A023951!D$1:H$1114,{3,5},0)</f>
        <v>-20</v>
      </c>
      <c r="L549" s="28">
        <v>-1769.4</v>
      </c>
      <c r="M549" s="31">
        <f t="shared" si="17"/>
        <v>-49.3900000000001</v>
      </c>
    </row>
    <row r="550" spans="1:13" x14ac:dyDescent="0.35">
      <c r="A550" s="28" t="s">
        <v>495</v>
      </c>
      <c r="B550" s="32">
        <v>2025</v>
      </c>
      <c r="C550" s="28" t="s">
        <v>499</v>
      </c>
      <c r="D550" s="29">
        <v>45848</v>
      </c>
      <c r="E550" s="28">
        <v>256779415348</v>
      </c>
      <c r="F550" s="28" t="s">
        <v>11</v>
      </c>
      <c r="G550" s="30">
        <v>7.5</v>
      </c>
      <c r="H550" s="28" t="s">
        <v>56</v>
      </c>
      <c r="I550" s="30">
        <v>645.01</v>
      </c>
      <c r="J550" s="28" t="s">
        <v>790</v>
      </c>
      <c r="K550" s="28" cm="1">
        <f t="array" ref="K550:L550">VLOOKUP(E550,[2]A023951!D$1:H$1114,{3,5},0)</f>
        <v>-7.5</v>
      </c>
      <c r="L550" s="28">
        <v>-663.53</v>
      </c>
      <c r="M550" s="31">
        <f t="shared" si="17"/>
        <v>-18.519999999999982</v>
      </c>
    </row>
    <row r="551" spans="1:13" x14ac:dyDescent="0.35">
      <c r="A551" s="28" t="s">
        <v>495</v>
      </c>
      <c r="B551" s="32">
        <v>2025</v>
      </c>
      <c r="C551" s="28" t="s">
        <v>499</v>
      </c>
      <c r="D551" s="29">
        <v>45848</v>
      </c>
      <c r="E551" s="28">
        <v>256779415349</v>
      </c>
      <c r="F551" s="28" t="s">
        <v>11</v>
      </c>
      <c r="G551" s="30">
        <v>27.5</v>
      </c>
      <c r="H551" s="28" t="s">
        <v>56</v>
      </c>
      <c r="I551" s="30">
        <v>2365.02</v>
      </c>
      <c r="J551" s="28" t="s">
        <v>790</v>
      </c>
      <c r="K551" s="28" cm="1">
        <f t="array" ref="K551:L551">VLOOKUP(E551,[2]A023951!D$1:H$1114,{3,5},0)</f>
        <v>-27.5</v>
      </c>
      <c r="L551" s="28">
        <v>-2432.9299999999998</v>
      </c>
      <c r="M551" s="31">
        <f t="shared" si="17"/>
        <v>-67.909999999999854</v>
      </c>
    </row>
    <row r="552" spans="1:13" x14ac:dyDescent="0.35">
      <c r="A552" s="28" t="s">
        <v>495</v>
      </c>
      <c r="B552" s="32">
        <v>2025</v>
      </c>
      <c r="C552" s="28" t="s">
        <v>499</v>
      </c>
      <c r="D552" s="29">
        <v>45848</v>
      </c>
      <c r="E552" s="28">
        <v>256779415350</v>
      </c>
      <c r="F552" s="28" t="s">
        <v>11</v>
      </c>
      <c r="G552" s="30">
        <v>22.5</v>
      </c>
      <c r="H552" s="28" t="s">
        <v>56</v>
      </c>
      <c r="I552" s="30">
        <v>1935.02</v>
      </c>
      <c r="J552" s="28" t="s">
        <v>790</v>
      </c>
      <c r="K552" s="28" cm="1">
        <f t="array" ref="K552:L552">VLOOKUP(E552,[2]A023951!D$1:H$1114,{3,5},0)</f>
        <v>-22.5</v>
      </c>
      <c r="L552" s="28">
        <v>-1990.58</v>
      </c>
      <c r="M552" s="31">
        <f t="shared" si="17"/>
        <v>-55.559999999999945</v>
      </c>
    </row>
    <row r="553" spans="1:13" x14ac:dyDescent="0.35">
      <c r="A553" s="28" t="s">
        <v>495</v>
      </c>
      <c r="B553" s="32">
        <v>2025</v>
      </c>
      <c r="C553" s="28" t="s">
        <v>499</v>
      </c>
      <c r="D553" s="29">
        <v>45848</v>
      </c>
      <c r="E553" s="28">
        <v>256779415351</v>
      </c>
      <c r="F553" s="28" t="s">
        <v>11</v>
      </c>
      <c r="G553" s="30">
        <v>17.03</v>
      </c>
      <c r="H553" s="28" t="s">
        <v>56</v>
      </c>
      <c r="I553" s="30">
        <v>1464.59</v>
      </c>
      <c r="J553" s="28" t="s">
        <v>646</v>
      </c>
      <c r="K553" s="28" cm="1">
        <f t="array" ref="K553:L553">VLOOKUP(E553,[2]A023951!D$1:H$1114,{3,5},0)</f>
        <v>-17.03</v>
      </c>
      <c r="L553" s="28">
        <v>-1464.4</v>
      </c>
      <c r="M553" s="31">
        <f t="shared" si="17"/>
        <v>0.1899999999998272</v>
      </c>
    </row>
    <row r="554" spans="1:13" x14ac:dyDescent="0.35">
      <c r="A554" s="28" t="s">
        <v>495</v>
      </c>
      <c r="B554" s="32">
        <v>2025</v>
      </c>
      <c r="C554" s="28" t="s">
        <v>499</v>
      </c>
      <c r="D554" s="29">
        <v>45848</v>
      </c>
      <c r="E554" s="28">
        <v>256779415352</v>
      </c>
      <c r="F554" s="28" t="s">
        <v>11</v>
      </c>
      <c r="G554" s="30">
        <v>155.91999999999999</v>
      </c>
      <c r="H554" s="28" t="s">
        <v>56</v>
      </c>
      <c r="I554" s="30">
        <v>13409.22</v>
      </c>
      <c r="J554" s="28" t="s">
        <v>618</v>
      </c>
      <c r="K554" s="28" cm="1">
        <f t="array" ref="K554:L554">VLOOKUP(E554,[2]A023951!D$1:H$1114,{3,5},0)</f>
        <v>-155.91999999999999</v>
      </c>
      <c r="L554" s="28">
        <v>-13794.24</v>
      </c>
      <c r="M554" s="31">
        <f t="shared" si="17"/>
        <v>-385.02000000000044</v>
      </c>
    </row>
    <row r="555" spans="1:13" x14ac:dyDescent="0.35">
      <c r="A555" s="28" t="s">
        <v>495</v>
      </c>
      <c r="B555" s="32">
        <v>2025</v>
      </c>
      <c r="C555" s="28" t="s">
        <v>499</v>
      </c>
      <c r="D555" s="29">
        <v>45848</v>
      </c>
      <c r="E555" s="28">
        <v>256779415353</v>
      </c>
      <c r="F555" s="28" t="s">
        <v>11</v>
      </c>
      <c r="G555" s="30">
        <v>200</v>
      </c>
      <c r="H555" s="28" t="s">
        <v>56</v>
      </c>
      <c r="I555" s="30">
        <v>17200.13</v>
      </c>
      <c r="J555" s="28" t="s">
        <v>619</v>
      </c>
      <c r="K555" s="28" cm="1">
        <f t="array" ref="K555:L555">VLOOKUP(E555,[2]A023951!D$1:H$1114,{3,5},0)</f>
        <v>-200</v>
      </c>
      <c r="L555" s="28">
        <v>-17694</v>
      </c>
      <c r="M555" s="31">
        <f t="shared" si="17"/>
        <v>-493.86999999999898</v>
      </c>
    </row>
    <row r="556" spans="1:13" x14ac:dyDescent="0.35">
      <c r="A556" s="28" t="s">
        <v>495</v>
      </c>
      <c r="B556" s="32">
        <v>2025</v>
      </c>
      <c r="C556" s="28" t="s">
        <v>499</v>
      </c>
      <c r="D556" s="29">
        <v>45848</v>
      </c>
      <c r="E556" s="28">
        <v>256779415354</v>
      </c>
      <c r="F556" s="28" t="s">
        <v>11</v>
      </c>
      <c r="G556" s="30">
        <v>60</v>
      </c>
      <c r="H556" s="28" t="s">
        <v>56</v>
      </c>
      <c r="I556" s="30">
        <v>5160.04</v>
      </c>
      <c r="J556" s="28" t="s">
        <v>620</v>
      </c>
      <c r="K556" s="28" cm="1">
        <f t="array" ref="K556:L556">VLOOKUP(E556,[2]A023951!D$1:H$1114,{3,5},0)</f>
        <v>-60</v>
      </c>
      <c r="L556" s="28">
        <v>-5308.2</v>
      </c>
      <c r="M556" s="31">
        <f t="shared" si="17"/>
        <v>-148.15999999999985</v>
      </c>
    </row>
    <row r="557" spans="1:13" x14ac:dyDescent="0.35">
      <c r="A557" s="28" t="s">
        <v>495</v>
      </c>
      <c r="B557" s="32">
        <v>2025</v>
      </c>
      <c r="C557" s="28" t="s">
        <v>499</v>
      </c>
      <c r="D557" s="29">
        <v>45848</v>
      </c>
      <c r="E557" s="28">
        <v>256779415355</v>
      </c>
      <c r="F557" s="28" t="s">
        <v>11</v>
      </c>
      <c r="G557" s="30">
        <v>21.37</v>
      </c>
      <c r="H557" s="28" t="s">
        <v>56</v>
      </c>
      <c r="I557" s="30">
        <v>1837.83</v>
      </c>
      <c r="J557" s="28" t="s">
        <v>616</v>
      </c>
      <c r="K557" s="28" cm="1">
        <f t="array" ref="K557:L557">VLOOKUP(E557,[2]A023951!D$1:H$1114,{3,5},0)</f>
        <v>-21.37</v>
      </c>
      <c r="L557" s="28">
        <v>-1890.6</v>
      </c>
      <c r="M557" s="31">
        <f t="shared" si="17"/>
        <v>-52.769999999999982</v>
      </c>
    </row>
    <row r="558" spans="1:13" x14ac:dyDescent="0.35">
      <c r="A558" s="28" t="s">
        <v>495</v>
      </c>
      <c r="B558" s="32">
        <v>2025</v>
      </c>
      <c r="C558" s="28" t="s">
        <v>499</v>
      </c>
      <c r="D558" s="29">
        <v>45848</v>
      </c>
      <c r="E558" s="28">
        <v>256779415356</v>
      </c>
      <c r="F558" s="28" t="s">
        <v>11</v>
      </c>
      <c r="G558" s="30">
        <v>72</v>
      </c>
      <c r="H558" s="28" t="s">
        <v>56</v>
      </c>
      <c r="I558" s="30">
        <v>6192.05</v>
      </c>
      <c r="J558" s="28" t="s">
        <v>617</v>
      </c>
      <c r="K558" s="28" cm="1">
        <f t="array" ref="K558:L558">VLOOKUP(E558,[2]A023951!D$1:H$1114,{3,5},0)</f>
        <v>-72</v>
      </c>
      <c r="L558" s="28">
        <v>-6369.84</v>
      </c>
      <c r="M558" s="31">
        <f t="shared" si="17"/>
        <v>-177.78999999999996</v>
      </c>
    </row>
    <row r="559" spans="1:13" x14ac:dyDescent="0.35">
      <c r="A559" s="28" t="s">
        <v>495</v>
      </c>
      <c r="B559" s="32">
        <v>2025</v>
      </c>
      <c r="C559" s="28" t="s">
        <v>499</v>
      </c>
      <c r="D559" s="29">
        <v>45848</v>
      </c>
      <c r="E559" s="28">
        <v>256779415357</v>
      </c>
      <c r="F559" s="28" t="s">
        <v>11</v>
      </c>
      <c r="G559" s="30">
        <v>207.27</v>
      </c>
      <c r="H559" s="28" t="s">
        <v>56</v>
      </c>
      <c r="I559" s="30">
        <v>17825.36</v>
      </c>
      <c r="J559" s="28" t="s">
        <v>652</v>
      </c>
      <c r="K559" s="28" cm="1">
        <f t="array" ref="K559:L559">VLOOKUP(E559,[2]A023951!D$1:H$1114,{3,5},0)</f>
        <v>-207.27</v>
      </c>
      <c r="L559" s="28">
        <v>-18337.18</v>
      </c>
      <c r="M559" s="31">
        <f t="shared" si="17"/>
        <v>-511.81999999999971</v>
      </c>
    </row>
    <row r="560" spans="1:13" x14ac:dyDescent="0.35">
      <c r="A560" s="28" t="s">
        <v>495</v>
      </c>
      <c r="B560" s="32">
        <v>2025</v>
      </c>
      <c r="C560" s="28" t="s">
        <v>499</v>
      </c>
      <c r="D560" s="29">
        <v>45848</v>
      </c>
      <c r="E560" s="28">
        <v>256779415358</v>
      </c>
      <c r="F560" s="28" t="s">
        <v>11</v>
      </c>
      <c r="G560" s="30">
        <v>96</v>
      </c>
      <c r="H560" s="28" t="s">
        <v>56</v>
      </c>
      <c r="I560" s="30">
        <v>8256.06</v>
      </c>
      <c r="J560" s="28" t="s">
        <v>836</v>
      </c>
      <c r="K560" s="28" cm="1">
        <f t="array" ref="K560:L560">VLOOKUP(E560,[2]A023951!D$1:H$1114,{3,5},0)</f>
        <v>-96</v>
      </c>
      <c r="L560" s="28">
        <v>-8493.1200000000008</v>
      </c>
      <c r="M560" s="31">
        <f t="shared" si="17"/>
        <v>-237.06000000000131</v>
      </c>
    </row>
    <row r="561" spans="1:13" x14ac:dyDescent="0.35">
      <c r="A561" s="28" t="s">
        <v>495</v>
      </c>
      <c r="B561" s="32">
        <v>2025</v>
      </c>
      <c r="C561" s="28" t="s">
        <v>499</v>
      </c>
      <c r="D561" s="29">
        <v>45848</v>
      </c>
      <c r="E561" s="28">
        <v>256779415359</v>
      </c>
      <c r="F561" s="28" t="s">
        <v>11</v>
      </c>
      <c r="G561" s="30">
        <v>200</v>
      </c>
      <c r="H561" s="28" t="s">
        <v>56</v>
      </c>
      <c r="I561" s="30">
        <v>17200.13</v>
      </c>
      <c r="J561" s="28" t="s">
        <v>837</v>
      </c>
      <c r="K561" s="28" cm="1">
        <f t="array" ref="K561:L561">VLOOKUP(E561,[2]A023951!D$1:H$1114,{3,5},0)</f>
        <v>-200</v>
      </c>
      <c r="L561" s="28">
        <v>-17694</v>
      </c>
      <c r="M561" s="31">
        <f t="shared" si="17"/>
        <v>-493.86999999999898</v>
      </c>
    </row>
    <row r="562" spans="1:13" x14ac:dyDescent="0.35">
      <c r="A562" s="28" t="s">
        <v>495</v>
      </c>
      <c r="B562" s="32">
        <v>2025</v>
      </c>
      <c r="C562" s="28" t="s">
        <v>499</v>
      </c>
      <c r="D562" s="29">
        <v>45848</v>
      </c>
      <c r="E562" s="28">
        <v>256779415360</v>
      </c>
      <c r="F562" s="28" t="s">
        <v>11</v>
      </c>
      <c r="G562" s="30">
        <v>60</v>
      </c>
      <c r="H562" s="28" t="s">
        <v>56</v>
      </c>
      <c r="I562" s="30">
        <v>5160.04</v>
      </c>
      <c r="J562" s="28" t="s">
        <v>838</v>
      </c>
      <c r="K562" s="28" cm="1">
        <f t="array" ref="K562:L562">VLOOKUP(E562,[2]A023951!D$1:H$1114,{3,5},0)</f>
        <v>-60</v>
      </c>
      <c r="L562" s="28">
        <v>-5308.2</v>
      </c>
      <c r="M562" s="31">
        <f t="shared" si="17"/>
        <v>-148.15999999999985</v>
      </c>
    </row>
    <row r="563" spans="1:13" x14ac:dyDescent="0.35">
      <c r="A563" s="28" t="s">
        <v>495</v>
      </c>
      <c r="B563" s="32">
        <v>2025</v>
      </c>
      <c r="C563" s="28" t="s">
        <v>499</v>
      </c>
      <c r="D563" s="29">
        <v>45848</v>
      </c>
      <c r="E563" s="28">
        <v>256779415361</v>
      </c>
      <c r="F563" s="28" t="s">
        <v>11</v>
      </c>
      <c r="G563" s="30">
        <v>67.5</v>
      </c>
      <c r="H563" s="28" t="s">
        <v>56</v>
      </c>
      <c r="I563" s="30">
        <v>5805.05</v>
      </c>
      <c r="J563" s="28" t="s">
        <v>653</v>
      </c>
      <c r="K563" s="28" cm="1">
        <f t="array" ref="K563:L563">VLOOKUP(E563,[2]A023951!D$1:H$1114,{3,5},0)</f>
        <v>-67.5</v>
      </c>
      <c r="L563" s="28">
        <v>-5971.73</v>
      </c>
      <c r="M563" s="31">
        <f t="shared" si="17"/>
        <v>-166.67999999999938</v>
      </c>
    </row>
    <row r="564" spans="1:13" x14ac:dyDescent="0.35">
      <c r="A564" s="28" t="s">
        <v>495</v>
      </c>
      <c r="B564" s="32">
        <v>2025</v>
      </c>
      <c r="C564" s="28" t="s">
        <v>499</v>
      </c>
      <c r="D564" s="29">
        <v>45848</v>
      </c>
      <c r="E564" s="28">
        <v>256779415362</v>
      </c>
      <c r="F564" s="28" t="s">
        <v>11</v>
      </c>
      <c r="G564" s="30">
        <v>3</v>
      </c>
      <c r="H564" s="28" t="s">
        <v>56</v>
      </c>
      <c r="I564" s="30">
        <v>258</v>
      </c>
      <c r="J564" s="28" t="s">
        <v>839</v>
      </c>
      <c r="K564" s="28" cm="1">
        <f t="array" ref="K564:L564">VLOOKUP(E564,[2]A023951!D$1:H$1114,{3,5},0)</f>
        <v>-3</v>
      </c>
      <c r="L564" s="28">
        <v>-265.41000000000003</v>
      </c>
      <c r="M564" s="31">
        <f t="shared" si="17"/>
        <v>-7.410000000000025</v>
      </c>
    </row>
    <row r="565" spans="1:13" x14ac:dyDescent="0.35">
      <c r="A565" s="28" t="s">
        <v>495</v>
      </c>
      <c r="B565" s="32">
        <v>2025</v>
      </c>
      <c r="C565" s="28" t="s">
        <v>499</v>
      </c>
      <c r="D565" s="29">
        <v>45848</v>
      </c>
      <c r="E565" s="28">
        <v>256779415363</v>
      </c>
      <c r="F565" s="28" t="s">
        <v>11</v>
      </c>
      <c r="G565" s="30">
        <v>3</v>
      </c>
      <c r="H565" s="28" t="s">
        <v>56</v>
      </c>
      <c r="I565" s="30">
        <v>258</v>
      </c>
      <c r="J565" s="28" t="s">
        <v>839</v>
      </c>
      <c r="K565" s="28" t="e" cm="1">
        <f t="array" ref="K565">VLOOKUP(E565,[2]A023951!D$1:H$1114,{3,5},0)</f>
        <v>#N/A</v>
      </c>
      <c r="L565" s="28"/>
      <c r="M565" s="28"/>
    </row>
    <row r="566" spans="1:13" x14ac:dyDescent="0.35">
      <c r="A566" s="28" t="s">
        <v>495</v>
      </c>
      <c r="B566" s="32">
        <v>2025</v>
      </c>
      <c r="C566" s="28" t="s">
        <v>697</v>
      </c>
      <c r="D566" s="29">
        <v>45861</v>
      </c>
      <c r="E566" s="28" t="s">
        <v>497</v>
      </c>
      <c r="F566" s="28" t="s">
        <v>11</v>
      </c>
      <c r="G566" s="30">
        <v>0</v>
      </c>
      <c r="H566" s="28" t="s">
        <v>56</v>
      </c>
      <c r="I566" s="30">
        <v>0</v>
      </c>
      <c r="J566" s="28" t="s">
        <v>497</v>
      </c>
      <c r="K566" s="28" t="e" cm="1">
        <f t="array" ref="K566">VLOOKUP(E566,[2]A023951!D$1:H$1114,{3,5},0)</f>
        <v>#N/A</v>
      </c>
      <c r="L566" s="28"/>
      <c r="M566" s="28"/>
    </row>
    <row r="567" spans="1:13" x14ac:dyDescent="0.35">
      <c r="A567" s="28" t="s">
        <v>495</v>
      </c>
      <c r="B567" s="32">
        <v>2025</v>
      </c>
      <c r="C567" s="28" t="s">
        <v>697</v>
      </c>
      <c r="D567" s="29">
        <v>45861</v>
      </c>
      <c r="E567" s="28" t="s">
        <v>497</v>
      </c>
      <c r="F567" s="28" t="s">
        <v>11</v>
      </c>
      <c r="G567" s="30">
        <v>0</v>
      </c>
      <c r="H567" s="28" t="s">
        <v>56</v>
      </c>
      <c r="I567" s="30">
        <v>0</v>
      </c>
      <c r="J567" s="28" t="s">
        <v>497</v>
      </c>
      <c r="K567" s="28" t="e" cm="1">
        <f t="array" ref="K567">VLOOKUP(E567,[2]A023951!D$1:H$1114,{3,5},0)</f>
        <v>#N/A</v>
      </c>
      <c r="L567" s="28"/>
      <c r="M567" s="28"/>
    </row>
    <row r="568" spans="1:13" x14ac:dyDescent="0.35">
      <c r="A568" s="28" t="s">
        <v>495</v>
      </c>
      <c r="B568" s="32">
        <v>2025</v>
      </c>
      <c r="C568" s="28" t="s">
        <v>697</v>
      </c>
      <c r="D568" s="29">
        <v>45861</v>
      </c>
      <c r="E568" s="28" t="s">
        <v>497</v>
      </c>
      <c r="F568" s="28" t="s">
        <v>11</v>
      </c>
      <c r="G568" s="30">
        <v>0</v>
      </c>
      <c r="H568" s="28" t="s">
        <v>56</v>
      </c>
      <c r="I568" s="30">
        <v>0</v>
      </c>
      <c r="J568" s="28" t="s">
        <v>497</v>
      </c>
      <c r="K568" s="28" t="e" cm="1">
        <f t="array" ref="K568">VLOOKUP(E568,[2]A023951!D$1:H$1114,{3,5},0)</f>
        <v>#N/A</v>
      </c>
      <c r="L568" s="28"/>
      <c r="M568" s="28"/>
    </row>
    <row r="569" spans="1:13" x14ac:dyDescent="0.35">
      <c r="A569" s="28" t="s">
        <v>495</v>
      </c>
      <c r="B569" s="32">
        <v>2025</v>
      </c>
      <c r="C569" s="28" t="s">
        <v>697</v>
      </c>
      <c r="D569" s="29">
        <v>45861</v>
      </c>
      <c r="E569" s="28" t="s">
        <v>497</v>
      </c>
      <c r="F569" s="28" t="s">
        <v>11</v>
      </c>
      <c r="G569" s="30">
        <v>0</v>
      </c>
      <c r="H569" s="28" t="s">
        <v>56</v>
      </c>
      <c r="I569" s="30">
        <v>0</v>
      </c>
      <c r="J569" s="28" t="s">
        <v>497</v>
      </c>
      <c r="K569" s="28" t="e" cm="1">
        <f t="array" ref="K569">VLOOKUP(E569,[2]A023951!D$1:H$1114,{3,5},0)</f>
        <v>#N/A</v>
      </c>
      <c r="L569" s="28"/>
      <c r="M569" s="28"/>
    </row>
    <row r="570" spans="1:13" x14ac:dyDescent="0.35">
      <c r="A570" s="28" t="s">
        <v>495</v>
      </c>
      <c r="B570" s="32">
        <v>2025</v>
      </c>
      <c r="C570" s="28" t="s">
        <v>697</v>
      </c>
      <c r="D570" s="29">
        <v>45861</v>
      </c>
      <c r="E570" s="28" t="s">
        <v>497</v>
      </c>
      <c r="F570" s="28" t="s">
        <v>11</v>
      </c>
      <c r="G570" s="30">
        <v>0</v>
      </c>
      <c r="H570" s="28" t="s">
        <v>56</v>
      </c>
      <c r="I570" s="30">
        <v>0</v>
      </c>
      <c r="J570" s="28" t="s">
        <v>497</v>
      </c>
      <c r="K570" s="28" t="e" cm="1">
        <f t="array" ref="K570">VLOOKUP(E570,[2]A023951!D$1:H$1114,{3,5},0)</f>
        <v>#N/A</v>
      </c>
      <c r="L570" s="28"/>
      <c r="M570" s="28"/>
    </row>
    <row r="571" spans="1:13" x14ac:dyDescent="0.35">
      <c r="A571" s="28" t="s">
        <v>495</v>
      </c>
      <c r="B571" s="32">
        <v>2025</v>
      </c>
      <c r="C571" s="28" t="s">
        <v>697</v>
      </c>
      <c r="D571" s="29">
        <v>45861</v>
      </c>
      <c r="E571" s="28" t="s">
        <v>497</v>
      </c>
      <c r="F571" s="28" t="s">
        <v>11</v>
      </c>
      <c r="G571" s="30">
        <v>0</v>
      </c>
      <c r="H571" s="28" t="s">
        <v>56</v>
      </c>
      <c r="I571" s="30">
        <v>0</v>
      </c>
      <c r="J571" s="28" t="s">
        <v>497</v>
      </c>
      <c r="K571" s="28" t="e" cm="1">
        <f t="array" ref="K571">VLOOKUP(E571,[2]A023951!D$1:H$1114,{3,5},0)</f>
        <v>#N/A</v>
      </c>
      <c r="L571" s="28"/>
      <c r="M571" s="28"/>
    </row>
    <row r="572" spans="1:13" x14ac:dyDescent="0.35">
      <c r="A572" s="28" t="s">
        <v>495</v>
      </c>
      <c r="B572" s="32">
        <v>2025</v>
      </c>
      <c r="C572" s="28" t="s">
        <v>697</v>
      </c>
      <c r="D572" s="29">
        <v>45861</v>
      </c>
      <c r="E572" s="28" t="s">
        <v>497</v>
      </c>
      <c r="F572" s="28" t="s">
        <v>11</v>
      </c>
      <c r="G572" s="30">
        <v>0</v>
      </c>
      <c r="H572" s="28" t="s">
        <v>56</v>
      </c>
      <c r="I572" s="30">
        <v>0</v>
      </c>
      <c r="J572" s="28" t="s">
        <v>497</v>
      </c>
      <c r="K572" s="28" t="e" cm="1">
        <f t="array" ref="K572">VLOOKUP(E572,[2]A023951!D$1:H$1114,{3,5},0)</f>
        <v>#N/A</v>
      </c>
      <c r="L572" s="28"/>
      <c r="M572" s="28"/>
    </row>
    <row r="573" spans="1:13" x14ac:dyDescent="0.35">
      <c r="A573" s="28" t="s">
        <v>495</v>
      </c>
      <c r="B573" s="32">
        <v>2025</v>
      </c>
      <c r="C573" s="28" t="s">
        <v>840</v>
      </c>
      <c r="D573" s="29">
        <v>45758</v>
      </c>
      <c r="E573" s="28" t="s">
        <v>497</v>
      </c>
      <c r="F573" s="28" t="s">
        <v>56</v>
      </c>
      <c r="G573" s="30">
        <v>1</v>
      </c>
      <c r="H573" s="28" t="s">
        <v>56</v>
      </c>
      <c r="I573" s="30">
        <v>1</v>
      </c>
      <c r="J573" s="28" t="s">
        <v>841</v>
      </c>
      <c r="K573" s="28" t="e" cm="1">
        <f t="array" ref="K573">VLOOKUP(E573,[2]A023951!D$1:H$1114,{3,5},0)</f>
        <v>#N/A</v>
      </c>
      <c r="L573" s="28"/>
      <c r="M573" s="28"/>
    </row>
    <row r="574" spans="1:13" x14ac:dyDescent="0.35">
      <c r="A574" s="28" t="s">
        <v>495</v>
      </c>
      <c r="B574" s="32">
        <v>2025</v>
      </c>
      <c r="C574" s="28" t="s">
        <v>840</v>
      </c>
      <c r="D574" s="29">
        <v>45758</v>
      </c>
      <c r="E574" s="28" t="s">
        <v>497</v>
      </c>
      <c r="F574" s="28" t="s">
        <v>56</v>
      </c>
      <c r="G574" s="30">
        <v>-1</v>
      </c>
      <c r="H574" s="28" t="s">
        <v>56</v>
      </c>
      <c r="I574" s="30">
        <v>-1</v>
      </c>
      <c r="J574" s="28" t="s">
        <v>841</v>
      </c>
      <c r="K574" s="28" t="e" cm="1">
        <f t="array" ref="K574">VLOOKUP(E574,[2]A023951!D$1:H$1114,{3,5},0)</f>
        <v>#N/A</v>
      </c>
      <c r="L574" s="28"/>
      <c r="M574" s="28"/>
    </row>
    <row r="575" spans="1:13" x14ac:dyDescent="0.35">
      <c r="A575" s="28" t="s">
        <v>495</v>
      </c>
      <c r="B575" s="32">
        <v>2025</v>
      </c>
      <c r="C575" s="28" t="s">
        <v>842</v>
      </c>
      <c r="D575" s="29">
        <v>45902</v>
      </c>
      <c r="E575" s="28" t="s">
        <v>497</v>
      </c>
      <c r="F575" s="28" t="s">
        <v>56</v>
      </c>
      <c r="G575" s="30">
        <v>212521.54</v>
      </c>
      <c r="H575" s="28" t="s">
        <v>56</v>
      </c>
      <c r="I575" s="30">
        <v>208845.74</v>
      </c>
      <c r="J575" s="28" t="s">
        <v>497</v>
      </c>
      <c r="K575" s="28" t="e" cm="1">
        <f t="array" ref="K575">VLOOKUP(E575,[2]A023951!D$1:H$1114,{3,5},0)</f>
        <v>#N/A</v>
      </c>
      <c r="L575" s="28"/>
      <c r="M575" s="28"/>
    </row>
    <row r="576" spans="1:13" x14ac:dyDescent="0.35">
      <c r="A576" s="28" t="s">
        <v>495</v>
      </c>
      <c r="B576" s="32">
        <v>2025</v>
      </c>
      <c r="C576" s="28" t="s">
        <v>842</v>
      </c>
      <c r="D576" s="29">
        <v>45902</v>
      </c>
      <c r="E576" s="28" t="s">
        <v>497</v>
      </c>
      <c r="F576" s="28" t="s">
        <v>56</v>
      </c>
      <c r="G576" s="30">
        <v>-212521.54</v>
      </c>
      <c r="H576" s="28" t="s">
        <v>56</v>
      </c>
      <c r="I576" s="30">
        <v>-207607.52</v>
      </c>
      <c r="J576" s="28" t="s">
        <v>497</v>
      </c>
      <c r="K576" s="28" t="e" cm="1">
        <f t="array" ref="K576">VLOOKUP(E576,[2]A023951!D$1:H$1114,{3,5},0)</f>
        <v>#N/A</v>
      </c>
      <c r="L576" s="28"/>
      <c r="M576" s="28"/>
    </row>
    <row r="577" spans="1:13" x14ac:dyDescent="0.35">
      <c r="A577" s="28" t="s">
        <v>495</v>
      </c>
      <c r="B577" s="32">
        <v>2025</v>
      </c>
      <c r="C577" s="28" t="s">
        <v>697</v>
      </c>
      <c r="D577" s="29">
        <v>45974</v>
      </c>
      <c r="E577" s="28" t="s">
        <v>497</v>
      </c>
      <c r="F577" s="28" t="s">
        <v>11</v>
      </c>
      <c r="G577" s="30">
        <v>4603.4799999999996</v>
      </c>
      <c r="H577" s="28" t="s">
        <v>56</v>
      </c>
      <c r="I577" s="30">
        <v>396450.85</v>
      </c>
      <c r="J577" s="28" t="s">
        <v>497</v>
      </c>
      <c r="K577" s="28" t="e" cm="1">
        <f t="array" ref="K577">VLOOKUP(E577,[2]A023951!D$1:H$1114,{3,5},0)</f>
        <v>#N/A</v>
      </c>
      <c r="L577" s="28"/>
      <c r="M577" s="28"/>
    </row>
    <row r="578" spans="1:13" x14ac:dyDescent="0.35">
      <c r="A578" s="28" t="s">
        <v>495</v>
      </c>
      <c r="B578" s="32">
        <v>2025</v>
      </c>
      <c r="C578" s="28" t="s">
        <v>697</v>
      </c>
      <c r="D578" s="29">
        <v>45974</v>
      </c>
      <c r="E578" s="28" t="s">
        <v>497</v>
      </c>
      <c r="F578" s="28" t="s">
        <v>11</v>
      </c>
      <c r="G578" s="30">
        <v>2.98</v>
      </c>
      <c r="H578" s="28" t="s">
        <v>56</v>
      </c>
      <c r="I578" s="30">
        <v>262.20999999999998</v>
      </c>
      <c r="J578" s="28" t="s">
        <v>497</v>
      </c>
      <c r="K578" s="28" t="e" cm="1">
        <f t="array" ref="K578">VLOOKUP(E578,[2]A023951!D$1:H$1114,{3,5},0)</f>
        <v>#N/A</v>
      </c>
      <c r="L578" s="28"/>
      <c r="M578" s="28"/>
    </row>
    <row r="579" spans="1:13" x14ac:dyDescent="0.35">
      <c r="A579" s="28" t="s">
        <v>495</v>
      </c>
      <c r="B579" s="32">
        <v>2025</v>
      </c>
      <c r="C579" s="28" t="s">
        <v>697</v>
      </c>
      <c r="D579" s="29">
        <v>45974</v>
      </c>
      <c r="E579" s="28" t="s">
        <v>497</v>
      </c>
      <c r="F579" s="28" t="s">
        <v>11</v>
      </c>
      <c r="G579" s="30">
        <v>-2.98</v>
      </c>
      <c r="H579" s="28" t="s">
        <v>56</v>
      </c>
      <c r="I579" s="30">
        <v>-262.20999999999998</v>
      </c>
      <c r="J579" s="28" t="s">
        <v>497</v>
      </c>
      <c r="K579" s="28" t="e" cm="1">
        <f t="array" ref="K579">VLOOKUP(E579,[2]A023951!D$1:H$1114,{3,5},0)</f>
        <v>#N/A</v>
      </c>
      <c r="L579" s="28"/>
      <c r="M579" s="28"/>
    </row>
    <row r="580" spans="1:13" x14ac:dyDescent="0.35">
      <c r="A580" s="28" t="s">
        <v>495</v>
      </c>
      <c r="B580" s="32">
        <v>2025</v>
      </c>
      <c r="C580" s="28" t="s">
        <v>697</v>
      </c>
      <c r="D580" s="29">
        <v>45974</v>
      </c>
      <c r="E580" s="28" t="s">
        <v>497</v>
      </c>
      <c r="F580" s="28" t="s">
        <v>11</v>
      </c>
      <c r="G580" s="30">
        <v>5558.96</v>
      </c>
      <c r="H580" s="28" t="s">
        <v>56</v>
      </c>
      <c r="I580" s="30">
        <v>478086.37</v>
      </c>
      <c r="J580" s="28" t="s">
        <v>497</v>
      </c>
      <c r="K580" s="28" t="e" cm="1">
        <f t="array" ref="K580">VLOOKUP(E580,[2]A023951!D$1:H$1114,{3,5},0)</f>
        <v>#N/A</v>
      </c>
      <c r="L580" s="28"/>
      <c r="M580" s="28"/>
    </row>
    <row r="581" spans="1:13" x14ac:dyDescent="0.35">
      <c r="A581" s="28" t="s">
        <v>495</v>
      </c>
      <c r="B581" s="32">
        <v>2025</v>
      </c>
      <c r="C581" s="28" t="s">
        <v>697</v>
      </c>
      <c r="D581" s="29">
        <v>45974</v>
      </c>
      <c r="E581" s="28" t="s">
        <v>497</v>
      </c>
      <c r="F581" s="28" t="s">
        <v>11</v>
      </c>
      <c r="G581" s="30">
        <v>-3891.99</v>
      </c>
      <c r="H581" s="28" t="s">
        <v>56</v>
      </c>
      <c r="I581" s="30">
        <v>-338298.81</v>
      </c>
      <c r="J581" s="28" t="s">
        <v>497</v>
      </c>
      <c r="K581" s="28" t="e" cm="1">
        <f t="array" ref="K581">VLOOKUP(E581,[2]A023951!D$1:H$1114,{3,5},0)</f>
        <v>#N/A</v>
      </c>
      <c r="L581" s="28"/>
      <c r="M581" s="28"/>
    </row>
    <row r="582" spans="1:13" x14ac:dyDescent="0.35">
      <c r="A582" s="28" t="s">
        <v>495</v>
      </c>
      <c r="B582" s="32">
        <v>2025</v>
      </c>
      <c r="C582" s="28" t="s">
        <v>697</v>
      </c>
      <c r="D582" s="29">
        <v>45974</v>
      </c>
      <c r="E582" s="28" t="s">
        <v>497</v>
      </c>
      <c r="F582" s="28" t="s">
        <v>11</v>
      </c>
      <c r="G582" s="30">
        <v>-6270.45</v>
      </c>
      <c r="H582" s="28" t="s">
        <v>56</v>
      </c>
      <c r="I582" s="30">
        <v>-536832.30000000005</v>
      </c>
      <c r="J582" s="28" t="s">
        <v>497</v>
      </c>
      <c r="K582" s="28" t="e" cm="1">
        <f t="array" ref="K582">VLOOKUP(E582,[2]A023951!D$1:H$1114,{3,5},0)</f>
        <v>#N/A</v>
      </c>
      <c r="L582" s="28"/>
      <c r="M582" s="28"/>
    </row>
    <row r="583" spans="1:13" x14ac:dyDescent="0.35">
      <c r="A583" s="28" t="s">
        <v>495</v>
      </c>
      <c r="B583" s="32">
        <v>2025</v>
      </c>
      <c r="C583" s="28" t="s">
        <v>697</v>
      </c>
      <c r="D583" s="29">
        <v>45974</v>
      </c>
      <c r="E583" s="28" t="s">
        <v>497</v>
      </c>
      <c r="F583" s="28" t="s">
        <v>56</v>
      </c>
      <c r="G583" s="30">
        <v>77508.990000000005</v>
      </c>
      <c r="H583" s="28" t="s">
        <v>56</v>
      </c>
      <c r="I583" s="30">
        <v>75771.03</v>
      </c>
      <c r="J583" s="28" t="s">
        <v>497</v>
      </c>
      <c r="K583" s="28" t="e" cm="1">
        <f t="array" ref="K583">VLOOKUP(E583,[2]A023951!D$1:H$1114,{3,5},0)</f>
        <v>#N/A</v>
      </c>
      <c r="L583" s="28"/>
      <c r="M583" s="28"/>
    </row>
    <row r="584" spans="1:13" x14ac:dyDescent="0.35">
      <c r="A584" s="28" t="s">
        <v>495</v>
      </c>
      <c r="B584" s="32">
        <v>2025</v>
      </c>
      <c r="C584" s="28" t="s">
        <v>697</v>
      </c>
      <c r="D584" s="29">
        <v>45974</v>
      </c>
      <c r="E584" s="28" t="s">
        <v>497</v>
      </c>
      <c r="F584" s="28" t="s">
        <v>56</v>
      </c>
      <c r="G584" s="30">
        <v>-20130.78</v>
      </c>
      <c r="H584" s="28" t="s">
        <v>56</v>
      </c>
      <c r="I584" s="30">
        <v>-20130.78</v>
      </c>
      <c r="J584" s="28" t="s">
        <v>497</v>
      </c>
      <c r="K584" s="28" t="e" cm="1">
        <f t="array" ref="K584">VLOOKUP(E584,[2]A023951!D$1:H$1114,{3,5},0)</f>
        <v>#N/A</v>
      </c>
      <c r="L584" s="28"/>
      <c r="M584" s="28"/>
    </row>
    <row r="585" spans="1:13" x14ac:dyDescent="0.35">
      <c r="A585" s="28" t="s">
        <v>495</v>
      </c>
      <c r="B585" s="32">
        <v>2025</v>
      </c>
      <c r="C585" s="28" t="s">
        <v>697</v>
      </c>
      <c r="D585" s="29">
        <v>45974</v>
      </c>
      <c r="E585" s="28" t="s">
        <v>497</v>
      </c>
      <c r="F585" s="28" t="s">
        <v>56</v>
      </c>
      <c r="G585" s="30">
        <v>-746.27</v>
      </c>
      <c r="H585" s="28" t="s">
        <v>56</v>
      </c>
      <c r="I585" s="30">
        <v>-746.27</v>
      </c>
      <c r="J585" s="28" t="s">
        <v>497</v>
      </c>
      <c r="K585" s="28" t="e" cm="1">
        <f t="array" ref="K585">VLOOKUP(E585,[2]A023951!D$1:H$1114,{3,5},0)</f>
        <v>#N/A</v>
      </c>
      <c r="L585" s="28"/>
      <c r="M585" s="28"/>
    </row>
    <row r="586" spans="1:13" x14ac:dyDescent="0.35">
      <c r="A586" s="28" t="s">
        <v>495</v>
      </c>
      <c r="B586" s="32">
        <v>2025</v>
      </c>
      <c r="C586" s="28" t="s">
        <v>697</v>
      </c>
      <c r="D586" s="29">
        <v>45974</v>
      </c>
      <c r="E586" s="28" t="s">
        <v>497</v>
      </c>
      <c r="F586" s="28" t="s">
        <v>56</v>
      </c>
      <c r="G586" s="30">
        <v>-24772.95</v>
      </c>
      <c r="H586" s="28" t="s">
        <v>56</v>
      </c>
      <c r="I586" s="30">
        <v>-24772.95</v>
      </c>
      <c r="J586" s="28" t="s">
        <v>497</v>
      </c>
      <c r="K586" s="28" t="e" cm="1">
        <f t="array" ref="K586">VLOOKUP(E586,[2]A023951!D$1:H$1114,{3,5},0)</f>
        <v>#N/A</v>
      </c>
      <c r="L586" s="28"/>
      <c r="M586" s="28"/>
    </row>
    <row r="587" spans="1:13" x14ac:dyDescent="0.35">
      <c r="A587" s="28" t="s">
        <v>495</v>
      </c>
      <c r="B587" s="32">
        <v>2025</v>
      </c>
      <c r="C587" s="28" t="s">
        <v>697</v>
      </c>
      <c r="D587" s="29">
        <v>45974</v>
      </c>
      <c r="E587" s="28" t="s">
        <v>497</v>
      </c>
      <c r="F587" s="28" t="s">
        <v>56</v>
      </c>
      <c r="G587" s="30">
        <v>-31858.99</v>
      </c>
      <c r="H587" s="28" t="s">
        <v>56</v>
      </c>
      <c r="I587" s="30">
        <v>-31858.99</v>
      </c>
      <c r="J587" s="28" t="s">
        <v>497</v>
      </c>
      <c r="K587" s="28" t="e" cm="1">
        <f t="array" ref="K587">VLOOKUP(E587,[2]A023951!D$1:H$1114,{3,5},0)</f>
        <v>#N/A</v>
      </c>
      <c r="L587" s="28"/>
      <c r="M587" s="28"/>
    </row>
    <row r="588" spans="1:13" x14ac:dyDescent="0.35">
      <c r="A588" s="28" t="s">
        <v>495</v>
      </c>
      <c r="B588" s="32">
        <v>2025</v>
      </c>
      <c r="C588" s="28" t="s">
        <v>697</v>
      </c>
      <c r="D588" s="29">
        <v>45940</v>
      </c>
      <c r="E588" s="28" t="s">
        <v>497</v>
      </c>
      <c r="F588" s="28" t="s">
        <v>56</v>
      </c>
      <c r="G588" s="30">
        <v>-1746430.23</v>
      </c>
      <c r="H588" s="28" t="s">
        <v>56</v>
      </c>
      <c r="I588" s="30">
        <v>-1746430.23</v>
      </c>
      <c r="J588" s="28" t="s">
        <v>497</v>
      </c>
      <c r="K588" s="28" t="e" cm="1">
        <f t="array" ref="K588">VLOOKUP(E588,[2]A023951!D$1:H$1114,{3,5},0)</f>
        <v>#N/A</v>
      </c>
      <c r="L588" s="28"/>
      <c r="M588" s="28"/>
    </row>
    <row r="589" spans="1:13" x14ac:dyDescent="0.35">
      <c r="A589" s="28" t="s">
        <v>495</v>
      </c>
      <c r="B589" s="32">
        <v>2025</v>
      </c>
      <c r="C589" s="28" t="s">
        <v>697</v>
      </c>
      <c r="D589" s="29">
        <v>45940</v>
      </c>
      <c r="E589" s="28" t="s">
        <v>497</v>
      </c>
      <c r="F589" s="28" t="s">
        <v>56</v>
      </c>
      <c r="G589" s="30">
        <v>-2385233.9500000002</v>
      </c>
      <c r="H589" s="28" t="s">
        <v>56</v>
      </c>
      <c r="I589" s="30">
        <v>-2385233.9500000002</v>
      </c>
      <c r="J589" s="28" t="s">
        <v>497</v>
      </c>
      <c r="K589" s="28" t="e" cm="1">
        <f t="array" ref="K589">VLOOKUP(E589,[2]A023951!D$1:H$1114,{3,5},0)</f>
        <v>#N/A</v>
      </c>
      <c r="L589" s="28"/>
      <c r="M589" s="28"/>
    </row>
    <row r="590" spans="1:13" x14ac:dyDescent="0.35">
      <c r="A590" s="28" t="s">
        <v>495</v>
      </c>
      <c r="B590" s="32">
        <v>2025</v>
      </c>
      <c r="C590" s="28" t="s">
        <v>697</v>
      </c>
      <c r="D590" s="29">
        <v>45958</v>
      </c>
      <c r="E590" s="28" t="s">
        <v>497</v>
      </c>
      <c r="F590" s="28" t="s">
        <v>56</v>
      </c>
      <c r="G590" s="30">
        <v>-1719090.91</v>
      </c>
      <c r="H590" s="28" t="s">
        <v>56</v>
      </c>
      <c r="I590" s="30">
        <v>-1719090.91</v>
      </c>
      <c r="J590" s="28" t="s">
        <v>497</v>
      </c>
      <c r="K590" s="28" t="e" cm="1">
        <f t="array" ref="K590">VLOOKUP(E590,[2]A023951!D$1:H$1114,{3,5},0)</f>
        <v>#N/A</v>
      </c>
      <c r="L590" s="28"/>
      <c r="M590" s="28"/>
    </row>
    <row r="591" spans="1:13" x14ac:dyDescent="0.35">
      <c r="A591" s="28" t="s">
        <v>495</v>
      </c>
      <c r="B591" s="32">
        <v>2025</v>
      </c>
      <c r="C591" s="28" t="s">
        <v>697</v>
      </c>
      <c r="D591" s="29">
        <v>45987</v>
      </c>
      <c r="E591" s="28" t="s">
        <v>497</v>
      </c>
      <c r="F591" s="28" t="s">
        <v>56</v>
      </c>
      <c r="G591" s="30">
        <v>-1917961.25</v>
      </c>
      <c r="H591" s="28" t="s">
        <v>56</v>
      </c>
      <c r="I591" s="30">
        <v>-1917961.25</v>
      </c>
      <c r="J591" s="28" t="s">
        <v>497</v>
      </c>
      <c r="K591" s="28" t="e" cm="1">
        <f t="array" ref="K591">VLOOKUP(E591,[2]A023951!D$1:H$1114,{3,5},0)</f>
        <v>#N/A</v>
      </c>
      <c r="L591" s="28"/>
      <c r="M591" s="28"/>
    </row>
    <row r="592" spans="1:13" x14ac:dyDescent="0.35">
      <c r="A592" s="28" t="s">
        <v>495</v>
      </c>
      <c r="B592" s="32">
        <v>2025</v>
      </c>
      <c r="C592" s="28" t="s">
        <v>843</v>
      </c>
      <c r="D592" s="29">
        <v>45701</v>
      </c>
      <c r="E592" s="28" t="s">
        <v>844</v>
      </c>
      <c r="F592" s="28" t="s">
        <v>56</v>
      </c>
      <c r="G592" s="30">
        <v>1</v>
      </c>
      <c r="H592" s="28" t="s">
        <v>56</v>
      </c>
      <c r="I592" s="30">
        <v>1</v>
      </c>
      <c r="J592" s="28" t="s">
        <v>841</v>
      </c>
      <c r="K592" s="28" t="e" cm="1">
        <f t="array" ref="K592">VLOOKUP(E592,[2]A023951!D$1:H$1114,{3,5},0)</f>
        <v>#N/A</v>
      </c>
      <c r="L592" s="28"/>
      <c r="M592" s="28"/>
    </row>
    <row r="593" spans="1:13" x14ac:dyDescent="0.35">
      <c r="A593" s="28" t="s">
        <v>495</v>
      </c>
      <c r="B593" s="32">
        <v>2025</v>
      </c>
      <c r="C593" s="28" t="s">
        <v>843</v>
      </c>
      <c r="D593" s="29">
        <v>45701</v>
      </c>
      <c r="E593" s="28" t="s">
        <v>845</v>
      </c>
      <c r="F593" s="28" t="s">
        <v>56</v>
      </c>
      <c r="G593" s="30">
        <v>-1</v>
      </c>
      <c r="H593" s="28" t="s">
        <v>56</v>
      </c>
      <c r="I593" s="30">
        <v>-1</v>
      </c>
      <c r="J593" s="28" t="s">
        <v>841</v>
      </c>
      <c r="K593" s="28" t="e" cm="1">
        <f t="array" ref="K593">VLOOKUP(E593,[2]A023951!D$1:H$1114,{3,5},0)</f>
        <v>#N/A</v>
      </c>
      <c r="L593" s="28"/>
      <c r="M593" s="28"/>
    </row>
    <row r="594" spans="1:13" x14ac:dyDescent="0.35">
      <c r="A594" s="28" t="s">
        <v>495</v>
      </c>
      <c r="B594" s="32">
        <v>2025</v>
      </c>
      <c r="C594" s="28" t="s">
        <v>499</v>
      </c>
      <c r="D594" s="29">
        <v>45764</v>
      </c>
      <c r="E594" s="28">
        <v>256779412140</v>
      </c>
      <c r="F594" s="28" t="s">
        <v>56</v>
      </c>
      <c r="G594" s="30">
        <v>262.20999999999998</v>
      </c>
      <c r="H594" s="28" t="s">
        <v>56</v>
      </c>
      <c r="I594" s="30">
        <v>262.20999999999998</v>
      </c>
      <c r="J594" s="28" t="s">
        <v>623</v>
      </c>
      <c r="K594" s="28" t="e" cm="1">
        <f t="array" ref="K594">VLOOKUP(E594,[2]A023951!D$1:H$1114,{3,5},0)</f>
        <v>#N/A</v>
      </c>
      <c r="L594" s="28"/>
      <c r="M594" s="28"/>
    </row>
    <row r="595" spans="1:13" x14ac:dyDescent="0.35">
      <c r="A595" s="28" t="s">
        <v>495</v>
      </c>
      <c r="B595" s="32">
        <v>2025</v>
      </c>
      <c r="C595" s="28" t="s">
        <v>499</v>
      </c>
      <c r="D595" s="29">
        <v>45735</v>
      </c>
      <c r="E595" s="28">
        <v>246779413076</v>
      </c>
      <c r="F595" s="28" t="s">
        <v>11</v>
      </c>
      <c r="G595" s="30">
        <v>466.37</v>
      </c>
      <c r="H595" s="28" t="s">
        <v>56</v>
      </c>
      <c r="I595" s="30">
        <v>40430.199999999997</v>
      </c>
      <c r="J595" s="28" t="s">
        <v>846</v>
      </c>
      <c r="K595" s="28" t="e" cm="1">
        <f t="array" ref="K595">VLOOKUP(E595,[2]A023951!D$1:H$1114,{3,5},0)</f>
        <v>#N/A</v>
      </c>
      <c r="L595" s="28"/>
      <c r="M595" s="28"/>
    </row>
    <row r="596" spans="1:13" x14ac:dyDescent="0.35">
      <c r="A596" s="28" t="s">
        <v>495</v>
      </c>
      <c r="B596" s="32">
        <v>2025</v>
      </c>
      <c r="C596" s="28" t="s">
        <v>499</v>
      </c>
      <c r="D596" s="29">
        <v>45787</v>
      </c>
      <c r="E596" s="28">
        <v>256779413147</v>
      </c>
      <c r="F596" s="28" t="s">
        <v>56</v>
      </c>
      <c r="G596" s="30">
        <v>8000</v>
      </c>
      <c r="H596" s="28" t="s">
        <v>56</v>
      </c>
      <c r="I596" s="30">
        <v>8000</v>
      </c>
      <c r="J596" s="28" t="s">
        <v>847</v>
      </c>
      <c r="K596" s="28" cm="1">
        <f t="array" ref="K596:L596">VLOOKUP(E596,[2]A023951!D$1:H$1114,{3,5},0)</f>
        <v>0</v>
      </c>
      <c r="L596" s="28">
        <v>-8000</v>
      </c>
      <c r="M596" s="31">
        <f t="shared" ref="M596:M620" si="18">I596+L596</f>
        <v>0</v>
      </c>
    </row>
    <row r="597" spans="1:13" x14ac:dyDescent="0.35">
      <c r="A597" s="28" t="s">
        <v>495</v>
      </c>
      <c r="B597" s="32">
        <v>2025</v>
      </c>
      <c r="C597" s="28" t="s">
        <v>499</v>
      </c>
      <c r="D597" s="29">
        <v>45818</v>
      </c>
      <c r="E597" s="28">
        <v>256779414359</v>
      </c>
      <c r="F597" s="28" t="s">
        <v>56</v>
      </c>
      <c r="G597" s="30">
        <v>8000</v>
      </c>
      <c r="H597" s="28" t="s">
        <v>56</v>
      </c>
      <c r="I597" s="30">
        <v>8000</v>
      </c>
      <c r="J597" s="28" t="s">
        <v>848</v>
      </c>
      <c r="K597" s="28" cm="1">
        <f t="array" ref="K597:L597">VLOOKUP(E597,[2]A023951!D$1:H$1114,{3,5},0)</f>
        <v>-93.58</v>
      </c>
      <c r="L597" s="28">
        <v>-7960.3</v>
      </c>
      <c r="M597" s="31">
        <f t="shared" si="18"/>
        <v>39.699999999999818</v>
      </c>
    </row>
    <row r="598" spans="1:13" x14ac:dyDescent="0.35">
      <c r="A598" s="28" t="s">
        <v>495</v>
      </c>
      <c r="B598" s="32">
        <v>2025</v>
      </c>
      <c r="C598" s="28" t="s">
        <v>499</v>
      </c>
      <c r="D598" s="29">
        <v>45842</v>
      </c>
      <c r="E598" s="28">
        <v>256779414917</v>
      </c>
      <c r="F598" s="28" t="s">
        <v>56</v>
      </c>
      <c r="G598" s="30">
        <v>8000</v>
      </c>
      <c r="H598" s="28" t="s">
        <v>56</v>
      </c>
      <c r="I598" s="30">
        <v>8000</v>
      </c>
      <c r="J598" s="28" t="s">
        <v>849</v>
      </c>
      <c r="K598" s="28" cm="1">
        <f t="array" ref="K598:L598">VLOOKUP(E598,[2]A023951!D$1:H$1114,{3,5},0)</f>
        <v>-93.02</v>
      </c>
      <c r="L598" s="28">
        <v>-7998.74</v>
      </c>
      <c r="M598" s="31">
        <f t="shared" si="18"/>
        <v>1.2600000000002183</v>
      </c>
    </row>
    <row r="599" spans="1:13" x14ac:dyDescent="0.35">
      <c r="A599" s="28" t="s">
        <v>495</v>
      </c>
      <c r="B599" s="32">
        <v>2025</v>
      </c>
      <c r="C599" s="28" t="s">
        <v>499</v>
      </c>
      <c r="D599" s="29">
        <v>45870</v>
      </c>
      <c r="E599" s="28">
        <v>256779416029</v>
      </c>
      <c r="F599" s="28" t="s">
        <v>56</v>
      </c>
      <c r="G599" s="30">
        <v>8000</v>
      </c>
      <c r="H599" s="28" t="s">
        <v>56</v>
      </c>
      <c r="I599" s="30">
        <v>8000</v>
      </c>
      <c r="J599" s="28" t="s">
        <v>850</v>
      </c>
      <c r="K599" s="28" cm="1">
        <f t="array" ref="K599:L599">VLOOKUP(E599,[2]A023951!D$1:H$1114,{3,5},0)</f>
        <v>-92.99</v>
      </c>
      <c r="L599" s="28">
        <v>-8055.81</v>
      </c>
      <c r="M599" s="31">
        <f t="shared" si="18"/>
        <v>-55.8100000000004</v>
      </c>
    </row>
    <row r="600" spans="1:13" x14ac:dyDescent="0.35">
      <c r="A600" s="28" t="s">
        <v>495</v>
      </c>
      <c r="B600" s="32">
        <v>2025</v>
      </c>
      <c r="C600" s="28" t="s">
        <v>499</v>
      </c>
      <c r="D600" s="29">
        <v>45904</v>
      </c>
      <c r="E600" s="28">
        <v>256779417349</v>
      </c>
      <c r="F600" s="28" t="s">
        <v>56</v>
      </c>
      <c r="G600" s="30">
        <v>8000</v>
      </c>
      <c r="H600" s="28" t="s">
        <v>56</v>
      </c>
      <c r="I600" s="30">
        <v>8000</v>
      </c>
      <c r="J600" s="28" t="s">
        <v>851</v>
      </c>
      <c r="K600" s="28" cm="1">
        <f t="array" ref="K600:L600">VLOOKUP(E600,[2]A023951!D$1:H$1114,{3,5},0)</f>
        <v>-91.41</v>
      </c>
      <c r="L600" s="28">
        <v>-8012.26</v>
      </c>
      <c r="M600" s="31">
        <f t="shared" si="18"/>
        <v>-12.260000000000218</v>
      </c>
    </row>
    <row r="601" spans="1:13" x14ac:dyDescent="0.35">
      <c r="A601" s="28" t="s">
        <v>495</v>
      </c>
      <c r="B601" s="32">
        <v>2025</v>
      </c>
      <c r="C601" s="28" t="s">
        <v>499</v>
      </c>
      <c r="D601" s="29">
        <v>45935</v>
      </c>
      <c r="E601" s="28">
        <v>256779417876</v>
      </c>
      <c r="F601" s="28" t="s">
        <v>56</v>
      </c>
      <c r="G601" s="30">
        <v>8000</v>
      </c>
      <c r="H601" s="28" t="s">
        <v>56</v>
      </c>
      <c r="I601" s="30">
        <v>8000</v>
      </c>
      <c r="J601" s="28" t="s">
        <v>852</v>
      </c>
      <c r="K601" s="28" cm="1">
        <f t="array" ref="K601:L601">VLOOKUP(E601,[2]A023951!D$1:H$1114,{3,5},0)</f>
        <v>-90.71</v>
      </c>
      <c r="L601" s="28">
        <v>-8042.3</v>
      </c>
      <c r="M601" s="31">
        <f t="shared" si="18"/>
        <v>-42.300000000000182</v>
      </c>
    </row>
    <row r="602" spans="1:13" x14ac:dyDescent="0.35">
      <c r="A602" s="28" t="s">
        <v>495</v>
      </c>
      <c r="B602" s="32">
        <v>2025</v>
      </c>
      <c r="C602" s="28" t="s">
        <v>499</v>
      </c>
      <c r="D602" s="29">
        <v>45966</v>
      </c>
      <c r="E602" s="28">
        <v>256779418778</v>
      </c>
      <c r="F602" s="28" t="s">
        <v>56</v>
      </c>
      <c r="G602" s="30">
        <v>8000</v>
      </c>
      <c r="H602" s="28" t="s">
        <v>56</v>
      </c>
      <c r="I602" s="30">
        <v>8000</v>
      </c>
      <c r="J602" s="28" t="s">
        <v>853</v>
      </c>
      <c r="K602" s="28" cm="1">
        <f t="array" ref="K602:L602">VLOOKUP(E602,[2]A023951!D$1:H$1114,{3,5},0)</f>
        <v>-90.91</v>
      </c>
      <c r="L602" s="28">
        <v>-8023.04</v>
      </c>
      <c r="M602" s="31">
        <f t="shared" si="18"/>
        <v>-23.039999999999964</v>
      </c>
    </row>
    <row r="603" spans="1:13" x14ac:dyDescent="0.35">
      <c r="A603" s="28" t="s">
        <v>495</v>
      </c>
      <c r="B603" s="32">
        <v>2025</v>
      </c>
      <c r="C603" s="28" t="s">
        <v>499</v>
      </c>
      <c r="D603" s="29">
        <v>45995</v>
      </c>
      <c r="E603" s="28">
        <v>256779419971</v>
      </c>
      <c r="F603" s="28" t="s">
        <v>56</v>
      </c>
      <c r="G603" s="30">
        <v>8000</v>
      </c>
      <c r="H603" s="28" t="s">
        <v>56</v>
      </c>
      <c r="I603" s="30">
        <v>8000</v>
      </c>
      <c r="J603" s="28" t="s">
        <v>854</v>
      </c>
      <c r="K603" s="28" cm="1">
        <f t="array" ref="K603:L603">VLOOKUP(E603,[2]A023951!D$1:H$1114,{3,5},0)</f>
        <v>-90.19</v>
      </c>
      <c r="L603" s="28">
        <v>-8040.87</v>
      </c>
      <c r="M603" s="31">
        <f t="shared" si="18"/>
        <v>-40.869999999999891</v>
      </c>
    </row>
    <row r="604" spans="1:13" x14ac:dyDescent="0.35">
      <c r="A604" s="28" t="s">
        <v>495</v>
      </c>
      <c r="B604" s="32">
        <v>2025</v>
      </c>
      <c r="C604" s="28" t="s">
        <v>499</v>
      </c>
      <c r="D604" s="29">
        <v>45787</v>
      </c>
      <c r="E604" s="28">
        <v>256779413148</v>
      </c>
      <c r="F604" s="28" t="s">
        <v>56</v>
      </c>
      <c r="G604" s="30">
        <v>4400</v>
      </c>
      <c r="H604" s="28" t="s">
        <v>56</v>
      </c>
      <c r="I604" s="30">
        <v>4400</v>
      </c>
      <c r="J604" s="28" t="s">
        <v>847</v>
      </c>
      <c r="K604" s="28" cm="1">
        <f t="array" ref="K604:L604">VLOOKUP(E604,[2]A023951!D$1:H$1114,{3,5},0)</f>
        <v>0</v>
      </c>
      <c r="L604" s="28">
        <v>-4400</v>
      </c>
      <c r="M604" s="31">
        <f t="shared" si="18"/>
        <v>0</v>
      </c>
    </row>
    <row r="605" spans="1:13" x14ac:dyDescent="0.35">
      <c r="A605" s="28" t="s">
        <v>495</v>
      </c>
      <c r="B605" s="32">
        <v>2025</v>
      </c>
      <c r="C605" s="28" t="s">
        <v>499</v>
      </c>
      <c r="D605" s="29">
        <v>45818</v>
      </c>
      <c r="E605" s="28">
        <v>256779414360</v>
      </c>
      <c r="F605" s="28" t="s">
        <v>56</v>
      </c>
      <c r="G605" s="30">
        <v>4400</v>
      </c>
      <c r="H605" s="28" t="s">
        <v>56</v>
      </c>
      <c r="I605" s="30">
        <v>4400</v>
      </c>
      <c r="J605" s="28" t="s">
        <v>848</v>
      </c>
      <c r="K605" s="28" cm="1">
        <f t="array" ref="K605:L605">VLOOKUP(E605,[2]A023951!D$1:H$1114,{3,5},0)</f>
        <v>-51.47</v>
      </c>
      <c r="L605" s="28">
        <v>-4378.25</v>
      </c>
      <c r="M605" s="31">
        <f t="shared" si="18"/>
        <v>21.75</v>
      </c>
    </row>
    <row r="606" spans="1:13" x14ac:dyDescent="0.35">
      <c r="A606" s="28" t="s">
        <v>495</v>
      </c>
      <c r="B606" s="32">
        <v>2025</v>
      </c>
      <c r="C606" s="28" t="s">
        <v>499</v>
      </c>
      <c r="D606" s="29">
        <v>45842</v>
      </c>
      <c r="E606" s="28">
        <v>256779414918</v>
      </c>
      <c r="F606" s="28" t="s">
        <v>56</v>
      </c>
      <c r="G606" s="30">
        <v>4400</v>
      </c>
      <c r="H606" s="28" t="s">
        <v>56</v>
      </c>
      <c r="I606" s="30">
        <v>4400</v>
      </c>
      <c r="J606" s="28" t="s">
        <v>849</v>
      </c>
      <c r="K606" s="28" cm="1">
        <f t="array" ref="K606:L606">VLOOKUP(E606,[2]A023951!D$1:H$1114,{3,5},0)</f>
        <v>-51.16</v>
      </c>
      <c r="L606" s="28">
        <v>-4399.22</v>
      </c>
      <c r="M606" s="31">
        <f t="shared" si="18"/>
        <v>0.77999999999974534</v>
      </c>
    </row>
    <row r="607" spans="1:13" x14ac:dyDescent="0.35">
      <c r="A607" s="28" t="s">
        <v>495</v>
      </c>
      <c r="B607" s="32">
        <v>2025</v>
      </c>
      <c r="C607" s="28" t="s">
        <v>499</v>
      </c>
      <c r="D607" s="29">
        <v>45870</v>
      </c>
      <c r="E607" s="28">
        <v>256779416030</v>
      </c>
      <c r="F607" s="28" t="s">
        <v>56</v>
      </c>
      <c r="G607" s="30">
        <v>4400</v>
      </c>
      <c r="H607" s="28" t="s">
        <v>56</v>
      </c>
      <c r="I607" s="30">
        <v>4400</v>
      </c>
      <c r="J607" s="28" t="s">
        <v>850</v>
      </c>
      <c r="K607" s="28" cm="1">
        <f t="array" ref="K607:L607">VLOOKUP(E607,[2]A023951!D$1:H$1114,{3,5},0)</f>
        <v>-51.14</v>
      </c>
      <c r="L607" s="28">
        <v>-4430.3</v>
      </c>
      <c r="M607" s="31">
        <f t="shared" si="18"/>
        <v>-30.300000000000182</v>
      </c>
    </row>
    <row r="608" spans="1:13" x14ac:dyDescent="0.35">
      <c r="A608" s="28" t="s">
        <v>495</v>
      </c>
      <c r="B608" s="32">
        <v>2025</v>
      </c>
      <c r="C608" s="28" t="s">
        <v>499</v>
      </c>
      <c r="D608" s="29">
        <v>45904</v>
      </c>
      <c r="E608" s="28">
        <v>256779417350</v>
      </c>
      <c r="F608" s="28" t="s">
        <v>56</v>
      </c>
      <c r="G608" s="30">
        <v>4400</v>
      </c>
      <c r="H608" s="28" t="s">
        <v>56</v>
      </c>
      <c r="I608" s="30">
        <v>4400</v>
      </c>
      <c r="J608" s="28" t="s">
        <v>851</v>
      </c>
      <c r="K608" s="28" cm="1">
        <f t="array" ref="K608:L608">VLOOKUP(E608,[2]A023951!D$1:H$1114,{3,5},0)</f>
        <v>-50</v>
      </c>
      <c r="L608" s="28">
        <v>-4382.6000000000004</v>
      </c>
      <c r="M608" s="31">
        <f t="shared" si="18"/>
        <v>17.399999999999636</v>
      </c>
    </row>
    <row r="609" spans="1:13" x14ac:dyDescent="0.35">
      <c r="A609" s="28" t="s">
        <v>495</v>
      </c>
      <c r="B609" s="32">
        <v>2025</v>
      </c>
      <c r="C609" s="28" t="s">
        <v>499</v>
      </c>
      <c r="D609" s="29">
        <v>45935</v>
      </c>
      <c r="E609" s="28">
        <v>256779417877</v>
      </c>
      <c r="F609" s="28" t="s">
        <v>56</v>
      </c>
      <c r="G609" s="30">
        <v>4400</v>
      </c>
      <c r="H609" s="28" t="s">
        <v>56</v>
      </c>
      <c r="I609" s="30">
        <v>4400</v>
      </c>
      <c r="J609" s="28" t="s">
        <v>852</v>
      </c>
      <c r="K609" s="28" cm="1">
        <f t="array" ref="K609:L609">VLOOKUP(E609,[2]A023951!D$1:H$1114,{3,5},0)</f>
        <v>-49.89</v>
      </c>
      <c r="L609" s="28">
        <v>-4423.22</v>
      </c>
      <c r="M609" s="31">
        <f t="shared" si="18"/>
        <v>-23.220000000000255</v>
      </c>
    </row>
    <row r="610" spans="1:13" x14ac:dyDescent="0.35">
      <c r="A610" s="28" t="s">
        <v>495</v>
      </c>
      <c r="B610" s="32">
        <v>2025</v>
      </c>
      <c r="C610" s="28" t="s">
        <v>499</v>
      </c>
      <c r="D610" s="29">
        <v>45966</v>
      </c>
      <c r="E610" s="28">
        <v>256779418779</v>
      </c>
      <c r="F610" s="28" t="s">
        <v>56</v>
      </c>
      <c r="G610" s="30">
        <v>4400</v>
      </c>
      <c r="H610" s="28" t="s">
        <v>56</v>
      </c>
      <c r="I610" s="30">
        <v>4400</v>
      </c>
      <c r="J610" s="28" t="s">
        <v>853</v>
      </c>
      <c r="K610" s="28" cm="1">
        <f t="array" ref="K610:L610">VLOOKUP(E610,[2]A023951!D$1:H$1114,{3,5},0)</f>
        <v>-50</v>
      </c>
      <c r="L610" s="28">
        <v>-4412.63</v>
      </c>
      <c r="M610" s="31">
        <f t="shared" si="18"/>
        <v>-12.630000000000109</v>
      </c>
    </row>
    <row r="611" spans="1:13" x14ac:dyDescent="0.35">
      <c r="A611" s="28" t="s">
        <v>495</v>
      </c>
      <c r="B611" s="32">
        <v>2025</v>
      </c>
      <c r="C611" s="28" t="s">
        <v>499</v>
      </c>
      <c r="D611" s="29">
        <v>45995</v>
      </c>
      <c r="E611" s="28">
        <v>256779419972</v>
      </c>
      <c r="F611" s="28" t="s">
        <v>56</v>
      </c>
      <c r="G611" s="30">
        <v>4400</v>
      </c>
      <c r="H611" s="28" t="s">
        <v>56</v>
      </c>
      <c r="I611" s="30">
        <v>4400</v>
      </c>
      <c r="J611" s="28" t="s">
        <v>854</v>
      </c>
      <c r="K611" s="28" cm="1">
        <f t="array" ref="K611:L611">VLOOKUP(E611,[2]A023951!D$1:H$1114,{3,5},0)</f>
        <v>-49.61</v>
      </c>
      <c r="L611" s="28">
        <v>-4422.97</v>
      </c>
      <c r="M611" s="31">
        <f t="shared" si="18"/>
        <v>-22.970000000000255</v>
      </c>
    </row>
    <row r="612" spans="1:13" x14ac:dyDescent="0.35">
      <c r="A612" s="28" t="s">
        <v>495</v>
      </c>
      <c r="B612" s="32">
        <v>2025</v>
      </c>
      <c r="C612" s="28" t="s">
        <v>499</v>
      </c>
      <c r="D612" s="29">
        <v>45787</v>
      </c>
      <c r="E612" s="28">
        <v>256779413146</v>
      </c>
      <c r="F612" s="28" t="s">
        <v>56</v>
      </c>
      <c r="G612" s="30">
        <v>200000</v>
      </c>
      <c r="H612" s="28" t="s">
        <v>56</v>
      </c>
      <c r="I612" s="30">
        <v>200000</v>
      </c>
      <c r="J612" s="28" t="s">
        <v>847</v>
      </c>
      <c r="K612" s="28" cm="1">
        <f t="array" ref="K612:L612">VLOOKUP(E612,[2]A023951!D$1:H$1114,{3,5},0)</f>
        <v>0</v>
      </c>
      <c r="L612" s="28">
        <v>-200000</v>
      </c>
      <c r="M612" s="31">
        <f t="shared" si="18"/>
        <v>0</v>
      </c>
    </row>
    <row r="613" spans="1:13" x14ac:dyDescent="0.35">
      <c r="A613" s="28" t="s">
        <v>495</v>
      </c>
      <c r="B613" s="32">
        <v>2025</v>
      </c>
      <c r="C613" s="28" t="s">
        <v>499</v>
      </c>
      <c r="D613" s="29">
        <v>45818</v>
      </c>
      <c r="E613" s="28">
        <v>256779414358</v>
      </c>
      <c r="F613" s="28" t="s">
        <v>56</v>
      </c>
      <c r="G613" s="30">
        <v>200000</v>
      </c>
      <c r="H613" s="28" t="s">
        <v>56</v>
      </c>
      <c r="I613" s="30">
        <v>200000</v>
      </c>
      <c r="J613" s="28" t="s">
        <v>848</v>
      </c>
      <c r="K613" s="28" cm="1">
        <f t="array" ref="K613:L613">VLOOKUP(E613,[2]A023951!D$1:H$1114,{3,5},0)</f>
        <v>-2339.4299999999998</v>
      </c>
      <c r="L613" s="28">
        <v>-199001.51</v>
      </c>
      <c r="M613" s="31">
        <f t="shared" si="18"/>
        <v>998.48999999999069</v>
      </c>
    </row>
    <row r="614" spans="1:13" x14ac:dyDescent="0.35">
      <c r="A614" s="28" t="s">
        <v>495</v>
      </c>
      <c r="B614" s="32">
        <v>2025</v>
      </c>
      <c r="C614" s="28" t="s">
        <v>499</v>
      </c>
      <c r="D614" s="29">
        <v>45842</v>
      </c>
      <c r="E614" s="28">
        <v>256779414916</v>
      </c>
      <c r="F614" s="28" t="s">
        <v>56</v>
      </c>
      <c r="G614" s="30">
        <v>200000</v>
      </c>
      <c r="H614" s="28" t="s">
        <v>56</v>
      </c>
      <c r="I614" s="30">
        <v>200000</v>
      </c>
      <c r="J614" s="28" t="s">
        <v>849</v>
      </c>
      <c r="K614" s="28" cm="1">
        <f t="array" ref="K614:L614">VLOOKUP(E614,[2]A023951!D$1:H$1114,{3,5},0)</f>
        <v>-2325.56</v>
      </c>
      <c r="L614" s="28">
        <v>-199973.77</v>
      </c>
      <c r="M614" s="31">
        <f t="shared" si="18"/>
        <v>26.230000000010477</v>
      </c>
    </row>
    <row r="615" spans="1:13" x14ac:dyDescent="0.35">
      <c r="A615" s="28" t="s">
        <v>495</v>
      </c>
      <c r="B615" s="32">
        <v>2025</v>
      </c>
      <c r="C615" s="28" t="s">
        <v>499</v>
      </c>
      <c r="D615" s="29">
        <v>45870</v>
      </c>
      <c r="E615" s="28">
        <v>256779416028</v>
      </c>
      <c r="F615" s="28" t="s">
        <v>56</v>
      </c>
      <c r="G615" s="30">
        <v>200000</v>
      </c>
      <c r="H615" s="28" t="s">
        <v>56</v>
      </c>
      <c r="I615" s="30">
        <v>200000</v>
      </c>
      <c r="J615" s="28" t="s">
        <v>850</v>
      </c>
      <c r="K615" s="28" cm="1">
        <f t="array" ref="K615:L615">VLOOKUP(E615,[2]A023951!D$1:H$1114,{3,5},0)</f>
        <v>-2324.77</v>
      </c>
      <c r="L615" s="28">
        <v>-201396.93</v>
      </c>
      <c r="M615" s="31">
        <f t="shared" si="18"/>
        <v>-1396.929999999993</v>
      </c>
    </row>
    <row r="616" spans="1:13" x14ac:dyDescent="0.35">
      <c r="A616" s="28" t="s">
        <v>495</v>
      </c>
      <c r="B616" s="32">
        <v>2025</v>
      </c>
      <c r="C616" s="28" t="s">
        <v>499</v>
      </c>
      <c r="D616" s="29">
        <v>45904</v>
      </c>
      <c r="E616" s="28">
        <v>256779417348</v>
      </c>
      <c r="F616" s="28" t="s">
        <v>56</v>
      </c>
      <c r="G616" s="30">
        <v>200000</v>
      </c>
      <c r="H616" s="28" t="s">
        <v>56</v>
      </c>
      <c r="I616" s="30">
        <v>200000</v>
      </c>
      <c r="J616" s="28" t="s">
        <v>851</v>
      </c>
      <c r="K616" s="28" cm="1">
        <f t="array" ref="K616:L616">VLOOKUP(E616,[2]A023951!D$1:H$1114,{3,5},0)</f>
        <v>-2285.34</v>
      </c>
      <c r="L616" s="28">
        <v>-200314.44</v>
      </c>
      <c r="M616" s="31">
        <f t="shared" si="18"/>
        <v>-314.44000000000233</v>
      </c>
    </row>
    <row r="617" spans="1:13" x14ac:dyDescent="0.35">
      <c r="A617" s="28" t="s">
        <v>495</v>
      </c>
      <c r="B617" s="32">
        <v>2025</v>
      </c>
      <c r="C617" s="28" t="s">
        <v>499</v>
      </c>
      <c r="D617" s="29">
        <v>45935</v>
      </c>
      <c r="E617" s="28">
        <v>256779417875</v>
      </c>
      <c r="F617" s="28" t="s">
        <v>56</v>
      </c>
      <c r="G617" s="30">
        <v>200000</v>
      </c>
      <c r="H617" s="28" t="s">
        <v>56</v>
      </c>
      <c r="I617" s="30">
        <v>200000</v>
      </c>
      <c r="J617" s="28" t="s">
        <v>852</v>
      </c>
      <c r="K617" s="28" cm="1">
        <f t="array" ref="K617:L617">VLOOKUP(E617,[2]A023951!D$1:H$1114,{3,5},0)</f>
        <v>-2267.81</v>
      </c>
      <c r="L617" s="28">
        <v>-201062.89</v>
      </c>
      <c r="M617" s="31">
        <f t="shared" si="18"/>
        <v>-1062.890000000014</v>
      </c>
    </row>
    <row r="618" spans="1:13" x14ac:dyDescent="0.35">
      <c r="A618" s="28" t="s">
        <v>495</v>
      </c>
      <c r="B618" s="32">
        <v>2025</v>
      </c>
      <c r="C618" s="28" t="s">
        <v>499</v>
      </c>
      <c r="D618" s="29">
        <v>45966</v>
      </c>
      <c r="E618" s="28">
        <v>256779418777</v>
      </c>
      <c r="F618" s="28" t="s">
        <v>56</v>
      </c>
      <c r="G618" s="30">
        <v>200000</v>
      </c>
      <c r="H618" s="28" t="s">
        <v>56</v>
      </c>
      <c r="I618" s="30">
        <v>200000</v>
      </c>
      <c r="J618" s="28" t="s">
        <v>853</v>
      </c>
      <c r="K618" s="28" cm="1">
        <f t="array" ref="K618:L618">VLOOKUP(E618,[2]A023951!D$1:H$1114,{3,5},0)</f>
        <v>-2272.64</v>
      </c>
      <c r="L618" s="28">
        <v>-200566.32</v>
      </c>
      <c r="M618" s="31">
        <f t="shared" si="18"/>
        <v>-566.32000000000698</v>
      </c>
    </row>
    <row r="619" spans="1:13" x14ac:dyDescent="0.35">
      <c r="A619" s="28" t="s">
        <v>495</v>
      </c>
      <c r="B619" s="32">
        <v>2025</v>
      </c>
      <c r="C619" s="28" t="s">
        <v>499</v>
      </c>
      <c r="D619" s="29">
        <v>45995</v>
      </c>
      <c r="E619" s="28">
        <v>256779419970</v>
      </c>
      <c r="F619" s="28" t="s">
        <v>56</v>
      </c>
      <c r="G619" s="30">
        <v>200000</v>
      </c>
      <c r="H619" s="28" t="s">
        <v>56</v>
      </c>
      <c r="I619" s="30">
        <v>200000</v>
      </c>
      <c r="J619" s="28" t="s">
        <v>854</v>
      </c>
      <c r="K619" s="28" cm="1">
        <f t="array" ref="K619:L619">VLOOKUP(E619,[2]A023951!D$1:H$1114,{3,5},0)</f>
        <v>-2254.79</v>
      </c>
      <c r="L619" s="28">
        <v>-201025.31</v>
      </c>
      <c r="M619" s="31">
        <f t="shared" si="18"/>
        <v>-1025.3099999999977</v>
      </c>
    </row>
    <row r="620" spans="1:13" x14ac:dyDescent="0.35">
      <c r="A620" s="28" t="s">
        <v>495</v>
      </c>
      <c r="B620" s="32">
        <v>2025</v>
      </c>
      <c r="C620" s="28" t="s">
        <v>499</v>
      </c>
      <c r="D620" s="29">
        <v>45848</v>
      </c>
      <c r="E620" s="28">
        <v>256779415336</v>
      </c>
      <c r="F620" s="28" t="s">
        <v>11</v>
      </c>
      <c r="G620" s="30">
        <v>5</v>
      </c>
      <c r="H620" s="28" t="s">
        <v>56</v>
      </c>
      <c r="I620" s="30">
        <v>430</v>
      </c>
      <c r="J620" s="28" t="s">
        <v>791</v>
      </c>
      <c r="K620" s="28" cm="1">
        <f t="array" ref="K620:L620">VLOOKUP(E620,[2]A023951!D$1:H$1114,{3,5},0)</f>
        <v>-5</v>
      </c>
      <c r="L620" s="28">
        <v>-442.35</v>
      </c>
      <c r="M620" s="31">
        <f t="shared" si="18"/>
        <v>-12.350000000000023</v>
      </c>
    </row>
    <row r="621" spans="1:13" x14ac:dyDescent="0.35">
      <c r="A621" s="28" t="s">
        <v>495</v>
      </c>
      <c r="B621" s="32">
        <v>2025</v>
      </c>
      <c r="C621" s="28" t="s">
        <v>496</v>
      </c>
      <c r="D621" s="29">
        <v>45848</v>
      </c>
      <c r="E621" s="28">
        <v>256779421236</v>
      </c>
      <c r="F621" s="28" t="s">
        <v>11</v>
      </c>
      <c r="G621" s="30">
        <v>-118</v>
      </c>
      <c r="H621" s="28" t="s">
        <v>56</v>
      </c>
      <c r="I621" s="30">
        <v>-10148.08</v>
      </c>
      <c r="J621" s="28" t="s">
        <v>855</v>
      </c>
      <c r="K621" s="28" t="e" cm="1">
        <f t="array" ref="K621">VLOOKUP(E621,[2]A023951!D$1:H$1114,{3,5},0)</f>
        <v>#N/A</v>
      </c>
      <c r="L621" s="28"/>
      <c r="M621" s="28"/>
    </row>
    <row r="622" spans="1:13" x14ac:dyDescent="0.35">
      <c r="A622" s="28" t="s">
        <v>495</v>
      </c>
      <c r="B622" s="32">
        <v>2025</v>
      </c>
      <c r="C622" s="28" t="s">
        <v>496</v>
      </c>
      <c r="D622" s="29">
        <v>45890</v>
      </c>
      <c r="E622" s="28">
        <v>256779421697</v>
      </c>
      <c r="F622" s="28" t="s">
        <v>11</v>
      </c>
      <c r="G622" s="30">
        <v>-100</v>
      </c>
      <c r="H622" s="28" t="s">
        <v>56</v>
      </c>
      <c r="I622" s="30">
        <v>-8603.01</v>
      </c>
      <c r="J622" s="28" t="s">
        <v>856</v>
      </c>
      <c r="K622" s="28" t="e" cm="1">
        <f t="array" ref="K622">VLOOKUP(E622,[2]A023951!D$1:H$1114,{3,5},0)</f>
        <v>#N/A</v>
      </c>
      <c r="L622" s="28"/>
      <c r="M622" s="28"/>
    </row>
    <row r="623" spans="1:13" x14ac:dyDescent="0.35">
      <c r="A623" s="28" t="s">
        <v>495</v>
      </c>
      <c r="B623" s="32">
        <v>2025</v>
      </c>
      <c r="C623" s="28" t="s">
        <v>499</v>
      </c>
      <c r="D623" s="29">
        <v>45762</v>
      </c>
      <c r="E623" s="28">
        <v>256779411097</v>
      </c>
      <c r="F623" s="28" t="s">
        <v>11</v>
      </c>
      <c r="G623" s="30">
        <v>118</v>
      </c>
      <c r="H623" s="28" t="s">
        <v>56</v>
      </c>
      <c r="I623" s="30">
        <v>10256.77</v>
      </c>
      <c r="J623" s="28" t="s">
        <v>791</v>
      </c>
      <c r="K623" s="28" t="e" cm="1">
        <f t="array" ref="K623">VLOOKUP(E623,[2]A023951!D$1:H$1114,{3,5},0)</f>
        <v>#N/A</v>
      </c>
      <c r="L623" s="28"/>
      <c r="M623" s="28"/>
    </row>
    <row r="624" spans="1:13" x14ac:dyDescent="0.35">
      <c r="A624" s="28" t="s">
        <v>495</v>
      </c>
      <c r="B624" s="32">
        <v>2025</v>
      </c>
      <c r="C624" s="28" t="s">
        <v>499</v>
      </c>
      <c r="D624" s="29">
        <v>45848</v>
      </c>
      <c r="E624" s="28">
        <v>256779415303</v>
      </c>
      <c r="F624" s="28" t="s">
        <v>11</v>
      </c>
      <c r="G624" s="30">
        <v>100</v>
      </c>
      <c r="H624" s="28" t="s">
        <v>56</v>
      </c>
      <c r="I624" s="30">
        <v>8600.07</v>
      </c>
      <c r="J624" s="28" t="s">
        <v>791</v>
      </c>
      <c r="K624" s="28" cm="1">
        <f t="array" ref="K624:L624">VLOOKUP(E624,[2]A023951!D$1:H$1114,{3,5},0)</f>
        <v>-100</v>
      </c>
      <c r="L624" s="28">
        <v>-8847</v>
      </c>
      <c r="M624" s="31">
        <f>I624+L624</f>
        <v>-246.93000000000029</v>
      </c>
    </row>
    <row r="625" spans="1:13" x14ac:dyDescent="0.35">
      <c r="A625" s="28" t="s">
        <v>495</v>
      </c>
      <c r="B625" s="32">
        <v>2025</v>
      </c>
      <c r="C625" s="28" t="s">
        <v>496</v>
      </c>
      <c r="D625" s="29">
        <v>45890</v>
      </c>
      <c r="E625" s="28">
        <v>256779421704</v>
      </c>
      <c r="F625" s="28" t="s">
        <v>11</v>
      </c>
      <c r="G625" s="30">
        <v>-8.48</v>
      </c>
      <c r="H625" s="28" t="s">
        <v>56</v>
      </c>
      <c r="I625" s="30">
        <v>-729.54</v>
      </c>
      <c r="J625" s="28" t="s">
        <v>857</v>
      </c>
      <c r="K625" s="28" t="e" cm="1">
        <f t="array" ref="K625">VLOOKUP(E625,[2]A023951!D$1:H$1114,{3,5},0)</f>
        <v>#N/A</v>
      </c>
      <c r="L625" s="28"/>
      <c r="M625" s="28"/>
    </row>
    <row r="626" spans="1:13" x14ac:dyDescent="0.35">
      <c r="A626" s="28" t="s">
        <v>495</v>
      </c>
      <c r="B626" s="32">
        <v>2025</v>
      </c>
      <c r="C626" s="28" t="s">
        <v>499</v>
      </c>
      <c r="D626" s="29">
        <v>45720</v>
      </c>
      <c r="E626" s="28">
        <v>246779410743</v>
      </c>
      <c r="F626" s="28" t="s">
        <v>11</v>
      </c>
      <c r="G626" s="30">
        <v>3</v>
      </c>
      <c r="H626" s="28" t="s">
        <v>56</v>
      </c>
      <c r="I626" s="30">
        <v>260.07</v>
      </c>
      <c r="J626" s="28" t="s">
        <v>858</v>
      </c>
      <c r="K626" s="28" cm="1">
        <f t="array" ref="K626:L626">VLOOKUP(E626,[2]A023951!D$1:H$1114,{3,5},0)</f>
        <v>-3</v>
      </c>
      <c r="L626" s="28">
        <v>-261.13</v>
      </c>
      <c r="M626" s="31">
        <f>I626+L626</f>
        <v>-1.0600000000000023</v>
      </c>
    </row>
    <row r="627" spans="1:13" x14ac:dyDescent="0.35">
      <c r="A627" s="28" t="s">
        <v>495</v>
      </c>
      <c r="B627" s="32">
        <v>2025</v>
      </c>
      <c r="C627" s="28" t="s">
        <v>499</v>
      </c>
      <c r="D627" s="29">
        <v>45720</v>
      </c>
      <c r="E627" s="28">
        <v>246779410826</v>
      </c>
      <c r="F627" s="28" t="s">
        <v>11</v>
      </c>
      <c r="G627" s="30">
        <v>3</v>
      </c>
      <c r="H627" s="28" t="s">
        <v>56</v>
      </c>
      <c r="I627" s="30">
        <v>260.07</v>
      </c>
      <c r="J627" s="28" t="s">
        <v>859</v>
      </c>
      <c r="K627" s="28" cm="1">
        <f t="array" ref="K627:L627">VLOOKUP(E627,[2]A023951!D$1:H$1114,{3,5},0)</f>
        <v>-3</v>
      </c>
      <c r="L627" s="28">
        <v>-261.13</v>
      </c>
      <c r="M627" s="31">
        <f>I627+L627</f>
        <v>-1.0600000000000023</v>
      </c>
    </row>
    <row r="628" spans="1:13" x14ac:dyDescent="0.35">
      <c r="A628" s="28" t="s">
        <v>495</v>
      </c>
      <c r="B628" s="32">
        <v>2025</v>
      </c>
      <c r="C628" s="28" t="s">
        <v>499</v>
      </c>
      <c r="D628" s="29">
        <v>45720</v>
      </c>
      <c r="E628" s="28">
        <v>246779410665</v>
      </c>
      <c r="F628" s="28" t="s">
        <v>11</v>
      </c>
      <c r="G628" s="30">
        <v>3.54</v>
      </c>
      <c r="H628" s="28" t="s">
        <v>56</v>
      </c>
      <c r="I628" s="30">
        <v>306.89</v>
      </c>
      <c r="J628" s="28" t="s">
        <v>717</v>
      </c>
      <c r="K628" s="28" cm="1">
        <f t="array" ref="K628:L628">VLOOKUP(E628,[2]A023951!D$1:H$1114,{3,5},0)</f>
        <v>-3.54</v>
      </c>
      <c r="L628" s="28">
        <v>-308.13</v>
      </c>
      <c r="M628" s="31">
        <f>I628+L628</f>
        <v>-1.2400000000000091</v>
      </c>
    </row>
    <row r="629" spans="1:13" x14ac:dyDescent="0.35">
      <c r="A629" s="28" t="s">
        <v>495</v>
      </c>
      <c r="B629" s="32">
        <v>2025</v>
      </c>
      <c r="C629" s="28" t="s">
        <v>499</v>
      </c>
      <c r="D629" s="29">
        <v>45751</v>
      </c>
      <c r="E629" s="28">
        <v>256779410801</v>
      </c>
      <c r="F629" s="28" t="s">
        <v>11</v>
      </c>
      <c r="G629" s="30">
        <v>2829.48</v>
      </c>
      <c r="H629" s="28" t="s">
        <v>56</v>
      </c>
      <c r="I629" s="30">
        <v>245943.55</v>
      </c>
      <c r="J629" s="28" t="s">
        <v>860</v>
      </c>
      <c r="K629" s="28" cm="1">
        <f t="array" ref="K629:L629">VLOOKUP(E629,[2]A023951!D$1:H$1114,{3,5},0)</f>
        <v>-2829.48</v>
      </c>
      <c r="L629" s="28">
        <v>-242562.74</v>
      </c>
      <c r="M629" s="31">
        <f>I629+L629</f>
        <v>3380.8099999999977</v>
      </c>
    </row>
    <row r="630" spans="1:13" x14ac:dyDescent="0.35">
      <c r="A630" s="28" t="s">
        <v>495</v>
      </c>
      <c r="B630" s="32">
        <v>2025</v>
      </c>
      <c r="C630" s="28" t="s">
        <v>499</v>
      </c>
      <c r="D630" s="29">
        <v>45751</v>
      </c>
      <c r="E630" s="28">
        <v>256779410819</v>
      </c>
      <c r="F630" s="28" t="s">
        <v>11</v>
      </c>
      <c r="G630" s="30">
        <v>1913.97</v>
      </c>
      <c r="H630" s="28" t="s">
        <v>56</v>
      </c>
      <c r="I630" s="30">
        <v>166365.76000000001</v>
      </c>
      <c r="J630" s="28" t="s">
        <v>861</v>
      </c>
      <c r="K630" s="28" t="e" cm="1">
        <f t="array" ref="K630">VLOOKUP(E630,[2]A023951!D$1:H$1114,{3,5},0)</f>
        <v>#N/A</v>
      </c>
      <c r="L630" s="28"/>
      <c r="M630" s="28"/>
    </row>
    <row r="631" spans="1:13" x14ac:dyDescent="0.35">
      <c r="A631" s="28" t="s">
        <v>495</v>
      </c>
      <c r="B631" s="32">
        <v>2025</v>
      </c>
      <c r="C631" s="28" t="s">
        <v>499</v>
      </c>
      <c r="D631" s="29">
        <v>45722</v>
      </c>
      <c r="E631" s="28">
        <v>246779410882</v>
      </c>
      <c r="F631" s="28" t="s">
        <v>11</v>
      </c>
      <c r="G631" s="30">
        <v>2232.73</v>
      </c>
      <c r="H631" s="28" t="s">
        <v>56</v>
      </c>
      <c r="I631" s="30">
        <v>193558.18</v>
      </c>
      <c r="J631" s="28" t="s">
        <v>862</v>
      </c>
      <c r="K631" s="28" cm="1">
        <f t="array" ref="K631:L631">VLOOKUP(E631,[2]A023951!D$1:H$1114,{3,5},0)</f>
        <v>-2232.73</v>
      </c>
      <c r="L631" s="28">
        <v>-194342.21</v>
      </c>
      <c r="M631" s="31">
        <f>I631+L631</f>
        <v>-784.02999999999884</v>
      </c>
    </row>
    <row r="632" spans="1:13" x14ac:dyDescent="0.35">
      <c r="A632" s="28" t="s">
        <v>495</v>
      </c>
      <c r="B632" s="32">
        <v>2025</v>
      </c>
      <c r="C632" s="28" t="s">
        <v>499</v>
      </c>
      <c r="D632" s="29">
        <v>45722</v>
      </c>
      <c r="E632" s="28">
        <v>246779410904</v>
      </c>
      <c r="F632" s="28" t="s">
        <v>11</v>
      </c>
      <c r="G632" s="30">
        <v>1665.82</v>
      </c>
      <c r="H632" s="28" t="s">
        <v>56</v>
      </c>
      <c r="I632" s="30">
        <v>144412.03</v>
      </c>
      <c r="J632" s="28" t="s">
        <v>863</v>
      </c>
      <c r="K632" s="28" cm="1">
        <f t="array" ref="K632:L632">VLOOKUP(E632,[2]A023951!D$1:H$1114,{3,5},0)</f>
        <v>-1665.82</v>
      </c>
      <c r="L632" s="28">
        <v>-144997</v>
      </c>
      <c r="M632" s="31">
        <f>I632+L632</f>
        <v>-584.97000000000116</v>
      </c>
    </row>
    <row r="633" spans="1:13" x14ac:dyDescent="0.35">
      <c r="A633" s="28" t="s">
        <v>495</v>
      </c>
      <c r="B633" s="32">
        <v>2025</v>
      </c>
      <c r="C633" s="28" t="s">
        <v>499</v>
      </c>
      <c r="D633" s="29">
        <v>45719</v>
      </c>
      <c r="E633" s="28">
        <v>246779410436</v>
      </c>
      <c r="F633" s="28" t="s">
        <v>11</v>
      </c>
      <c r="G633" s="30">
        <v>1332.41</v>
      </c>
      <c r="H633" s="28" t="s">
        <v>56</v>
      </c>
      <c r="I633" s="30">
        <v>115508.3</v>
      </c>
      <c r="J633" s="28" t="s">
        <v>864</v>
      </c>
      <c r="K633" s="28" cm="1">
        <f t="array" ref="K633:L633">VLOOKUP(E633,[2]A023951!D$1:H$1114,{3,5},0)</f>
        <v>-1332.41</v>
      </c>
      <c r="L633" s="28">
        <v>-115976.18</v>
      </c>
      <c r="M633" s="31">
        <f>I633+L633</f>
        <v>-467.8799999999901</v>
      </c>
    </row>
    <row r="634" spans="1:13" x14ac:dyDescent="0.35">
      <c r="A634" s="28" t="s">
        <v>495</v>
      </c>
      <c r="B634" s="32">
        <v>2025</v>
      </c>
      <c r="C634" s="28" t="s">
        <v>499</v>
      </c>
      <c r="D634" s="29">
        <v>45719</v>
      </c>
      <c r="E634" s="28">
        <v>246779410389</v>
      </c>
      <c r="F634" s="28" t="s">
        <v>11</v>
      </c>
      <c r="G634" s="30">
        <v>542.08000000000004</v>
      </c>
      <c r="H634" s="28" t="s">
        <v>56</v>
      </c>
      <c r="I634" s="30">
        <v>46993.599999999999</v>
      </c>
      <c r="J634" s="28" t="s">
        <v>865</v>
      </c>
      <c r="K634" s="28" cm="1">
        <f t="array" ref="K634:L634">VLOOKUP(E634,[2]A023951!D$1:H$1114,{3,5},0)</f>
        <v>-542.08000000000004</v>
      </c>
      <c r="L634" s="28">
        <v>-47183.95</v>
      </c>
      <c r="M634" s="31">
        <f>I634+L634</f>
        <v>-190.34999999999854</v>
      </c>
    </row>
    <row r="635" spans="1:13" x14ac:dyDescent="0.35">
      <c r="A635" s="28" t="s">
        <v>495</v>
      </c>
      <c r="B635" s="32">
        <v>2025</v>
      </c>
      <c r="C635" s="28" t="s">
        <v>499</v>
      </c>
      <c r="D635" s="29">
        <v>45719</v>
      </c>
      <c r="E635" s="28">
        <v>246779410413</v>
      </c>
      <c r="F635" s="28" t="s">
        <v>11</v>
      </c>
      <c r="G635" s="30">
        <v>694.12</v>
      </c>
      <c r="H635" s="28" t="s">
        <v>56</v>
      </c>
      <c r="I635" s="30">
        <v>60174.14</v>
      </c>
      <c r="J635" s="28" t="s">
        <v>866</v>
      </c>
      <c r="K635" s="28" cm="1">
        <f t="array" ref="K635:L635">VLOOKUP(E635,[2]A023951!D$1:H$1114,{3,5},0)</f>
        <v>-694.12</v>
      </c>
      <c r="L635" s="28">
        <v>-60417.88</v>
      </c>
      <c r="M635" s="31">
        <f>I635+L635</f>
        <v>-243.73999999999796</v>
      </c>
    </row>
    <row r="636" spans="1:13" x14ac:dyDescent="0.35">
      <c r="A636" s="28" t="s">
        <v>495</v>
      </c>
      <c r="B636" s="32">
        <v>2025</v>
      </c>
      <c r="C636" s="28" t="s">
        <v>499</v>
      </c>
      <c r="D636" s="29">
        <v>45719</v>
      </c>
      <c r="E636" s="28">
        <v>246779410482</v>
      </c>
      <c r="F636" s="28" t="s">
        <v>11</v>
      </c>
      <c r="G636" s="30">
        <v>3.54</v>
      </c>
      <c r="H636" s="28" t="s">
        <v>56</v>
      </c>
      <c r="I636" s="30">
        <v>306.89</v>
      </c>
      <c r="J636" s="28" t="s">
        <v>839</v>
      </c>
      <c r="K636" s="28" t="e" cm="1">
        <f t="array" ref="K636">VLOOKUP(E636,[2]A023951!D$1:H$1114,{3,5},0)</f>
        <v>#N/A</v>
      </c>
      <c r="L636" s="28"/>
      <c r="M636" s="28"/>
    </row>
    <row r="637" spans="1:13" x14ac:dyDescent="0.35">
      <c r="A637" s="28" t="s">
        <v>495</v>
      </c>
      <c r="B637" s="32">
        <v>2025</v>
      </c>
      <c r="C637" s="28" t="s">
        <v>499</v>
      </c>
      <c r="D637" s="29">
        <v>45719</v>
      </c>
      <c r="E637" s="28">
        <v>246779410483</v>
      </c>
      <c r="F637" s="28" t="s">
        <v>11</v>
      </c>
      <c r="G637" s="30">
        <v>3.54</v>
      </c>
      <c r="H637" s="28" t="s">
        <v>56</v>
      </c>
      <c r="I637" s="30">
        <v>306.89</v>
      </c>
      <c r="J637" s="28" t="s">
        <v>839</v>
      </c>
      <c r="K637" s="28" t="e" cm="1">
        <f t="array" ref="K637">VLOOKUP(E637,[2]A023951!D$1:H$1114,{3,5},0)</f>
        <v>#N/A</v>
      </c>
      <c r="L637" s="28"/>
      <c r="M637" s="28"/>
    </row>
    <row r="638" spans="1:13" x14ac:dyDescent="0.35">
      <c r="A638" s="28" t="s">
        <v>495</v>
      </c>
      <c r="B638" s="32">
        <v>2025</v>
      </c>
      <c r="C638" s="28" t="s">
        <v>499</v>
      </c>
      <c r="D638" s="29">
        <v>45733</v>
      </c>
      <c r="E638" s="28">
        <v>246779411593</v>
      </c>
      <c r="F638" s="28" t="s">
        <v>11</v>
      </c>
      <c r="G638" s="30">
        <v>40.1</v>
      </c>
      <c r="H638" s="28" t="s">
        <v>56</v>
      </c>
      <c r="I638" s="30">
        <v>3476.32</v>
      </c>
      <c r="J638" s="28" t="s">
        <v>867</v>
      </c>
      <c r="K638" s="28" cm="1">
        <f t="array" ref="K638:L638">VLOOKUP(E638,[2]A023951!D$1:H$1114,{3,5},0)</f>
        <v>-40.1</v>
      </c>
      <c r="L638" s="28">
        <v>-3490.4</v>
      </c>
      <c r="M638" s="31">
        <f t="shared" ref="M638:M669" si="19">I638+L638</f>
        <v>-14.079999999999927</v>
      </c>
    </row>
    <row r="639" spans="1:13" x14ac:dyDescent="0.35">
      <c r="A639" s="28" t="s">
        <v>495</v>
      </c>
      <c r="B639" s="32">
        <v>2025</v>
      </c>
      <c r="C639" s="28" t="s">
        <v>499</v>
      </c>
      <c r="D639" s="29">
        <v>45733</v>
      </c>
      <c r="E639" s="28">
        <v>246779411594</v>
      </c>
      <c r="F639" s="28" t="s">
        <v>11</v>
      </c>
      <c r="G639" s="30">
        <v>17.190000000000001</v>
      </c>
      <c r="H639" s="28" t="s">
        <v>56</v>
      </c>
      <c r="I639" s="30">
        <v>1490.22</v>
      </c>
      <c r="J639" s="28" t="s">
        <v>867</v>
      </c>
      <c r="K639" s="28" cm="1">
        <f t="array" ref="K639:L639">VLOOKUP(E639,[2]A023951!D$1:H$1114,{3,5},0)</f>
        <v>-17.190000000000001</v>
      </c>
      <c r="L639" s="28">
        <v>-1496.26</v>
      </c>
      <c r="M639" s="31">
        <f t="shared" si="19"/>
        <v>-6.0399999999999636</v>
      </c>
    </row>
    <row r="640" spans="1:13" x14ac:dyDescent="0.35">
      <c r="A640" s="28" t="s">
        <v>495</v>
      </c>
      <c r="B640" s="32">
        <v>2025</v>
      </c>
      <c r="C640" s="28" t="s">
        <v>499</v>
      </c>
      <c r="D640" s="29">
        <v>45733</v>
      </c>
      <c r="E640" s="28">
        <v>246779411595</v>
      </c>
      <c r="F640" s="28" t="s">
        <v>11</v>
      </c>
      <c r="G640" s="30">
        <v>51.56</v>
      </c>
      <c r="H640" s="28" t="s">
        <v>56</v>
      </c>
      <c r="I640" s="30">
        <v>4469.8</v>
      </c>
      <c r="J640" s="28" t="s">
        <v>867</v>
      </c>
      <c r="K640" s="28" cm="1">
        <f t="array" ref="K640:L640">VLOOKUP(E640,[2]A023951!D$1:H$1114,{3,5},0)</f>
        <v>-51.56</v>
      </c>
      <c r="L640" s="28">
        <v>-4487.91</v>
      </c>
      <c r="M640" s="31">
        <f t="shared" si="19"/>
        <v>-18.109999999999673</v>
      </c>
    </row>
    <row r="641" spans="1:13" x14ac:dyDescent="0.35">
      <c r="A641" s="28" t="s">
        <v>495</v>
      </c>
      <c r="B641" s="32">
        <v>2025</v>
      </c>
      <c r="C641" s="28" t="s">
        <v>499</v>
      </c>
      <c r="D641" s="29">
        <v>45733</v>
      </c>
      <c r="E641" s="28">
        <v>246779411596</v>
      </c>
      <c r="F641" s="28" t="s">
        <v>11</v>
      </c>
      <c r="G641" s="30">
        <v>74.47</v>
      </c>
      <c r="H641" s="28" t="s">
        <v>56</v>
      </c>
      <c r="I641" s="30">
        <v>6455.9</v>
      </c>
      <c r="J641" s="28" t="s">
        <v>867</v>
      </c>
      <c r="K641" s="28" cm="1">
        <f t="array" ref="K641:L641">VLOOKUP(E641,[2]A023951!D$1:H$1114,{3,5},0)</f>
        <v>-74.47</v>
      </c>
      <c r="L641" s="28">
        <v>-6482.05</v>
      </c>
      <c r="M641" s="31">
        <f t="shared" si="19"/>
        <v>-26.150000000000546</v>
      </c>
    </row>
    <row r="642" spans="1:13" x14ac:dyDescent="0.35">
      <c r="A642" s="28" t="s">
        <v>495</v>
      </c>
      <c r="B642" s="32">
        <v>2025</v>
      </c>
      <c r="C642" s="28" t="s">
        <v>499</v>
      </c>
      <c r="D642" s="29">
        <v>45733</v>
      </c>
      <c r="E642" s="28">
        <v>246779411597</v>
      </c>
      <c r="F642" s="28" t="s">
        <v>11</v>
      </c>
      <c r="G642" s="30">
        <v>57.29</v>
      </c>
      <c r="H642" s="28" t="s">
        <v>56</v>
      </c>
      <c r="I642" s="30">
        <v>4966.54</v>
      </c>
      <c r="J642" s="28" t="s">
        <v>867</v>
      </c>
      <c r="K642" s="28" cm="1">
        <f t="array" ref="K642:L642">VLOOKUP(E642,[2]A023951!D$1:H$1114,{3,5},0)</f>
        <v>-57.29</v>
      </c>
      <c r="L642" s="28">
        <v>-4986.66</v>
      </c>
      <c r="M642" s="31">
        <f t="shared" si="19"/>
        <v>-20.119999999999891</v>
      </c>
    </row>
    <row r="643" spans="1:13" x14ac:dyDescent="0.35">
      <c r="A643" s="28" t="s">
        <v>495</v>
      </c>
      <c r="B643" s="32">
        <v>2025</v>
      </c>
      <c r="C643" s="28" t="s">
        <v>499</v>
      </c>
      <c r="D643" s="29">
        <v>45733</v>
      </c>
      <c r="E643" s="28">
        <v>246779411598</v>
      </c>
      <c r="F643" s="28" t="s">
        <v>11</v>
      </c>
      <c r="G643" s="30">
        <v>91.66</v>
      </c>
      <c r="H643" s="28" t="s">
        <v>56</v>
      </c>
      <c r="I643" s="30">
        <v>7946.12</v>
      </c>
      <c r="J643" s="28" t="s">
        <v>867</v>
      </c>
      <c r="K643" s="28" cm="1">
        <f t="array" ref="K643:L643">VLOOKUP(E643,[2]A023951!D$1:H$1114,{3,5},0)</f>
        <v>-91.66</v>
      </c>
      <c r="L643" s="28">
        <v>-7978.31</v>
      </c>
      <c r="M643" s="31">
        <f t="shared" si="19"/>
        <v>-32.190000000000509</v>
      </c>
    </row>
    <row r="644" spans="1:13" x14ac:dyDescent="0.35">
      <c r="A644" s="28" t="s">
        <v>495</v>
      </c>
      <c r="B644" s="32">
        <v>2025</v>
      </c>
      <c r="C644" s="28" t="s">
        <v>499</v>
      </c>
      <c r="D644" s="29">
        <v>45733</v>
      </c>
      <c r="E644" s="28">
        <v>246779411599</v>
      </c>
      <c r="F644" s="28" t="s">
        <v>11</v>
      </c>
      <c r="G644" s="30">
        <v>37.950000000000003</v>
      </c>
      <c r="H644" s="28" t="s">
        <v>56</v>
      </c>
      <c r="I644" s="30">
        <v>3289.93</v>
      </c>
      <c r="J644" s="28" t="s">
        <v>867</v>
      </c>
      <c r="K644" s="28" cm="1">
        <f t="array" ref="K644:L644">VLOOKUP(E644,[2]A023951!D$1:H$1114,{3,5},0)</f>
        <v>-37.950000000000003</v>
      </c>
      <c r="L644" s="28">
        <v>-3303.26</v>
      </c>
      <c r="M644" s="31">
        <f t="shared" si="19"/>
        <v>-13.330000000000382</v>
      </c>
    </row>
    <row r="645" spans="1:13" x14ac:dyDescent="0.35">
      <c r="A645" s="28" t="s">
        <v>495</v>
      </c>
      <c r="B645" s="32">
        <v>2025</v>
      </c>
      <c r="C645" s="28" t="s">
        <v>499</v>
      </c>
      <c r="D645" s="29">
        <v>45733</v>
      </c>
      <c r="E645" s="28">
        <v>246779411600</v>
      </c>
      <c r="F645" s="28" t="s">
        <v>11</v>
      </c>
      <c r="G645" s="30">
        <v>2.6</v>
      </c>
      <c r="H645" s="28" t="s">
        <v>56</v>
      </c>
      <c r="I645" s="30">
        <v>225.4</v>
      </c>
      <c r="J645" s="28" t="s">
        <v>867</v>
      </c>
      <c r="K645" s="28" cm="1">
        <f t="array" ref="K645:L645">VLOOKUP(E645,[2]A023951!D$1:H$1114,{3,5},0)</f>
        <v>-2.6</v>
      </c>
      <c r="L645" s="28">
        <v>-226.31</v>
      </c>
      <c r="M645" s="31">
        <f t="shared" si="19"/>
        <v>-0.90999999999999659</v>
      </c>
    </row>
    <row r="646" spans="1:13" x14ac:dyDescent="0.35">
      <c r="A646" s="28" t="s">
        <v>495</v>
      </c>
      <c r="B646" s="32">
        <v>2025</v>
      </c>
      <c r="C646" s="28" t="s">
        <v>499</v>
      </c>
      <c r="D646" s="29">
        <v>45733</v>
      </c>
      <c r="E646" s="28">
        <v>246779411601</v>
      </c>
      <c r="F646" s="28" t="s">
        <v>11</v>
      </c>
      <c r="G646" s="30">
        <v>23.39</v>
      </c>
      <c r="H646" s="28" t="s">
        <v>56</v>
      </c>
      <c r="I646" s="30">
        <v>2027.71</v>
      </c>
      <c r="J646" s="28" t="s">
        <v>867</v>
      </c>
      <c r="K646" s="28" cm="1">
        <f t="array" ref="K646:L646">VLOOKUP(E646,[2]A023951!D$1:H$1114,{3,5},0)</f>
        <v>-23.39</v>
      </c>
      <c r="L646" s="28">
        <v>-2035.92</v>
      </c>
      <c r="M646" s="31">
        <f t="shared" si="19"/>
        <v>-8.2100000000000364</v>
      </c>
    </row>
    <row r="647" spans="1:13" x14ac:dyDescent="0.35">
      <c r="A647" s="28" t="s">
        <v>495</v>
      </c>
      <c r="B647" s="32">
        <v>2025</v>
      </c>
      <c r="C647" s="28" t="s">
        <v>499</v>
      </c>
      <c r="D647" s="29">
        <v>45733</v>
      </c>
      <c r="E647" s="28">
        <v>246779411637</v>
      </c>
      <c r="F647" s="28" t="s">
        <v>11</v>
      </c>
      <c r="G647" s="30">
        <v>429.65</v>
      </c>
      <c r="H647" s="28" t="s">
        <v>56</v>
      </c>
      <c r="I647" s="30">
        <v>37246.9</v>
      </c>
      <c r="J647" s="28" t="s">
        <v>867</v>
      </c>
      <c r="K647" s="28" cm="1">
        <f t="array" ref="K647:L647">VLOOKUP(E647,[2]A023951!D$1:H$1114,{3,5},0)</f>
        <v>-429.65</v>
      </c>
      <c r="L647" s="28">
        <v>-37397.769999999997</v>
      </c>
      <c r="M647" s="31">
        <f t="shared" si="19"/>
        <v>-150.86999999999534</v>
      </c>
    </row>
    <row r="648" spans="1:13" x14ac:dyDescent="0.35">
      <c r="A648" s="28" t="s">
        <v>495</v>
      </c>
      <c r="B648" s="32">
        <v>2025</v>
      </c>
      <c r="C648" s="28" t="s">
        <v>499</v>
      </c>
      <c r="D648" s="29">
        <v>45733</v>
      </c>
      <c r="E648" s="28">
        <v>246779411717</v>
      </c>
      <c r="F648" s="28" t="s">
        <v>11</v>
      </c>
      <c r="G648" s="30">
        <v>45.67</v>
      </c>
      <c r="H648" s="28" t="s">
        <v>56</v>
      </c>
      <c r="I648" s="30">
        <v>3959.19</v>
      </c>
      <c r="J648" s="28" t="s">
        <v>818</v>
      </c>
      <c r="K648" s="28" cm="1">
        <f t="array" ref="K648:L648">VLOOKUP(E648,[2]A023951!D$1:H$1114,{3,5},0)</f>
        <v>-45.67</v>
      </c>
      <c r="L648" s="28">
        <v>-3975.23</v>
      </c>
      <c r="M648" s="31">
        <f t="shared" si="19"/>
        <v>-16.039999999999964</v>
      </c>
    </row>
    <row r="649" spans="1:13" x14ac:dyDescent="0.35">
      <c r="A649" s="28" t="s">
        <v>495</v>
      </c>
      <c r="B649" s="32">
        <v>2025</v>
      </c>
      <c r="C649" s="28" t="s">
        <v>499</v>
      </c>
      <c r="D649" s="29">
        <v>45733</v>
      </c>
      <c r="E649" s="28">
        <v>246779411723</v>
      </c>
      <c r="F649" s="28" t="s">
        <v>11</v>
      </c>
      <c r="G649" s="30">
        <v>45.67</v>
      </c>
      <c r="H649" s="28" t="s">
        <v>56</v>
      </c>
      <c r="I649" s="30">
        <v>3959.19</v>
      </c>
      <c r="J649" s="28" t="s">
        <v>818</v>
      </c>
      <c r="K649" s="28" cm="1">
        <f t="array" ref="K649:L649">VLOOKUP(E649,[2]A023951!D$1:H$1114,{3,5},0)</f>
        <v>-45.67</v>
      </c>
      <c r="L649" s="28">
        <v>-3975.23</v>
      </c>
      <c r="M649" s="31">
        <f t="shared" si="19"/>
        <v>-16.039999999999964</v>
      </c>
    </row>
    <row r="650" spans="1:13" x14ac:dyDescent="0.35">
      <c r="A650" s="28" t="s">
        <v>495</v>
      </c>
      <c r="B650" s="32">
        <v>2025</v>
      </c>
      <c r="C650" s="28" t="s">
        <v>499</v>
      </c>
      <c r="D650" s="29">
        <v>45733</v>
      </c>
      <c r="E650" s="28">
        <v>246779411724</v>
      </c>
      <c r="F650" s="28" t="s">
        <v>11</v>
      </c>
      <c r="G650" s="30">
        <v>68.5</v>
      </c>
      <c r="H650" s="28" t="s">
        <v>56</v>
      </c>
      <c r="I650" s="30">
        <v>5938.35</v>
      </c>
      <c r="J650" s="28" t="s">
        <v>818</v>
      </c>
      <c r="K650" s="28" cm="1">
        <f t="array" ref="K650:L650">VLOOKUP(E650,[2]A023951!D$1:H$1114,{3,5},0)</f>
        <v>-68.5</v>
      </c>
      <c r="L650" s="28">
        <v>-5962.41</v>
      </c>
      <c r="M650" s="31">
        <f t="shared" si="19"/>
        <v>-24.059999999999491</v>
      </c>
    </row>
    <row r="651" spans="1:13" x14ac:dyDescent="0.35">
      <c r="A651" s="28" t="s">
        <v>495</v>
      </c>
      <c r="B651" s="32">
        <v>2025</v>
      </c>
      <c r="C651" s="28" t="s">
        <v>499</v>
      </c>
      <c r="D651" s="29">
        <v>45733</v>
      </c>
      <c r="E651" s="28">
        <v>246779411725</v>
      </c>
      <c r="F651" s="28" t="s">
        <v>11</v>
      </c>
      <c r="G651" s="30">
        <v>22.83</v>
      </c>
      <c r="H651" s="28" t="s">
        <v>56</v>
      </c>
      <c r="I651" s="30">
        <v>1979.16</v>
      </c>
      <c r="J651" s="28" t="s">
        <v>818</v>
      </c>
      <c r="K651" s="28" cm="1">
        <f t="array" ref="K651:L651">VLOOKUP(E651,[2]A023951!D$1:H$1114,{3,5},0)</f>
        <v>-22.83</v>
      </c>
      <c r="L651" s="28">
        <v>-1987.18</v>
      </c>
      <c r="M651" s="31">
        <f t="shared" si="19"/>
        <v>-8.0199999999999818</v>
      </c>
    </row>
    <row r="652" spans="1:13" x14ac:dyDescent="0.35">
      <c r="A652" s="28" t="s">
        <v>495</v>
      </c>
      <c r="B652" s="32">
        <v>2025</v>
      </c>
      <c r="C652" s="28" t="s">
        <v>499</v>
      </c>
      <c r="D652" s="29">
        <v>45733</v>
      </c>
      <c r="E652" s="28">
        <v>246779411726</v>
      </c>
      <c r="F652" s="28" t="s">
        <v>11</v>
      </c>
      <c r="G652" s="30">
        <v>28.54</v>
      </c>
      <c r="H652" s="28" t="s">
        <v>56</v>
      </c>
      <c r="I652" s="30">
        <v>2474.17</v>
      </c>
      <c r="J652" s="28" t="s">
        <v>818</v>
      </c>
      <c r="K652" s="28" cm="1">
        <f t="array" ref="K652:L652">VLOOKUP(E652,[2]A023951!D$1:H$1114,{3,5},0)</f>
        <v>-28.54</v>
      </c>
      <c r="L652" s="28">
        <v>-2484.19</v>
      </c>
      <c r="M652" s="31">
        <f t="shared" si="19"/>
        <v>-10.019999999999982</v>
      </c>
    </row>
    <row r="653" spans="1:13" x14ac:dyDescent="0.35">
      <c r="A653" s="28" t="s">
        <v>495</v>
      </c>
      <c r="B653" s="32">
        <v>2025</v>
      </c>
      <c r="C653" s="28" t="s">
        <v>499</v>
      </c>
      <c r="D653" s="29">
        <v>45733</v>
      </c>
      <c r="E653" s="28">
        <v>246779411727</v>
      </c>
      <c r="F653" s="28" t="s">
        <v>11</v>
      </c>
      <c r="G653" s="30">
        <v>17.12</v>
      </c>
      <c r="H653" s="28" t="s">
        <v>56</v>
      </c>
      <c r="I653" s="30">
        <v>1484.15</v>
      </c>
      <c r="J653" s="28" t="s">
        <v>818</v>
      </c>
      <c r="K653" s="28" cm="1">
        <f t="array" ref="K653:L653">VLOOKUP(E653,[2]A023951!D$1:H$1114,{3,5},0)</f>
        <v>-17.12</v>
      </c>
      <c r="L653" s="28">
        <v>-1490.17</v>
      </c>
      <c r="M653" s="31">
        <f t="shared" si="19"/>
        <v>-6.0199999999999818</v>
      </c>
    </row>
    <row r="654" spans="1:13" x14ac:dyDescent="0.35">
      <c r="A654" s="28" t="s">
        <v>495</v>
      </c>
      <c r="B654" s="32">
        <v>2025</v>
      </c>
      <c r="C654" s="28" t="s">
        <v>499</v>
      </c>
      <c r="D654" s="29">
        <v>45733</v>
      </c>
      <c r="E654" s="28">
        <v>246779411728</v>
      </c>
      <c r="F654" s="28" t="s">
        <v>11</v>
      </c>
      <c r="G654" s="30">
        <v>11.42</v>
      </c>
      <c r="H654" s="28" t="s">
        <v>56</v>
      </c>
      <c r="I654" s="30">
        <v>990.01</v>
      </c>
      <c r="J654" s="28" t="s">
        <v>818</v>
      </c>
      <c r="K654" s="28" cm="1">
        <f t="array" ref="K654:L654">VLOOKUP(E654,[2]A023951!D$1:H$1114,{3,5},0)</f>
        <v>-11.42</v>
      </c>
      <c r="L654" s="28">
        <v>-994.02</v>
      </c>
      <c r="M654" s="31">
        <f t="shared" si="19"/>
        <v>-4.0099999999999909</v>
      </c>
    </row>
    <row r="655" spans="1:13" x14ac:dyDescent="0.35">
      <c r="A655" s="28" t="s">
        <v>495</v>
      </c>
      <c r="B655" s="32">
        <v>2025</v>
      </c>
      <c r="C655" s="28" t="s">
        <v>499</v>
      </c>
      <c r="D655" s="29">
        <v>45733</v>
      </c>
      <c r="E655" s="28">
        <v>246779411729</v>
      </c>
      <c r="F655" s="28" t="s">
        <v>11</v>
      </c>
      <c r="G655" s="30">
        <v>34.25</v>
      </c>
      <c r="H655" s="28" t="s">
        <v>56</v>
      </c>
      <c r="I655" s="30">
        <v>2969.18</v>
      </c>
      <c r="J655" s="28" t="s">
        <v>818</v>
      </c>
      <c r="K655" s="28" cm="1">
        <f t="array" ref="K655:L655">VLOOKUP(E655,[2]A023951!D$1:H$1114,{3,5},0)</f>
        <v>-34.25</v>
      </c>
      <c r="L655" s="28">
        <v>-2981.2</v>
      </c>
      <c r="M655" s="31">
        <f t="shared" si="19"/>
        <v>-12.019999999999982</v>
      </c>
    </row>
    <row r="656" spans="1:13" x14ac:dyDescent="0.35">
      <c r="A656" s="28" t="s">
        <v>495</v>
      </c>
      <c r="B656" s="32">
        <v>2025</v>
      </c>
      <c r="C656" s="28" t="s">
        <v>499</v>
      </c>
      <c r="D656" s="29">
        <v>45733</v>
      </c>
      <c r="E656" s="28">
        <v>246779411730</v>
      </c>
      <c r="F656" s="28" t="s">
        <v>11</v>
      </c>
      <c r="G656" s="30">
        <v>11.42</v>
      </c>
      <c r="H656" s="28" t="s">
        <v>56</v>
      </c>
      <c r="I656" s="30">
        <v>990.01</v>
      </c>
      <c r="J656" s="28" t="s">
        <v>818</v>
      </c>
      <c r="K656" s="28" cm="1">
        <f t="array" ref="K656:L656">VLOOKUP(E656,[2]A023951!D$1:H$1114,{3,5},0)</f>
        <v>-11.42</v>
      </c>
      <c r="L656" s="28">
        <v>-994.02</v>
      </c>
      <c r="M656" s="31">
        <f t="shared" si="19"/>
        <v>-4.0099999999999909</v>
      </c>
    </row>
    <row r="657" spans="1:13" x14ac:dyDescent="0.35">
      <c r="A657" s="28" t="s">
        <v>495</v>
      </c>
      <c r="B657" s="32">
        <v>2025</v>
      </c>
      <c r="C657" s="28" t="s">
        <v>499</v>
      </c>
      <c r="D657" s="29">
        <v>45733</v>
      </c>
      <c r="E657" s="28">
        <v>246779411731</v>
      </c>
      <c r="F657" s="28" t="s">
        <v>11</v>
      </c>
      <c r="G657" s="30">
        <v>22.83</v>
      </c>
      <c r="H657" s="28" t="s">
        <v>56</v>
      </c>
      <c r="I657" s="30">
        <v>1979.16</v>
      </c>
      <c r="J657" s="28" t="s">
        <v>818</v>
      </c>
      <c r="K657" s="28" cm="1">
        <f t="array" ref="K657:L657">VLOOKUP(E657,[2]A023951!D$1:H$1114,{3,5},0)</f>
        <v>-22.83</v>
      </c>
      <c r="L657" s="28">
        <v>-1987.18</v>
      </c>
      <c r="M657" s="31">
        <f t="shared" si="19"/>
        <v>-8.0199999999999818</v>
      </c>
    </row>
    <row r="658" spans="1:13" x14ac:dyDescent="0.35">
      <c r="A658" s="28" t="s">
        <v>495</v>
      </c>
      <c r="B658" s="32">
        <v>2025</v>
      </c>
      <c r="C658" s="28" t="s">
        <v>499</v>
      </c>
      <c r="D658" s="29">
        <v>45733</v>
      </c>
      <c r="E658" s="28">
        <v>246779411732</v>
      </c>
      <c r="F658" s="28" t="s">
        <v>11</v>
      </c>
      <c r="G658" s="30">
        <v>28.54</v>
      </c>
      <c r="H658" s="28" t="s">
        <v>56</v>
      </c>
      <c r="I658" s="30">
        <v>2474.17</v>
      </c>
      <c r="J658" s="28" t="s">
        <v>818</v>
      </c>
      <c r="K658" s="28" cm="1">
        <f t="array" ref="K658:L658">VLOOKUP(E658,[2]A023951!D$1:H$1114,{3,5},0)</f>
        <v>-28.54</v>
      </c>
      <c r="L658" s="28">
        <v>-2484.19</v>
      </c>
      <c r="M658" s="31">
        <f t="shared" si="19"/>
        <v>-10.019999999999982</v>
      </c>
    </row>
    <row r="659" spans="1:13" x14ac:dyDescent="0.35">
      <c r="A659" s="28" t="s">
        <v>495</v>
      </c>
      <c r="B659" s="32">
        <v>2025</v>
      </c>
      <c r="C659" s="28" t="s">
        <v>499</v>
      </c>
      <c r="D659" s="29">
        <v>45733</v>
      </c>
      <c r="E659" s="28">
        <v>246779411897</v>
      </c>
      <c r="F659" s="28" t="s">
        <v>11</v>
      </c>
      <c r="G659" s="30">
        <v>22.72</v>
      </c>
      <c r="H659" s="28" t="s">
        <v>56</v>
      </c>
      <c r="I659" s="30">
        <v>1969.63</v>
      </c>
      <c r="J659" s="28" t="s">
        <v>819</v>
      </c>
      <c r="K659" s="28" cm="1">
        <f t="array" ref="K659:L659">VLOOKUP(E659,[2]A023951!D$1:H$1114,{3,5},0)</f>
        <v>-22.72</v>
      </c>
      <c r="L659" s="28">
        <v>-1977.6</v>
      </c>
      <c r="M659" s="31">
        <f t="shared" si="19"/>
        <v>-7.9699999999997999</v>
      </c>
    </row>
    <row r="660" spans="1:13" x14ac:dyDescent="0.35">
      <c r="A660" s="28" t="s">
        <v>495</v>
      </c>
      <c r="B660" s="32">
        <v>2025</v>
      </c>
      <c r="C660" s="28" t="s">
        <v>499</v>
      </c>
      <c r="D660" s="29">
        <v>45733</v>
      </c>
      <c r="E660" s="28">
        <v>246779411898</v>
      </c>
      <c r="F660" s="28" t="s">
        <v>11</v>
      </c>
      <c r="G660" s="30">
        <v>7.1</v>
      </c>
      <c r="H660" s="28" t="s">
        <v>56</v>
      </c>
      <c r="I660" s="30">
        <v>615.51</v>
      </c>
      <c r="J660" s="28" t="s">
        <v>819</v>
      </c>
      <c r="K660" s="28" cm="1">
        <f t="array" ref="K660:L660">VLOOKUP(E660,[2]A023951!D$1:H$1114,{3,5},0)</f>
        <v>-7.1</v>
      </c>
      <c r="L660" s="28">
        <v>-618</v>
      </c>
      <c r="M660" s="31">
        <f t="shared" si="19"/>
        <v>-2.4900000000000091</v>
      </c>
    </row>
    <row r="661" spans="1:13" x14ac:dyDescent="0.35">
      <c r="A661" s="28" t="s">
        <v>495</v>
      </c>
      <c r="B661" s="32">
        <v>2025</v>
      </c>
      <c r="C661" s="28" t="s">
        <v>499</v>
      </c>
      <c r="D661" s="29">
        <v>45733</v>
      </c>
      <c r="E661" s="28">
        <v>246779411899</v>
      </c>
      <c r="F661" s="28" t="s">
        <v>11</v>
      </c>
      <c r="G661" s="30">
        <v>62.49</v>
      </c>
      <c r="H661" s="28" t="s">
        <v>56</v>
      </c>
      <c r="I661" s="30">
        <v>5417.34</v>
      </c>
      <c r="J661" s="28" t="s">
        <v>819</v>
      </c>
      <c r="K661" s="28" cm="1">
        <f t="array" ref="K661:L661">VLOOKUP(E661,[2]A023951!D$1:H$1114,{3,5},0)</f>
        <v>-62.49</v>
      </c>
      <c r="L661" s="28">
        <v>-5439.28</v>
      </c>
      <c r="M661" s="31">
        <f t="shared" si="19"/>
        <v>-21.9399999999996</v>
      </c>
    </row>
    <row r="662" spans="1:13" x14ac:dyDescent="0.35">
      <c r="A662" s="28" t="s">
        <v>495</v>
      </c>
      <c r="B662" s="32">
        <v>2025</v>
      </c>
      <c r="C662" s="28" t="s">
        <v>499</v>
      </c>
      <c r="D662" s="29">
        <v>45733</v>
      </c>
      <c r="E662" s="28">
        <v>246779411900</v>
      </c>
      <c r="F662" s="28" t="s">
        <v>11</v>
      </c>
      <c r="G662" s="30">
        <v>73.849999999999994</v>
      </c>
      <c r="H662" s="28" t="s">
        <v>56</v>
      </c>
      <c r="I662" s="30">
        <v>6402.15</v>
      </c>
      <c r="J662" s="28" t="s">
        <v>819</v>
      </c>
      <c r="K662" s="28" cm="1">
        <f t="array" ref="K662:L662">VLOOKUP(E662,[2]A023951!D$1:H$1114,{3,5},0)</f>
        <v>-73.849999999999994</v>
      </c>
      <c r="L662" s="28">
        <v>-6428.08</v>
      </c>
      <c r="M662" s="31">
        <f t="shared" si="19"/>
        <v>-25.930000000000291</v>
      </c>
    </row>
    <row r="663" spans="1:13" x14ac:dyDescent="0.35">
      <c r="A663" s="28" t="s">
        <v>495</v>
      </c>
      <c r="B663" s="32">
        <v>2025</v>
      </c>
      <c r="C663" s="28" t="s">
        <v>499</v>
      </c>
      <c r="D663" s="29">
        <v>45733</v>
      </c>
      <c r="E663" s="28">
        <v>246779411901</v>
      </c>
      <c r="F663" s="28" t="s">
        <v>11</v>
      </c>
      <c r="G663" s="30">
        <v>12.78</v>
      </c>
      <c r="H663" s="28" t="s">
        <v>56</v>
      </c>
      <c r="I663" s="30">
        <v>1107.9100000000001</v>
      </c>
      <c r="J663" s="28" t="s">
        <v>819</v>
      </c>
      <c r="K663" s="28" cm="1">
        <f t="array" ref="K663:L663">VLOOKUP(E663,[2]A023951!D$1:H$1114,{3,5},0)</f>
        <v>-12.78</v>
      </c>
      <c r="L663" s="28">
        <v>-1112.4000000000001</v>
      </c>
      <c r="M663" s="31">
        <f t="shared" si="19"/>
        <v>-4.4900000000000091</v>
      </c>
    </row>
    <row r="664" spans="1:13" x14ac:dyDescent="0.35">
      <c r="A664" s="28" t="s">
        <v>495</v>
      </c>
      <c r="B664" s="32">
        <v>2025</v>
      </c>
      <c r="C664" s="28" t="s">
        <v>499</v>
      </c>
      <c r="D664" s="29">
        <v>45733</v>
      </c>
      <c r="E664" s="28">
        <v>246779411902</v>
      </c>
      <c r="F664" s="28" t="s">
        <v>11</v>
      </c>
      <c r="G664" s="30">
        <v>2.13</v>
      </c>
      <c r="H664" s="28" t="s">
        <v>56</v>
      </c>
      <c r="I664" s="30">
        <v>184.65</v>
      </c>
      <c r="J664" s="28" t="s">
        <v>819</v>
      </c>
      <c r="K664" s="28" cm="1">
        <f t="array" ref="K664:L664">VLOOKUP(E664,[2]A023951!D$1:H$1114,{3,5},0)</f>
        <v>-2.13</v>
      </c>
      <c r="L664" s="28">
        <v>-185.4</v>
      </c>
      <c r="M664" s="31">
        <f t="shared" si="19"/>
        <v>-0.75</v>
      </c>
    </row>
    <row r="665" spans="1:13" x14ac:dyDescent="0.35">
      <c r="A665" s="28" t="s">
        <v>495</v>
      </c>
      <c r="B665" s="32">
        <v>2025</v>
      </c>
      <c r="C665" s="28" t="s">
        <v>499</v>
      </c>
      <c r="D665" s="29">
        <v>45733</v>
      </c>
      <c r="E665" s="28">
        <v>246779411903</v>
      </c>
      <c r="F665" s="28" t="s">
        <v>11</v>
      </c>
      <c r="G665" s="30">
        <v>3.55</v>
      </c>
      <c r="H665" s="28" t="s">
        <v>56</v>
      </c>
      <c r="I665" s="30">
        <v>307.75</v>
      </c>
      <c r="J665" s="28" t="s">
        <v>819</v>
      </c>
      <c r="K665" s="28" cm="1">
        <f t="array" ref="K665:L665">VLOOKUP(E665,[2]A023951!D$1:H$1114,{3,5},0)</f>
        <v>-3.55</v>
      </c>
      <c r="L665" s="28">
        <v>-309</v>
      </c>
      <c r="M665" s="31">
        <f t="shared" si="19"/>
        <v>-1.25</v>
      </c>
    </row>
    <row r="666" spans="1:13" x14ac:dyDescent="0.35">
      <c r="A666" s="28" t="s">
        <v>495</v>
      </c>
      <c r="B666" s="32">
        <v>2025</v>
      </c>
      <c r="C666" s="28" t="s">
        <v>499</v>
      </c>
      <c r="D666" s="29">
        <v>45733</v>
      </c>
      <c r="E666" s="28">
        <v>246779411904</v>
      </c>
      <c r="F666" s="28" t="s">
        <v>11</v>
      </c>
      <c r="G666" s="30">
        <v>58.94</v>
      </c>
      <c r="H666" s="28" t="s">
        <v>56</v>
      </c>
      <c r="I666" s="30">
        <v>5109.58</v>
      </c>
      <c r="J666" s="28" t="s">
        <v>819</v>
      </c>
      <c r="K666" s="28" cm="1">
        <f t="array" ref="K666:L666">VLOOKUP(E666,[2]A023951!D$1:H$1114,{3,5},0)</f>
        <v>-58.94</v>
      </c>
      <c r="L666" s="28">
        <v>-5130.28</v>
      </c>
      <c r="M666" s="31">
        <f t="shared" si="19"/>
        <v>-20.699999999999818</v>
      </c>
    </row>
    <row r="667" spans="1:13" x14ac:dyDescent="0.35">
      <c r="A667" s="28" t="s">
        <v>495</v>
      </c>
      <c r="B667" s="32">
        <v>2025</v>
      </c>
      <c r="C667" s="28" t="s">
        <v>499</v>
      </c>
      <c r="D667" s="29">
        <v>45733</v>
      </c>
      <c r="E667" s="28">
        <v>246779411905</v>
      </c>
      <c r="F667" s="28" t="s">
        <v>11</v>
      </c>
      <c r="G667" s="30">
        <v>7.1</v>
      </c>
      <c r="H667" s="28" t="s">
        <v>56</v>
      </c>
      <c r="I667" s="30">
        <v>615.51</v>
      </c>
      <c r="J667" s="28" t="s">
        <v>819</v>
      </c>
      <c r="K667" s="28" cm="1">
        <f t="array" ref="K667:L667">VLOOKUP(E667,[2]A023951!D$1:H$1114,{3,5},0)</f>
        <v>-7.1</v>
      </c>
      <c r="L667" s="28">
        <v>-618</v>
      </c>
      <c r="M667" s="31">
        <f t="shared" si="19"/>
        <v>-2.4900000000000091</v>
      </c>
    </row>
    <row r="668" spans="1:13" x14ac:dyDescent="0.35">
      <c r="A668" s="28" t="s">
        <v>495</v>
      </c>
      <c r="B668" s="32">
        <v>2025</v>
      </c>
      <c r="C668" s="28" t="s">
        <v>499</v>
      </c>
      <c r="D668" s="29">
        <v>45733</v>
      </c>
      <c r="E668" s="28">
        <v>246779411906</v>
      </c>
      <c r="F668" s="28" t="s">
        <v>11</v>
      </c>
      <c r="G668" s="30">
        <v>34.090000000000003</v>
      </c>
      <c r="H668" s="28" t="s">
        <v>56</v>
      </c>
      <c r="I668" s="30">
        <v>2955.31</v>
      </c>
      <c r="J668" s="28" t="s">
        <v>819</v>
      </c>
      <c r="K668" s="28" cm="1">
        <f t="array" ref="K668:L668">VLOOKUP(E668,[2]A023951!D$1:H$1114,{3,5},0)</f>
        <v>-34.090000000000003</v>
      </c>
      <c r="L668" s="28">
        <v>-2967.28</v>
      </c>
      <c r="M668" s="31">
        <f t="shared" si="19"/>
        <v>-11.970000000000255</v>
      </c>
    </row>
    <row r="669" spans="1:13" x14ac:dyDescent="0.35">
      <c r="A669" s="28" t="s">
        <v>495</v>
      </c>
      <c r="B669" s="32">
        <v>2025</v>
      </c>
      <c r="C669" s="28" t="s">
        <v>499</v>
      </c>
      <c r="D669" s="29">
        <v>45733</v>
      </c>
      <c r="E669" s="28">
        <v>246779411907</v>
      </c>
      <c r="F669" s="28" t="s">
        <v>11</v>
      </c>
      <c r="G669" s="30">
        <v>17.04</v>
      </c>
      <c r="H669" s="28" t="s">
        <v>56</v>
      </c>
      <c r="I669" s="30">
        <v>1477.22</v>
      </c>
      <c r="J669" s="28" t="s">
        <v>819</v>
      </c>
      <c r="K669" s="28" cm="1">
        <f t="array" ref="K669:L669">VLOOKUP(E669,[2]A023951!D$1:H$1114,{3,5},0)</f>
        <v>-17.04</v>
      </c>
      <c r="L669" s="28">
        <v>-1483.2</v>
      </c>
      <c r="M669" s="31">
        <f t="shared" si="19"/>
        <v>-5.9800000000000182</v>
      </c>
    </row>
    <row r="670" spans="1:13" x14ac:dyDescent="0.35">
      <c r="A670" s="28" t="s">
        <v>495</v>
      </c>
      <c r="B670" s="32">
        <v>2025</v>
      </c>
      <c r="C670" s="28" t="s">
        <v>499</v>
      </c>
      <c r="D670" s="29">
        <v>45733</v>
      </c>
      <c r="E670" s="28">
        <v>246779411908</v>
      </c>
      <c r="F670" s="28" t="s">
        <v>11</v>
      </c>
      <c r="G670" s="30">
        <v>28.41</v>
      </c>
      <c r="H670" s="28" t="s">
        <v>56</v>
      </c>
      <c r="I670" s="30">
        <v>2462.9</v>
      </c>
      <c r="J670" s="28" t="s">
        <v>819</v>
      </c>
      <c r="K670" s="28" cm="1">
        <f t="array" ref="K670:L670">VLOOKUP(E670,[2]A023951!D$1:H$1114,{3,5},0)</f>
        <v>-28.41</v>
      </c>
      <c r="L670" s="28">
        <v>-2472.88</v>
      </c>
      <c r="M670" s="31">
        <f t="shared" ref="M670:M701" si="20">I670+L670</f>
        <v>-9.9800000000000182</v>
      </c>
    </row>
    <row r="671" spans="1:13" x14ac:dyDescent="0.35">
      <c r="A671" s="28" t="s">
        <v>495</v>
      </c>
      <c r="B671" s="32">
        <v>2025</v>
      </c>
      <c r="C671" s="28" t="s">
        <v>499</v>
      </c>
      <c r="D671" s="29">
        <v>45733</v>
      </c>
      <c r="E671" s="28">
        <v>246779411909</v>
      </c>
      <c r="F671" s="28" t="s">
        <v>11</v>
      </c>
      <c r="G671" s="30">
        <v>28.41</v>
      </c>
      <c r="H671" s="28" t="s">
        <v>56</v>
      </c>
      <c r="I671" s="30">
        <v>2462.9</v>
      </c>
      <c r="J671" s="28" t="s">
        <v>819</v>
      </c>
      <c r="K671" s="28" cm="1">
        <f t="array" ref="K671:L671">VLOOKUP(E671,[2]A023951!D$1:H$1114,{3,5},0)</f>
        <v>-28.41</v>
      </c>
      <c r="L671" s="28">
        <v>-2472.88</v>
      </c>
      <c r="M671" s="31">
        <f t="shared" si="20"/>
        <v>-9.9800000000000182</v>
      </c>
    </row>
    <row r="672" spans="1:13" x14ac:dyDescent="0.35">
      <c r="A672" s="28" t="s">
        <v>495</v>
      </c>
      <c r="B672" s="32">
        <v>2025</v>
      </c>
      <c r="C672" s="28" t="s">
        <v>499</v>
      </c>
      <c r="D672" s="29">
        <v>45733</v>
      </c>
      <c r="E672" s="28">
        <v>246779411910</v>
      </c>
      <c r="F672" s="28" t="s">
        <v>11</v>
      </c>
      <c r="G672" s="30">
        <v>28.41</v>
      </c>
      <c r="H672" s="28" t="s">
        <v>56</v>
      </c>
      <c r="I672" s="30">
        <v>2462.9</v>
      </c>
      <c r="J672" s="28" t="s">
        <v>819</v>
      </c>
      <c r="K672" s="28" cm="1">
        <f t="array" ref="K672:L672">VLOOKUP(E672,[2]A023951!D$1:H$1114,{3,5},0)</f>
        <v>-28.41</v>
      </c>
      <c r="L672" s="28">
        <v>-2472.88</v>
      </c>
      <c r="M672" s="31">
        <f t="shared" si="20"/>
        <v>-9.9800000000000182</v>
      </c>
    </row>
    <row r="673" spans="1:13" x14ac:dyDescent="0.35">
      <c r="A673" s="28" t="s">
        <v>495</v>
      </c>
      <c r="B673" s="32">
        <v>2025</v>
      </c>
      <c r="C673" s="28" t="s">
        <v>499</v>
      </c>
      <c r="D673" s="29">
        <v>45733</v>
      </c>
      <c r="E673" s="28">
        <v>246779411911</v>
      </c>
      <c r="F673" s="28" t="s">
        <v>11</v>
      </c>
      <c r="G673" s="30">
        <v>29.83</v>
      </c>
      <c r="H673" s="28" t="s">
        <v>56</v>
      </c>
      <c r="I673" s="30">
        <v>2586</v>
      </c>
      <c r="J673" s="28" t="s">
        <v>819</v>
      </c>
      <c r="K673" s="28" cm="1">
        <f t="array" ref="K673:L673">VLOOKUP(E673,[2]A023951!D$1:H$1114,{3,5},0)</f>
        <v>-29.83</v>
      </c>
      <c r="L673" s="28">
        <v>-2596.48</v>
      </c>
      <c r="M673" s="31">
        <f t="shared" si="20"/>
        <v>-10.480000000000018</v>
      </c>
    </row>
    <row r="674" spans="1:13" x14ac:dyDescent="0.35">
      <c r="A674" s="28" t="s">
        <v>495</v>
      </c>
      <c r="B674" s="32">
        <v>2025</v>
      </c>
      <c r="C674" s="28" t="s">
        <v>499</v>
      </c>
      <c r="D674" s="29">
        <v>45733</v>
      </c>
      <c r="E674" s="28">
        <v>246779411912</v>
      </c>
      <c r="F674" s="28" t="s">
        <v>11</v>
      </c>
      <c r="G674" s="30">
        <v>11.36</v>
      </c>
      <c r="H674" s="28" t="s">
        <v>56</v>
      </c>
      <c r="I674" s="30">
        <v>984.81</v>
      </c>
      <c r="J674" s="28" t="s">
        <v>819</v>
      </c>
      <c r="K674" s="28" cm="1">
        <f t="array" ref="K674:L674">VLOOKUP(E674,[2]A023951!D$1:H$1114,{3,5},0)</f>
        <v>-11.36</v>
      </c>
      <c r="L674" s="28">
        <v>-988.8</v>
      </c>
      <c r="M674" s="31">
        <f t="shared" si="20"/>
        <v>-3.9900000000000091</v>
      </c>
    </row>
    <row r="675" spans="1:13" x14ac:dyDescent="0.35">
      <c r="A675" s="28" t="s">
        <v>495</v>
      </c>
      <c r="B675" s="32">
        <v>2025</v>
      </c>
      <c r="C675" s="28" t="s">
        <v>499</v>
      </c>
      <c r="D675" s="29">
        <v>45733</v>
      </c>
      <c r="E675" s="28">
        <v>246779411913</v>
      </c>
      <c r="F675" s="28" t="s">
        <v>11</v>
      </c>
      <c r="G675" s="30">
        <v>28.41</v>
      </c>
      <c r="H675" s="28" t="s">
        <v>56</v>
      </c>
      <c r="I675" s="30">
        <v>2462.9</v>
      </c>
      <c r="J675" s="28" t="s">
        <v>819</v>
      </c>
      <c r="K675" s="28" cm="1">
        <f t="array" ref="K675:L675">VLOOKUP(E675,[2]A023951!D$1:H$1114,{3,5},0)</f>
        <v>-28.41</v>
      </c>
      <c r="L675" s="28">
        <v>-2472.88</v>
      </c>
      <c r="M675" s="31">
        <f t="shared" si="20"/>
        <v>-9.9800000000000182</v>
      </c>
    </row>
    <row r="676" spans="1:13" x14ac:dyDescent="0.35">
      <c r="A676" s="28" t="s">
        <v>495</v>
      </c>
      <c r="B676" s="32">
        <v>2025</v>
      </c>
      <c r="C676" s="28" t="s">
        <v>499</v>
      </c>
      <c r="D676" s="29">
        <v>45733</v>
      </c>
      <c r="E676" s="28">
        <v>246779411914</v>
      </c>
      <c r="F676" s="28" t="s">
        <v>11</v>
      </c>
      <c r="G676" s="30">
        <v>260</v>
      </c>
      <c r="H676" s="28" t="s">
        <v>56</v>
      </c>
      <c r="I676" s="30">
        <v>22539.73</v>
      </c>
      <c r="J676" s="28" t="s">
        <v>819</v>
      </c>
      <c r="K676" s="28" cm="1">
        <f t="array" ref="K676:L676">VLOOKUP(E676,[2]A023951!D$1:H$1114,{3,5},0)</f>
        <v>-260</v>
      </c>
      <c r="L676" s="28">
        <v>-22631.03</v>
      </c>
      <c r="M676" s="31">
        <f t="shared" si="20"/>
        <v>-91.299999999999272</v>
      </c>
    </row>
    <row r="677" spans="1:13" x14ac:dyDescent="0.35">
      <c r="A677" s="28" t="s">
        <v>495</v>
      </c>
      <c r="B677" s="32">
        <v>2025</v>
      </c>
      <c r="C677" s="28" t="s">
        <v>499</v>
      </c>
      <c r="D677" s="29">
        <v>45733</v>
      </c>
      <c r="E677" s="28">
        <v>246779412028</v>
      </c>
      <c r="F677" s="28" t="s">
        <v>11</v>
      </c>
      <c r="G677" s="30">
        <v>28.03</v>
      </c>
      <c r="H677" s="28" t="s">
        <v>56</v>
      </c>
      <c r="I677" s="30">
        <v>2429.96</v>
      </c>
      <c r="J677" s="28" t="s">
        <v>820</v>
      </c>
      <c r="K677" s="28" cm="1">
        <f t="array" ref="K677:L677">VLOOKUP(E677,[2]A023951!D$1:H$1114,{3,5},0)</f>
        <v>-28.03</v>
      </c>
      <c r="L677" s="28">
        <v>-2439.8000000000002</v>
      </c>
      <c r="M677" s="31">
        <f t="shared" si="20"/>
        <v>-9.8400000000001455</v>
      </c>
    </row>
    <row r="678" spans="1:13" x14ac:dyDescent="0.35">
      <c r="A678" s="28" t="s">
        <v>495</v>
      </c>
      <c r="B678" s="32">
        <v>2025</v>
      </c>
      <c r="C678" s="28" t="s">
        <v>499</v>
      </c>
      <c r="D678" s="29">
        <v>45733</v>
      </c>
      <c r="E678" s="28">
        <v>246779412029</v>
      </c>
      <c r="F678" s="28" t="s">
        <v>11</v>
      </c>
      <c r="G678" s="30">
        <v>22.42</v>
      </c>
      <c r="H678" s="28" t="s">
        <v>56</v>
      </c>
      <c r="I678" s="30">
        <v>1943.62</v>
      </c>
      <c r="J678" s="28" t="s">
        <v>820</v>
      </c>
      <c r="K678" s="28" cm="1">
        <f t="array" ref="K678:L678">VLOOKUP(E678,[2]A023951!D$1:H$1114,{3,5},0)</f>
        <v>-22.42</v>
      </c>
      <c r="L678" s="28">
        <v>-1951.49</v>
      </c>
      <c r="M678" s="31">
        <f t="shared" si="20"/>
        <v>-7.8700000000001182</v>
      </c>
    </row>
    <row r="679" spans="1:13" x14ac:dyDescent="0.35">
      <c r="A679" s="28" t="s">
        <v>495</v>
      </c>
      <c r="B679" s="32">
        <v>2025</v>
      </c>
      <c r="C679" s="28" t="s">
        <v>499</v>
      </c>
      <c r="D679" s="29">
        <v>45733</v>
      </c>
      <c r="E679" s="28">
        <v>246779412030</v>
      </c>
      <c r="F679" s="28" t="s">
        <v>11</v>
      </c>
      <c r="G679" s="30">
        <v>16.82</v>
      </c>
      <c r="H679" s="28" t="s">
        <v>56</v>
      </c>
      <c r="I679" s="30">
        <v>1458.15</v>
      </c>
      <c r="J679" s="28" t="s">
        <v>820</v>
      </c>
      <c r="K679" s="28" cm="1">
        <f t="array" ref="K679:L679">VLOOKUP(E679,[2]A023951!D$1:H$1114,{3,5},0)</f>
        <v>-16.82</v>
      </c>
      <c r="L679" s="28">
        <v>-1464.05</v>
      </c>
      <c r="M679" s="31">
        <f t="shared" si="20"/>
        <v>-5.8999999999998636</v>
      </c>
    </row>
    <row r="680" spans="1:13" x14ac:dyDescent="0.35">
      <c r="A680" s="28" t="s">
        <v>495</v>
      </c>
      <c r="B680" s="32">
        <v>2025</v>
      </c>
      <c r="C680" s="28" t="s">
        <v>499</v>
      </c>
      <c r="D680" s="29">
        <v>45733</v>
      </c>
      <c r="E680" s="28">
        <v>246779412031</v>
      </c>
      <c r="F680" s="28" t="s">
        <v>11</v>
      </c>
      <c r="G680" s="30">
        <v>28.03</v>
      </c>
      <c r="H680" s="28" t="s">
        <v>56</v>
      </c>
      <c r="I680" s="30">
        <v>2429.96</v>
      </c>
      <c r="J680" s="28" t="s">
        <v>820</v>
      </c>
      <c r="K680" s="28" cm="1">
        <f t="array" ref="K680:L680">VLOOKUP(E680,[2]A023951!D$1:H$1114,{3,5},0)</f>
        <v>-28.03</v>
      </c>
      <c r="L680" s="28">
        <v>-2439.8000000000002</v>
      </c>
      <c r="M680" s="31">
        <f t="shared" si="20"/>
        <v>-9.8400000000001455</v>
      </c>
    </row>
    <row r="681" spans="1:13" x14ac:dyDescent="0.35">
      <c r="A681" s="28" t="s">
        <v>495</v>
      </c>
      <c r="B681" s="32">
        <v>2025</v>
      </c>
      <c r="C681" s="28" t="s">
        <v>499</v>
      </c>
      <c r="D681" s="29">
        <v>45733</v>
      </c>
      <c r="E681" s="28">
        <v>246779412032</v>
      </c>
      <c r="F681" s="28" t="s">
        <v>11</v>
      </c>
      <c r="G681" s="30">
        <v>33.64</v>
      </c>
      <c r="H681" s="28" t="s">
        <v>56</v>
      </c>
      <c r="I681" s="30">
        <v>2916.29</v>
      </c>
      <c r="J681" s="28" t="s">
        <v>820</v>
      </c>
      <c r="K681" s="28" cm="1">
        <f t="array" ref="K681:L681">VLOOKUP(E681,[2]A023951!D$1:H$1114,{3,5},0)</f>
        <v>-33.64</v>
      </c>
      <c r="L681" s="28">
        <v>-2928.11</v>
      </c>
      <c r="M681" s="31">
        <f t="shared" si="20"/>
        <v>-11.820000000000164</v>
      </c>
    </row>
    <row r="682" spans="1:13" x14ac:dyDescent="0.35">
      <c r="A682" s="28" t="s">
        <v>495</v>
      </c>
      <c r="B682" s="32">
        <v>2025</v>
      </c>
      <c r="C682" s="28" t="s">
        <v>499</v>
      </c>
      <c r="D682" s="29">
        <v>45733</v>
      </c>
      <c r="E682" s="28">
        <v>246779412033</v>
      </c>
      <c r="F682" s="28" t="s">
        <v>11</v>
      </c>
      <c r="G682" s="30">
        <v>22.42</v>
      </c>
      <c r="H682" s="28" t="s">
        <v>56</v>
      </c>
      <c r="I682" s="30">
        <v>1943.62</v>
      </c>
      <c r="J682" s="28" t="s">
        <v>820</v>
      </c>
      <c r="K682" s="28" cm="1">
        <f t="array" ref="K682:L682">VLOOKUP(E682,[2]A023951!D$1:H$1114,{3,5},0)</f>
        <v>-22.42</v>
      </c>
      <c r="L682" s="28">
        <v>-1951.49</v>
      </c>
      <c r="M682" s="31">
        <f t="shared" si="20"/>
        <v>-7.8700000000001182</v>
      </c>
    </row>
    <row r="683" spans="1:13" x14ac:dyDescent="0.35">
      <c r="A683" s="28" t="s">
        <v>495</v>
      </c>
      <c r="B683" s="32">
        <v>2025</v>
      </c>
      <c r="C683" s="28" t="s">
        <v>499</v>
      </c>
      <c r="D683" s="29">
        <v>45733</v>
      </c>
      <c r="E683" s="28">
        <v>246779412034</v>
      </c>
      <c r="F683" s="28" t="s">
        <v>11</v>
      </c>
      <c r="G683" s="30">
        <v>33.64</v>
      </c>
      <c r="H683" s="28" t="s">
        <v>56</v>
      </c>
      <c r="I683" s="30">
        <v>2916.29</v>
      </c>
      <c r="J683" s="28" t="s">
        <v>820</v>
      </c>
      <c r="K683" s="28" cm="1">
        <f t="array" ref="K683:L683">VLOOKUP(E683,[2]A023951!D$1:H$1114,{3,5},0)</f>
        <v>-33.64</v>
      </c>
      <c r="L683" s="28">
        <v>-2928.11</v>
      </c>
      <c r="M683" s="31">
        <f t="shared" si="20"/>
        <v>-11.820000000000164</v>
      </c>
    </row>
    <row r="684" spans="1:13" x14ac:dyDescent="0.35">
      <c r="A684" s="28" t="s">
        <v>495</v>
      </c>
      <c r="B684" s="32">
        <v>2025</v>
      </c>
      <c r="C684" s="28" t="s">
        <v>499</v>
      </c>
      <c r="D684" s="29">
        <v>45733</v>
      </c>
      <c r="E684" s="28">
        <v>246779412035</v>
      </c>
      <c r="F684" s="28" t="s">
        <v>11</v>
      </c>
      <c r="G684" s="30">
        <v>72.88</v>
      </c>
      <c r="H684" s="28" t="s">
        <v>56</v>
      </c>
      <c r="I684" s="30">
        <v>6318.06</v>
      </c>
      <c r="J684" s="28" t="s">
        <v>820</v>
      </c>
      <c r="K684" s="28" cm="1">
        <f t="array" ref="K684:L684">VLOOKUP(E684,[2]A023951!D$1:H$1114,{3,5},0)</f>
        <v>-72.88</v>
      </c>
      <c r="L684" s="28">
        <v>-6343.65</v>
      </c>
      <c r="M684" s="31">
        <f t="shared" si="20"/>
        <v>-25.589999999999236</v>
      </c>
    </row>
    <row r="685" spans="1:13" x14ac:dyDescent="0.35">
      <c r="A685" s="28" t="s">
        <v>495</v>
      </c>
      <c r="B685" s="32">
        <v>2025</v>
      </c>
      <c r="C685" s="28" t="s">
        <v>499</v>
      </c>
      <c r="D685" s="29">
        <v>45733</v>
      </c>
      <c r="E685" s="28">
        <v>246779412036</v>
      </c>
      <c r="F685" s="28" t="s">
        <v>11</v>
      </c>
      <c r="G685" s="30">
        <v>28.03</v>
      </c>
      <c r="H685" s="28" t="s">
        <v>56</v>
      </c>
      <c r="I685" s="30">
        <v>2429.96</v>
      </c>
      <c r="J685" s="28" t="s">
        <v>820</v>
      </c>
      <c r="K685" s="28" cm="1">
        <f t="array" ref="K685:L685">VLOOKUP(E685,[2]A023951!D$1:H$1114,{3,5},0)</f>
        <v>-28.03</v>
      </c>
      <c r="L685" s="28">
        <v>-2439.8000000000002</v>
      </c>
      <c r="M685" s="31">
        <f t="shared" si="20"/>
        <v>-9.8400000000001455</v>
      </c>
    </row>
    <row r="686" spans="1:13" x14ac:dyDescent="0.35">
      <c r="A686" s="28" t="s">
        <v>495</v>
      </c>
      <c r="B686" s="32">
        <v>2025</v>
      </c>
      <c r="C686" s="28" t="s">
        <v>499</v>
      </c>
      <c r="D686" s="29">
        <v>45733</v>
      </c>
      <c r="E686" s="28">
        <v>246779412037</v>
      </c>
      <c r="F686" s="28" t="s">
        <v>11</v>
      </c>
      <c r="G686" s="30">
        <v>44.85</v>
      </c>
      <c r="H686" s="28" t="s">
        <v>56</v>
      </c>
      <c r="I686" s="30">
        <v>3888.1</v>
      </c>
      <c r="J686" s="28" t="s">
        <v>820</v>
      </c>
      <c r="K686" s="28" cm="1">
        <f t="array" ref="K686:L686">VLOOKUP(E686,[2]A023951!D$1:H$1114,{3,5},0)</f>
        <v>-44.85</v>
      </c>
      <c r="L686" s="28">
        <v>-3903.85</v>
      </c>
      <c r="M686" s="31">
        <f t="shared" si="20"/>
        <v>-15.75</v>
      </c>
    </row>
    <row r="687" spans="1:13" x14ac:dyDescent="0.35">
      <c r="A687" s="28" t="s">
        <v>495</v>
      </c>
      <c r="B687" s="32">
        <v>2025</v>
      </c>
      <c r="C687" s="28" t="s">
        <v>499</v>
      </c>
      <c r="D687" s="29">
        <v>45733</v>
      </c>
      <c r="E687" s="28">
        <v>246779412038</v>
      </c>
      <c r="F687" s="28" t="s">
        <v>11</v>
      </c>
      <c r="G687" s="30">
        <v>33.64</v>
      </c>
      <c r="H687" s="28" t="s">
        <v>56</v>
      </c>
      <c r="I687" s="30">
        <v>2916.29</v>
      </c>
      <c r="J687" s="28" t="s">
        <v>820</v>
      </c>
      <c r="K687" s="28" cm="1">
        <f t="array" ref="K687:L687">VLOOKUP(E687,[2]A023951!D$1:H$1114,{3,5},0)</f>
        <v>-33.64</v>
      </c>
      <c r="L687" s="28">
        <v>-2928.11</v>
      </c>
      <c r="M687" s="31">
        <f t="shared" si="20"/>
        <v>-11.820000000000164</v>
      </c>
    </row>
    <row r="688" spans="1:13" x14ac:dyDescent="0.35">
      <c r="A688" s="28" t="s">
        <v>495</v>
      </c>
      <c r="B688" s="32">
        <v>2025</v>
      </c>
      <c r="C688" s="28" t="s">
        <v>499</v>
      </c>
      <c r="D688" s="29">
        <v>45733</v>
      </c>
      <c r="E688" s="28">
        <v>246779412039</v>
      </c>
      <c r="F688" s="28" t="s">
        <v>11</v>
      </c>
      <c r="G688" s="30">
        <v>56.06</v>
      </c>
      <c r="H688" s="28" t="s">
        <v>56</v>
      </c>
      <c r="I688" s="30">
        <v>4859.91</v>
      </c>
      <c r="J688" s="28" t="s">
        <v>820</v>
      </c>
      <c r="K688" s="28" cm="1">
        <f t="array" ref="K688:L688">VLOOKUP(E688,[2]A023951!D$1:H$1114,{3,5},0)</f>
        <v>-56.06</v>
      </c>
      <c r="L688" s="28">
        <v>-4879.6000000000004</v>
      </c>
      <c r="M688" s="31">
        <f t="shared" si="20"/>
        <v>-19.690000000000509</v>
      </c>
    </row>
    <row r="689" spans="1:13" x14ac:dyDescent="0.35">
      <c r="A689" s="28" t="s">
        <v>495</v>
      </c>
      <c r="B689" s="32">
        <v>2025</v>
      </c>
      <c r="C689" s="28" t="s">
        <v>499</v>
      </c>
      <c r="D689" s="29">
        <v>45733</v>
      </c>
      <c r="E689" s="28">
        <v>246779412040</v>
      </c>
      <c r="F689" s="28" t="s">
        <v>11</v>
      </c>
      <c r="G689" s="30">
        <v>16.82</v>
      </c>
      <c r="H689" s="28" t="s">
        <v>56</v>
      </c>
      <c r="I689" s="30">
        <v>1458.15</v>
      </c>
      <c r="J689" s="28" t="s">
        <v>820</v>
      </c>
      <c r="K689" s="28" cm="1">
        <f t="array" ref="K689:L689">VLOOKUP(E689,[2]A023951!D$1:H$1114,{3,5},0)</f>
        <v>-16.82</v>
      </c>
      <c r="L689" s="28">
        <v>-1464.05</v>
      </c>
      <c r="M689" s="31">
        <f t="shared" si="20"/>
        <v>-5.8999999999998636</v>
      </c>
    </row>
    <row r="690" spans="1:13" x14ac:dyDescent="0.35">
      <c r="A690" s="28" t="s">
        <v>495</v>
      </c>
      <c r="B690" s="32">
        <v>2025</v>
      </c>
      <c r="C690" s="28" t="s">
        <v>499</v>
      </c>
      <c r="D690" s="29">
        <v>45733</v>
      </c>
      <c r="E690" s="28">
        <v>246779412041</v>
      </c>
      <c r="F690" s="28" t="s">
        <v>11</v>
      </c>
      <c r="G690" s="30">
        <v>33.64</v>
      </c>
      <c r="H690" s="28" t="s">
        <v>56</v>
      </c>
      <c r="I690" s="30">
        <v>2916.29</v>
      </c>
      <c r="J690" s="28" t="s">
        <v>820</v>
      </c>
      <c r="K690" s="28" cm="1">
        <f t="array" ref="K690:L690">VLOOKUP(E690,[2]A023951!D$1:H$1114,{3,5},0)</f>
        <v>-33.64</v>
      </c>
      <c r="L690" s="28">
        <v>-2928.11</v>
      </c>
      <c r="M690" s="31">
        <f t="shared" si="20"/>
        <v>-11.820000000000164</v>
      </c>
    </row>
    <row r="691" spans="1:13" x14ac:dyDescent="0.35">
      <c r="A691" s="28" t="s">
        <v>495</v>
      </c>
      <c r="B691" s="32">
        <v>2025</v>
      </c>
      <c r="C691" s="28" t="s">
        <v>499</v>
      </c>
      <c r="D691" s="29">
        <v>45733</v>
      </c>
      <c r="E691" s="28">
        <v>246779412042</v>
      </c>
      <c r="F691" s="28" t="s">
        <v>11</v>
      </c>
      <c r="G691" s="30">
        <v>16.82</v>
      </c>
      <c r="H691" s="28" t="s">
        <v>56</v>
      </c>
      <c r="I691" s="30">
        <v>1458.15</v>
      </c>
      <c r="J691" s="28" t="s">
        <v>820</v>
      </c>
      <c r="K691" s="28" cm="1">
        <f t="array" ref="K691:L691">VLOOKUP(E691,[2]A023951!D$1:H$1114,{3,5},0)</f>
        <v>-16.82</v>
      </c>
      <c r="L691" s="28">
        <v>-1464.05</v>
      </c>
      <c r="M691" s="31">
        <f t="shared" si="20"/>
        <v>-5.8999999999998636</v>
      </c>
    </row>
    <row r="692" spans="1:13" x14ac:dyDescent="0.35">
      <c r="A692" s="28" t="s">
        <v>495</v>
      </c>
      <c r="B692" s="32">
        <v>2025</v>
      </c>
      <c r="C692" s="28" t="s">
        <v>499</v>
      </c>
      <c r="D692" s="29">
        <v>45733</v>
      </c>
      <c r="E692" s="28">
        <v>246779412043</v>
      </c>
      <c r="F692" s="28" t="s">
        <v>11</v>
      </c>
      <c r="G692" s="30">
        <v>16.82</v>
      </c>
      <c r="H692" s="28" t="s">
        <v>56</v>
      </c>
      <c r="I692" s="30">
        <v>1458.15</v>
      </c>
      <c r="J692" s="28" t="s">
        <v>820</v>
      </c>
      <c r="K692" s="28" cm="1">
        <f t="array" ref="K692:L692">VLOOKUP(E692,[2]A023951!D$1:H$1114,{3,5},0)</f>
        <v>-16.82</v>
      </c>
      <c r="L692" s="28">
        <v>-1464.05</v>
      </c>
      <c r="M692" s="31">
        <f t="shared" si="20"/>
        <v>-5.8999999999998636</v>
      </c>
    </row>
    <row r="693" spans="1:13" x14ac:dyDescent="0.35">
      <c r="A693" s="28" t="s">
        <v>495</v>
      </c>
      <c r="B693" s="32">
        <v>2025</v>
      </c>
      <c r="C693" s="28" t="s">
        <v>499</v>
      </c>
      <c r="D693" s="29">
        <v>45733</v>
      </c>
      <c r="E693" s="28">
        <v>246779412045</v>
      </c>
      <c r="F693" s="28" t="s">
        <v>11</v>
      </c>
      <c r="G693" s="30">
        <v>230</v>
      </c>
      <c r="H693" s="28" t="s">
        <v>56</v>
      </c>
      <c r="I693" s="30">
        <v>19938.990000000002</v>
      </c>
      <c r="J693" s="28" t="s">
        <v>820</v>
      </c>
      <c r="K693" s="28" cm="1">
        <f t="array" ref="K693:L693">VLOOKUP(E693,[2]A023951!D$1:H$1114,{3,5},0)</f>
        <v>-230</v>
      </c>
      <c r="L693" s="28">
        <v>-20019.759999999998</v>
      </c>
      <c r="M693" s="31">
        <f t="shared" si="20"/>
        <v>-80.769999999996799</v>
      </c>
    </row>
    <row r="694" spans="1:13" x14ac:dyDescent="0.35">
      <c r="A694" s="28" t="s">
        <v>495</v>
      </c>
      <c r="B694" s="32">
        <v>2025</v>
      </c>
      <c r="C694" s="28" t="s">
        <v>499</v>
      </c>
      <c r="D694" s="29">
        <v>45733</v>
      </c>
      <c r="E694" s="28">
        <v>246779412047</v>
      </c>
      <c r="F694" s="28" t="s">
        <v>11</v>
      </c>
      <c r="G694" s="30">
        <v>28.03</v>
      </c>
      <c r="H694" s="28" t="s">
        <v>56</v>
      </c>
      <c r="I694" s="30">
        <v>2429.96</v>
      </c>
      <c r="J694" s="28" t="s">
        <v>820</v>
      </c>
      <c r="K694" s="28" cm="1">
        <f t="array" ref="K694:L694">VLOOKUP(E694,[2]A023951!D$1:H$1114,{3,5},0)</f>
        <v>-28.03</v>
      </c>
      <c r="L694" s="28">
        <v>-2439.8000000000002</v>
      </c>
      <c r="M694" s="31">
        <f t="shared" si="20"/>
        <v>-9.8400000000001455</v>
      </c>
    </row>
    <row r="695" spans="1:13" x14ac:dyDescent="0.35">
      <c r="A695" s="28" t="s">
        <v>495</v>
      </c>
      <c r="B695" s="32">
        <v>2025</v>
      </c>
      <c r="C695" s="28" t="s">
        <v>499</v>
      </c>
      <c r="D695" s="29">
        <v>45733</v>
      </c>
      <c r="E695" s="28">
        <v>246779412048</v>
      </c>
      <c r="F695" s="28" t="s">
        <v>11</v>
      </c>
      <c r="G695" s="30">
        <v>22.78</v>
      </c>
      <c r="H695" s="28" t="s">
        <v>56</v>
      </c>
      <c r="I695" s="30">
        <v>1974.83</v>
      </c>
      <c r="J695" s="28" t="s">
        <v>820</v>
      </c>
      <c r="K695" s="28" cm="1">
        <f t="array" ref="K695:L695">VLOOKUP(E695,[2]A023951!D$1:H$1114,{3,5},0)</f>
        <v>-22.78</v>
      </c>
      <c r="L695" s="28">
        <v>-1982.83</v>
      </c>
      <c r="M695" s="31">
        <f t="shared" si="20"/>
        <v>-8</v>
      </c>
    </row>
    <row r="696" spans="1:13" x14ac:dyDescent="0.35">
      <c r="A696" s="28" t="s">
        <v>495</v>
      </c>
      <c r="B696" s="32">
        <v>2025</v>
      </c>
      <c r="C696" s="28" t="s">
        <v>499</v>
      </c>
      <c r="D696" s="29">
        <v>45733</v>
      </c>
      <c r="E696" s="28">
        <v>246779412111</v>
      </c>
      <c r="F696" s="28" t="s">
        <v>11</v>
      </c>
      <c r="G696" s="30">
        <v>420.46</v>
      </c>
      <c r="H696" s="28" t="s">
        <v>56</v>
      </c>
      <c r="I696" s="30">
        <v>36450.21</v>
      </c>
      <c r="J696" s="28" t="s">
        <v>820</v>
      </c>
      <c r="K696" s="28" cm="1">
        <f t="array" ref="K696:L696">VLOOKUP(E696,[2]A023951!D$1:H$1114,{3,5},0)</f>
        <v>-420.46</v>
      </c>
      <c r="L696" s="28">
        <v>-36597.85</v>
      </c>
      <c r="M696" s="31">
        <f t="shared" si="20"/>
        <v>-147.63999999999942</v>
      </c>
    </row>
    <row r="697" spans="1:13" x14ac:dyDescent="0.35">
      <c r="A697" s="28" t="s">
        <v>495</v>
      </c>
      <c r="B697" s="32">
        <v>2025</v>
      </c>
      <c r="C697" s="28" t="s">
        <v>499</v>
      </c>
      <c r="D697" s="29">
        <v>45733</v>
      </c>
      <c r="E697" s="28">
        <v>246779411718</v>
      </c>
      <c r="F697" s="28" t="s">
        <v>11</v>
      </c>
      <c r="G697" s="30">
        <v>22.95</v>
      </c>
      <c r="H697" s="28" t="s">
        <v>56</v>
      </c>
      <c r="I697" s="30">
        <v>1989.56</v>
      </c>
      <c r="J697" s="28" t="s">
        <v>818</v>
      </c>
      <c r="K697" s="28" cm="1">
        <f t="array" ref="K697:L697">VLOOKUP(E697,[2]A023951!D$1:H$1114,{3,5},0)</f>
        <v>-22.95</v>
      </c>
      <c r="L697" s="28">
        <v>-1997.62</v>
      </c>
      <c r="M697" s="31">
        <f t="shared" si="20"/>
        <v>-8.0599999999999454</v>
      </c>
    </row>
    <row r="698" spans="1:13" x14ac:dyDescent="0.35">
      <c r="A698" s="28" t="s">
        <v>495</v>
      </c>
      <c r="B698" s="32">
        <v>2025</v>
      </c>
      <c r="C698" s="28" t="s">
        <v>499</v>
      </c>
      <c r="D698" s="29">
        <v>45733</v>
      </c>
      <c r="E698" s="28">
        <v>246779411719</v>
      </c>
      <c r="F698" s="28" t="s">
        <v>11</v>
      </c>
      <c r="G698" s="30">
        <v>28.54</v>
      </c>
      <c r="H698" s="28" t="s">
        <v>56</v>
      </c>
      <c r="I698" s="30">
        <v>2474.17</v>
      </c>
      <c r="J698" s="28" t="s">
        <v>818</v>
      </c>
      <c r="K698" s="28" cm="1">
        <f t="array" ref="K698:L698">VLOOKUP(E698,[2]A023951!D$1:H$1114,{3,5},0)</f>
        <v>-28.54</v>
      </c>
      <c r="L698" s="28">
        <v>-2484.19</v>
      </c>
      <c r="M698" s="31">
        <f t="shared" si="20"/>
        <v>-10.019999999999982</v>
      </c>
    </row>
    <row r="699" spans="1:13" x14ac:dyDescent="0.35">
      <c r="A699" s="28" t="s">
        <v>495</v>
      </c>
      <c r="B699" s="32">
        <v>2025</v>
      </c>
      <c r="C699" s="28" t="s">
        <v>499</v>
      </c>
      <c r="D699" s="29">
        <v>45733</v>
      </c>
      <c r="E699" s="28">
        <v>246779411720</v>
      </c>
      <c r="F699" s="28" t="s">
        <v>11</v>
      </c>
      <c r="G699" s="30">
        <v>17.12</v>
      </c>
      <c r="H699" s="28" t="s">
        <v>56</v>
      </c>
      <c r="I699" s="30">
        <v>1484.15</v>
      </c>
      <c r="J699" s="28" t="s">
        <v>818</v>
      </c>
      <c r="K699" s="28" cm="1">
        <f t="array" ref="K699:L699">VLOOKUP(E699,[2]A023951!D$1:H$1114,{3,5},0)</f>
        <v>-17.12</v>
      </c>
      <c r="L699" s="28">
        <v>-1490.17</v>
      </c>
      <c r="M699" s="31">
        <f t="shared" si="20"/>
        <v>-6.0199999999999818</v>
      </c>
    </row>
    <row r="700" spans="1:13" x14ac:dyDescent="0.35">
      <c r="A700" s="28" t="s">
        <v>495</v>
      </c>
      <c r="B700" s="32">
        <v>2025</v>
      </c>
      <c r="C700" s="28" t="s">
        <v>499</v>
      </c>
      <c r="D700" s="29">
        <v>45733</v>
      </c>
      <c r="E700" s="28">
        <v>246779411721</v>
      </c>
      <c r="F700" s="28" t="s">
        <v>11</v>
      </c>
      <c r="G700" s="30">
        <v>525.63</v>
      </c>
      <c r="H700" s="28" t="s">
        <v>56</v>
      </c>
      <c r="I700" s="30">
        <v>45567.53</v>
      </c>
      <c r="J700" s="28" t="s">
        <v>818</v>
      </c>
      <c r="K700" s="28" cm="1">
        <f t="array" ref="K700:L700">VLOOKUP(E700,[2]A023951!D$1:H$1114,{3,5},0)</f>
        <v>-525.63</v>
      </c>
      <c r="L700" s="28">
        <v>-45752.1</v>
      </c>
      <c r="M700" s="31">
        <f t="shared" si="20"/>
        <v>-184.56999999999971</v>
      </c>
    </row>
    <row r="701" spans="1:13" x14ac:dyDescent="0.35">
      <c r="A701" s="28" t="s">
        <v>495</v>
      </c>
      <c r="B701" s="32">
        <v>2025</v>
      </c>
      <c r="C701" s="28" t="s">
        <v>499</v>
      </c>
      <c r="D701" s="29">
        <v>45733</v>
      </c>
      <c r="E701" s="28">
        <v>246779411722</v>
      </c>
      <c r="F701" s="28" t="s">
        <v>11</v>
      </c>
      <c r="G701" s="30">
        <v>39.96</v>
      </c>
      <c r="H701" s="28" t="s">
        <v>56</v>
      </c>
      <c r="I701" s="30">
        <v>3464.18</v>
      </c>
      <c r="J701" s="28" t="s">
        <v>818</v>
      </c>
      <c r="K701" s="28" cm="1">
        <f t="array" ref="K701:L701">VLOOKUP(E701,[2]A023951!D$1:H$1114,{3,5},0)</f>
        <v>-39.96</v>
      </c>
      <c r="L701" s="28">
        <v>-3478.21</v>
      </c>
      <c r="M701" s="31">
        <f t="shared" si="20"/>
        <v>-14.0300000000002</v>
      </c>
    </row>
    <row r="702" spans="1:13" x14ac:dyDescent="0.35">
      <c r="A702" s="28" t="s">
        <v>495</v>
      </c>
      <c r="B702" s="32">
        <v>2025</v>
      </c>
      <c r="C702" s="28" t="s">
        <v>499</v>
      </c>
      <c r="D702" s="29">
        <v>45733</v>
      </c>
      <c r="E702" s="28">
        <v>246779411733</v>
      </c>
      <c r="F702" s="28" t="s">
        <v>11</v>
      </c>
      <c r="G702" s="30">
        <v>17.12</v>
      </c>
      <c r="H702" s="28" t="s">
        <v>56</v>
      </c>
      <c r="I702" s="30">
        <v>1484.15</v>
      </c>
      <c r="J702" s="28" t="s">
        <v>818</v>
      </c>
      <c r="K702" s="28" cm="1">
        <f t="array" ref="K702:L702">VLOOKUP(E702,[2]A023951!D$1:H$1114,{3,5},0)</f>
        <v>-17.12</v>
      </c>
      <c r="L702" s="28">
        <v>-1490.17</v>
      </c>
      <c r="M702" s="31">
        <f t="shared" ref="M702:M707" si="21">I702+L702</f>
        <v>-6.0199999999999818</v>
      </c>
    </row>
    <row r="703" spans="1:13" x14ac:dyDescent="0.35">
      <c r="A703" s="28" t="s">
        <v>495</v>
      </c>
      <c r="B703" s="32">
        <v>2025</v>
      </c>
      <c r="C703" s="28" t="s">
        <v>499</v>
      </c>
      <c r="D703" s="29">
        <v>45733</v>
      </c>
      <c r="E703" s="28">
        <v>246779411734</v>
      </c>
      <c r="F703" s="28" t="s">
        <v>11</v>
      </c>
      <c r="G703" s="30">
        <v>22.83</v>
      </c>
      <c r="H703" s="28" t="s">
        <v>56</v>
      </c>
      <c r="I703" s="30">
        <v>1979.16</v>
      </c>
      <c r="J703" s="28" t="s">
        <v>818</v>
      </c>
      <c r="K703" s="28" cm="1">
        <f t="array" ref="K703:L703">VLOOKUP(E703,[2]A023951!D$1:H$1114,{3,5},0)</f>
        <v>-22.83</v>
      </c>
      <c r="L703" s="28">
        <v>-1987.18</v>
      </c>
      <c r="M703" s="31">
        <f t="shared" si="21"/>
        <v>-8.0199999999999818</v>
      </c>
    </row>
    <row r="704" spans="1:13" x14ac:dyDescent="0.35">
      <c r="A704" s="28" t="s">
        <v>495</v>
      </c>
      <c r="B704" s="32">
        <v>2025</v>
      </c>
      <c r="C704" s="28" t="s">
        <v>499</v>
      </c>
      <c r="D704" s="29">
        <v>45733</v>
      </c>
      <c r="E704" s="28">
        <v>246779411735</v>
      </c>
      <c r="F704" s="28" t="s">
        <v>11</v>
      </c>
      <c r="G704" s="30">
        <v>479.25</v>
      </c>
      <c r="H704" s="28" t="s">
        <v>56</v>
      </c>
      <c r="I704" s="30">
        <v>41546.79</v>
      </c>
      <c r="J704" s="28" t="s">
        <v>818</v>
      </c>
      <c r="K704" s="28" cm="1">
        <f t="array" ref="K704:L704">VLOOKUP(E704,[2]A023951!D$1:H$1114,{3,5},0)</f>
        <v>-479.25</v>
      </c>
      <c r="L704" s="28">
        <v>-41715.08</v>
      </c>
      <c r="M704" s="31">
        <f t="shared" si="21"/>
        <v>-168.29000000000087</v>
      </c>
    </row>
    <row r="705" spans="1:13" x14ac:dyDescent="0.35">
      <c r="A705" s="28" t="s">
        <v>495</v>
      </c>
      <c r="B705" s="32">
        <v>2025</v>
      </c>
      <c r="C705" s="28" t="s">
        <v>499</v>
      </c>
      <c r="D705" s="29">
        <v>45733</v>
      </c>
      <c r="E705" s="28">
        <v>246779411736</v>
      </c>
      <c r="F705" s="28" t="s">
        <v>11</v>
      </c>
      <c r="G705" s="30">
        <v>22.83</v>
      </c>
      <c r="H705" s="28" t="s">
        <v>56</v>
      </c>
      <c r="I705" s="30">
        <v>1979.16</v>
      </c>
      <c r="J705" s="28" t="s">
        <v>818</v>
      </c>
      <c r="K705" s="28" cm="1">
        <f t="array" ref="K705:L705">VLOOKUP(E705,[2]A023951!D$1:H$1114,{3,5},0)</f>
        <v>-22.83</v>
      </c>
      <c r="L705" s="28">
        <v>-1987.18</v>
      </c>
      <c r="M705" s="31">
        <f t="shared" si="21"/>
        <v>-8.0199999999999818</v>
      </c>
    </row>
    <row r="706" spans="1:13" x14ac:dyDescent="0.35">
      <c r="A706" s="28" t="s">
        <v>495</v>
      </c>
      <c r="B706" s="32">
        <v>2025</v>
      </c>
      <c r="C706" s="28" t="s">
        <v>499</v>
      </c>
      <c r="D706" s="29">
        <v>45733</v>
      </c>
      <c r="E706" s="28">
        <v>246779411737</v>
      </c>
      <c r="F706" s="28" t="s">
        <v>11</v>
      </c>
      <c r="G706" s="30">
        <v>28.54</v>
      </c>
      <c r="H706" s="28" t="s">
        <v>56</v>
      </c>
      <c r="I706" s="30">
        <v>2474.17</v>
      </c>
      <c r="J706" s="28" t="s">
        <v>818</v>
      </c>
      <c r="K706" s="28" cm="1">
        <f t="array" ref="K706:L706">VLOOKUP(E706,[2]A023951!D$1:H$1114,{3,5},0)</f>
        <v>-28.54</v>
      </c>
      <c r="L706" s="28">
        <v>-2484.19</v>
      </c>
      <c r="M706" s="31">
        <f t="shared" si="21"/>
        <v>-10.019999999999982</v>
      </c>
    </row>
    <row r="707" spans="1:13" x14ac:dyDescent="0.35">
      <c r="A707" s="28" t="s">
        <v>495</v>
      </c>
      <c r="B707" s="32">
        <v>2025</v>
      </c>
      <c r="C707" s="28" t="s">
        <v>499</v>
      </c>
      <c r="D707" s="29">
        <v>45733</v>
      </c>
      <c r="E707" s="28">
        <v>246779411738</v>
      </c>
      <c r="F707" s="28" t="s">
        <v>11</v>
      </c>
      <c r="G707" s="30">
        <v>28.54</v>
      </c>
      <c r="H707" s="28" t="s">
        <v>56</v>
      </c>
      <c r="I707" s="30">
        <v>2474.17</v>
      </c>
      <c r="J707" s="28" t="s">
        <v>818</v>
      </c>
      <c r="K707" s="28" cm="1">
        <f t="array" ref="K707:L707">VLOOKUP(E707,[2]A023951!D$1:H$1114,{3,5},0)</f>
        <v>-28.54</v>
      </c>
      <c r="L707" s="28">
        <v>-2484.19</v>
      </c>
      <c r="M707" s="31">
        <f t="shared" si="21"/>
        <v>-10.019999999999982</v>
      </c>
    </row>
    <row r="708" spans="1:13" x14ac:dyDescent="0.35">
      <c r="M708" s="33">
        <f>SUM(M2:M707)</f>
        <v>51209.629999999983</v>
      </c>
    </row>
  </sheetData>
  <autoFilter ref="A1:M708" xr:uid="{936B361C-3ADC-40DB-89BE-A9B218892CB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C30D-0FFA-4281-9471-47E025B2C17A}">
  <dimension ref="A1:K141"/>
  <sheetViews>
    <sheetView workbookViewId="0">
      <selection activeCell="H141" sqref="H2:H141"/>
    </sheetView>
  </sheetViews>
  <sheetFormatPr defaultRowHeight="14.5" x14ac:dyDescent="0.35"/>
  <cols>
    <col min="1" max="1" width="23.81640625" bestFit="1" customWidth="1"/>
    <col min="2" max="2" width="9.453125" bestFit="1" customWidth="1"/>
    <col min="3" max="3" width="7.81640625" bestFit="1" customWidth="1"/>
    <col min="4" max="4" width="13.90625" bestFit="1" customWidth="1"/>
    <col min="5" max="5" width="10.08984375" bestFit="1" customWidth="1"/>
    <col min="6" max="6" width="11.81640625" bestFit="1" customWidth="1"/>
    <col min="7" max="7" width="8.1796875" bestFit="1" customWidth="1"/>
    <col min="8" max="8" width="10.1796875" bestFit="1" customWidth="1"/>
    <col min="10" max="10" width="10.1796875" bestFit="1" customWidth="1"/>
    <col min="11" max="11" width="45.81640625" bestFit="1" customWidth="1"/>
  </cols>
  <sheetData>
    <row r="1" spans="1:11" ht="58" x14ac:dyDescent="0.35">
      <c r="A1" s="25" t="s">
        <v>483</v>
      </c>
      <c r="B1" s="25" t="s">
        <v>484</v>
      </c>
      <c r="C1" s="26" t="s">
        <v>486</v>
      </c>
      <c r="D1" s="25" t="s">
        <v>487</v>
      </c>
      <c r="E1" s="25" t="s">
        <v>488</v>
      </c>
      <c r="F1" s="25" t="s">
        <v>489</v>
      </c>
      <c r="G1" s="26" t="s">
        <v>490</v>
      </c>
      <c r="H1" s="26" t="s">
        <v>491</v>
      </c>
      <c r="I1" s="26" t="s">
        <v>492</v>
      </c>
      <c r="J1" s="26" t="s">
        <v>493</v>
      </c>
      <c r="K1" s="25" t="s">
        <v>494</v>
      </c>
    </row>
    <row r="2" spans="1:11" x14ac:dyDescent="0.35">
      <c r="A2" s="12" t="s">
        <v>495</v>
      </c>
      <c r="B2" s="12" t="s">
        <v>471</v>
      </c>
      <c r="C2" s="12" t="s">
        <v>499</v>
      </c>
      <c r="D2" s="13">
        <v>45904</v>
      </c>
      <c r="E2" s="13">
        <v>45909</v>
      </c>
      <c r="F2" s="12">
        <v>256779417250</v>
      </c>
      <c r="G2" s="12" t="s">
        <v>11</v>
      </c>
      <c r="H2" s="14">
        <v>50</v>
      </c>
      <c r="I2" s="12" t="s">
        <v>56</v>
      </c>
      <c r="J2" s="14">
        <v>4375.72</v>
      </c>
      <c r="K2" s="12" t="s">
        <v>506</v>
      </c>
    </row>
    <row r="3" spans="1:11" x14ac:dyDescent="0.35">
      <c r="A3" s="12" t="s">
        <v>495</v>
      </c>
      <c r="B3" s="12" t="s">
        <v>471</v>
      </c>
      <c r="C3" s="12" t="s">
        <v>499</v>
      </c>
      <c r="D3" s="13">
        <v>45966</v>
      </c>
      <c r="E3" s="13">
        <v>45967</v>
      </c>
      <c r="F3" s="12">
        <v>256779418816</v>
      </c>
      <c r="G3" s="12" t="s">
        <v>11</v>
      </c>
      <c r="H3" s="14">
        <v>891</v>
      </c>
      <c r="I3" s="12" t="s">
        <v>56</v>
      </c>
      <c r="J3" s="14">
        <v>78411.02</v>
      </c>
      <c r="K3" s="12" t="s">
        <v>515</v>
      </c>
    </row>
    <row r="4" spans="1:11" x14ac:dyDescent="0.35">
      <c r="A4" s="12" t="s">
        <v>495</v>
      </c>
      <c r="B4" s="12" t="s">
        <v>471</v>
      </c>
      <c r="C4" s="12" t="s">
        <v>499</v>
      </c>
      <c r="D4" s="13">
        <v>45966</v>
      </c>
      <c r="E4" s="13">
        <v>45967</v>
      </c>
      <c r="F4" s="12">
        <v>256779418872</v>
      </c>
      <c r="G4" s="12" t="s">
        <v>11</v>
      </c>
      <c r="H4" s="14">
        <v>5939.04</v>
      </c>
      <c r="I4" s="12" t="s">
        <v>56</v>
      </c>
      <c r="J4" s="14">
        <v>522655.65</v>
      </c>
      <c r="K4" s="12" t="s">
        <v>516</v>
      </c>
    </row>
    <row r="5" spans="1:11" x14ac:dyDescent="0.35">
      <c r="A5" s="12" t="s">
        <v>495</v>
      </c>
      <c r="B5" s="12" t="s">
        <v>471</v>
      </c>
      <c r="C5" s="12" t="s">
        <v>499</v>
      </c>
      <c r="D5" s="13">
        <v>45966</v>
      </c>
      <c r="E5" s="13">
        <v>45968</v>
      </c>
      <c r="F5" s="12">
        <v>256779419222</v>
      </c>
      <c r="G5" s="12" t="s">
        <v>11</v>
      </c>
      <c r="H5" s="14">
        <v>3537</v>
      </c>
      <c r="I5" s="12" t="s">
        <v>56</v>
      </c>
      <c r="J5" s="14">
        <v>311267.99</v>
      </c>
      <c r="K5" s="12" t="s">
        <v>522</v>
      </c>
    </row>
    <row r="6" spans="1:11" x14ac:dyDescent="0.35">
      <c r="A6" s="12" t="s">
        <v>495</v>
      </c>
      <c r="B6" s="12" t="s">
        <v>471</v>
      </c>
      <c r="C6" s="12" t="s">
        <v>499</v>
      </c>
      <c r="D6" s="13">
        <v>45812</v>
      </c>
      <c r="E6" s="13">
        <v>45817</v>
      </c>
      <c r="F6" s="12">
        <v>256779414156</v>
      </c>
      <c r="G6" s="12" t="s">
        <v>11</v>
      </c>
      <c r="H6" s="14">
        <v>83.66</v>
      </c>
      <c r="I6" s="12" t="s">
        <v>56</v>
      </c>
      <c r="J6" s="14">
        <v>7152.16</v>
      </c>
      <c r="K6" s="12" t="s">
        <v>532</v>
      </c>
    </row>
    <row r="7" spans="1:11" x14ac:dyDescent="0.35">
      <c r="A7" s="12" t="s">
        <v>495</v>
      </c>
      <c r="B7" s="12" t="s">
        <v>471</v>
      </c>
      <c r="C7" s="12" t="s">
        <v>499</v>
      </c>
      <c r="D7" s="13">
        <v>45812</v>
      </c>
      <c r="E7" s="13">
        <v>45817</v>
      </c>
      <c r="F7" s="12">
        <v>256779414173</v>
      </c>
      <c r="G7" s="12" t="s">
        <v>11</v>
      </c>
      <c r="H7" s="14">
        <v>2668.72</v>
      </c>
      <c r="I7" s="12" t="s">
        <v>56</v>
      </c>
      <c r="J7" s="14">
        <v>228150.95</v>
      </c>
      <c r="K7" s="12" t="s">
        <v>533</v>
      </c>
    </row>
    <row r="8" spans="1:11" x14ac:dyDescent="0.35">
      <c r="A8" s="12" t="s">
        <v>495</v>
      </c>
      <c r="B8" s="12" t="s">
        <v>471</v>
      </c>
      <c r="C8" s="12" t="s">
        <v>499</v>
      </c>
      <c r="D8" s="13">
        <v>45812</v>
      </c>
      <c r="E8" s="13">
        <v>45817</v>
      </c>
      <c r="F8" s="12">
        <v>256779414206</v>
      </c>
      <c r="G8" s="12" t="s">
        <v>11</v>
      </c>
      <c r="H8" s="14">
        <v>201.33</v>
      </c>
      <c r="I8" s="12" t="s">
        <v>56</v>
      </c>
      <c r="J8" s="14">
        <v>17211.86</v>
      </c>
      <c r="K8" s="12" t="s">
        <v>534</v>
      </c>
    </row>
    <row r="9" spans="1:11" x14ac:dyDescent="0.35">
      <c r="A9" s="12" t="s">
        <v>495</v>
      </c>
      <c r="B9" s="12" t="s">
        <v>471</v>
      </c>
      <c r="C9" s="12" t="s">
        <v>499</v>
      </c>
      <c r="D9" s="13">
        <v>45812</v>
      </c>
      <c r="E9" s="13">
        <v>45817</v>
      </c>
      <c r="F9" s="12">
        <v>256779414260</v>
      </c>
      <c r="G9" s="12" t="s">
        <v>11</v>
      </c>
      <c r="H9" s="14">
        <v>130.93</v>
      </c>
      <c r="I9" s="12" t="s">
        <v>56</v>
      </c>
      <c r="J9" s="14">
        <v>11193.31</v>
      </c>
      <c r="K9" s="12" t="s">
        <v>535</v>
      </c>
    </row>
    <row r="10" spans="1:11" x14ac:dyDescent="0.35">
      <c r="A10" s="12" t="s">
        <v>495</v>
      </c>
      <c r="B10" s="12" t="s">
        <v>471</v>
      </c>
      <c r="C10" s="12" t="s">
        <v>499</v>
      </c>
      <c r="D10" s="13">
        <v>45812</v>
      </c>
      <c r="E10" s="13">
        <v>45817</v>
      </c>
      <c r="F10" s="12">
        <v>256779414271</v>
      </c>
      <c r="G10" s="12" t="s">
        <v>11</v>
      </c>
      <c r="H10" s="14">
        <v>967.68</v>
      </c>
      <c r="I10" s="12" t="s">
        <v>56</v>
      </c>
      <c r="J10" s="14">
        <v>82727.72</v>
      </c>
      <c r="K10" s="12" t="s">
        <v>536</v>
      </c>
    </row>
    <row r="11" spans="1:11" x14ac:dyDescent="0.35">
      <c r="A11" s="12" t="s">
        <v>495</v>
      </c>
      <c r="B11" s="12" t="s">
        <v>471</v>
      </c>
      <c r="C11" s="12" t="s">
        <v>499</v>
      </c>
      <c r="D11" s="13">
        <v>45812</v>
      </c>
      <c r="E11" s="13">
        <v>45817</v>
      </c>
      <c r="F11" s="12">
        <v>256779414309</v>
      </c>
      <c r="G11" s="12" t="s">
        <v>11</v>
      </c>
      <c r="H11" s="14">
        <v>662.83</v>
      </c>
      <c r="I11" s="12" t="s">
        <v>56</v>
      </c>
      <c r="J11" s="14">
        <v>56665.85</v>
      </c>
      <c r="K11" s="12" t="s">
        <v>537</v>
      </c>
    </row>
    <row r="12" spans="1:11" x14ac:dyDescent="0.35">
      <c r="A12" s="12" t="s">
        <v>495</v>
      </c>
      <c r="B12" s="12" t="s">
        <v>471</v>
      </c>
      <c r="C12" s="12" t="s">
        <v>499</v>
      </c>
      <c r="D12" s="13">
        <v>45793</v>
      </c>
      <c r="E12" s="13">
        <v>45800</v>
      </c>
      <c r="F12" s="12">
        <v>256779413280</v>
      </c>
      <c r="G12" s="12" t="s">
        <v>11</v>
      </c>
      <c r="H12" s="14">
        <v>59</v>
      </c>
      <c r="I12" s="12" t="s">
        <v>56</v>
      </c>
      <c r="J12" s="14">
        <v>5073.04</v>
      </c>
      <c r="K12" s="12" t="s">
        <v>553</v>
      </c>
    </row>
    <row r="13" spans="1:11" x14ac:dyDescent="0.35">
      <c r="A13" s="12" t="s">
        <v>495</v>
      </c>
      <c r="B13" s="12" t="s">
        <v>471</v>
      </c>
      <c r="C13" s="12" t="s">
        <v>499</v>
      </c>
      <c r="D13" s="13">
        <v>45793</v>
      </c>
      <c r="E13" s="13">
        <v>45800</v>
      </c>
      <c r="F13" s="12">
        <v>256779413308</v>
      </c>
      <c r="G13" s="12" t="s">
        <v>11</v>
      </c>
      <c r="H13" s="14">
        <v>723.47</v>
      </c>
      <c r="I13" s="12" t="s">
        <v>56</v>
      </c>
      <c r="J13" s="14">
        <v>62206.63</v>
      </c>
      <c r="K13" s="12" t="s">
        <v>554</v>
      </c>
    </row>
    <row r="14" spans="1:11" x14ac:dyDescent="0.35">
      <c r="A14" s="12" t="s">
        <v>495</v>
      </c>
      <c r="B14" s="12" t="s">
        <v>471</v>
      </c>
      <c r="C14" s="12" t="s">
        <v>499</v>
      </c>
      <c r="D14" s="13">
        <v>45793</v>
      </c>
      <c r="E14" s="13">
        <v>45800</v>
      </c>
      <c r="F14" s="12">
        <v>256779413348</v>
      </c>
      <c r="G14" s="12" t="s">
        <v>11</v>
      </c>
      <c r="H14" s="14">
        <v>138.82</v>
      </c>
      <c r="I14" s="12" t="s">
        <v>56</v>
      </c>
      <c r="J14" s="14">
        <v>11936.26</v>
      </c>
      <c r="K14" s="12" t="s">
        <v>555</v>
      </c>
    </row>
    <row r="15" spans="1:11" x14ac:dyDescent="0.35">
      <c r="A15" s="12" t="s">
        <v>495</v>
      </c>
      <c r="B15" s="12" t="s">
        <v>471</v>
      </c>
      <c r="C15" s="12" t="s">
        <v>499</v>
      </c>
      <c r="D15" s="13">
        <v>45856</v>
      </c>
      <c r="E15" s="13">
        <v>45859</v>
      </c>
      <c r="F15" s="12">
        <v>256779415792</v>
      </c>
      <c r="G15" s="12" t="s">
        <v>11</v>
      </c>
      <c r="H15" s="14">
        <v>608.41</v>
      </c>
      <c r="I15" s="12" t="s">
        <v>56</v>
      </c>
      <c r="J15" s="14">
        <v>52323.67</v>
      </c>
      <c r="K15" s="12" t="s">
        <v>561</v>
      </c>
    </row>
    <row r="16" spans="1:11" x14ac:dyDescent="0.35">
      <c r="A16" s="12" t="s">
        <v>495</v>
      </c>
      <c r="B16" s="12" t="s">
        <v>471</v>
      </c>
      <c r="C16" s="12" t="s">
        <v>499</v>
      </c>
      <c r="D16" s="13">
        <v>45736</v>
      </c>
      <c r="E16" s="13">
        <v>45737</v>
      </c>
      <c r="F16" s="12">
        <v>246779414057</v>
      </c>
      <c r="G16" s="12" t="s">
        <v>11</v>
      </c>
      <c r="H16" s="14">
        <v>43.07</v>
      </c>
      <c r="I16" s="12" t="s">
        <v>56</v>
      </c>
      <c r="J16" s="14">
        <v>3733.79</v>
      </c>
      <c r="K16" s="12" t="s">
        <v>569</v>
      </c>
    </row>
    <row r="17" spans="1:11" x14ac:dyDescent="0.35">
      <c r="A17" s="12" t="s">
        <v>495</v>
      </c>
      <c r="B17" s="12" t="s">
        <v>471</v>
      </c>
      <c r="C17" s="12" t="s">
        <v>499</v>
      </c>
      <c r="D17" s="13">
        <v>45736</v>
      </c>
      <c r="E17" s="13">
        <v>45737</v>
      </c>
      <c r="F17" s="12">
        <v>246779414058</v>
      </c>
      <c r="G17" s="12" t="s">
        <v>11</v>
      </c>
      <c r="H17" s="14">
        <v>398.23</v>
      </c>
      <c r="I17" s="12" t="s">
        <v>56</v>
      </c>
      <c r="J17" s="14">
        <v>34523.06</v>
      </c>
      <c r="K17" s="12" t="s">
        <v>569</v>
      </c>
    </row>
    <row r="18" spans="1:11" x14ac:dyDescent="0.35">
      <c r="A18" s="12" t="s">
        <v>495</v>
      </c>
      <c r="B18" s="12" t="s">
        <v>471</v>
      </c>
      <c r="C18" s="12" t="s">
        <v>499</v>
      </c>
      <c r="D18" s="13">
        <v>45736</v>
      </c>
      <c r="E18" s="13">
        <v>45737</v>
      </c>
      <c r="F18" s="12">
        <v>246779414120</v>
      </c>
      <c r="G18" s="12" t="s">
        <v>11</v>
      </c>
      <c r="H18" s="14">
        <v>250.75</v>
      </c>
      <c r="I18" s="12" t="s">
        <v>56</v>
      </c>
      <c r="J18" s="14">
        <v>21737.83</v>
      </c>
      <c r="K18" s="12" t="s">
        <v>570</v>
      </c>
    </row>
    <row r="19" spans="1:11" x14ac:dyDescent="0.35">
      <c r="A19" s="12" t="s">
        <v>495</v>
      </c>
      <c r="B19" s="12" t="s">
        <v>471</v>
      </c>
      <c r="C19" s="12" t="s">
        <v>499</v>
      </c>
      <c r="D19" s="13">
        <v>45736</v>
      </c>
      <c r="E19" s="13">
        <v>45737</v>
      </c>
      <c r="F19" s="12">
        <v>246779414121</v>
      </c>
      <c r="G19" s="12" t="s">
        <v>11</v>
      </c>
      <c r="H19" s="14">
        <v>226.56</v>
      </c>
      <c r="I19" s="12" t="s">
        <v>56</v>
      </c>
      <c r="J19" s="14">
        <v>19640.77</v>
      </c>
      <c r="K19" s="12" t="s">
        <v>571</v>
      </c>
    </row>
    <row r="20" spans="1:11" x14ac:dyDescent="0.35">
      <c r="A20" s="12" t="s">
        <v>495</v>
      </c>
      <c r="B20" s="12" t="s">
        <v>471</v>
      </c>
      <c r="C20" s="12" t="s">
        <v>499</v>
      </c>
      <c r="D20" s="13">
        <v>45736</v>
      </c>
      <c r="E20" s="13">
        <v>45737</v>
      </c>
      <c r="F20" s="12">
        <v>246779414122</v>
      </c>
      <c r="G20" s="12" t="s">
        <v>11</v>
      </c>
      <c r="H20" s="14">
        <v>35.4</v>
      </c>
      <c r="I20" s="12" t="s">
        <v>56</v>
      </c>
      <c r="J20" s="14">
        <v>3068.87</v>
      </c>
      <c r="K20" s="12" t="s">
        <v>572</v>
      </c>
    </row>
    <row r="21" spans="1:11" x14ac:dyDescent="0.35">
      <c r="A21" s="12" t="s">
        <v>495</v>
      </c>
      <c r="B21" s="12" t="s">
        <v>471</v>
      </c>
      <c r="C21" s="12" t="s">
        <v>499</v>
      </c>
      <c r="D21" s="13">
        <v>45736</v>
      </c>
      <c r="E21" s="13">
        <v>45737</v>
      </c>
      <c r="F21" s="12">
        <v>246779414204</v>
      </c>
      <c r="G21" s="12" t="s">
        <v>11</v>
      </c>
      <c r="H21" s="14">
        <v>249.87</v>
      </c>
      <c r="I21" s="12" t="s">
        <v>56</v>
      </c>
      <c r="J21" s="14">
        <v>21661.55</v>
      </c>
      <c r="K21" s="12" t="s">
        <v>573</v>
      </c>
    </row>
    <row r="22" spans="1:11" x14ac:dyDescent="0.35">
      <c r="A22" s="12" t="s">
        <v>495</v>
      </c>
      <c r="B22" s="12" t="s">
        <v>471</v>
      </c>
      <c r="C22" s="12" t="s">
        <v>499</v>
      </c>
      <c r="D22" s="13">
        <v>45736</v>
      </c>
      <c r="E22" s="13">
        <v>45737</v>
      </c>
      <c r="F22" s="12">
        <v>246779414460</v>
      </c>
      <c r="G22" s="12" t="s">
        <v>11</v>
      </c>
      <c r="H22" s="14">
        <v>173.05</v>
      </c>
      <c r="I22" s="12" t="s">
        <v>56</v>
      </c>
      <c r="J22" s="14">
        <v>15001.92</v>
      </c>
      <c r="K22" s="12" t="s">
        <v>569</v>
      </c>
    </row>
    <row r="23" spans="1:11" x14ac:dyDescent="0.35">
      <c r="A23" s="12" t="s">
        <v>495</v>
      </c>
      <c r="B23" s="12" t="s">
        <v>471</v>
      </c>
      <c r="C23" s="12" t="s">
        <v>499</v>
      </c>
      <c r="D23" s="13">
        <v>45736</v>
      </c>
      <c r="E23" s="13">
        <v>45737</v>
      </c>
      <c r="F23" s="12">
        <v>246779414461</v>
      </c>
      <c r="G23" s="12" t="s">
        <v>11</v>
      </c>
      <c r="H23" s="14">
        <v>226.56</v>
      </c>
      <c r="I23" s="12" t="s">
        <v>56</v>
      </c>
      <c r="J23" s="14">
        <v>19640.77</v>
      </c>
      <c r="K23" s="12" t="s">
        <v>574</v>
      </c>
    </row>
    <row r="24" spans="1:11" x14ac:dyDescent="0.35">
      <c r="A24" s="12" t="s">
        <v>495</v>
      </c>
      <c r="B24" s="12" t="s">
        <v>471</v>
      </c>
      <c r="C24" s="12" t="s">
        <v>499</v>
      </c>
      <c r="D24" s="13">
        <v>45736</v>
      </c>
      <c r="E24" s="13">
        <v>45737</v>
      </c>
      <c r="F24" s="12">
        <v>246779414525</v>
      </c>
      <c r="G24" s="12" t="s">
        <v>11</v>
      </c>
      <c r="H24" s="14">
        <v>211.39</v>
      </c>
      <c r="I24" s="12" t="s">
        <v>56</v>
      </c>
      <c r="J24" s="14">
        <v>18325.669999999998</v>
      </c>
      <c r="K24" s="12" t="s">
        <v>575</v>
      </c>
    </row>
    <row r="25" spans="1:11" x14ac:dyDescent="0.35">
      <c r="A25" s="12" t="s">
        <v>495</v>
      </c>
      <c r="B25" s="12" t="s">
        <v>471</v>
      </c>
      <c r="C25" s="12" t="s">
        <v>499</v>
      </c>
      <c r="D25" s="13">
        <v>45736</v>
      </c>
      <c r="E25" s="13">
        <v>45737</v>
      </c>
      <c r="F25" s="12">
        <v>246779414526</v>
      </c>
      <c r="G25" s="12" t="s">
        <v>11</v>
      </c>
      <c r="H25" s="14">
        <v>141.6</v>
      </c>
      <c r="I25" s="12" t="s">
        <v>56</v>
      </c>
      <c r="J25" s="14">
        <v>12275.48</v>
      </c>
      <c r="K25" s="12" t="s">
        <v>576</v>
      </c>
    </row>
    <row r="26" spans="1:11" x14ac:dyDescent="0.35">
      <c r="A26" s="12" t="s">
        <v>495</v>
      </c>
      <c r="B26" s="12" t="s">
        <v>471</v>
      </c>
      <c r="C26" s="12" t="s">
        <v>499</v>
      </c>
      <c r="D26" s="13">
        <v>45736</v>
      </c>
      <c r="E26" s="13">
        <v>45737</v>
      </c>
      <c r="F26" s="12">
        <v>246779414527</v>
      </c>
      <c r="G26" s="12" t="s">
        <v>11</v>
      </c>
      <c r="H26" s="14">
        <v>70.8</v>
      </c>
      <c r="I26" s="12" t="s">
        <v>56</v>
      </c>
      <c r="J26" s="14">
        <v>6137.74</v>
      </c>
      <c r="K26" s="12" t="s">
        <v>577</v>
      </c>
    </row>
    <row r="27" spans="1:11" x14ac:dyDescent="0.35">
      <c r="A27" s="12" t="s">
        <v>495</v>
      </c>
      <c r="B27" s="12" t="s">
        <v>471</v>
      </c>
      <c r="C27" s="12" t="s">
        <v>499</v>
      </c>
      <c r="D27" s="13">
        <v>45736</v>
      </c>
      <c r="E27" s="13">
        <v>45737</v>
      </c>
      <c r="F27" s="12">
        <v>246779414528</v>
      </c>
      <c r="G27" s="12" t="s">
        <v>11</v>
      </c>
      <c r="H27" s="14">
        <v>236</v>
      </c>
      <c r="I27" s="12" t="s">
        <v>56</v>
      </c>
      <c r="J27" s="14">
        <v>20459.14</v>
      </c>
      <c r="K27" s="12" t="s">
        <v>578</v>
      </c>
    </row>
    <row r="28" spans="1:11" x14ac:dyDescent="0.35">
      <c r="A28" s="12" t="s">
        <v>495</v>
      </c>
      <c r="B28" s="12" t="s">
        <v>471</v>
      </c>
      <c r="C28" s="12" t="s">
        <v>499</v>
      </c>
      <c r="D28" s="13">
        <v>45736</v>
      </c>
      <c r="E28" s="13">
        <v>45737</v>
      </c>
      <c r="F28" s="12">
        <v>246779414781</v>
      </c>
      <c r="G28" s="12" t="s">
        <v>11</v>
      </c>
      <c r="H28" s="14">
        <v>218.36</v>
      </c>
      <c r="I28" s="12" t="s">
        <v>56</v>
      </c>
      <c r="J28" s="14">
        <v>18929.900000000001</v>
      </c>
      <c r="K28" s="12" t="s">
        <v>565</v>
      </c>
    </row>
    <row r="29" spans="1:11" x14ac:dyDescent="0.35">
      <c r="A29" s="12" t="s">
        <v>495</v>
      </c>
      <c r="B29" s="12" t="s">
        <v>471</v>
      </c>
      <c r="C29" s="12" t="s">
        <v>499</v>
      </c>
      <c r="D29" s="13">
        <v>45736</v>
      </c>
      <c r="E29" s="13">
        <v>45737</v>
      </c>
      <c r="F29" s="12">
        <v>246779414863</v>
      </c>
      <c r="G29" s="12" t="s">
        <v>11</v>
      </c>
      <c r="H29" s="14">
        <v>23.6</v>
      </c>
      <c r="I29" s="12" t="s">
        <v>56</v>
      </c>
      <c r="J29" s="14">
        <v>2045.91</v>
      </c>
      <c r="K29" s="12" t="s">
        <v>564</v>
      </c>
    </row>
    <row r="30" spans="1:11" x14ac:dyDescent="0.35">
      <c r="A30" s="12" t="s">
        <v>495</v>
      </c>
      <c r="B30" s="12" t="s">
        <v>471</v>
      </c>
      <c r="C30" s="12" t="s">
        <v>499</v>
      </c>
      <c r="D30" s="13">
        <v>45736</v>
      </c>
      <c r="E30" s="13">
        <v>45737</v>
      </c>
      <c r="F30" s="12">
        <v>246779414864</v>
      </c>
      <c r="G30" s="12" t="s">
        <v>11</v>
      </c>
      <c r="H30" s="14">
        <v>26.55</v>
      </c>
      <c r="I30" s="12" t="s">
        <v>56</v>
      </c>
      <c r="J30" s="14">
        <v>2301.65</v>
      </c>
      <c r="K30" s="12" t="s">
        <v>564</v>
      </c>
    </row>
    <row r="31" spans="1:11" x14ac:dyDescent="0.35">
      <c r="A31" s="12" t="s">
        <v>495</v>
      </c>
      <c r="B31" s="12" t="s">
        <v>471</v>
      </c>
      <c r="C31" s="12" t="s">
        <v>499</v>
      </c>
      <c r="D31" s="13">
        <v>45736</v>
      </c>
      <c r="E31" s="13">
        <v>45737</v>
      </c>
      <c r="F31" s="12">
        <v>246779414865</v>
      </c>
      <c r="G31" s="12" t="s">
        <v>11</v>
      </c>
      <c r="H31" s="14">
        <v>32.450000000000003</v>
      </c>
      <c r="I31" s="12" t="s">
        <v>56</v>
      </c>
      <c r="J31" s="14">
        <v>2813.13</v>
      </c>
      <c r="K31" s="12" t="s">
        <v>564</v>
      </c>
    </row>
    <row r="32" spans="1:11" x14ac:dyDescent="0.35">
      <c r="A32" s="12" t="s">
        <v>495</v>
      </c>
      <c r="B32" s="12" t="s">
        <v>471</v>
      </c>
      <c r="C32" s="12" t="s">
        <v>499</v>
      </c>
      <c r="D32" s="13">
        <v>45736</v>
      </c>
      <c r="E32" s="13">
        <v>45737</v>
      </c>
      <c r="F32" s="12">
        <v>246779414866</v>
      </c>
      <c r="G32" s="12" t="s">
        <v>11</v>
      </c>
      <c r="H32" s="14">
        <v>26.55</v>
      </c>
      <c r="I32" s="12" t="s">
        <v>56</v>
      </c>
      <c r="J32" s="14">
        <v>2301.65</v>
      </c>
      <c r="K32" s="12" t="s">
        <v>564</v>
      </c>
    </row>
    <row r="33" spans="1:11" x14ac:dyDescent="0.35">
      <c r="A33" s="12" t="s">
        <v>495</v>
      </c>
      <c r="B33" s="12" t="s">
        <v>471</v>
      </c>
      <c r="C33" s="12" t="s">
        <v>499</v>
      </c>
      <c r="D33" s="13">
        <v>45736</v>
      </c>
      <c r="E33" s="13">
        <v>45737</v>
      </c>
      <c r="F33" s="12">
        <v>246779414867</v>
      </c>
      <c r="G33" s="12" t="s">
        <v>11</v>
      </c>
      <c r="H33" s="14">
        <v>26.55</v>
      </c>
      <c r="I33" s="12" t="s">
        <v>56</v>
      </c>
      <c r="J33" s="14">
        <v>2301.65</v>
      </c>
      <c r="K33" s="12" t="s">
        <v>564</v>
      </c>
    </row>
    <row r="34" spans="1:11" x14ac:dyDescent="0.35">
      <c r="A34" s="12" t="s">
        <v>495</v>
      </c>
      <c r="B34" s="12" t="s">
        <v>471</v>
      </c>
      <c r="C34" s="12" t="s">
        <v>499</v>
      </c>
      <c r="D34" s="13">
        <v>45736</v>
      </c>
      <c r="E34" s="13">
        <v>45737</v>
      </c>
      <c r="F34" s="12">
        <v>246779414868</v>
      </c>
      <c r="G34" s="12" t="s">
        <v>11</v>
      </c>
      <c r="H34" s="14">
        <v>2.95</v>
      </c>
      <c r="I34" s="12" t="s">
        <v>56</v>
      </c>
      <c r="J34" s="14">
        <v>255.74</v>
      </c>
      <c r="K34" s="12" t="s">
        <v>564</v>
      </c>
    </row>
    <row r="35" spans="1:11" x14ac:dyDescent="0.35">
      <c r="A35" s="12" t="s">
        <v>495</v>
      </c>
      <c r="B35" s="12" t="s">
        <v>471</v>
      </c>
      <c r="C35" s="12" t="s">
        <v>499</v>
      </c>
      <c r="D35" s="13">
        <v>45736</v>
      </c>
      <c r="E35" s="13">
        <v>45737</v>
      </c>
      <c r="F35" s="12">
        <v>246779414869</v>
      </c>
      <c r="G35" s="12" t="s">
        <v>11</v>
      </c>
      <c r="H35" s="14">
        <v>35.4</v>
      </c>
      <c r="I35" s="12" t="s">
        <v>56</v>
      </c>
      <c r="J35" s="14">
        <v>3068.87</v>
      </c>
      <c r="K35" s="12" t="s">
        <v>564</v>
      </c>
    </row>
    <row r="36" spans="1:11" x14ac:dyDescent="0.35">
      <c r="A36" s="12" t="s">
        <v>495</v>
      </c>
      <c r="B36" s="12" t="s">
        <v>471</v>
      </c>
      <c r="C36" s="12" t="s">
        <v>499</v>
      </c>
      <c r="D36" s="13">
        <v>45736</v>
      </c>
      <c r="E36" s="13">
        <v>45737</v>
      </c>
      <c r="F36" s="12">
        <v>246779414590</v>
      </c>
      <c r="G36" s="12" t="s">
        <v>11</v>
      </c>
      <c r="H36" s="14">
        <v>300.49</v>
      </c>
      <c r="I36" s="12" t="s">
        <v>56</v>
      </c>
      <c r="J36" s="14">
        <v>26049.86</v>
      </c>
      <c r="K36" s="12" t="s">
        <v>581</v>
      </c>
    </row>
    <row r="37" spans="1:11" x14ac:dyDescent="0.35">
      <c r="A37" s="12" t="s">
        <v>495</v>
      </c>
      <c r="B37" s="12" t="s">
        <v>471</v>
      </c>
      <c r="C37" s="12" t="s">
        <v>499</v>
      </c>
      <c r="D37" s="13">
        <v>45736</v>
      </c>
      <c r="E37" s="13">
        <v>45737</v>
      </c>
      <c r="F37" s="12">
        <v>246779414726</v>
      </c>
      <c r="G37" s="12" t="s">
        <v>11</v>
      </c>
      <c r="H37" s="14">
        <v>165.4</v>
      </c>
      <c r="I37" s="12" t="s">
        <v>56</v>
      </c>
      <c r="J37" s="14">
        <v>14338.73</v>
      </c>
      <c r="K37" s="12" t="s">
        <v>564</v>
      </c>
    </row>
    <row r="38" spans="1:11" x14ac:dyDescent="0.35">
      <c r="A38" s="12" t="s">
        <v>495</v>
      </c>
      <c r="B38" s="12" t="s">
        <v>471</v>
      </c>
      <c r="C38" s="12" t="s">
        <v>499</v>
      </c>
      <c r="D38" s="13">
        <v>45889</v>
      </c>
      <c r="E38" s="13">
        <v>45890</v>
      </c>
      <c r="F38" s="12">
        <v>256779416593</v>
      </c>
      <c r="G38" s="12" t="s">
        <v>11</v>
      </c>
      <c r="H38" s="14">
        <v>810</v>
      </c>
      <c r="I38" s="12" t="s">
        <v>56</v>
      </c>
      <c r="J38" s="14">
        <v>69684.399999999994</v>
      </c>
      <c r="K38" s="12" t="s">
        <v>602</v>
      </c>
    </row>
    <row r="39" spans="1:11" x14ac:dyDescent="0.35">
      <c r="A39" s="12" t="s">
        <v>495</v>
      </c>
      <c r="B39" s="12" t="s">
        <v>471</v>
      </c>
      <c r="C39" s="12" t="s">
        <v>499</v>
      </c>
      <c r="D39" s="13">
        <v>45889</v>
      </c>
      <c r="E39" s="13">
        <v>45891</v>
      </c>
      <c r="F39" s="12">
        <v>256779416600</v>
      </c>
      <c r="G39" s="12" t="s">
        <v>11</v>
      </c>
      <c r="H39" s="14">
        <v>737.41</v>
      </c>
      <c r="I39" s="12" t="s">
        <v>56</v>
      </c>
      <c r="J39" s="14">
        <v>63439.47</v>
      </c>
      <c r="K39" s="12" t="s">
        <v>603</v>
      </c>
    </row>
    <row r="40" spans="1:11" x14ac:dyDescent="0.35">
      <c r="A40" s="12" t="s">
        <v>495</v>
      </c>
      <c r="B40" s="12" t="s">
        <v>471</v>
      </c>
      <c r="C40" s="12" t="s">
        <v>499</v>
      </c>
      <c r="D40" s="13">
        <v>45889</v>
      </c>
      <c r="E40" s="13">
        <v>45891</v>
      </c>
      <c r="F40" s="12">
        <v>256779416801</v>
      </c>
      <c r="G40" s="12" t="s">
        <v>11</v>
      </c>
      <c r="H40" s="14">
        <v>110</v>
      </c>
      <c r="I40" s="12" t="s">
        <v>56</v>
      </c>
      <c r="J40" s="14">
        <v>9463.31</v>
      </c>
      <c r="K40" s="12" t="s">
        <v>604</v>
      </c>
    </row>
    <row r="41" spans="1:11" x14ac:dyDescent="0.35">
      <c r="A41" s="12" t="s">
        <v>495</v>
      </c>
      <c r="B41" s="12" t="s">
        <v>471</v>
      </c>
      <c r="C41" s="12" t="s">
        <v>499</v>
      </c>
      <c r="D41" s="13">
        <v>45889</v>
      </c>
      <c r="E41" s="13">
        <v>45891</v>
      </c>
      <c r="F41" s="12">
        <v>256779416807</v>
      </c>
      <c r="G41" s="12" t="s">
        <v>11</v>
      </c>
      <c r="H41" s="14">
        <v>248.96</v>
      </c>
      <c r="I41" s="12" t="s">
        <v>56</v>
      </c>
      <c r="J41" s="14">
        <v>21418.06</v>
      </c>
      <c r="K41" s="12" t="s">
        <v>605</v>
      </c>
    </row>
    <row r="42" spans="1:11" x14ac:dyDescent="0.35">
      <c r="A42" s="12" t="s">
        <v>495</v>
      </c>
      <c r="B42" s="12" t="s">
        <v>471</v>
      </c>
      <c r="C42" s="12" t="s">
        <v>499</v>
      </c>
      <c r="D42" s="13">
        <v>45889</v>
      </c>
      <c r="E42" s="13">
        <v>45891</v>
      </c>
      <c r="F42" s="12">
        <v>256779416814</v>
      </c>
      <c r="G42" s="12" t="s">
        <v>11</v>
      </c>
      <c r="H42" s="14">
        <v>230</v>
      </c>
      <c r="I42" s="12" t="s">
        <v>56</v>
      </c>
      <c r="J42" s="14">
        <v>19786.93</v>
      </c>
      <c r="K42" s="12" t="s">
        <v>606</v>
      </c>
    </row>
    <row r="43" spans="1:11" x14ac:dyDescent="0.35">
      <c r="A43" s="12" t="s">
        <v>495</v>
      </c>
      <c r="B43" s="12" t="s">
        <v>471</v>
      </c>
      <c r="C43" s="12" t="s">
        <v>499</v>
      </c>
      <c r="D43" s="13">
        <v>45797</v>
      </c>
      <c r="E43" s="13">
        <v>45805</v>
      </c>
      <c r="F43" s="12">
        <v>256779413835</v>
      </c>
      <c r="G43" s="12" t="s">
        <v>11</v>
      </c>
      <c r="H43" s="14">
        <v>206.02</v>
      </c>
      <c r="I43" s="12" t="s">
        <v>56</v>
      </c>
      <c r="J43" s="14">
        <v>17714.36</v>
      </c>
      <c r="K43" s="12" t="s">
        <v>611</v>
      </c>
    </row>
    <row r="44" spans="1:11" x14ac:dyDescent="0.35">
      <c r="A44" s="12" t="s">
        <v>495</v>
      </c>
      <c r="B44" s="12" t="s">
        <v>471</v>
      </c>
      <c r="C44" s="12" t="s">
        <v>499</v>
      </c>
      <c r="D44" s="13">
        <v>45797</v>
      </c>
      <c r="E44" s="13">
        <v>45805</v>
      </c>
      <c r="F44" s="12">
        <v>256779413480</v>
      </c>
      <c r="G44" s="12" t="s">
        <v>11</v>
      </c>
      <c r="H44" s="14">
        <v>183.84</v>
      </c>
      <c r="I44" s="12" t="s">
        <v>56</v>
      </c>
      <c r="J44" s="14">
        <v>15807.24</v>
      </c>
      <c r="K44" s="12" t="s">
        <v>612</v>
      </c>
    </row>
    <row r="45" spans="1:11" x14ac:dyDescent="0.35">
      <c r="A45" s="12" t="s">
        <v>495</v>
      </c>
      <c r="B45" s="12" t="s">
        <v>471</v>
      </c>
      <c r="C45" s="12" t="s">
        <v>499</v>
      </c>
      <c r="D45" s="13">
        <v>45797</v>
      </c>
      <c r="E45" s="13">
        <v>45805</v>
      </c>
      <c r="F45" s="12">
        <v>256779413879</v>
      </c>
      <c r="G45" s="12" t="s">
        <v>11</v>
      </c>
      <c r="H45" s="14">
        <v>37.17</v>
      </c>
      <c r="I45" s="12" t="s">
        <v>56</v>
      </c>
      <c r="J45" s="14">
        <v>3196.01</v>
      </c>
      <c r="K45" s="12" t="s">
        <v>613</v>
      </c>
    </row>
    <row r="46" spans="1:11" x14ac:dyDescent="0.35">
      <c r="A46" s="12" t="s">
        <v>495</v>
      </c>
      <c r="B46" s="12" t="s">
        <v>471</v>
      </c>
      <c r="C46" s="12" t="s">
        <v>499</v>
      </c>
      <c r="D46" s="13">
        <v>45750</v>
      </c>
      <c r="E46" s="13">
        <v>45752</v>
      </c>
      <c r="F46" s="12">
        <v>256779410272</v>
      </c>
      <c r="G46" s="12" t="s">
        <v>11</v>
      </c>
      <c r="H46" s="14">
        <v>2286.2399999999998</v>
      </c>
      <c r="I46" s="12" t="s">
        <v>56</v>
      </c>
      <c r="J46" s="14">
        <v>198724.14</v>
      </c>
      <c r="K46" s="12" t="s">
        <v>601</v>
      </c>
    </row>
    <row r="47" spans="1:11" x14ac:dyDescent="0.35">
      <c r="A47" s="12" t="s">
        <v>495</v>
      </c>
      <c r="B47" s="12" t="s">
        <v>471</v>
      </c>
      <c r="C47" s="12" t="s">
        <v>499</v>
      </c>
      <c r="D47" s="13">
        <v>45750</v>
      </c>
      <c r="E47" s="13">
        <v>45752</v>
      </c>
      <c r="F47" s="12">
        <v>256779410076</v>
      </c>
      <c r="G47" s="12" t="s">
        <v>11</v>
      </c>
      <c r="H47" s="14">
        <v>25.22</v>
      </c>
      <c r="I47" s="12" t="s">
        <v>56</v>
      </c>
      <c r="J47" s="14">
        <v>2192.17</v>
      </c>
      <c r="K47" s="12" t="s">
        <v>616</v>
      </c>
    </row>
    <row r="48" spans="1:11" x14ac:dyDescent="0.35">
      <c r="A48" s="12" t="s">
        <v>495</v>
      </c>
      <c r="B48" s="12" t="s">
        <v>471</v>
      </c>
      <c r="C48" s="12" t="s">
        <v>499</v>
      </c>
      <c r="D48" s="13">
        <v>45750</v>
      </c>
      <c r="E48" s="13">
        <v>45752</v>
      </c>
      <c r="F48" s="12">
        <v>256779410077</v>
      </c>
      <c r="G48" s="12" t="s">
        <v>11</v>
      </c>
      <c r="H48" s="14">
        <v>84.96</v>
      </c>
      <c r="I48" s="12" t="s">
        <v>56</v>
      </c>
      <c r="J48" s="14">
        <v>7384.88</v>
      </c>
      <c r="K48" s="12" t="s">
        <v>617</v>
      </c>
    </row>
    <row r="49" spans="1:11" x14ac:dyDescent="0.35">
      <c r="A49" s="12" t="s">
        <v>495</v>
      </c>
      <c r="B49" s="12" t="s">
        <v>471</v>
      </c>
      <c r="C49" s="12" t="s">
        <v>499</v>
      </c>
      <c r="D49" s="13">
        <v>45750</v>
      </c>
      <c r="E49" s="13">
        <v>45752</v>
      </c>
      <c r="F49" s="12">
        <v>256779410127</v>
      </c>
      <c r="G49" s="12" t="s">
        <v>11</v>
      </c>
      <c r="H49" s="14">
        <v>183.99</v>
      </c>
      <c r="I49" s="12" t="s">
        <v>56</v>
      </c>
      <c r="J49" s="14">
        <v>15992.75</v>
      </c>
      <c r="K49" s="12" t="s">
        <v>618</v>
      </c>
    </row>
    <row r="50" spans="1:11" x14ac:dyDescent="0.35">
      <c r="A50" s="12" t="s">
        <v>495</v>
      </c>
      <c r="B50" s="12" t="s">
        <v>471</v>
      </c>
      <c r="C50" s="12" t="s">
        <v>499</v>
      </c>
      <c r="D50" s="13">
        <v>45750</v>
      </c>
      <c r="E50" s="13">
        <v>45752</v>
      </c>
      <c r="F50" s="12">
        <v>256779410213</v>
      </c>
      <c r="G50" s="12" t="s">
        <v>11</v>
      </c>
      <c r="H50" s="14">
        <v>236</v>
      </c>
      <c r="I50" s="12" t="s">
        <v>56</v>
      </c>
      <c r="J50" s="14">
        <v>20513.55</v>
      </c>
      <c r="K50" s="12" t="s">
        <v>619</v>
      </c>
    </row>
    <row r="51" spans="1:11" x14ac:dyDescent="0.35">
      <c r="A51" s="12" t="s">
        <v>495</v>
      </c>
      <c r="B51" s="12" t="s">
        <v>471</v>
      </c>
      <c r="C51" s="12" t="s">
        <v>499</v>
      </c>
      <c r="D51" s="13">
        <v>45750</v>
      </c>
      <c r="E51" s="13">
        <v>45752</v>
      </c>
      <c r="F51" s="12">
        <v>256779410214</v>
      </c>
      <c r="G51" s="12" t="s">
        <v>11</v>
      </c>
      <c r="H51" s="14">
        <v>70.8</v>
      </c>
      <c r="I51" s="12" t="s">
        <v>56</v>
      </c>
      <c r="J51" s="14">
        <v>6154.06</v>
      </c>
      <c r="K51" s="12" t="s">
        <v>620</v>
      </c>
    </row>
    <row r="52" spans="1:11" x14ac:dyDescent="0.35">
      <c r="A52" s="12" t="s">
        <v>495</v>
      </c>
      <c r="B52" s="12" t="s">
        <v>471</v>
      </c>
      <c r="C52" s="12" t="s">
        <v>499</v>
      </c>
      <c r="D52" s="13">
        <v>45750</v>
      </c>
      <c r="E52" s="13">
        <v>45752</v>
      </c>
      <c r="F52" s="12">
        <v>256779410231</v>
      </c>
      <c r="G52" s="12" t="s">
        <v>11</v>
      </c>
      <c r="H52" s="14">
        <v>2333.1799999999998</v>
      </c>
      <c r="I52" s="12" t="s">
        <v>56</v>
      </c>
      <c r="J52" s="14">
        <v>202804.25</v>
      </c>
      <c r="K52" s="12" t="s">
        <v>593</v>
      </c>
    </row>
    <row r="53" spans="1:11" x14ac:dyDescent="0.35">
      <c r="A53" s="12" t="s">
        <v>495</v>
      </c>
      <c r="B53" s="12" t="s">
        <v>471</v>
      </c>
      <c r="C53" s="12" t="s">
        <v>499</v>
      </c>
      <c r="D53" s="13">
        <v>45950</v>
      </c>
      <c r="E53" s="13">
        <v>45951</v>
      </c>
      <c r="F53" s="12">
        <v>256779418692</v>
      </c>
      <c r="G53" s="12" t="s">
        <v>11</v>
      </c>
      <c r="H53" s="14">
        <v>531.26</v>
      </c>
      <c r="I53" s="12" t="s">
        <v>56</v>
      </c>
      <c r="J53" s="14">
        <v>46852.23</v>
      </c>
      <c r="K53" s="12" t="s">
        <v>622</v>
      </c>
    </row>
    <row r="54" spans="1:11" x14ac:dyDescent="0.35">
      <c r="A54" s="12" t="s">
        <v>495</v>
      </c>
      <c r="B54" s="12" t="s">
        <v>471</v>
      </c>
      <c r="C54" s="12" t="s">
        <v>499</v>
      </c>
      <c r="D54" s="13">
        <v>45826</v>
      </c>
      <c r="E54" s="13">
        <v>45827</v>
      </c>
      <c r="F54" s="12">
        <v>256779414430</v>
      </c>
      <c r="G54" s="12" t="s">
        <v>11</v>
      </c>
      <c r="H54" s="14">
        <v>95.24</v>
      </c>
      <c r="I54" s="12" t="s">
        <v>56</v>
      </c>
      <c r="J54" s="14">
        <v>8142.14</v>
      </c>
      <c r="K54" s="12" t="s">
        <v>588</v>
      </c>
    </row>
    <row r="55" spans="1:11" x14ac:dyDescent="0.35">
      <c r="A55" s="12" t="s">
        <v>495</v>
      </c>
      <c r="B55" s="12" t="s">
        <v>471</v>
      </c>
      <c r="C55" s="12" t="s">
        <v>499</v>
      </c>
      <c r="D55" s="13">
        <v>45826</v>
      </c>
      <c r="E55" s="13">
        <v>45827</v>
      </c>
      <c r="F55" s="12">
        <v>256779414445</v>
      </c>
      <c r="G55" s="12" t="s">
        <v>11</v>
      </c>
      <c r="H55" s="14">
        <v>2333.1799999999998</v>
      </c>
      <c r="I55" s="12" t="s">
        <v>56</v>
      </c>
      <c r="J55" s="14">
        <v>199465.38</v>
      </c>
      <c r="K55" s="12" t="s">
        <v>593</v>
      </c>
    </row>
    <row r="56" spans="1:11" x14ac:dyDescent="0.35">
      <c r="A56" s="12" t="s">
        <v>495</v>
      </c>
      <c r="B56" s="12" t="s">
        <v>471</v>
      </c>
      <c r="C56" s="12" t="s">
        <v>499</v>
      </c>
      <c r="D56" s="13">
        <v>45951</v>
      </c>
      <c r="E56" s="13">
        <v>45951</v>
      </c>
      <c r="F56" s="12">
        <v>256779418489</v>
      </c>
      <c r="G56" s="12" t="s">
        <v>11</v>
      </c>
      <c r="H56" s="14">
        <v>562.38</v>
      </c>
      <c r="I56" s="12" t="s">
        <v>56</v>
      </c>
      <c r="J56" s="14">
        <v>49596.73</v>
      </c>
      <c r="K56" s="12" t="s">
        <v>642</v>
      </c>
    </row>
    <row r="57" spans="1:11" x14ac:dyDescent="0.35">
      <c r="A57" s="12" t="s">
        <v>495</v>
      </c>
      <c r="B57" s="12" t="s">
        <v>471</v>
      </c>
      <c r="C57" s="12" t="s">
        <v>499</v>
      </c>
      <c r="D57" s="13">
        <v>45951</v>
      </c>
      <c r="E57" s="13">
        <v>45951</v>
      </c>
      <c r="F57" s="12">
        <v>256779418495</v>
      </c>
      <c r="G57" s="12" t="s">
        <v>11</v>
      </c>
      <c r="H57" s="14">
        <v>13.59</v>
      </c>
      <c r="I57" s="12" t="s">
        <v>56</v>
      </c>
      <c r="J57" s="14">
        <v>1198.51</v>
      </c>
      <c r="K57" s="12" t="s">
        <v>643</v>
      </c>
    </row>
    <row r="58" spans="1:11" x14ac:dyDescent="0.35">
      <c r="A58" s="12" t="s">
        <v>495</v>
      </c>
      <c r="B58" s="12" t="s">
        <v>471</v>
      </c>
      <c r="C58" s="12" t="s">
        <v>499</v>
      </c>
      <c r="D58" s="13">
        <v>45735</v>
      </c>
      <c r="E58" s="13">
        <v>45736</v>
      </c>
      <c r="F58" s="12">
        <v>246779413317</v>
      </c>
      <c r="G58" s="12" t="s">
        <v>11</v>
      </c>
      <c r="H58" s="14">
        <v>20.100000000000001</v>
      </c>
      <c r="I58" s="12" t="s">
        <v>56</v>
      </c>
      <c r="J58" s="14">
        <v>1742.49</v>
      </c>
      <c r="K58" s="12" t="s">
        <v>646</v>
      </c>
    </row>
    <row r="59" spans="1:11" x14ac:dyDescent="0.35">
      <c r="A59" s="12" t="s">
        <v>495</v>
      </c>
      <c r="B59" s="12" t="s">
        <v>471</v>
      </c>
      <c r="C59" s="12" t="s">
        <v>499</v>
      </c>
      <c r="D59" s="13">
        <v>45981</v>
      </c>
      <c r="E59" s="13">
        <v>45985</v>
      </c>
      <c r="F59" s="12">
        <v>256779419581</v>
      </c>
      <c r="G59" s="12" t="s">
        <v>11</v>
      </c>
      <c r="H59" s="14">
        <v>156.19999999999999</v>
      </c>
      <c r="I59" s="12" t="s">
        <v>56</v>
      </c>
      <c r="J59" s="14">
        <v>13746.13</v>
      </c>
      <c r="K59" s="12" t="s">
        <v>651</v>
      </c>
    </row>
    <row r="60" spans="1:11" x14ac:dyDescent="0.35">
      <c r="A60" s="12" t="s">
        <v>495</v>
      </c>
      <c r="B60" s="12" t="s">
        <v>471</v>
      </c>
      <c r="C60" s="12" t="s">
        <v>499</v>
      </c>
      <c r="D60" s="13">
        <v>45769</v>
      </c>
      <c r="E60" s="13">
        <v>45770</v>
      </c>
      <c r="F60" s="12">
        <v>256779412609</v>
      </c>
      <c r="G60" s="12" t="s">
        <v>11</v>
      </c>
      <c r="H60" s="14">
        <v>700.06</v>
      </c>
      <c r="I60" s="12" t="s">
        <v>56</v>
      </c>
      <c r="J60" s="14">
        <v>60850.49</v>
      </c>
      <c r="K60" s="12" t="s">
        <v>652</v>
      </c>
    </row>
    <row r="61" spans="1:11" x14ac:dyDescent="0.35">
      <c r="A61" s="12" t="s">
        <v>495</v>
      </c>
      <c r="B61" s="12" t="s">
        <v>471</v>
      </c>
      <c r="C61" s="12" t="s">
        <v>499</v>
      </c>
      <c r="D61" s="13">
        <v>45769</v>
      </c>
      <c r="E61" s="13">
        <v>45770</v>
      </c>
      <c r="F61" s="12">
        <v>256779412649</v>
      </c>
      <c r="G61" s="12" t="s">
        <v>11</v>
      </c>
      <c r="H61" s="14">
        <v>79.650000000000006</v>
      </c>
      <c r="I61" s="12" t="s">
        <v>56</v>
      </c>
      <c r="J61" s="14">
        <v>6923.32</v>
      </c>
      <c r="K61" s="12" t="s">
        <v>653</v>
      </c>
    </row>
    <row r="62" spans="1:11" x14ac:dyDescent="0.35">
      <c r="A62" s="12" t="s">
        <v>495</v>
      </c>
      <c r="B62" s="12" t="s">
        <v>471</v>
      </c>
      <c r="C62" s="12" t="s">
        <v>499</v>
      </c>
      <c r="D62" s="13">
        <v>45770</v>
      </c>
      <c r="E62" s="13">
        <v>45776</v>
      </c>
      <c r="F62" s="12">
        <v>256779412884</v>
      </c>
      <c r="G62" s="12" t="s">
        <v>11</v>
      </c>
      <c r="H62" s="14">
        <v>136.08000000000001</v>
      </c>
      <c r="I62" s="12" t="s">
        <v>56</v>
      </c>
      <c r="J62" s="14">
        <v>11828.32</v>
      </c>
      <c r="K62" s="12" t="s">
        <v>664</v>
      </c>
    </row>
    <row r="63" spans="1:11" x14ac:dyDescent="0.35">
      <c r="A63" s="12" t="s">
        <v>495</v>
      </c>
      <c r="B63" s="12" t="s">
        <v>471</v>
      </c>
      <c r="C63" s="12" t="s">
        <v>499</v>
      </c>
      <c r="D63" s="13">
        <v>45770</v>
      </c>
      <c r="E63" s="13">
        <v>45776</v>
      </c>
      <c r="F63" s="12">
        <v>256779412918</v>
      </c>
      <c r="G63" s="12" t="s">
        <v>11</v>
      </c>
      <c r="H63" s="14">
        <v>183.35</v>
      </c>
      <c r="I63" s="12" t="s">
        <v>56</v>
      </c>
      <c r="J63" s="14">
        <v>15937.12</v>
      </c>
      <c r="K63" s="12" t="s">
        <v>665</v>
      </c>
    </row>
    <row r="64" spans="1:11" x14ac:dyDescent="0.35">
      <c r="A64" s="12" t="s">
        <v>495</v>
      </c>
      <c r="B64" s="12" t="s">
        <v>471</v>
      </c>
      <c r="C64" s="12" t="s">
        <v>499</v>
      </c>
      <c r="D64" s="13">
        <v>45770</v>
      </c>
      <c r="E64" s="13">
        <v>45776</v>
      </c>
      <c r="F64" s="12">
        <v>256779412948</v>
      </c>
      <c r="G64" s="12" t="s">
        <v>11</v>
      </c>
      <c r="H64" s="14">
        <v>3.1</v>
      </c>
      <c r="I64" s="12" t="s">
        <v>56</v>
      </c>
      <c r="J64" s="14">
        <v>269.45999999999998</v>
      </c>
      <c r="K64" s="12" t="s">
        <v>665</v>
      </c>
    </row>
    <row r="65" spans="1:11" x14ac:dyDescent="0.35">
      <c r="A65" s="12" t="s">
        <v>495</v>
      </c>
      <c r="B65" s="12" t="s">
        <v>471</v>
      </c>
      <c r="C65" s="12" t="s">
        <v>499</v>
      </c>
      <c r="D65" s="13">
        <v>45737</v>
      </c>
      <c r="E65" s="13">
        <v>45737</v>
      </c>
      <c r="F65" s="12">
        <v>246779414296</v>
      </c>
      <c r="G65" s="12" t="s">
        <v>11</v>
      </c>
      <c r="H65" s="14">
        <v>553.87</v>
      </c>
      <c r="I65" s="12" t="s">
        <v>56</v>
      </c>
      <c r="J65" s="14">
        <v>48015.69</v>
      </c>
      <c r="K65" s="12" t="s">
        <v>666</v>
      </c>
    </row>
    <row r="66" spans="1:11" x14ac:dyDescent="0.35">
      <c r="A66" s="12" t="s">
        <v>495</v>
      </c>
      <c r="B66" s="12" t="s">
        <v>471</v>
      </c>
      <c r="C66" s="12" t="s">
        <v>499</v>
      </c>
      <c r="D66" s="13">
        <v>45737</v>
      </c>
      <c r="E66" s="13">
        <v>45737</v>
      </c>
      <c r="F66" s="12">
        <v>246779414297</v>
      </c>
      <c r="G66" s="12" t="s">
        <v>11</v>
      </c>
      <c r="H66" s="14">
        <v>424.8</v>
      </c>
      <c r="I66" s="12" t="s">
        <v>56</v>
      </c>
      <c r="J66" s="14">
        <v>36826.449999999997</v>
      </c>
      <c r="K66" s="12" t="s">
        <v>667</v>
      </c>
    </row>
    <row r="67" spans="1:11" x14ac:dyDescent="0.35">
      <c r="A67" s="12" t="s">
        <v>495</v>
      </c>
      <c r="B67" s="12" t="s">
        <v>471</v>
      </c>
      <c r="C67" s="12" t="s">
        <v>499</v>
      </c>
      <c r="D67" s="13">
        <v>45737</v>
      </c>
      <c r="E67" s="13">
        <v>45737</v>
      </c>
      <c r="F67" s="12">
        <v>246779414298</v>
      </c>
      <c r="G67" s="12" t="s">
        <v>11</v>
      </c>
      <c r="H67" s="14">
        <v>70.8</v>
      </c>
      <c r="I67" s="12" t="s">
        <v>56</v>
      </c>
      <c r="J67" s="14">
        <v>6137.74</v>
      </c>
      <c r="K67" s="12" t="s">
        <v>668</v>
      </c>
    </row>
    <row r="68" spans="1:11" x14ac:dyDescent="0.35">
      <c r="A68" s="12" t="s">
        <v>495</v>
      </c>
      <c r="B68" s="12" t="s">
        <v>471</v>
      </c>
      <c r="C68" s="12" t="s">
        <v>499</v>
      </c>
      <c r="D68" s="13">
        <v>45937</v>
      </c>
      <c r="E68" s="13">
        <v>45939</v>
      </c>
      <c r="F68" s="12">
        <v>256779418185</v>
      </c>
      <c r="G68" s="12" t="s">
        <v>11</v>
      </c>
      <c r="H68" s="14">
        <v>405.44</v>
      </c>
      <c r="I68" s="12" t="s">
        <v>56</v>
      </c>
      <c r="J68" s="14">
        <v>35756.07</v>
      </c>
      <c r="K68" s="12" t="s">
        <v>672</v>
      </c>
    </row>
    <row r="69" spans="1:11" x14ac:dyDescent="0.35">
      <c r="A69" s="12" t="s">
        <v>495</v>
      </c>
      <c r="B69" s="12" t="s">
        <v>471</v>
      </c>
      <c r="C69" s="12" t="s">
        <v>499</v>
      </c>
      <c r="D69" s="13">
        <v>45787</v>
      </c>
      <c r="E69" s="13">
        <v>45792</v>
      </c>
      <c r="F69" s="12">
        <v>256779413161</v>
      </c>
      <c r="G69" s="12" t="s">
        <v>11</v>
      </c>
      <c r="H69" s="14">
        <v>707.71</v>
      </c>
      <c r="I69" s="12" t="s">
        <v>56</v>
      </c>
      <c r="J69" s="14">
        <v>60851.519999999997</v>
      </c>
      <c r="K69" s="12" t="s">
        <v>676</v>
      </c>
    </row>
    <row r="70" spans="1:11" x14ac:dyDescent="0.35">
      <c r="A70" s="12" t="s">
        <v>495</v>
      </c>
      <c r="B70" s="12" t="s">
        <v>471</v>
      </c>
      <c r="C70" s="12" t="s">
        <v>499</v>
      </c>
      <c r="D70" s="13">
        <v>45787</v>
      </c>
      <c r="E70" s="13">
        <v>45792</v>
      </c>
      <c r="F70" s="12">
        <v>256779413169</v>
      </c>
      <c r="G70" s="12" t="s">
        <v>11</v>
      </c>
      <c r="H70" s="14">
        <v>3.78</v>
      </c>
      <c r="I70" s="12" t="s">
        <v>56</v>
      </c>
      <c r="J70" s="14">
        <v>325.02</v>
      </c>
      <c r="K70" s="12" t="s">
        <v>677</v>
      </c>
    </row>
    <row r="71" spans="1:11" x14ac:dyDescent="0.35">
      <c r="A71" s="12" t="s">
        <v>495</v>
      </c>
      <c r="B71" s="12" t="s">
        <v>471</v>
      </c>
      <c r="C71" s="12" t="s">
        <v>499</v>
      </c>
      <c r="D71" s="13">
        <v>45815</v>
      </c>
      <c r="E71" s="13">
        <v>45817</v>
      </c>
      <c r="F71" s="12">
        <v>256779414253</v>
      </c>
      <c r="G71" s="12" t="s">
        <v>11</v>
      </c>
      <c r="H71" s="14">
        <v>9947.26</v>
      </c>
      <c r="I71" s="12" t="s">
        <v>56</v>
      </c>
      <c r="J71" s="14">
        <v>850399.02</v>
      </c>
      <c r="K71" s="12" t="s">
        <v>681</v>
      </c>
    </row>
    <row r="72" spans="1:11" x14ac:dyDescent="0.35">
      <c r="A72" s="12" t="s">
        <v>495</v>
      </c>
      <c r="B72" s="12" t="s">
        <v>471</v>
      </c>
      <c r="C72" s="12" t="s">
        <v>499</v>
      </c>
      <c r="D72" s="13">
        <v>45935</v>
      </c>
      <c r="E72" s="13">
        <v>45940</v>
      </c>
      <c r="F72" s="12">
        <v>256779418357</v>
      </c>
      <c r="G72" s="12" t="s">
        <v>11</v>
      </c>
      <c r="H72" s="14">
        <v>394.19</v>
      </c>
      <c r="I72" s="12" t="s">
        <v>56</v>
      </c>
      <c r="J72" s="14">
        <v>34763.919999999998</v>
      </c>
      <c r="K72" s="12" t="s">
        <v>686</v>
      </c>
    </row>
    <row r="73" spans="1:11" x14ac:dyDescent="0.35">
      <c r="A73" s="12" t="s">
        <v>495</v>
      </c>
      <c r="B73" s="12" t="s">
        <v>471</v>
      </c>
      <c r="C73" s="12" t="s">
        <v>499</v>
      </c>
      <c r="D73" s="13">
        <v>45935</v>
      </c>
      <c r="E73" s="13">
        <v>45937</v>
      </c>
      <c r="F73" s="12">
        <v>256779418068</v>
      </c>
      <c r="G73" s="12" t="s">
        <v>11</v>
      </c>
      <c r="H73" s="14">
        <v>94.81</v>
      </c>
      <c r="I73" s="12" t="s">
        <v>56</v>
      </c>
      <c r="J73" s="14">
        <v>8361.3700000000008</v>
      </c>
      <c r="K73" s="12" t="s">
        <v>685</v>
      </c>
    </row>
    <row r="74" spans="1:11" x14ac:dyDescent="0.35">
      <c r="A74" s="12" t="s">
        <v>495</v>
      </c>
      <c r="B74" s="12" t="s">
        <v>471</v>
      </c>
      <c r="C74" s="12" t="s">
        <v>499</v>
      </c>
      <c r="D74" s="13">
        <v>45906</v>
      </c>
      <c r="E74" s="13">
        <v>45909</v>
      </c>
      <c r="F74" s="12">
        <v>256779417093</v>
      </c>
      <c r="G74" s="12" t="s">
        <v>11</v>
      </c>
      <c r="H74" s="14">
        <v>4608.8</v>
      </c>
      <c r="I74" s="12" t="s">
        <v>56</v>
      </c>
      <c r="J74" s="14">
        <v>403336.04</v>
      </c>
      <c r="K74" s="12" t="s">
        <v>688</v>
      </c>
    </row>
    <row r="75" spans="1:11" x14ac:dyDescent="0.35">
      <c r="A75" s="12" t="s">
        <v>495</v>
      </c>
      <c r="B75" s="12" t="s">
        <v>471</v>
      </c>
      <c r="C75" s="12" t="s">
        <v>499</v>
      </c>
      <c r="D75" s="13">
        <v>45795</v>
      </c>
      <c r="E75" s="13">
        <v>45805</v>
      </c>
      <c r="F75" s="12">
        <v>256779413859</v>
      </c>
      <c r="G75" s="12" t="s">
        <v>11</v>
      </c>
      <c r="H75" s="14">
        <v>413</v>
      </c>
      <c r="I75" s="12" t="s">
        <v>56</v>
      </c>
      <c r="J75" s="14">
        <v>35511.269999999997</v>
      </c>
      <c r="K75" s="12" t="s">
        <v>689</v>
      </c>
    </row>
    <row r="76" spans="1:11" x14ac:dyDescent="0.35">
      <c r="A76" s="12" t="s">
        <v>495</v>
      </c>
      <c r="B76" s="12" t="s">
        <v>477</v>
      </c>
      <c r="C76" s="12" t="s">
        <v>499</v>
      </c>
      <c r="D76" s="13">
        <v>46024</v>
      </c>
      <c r="E76" s="13">
        <v>46024</v>
      </c>
      <c r="F76" s="12">
        <v>256779440007</v>
      </c>
      <c r="G76" s="12" t="s">
        <v>11</v>
      </c>
      <c r="H76" s="14">
        <v>1332.49</v>
      </c>
      <c r="I76" s="12" t="s">
        <v>56</v>
      </c>
      <c r="J76" s="14">
        <v>120914.33</v>
      </c>
      <c r="K76" s="12" t="s">
        <v>690</v>
      </c>
    </row>
    <row r="77" spans="1:11" x14ac:dyDescent="0.35">
      <c r="A77" s="12" t="s">
        <v>495</v>
      </c>
      <c r="B77" s="12" t="s">
        <v>477</v>
      </c>
      <c r="C77" s="12" t="s">
        <v>499</v>
      </c>
      <c r="D77" s="13">
        <v>46027</v>
      </c>
      <c r="E77" s="13">
        <v>46027</v>
      </c>
      <c r="F77" s="12">
        <v>256779440060</v>
      </c>
      <c r="G77" s="12" t="s">
        <v>11</v>
      </c>
      <c r="H77" s="14">
        <v>198.57</v>
      </c>
      <c r="I77" s="12" t="s">
        <v>56</v>
      </c>
      <c r="J77" s="14">
        <v>18018.87</v>
      </c>
      <c r="K77" s="12" t="s">
        <v>693</v>
      </c>
    </row>
    <row r="78" spans="1:11" x14ac:dyDescent="0.35">
      <c r="A78" s="12" t="s">
        <v>495</v>
      </c>
      <c r="B78" s="12" t="s">
        <v>477</v>
      </c>
      <c r="C78" s="12" t="s">
        <v>499</v>
      </c>
      <c r="D78" s="13">
        <v>46027</v>
      </c>
      <c r="E78" s="13">
        <v>46027</v>
      </c>
      <c r="F78" s="12">
        <v>256779440067</v>
      </c>
      <c r="G78" s="12" t="s">
        <v>11</v>
      </c>
      <c r="H78" s="14">
        <v>100.07</v>
      </c>
      <c r="I78" s="12" t="s">
        <v>56</v>
      </c>
      <c r="J78" s="14">
        <v>9080.67</v>
      </c>
      <c r="K78" s="12" t="s">
        <v>694</v>
      </c>
    </row>
    <row r="79" spans="1:11" x14ac:dyDescent="0.35">
      <c r="A79" s="12" t="s">
        <v>495</v>
      </c>
      <c r="B79" s="12" t="s">
        <v>477</v>
      </c>
      <c r="C79" s="12" t="s">
        <v>499</v>
      </c>
      <c r="D79" s="13">
        <v>46027</v>
      </c>
      <c r="E79" s="13">
        <v>46027</v>
      </c>
      <c r="F79" s="12">
        <v>256779440078</v>
      </c>
      <c r="G79" s="12" t="s">
        <v>11</v>
      </c>
      <c r="H79" s="14">
        <v>78.75</v>
      </c>
      <c r="I79" s="12" t="s">
        <v>56</v>
      </c>
      <c r="J79" s="14">
        <v>7146.02</v>
      </c>
      <c r="K79" s="12" t="s">
        <v>695</v>
      </c>
    </row>
    <row r="80" spans="1:11" x14ac:dyDescent="0.35">
      <c r="A80" s="12" t="s">
        <v>495</v>
      </c>
      <c r="B80" s="12" t="s">
        <v>477</v>
      </c>
      <c r="C80" s="12" t="s">
        <v>499</v>
      </c>
      <c r="D80" s="13">
        <v>46027</v>
      </c>
      <c r="E80" s="13">
        <v>46027</v>
      </c>
      <c r="F80" s="12">
        <v>256779440116</v>
      </c>
      <c r="G80" s="12" t="s">
        <v>11</v>
      </c>
      <c r="H80" s="14">
        <v>498.28</v>
      </c>
      <c r="I80" s="12" t="s">
        <v>56</v>
      </c>
      <c r="J80" s="14">
        <v>45215.49</v>
      </c>
      <c r="K80" s="12" t="s">
        <v>696</v>
      </c>
    </row>
    <row r="81" spans="1:11" x14ac:dyDescent="0.35">
      <c r="A81" s="12" t="s">
        <v>495</v>
      </c>
      <c r="B81" s="12" t="s">
        <v>477</v>
      </c>
      <c r="C81" s="12" t="s">
        <v>499</v>
      </c>
      <c r="D81" s="13">
        <v>46031</v>
      </c>
      <c r="E81" s="13">
        <v>46031</v>
      </c>
      <c r="F81" s="12">
        <v>256779440126</v>
      </c>
      <c r="G81" s="12" t="s">
        <v>11</v>
      </c>
      <c r="H81" s="14">
        <v>122.48</v>
      </c>
      <c r="I81" s="12" t="s">
        <v>56</v>
      </c>
      <c r="J81" s="14">
        <v>11114.22</v>
      </c>
      <c r="K81" s="12" t="s">
        <v>650</v>
      </c>
    </row>
    <row r="82" spans="1:11" x14ac:dyDescent="0.35">
      <c r="A82" s="12" t="s">
        <v>495</v>
      </c>
      <c r="B82" s="12" t="s">
        <v>477</v>
      </c>
      <c r="C82" s="12" t="s">
        <v>499</v>
      </c>
      <c r="D82" s="13">
        <v>46031</v>
      </c>
      <c r="E82" s="13">
        <v>46031</v>
      </c>
      <c r="F82" s="12">
        <v>256779440136</v>
      </c>
      <c r="G82" s="12" t="s">
        <v>11</v>
      </c>
      <c r="H82" s="14">
        <v>27.81</v>
      </c>
      <c r="I82" s="12" t="s">
        <v>56</v>
      </c>
      <c r="J82" s="14">
        <v>2523.5700000000002</v>
      </c>
      <c r="K82" s="12" t="s">
        <v>698</v>
      </c>
    </row>
    <row r="83" spans="1:11" x14ac:dyDescent="0.35">
      <c r="A83" s="12" t="s">
        <v>495</v>
      </c>
      <c r="B83" s="12" t="s">
        <v>477</v>
      </c>
      <c r="C83" s="12" t="s">
        <v>499</v>
      </c>
      <c r="D83" s="13">
        <v>46028</v>
      </c>
      <c r="E83" s="13">
        <v>46031</v>
      </c>
      <c r="F83" s="12">
        <v>256779440150</v>
      </c>
      <c r="G83" s="12" t="s">
        <v>11</v>
      </c>
      <c r="H83" s="14">
        <v>112.85</v>
      </c>
      <c r="I83" s="12" t="s">
        <v>56</v>
      </c>
      <c r="J83" s="14">
        <v>10240.36</v>
      </c>
      <c r="K83" s="12" t="s">
        <v>699</v>
      </c>
    </row>
    <row r="84" spans="1:11" x14ac:dyDescent="0.35">
      <c r="A84" s="12" t="s">
        <v>495</v>
      </c>
      <c r="B84" s="12" t="s">
        <v>477</v>
      </c>
      <c r="C84" s="12" t="s">
        <v>499</v>
      </c>
      <c r="D84" s="13">
        <v>46028</v>
      </c>
      <c r="E84" s="13">
        <v>46031</v>
      </c>
      <c r="F84" s="12">
        <v>256779440159</v>
      </c>
      <c r="G84" s="12" t="s">
        <v>11</v>
      </c>
      <c r="H84" s="14">
        <v>160.22</v>
      </c>
      <c r="I84" s="12" t="s">
        <v>56</v>
      </c>
      <c r="J84" s="14">
        <v>14538.87</v>
      </c>
      <c r="K84" s="12" t="s">
        <v>700</v>
      </c>
    </row>
    <row r="85" spans="1:11" x14ac:dyDescent="0.35">
      <c r="A85" s="12" t="s">
        <v>495</v>
      </c>
      <c r="B85" s="12" t="s">
        <v>477</v>
      </c>
      <c r="C85" s="12" t="s">
        <v>499</v>
      </c>
      <c r="D85" s="13">
        <v>46028</v>
      </c>
      <c r="E85" s="13">
        <v>46034</v>
      </c>
      <c r="F85" s="12">
        <v>256779440208</v>
      </c>
      <c r="G85" s="12" t="s">
        <v>11</v>
      </c>
      <c r="H85" s="14">
        <v>650.12</v>
      </c>
      <c r="I85" s="12" t="s">
        <v>56</v>
      </c>
      <c r="J85" s="14">
        <v>58993.93</v>
      </c>
      <c r="K85" s="12" t="s">
        <v>701</v>
      </c>
    </row>
    <row r="86" spans="1:11" x14ac:dyDescent="0.35">
      <c r="A86" s="12" t="s">
        <v>495</v>
      </c>
      <c r="B86" s="12" t="s">
        <v>477</v>
      </c>
      <c r="C86" s="12" t="s">
        <v>499</v>
      </c>
      <c r="D86" s="13">
        <v>46034</v>
      </c>
      <c r="E86" s="13">
        <v>46034</v>
      </c>
      <c r="F86" s="12">
        <v>256779440227</v>
      </c>
      <c r="G86" s="12" t="s">
        <v>11</v>
      </c>
      <c r="H86" s="14">
        <v>304.07</v>
      </c>
      <c r="I86" s="12" t="s">
        <v>56</v>
      </c>
      <c r="J86" s="14">
        <v>27592.27</v>
      </c>
      <c r="K86" s="12" t="s">
        <v>702</v>
      </c>
    </row>
    <row r="87" spans="1:11" x14ac:dyDescent="0.35">
      <c r="A87" s="12" t="s">
        <v>495</v>
      </c>
      <c r="B87" s="12" t="s">
        <v>477</v>
      </c>
      <c r="C87" s="12" t="s">
        <v>499</v>
      </c>
      <c r="D87" s="13">
        <v>46028</v>
      </c>
      <c r="E87" s="13">
        <v>46034</v>
      </c>
      <c r="F87" s="12">
        <v>256779440238</v>
      </c>
      <c r="G87" s="12" t="s">
        <v>11</v>
      </c>
      <c r="H87" s="14">
        <v>1083.58</v>
      </c>
      <c r="I87" s="12" t="s">
        <v>56</v>
      </c>
      <c r="J87" s="14">
        <v>98327.45</v>
      </c>
      <c r="K87" s="12" t="s">
        <v>703</v>
      </c>
    </row>
    <row r="88" spans="1:11" x14ac:dyDescent="0.35">
      <c r="A88" s="12" t="s">
        <v>495</v>
      </c>
      <c r="B88" s="12" t="s">
        <v>477</v>
      </c>
      <c r="C88" s="12" t="s">
        <v>499</v>
      </c>
      <c r="D88" s="13">
        <v>46034</v>
      </c>
      <c r="E88" s="13">
        <v>46035</v>
      </c>
      <c r="F88" s="12">
        <v>256779440285</v>
      </c>
      <c r="G88" s="12" t="s">
        <v>11</v>
      </c>
      <c r="H88" s="14">
        <v>535.29</v>
      </c>
      <c r="I88" s="12" t="s">
        <v>56</v>
      </c>
      <c r="J88" s="14">
        <v>48573.9</v>
      </c>
      <c r="K88" s="12" t="s">
        <v>704</v>
      </c>
    </row>
    <row r="89" spans="1:11" x14ac:dyDescent="0.35">
      <c r="A89" s="12" t="s">
        <v>495</v>
      </c>
      <c r="B89" s="12" t="s">
        <v>477</v>
      </c>
      <c r="C89" s="12" t="s">
        <v>499</v>
      </c>
      <c r="D89" s="13">
        <v>46028</v>
      </c>
      <c r="E89" s="13">
        <v>46035</v>
      </c>
      <c r="F89" s="12">
        <v>256779440309</v>
      </c>
      <c r="G89" s="12" t="s">
        <v>56</v>
      </c>
      <c r="H89" s="14">
        <v>200000</v>
      </c>
      <c r="I89" s="12" t="s">
        <v>56</v>
      </c>
      <c r="J89" s="14">
        <v>200000</v>
      </c>
      <c r="K89" s="12" t="s">
        <v>705</v>
      </c>
    </row>
    <row r="90" spans="1:11" x14ac:dyDescent="0.35">
      <c r="A90" s="12" t="s">
        <v>495</v>
      </c>
      <c r="B90" s="12" t="s">
        <v>477</v>
      </c>
      <c r="C90" s="12" t="s">
        <v>499</v>
      </c>
      <c r="D90" s="13">
        <v>46028</v>
      </c>
      <c r="E90" s="13">
        <v>46035</v>
      </c>
      <c r="F90" s="12">
        <v>256779440310</v>
      </c>
      <c r="G90" s="12" t="s">
        <v>56</v>
      </c>
      <c r="H90" s="14">
        <v>8000</v>
      </c>
      <c r="I90" s="12" t="s">
        <v>56</v>
      </c>
      <c r="J90" s="14">
        <v>8000</v>
      </c>
      <c r="K90" s="12" t="s">
        <v>705</v>
      </c>
    </row>
    <row r="91" spans="1:11" x14ac:dyDescent="0.35">
      <c r="A91" s="12" t="s">
        <v>495</v>
      </c>
      <c r="B91" s="12" t="s">
        <v>477</v>
      </c>
      <c r="C91" s="12" t="s">
        <v>499</v>
      </c>
      <c r="D91" s="13">
        <v>46028</v>
      </c>
      <c r="E91" s="13">
        <v>46035</v>
      </c>
      <c r="F91" s="12">
        <v>256779440311</v>
      </c>
      <c r="G91" s="12" t="s">
        <v>56</v>
      </c>
      <c r="H91" s="14">
        <v>4400</v>
      </c>
      <c r="I91" s="12" t="s">
        <v>56</v>
      </c>
      <c r="J91" s="14">
        <v>4400</v>
      </c>
      <c r="K91" s="12" t="s">
        <v>705</v>
      </c>
    </row>
    <row r="92" spans="1:11" x14ac:dyDescent="0.35">
      <c r="A92" s="12" t="s">
        <v>495</v>
      </c>
      <c r="B92" s="12" t="s">
        <v>477</v>
      </c>
      <c r="C92" s="12" t="s">
        <v>499</v>
      </c>
      <c r="D92" s="13">
        <v>46035</v>
      </c>
      <c r="E92" s="13">
        <v>46035</v>
      </c>
      <c r="F92" s="12">
        <v>256779440363</v>
      </c>
      <c r="G92" s="12" t="s">
        <v>11</v>
      </c>
      <c r="H92" s="14">
        <v>937.45</v>
      </c>
      <c r="I92" s="12" t="s">
        <v>56</v>
      </c>
      <c r="J92" s="14">
        <v>85067.16</v>
      </c>
      <c r="K92" s="12" t="s">
        <v>706</v>
      </c>
    </row>
    <row r="93" spans="1:11" x14ac:dyDescent="0.35">
      <c r="A93" s="12" t="s">
        <v>495</v>
      </c>
      <c r="B93" s="12" t="s">
        <v>477</v>
      </c>
      <c r="C93" s="12" t="s">
        <v>499</v>
      </c>
      <c r="D93" s="13">
        <v>46043</v>
      </c>
      <c r="E93" s="13">
        <v>46045</v>
      </c>
      <c r="F93" s="12">
        <v>256779440381</v>
      </c>
      <c r="G93" s="12" t="s">
        <v>11</v>
      </c>
      <c r="H93" s="14">
        <v>6.79</v>
      </c>
      <c r="I93" s="12" t="s">
        <v>56</v>
      </c>
      <c r="J93" s="14">
        <v>616.15</v>
      </c>
      <c r="K93" s="12" t="s">
        <v>707</v>
      </c>
    </row>
    <row r="94" spans="1:11" x14ac:dyDescent="0.35">
      <c r="A94" s="12" t="s">
        <v>495</v>
      </c>
      <c r="B94" s="12" t="s">
        <v>477</v>
      </c>
      <c r="C94" s="12" t="s">
        <v>499</v>
      </c>
      <c r="D94" s="13">
        <v>46043</v>
      </c>
      <c r="E94" s="13">
        <v>46045</v>
      </c>
      <c r="F94" s="12">
        <v>256779440388</v>
      </c>
      <c r="G94" s="12" t="s">
        <v>11</v>
      </c>
      <c r="H94" s="14">
        <v>57.29</v>
      </c>
      <c r="I94" s="12" t="s">
        <v>56</v>
      </c>
      <c r="J94" s="14">
        <v>5198.67</v>
      </c>
      <c r="K94" s="12" t="s">
        <v>708</v>
      </c>
    </row>
    <row r="95" spans="1:11" x14ac:dyDescent="0.35">
      <c r="A95" s="12" t="s">
        <v>495</v>
      </c>
      <c r="B95" s="12" t="s">
        <v>477</v>
      </c>
      <c r="C95" s="12" t="s">
        <v>499</v>
      </c>
      <c r="D95" s="13">
        <v>46045</v>
      </c>
      <c r="E95" s="13">
        <v>46049</v>
      </c>
      <c r="F95" s="12">
        <v>256779440411</v>
      </c>
      <c r="G95" s="12" t="s">
        <v>11</v>
      </c>
      <c r="H95" s="14">
        <v>554.49</v>
      </c>
      <c r="I95" s="12" t="s">
        <v>56</v>
      </c>
      <c r="J95" s="14">
        <v>50316.160000000003</v>
      </c>
      <c r="K95" s="12" t="s">
        <v>709</v>
      </c>
    </row>
    <row r="96" spans="1:11" x14ac:dyDescent="0.35">
      <c r="A96" s="12" t="s">
        <v>495</v>
      </c>
      <c r="B96" s="12" t="s">
        <v>477</v>
      </c>
      <c r="C96" s="12" t="s">
        <v>499</v>
      </c>
      <c r="D96" s="13">
        <v>46045</v>
      </c>
      <c r="E96" s="13">
        <v>46049</v>
      </c>
      <c r="F96" s="12">
        <v>256779440427</v>
      </c>
      <c r="G96" s="12" t="s">
        <v>11</v>
      </c>
      <c r="H96" s="14">
        <v>44.06</v>
      </c>
      <c r="I96" s="12" t="s">
        <v>56</v>
      </c>
      <c r="J96" s="14">
        <v>3998.14</v>
      </c>
      <c r="K96" s="12" t="s">
        <v>710</v>
      </c>
    </row>
    <row r="97" spans="1:11" x14ac:dyDescent="0.35">
      <c r="A97" s="12" t="s">
        <v>495</v>
      </c>
      <c r="B97" s="12" t="s">
        <v>477</v>
      </c>
      <c r="C97" s="12" t="s">
        <v>499</v>
      </c>
      <c r="D97" s="13">
        <v>46049</v>
      </c>
      <c r="E97" s="13">
        <v>46049</v>
      </c>
      <c r="F97" s="12">
        <v>256779440443</v>
      </c>
      <c r="G97" s="12" t="s">
        <v>11</v>
      </c>
      <c r="H97" s="14">
        <v>18.41</v>
      </c>
      <c r="I97" s="12" t="s">
        <v>56</v>
      </c>
      <c r="J97" s="14">
        <v>1670.58</v>
      </c>
      <c r="K97" s="12" t="s">
        <v>711</v>
      </c>
    </row>
    <row r="98" spans="1:11" x14ac:dyDescent="0.35">
      <c r="A98" s="12" t="s">
        <v>495</v>
      </c>
      <c r="B98" s="12" t="s">
        <v>471</v>
      </c>
      <c r="C98" s="12" t="s">
        <v>499</v>
      </c>
      <c r="D98" s="13">
        <v>45762</v>
      </c>
      <c r="E98" s="13">
        <v>45763</v>
      </c>
      <c r="F98" s="12">
        <v>256779411091</v>
      </c>
      <c r="G98" s="12" t="s">
        <v>11</v>
      </c>
      <c r="H98" s="14">
        <v>54.87</v>
      </c>
      <c r="I98" s="12" t="s">
        <v>56</v>
      </c>
      <c r="J98" s="14">
        <v>4769.3999999999996</v>
      </c>
      <c r="K98" s="12" t="s">
        <v>821</v>
      </c>
    </row>
    <row r="99" spans="1:11" x14ac:dyDescent="0.35">
      <c r="A99" s="12" t="s">
        <v>495</v>
      </c>
      <c r="B99" s="12" t="s">
        <v>471</v>
      </c>
      <c r="C99" s="12" t="s">
        <v>499</v>
      </c>
      <c r="D99" s="13">
        <v>45762</v>
      </c>
      <c r="E99" s="13">
        <v>45763</v>
      </c>
      <c r="F99" s="12">
        <v>256779411092</v>
      </c>
      <c r="G99" s="12" t="s">
        <v>11</v>
      </c>
      <c r="H99" s="14">
        <v>54.87</v>
      </c>
      <c r="I99" s="12" t="s">
        <v>56</v>
      </c>
      <c r="J99" s="14">
        <v>4769.3999999999996</v>
      </c>
      <c r="K99" s="12" t="s">
        <v>821</v>
      </c>
    </row>
    <row r="100" spans="1:11" x14ac:dyDescent="0.35">
      <c r="A100" s="12" t="s">
        <v>495</v>
      </c>
      <c r="B100" s="12" t="s">
        <v>471</v>
      </c>
      <c r="C100" s="12" t="s">
        <v>499</v>
      </c>
      <c r="D100" s="13">
        <v>45762</v>
      </c>
      <c r="E100" s="13">
        <v>45763</v>
      </c>
      <c r="F100" s="12">
        <v>256779411093</v>
      </c>
      <c r="G100" s="12" t="s">
        <v>11</v>
      </c>
      <c r="H100" s="14">
        <v>57.82</v>
      </c>
      <c r="I100" s="12" t="s">
        <v>56</v>
      </c>
      <c r="J100" s="14">
        <v>5025.82</v>
      </c>
      <c r="K100" s="12" t="s">
        <v>821</v>
      </c>
    </row>
    <row r="101" spans="1:11" x14ac:dyDescent="0.35">
      <c r="A101" s="12" t="s">
        <v>495</v>
      </c>
      <c r="B101" s="12" t="s">
        <v>471</v>
      </c>
      <c r="C101" s="12" t="s">
        <v>499</v>
      </c>
      <c r="D101" s="13">
        <v>45762</v>
      </c>
      <c r="E101" s="13">
        <v>45763</v>
      </c>
      <c r="F101" s="12">
        <v>256779411094</v>
      </c>
      <c r="G101" s="12" t="s">
        <v>11</v>
      </c>
      <c r="H101" s="14">
        <v>34.22</v>
      </c>
      <c r="I101" s="12" t="s">
        <v>56</v>
      </c>
      <c r="J101" s="14">
        <v>2974.46</v>
      </c>
      <c r="K101" s="12" t="s">
        <v>821</v>
      </c>
    </row>
    <row r="102" spans="1:11" x14ac:dyDescent="0.35">
      <c r="A102" s="12" t="s">
        <v>495</v>
      </c>
      <c r="B102" s="12" t="s">
        <v>471</v>
      </c>
      <c r="C102" s="12" t="s">
        <v>499</v>
      </c>
      <c r="D102" s="13">
        <v>45762</v>
      </c>
      <c r="E102" s="13">
        <v>45763</v>
      </c>
      <c r="F102" s="12">
        <v>256779411095</v>
      </c>
      <c r="G102" s="12" t="s">
        <v>11</v>
      </c>
      <c r="H102" s="14">
        <v>48.97</v>
      </c>
      <c r="I102" s="12" t="s">
        <v>56</v>
      </c>
      <c r="J102" s="14">
        <v>4256.5600000000004</v>
      </c>
      <c r="K102" s="12" t="s">
        <v>821</v>
      </c>
    </row>
    <row r="103" spans="1:11" x14ac:dyDescent="0.35">
      <c r="A103" s="12" t="s">
        <v>495</v>
      </c>
      <c r="B103" s="12" t="s">
        <v>471</v>
      </c>
      <c r="C103" s="12" t="s">
        <v>499</v>
      </c>
      <c r="D103" s="13">
        <v>45762</v>
      </c>
      <c r="E103" s="13">
        <v>45763</v>
      </c>
      <c r="F103" s="12">
        <v>256779411096</v>
      </c>
      <c r="G103" s="12" t="s">
        <v>11</v>
      </c>
      <c r="H103" s="14">
        <v>43.07</v>
      </c>
      <c r="I103" s="12" t="s">
        <v>56</v>
      </c>
      <c r="J103" s="14">
        <v>3743.72</v>
      </c>
      <c r="K103" s="12" t="s">
        <v>821</v>
      </c>
    </row>
    <row r="104" spans="1:11" x14ac:dyDescent="0.35">
      <c r="A104" s="12" t="s">
        <v>495</v>
      </c>
      <c r="B104" s="12" t="s">
        <v>471</v>
      </c>
      <c r="C104" s="12" t="s">
        <v>499</v>
      </c>
      <c r="D104" s="13">
        <v>45762</v>
      </c>
      <c r="E104" s="13">
        <v>45763</v>
      </c>
      <c r="F104" s="12">
        <v>256779411098</v>
      </c>
      <c r="G104" s="12" t="s">
        <v>11</v>
      </c>
      <c r="H104" s="14">
        <v>60.64</v>
      </c>
      <c r="I104" s="12" t="s">
        <v>56</v>
      </c>
      <c r="J104" s="14">
        <v>5270.94</v>
      </c>
      <c r="K104" s="12" t="s">
        <v>821</v>
      </c>
    </row>
    <row r="105" spans="1:11" x14ac:dyDescent="0.35">
      <c r="A105" s="12" t="s">
        <v>495</v>
      </c>
      <c r="B105" s="12" t="s">
        <v>471</v>
      </c>
      <c r="C105" s="12" t="s">
        <v>499</v>
      </c>
      <c r="D105" s="13">
        <v>45762</v>
      </c>
      <c r="E105" s="13">
        <v>45763</v>
      </c>
      <c r="F105" s="12">
        <v>256779411099</v>
      </c>
      <c r="G105" s="12" t="s">
        <v>11</v>
      </c>
      <c r="H105" s="14">
        <v>58.81</v>
      </c>
      <c r="I105" s="12" t="s">
        <v>56</v>
      </c>
      <c r="J105" s="14">
        <v>5111.87</v>
      </c>
      <c r="K105" s="12" t="s">
        <v>821</v>
      </c>
    </row>
    <row r="106" spans="1:11" x14ac:dyDescent="0.35">
      <c r="A106" s="12" t="s">
        <v>495</v>
      </c>
      <c r="B106" s="12" t="s">
        <v>471</v>
      </c>
      <c r="C106" s="12" t="s">
        <v>499</v>
      </c>
      <c r="D106" s="13">
        <v>45762</v>
      </c>
      <c r="E106" s="13">
        <v>45763</v>
      </c>
      <c r="F106" s="12">
        <v>256779411100</v>
      </c>
      <c r="G106" s="12" t="s">
        <v>11</v>
      </c>
      <c r="H106" s="14">
        <v>46.02</v>
      </c>
      <c r="I106" s="12" t="s">
        <v>56</v>
      </c>
      <c r="J106" s="14">
        <v>4000.14</v>
      </c>
      <c r="K106" s="12" t="s">
        <v>821</v>
      </c>
    </row>
    <row r="107" spans="1:11" x14ac:dyDescent="0.35">
      <c r="A107" s="12" t="s">
        <v>495</v>
      </c>
      <c r="B107" s="12" t="s">
        <v>471</v>
      </c>
      <c r="C107" s="12" t="s">
        <v>499</v>
      </c>
      <c r="D107" s="13">
        <v>45762</v>
      </c>
      <c r="E107" s="13">
        <v>45763</v>
      </c>
      <c r="F107" s="12">
        <v>256779411101</v>
      </c>
      <c r="G107" s="12" t="s">
        <v>11</v>
      </c>
      <c r="H107" s="14">
        <v>32.450000000000003</v>
      </c>
      <c r="I107" s="12" t="s">
        <v>56</v>
      </c>
      <c r="J107" s="14">
        <v>2820.61</v>
      </c>
      <c r="K107" s="12" t="s">
        <v>821</v>
      </c>
    </row>
    <row r="108" spans="1:11" x14ac:dyDescent="0.35">
      <c r="A108" s="12" t="s">
        <v>495</v>
      </c>
      <c r="B108" s="12" t="s">
        <v>471</v>
      </c>
      <c r="C108" s="12" t="s">
        <v>499</v>
      </c>
      <c r="D108" s="13">
        <v>45762</v>
      </c>
      <c r="E108" s="13">
        <v>45763</v>
      </c>
      <c r="F108" s="12">
        <v>256779411458</v>
      </c>
      <c r="G108" s="12" t="s">
        <v>11</v>
      </c>
      <c r="H108" s="14">
        <v>35.4</v>
      </c>
      <c r="I108" s="12" t="s">
        <v>56</v>
      </c>
      <c r="J108" s="14">
        <v>3077.03</v>
      </c>
      <c r="K108" s="12" t="s">
        <v>790</v>
      </c>
    </row>
    <row r="109" spans="1:11" x14ac:dyDescent="0.35">
      <c r="A109" s="12" t="s">
        <v>495</v>
      </c>
      <c r="B109" s="12" t="s">
        <v>471</v>
      </c>
      <c r="C109" s="12" t="s">
        <v>499</v>
      </c>
      <c r="D109" s="13">
        <v>45762</v>
      </c>
      <c r="E109" s="13">
        <v>45763</v>
      </c>
      <c r="F109" s="12">
        <v>256779411459</v>
      </c>
      <c r="G109" s="12" t="s">
        <v>11</v>
      </c>
      <c r="H109" s="14">
        <v>29.5</v>
      </c>
      <c r="I109" s="12" t="s">
        <v>56</v>
      </c>
      <c r="J109" s="14">
        <v>2564.19</v>
      </c>
      <c r="K109" s="12" t="s">
        <v>790</v>
      </c>
    </row>
    <row r="110" spans="1:11" x14ac:dyDescent="0.35">
      <c r="A110" s="12" t="s">
        <v>495</v>
      </c>
      <c r="B110" s="12" t="s">
        <v>471</v>
      </c>
      <c r="C110" s="12" t="s">
        <v>499</v>
      </c>
      <c r="D110" s="13">
        <v>45762</v>
      </c>
      <c r="E110" s="13">
        <v>45763</v>
      </c>
      <c r="F110" s="12">
        <v>256779411460</v>
      </c>
      <c r="G110" s="12" t="s">
        <v>11</v>
      </c>
      <c r="H110" s="14">
        <v>29.5</v>
      </c>
      <c r="I110" s="12" t="s">
        <v>56</v>
      </c>
      <c r="J110" s="14">
        <v>2564.19</v>
      </c>
      <c r="K110" s="12" t="s">
        <v>790</v>
      </c>
    </row>
    <row r="111" spans="1:11" x14ac:dyDescent="0.35">
      <c r="A111" s="12" t="s">
        <v>495</v>
      </c>
      <c r="B111" s="12" t="s">
        <v>471</v>
      </c>
      <c r="C111" s="12" t="s">
        <v>499</v>
      </c>
      <c r="D111" s="13">
        <v>45762</v>
      </c>
      <c r="E111" s="13">
        <v>45763</v>
      </c>
      <c r="F111" s="12">
        <v>256779411461</v>
      </c>
      <c r="G111" s="12" t="s">
        <v>11</v>
      </c>
      <c r="H111" s="14">
        <v>35.4</v>
      </c>
      <c r="I111" s="12" t="s">
        <v>56</v>
      </c>
      <c r="J111" s="14">
        <v>3077.03</v>
      </c>
      <c r="K111" s="12" t="s">
        <v>790</v>
      </c>
    </row>
    <row r="112" spans="1:11" x14ac:dyDescent="0.35">
      <c r="A112" s="12" t="s">
        <v>495</v>
      </c>
      <c r="B112" s="12" t="s">
        <v>471</v>
      </c>
      <c r="C112" s="12" t="s">
        <v>499</v>
      </c>
      <c r="D112" s="13">
        <v>45762</v>
      </c>
      <c r="E112" s="13">
        <v>45763</v>
      </c>
      <c r="F112" s="12">
        <v>256779411462</v>
      </c>
      <c r="G112" s="12" t="s">
        <v>11</v>
      </c>
      <c r="H112" s="14">
        <v>20.65</v>
      </c>
      <c r="I112" s="12" t="s">
        <v>56</v>
      </c>
      <c r="J112" s="14">
        <v>1794.94</v>
      </c>
      <c r="K112" s="12" t="s">
        <v>790</v>
      </c>
    </row>
    <row r="113" spans="1:11" x14ac:dyDescent="0.35">
      <c r="A113" s="12" t="s">
        <v>495</v>
      </c>
      <c r="B113" s="12" t="s">
        <v>471</v>
      </c>
      <c r="C113" s="12" t="s">
        <v>499</v>
      </c>
      <c r="D113" s="13">
        <v>45762</v>
      </c>
      <c r="E113" s="13">
        <v>45763</v>
      </c>
      <c r="F113" s="12">
        <v>256779411464</v>
      </c>
      <c r="G113" s="12" t="s">
        <v>11</v>
      </c>
      <c r="H113" s="14">
        <v>8.85</v>
      </c>
      <c r="I113" s="12" t="s">
        <v>56</v>
      </c>
      <c r="J113" s="14">
        <v>769.26</v>
      </c>
      <c r="K113" s="12" t="s">
        <v>790</v>
      </c>
    </row>
    <row r="114" spans="1:11" x14ac:dyDescent="0.35">
      <c r="A114" s="12" t="s">
        <v>495</v>
      </c>
      <c r="B114" s="12" t="s">
        <v>471</v>
      </c>
      <c r="C114" s="12" t="s">
        <v>499</v>
      </c>
      <c r="D114" s="13">
        <v>45762</v>
      </c>
      <c r="E114" s="13">
        <v>45763</v>
      </c>
      <c r="F114" s="12">
        <v>256779411469</v>
      </c>
      <c r="G114" s="12" t="s">
        <v>11</v>
      </c>
      <c r="H114" s="14">
        <v>35.4</v>
      </c>
      <c r="I114" s="12" t="s">
        <v>56</v>
      </c>
      <c r="J114" s="14">
        <v>3077.03</v>
      </c>
      <c r="K114" s="12" t="s">
        <v>790</v>
      </c>
    </row>
    <row r="115" spans="1:11" x14ac:dyDescent="0.35">
      <c r="A115" s="12" t="s">
        <v>495</v>
      </c>
      <c r="B115" s="12" t="s">
        <v>471</v>
      </c>
      <c r="C115" s="12" t="s">
        <v>499</v>
      </c>
      <c r="D115" s="13">
        <v>45763</v>
      </c>
      <c r="E115" s="13">
        <v>45764</v>
      </c>
      <c r="F115" s="12">
        <v>256779411722</v>
      </c>
      <c r="G115" s="12" t="s">
        <v>11</v>
      </c>
      <c r="H115" s="14">
        <v>236</v>
      </c>
      <c r="I115" s="12" t="s">
        <v>56</v>
      </c>
      <c r="J115" s="14">
        <v>20513.55</v>
      </c>
      <c r="K115" s="12" t="s">
        <v>712</v>
      </c>
    </row>
    <row r="116" spans="1:11" x14ac:dyDescent="0.35">
      <c r="A116" s="12" t="s">
        <v>495</v>
      </c>
      <c r="B116" s="12" t="s">
        <v>471</v>
      </c>
      <c r="C116" s="12" t="s">
        <v>499</v>
      </c>
      <c r="D116" s="13">
        <v>45763</v>
      </c>
      <c r="E116" s="13">
        <v>45764</v>
      </c>
      <c r="F116" s="12">
        <v>256779411795</v>
      </c>
      <c r="G116" s="12" t="s">
        <v>11</v>
      </c>
      <c r="H116" s="14">
        <v>369.34</v>
      </c>
      <c r="I116" s="12" t="s">
        <v>56</v>
      </c>
      <c r="J116" s="14">
        <v>32103.7</v>
      </c>
      <c r="K116" s="12" t="s">
        <v>713</v>
      </c>
    </row>
    <row r="117" spans="1:11" x14ac:dyDescent="0.35">
      <c r="A117" s="12" t="s">
        <v>495</v>
      </c>
      <c r="B117" s="12" t="s">
        <v>471</v>
      </c>
      <c r="C117" s="12" t="s">
        <v>499</v>
      </c>
      <c r="D117" s="13">
        <v>45763</v>
      </c>
      <c r="E117" s="13">
        <v>45764</v>
      </c>
      <c r="F117" s="12">
        <v>256779411796</v>
      </c>
      <c r="G117" s="12" t="s">
        <v>11</v>
      </c>
      <c r="H117" s="14">
        <v>226.56</v>
      </c>
      <c r="I117" s="12" t="s">
        <v>56</v>
      </c>
      <c r="J117" s="14">
        <v>19693.009999999998</v>
      </c>
      <c r="K117" s="12" t="s">
        <v>714</v>
      </c>
    </row>
    <row r="118" spans="1:11" x14ac:dyDescent="0.35">
      <c r="A118" s="12" t="s">
        <v>495</v>
      </c>
      <c r="B118" s="12" t="s">
        <v>471</v>
      </c>
      <c r="C118" s="12" t="s">
        <v>499</v>
      </c>
      <c r="D118" s="13">
        <v>45763</v>
      </c>
      <c r="E118" s="13">
        <v>45764</v>
      </c>
      <c r="F118" s="12">
        <v>256779411797</v>
      </c>
      <c r="G118" s="12" t="s">
        <v>11</v>
      </c>
      <c r="H118" s="14">
        <v>35.4</v>
      </c>
      <c r="I118" s="12" t="s">
        <v>56</v>
      </c>
      <c r="J118" s="14">
        <v>3077.03</v>
      </c>
      <c r="K118" s="12" t="s">
        <v>828</v>
      </c>
    </row>
    <row r="119" spans="1:11" x14ac:dyDescent="0.35">
      <c r="A119" s="12" t="s">
        <v>495</v>
      </c>
      <c r="B119" s="12" t="s">
        <v>471</v>
      </c>
      <c r="C119" s="12" t="s">
        <v>499</v>
      </c>
      <c r="D119" s="13">
        <v>45763</v>
      </c>
      <c r="E119" s="13">
        <v>45764</v>
      </c>
      <c r="F119" s="12">
        <v>256779411798</v>
      </c>
      <c r="G119" s="12" t="s">
        <v>11</v>
      </c>
      <c r="H119" s="14">
        <v>236</v>
      </c>
      <c r="I119" s="12" t="s">
        <v>56</v>
      </c>
      <c r="J119" s="14">
        <v>20513.55</v>
      </c>
      <c r="K119" s="12" t="s">
        <v>715</v>
      </c>
    </row>
    <row r="120" spans="1:11" x14ac:dyDescent="0.35">
      <c r="A120" s="12" t="s">
        <v>495</v>
      </c>
      <c r="B120" s="12" t="s">
        <v>471</v>
      </c>
      <c r="C120" s="12" t="s">
        <v>499</v>
      </c>
      <c r="D120" s="13">
        <v>45763</v>
      </c>
      <c r="E120" s="13">
        <v>45764</v>
      </c>
      <c r="F120" s="12">
        <v>256779411799</v>
      </c>
      <c r="G120" s="12" t="s">
        <v>11</v>
      </c>
      <c r="H120" s="14">
        <v>70.8</v>
      </c>
      <c r="I120" s="12" t="s">
        <v>56</v>
      </c>
      <c r="J120" s="14">
        <v>6154.06</v>
      </c>
      <c r="K120" s="12" t="s">
        <v>716</v>
      </c>
    </row>
    <row r="121" spans="1:11" x14ac:dyDescent="0.35">
      <c r="A121" s="12" t="s">
        <v>495</v>
      </c>
      <c r="B121" s="12" t="s">
        <v>471</v>
      </c>
      <c r="C121" s="12" t="s">
        <v>499</v>
      </c>
      <c r="D121" s="13">
        <v>45730</v>
      </c>
      <c r="E121" s="13">
        <v>45735</v>
      </c>
      <c r="F121" s="12">
        <v>246779412207</v>
      </c>
      <c r="G121" s="12" t="s">
        <v>11</v>
      </c>
      <c r="H121" s="14">
        <v>312.5</v>
      </c>
      <c r="I121" s="12" t="s">
        <v>56</v>
      </c>
      <c r="J121" s="14">
        <v>27091.02</v>
      </c>
      <c r="K121" s="12" t="s">
        <v>832</v>
      </c>
    </row>
    <row r="122" spans="1:11" x14ac:dyDescent="0.35">
      <c r="A122" s="12" t="s">
        <v>495</v>
      </c>
      <c r="B122" s="12" t="s">
        <v>471</v>
      </c>
      <c r="C122" s="12" t="s">
        <v>499</v>
      </c>
      <c r="D122" s="13">
        <v>45730</v>
      </c>
      <c r="E122" s="13">
        <v>45735</v>
      </c>
      <c r="F122" s="12">
        <v>246779412208</v>
      </c>
      <c r="G122" s="12" t="s">
        <v>11</v>
      </c>
      <c r="H122" s="14">
        <v>23.35</v>
      </c>
      <c r="I122" s="12" t="s">
        <v>56</v>
      </c>
      <c r="J122" s="14">
        <v>2024.24</v>
      </c>
      <c r="K122" s="12" t="s">
        <v>832</v>
      </c>
    </row>
    <row r="123" spans="1:11" x14ac:dyDescent="0.35">
      <c r="A123" s="12" t="s">
        <v>495</v>
      </c>
      <c r="B123" s="12" t="s">
        <v>471</v>
      </c>
      <c r="C123" s="12" t="s">
        <v>499</v>
      </c>
      <c r="D123" s="13">
        <v>45730</v>
      </c>
      <c r="E123" s="13">
        <v>45735</v>
      </c>
      <c r="F123" s="12">
        <v>246779412197</v>
      </c>
      <c r="G123" s="12" t="s">
        <v>11</v>
      </c>
      <c r="H123" s="14">
        <v>40.06</v>
      </c>
      <c r="I123" s="12" t="s">
        <v>56</v>
      </c>
      <c r="J123" s="14">
        <v>3472.85</v>
      </c>
      <c r="K123" s="12" t="s">
        <v>832</v>
      </c>
    </row>
    <row r="124" spans="1:11" x14ac:dyDescent="0.35">
      <c r="A124" s="12" t="s">
        <v>495</v>
      </c>
      <c r="B124" s="12" t="s">
        <v>471</v>
      </c>
      <c r="C124" s="12" t="s">
        <v>499</v>
      </c>
      <c r="D124" s="13">
        <v>45730</v>
      </c>
      <c r="E124" s="13">
        <v>45735</v>
      </c>
      <c r="F124" s="12">
        <v>246779412198</v>
      </c>
      <c r="G124" s="12" t="s">
        <v>11</v>
      </c>
      <c r="H124" s="14">
        <v>249.55</v>
      </c>
      <c r="I124" s="12" t="s">
        <v>56</v>
      </c>
      <c r="J124" s="14">
        <v>21633.8</v>
      </c>
      <c r="K124" s="12" t="s">
        <v>832</v>
      </c>
    </row>
    <row r="125" spans="1:11" x14ac:dyDescent="0.35">
      <c r="A125" s="12" t="s">
        <v>495</v>
      </c>
      <c r="B125" s="12" t="s">
        <v>471</v>
      </c>
      <c r="C125" s="12" t="s">
        <v>499</v>
      </c>
      <c r="D125" s="13">
        <v>45730</v>
      </c>
      <c r="E125" s="13">
        <v>45735</v>
      </c>
      <c r="F125" s="12">
        <v>246779412199</v>
      </c>
      <c r="G125" s="12" t="s">
        <v>11</v>
      </c>
      <c r="H125" s="14">
        <v>40.06</v>
      </c>
      <c r="I125" s="12" t="s">
        <v>56</v>
      </c>
      <c r="J125" s="14">
        <v>3472.85</v>
      </c>
      <c r="K125" s="12" t="s">
        <v>832</v>
      </c>
    </row>
    <row r="126" spans="1:11" x14ac:dyDescent="0.35">
      <c r="A126" s="12" t="s">
        <v>495</v>
      </c>
      <c r="B126" s="12" t="s">
        <v>471</v>
      </c>
      <c r="C126" s="12" t="s">
        <v>499</v>
      </c>
      <c r="D126" s="13">
        <v>45730</v>
      </c>
      <c r="E126" s="13">
        <v>45735</v>
      </c>
      <c r="F126" s="12">
        <v>246779412200</v>
      </c>
      <c r="G126" s="12" t="s">
        <v>11</v>
      </c>
      <c r="H126" s="14">
        <v>45.79</v>
      </c>
      <c r="I126" s="12" t="s">
        <v>56</v>
      </c>
      <c r="J126" s="14">
        <v>3969.59</v>
      </c>
      <c r="K126" s="12" t="s">
        <v>832</v>
      </c>
    </row>
    <row r="127" spans="1:11" x14ac:dyDescent="0.35">
      <c r="A127" s="12" t="s">
        <v>495</v>
      </c>
      <c r="B127" s="12" t="s">
        <v>471</v>
      </c>
      <c r="C127" s="12" t="s">
        <v>499</v>
      </c>
      <c r="D127" s="13">
        <v>45730</v>
      </c>
      <c r="E127" s="13">
        <v>45735</v>
      </c>
      <c r="F127" s="12">
        <v>246779412202</v>
      </c>
      <c r="G127" s="12" t="s">
        <v>11</v>
      </c>
      <c r="H127" s="14">
        <v>40.06</v>
      </c>
      <c r="I127" s="12" t="s">
        <v>56</v>
      </c>
      <c r="J127" s="14">
        <v>3472.85</v>
      </c>
      <c r="K127" s="12" t="s">
        <v>832</v>
      </c>
    </row>
    <row r="128" spans="1:11" x14ac:dyDescent="0.35">
      <c r="A128" s="12" t="s">
        <v>495</v>
      </c>
      <c r="B128" s="12" t="s">
        <v>471</v>
      </c>
      <c r="C128" s="12" t="s">
        <v>499</v>
      </c>
      <c r="D128" s="13">
        <v>45730</v>
      </c>
      <c r="E128" s="13">
        <v>45735</v>
      </c>
      <c r="F128" s="12">
        <v>246779412203</v>
      </c>
      <c r="G128" s="12" t="s">
        <v>11</v>
      </c>
      <c r="H128" s="14">
        <v>28.62</v>
      </c>
      <c r="I128" s="12" t="s">
        <v>56</v>
      </c>
      <c r="J128" s="14">
        <v>2481.1</v>
      </c>
      <c r="K128" s="12" t="s">
        <v>832</v>
      </c>
    </row>
    <row r="129" spans="1:11" x14ac:dyDescent="0.35">
      <c r="A129" s="12" t="s">
        <v>495</v>
      </c>
      <c r="B129" s="12" t="s">
        <v>471</v>
      </c>
      <c r="C129" s="12" t="s">
        <v>499</v>
      </c>
      <c r="D129" s="13">
        <v>45730</v>
      </c>
      <c r="E129" s="13">
        <v>45735</v>
      </c>
      <c r="F129" s="12">
        <v>246779412204</v>
      </c>
      <c r="G129" s="12" t="s">
        <v>11</v>
      </c>
      <c r="H129" s="14">
        <v>22.89</v>
      </c>
      <c r="I129" s="12" t="s">
        <v>56</v>
      </c>
      <c r="J129" s="14">
        <v>1984.36</v>
      </c>
      <c r="K129" s="12" t="s">
        <v>832</v>
      </c>
    </row>
    <row r="130" spans="1:11" x14ac:dyDescent="0.35">
      <c r="A130" s="12" t="s">
        <v>495</v>
      </c>
      <c r="B130" s="12" t="s">
        <v>471</v>
      </c>
      <c r="C130" s="12" t="s">
        <v>499</v>
      </c>
      <c r="D130" s="13">
        <v>45730</v>
      </c>
      <c r="E130" s="13">
        <v>45735</v>
      </c>
      <c r="F130" s="12">
        <v>246779412205</v>
      </c>
      <c r="G130" s="12" t="s">
        <v>11</v>
      </c>
      <c r="H130" s="14">
        <v>114.46</v>
      </c>
      <c r="I130" s="12" t="s">
        <v>56</v>
      </c>
      <c r="J130" s="14">
        <v>9922.68</v>
      </c>
      <c r="K130" s="12" t="s">
        <v>832</v>
      </c>
    </row>
    <row r="131" spans="1:11" x14ac:dyDescent="0.35">
      <c r="A131" s="12" t="s">
        <v>495</v>
      </c>
      <c r="B131" s="12" t="s">
        <v>471</v>
      </c>
      <c r="C131" s="12" t="s">
        <v>499</v>
      </c>
      <c r="D131" s="13">
        <v>45730</v>
      </c>
      <c r="E131" s="13">
        <v>45735</v>
      </c>
      <c r="F131" s="12">
        <v>246779412206</v>
      </c>
      <c r="G131" s="12" t="s">
        <v>11</v>
      </c>
      <c r="H131" s="14">
        <v>68.680000000000007</v>
      </c>
      <c r="I131" s="12" t="s">
        <v>56</v>
      </c>
      <c r="J131" s="14">
        <v>5953.96</v>
      </c>
      <c r="K131" s="12" t="s">
        <v>832</v>
      </c>
    </row>
    <row r="132" spans="1:11" x14ac:dyDescent="0.35">
      <c r="A132" s="12" t="s">
        <v>495</v>
      </c>
      <c r="B132" s="12" t="s">
        <v>471</v>
      </c>
      <c r="C132" s="12" t="s">
        <v>499</v>
      </c>
      <c r="D132" s="13">
        <v>45730</v>
      </c>
      <c r="E132" s="13">
        <v>45735</v>
      </c>
      <c r="F132" s="12">
        <v>246779412196</v>
      </c>
      <c r="G132" s="12" t="s">
        <v>11</v>
      </c>
      <c r="H132" s="14">
        <v>57.23</v>
      </c>
      <c r="I132" s="12" t="s">
        <v>56</v>
      </c>
      <c r="J132" s="14">
        <v>4961.34</v>
      </c>
      <c r="K132" s="12" t="s">
        <v>832</v>
      </c>
    </row>
    <row r="133" spans="1:11" x14ac:dyDescent="0.35">
      <c r="A133" s="12" t="s">
        <v>495</v>
      </c>
      <c r="B133" s="12" t="s">
        <v>471</v>
      </c>
      <c r="C133" s="12" t="s">
        <v>499</v>
      </c>
      <c r="D133" s="13">
        <v>45730</v>
      </c>
      <c r="E133" s="13">
        <v>45735</v>
      </c>
      <c r="F133" s="12">
        <v>246779412201</v>
      </c>
      <c r="G133" s="12" t="s">
        <v>11</v>
      </c>
      <c r="H133" s="14">
        <v>20.03</v>
      </c>
      <c r="I133" s="12" t="s">
        <v>56</v>
      </c>
      <c r="J133" s="14">
        <v>1736.43</v>
      </c>
      <c r="K133" s="12" t="s">
        <v>832</v>
      </c>
    </row>
    <row r="134" spans="1:11" x14ac:dyDescent="0.35">
      <c r="A134" s="12" t="s">
        <v>495</v>
      </c>
      <c r="B134" s="12" t="s">
        <v>471</v>
      </c>
      <c r="C134" s="12" t="s">
        <v>499</v>
      </c>
      <c r="D134" s="13">
        <v>45848</v>
      </c>
      <c r="E134" s="13">
        <v>45854</v>
      </c>
      <c r="F134" s="12">
        <v>256779415296</v>
      </c>
      <c r="G134" s="12" t="s">
        <v>11</v>
      </c>
      <c r="H134" s="14">
        <v>24</v>
      </c>
      <c r="I134" s="12" t="s">
        <v>56</v>
      </c>
      <c r="J134" s="14">
        <v>2064.02</v>
      </c>
      <c r="K134" s="12" t="s">
        <v>821</v>
      </c>
    </row>
    <row r="135" spans="1:11" x14ac:dyDescent="0.35">
      <c r="A135" s="12" t="s">
        <v>495</v>
      </c>
      <c r="B135" s="12" t="s">
        <v>471</v>
      </c>
      <c r="C135" s="12" t="s">
        <v>499</v>
      </c>
      <c r="D135" s="13">
        <v>45848</v>
      </c>
      <c r="E135" s="13">
        <v>45854</v>
      </c>
      <c r="F135" s="12">
        <v>256779415363</v>
      </c>
      <c r="G135" s="12" t="s">
        <v>11</v>
      </c>
      <c r="H135" s="14">
        <v>3</v>
      </c>
      <c r="I135" s="12" t="s">
        <v>56</v>
      </c>
      <c r="J135" s="14">
        <v>258</v>
      </c>
      <c r="K135" s="12" t="s">
        <v>839</v>
      </c>
    </row>
    <row r="136" spans="1:11" x14ac:dyDescent="0.35">
      <c r="A136" s="12" t="s">
        <v>495</v>
      </c>
      <c r="B136" s="12" t="s">
        <v>471</v>
      </c>
      <c r="C136" s="12" t="s">
        <v>499</v>
      </c>
      <c r="D136" s="13">
        <v>45764</v>
      </c>
      <c r="E136" s="13">
        <v>45769</v>
      </c>
      <c r="F136" s="12">
        <v>256779412140</v>
      </c>
      <c r="G136" s="12" t="s">
        <v>56</v>
      </c>
      <c r="H136" s="14">
        <v>262.20999999999998</v>
      </c>
      <c r="I136" s="12" t="s">
        <v>56</v>
      </c>
      <c r="J136" s="14">
        <v>262.20999999999998</v>
      </c>
      <c r="K136" s="12" t="s">
        <v>623</v>
      </c>
    </row>
    <row r="137" spans="1:11" x14ac:dyDescent="0.35">
      <c r="A137" s="12" t="s">
        <v>495</v>
      </c>
      <c r="B137" s="12" t="s">
        <v>471</v>
      </c>
      <c r="C137" s="12" t="s">
        <v>499</v>
      </c>
      <c r="D137" s="13">
        <v>45735</v>
      </c>
      <c r="E137" s="13">
        <v>45736</v>
      </c>
      <c r="F137" s="12">
        <v>246779413076</v>
      </c>
      <c r="G137" s="12" t="s">
        <v>11</v>
      </c>
      <c r="H137" s="14">
        <v>466.37</v>
      </c>
      <c r="I137" s="12" t="s">
        <v>56</v>
      </c>
      <c r="J137" s="14">
        <v>40430.199999999997</v>
      </c>
      <c r="K137" s="12" t="s">
        <v>846</v>
      </c>
    </row>
    <row r="138" spans="1:11" x14ac:dyDescent="0.35">
      <c r="A138" s="12" t="s">
        <v>495</v>
      </c>
      <c r="B138" s="12" t="s">
        <v>471</v>
      </c>
      <c r="C138" s="12" t="s">
        <v>499</v>
      </c>
      <c r="D138" s="13">
        <v>45762</v>
      </c>
      <c r="E138" s="13">
        <v>45763</v>
      </c>
      <c r="F138" s="12">
        <v>256779411097</v>
      </c>
      <c r="G138" s="12" t="s">
        <v>11</v>
      </c>
      <c r="H138" s="14">
        <v>118</v>
      </c>
      <c r="I138" s="12" t="s">
        <v>56</v>
      </c>
      <c r="J138" s="14">
        <v>10256.77</v>
      </c>
      <c r="K138" s="12" t="s">
        <v>791</v>
      </c>
    </row>
    <row r="139" spans="1:11" x14ac:dyDescent="0.35">
      <c r="A139" s="12" t="s">
        <v>495</v>
      </c>
      <c r="B139" s="12" t="s">
        <v>471</v>
      </c>
      <c r="C139" s="12" t="s">
        <v>499</v>
      </c>
      <c r="D139" s="13">
        <v>45751</v>
      </c>
      <c r="E139" s="13">
        <v>45752</v>
      </c>
      <c r="F139" s="12">
        <v>256779410819</v>
      </c>
      <c r="G139" s="12" t="s">
        <v>11</v>
      </c>
      <c r="H139" s="14">
        <v>1913.97</v>
      </c>
      <c r="I139" s="12" t="s">
        <v>56</v>
      </c>
      <c r="J139" s="14">
        <v>166365.76000000001</v>
      </c>
      <c r="K139" s="12" t="s">
        <v>861</v>
      </c>
    </row>
    <row r="140" spans="1:11" x14ac:dyDescent="0.35">
      <c r="A140" s="12" t="s">
        <v>495</v>
      </c>
      <c r="B140" s="12" t="s">
        <v>471</v>
      </c>
      <c r="C140" s="12" t="s">
        <v>499</v>
      </c>
      <c r="D140" s="13">
        <v>45719</v>
      </c>
      <c r="E140" s="13">
        <v>45719</v>
      </c>
      <c r="F140" s="12">
        <v>246779410482</v>
      </c>
      <c r="G140" s="12" t="s">
        <v>11</v>
      </c>
      <c r="H140" s="14">
        <v>3.54</v>
      </c>
      <c r="I140" s="12" t="s">
        <v>56</v>
      </c>
      <c r="J140" s="14">
        <v>306.89</v>
      </c>
      <c r="K140" s="12" t="s">
        <v>839</v>
      </c>
    </row>
    <row r="141" spans="1:11" x14ac:dyDescent="0.35">
      <c r="A141" s="12" t="s">
        <v>495</v>
      </c>
      <c r="B141" s="12" t="s">
        <v>471</v>
      </c>
      <c r="C141" s="12" t="s">
        <v>499</v>
      </c>
      <c r="D141" s="13">
        <v>45719</v>
      </c>
      <c r="E141" s="13">
        <v>45719</v>
      </c>
      <c r="F141" s="12">
        <v>246779410483</v>
      </c>
      <c r="G141" s="12" t="s">
        <v>11</v>
      </c>
      <c r="H141" s="14">
        <v>3.54</v>
      </c>
      <c r="I141" s="12" t="s">
        <v>56</v>
      </c>
      <c r="J141" s="14">
        <v>306.89</v>
      </c>
      <c r="K141" s="12" t="s">
        <v>839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09E6-6653-4332-BC4C-7F9D30FCB456}">
  <dimension ref="A1"/>
  <sheetViews>
    <sheetView workbookViewId="0"/>
  </sheetViews>
  <sheetFormatPr defaultRowHeight="14.5" x14ac:dyDescent="0.35"/>
  <cols>
    <col min="1" max="1" width="2" bestFit="1" customWidth="1"/>
    <col min="2" max="2" width="10.08984375" bestFit="1" customWidth="1"/>
    <col min="3" max="3" width="13.90625" bestFit="1" customWidth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E807-D5CF-496B-86FC-2901B897318D}">
  <sheetPr filterMode="1"/>
  <dimension ref="A1:AB753"/>
  <sheetViews>
    <sheetView workbookViewId="0">
      <selection activeCell="J593" sqref="J593"/>
    </sheetView>
  </sheetViews>
  <sheetFormatPr defaultRowHeight="14.5" x14ac:dyDescent="0.35"/>
  <cols>
    <col min="4" max="4" width="15.6328125" bestFit="1" customWidth="1"/>
    <col min="5" max="5" width="10.54296875" bestFit="1" customWidth="1"/>
    <col min="9" max="9" width="12.08984375" bestFit="1" customWidth="1"/>
    <col min="11" max="11" width="10.54296875" bestFit="1" customWidth="1"/>
    <col min="12" max="12" width="12.90625" bestFit="1" customWidth="1"/>
    <col min="13" max="13" width="4.81640625" bestFit="1" customWidth="1"/>
    <col min="15" max="15" width="9" bestFit="1" customWidth="1"/>
    <col min="16" max="16" width="6.54296875" bestFit="1" customWidth="1"/>
    <col min="17" max="17" width="10.54296875" bestFit="1" customWidth="1"/>
    <col min="25" max="25" width="12.08984375" bestFit="1" customWidth="1"/>
    <col min="28" max="28" width="9.6328125" bestFit="1" customWidth="1"/>
  </cols>
  <sheetData>
    <row r="1" spans="1:28" x14ac:dyDescent="0.35">
      <c r="I1">
        <f>SUBTOTAL(9,I3:I751)</f>
        <v>10371172.270000001</v>
      </c>
      <c r="X1">
        <f>SUBTOTAL(9,X3:X751)</f>
        <v>0</v>
      </c>
      <c r="Y1">
        <f>SUBTOTAL(9,Y3:Y751)</f>
        <v>10371172.270000001</v>
      </c>
      <c r="AB1">
        <f>SUBTOTAL(9,AB3:AB751)</f>
        <v>0</v>
      </c>
    </row>
    <row r="2" spans="1:28" x14ac:dyDescent="0.35">
      <c r="A2" t="s">
        <v>899</v>
      </c>
      <c r="B2" t="s">
        <v>900</v>
      </c>
      <c r="C2" t="s">
        <v>434</v>
      </c>
      <c r="D2" t="s">
        <v>435</v>
      </c>
      <c r="E2" t="s">
        <v>436</v>
      </c>
      <c r="F2" t="s">
        <v>3</v>
      </c>
      <c r="G2" t="s">
        <v>437</v>
      </c>
      <c r="H2" t="s">
        <v>901</v>
      </c>
      <c r="I2" t="s">
        <v>0</v>
      </c>
      <c r="J2" t="s">
        <v>1</v>
      </c>
      <c r="K2" t="s">
        <v>2</v>
      </c>
      <c r="L2" t="s">
        <v>902</v>
      </c>
      <c r="M2" t="s">
        <v>903</v>
      </c>
      <c r="N2" t="s">
        <v>4</v>
      </c>
      <c r="O2" t="s">
        <v>904</v>
      </c>
      <c r="P2" t="s">
        <v>5</v>
      </c>
      <c r="Q2" t="s">
        <v>6</v>
      </c>
      <c r="R2" t="s">
        <v>7</v>
      </c>
      <c r="S2" t="s">
        <v>489</v>
      </c>
      <c r="T2" t="s">
        <v>905</v>
      </c>
      <c r="U2" t="s">
        <v>906</v>
      </c>
      <c r="X2" t="s">
        <v>907</v>
      </c>
      <c r="Y2" t="s">
        <v>908</v>
      </c>
      <c r="Z2" t="s">
        <v>893</v>
      </c>
      <c r="AA2" t="s">
        <v>909</v>
      </c>
      <c r="AB2" t="s">
        <v>887</v>
      </c>
    </row>
    <row r="3" spans="1:28" hidden="1" x14ac:dyDescent="0.35">
      <c r="A3" t="s">
        <v>910</v>
      </c>
      <c r="B3" t="s">
        <v>910</v>
      </c>
      <c r="C3" t="s">
        <v>438</v>
      </c>
      <c r="D3" s="4">
        <v>246779411742</v>
      </c>
      <c r="E3" s="3">
        <v>45733</v>
      </c>
      <c r="F3" t="s">
        <v>11</v>
      </c>
      <c r="G3">
        <v>-23.27</v>
      </c>
      <c r="H3">
        <v>23.27</v>
      </c>
      <c r="I3" s="27">
        <v>-2025.48</v>
      </c>
      <c r="J3" t="s">
        <v>88</v>
      </c>
      <c r="K3" s="3">
        <v>45763</v>
      </c>
      <c r="L3" s="3">
        <v>45838</v>
      </c>
      <c r="M3" t="s">
        <v>912</v>
      </c>
      <c r="N3" s="2">
        <v>45809</v>
      </c>
      <c r="O3">
        <v>51127398</v>
      </c>
      <c r="P3">
        <v>1</v>
      </c>
      <c r="Q3" s="3">
        <v>45819</v>
      </c>
      <c r="R3">
        <v>210</v>
      </c>
      <c r="S3" s="85">
        <v>1.55E+16</v>
      </c>
      <c r="T3" t="s">
        <v>913</v>
      </c>
      <c r="U3">
        <v>2025.48</v>
      </c>
      <c r="W3" s="79">
        <f>X3/I3</f>
        <v>-2.0197681537215868E-2</v>
      </c>
      <c r="X3">
        <f>VLOOKUP(D3,'[3]Customer TDS'!D:I,6,0)</f>
        <v>40.909999999999997</v>
      </c>
      <c r="Y3" s="27">
        <f>I3+X3</f>
        <v>-1984.57</v>
      </c>
      <c r="Z3" t="s">
        <v>915</v>
      </c>
      <c r="AA3">
        <f>VLOOKUP(D3,'Ascendus DATA'!$F:$J,5,0)</f>
        <v>2017.31</v>
      </c>
      <c r="AB3" s="27">
        <f>I3+AA3</f>
        <v>-8.1700000000000728</v>
      </c>
    </row>
    <row r="4" spans="1:28" hidden="1" x14ac:dyDescent="0.35">
      <c r="A4" t="s">
        <v>910</v>
      </c>
      <c r="B4" t="s">
        <v>910</v>
      </c>
      <c r="C4" t="s">
        <v>438</v>
      </c>
      <c r="D4" s="4">
        <v>246779411737</v>
      </c>
      <c r="E4" s="3">
        <v>45733</v>
      </c>
      <c r="F4" t="s">
        <v>11</v>
      </c>
      <c r="G4">
        <v>-28.54</v>
      </c>
      <c r="H4">
        <v>28.54</v>
      </c>
      <c r="I4" s="27">
        <v>-2484.19</v>
      </c>
      <c r="K4" s="3">
        <v>45763</v>
      </c>
      <c r="L4" s="3">
        <v>45838</v>
      </c>
      <c r="M4" t="s">
        <v>912</v>
      </c>
      <c r="N4" s="2">
        <v>45809</v>
      </c>
      <c r="O4">
        <v>51158463</v>
      </c>
      <c r="P4">
        <v>1</v>
      </c>
      <c r="Q4" s="3">
        <v>45820</v>
      </c>
      <c r="R4">
        <v>210</v>
      </c>
      <c r="S4" s="85">
        <v>1.55E+16</v>
      </c>
      <c r="T4" t="s">
        <v>913</v>
      </c>
      <c r="U4">
        <v>2484.19</v>
      </c>
      <c r="W4" s="79">
        <f t="shared" ref="W4:W67" si="0">X4/I4</f>
        <v>-1.9970292127413764E-2</v>
      </c>
      <c r="X4">
        <f>VLOOKUP(D4,'[3]Customer TDS'!D:I,6,0)</f>
        <v>49.61</v>
      </c>
      <c r="Y4" s="27">
        <f t="shared" ref="Y4:Y67" si="1">I4+X4</f>
        <v>-2434.58</v>
      </c>
      <c r="Z4" t="s">
        <v>915</v>
      </c>
      <c r="AA4">
        <f>VLOOKUP(D4,'Ascendus DATA'!$F:$J,5,0)</f>
        <v>2474.17</v>
      </c>
      <c r="AB4" s="27">
        <f t="shared" ref="AB4:AB67" si="2">I4+AA4</f>
        <v>-10.019999999999982</v>
      </c>
    </row>
    <row r="5" spans="1:28" hidden="1" x14ac:dyDescent="0.35">
      <c r="A5" t="s">
        <v>910</v>
      </c>
      <c r="B5" t="s">
        <v>910</v>
      </c>
      <c r="C5" t="s">
        <v>438</v>
      </c>
      <c r="D5" s="4">
        <v>246779411734</v>
      </c>
      <c r="E5" s="3">
        <v>45733</v>
      </c>
      <c r="F5" t="s">
        <v>11</v>
      </c>
      <c r="G5">
        <v>-22.83</v>
      </c>
      <c r="H5">
        <v>22.83</v>
      </c>
      <c r="I5" s="27">
        <v>-1987.18</v>
      </c>
      <c r="K5" s="3">
        <v>45763</v>
      </c>
      <c r="L5" s="3">
        <v>45838</v>
      </c>
      <c r="M5" t="s">
        <v>912</v>
      </c>
      <c r="N5" s="2">
        <v>45809</v>
      </c>
      <c r="O5">
        <v>51158465</v>
      </c>
      <c r="P5">
        <v>1</v>
      </c>
      <c r="Q5" s="3">
        <v>45820</v>
      </c>
      <c r="R5">
        <v>210</v>
      </c>
      <c r="S5" s="85">
        <v>1.55E+16</v>
      </c>
      <c r="T5" t="s">
        <v>913</v>
      </c>
      <c r="U5">
        <v>1987.18</v>
      </c>
      <c r="W5" s="79">
        <f t="shared" si="0"/>
        <v>-2.0149156090540361E-2</v>
      </c>
      <c r="X5">
        <f>VLOOKUP(D5,'[3]Customer TDS'!D:I,6,0)</f>
        <v>40.04</v>
      </c>
      <c r="Y5" s="27">
        <f t="shared" si="1"/>
        <v>-1947.14</v>
      </c>
      <c r="Z5" t="s">
        <v>915</v>
      </c>
      <c r="AA5">
        <f>VLOOKUP(D5,'Ascendus DATA'!$F:$J,5,0)</f>
        <v>1979.16</v>
      </c>
      <c r="AB5" s="27">
        <f t="shared" si="2"/>
        <v>-8.0199999999999818</v>
      </c>
    </row>
    <row r="6" spans="1:28" hidden="1" x14ac:dyDescent="0.35">
      <c r="A6" t="s">
        <v>910</v>
      </c>
      <c r="B6" t="s">
        <v>910</v>
      </c>
      <c r="C6" t="s">
        <v>438</v>
      </c>
      <c r="D6" s="4">
        <v>246779411732</v>
      </c>
      <c r="E6" s="3">
        <v>45733</v>
      </c>
      <c r="F6" t="s">
        <v>11</v>
      </c>
      <c r="G6">
        <v>-28.54</v>
      </c>
      <c r="H6">
        <v>28.54</v>
      </c>
      <c r="I6" s="27">
        <v>-2484.19</v>
      </c>
      <c r="K6" s="3">
        <v>45763</v>
      </c>
      <c r="L6" s="3">
        <v>45838</v>
      </c>
      <c r="M6" t="s">
        <v>912</v>
      </c>
      <c r="N6" s="2">
        <v>45809</v>
      </c>
      <c r="O6">
        <v>51158468</v>
      </c>
      <c r="P6">
        <v>1</v>
      </c>
      <c r="Q6" s="3">
        <v>45820</v>
      </c>
      <c r="R6">
        <v>210</v>
      </c>
      <c r="S6" s="85">
        <v>1.55E+16</v>
      </c>
      <c r="T6" t="s">
        <v>913</v>
      </c>
      <c r="U6">
        <v>2484.19</v>
      </c>
      <c r="W6" s="79">
        <f t="shared" si="0"/>
        <v>-1.9970292127413764E-2</v>
      </c>
      <c r="X6">
        <f>VLOOKUP(D6,'[3]Customer TDS'!D:I,6,0)</f>
        <v>49.61</v>
      </c>
      <c r="Y6" s="27">
        <f t="shared" si="1"/>
        <v>-2434.58</v>
      </c>
      <c r="Z6" t="s">
        <v>915</v>
      </c>
      <c r="AA6">
        <f>VLOOKUP(D6,'Ascendus DATA'!$F:$J,5,0)</f>
        <v>2474.17</v>
      </c>
      <c r="AB6" s="27">
        <f t="shared" si="2"/>
        <v>-10.019999999999982</v>
      </c>
    </row>
    <row r="7" spans="1:28" hidden="1" x14ac:dyDescent="0.35">
      <c r="A7" t="s">
        <v>910</v>
      </c>
      <c r="B7" t="s">
        <v>910</v>
      </c>
      <c r="C7" t="s">
        <v>438</v>
      </c>
      <c r="D7" s="4">
        <v>246779411729</v>
      </c>
      <c r="E7" s="3">
        <v>45733</v>
      </c>
      <c r="F7" t="s">
        <v>11</v>
      </c>
      <c r="G7">
        <v>-34.25</v>
      </c>
      <c r="H7">
        <v>34.25</v>
      </c>
      <c r="I7" s="27">
        <v>-2981.2</v>
      </c>
      <c r="J7" t="s">
        <v>88</v>
      </c>
      <c r="K7" s="3">
        <v>45763</v>
      </c>
      <c r="L7" s="3">
        <v>45838</v>
      </c>
      <c r="M7" t="s">
        <v>912</v>
      </c>
      <c r="N7" s="2">
        <v>45809</v>
      </c>
      <c r="O7">
        <v>51158469</v>
      </c>
      <c r="P7">
        <v>1</v>
      </c>
      <c r="Q7" s="3">
        <v>45820</v>
      </c>
      <c r="R7">
        <v>210</v>
      </c>
      <c r="S7" s="85">
        <v>1.55E+16</v>
      </c>
      <c r="T7" t="s">
        <v>913</v>
      </c>
      <c r="U7">
        <v>2981.2</v>
      </c>
      <c r="W7" s="79">
        <f t="shared" si="0"/>
        <v>-2.0146249832282304E-2</v>
      </c>
      <c r="X7">
        <f>VLOOKUP(D7,'[3]Customer TDS'!D:I,6,0)</f>
        <v>60.06</v>
      </c>
      <c r="Y7" s="27">
        <f t="shared" si="1"/>
        <v>-2921.14</v>
      </c>
      <c r="Z7" t="s">
        <v>915</v>
      </c>
      <c r="AA7">
        <f>VLOOKUP(D7,'Ascendus DATA'!$F:$J,5,0)</f>
        <v>2969.18</v>
      </c>
      <c r="AB7" s="27">
        <f t="shared" si="2"/>
        <v>-12.019999999999982</v>
      </c>
    </row>
    <row r="8" spans="1:28" hidden="1" x14ac:dyDescent="0.35">
      <c r="A8" t="s">
        <v>910</v>
      </c>
      <c r="B8" t="s">
        <v>910</v>
      </c>
      <c r="C8" t="s">
        <v>438</v>
      </c>
      <c r="D8" s="4">
        <v>246779411724</v>
      </c>
      <c r="E8" s="3">
        <v>45733</v>
      </c>
      <c r="F8" t="s">
        <v>11</v>
      </c>
      <c r="G8">
        <v>-68.5</v>
      </c>
      <c r="H8">
        <v>68.5</v>
      </c>
      <c r="I8" s="27">
        <v>-5962.41</v>
      </c>
      <c r="K8" s="3">
        <v>45763</v>
      </c>
      <c r="L8" s="3">
        <v>45838</v>
      </c>
      <c r="M8" t="s">
        <v>912</v>
      </c>
      <c r="N8" s="2">
        <v>45809</v>
      </c>
      <c r="O8">
        <v>51158473</v>
      </c>
      <c r="P8">
        <v>1</v>
      </c>
      <c r="Q8" s="3">
        <v>45820</v>
      </c>
      <c r="R8">
        <v>210</v>
      </c>
      <c r="S8" s="85">
        <v>1.55E+16</v>
      </c>
      <c r="T8" t="s">
        <v>913</v>
      </c>
      <c r="U8">
        <v>5962.41</v>
      </c>
      <c r="W8" s="79">
        <f t="shared" si="0"/>
        <v>-2.0000301891349305E-2</v>
      </c>
      <c r="X8">
        <f>VLOOKUP(D8,'[3]Customer TDS'!D:I,6,0)</f>
        <v>119.25</v>
      </c>
      <c r="Y8" s="27">
        <f t="shared" si="1"/>
        <v>-5843.16</v>
      </c>
      <c r="Z8" t="s">
        <v>915</v>
      </c>
      <c r="AA8">
        <f>VLOOKUP(D8,'Ascendus DATA'!$F:$J,5,0)</f>
        <v>5938.35</v>
      </c>
      <c r="AB8" s="27">
        <f t="shared" si="2"/>
        <v>-24.059999999999491</v>
      </c>
    </row>
    <row r="9" spans="1:28" hidden="1" x14ac:dyDescent="0.35">
      <c r="A9" t="s">
        <v>910</v>
      </c>
      <c r="B9" t="s">
        <v>910</v>
      </c>
      <c r="C9" t="s">
        <v>438</v>
      </c>
      <c r="D9" s="4">
        <v>246779411721</v>
      </c>
      <c r="E9" s="3">
        <v>45733</v>
      </c>
      <c r="F9" t="s">
        <v>11</v>
      </c>
      <c r="G9">
        <v>-525.63</v>
      </c>
      <c r="H9">
        <v>525.63</v>
      </c>
      <c r="I9" s="27">
        <v>-45752.1</v>
      </c>
      <c r="K9" s="3">
        <v>45763</v>
      </c>
      <c r="L9" s="3">
        <v>45838</v>
      </c>
      <c r="M9" t="s">
        <v>912</v>
      </c>
      <c r="N9" s="2">
        <v>45809</v>
      </c>
      <c r="O9">
        <v>51158475</v>
      </c>
      <c r="P9">
        <v>1</v>
      </c>
      <c r="Q9" s="3">
        <v>45820</v>
      </c>
      <c r="R9">
        <v>210</v>
      </c>
      <c r="S9" s="85">
        <v>1.55E+16</v>
      </c>
      <c r="T9" t="s">
        <v>913</v>
      </c>
      <c r="U9">
        <v>45752.1</v>
      </c>
      <c r="W9" s="79">
        <f t="shared" si="0"/>
        <v>-1.9995147763709208E-2</v>
      </c>
      <c r="X9">
        <f>VLOOKUP(D9,'[3]Customer TDS'!D:I,6,0)</f>
        <v>914.82</v>
      </c>
      <c r="Y9" s="27">
        <f t="shared" si="1"/>
        <v>-44837.279999999999</v>
      </c>
      <c r="Z9" t="s">
        <v>915</v>
      </c>
      <c r="AA9">
        <f>VLOOKUP(D9,'Ascendus DATA'!$F:$J,5,0)</f>
        <v>45567.53</v>
      </c>
      <c r="AB9" s="27">
        <f t="shared" si="2"/>
        <v>-184.56999999999971</v>
      </c>
    </row>
    <row r="10" spans="1:28" hidden="1" x14ac:dyDescent="0.35">
      <c r="A10" t="s">
        <v>910</v>
      </c>
      <c r="B10" t="s">
        <v>910</v>
      </c>
      <c r="C10" t="s">
        <v>438</v>
      </c>
      <c r="D10" s="4">
        <v>246779411741</v>
      </c>
      <c r="E10" s="3">
        <v>45733</v>
      </c>
      <c r="F10" t="s">
        <v>11</v>
      </c>
      <c r="G10">
        <v>-240</v>
      </c>
      <c r="H10">
        <v>240</v>
      </c>
      <c r="I10" s="27">
        <v>-20890.18</v>
      </c>
      <c r="K10" s="3">
        <v>45763</v>
      </c>
      <c r="L10" s="3">
        <v>45838</v>
      </c>
      <c r="M10" t="s">
        <v>912</v>
      </c>
      <c r="N10" s="2">
        <v>45809</v>
      </c>
      <c r="O10">
        <v>51158478</v>
      </c>
      <c r="P10">
        <v>1</v>
      </c>
      <c r="Q10" s="3">
        <v>45820</v>
      </c>
      <c r="R10">
        <v>210</v>
      </c>
      <c r="S10" s="85">
        <v>1.55E+16</v>
      </c>
      <c r="T10" t="s">
        <v>913</v>
      </c>
      <c r="U10">
        <v>20890.18</v>
      </c>
      <c r="W10" s="79">
        <f t="shared" si="0"/>
        <v>-1.9999827670225914E-2</v>
      </c>
      <c r="X10">
        <f>VLOOKUP(D10,'[3]Customer TDS'!D:I,6,0)</f>
        <v>417.8</v>
      </c>
      <c r="Y10" s="27">
        <f t="shared" si="1"/>
        <v>-20472.38</v>
      </c>
      <c r="Z10" t="s">
        <v>915</v>
      </c>
      <c r="AA10">
        <f>VLOOKUP(D10,'Ascendus DATA'!$F:$J,5,0)</f>
        <v>20805.900000000001</v>
      </c>
      <c r="AB10" s="27">
        <f t="shared" si="2"/>
        <v>-84.279999999998836</v>
      </c>
    </row>
    <row r="11" spans="1:28" hidden="1" x14ac:dyDescent="0.35">
      <c r="A11" t="s">
        <v>910</v>
      </c>
      <c r="B11" t="s">
        <v>910</v>
      </c>
      <c r="C11" t="s">
        <v>438</v>
      </c>
      <c r="D11" s="4">
        <v>246779410315</v>
      </c>
      <c r="E11" s="3">
        <v>45708</v>
      </c>
      <c r="F11" t="s">
        <v>11</v>
      </c>
      <c r="G11" s="27">
        <v>-2380.9499999999998</v>
      </c>
      <c r="H11" s="27">
        <v>2380.9499999999998</v>
      </c>
      <c r="I11" s="27">
        <v>-207243.64</v>
      </c>
      <c r="K11" s="3">
        <v>45738</v>
      </c>
      <c r="L11" s="3">
        <v>45838</v>
      </c>
      <c r="M11" t="s">
        <v>912</v>
      </c>
      <c r="N11" s="2">
        <v>45809</v>
      </c>
      <c r="O11">
        <v>51158482</v>
      </c>
      <c r="P11">
        <v>1</v>
      </c>
      <c r="Q11" s="3">
        <v>45820</v>
      </c>
      <c r="R11">
        <v>210</v>
      </c>
      <c r="S11" s="85">
        <v>1.55E+16</v>
      </c>
      <c r="T11" t="s">
        <v>913</v>
      </c>
      <c r="U11">
        <v>207243.64</v>
      </c>
      <c r="W11" s="79">
        <f t="shared" si="0"/>
        <v>-2.0000420760801149E-2</v>
      </c>
      <c r="X11">
        <f>VLOOKUP(D11,'[3]Customer TDS'!D:I,6,0)</f>
        <v>4144.96</v>
      </c>
      <c r="Y11" s="27">
        <f t="shared" si="1"/>
        <v>-203098.68000000002</v>
      </c>
      <c r="Z11" t="s">
        <v>915</v>
      </c>
      <c r="AA11">
        <f>VLOOKUP(D11,'Ascendus DATA'!$F:$J,5,0)</f>
        <v>205484.7</v>
      </c>
      <c r="AB11" s="27">
        <f t="shared" si="2"/>
        <v>-1758.9400000000023</v>
      </c>
    </row>
    <row r="12" spans="1:28" hidden="1" x14ac:dyDescent="0.35">
      <c r="A12" t="s">
        <v>910</v>
      </c>
      <c r="B12" t="s">
        <v>910</v>
      </c>
      <c r="C12" t="s">
        <v>438</v>
      </c>
      <c r="D12" s="4">
        <v>246779411735</v>
      </c>
      <c r="E12" s="3">
        <v>45733</v>
      </c>
      <c r="F12" t="s">
        <v>11</v>
      </c>
      <c r="G12">
        <v>-479.25</v>
      </c>
      <c r="H12">
        <v>479.25</v>
      </c>
      <c r="I12" s="27">
        <v>-41715.08</v>
      </c>
      <c r="K12" s="3">
        <v>45763</v>
      </c>
      <c r="L12" s="3">
        <v>45838</v>
      </c>
      <c r="M12" t="s">
        <v>912</v>
      </c>
      <c r="N12" s="2">
        <v>45809</v>
      </c>
      <c r="O12">
        <v>51158483</v>
      </c>
      <c r="P12">
        <v>1</v>
      </c>
      <c r="Q12" s="3">
        <v>45820</v>
      </c>
      <c r="R12">
        <v>210</v>
      </c>
      <c r="S12" s="85">
        <v>1.55E+16</v>
      </c>
      <c r="T12" t="s">
        <v>913</v>
      </c>
      <c r="U12">
        <v>41715.08</v>
      </c>
      <c r="W12" s="79">
        <f t="shared" si="0"/>
        <v>-2.0010509388930814E-2</v>
      </c>
      <c r="X12">
        <f>VLOOKUP(D12,'[3]Customer TDS'!D:I,6,0)</f>
        <v>834.74</v>
      </c>
      <c r="Y12" s="27">
        <f t="shared" si="1"/>
        <v>-40880.340000000004</v>
      </c>
      <c r="Z12" t="s">
        <v>915</v>
      </c>
      <c r="AA12">
        <f>VLOOKUP(D12,'Ascendus DATA'!$F:$J,5,0)</f>
        <v>41546.79</v>
      </c>
      <c r="AB12" s="27">
        <f t="shared" si="2"/>
        <v>-168.29000000000087</v>
      </c>
    </row>
    <row r="13" spans="1:28" hidden="1" x14ac:dyDescent="0.35">
      <c r="A13" t="s">
        <v>910</v>
      </c>
      <c r="B13" t="s">
        <v>910</v>
      </c>
      <c r="C13" t="s">
        <v>438</v>
      </c>
      <c r="D13" s="4">
        <v>246779411733</v>
      </c>
      <c r="E13" s="3">
        <v>45733</v>
      </c>
      <c r="F13" t="s">
        <v>11</v>
      </c>
      <c r="G13">
        <v>-17.12</v>
      </c>
      <c r="H13">
        <v>17.12</v>
      </c>
      <c r="I13" s="27">
        <v>-1490.17</v>
      </c>
      <c r="K13" s="3">
        <v>45763</v>
      </c>
      <c r="L13" s="3">
        <v>45838</v>
      </c>
      <c r="M13" t="s">
        <v>912</v>
      </c>
      <c r="N13" s="2">
        <v>45809</v>
      </c>
      <c r="O13">
        <v>51158487</v>
      </c>
      <c r="P13">
        <v>1</v>
      </c>
      <c r="Q13" s="3">
        <v>45820</v>
      </c>
      <c r="R13">
        <v>210</v>
      </c>
      <c r="S13" s="85">
        <v>1.55E+16</v>
      </c>
      <c r="T13" t="s">
        <v>913</v>
      </c>
      <c r="U13">
        <v>1490.17</v>
      </c>
      <c r="W13" s="79">
        <f t="shared" si="0"/>
        <v>-1.9856794862331141E-2</v>
      </c>
      <c r="X13">
        <f>VLOOKUP(D13,'[3]Customer TDS'!D:I,6,0)</f>
        <v>29.59</v>
      </c>
      <c r="Y13" s="27">
        <f t="shared" si="1"/>
        <v>-1460.5800000000002</v>
      </c>
      <c r="Z13" t="s">
        <v>915</v>
      </c>
      <c r="AA13">
        <f>VLOOKUP(D13,'Ascendus DATA'!$F:$J,5,0)</f>
        <v>1484.15</v>
      </c>
      <c r="AB13" s="27">
        <f t="shared" si="2"/>
        <v>-6.0199999999999818</v>
      </c>
    </row>
    <row r="14" spans="1:28" hidden="1" x14ac:dyDescent="0.35">
      <c r="A14" t="s">
        <v>910</v>
      </c>
      <c r="B14" t="s">
        <v>910</v>
      </c>
      <c r="C14" t="s">
        <v>438</v>
      </c>
      <c r="D14" s="4">
        <v>246779411727</v>
      </c>
      <c r="E14" s="3">
        <v>45733</v>
      </c>
      <c r="F14" t="s">
        <v>11</v>
      </c>
      <c r="G14">
        <v>-17.12</v>
      </c>
      <c r="H14">
        <v>17.12</v>
      </c>
      <c r="I14" s="27">
        <v>-1490.17</v>
      </c>
      <c r="K14" s="3">
        <v>45763</v>
      </c>
      <c r="L14" s="3">
        <v>45838</v>
      </c>
      <c r="M14" t="s">
        <v>912</v>
      </c>
      <c r="N14" s="2">
        <v>45809</v>
      </c>
      <c r="O14">
        <v>51158492</v>
      </c>
      <c r="P14">
        <v>1</v>
      </c>
      <c r="Q14" s="3">
        <v>45820</v>
      </c>
      <c r="R14">
        <v>210</v>
      </c>
      <c r="S14" s="85">
        <v>1.55E+16</v>
      </c>
      <c r="T14" t="s">
        <v>913</v>
      </c>
      <c r="U14">
        <v>1490.17</v>
      </c>
      <c r="W14" s="79">
        <f t="shared" si="0"/>
        <v>-1.9856794862331141E-2</v>
      </c>
      <c r="X14">
        <f>VLOOKUP(D14,'[3]Customer TDS'!D:I,6,0)</f>
        <v>29.59</v>
      </c>
      <c r="Y14" s="27">
        <f t="shared" si="1"/>
        <v>-1460.5800000000002</v>
      </c>
      <c r="Z14" t="s">
        <v>915</v>
      </c>
      <c r="AA14">
        <f>VLOOKUP(D14,'Ascendus DATA'!$F:$J,5,0)</f>
        <v>1484.15</v>
      </c>
      <c r="AB14" s="27">
        <f t="shared" si="2"/>
        <v>-6.0199999999999818</v>
      </c>
    </row>
    <row r="15" spans="1:28" hidden="1" x14ac:dyDescent="0.35">
      <c r="A15" t="s">
        <v>910</v>
      </c>
      <c r="B15" t="s">
        <v>910</v>
      </c>
      <c r="C15" t="s">
        <v>438</v>
      </c>
      <c r="D15" s="4">
        <v>246779411726</v>
      </c>
      <c r="E15" s="3">
        <v>45733</v>
      </c>
      <c r="F15" t="s">
        <v>11</v>
      </c>
      <c r="G15">
        <v>-28.54</v>
      </c>
      <c r="H15">
        <v>28.54</v>
      </c>
      <c r="I15" s="27">
        <v>-2484.19</v>
      </c>
      <c r="K15" s="3">
        <v>45763</v>
      </c>
      <c r="L15" s="3">
        <v>45838</v>
      </c>
      <c r="M15" t="s">
        <v>912</v>
      </c>
      <c r="N15" s="2">
        <v>45809</v>
      </c>
      <c r="O15">
        <v>51158494</v>
      </c>
      <c r="P15">
        <v>1</v>
      </c>
      <c r="Q15" s="3">
        <v>45820</v>
      </c>
      <c r="R15">
        <v>210</v>
      </c>
      <c r="S15" s="85">
        <v>1.55E+16</v>
      </c>
      <c r="T15" t="s">
        <v>913</v>
      </c>
      <c r="U15">
        <v>2484.19</v>
      </c>
      <c r="W15" s="79">
        <f t="shared" si="0"/>
        <v>-1.9970292127413764E-2</v>
      </c>
      <c r="X15">
        <f>VLOOKUP(D15,'[3]Customer TDS'!D:I,6,0)</f>
        <v>49.61</v>
      </c>
      <c r="Y15" s="27">
        <f t="shared" si="1"/>
        <v>-2434.58</v>
      </c>
      <c r="Z15" t="s">
        <v>915</v>
      </c>
      <c r="AA15">
        <f>VLOOKUP(D15,'Ascendus DATA'!$F:$J,5,0)</f>
        <v>2474.17</v>
      </c>
      <c r="AB15" s="27">
        <f t="shared" si="2"/>
        <v>-10.019999999999982</v>
      </c>
    </row>
    <row r="16" spans="1:28" hidden="1" x14ac:dyDescent="0.35">
      <c r="A16" t="s">
        <v>910</v>
      </c>
      <c r="B16" t="s">
        <v>910</v>
      </c>
      <c r="C16" t="s">
        <v>438</v>
      </c>
      <c r="D16" s="4">
        <v>246779411720</v>
      </c>
      <c r="E16" s="3">
        <v>45733</v>
      </c>
      <c r="F16" t="s">
        <v>11</v>
      </c>
      <c r="G16">
        <v>-17.12</v>
      </c>
      <c r="H16">
        <v>17.12</v>
      </c>
      <c r="I16" s="27">
        <v>-1490.17</v>
      </c>
      <c r="K16" s="3">
        <v>45763</v>
      </c>
      <c r="L16" s="3">
        <v>45838</v>
      </c>
      <c r="M16" t="s">
        <v>912</v>
      </c>
      <c r="N16" s="2">
        <v>45809</v>
      </c>
      <c r="O16">
        <v>51158497</v>
      </c>
      <c r="P16">
        <v>1</v>
      </c>
      <c r="Q16" s="3">
        <v>45820</v>
      </c>
      <c r="R16">
        <v>210</v>
      </c>
      <c r="S16" s="85">
        <v>1.55E+16</v>
      </c>
      <c r="T16" t="s">
        <v>913</v>
      </c>
      <c r="U16">
        <v>1490.17</v>
      </c>
      <c r="W16" s="79">
        <f t="shared" si="0"/>
        <v>-1.9856794862331141E-2</v>
      </c>
      <c r="X16">
        <f>VLOOKUP(D16,'[3]Customer TDS'!D:I,6,0)</f>
        <v>29.59</v>
      </c>
      <c r="Y16" s="27">
        <f t="shared" si="1"/>
        <v>-1460.5800000000002</v>
      </c>
      <c r="Z16" t="s">
        <v>915</v>
      </c>
      <c r="AA16">
        <f>VLOOKUP(D16,'Ascendus DATA'!$F:$J,5,0)</f>
        <v>1484.15</v>
      </c>
      <c r="AB16" s="27">
        <f t="shared" si="2"/>
        <v>-6.0199999999999818</v>
      </c>
    </row>
    <row r="17" spans="1:28" hidden="1" x14ac:dyDescent="0.35">
      <c r="A17" t="s">
        <v>910</v>
      </c>
      <c r="B17" t="s">
        <v>910</v>
      </c>
      <c r="C17" t="s">
        <v>438</v>
      </c>
      <c r="D17" s="4">
        <v>246779411718</v>
      </c>
      <c r="E17" s="3">
        <v>45733</v>
      </c>
      <c r="F17" t="s">
        <v>11</v>
      </c>
      <c r="G17">
        <v>-22.95</v>
      </c>
      <c r="H17">
        <v>22.95</v>
      </c>
      <c r="I17" s="27">
        <v>-1997.62</v>
      </c>
      <c r="K17" s="3">
        <v>45763</v>
      </c>
      <c r="L17" s="3">
        <v>45838</v>
      </c>
      <c r="M17" t="s">
        <v>912</v>
      </c>
      <c r="N17" s="2">
        <v>45809</v>
      </c>
      <c r="O17">
        <v>51158499</v>
      </c>
      <c r="P17">
        <v>1</v>
      </c>
      <c r="Q17" s="3">
        <v>45820</v>
      </c>
      <c r="R17">
        <v>210</v>
      </c>
      <c r="S17" s="85">
        <v>1.55E+16</v>
      </c>
      <c r="T17" t="s">
        <v>913</v>
      </c>
      <c r="U17">
        <v>1997.62</v>
      </c>
      <c r="W17" s="79">
        <f t="shared" si="0"/>
        <v>-2.0043852184099077E-2</v>
      </c>
      <c r="X17">
        <f>VLOOKUP(D17,'[3]Customer TDS'!D:I,6,0)</f>
        <v>40.04</v>
      </c>
      <c r="Y17" s="27">
        <f t="shared" si="1"/>
        <v>-1957.58</v>
      </c>
      <c r="Z17" t="s">
        <v>915</v>
      </c>
      <c r="AA17">
        <f>VLOOKUP(D17,'Ascendus DATA'!$F:$J,5,0)</f>
        <v>1989.56</v>
      </c>
      <c r="AB17" s="27">
        <f t="shared" si="2"/>
        <v>-8.0599999999999454</v>
      </c>
    </row>
    <row r="18" spans="1:28" hidden="1" x14ac:dyDescent="0.35">
      <c r="A18" t="s">
        <v>910</v>
      </c>
      <c r="B18" t="s">
        <v>910</v>
      </c>
      <c r="C18" t="s">
        <v>438</v>
      </c>
      <c r="D18" s="4">
        <v>246779411637</v>
      </c>
      <c r="E18" s="3">
        <v>45733</v>
      </c>
      <c r="F18" t="s">
        <v>11</v>
      </c>
      <c r="G18">
        <v>-429.65</v>
      </c>
      <c r="H18">
        <v>429.65</v>
      </c>
      <c r="I18" s="27">
        <v>-37397.769999999997</v>
      </c>
      <c r="K18" s="3">
        <v>45763</v>
      </c>
      <c r="L18" s="3">
        <v>45838</v>
      </c>
      <c r="M18" t="s">
        <v>912</v>
      </c>
      <c r="N18" s="2">
        <v>45809</v>
      </c>
      <c r="O18">
        <v>51158500</v>
      </c>
      <c r="P18">
        <v>1</v>
      </c>
      <c r="Q18" s="3">
        <v>45820</v>
      </c>
      <c r="R18">
        <v>210</v>
      </c>
      <c r="S18" s="85">
        <v>1.55E+16</v>
      </c>
      <c r="T18" t="s">
        <v>913</v>
      </c>
      <c r="U18">
        <v>37397.769999999997</v>
      </c>
      <c r="W18" s="79">
        <f t="shared" si="0"/>
        <v>-1.9992903320171233E-2</v>
      </c>
      <c r="X18">
        <f>VLOOKUP(D18,'[3]Customer TDS'!D:I,6,0)</f>
        <v>747.69</v>
      </c>
      <c r="Y18" s="27">
        <f t="shared" si="1"/>
        <v>-36650.079999999994</v>
      </c>
      <c r="Z18" t="s">
        <v>915</v>
      </c>
      <c r="AA18">
        <f>VLOOKUP(D18,'Ascendus DATA'!$F:$J,5,0)</f>
        <v>37246.9</v>
      </c>
      <c r="AB18" s="27">
        <f t="shared" si="2"/>
        <v>-150.86999999999534</v>
      </c>
    </row>
    <row r="19" spans="1:28" hidden="1" x14ac:dyDescent="0.35">
      <c r="A19" t="s">
        <v>910</v>
      </c>
      <c r="B19" t="s">
        <v>910</v>
      </c>
      <c r="C19" t="s">
        <v>438</v>
      </c>
      <c r="D19" s="4">
        <v>246779411717</v>
      </c>
      <c r="E19" s="3">
        <v>45733</v>
      </c>
      <c r="F19" t="s">
        <v>11</v>
      </c>
      <c r="G19">
        <v>-45.67</v>
      </c>
      <c r="H19">
        <v>45.67</v>
      </c>
      <c r="I19" s="27">
        <v>-3975.23</v>
      </c>
      <c r="K19" s="3">
        <v>45763</v>
      </c>
      <c r="L19" s="3">
        <v>45838</v>
      </c>
      <c r="M19" t="s">
        <v>912</v>
      </c>
      <c r="N19" s="2">
        <v>45809</v>
      </c>
      <c r="O19">
        <v>51158502</v>
      </c>
      <c r="P19">
        <v>1</v>
      </c>
      <c r="Q19" s="3">
        <v>45820</v>
      </c>
      <c r="R19">
        <v>210</v>
      </c>
      <c r="S19" s="85">
        <v>1.55E+16</v>
      </c>
      <c r="T19" t="s">
        <v>913</v>
      </c>
      <c r="U19">
        <v>3975.23</v>
      </c>
      <c r="W19" s="79">
        <f t="shared" si="0"/>
        <v>-1.9925891080516095E-2</v>
      </c>
      <c r="X19">
        <f>VLOOKUP(D19,'[3]Customer TDS'!D:I,6,0)</f>
        <v>79.209999999999994</v>
      </c>
      <c r="Y19" s="27">
        <f t="shared" si="1"/>
        <v>-3896.02</v>
      </c>
      <c r="Z19" t="s">
        <v>915</v>
      </c>
      <c r="AA19">
        <f>VLOOKUP(D19,'Ascendus DATA'!$F:$J,5,0)</f>
        <v>3959.19</v>
      </c>
      <c r="AB19" s="27">
        <f t="shared" si="2"/>
        <v>-16.039999999999964</v>
      </c>
    </row>
    <row r="20" spans="1:28" hidden="1" x14ac:dyDescent="0.35">
      <c r="A20" t="s">
        <v>910</v>
      </c>
      <c r="B20" t="s">
        <v>910</v>
      </c>
      <c r="C20" t="s">
        <v>438</v>
      </c>
      <c r="D20" s="4">
        <v>246779411601</v>
      </c>
      <c r="E20" s="3">
        <v>45733</v>
      </c>
      <c r="F20" t="s">
        <v>11</v>
      </c>
      <c r="G20">
        <v>-23.39</v>
      </c>
      <c r="H20">
        <v>23.39</v>
      </c>
      <c r="I20" s="27">
        <v>-2035.92</v>
      </c>
      <c r="K20" s="3">
        <v>45763</v>
      </c>
      <c r="L20" s="3">
        <v>45838</v>
      </c>
      <c r="M20" t="s">
        <v>912</v>
      </c>
      <c r="N20" s="2">
        <v>45809</v>
      </c>
      <c r="O20">
        <v>51158503</v>
      </c>
      <c r="P20">
        <v>1</v>
      </c>
      <c r="Q20" s="3">
        <v>45820</v>
      </c>
      <c r="R20">
        <v>210</v>
      </c>
      <c r="S20" s="85">
        <v>1.55E+16</v>
      </c>
      <c r="T20" t="s">
        <v>913</v>
      </c>
      <c r="U20">
        <v>2035.92</v>
      </c>
      <c r="W20" s="79">
        <f t="shared" si="0"/>
        <v>-2.0094109788203855E-2</v>
      </c>
      <c r="X20">
        <f>VLOOKUP(D20,'[3]Customer TDS'!D:I,6,0)</f>
        <v>40.909999999999997</v>
      </c>
      <c r="Y20" s="27">
        <f t="shared" si="1"/>
        <v>-1995.01</v>
      </c>
      <c r="Z20" t="s">
        <v>915</v>
      </c>
      <c r="AA20">
        <f>VLOOKUP(D20,'Ascendus DATA'!$F:$J,5,0)</f>
        <v>2027.71</v>
      </c>
      <c r="AB20" s="27">
        <f t="shared" si="2"/>
        <v>-8.2100000000000364</v>
      </c>
    </row>
    <row r="21" spans="1:28" hidden="1" x14ac:dyDescent="0.35">
      <c r="A21" t="s">
        <v>910</v>
      </c>
      <c r="B21" t="s">
        <v>910</v>
      </c>
      <c r="C21" t="s">
        <v>438</v>
      </c>
      <c r="D21" s="4">
        <v>246779411740</v>
      </c>
      <c r="E21" s="3">
        <v>45733</v>
      </c>
      <c r="F21" t="s">
        <v>11</v>
      </c>
      <c r="G21">
        <v>-22.83</v>
      </c>
      <c r="H21">
        <v>22.83</v>
      </c>
      <c r="I21" s="27">
        <v>-1987.18</v>
      </c>
      <c r="K21" s="3">
        <v>45763</v>
      </c>
      <c r="L21" s="3">
        <v>45838</v>
      </c>
      <c r="M21" t="s">
        <v>912</v>
      </c>
      <c r="N21" s="2">
        <v>45809</v>
      </c>
      <c r="O21">
        <v>51158504</v>
      </c>
      <c r="P21">
        <v>1</v>
      </c>
      <c r="Q21" s="3">
        <v>45820</v>
      </c>
      <c r="R21">
        <v>210</v>
      </c>
      <c r="S21" s="85">
        <v>1.55E+16</v>
      </c>
      <c r="T21" t="s">
        <v>913</v>
      </c>
      <c r="U21">
        <v>1987.18</v>
      </c>
      <c r="W21" s="79">
        <f t="shared" si="0"/>
        <v>-2.0149156090540361E-2</v>
      </c>
      <c r="X21">
        <f>VLOOKUP(D21,'[3]Customer TDS'!D:I,6,0)</f>
        <v>40.04</v>
      </c>
      <c r="Y21" s="27">
        <f t="shared" si="1"/>
        <v>-1947.14</v>
      </c>
      <c r="Z21" t="s">
        <v>915</v>
      </c>
      <c r="AA21">
        <f>VLOOKUP(D21,'Ascendus DATA'!$F:$J,5,0)</f>
        <v>1979.16</v>
      </c>
      <c r="AB21" s="27">
        <f t="shared" si="2"/>
        <v>-8.0199999999999818</v>
      </c>
    </row>
    <row r="22" spans="1:28" hidden="1" x14ac:dyDescent="0.35">
      <c r="A22" t="s">
        <v>910</v>
      </c>
      <c r="B22" t="s">
        <v>910</v>
      </c>
      <c r="C22" t="s">
        <v>438</v>
      </c>
      <c r="D22" s="4">
        <v>246779411913</v>
      </c>
      <c r="E22" s="3">
        <v>45733</v>
      </c>
      <c r="F22" t="s">
        <v>11</v>
      </c>
      <c r="G22">
        <v>-28.41</v>
      </c>
      <c r="H22">
        <v>28.41</v>
      </c>
      <c r="I22" s="27">
        <v>-2472.88</v>
      </c>
      <c r="K22" s="3">
        <v>45763</v>
      </c>
      <c r="L22" s="3">
        <v>45838</v>
      </c>
      <c r="M22" t="s">
        <v>912</v>
      </c>
      <c r="N22" s="2">
        <v>45809</v>
      </c>
      <c r="O22">
        <v>51158505</v>
      </c>
      <c r="P22">
        <v>1</v>
      </c>
      <c r="Q22" s="3">
        <v>45820</v>
      </c>
      <c r="R22">
        <v>210</v>
      </c>
      <c r="S22" s="85">
        <v>1.55E+16</v>
      </c>
      <c r="T22" t="s">
        <v>913</v>
      </c>
      <c r="U22">
        <v>2472.88</v>
      </c>
      <c r="W22" s="79">
        <f t="shared" si="0"/>
        <v>-2.0061628546472129E-2</v>
      </c>
      <c r="X22">
        <f>VLOOKUP(D22,'[3]Customer TDS'!D:I,6,0)</f>
        <v>49.61</v>
      </c>
      <c r="Y22" s="27">
        <f t="shared" si="1"/>
        <v>-2423.27</v>
      </c>
      <c r="Z22" t="s">
        <v>915</v>
      </c>
      <c r="AA22">
        <f>VLOOKUP(D22,'Ascendus DATA'!$F:$J,5,0)</f>
        <v>2462.9</v>
      </c>
      <c r="AB22" s="27">
        <f t="shared" si="2"/>
        <v>-9.9800000000000182</v>
      </c>
    </row>
    <row r="23" spans="1:28" hidden="1" x14ac:dyDescent="0.35">
      <c r="A23" t="s">
        <v>910</v>
      </c>
      <c r="B23" t="s">
        <v>910</v>
      </c>
      <c r="C23" t="s">
        <v>438</v>
      </c>
      <c r="D23" s="4">
        <v>246779411597</v>
      </c>
      <c r="E23" s="3">
        <v>45733</v>
      </c>
      <c r="F23" t="s">
        <v>11</v>
      </c>
      <c r="G23">
        <v>-57.29</v>
      </c>
      <c r="H23">
        <v>57.29</v>
      </c>
      <c r="I23" s="27">
        <v>-4986.66</v>
      </c>
      <c r="K23" s="3">
        <v>45763</v>
      </c>
      <c r="L23" s="3">
        <v>45838</v>
      </c>
      <c r="M23" t="s">
        <v>912</v>
      </c>
      <c r="N23" s="2">
        <v>45809</v>
      </c>
      <c r="O23">
        <v>51158507</v>
      </c>
      <c r="P23">
        <v>1</v>
      </c>
      <c r="Q23" s="3">
        <v>45820</v>
      </c>
      <c r="R23">
        <v>210</v>
      </c>
      <c r="S23" s="85">
        <v>1.55E+16</v>
      </c>
      <c r="T23" t="s">
        <v>913</v>
      </c>
      <c r="U23">
        <v>4986.66</v>
      </c>
      <c r="W23" s="79">
        <f t="shared" si="0"/>
        <v>-2.0073556248069849E-2</v>
      </c>
      <c r="X23">
        <f>VLOOKUP(D23,'[3]Customer TDS'!D:I,6,0)</f>
        <v>100.1</v>
      </c>
      <c r="Y23" s="27">
        <f t="shared" si="1"/>
        <v>-4886.5599999999995</v>
      </c>
      <c r="Z23" t="s">
        <v>915</v>
      </c>
      <c r="AA23">
        <f>VLOOKUP(D23,'Ascendus DATA'!$F:$J,5,0)</f>
        <v>4966.54</v>
      </c>
      <c r="AB23" s="27">
        <f t="shared" si="2"/>
        <v>-20.119999999999891</v>
      </c>
    </row>
    <row r="24" spans="1:28" hidden="1" x14ac:dyDescent="0.35">
      <c r="A24" t="s">
        <v>910</v>
      </c>
      <c r="B24" t="s">
        <v>910</v>
      </c>
      <c r="C24" t="s">
        <v>438</v>
      </c>
      <c r="D24" s="4">
        <v>246779411739</v>
      </c>
      <c r="E24" s="3">
        <v>45733</v>
      </c>
      <c r="F24" t="s">
        <v>11</v>
      </c>
      <c r="G24">
        <v>-34.25</v>
      </c>
      <c r="H24">
        <v>34.25</v>
      </c>
      <c r="I24" s="27">
        <v>-2981.2</v>
      </c>
      <c r="J24" t="s">
        <v>88</v>
      </c>
      <c r="K24" s="3">
        <v>45763</v>
      </c>
      <c r="L24" s="3">
        <v>45838</v>
      </c>
      <c r="M24" t="s">
        <v>912</v>
      </c>
      <c r="N24" s="2">
        <v>45809</v>
      </c>
      <c r="O24">
        <v>51158508</v>
      </c>
      <c r="P24">
        <v>1</v>
      </c>
      <c r="Q24" s="3">
        <v>45820</v>
      </c>
      <c r="R24">
        <v>210</v>
      </c>
      <c r="S24" s="85">
        <v>1.55E+16</v>
      </c>
      <c r="T24" t="s">
        <v>913</v>
      </c>
      <c r="U24">
        <v>2981.2</v>
      </c>
      <c r="W24" s="79">
        <f t="shared" si="0"/>
        <v>-2.0146249832282304E-2</v>
      </c>
      <c r="X24">
        <f>VLOOKUP(D24,'[3]Customer TDS'!D:I,6,0)</f>
        <v>60.06</v>
      </c>
      <c r="Y24" s="27">
        <f t="shared" si="1"/>
        <v>-2921.14</v>
      </c>
      <c r="Z24" t="s">
        <v>915</v>
      </c>
      <c r="AA24">
        <f>VLOOKUP(D24,'Ascendus DATA'!$F:$J,5,0)</f>
        <v>2969.18</v>
      </c>
      <c r="AB24" s="27">
        <f t="shared" si="2"/>
        <v>-12.019999999999982</v>
      </c>
    </row>
    <row r="25" spans="1:28" hidden="1" x14ac:dyDescent="0.35">
      <c r="A25" t="s">
        <v>910</v>
      </c>
      <c r="B25" t="s">
        <v>910</v>
      </c>
      <c r="C25" t="s">
        <v>438</v>
      </c>
      <c r="D25" s="4">
        <v>246779411914</v>
      </c>
      <c r="E25" s="3">
        <v>45733</v>
      </c>
      <c r="F25" t="s">
        <v>11</v>
      </c>
      <c r="G25">
        <v>-260</v>
      </c>
      <c r="H25">
        <v>260</v>
      </c>
      <c r="I25" s="27">
        <v>-22631.03</v>
      </c>
      <c r="K25" s="3">
        <v>45763</v>
      </c>
      <c r="L25" s="3">
        <v>45838</v>
      </c>
      <c r="M25" t="s">
        <v>912</v>
      </c>
      <c r="N25" s="2">
        <v>45809</v>
      </c>
      <c r="O25">
        <v>51158509</v>
      </c>
      <c r="P25">
        <v>1</v>
      </c>
      <c r="Q25" s="3">
        <v>45820</v>
      </c>
      <c r="R25">
        <v>210</v>
      </c>
      <c r="S25" s="85">
        <v>1.55E+16</v>
      </c>
      <c r="T25" t="s">
        <v>913</v>
      </c>
      <c r="U25">
        <v>22631.03</v>
      </c>
      <c r="W25" s="79">
        <f t="shared" si="0"/>
        <v>-1.9999973487729018E-2</v>
      </c>
      <c r="X25">
        <f>VLOOKUP(D25,'[3]Customer TDS'!D:I,6,0)</f>
        <v>452.62</v>
      </c>
      <c r="Y25" s="27">
        <f t="shared" si="1"/>
        <v>-22178.41</v>
      </c>
      <c r="Z25" t="s">
        <v>915</v>
      </c>
      <c r="AA25">
        <f>VLOOKUP(D25,'Ascendus DATA'!$F:$J,5,0)</f>
        <v>22539.73</v>
      </c>
      <c r="AB25" s="27">
        <f t="shared" si="2"/>
        <v>-91.299999999999272</v>
      </c>
    </row>
    <row r="26" spans="1:28" hidden="1" x14ac:dyDescent="0.35">
      <c r="A26" t="s">
        <v>910</v>
      </c>
      <c r="B26" t="s">
        <v>910</v>
      </c>
      <c r="C26" t="s">
        <v>438</v>
      </c>
      <c r="D26" s="4">
        <v>246779411596</v>
      </c>
      <c r="E26" s="3">
        <v>45733</v>
      </c>
      <c r="F26" t="s">
        <v>11</v>
      </c>
      <c r="G26">
        <v>-74.47</v>
      </c>
      <c r="H26">
        <v>74.47</v>
      </c>
      <c r="I26" s="27">
        <v>-6482.05</v>
      </c>
      <c r="K26" s="3">
        <v>45763</v>
      </c>
      <c r="L26" s="3">
        <v>45838</v>
      </c>
      <c r="M26" t="s">
        <v>912</v>
      </c>
      <c r="N26" s="2">
        <v>45809</v>
      </c>
      <c r="O26">
        <v>51158510</v>
      </c>
      <c r="P26">
        <v>1</v>
      </c>
      <c r="Q26" s="3">
        <v>45820</v>
      </c>
      <c r="R26">
        <v>210</v>
      </c>
      <c r="S26" s="85">
        <v>1.55E+16</v>
      </c>
      <c r="T26" t="s">
        <v>913</v>
      </c>
      <c r="U26">
        <v>6482.05</v>
      </c>
      <c r="W26" s="79">
        <f t="shared" si="0"/>
        <v>-2.0007559336938159E-2</v>
      </c>
      <c r="X26">
        <f>VLOOKUP(D26,'[3]Customer TDS'!D:I,6,0)</f>
        <v>129.69</v>
      </c>
      <c r="Y26" s="27">
        <f t="shared" si="1"/>
        <v>-6352.3600000000006</v>
      </c>
      <c r="Z26" t="s">
        <v>915</v>
      </c>
      <c r="AA26">
        <f>VLOOKUP(D26,'Ascendus DATA'!$F:$J,5,0)</f>
        <v>6455.9</v>
      </c>
      <c r="AB26" s="27">
        <f t="shared" si="2"/>
        <v>-26.150000000000546</v>
      </c>
    </row>
    <row r="27" spans="1:28" hidden="1" x14ac:dyDescent="0.35">
      <c r="A27" t="s">
        <v>910</v>
      </c>
      <c r="B27" t="s">
        <v>910</v>
      </c>
      <c r="C27" t="s">
        <v>438</v>
      </c>
      <c r="D27" s="4">
        <v>246779411738</v>
      </c>
      <c r="E27" s="3">
        <v>45733</v>
      </c>
      <c r="F27" t="s">
        <v>11</v>
      </c>
      <c r="G27">
        <v>-28.54</v>
      </c>
      <c r="H27">
        <v>28.54</v>
      </c>
      <c r="I27" s="27">
        <v>-2484.19</v>
      </c>
      <c r="K27" s="3">
        <v>45763</v>
      </c>
      <c r="L27" s="3">
        <v>45838</v>
      </c>
      <c r="M27" t="s">
        <v>912</v>
      </c>
      <c r="N27" s="2">
        <v>45809</v>
      </c>
      <c r="O27">
        <v>51158511</v>
      </c>
      <c r="P27">
        <v>1</v>
      </c>
      <c r="Q27" s="3">
        <v>45820</v>
      </c>
      <c r="R27">
        <v>210</v>
      </c>
      <c r="S27" s="85">
        <v>1.55E+16</v>
      </c>
      <c r="T27" t="s">
        <v>913</v>
      </c>
      <c r="U27">
        <v>2484.19</v>
      </c>
      <c r="W27" s="79">
        <f t="shared" si="0"/>
        <v>-1.9970292127413764E-2</v>
      </c>
      <c r="X27">
        <f>VLOOKUP(D27,'[3]Customer TDS'!D:I,6,0)</f>
        <v>49.61</v>
      </c>
      <c r="Y27" s="27">
        <f t="shared" si="1"/>
        <v>-2434.58</v>
      </c>
      <c r="Z27" t="s">
        <v>915</v>
      </c>
      <c r="AA27">
        <f>VLOOKUP(D27,'Ascendus DATA'!$F:$J,5,0)</f>
        <v>2474.17</v>
      </c>
      <c r="AB27" s="27">
        <f t="shared" si="2"/>
        <v>-10.019999999999982</v>
      </c>
    </row>
    <row r="28" spans="1:28" hidden="1" x14ac:dyDescent="0.35">
      <c r="A28" t="s">
        <v>910</v>
      </c>
      <c r="B28" t="s">
        <v>910</v>
      </c>
      <c r="C28" t="s">
        <v>438</v>
      </c>
      <c r="D28" s="4">
        <v>246779412040</v>
      </c>
      <c r="E28" s="3">
        <v>45733</v>
      </c>
      <c r="F28" t="s">
        <v>11</v>
      </c>
      <c r="G28">
        <v>-16.82</v>
      </c>
      <c r="H28">
        <v>16.82</v>
      </c>
      <c r="I28" s="27">
        <v>-1464.05</v>
      </c>
      <c r="J28" t="s">
        <v>134</v>
      </c>
      <c r="K28" s="3">
        <v>45763</v>
      </c>
      <c r="L28" s="3">
        <v>45838</v>
      </c>
      <c r="M28" t="s">
        <v>912</v>
      </c>
      <c r="N28" s="2">
        <v>45809</v>
      </c>
      <c r="O28">
        <v>51158513</v>
      </c>
      <c r="P28">
        <v>1</v>
      </c>
      <c r="Q28" s="3">
        <v>45820</v>
      </c>
      <c r="R28">
        <v>210</v>
      </c>
      <c r="S28" s="85">
        <v>1.55E+16</v>
      </c>
      <c r="T28" t="s">
        <v>913</v>
      </c>
      <c r="U28">
        <v>1464.05</v>
      </c>
      <c r="W28" s="79">
        <f t="shared" si="0"/>
        <v>-2.0211058365492984E-2</v>
      </c>
      <c r="X28">
        <f>VLOOKUP(D28,'[3]Customer TDS'!D:I,6,0)</f>
        <v>29.59</v>
      </c>
      <c r="Y28" s="27">
        <f t="shared" si="1"/>
        <v>-1434.46</v>
      </c>
      <c r="Z28" t="s">
        <v>915</v>
      </c>
      <c r="AA28">
        <f>VLOOKUP(D28,'Ascendus DATA'!$F:$J,5,0)</f>
        <v>1458.15</v>
      </c>
      <c r="AB28" s="27">
        <f t="shared" si="2"/>
        <v>-5.8999999999998636</v>
      </c>
    </row>
    <row r="29" spans="1:28" hidden="1" x14ac:dyDescent="0.35">
      <c r="A29" t="s">
        <v>910</v>
      </c>
      <c r="B29" t="s">
        <v>910</v>
      </c>
      <c r="C29" t="s">
        <v>438</v>
      </c>
      <c r="D29" s="4">
        <v>246779411736</v>
      </c>
      <c r="E29" s="3">
        <v>45733</v>
      </c>
      <c r="F29" t="s">
        <v>11</v>
      </c>
      <c r="G29">
        <v>-22.83</v>
      </c>
      <c r="H29">
        <v>22.83</v>
      </c>
      <c r="I29" s="27">
        <v>-1987.18</v>
      </c>
      <c r="K29" s="3">
        <v>45763</v>
      </c>
      <c r="L29" s="3">
        <v>45838</v>
      </c>
      <c r="M29" t="s">
        <v>912</v>
      </c>
      <c r="N29" s="2">
        <v>45809</v>
      </c>
      <c r="O29">
        <v>51158514</v>
      </c>
      <c r="P29">
        <v>1</v>
      </c>
      <c r="Q29" s="3">
        <v>45820</v>
      </c>
      <c r="R29">
        <v>210</v>
      </c>
      <c r="S29" s="85">
        <v>1.55E+16</v>
      </c>
      <c r="T29" t="s">
        <v>913</v>
      </c>
      <c r="U29">
        <v>1987.18</v>
      </c>
      <c r="W29" s="79">
        <f t="shared" si="0"/>
        <v>-2.0149156090540361E-2</v>
      </c>
      <c r="X29">
        <f>VLOOKUP(D29,'[3]Customer TDS'!D:I,6,0)</f>
        <v>40.04</v>
      </c>
      <c r="Y29" s="27">
        <f t="shared" si="1"/>
        <v>-1947.14</v>
      </c>
      <c r="Z29" t="s">
        <v>915</v>
      </c>
      <c r="AA29">
        <f>VLOOKUP(D29,'Ascendus DATA'!$F:$J,5,0)</f>
        <v>1979.16</v>
      </c>
      <c r="AB29" s="27">
        <f t="shared" si="2"/>
        <v>-8.0199999999999818</v>
      </c>
    </row>
    <row r="30" spans="1:28" hidden="1" x14ac:dyDescent="0.35">
      <c r="A30" t="s">
        <v>910</v>
      </c>
      <c r="B30" t="s">
        <v>910</v>
      </c>
      <c r="C30" t="s">
        <v>438</v>
      </c>
      <c r="D30" s="4">
        <v>246779411899</v>
      </c>
      <c r="E30" s="3">
        <v>45733</v>
      </c>
      <c r="F30" t="s">
        <v>11</v>
      </c>
      <c r="G30">
        <v>-62.49</v>
      </c>
      <c r="H30">
        <v>62.49</v>
      </c>
      <c r="I30" s="27">
        <v>-5439.28</v>
      </c>
      <c r="K30" s="3">
        <v>45763</v>
      </c>
      <c r="L30" s="3">
        <v>45838</v>
      </c>
      <c r="M30" t="s">
        <v>912</v>
      </c>
      <c r="N30" s="2">
        <v>45809</v>
      </c>
      <c r="O30">
        <v>51158516</v>
      </c>
      <c r="P30">
        <v>1</v>
      </c>
      <c r="Q30" s="3">
        <v>45820</v>
      </c>
      <c r="R30">
        <v>210</v>
      </c>
      <c r="S30" s="85">
        <v>1.55E+16</v>
      </c>
      <c r="T30" t="s">
        <v>913</v>
      </c>
      <c r="U30">
        <v>5439.28</v>
      </c>
      <c r="W30" s="79">
        <f t="shared" si="0"/>
        <v>-2.0002647409215927E-2</v>
      </c>
      <c r="X30">
        <f>VLOOKUP(D30,'[3]Customer TDS'!D:I,6,0)</f>
        <v>108.8</v>
      </c>
      <c r="Y30" s="27">
        <f t="shared" si="1"/>
        <v>-5330.48</v>
      </c>
      <c r="Z30" t="s">
        <v>915</v>
      </c>
      <c r="AA30">
        <f>VLOOKUP(D30,'Ascendus DATA'!$F:$J,5,0)</f>
        <v>5417.34</v>
      </c>
      <c r="AB30" s="27">
        <f t="shared" si="2"/>
        <v>-21.9399999999996</v>
      </c>
    </row>
    <row r="31" spans="1:28" hidden="1" x14ac:dyDescent="0.35">
      <c r="A31" t="s">
        <v>910</v>
      </c>
      <c r="B31" t="s">
        <v>910</v>
      </c>
      <c r="C31" t="s">
        <v>438</v>
      </c>
      <c r="D31" s="4">
        <v>246779411896</v>
      </c>
      <c r="E31" s="3">
        <v>45733</v>
      </c>
      <c r="F31" t="s">
        <v>11</v>
      </c>
      <c r="G31">
        <v>-39.770000000000003</v>
      </c>
      <c r="H31">
        <v>39.770000000000003</v>
      </c>
      <c r="I31" s="27">
        <v>-3461.68</v>
      </c>
      <c r="K31" s="3">
        <v>45763</v>
      </c>
      <c r="L31" s="3">
        <v>45838</v>
      </c>
      <c r="M31" t="s">
        <v>912</v>
      </c>
      <c r="N31" s="2">
        <v>45809</v>
      </c>
      <c r="O31">
        <v>51158519</v>
      </c>
      <c r="P31">
        <v>1</v>
      </c>
      <c r="Q31" s="3">
        <v>45820</v>
      </c>
      <c r="R31">
        <v>210</v>
      </c>
      <c r="S31" s="85">
        <v>1.55E+16</v>
      </c>
      <c r="T31" t="s">
        <v>913</v>
      </c>
      <c r="U31">
        <v>3461.68</v>
      </c>
      <c r="W31" s="79">
        <f t="shared" si="0"/>
        <v>-2.0114510873333179E-2</v>
      </c>
      <c r="X31">
        <f>VLOOKUP(D31,'[3]Customer TDS'!D:I,6,0)</f>
        <v>69.63</v>
      </c>
      <c r="Y31" s="27">
        <f t="shared" si="1"/>
        <v>-3392.0499999999997</v>
      </c>
      <c r="Z31" t="s">
        <v>915</v>
      </c>
      <c r="AA31">
        <f>VLOOKUP(D31,'Ascendus DATA'!$F:$J,5,0)</f>
        <v>3447.71</v>
      </c>
      <c r="AB31" s="27">
        <f t="shared" si="2"/>
        <v>-13.9699999999998</v>
      </c>
    </row>
    <row r="32" spans="1:28" hidden="1" x14ac:dyDescent="0.35">
      <c r="A32" t="s">
        <v>910</v>
      </c>
      <c r="B32" t="s">
        <v>910</v>
      </c>
      <c r="C32" t="s">
        <v>438</v>
      </c>
      <c r="D32" s="4">
        <v>246779411902</v>
      </c>
      <c r="E32" s="3">
        <v>45733</v>
      </c>
      <c r="F32" t="s">
        <v>11</v>
      </c>
      <c r="G32">
        <v>-2.13</v>
      </c>
      <c r="H32">
        <v>2.13</v>
      </c>
      <c r="I32">
        <v>-185.4</v>
      </c>
      <c r="K32" s="3">
        <v>45763</v>
      </c>
      <c r="L32" s="3">
        <v>45838</v>
      </c>
      <c r="M32" t="s">
        <v>912</v>
      </c>
      <c r="N32" s="2">
        <v>45809</v>
      </c>
      <c r="O32">
        <v>51158521</v>
      </c>
      <c r="P32">
        <v>1</v>
      </c>
      <c r="Q32" s="3">
        <v>45820</v>
      </c>
      <c r="R32">
        <v>210</v>
      </c>
      <c r="S32" s="85">
        <v>1.55E+16</v>
      </c>
      <c r="T32" t="s">
        <v>913</v>
      </c>
      <c r="U32">
        <v>185.4</v>
      </c>
      <c r="W32" s="79">
        <f t="shared" si="0"/>
        <v>-1.8770226537216828E-2</v>
      </c>
      <c r="X32">
        <f>VLOOKUP(D32,'[3]Customer TDS'!D:I,6,0)</f>
        <v>3.48</v>
      </c>
      <c r="Y32" s="27">
        <f t="shared" si="1"/>
        <v>-181.92000000000002</v>
      </c>
      <c r="Z32" t="s">
        <v>915</v>
      </c>
      <c r="AA32">
        <f>VLOOKUP(D32,'Ascendus DATA'!$F:$J,5,0)</f>
        <v>184.65</v>
      </c>
      <c r="AB32" s="27">
        <f t="shared" si="2"/>
        <v>-0.75</v>
      </c>
    </row>
    <row r="33" spans="1:28" hidden="1" x14ac:dyDescent="0.35">
      <c r="A33" t="s">
        <v>910</v>
      </c>
      <c r="B33" t="s">
        <v>910</v>
      </c>
      <c r="C33" t="s">
        <v>438</v>
      </c>
      <c r="D33" s="4">
        <v>246779411723</v>
      </c>
      <c r="E33" s="3">
        <v>45733</v>
      </c>
      <c r="F33" t="s">
        <v>11</v>
      </c>
      <c r="G33">
        <v>-45.67</v>
      </c>
      <c r="H33">
        <v>45.67</v>
      </c>
      <c r="I33" s="27">
        <v>-3975.23</v>
      </c>
      <c r="J33" t="s">
        <v>88</v>
      </c>
      <c r="K33" s="3">
        <v>45763</v>
      </c>
      <c r="L33" s="3">
        <v>45838</v>
      </c>
      <c r="M33" t="s">
        <v>912</v>
      </c>
      <c r="N33" s="2">
        <v>45809</v>
      </c>
      <c r="O33">
        <v>51158523</v>
      </c>
      <c r="P33">
        <v>1</v>
      </c>
      <c r="Q33" s="3">
        <v>45820</v>
      </c>
      <c r="R33">
        <v>210</v>
      </c>
      <c r="S33" s="85">
        <v>1.55E+16</v>
      </c>
      <c r="T33" t="s">
        <v>913</v>
      </c>
      <c r="U33">
        <v>3975.23</v>
      </c>
      <c r="W33" s="79">
        <f t="shared" si="0"/>
        <v>-1.9925891080516095E-2</v>
      </c>
      <c r="X33">
        <f>VLOOKUP(D33,'[3]Customer TDS'!D:I,6,0)</f>
        <v>79.209999999999994</v>
      </c>
      <c r="Y33" s="27">
        <f t="shared" si="1"/>
        <v>-3896.02</v>
      </c>
      <c r="Z33" t="s">
        <v>915</v>
      </c>
      <c r="AA33">
        <f>VLOOKUP(D33,'Ascendus DATA'!$F:$J,5,0)</f>
        <v>3959.19</v>
      </c>
      <c r="AB33" s="27">
        <f t="shared" si="2"/>
        <v>-16.039999999999964</v>
      </c>
    </row>
    <row r="34" spans="1:28" hidden="1" x14ac:dyDescent="0.35">
      <c r="A34" t="s">
        <v>910</v>
      </c>
      <c r="B34" t="s">
        <v>910</v>
      </c>
      <c r="C34" t="s">
        <v>438</v>
      </c>
      <c r="D34" s="4">
        <v>246779411722</v>
      </c>
      <c r="E34" s="3">
        <v>45733</v>
      </c>
      <c r="F34" t="s">
        <v>11</v>
      </c>
      <c r="G34">
        <v>-39.96</v>
      </c>
      <c r="H34">
        <v>39.96</v>
      </c>
      <c r="I34" s="27">
        <v>-3478.21</v>
      </c>
      <c r="K34" s="3">
        <v>45763</v>
      </c>
      <c r="L34" s="3">
        <v>45838</v>
      </c>
      <c r="M34" t="s">
        <v>912</v>
      </c>
      <c r="N34" s="2">
        <v>45809</v>
      </c>
      <c r="O34">
        <v>51158526</v>
      </c>
      <c r="P34">
        <v>1</v>
      </c>
      <c r="Q34" s="3">
        <v>45820</v>
      </c>
      <c r="R34">
        <v>210</v>
      </c>
      <c r="S34" s="85">
        <v>1.55E+16</v>
      </c>
      <c r="T34" t="s">
        <v>913</v>
      </c>
      <c r="U34">
        <v>3478.21</v>
      </c>
      <c r="W34" s="79">
        <f t="shared" si="0"/>
        <v>-2.0018917776672484E-2</v>
      </c>
      <c r="X34">
        <f>VLOOKUP(D34,'[3]Customer TDS'!D:I,6,0)</f>
        <v>69.63</v>
      </c>
      <c r="Y34" s="27">
        <f t="shared" si="1"/>
        <v>-3408.58</v>
      </c>
      <c r="Z34" t="s">
        <v>915</v>
      </c>
      <c r="AA34">
        <f>VLOOKUP(D34,'Ascendus DATA'!$F:$J,5,0)</f>
        <v>3464.18</v>
      </c>
      <c r="AB34" s="27">
        <f t="shared" si="2"/>
        <v>-14.0300000000002</v>
      </c>
    </row>
    <row r="35" spans="1:28" hidden="1" x14ac:dyDescent="0.35">
      <c r="A35" t="s">
        <v>910</v>
      </c>
      <c r="B35" t="s">
        <v>910</v>
      </c>
      <c r="C35" t="s">
        <v>438</v>
      </c>
      <c r="D35" s="4">
        <v>246779411907</v>
      </c>
      <c r="E35" s="3">
        <v>45733</v>
      </c>
      <c r="F35" t="s">
        <v>11</v>
      </c>
      <c r="G35">
        <v>-17.04</v>
      </c>
      <c r="H35">
        <v>17.04</v>
      </c>
      <c r="I35" s="27">
        <v>-1483.2</v>
      </c>
      <c r="K35" s="3">
        <v>45763</v>
      </c>
      <c r="L35" s="3">
        <v>45838</v>
      </c>
      <c r="M35" t="s">
        <v>912</v>
      </c>
      <c r="N35" s="2">
        <v>45809</v>
      </c>
      <c r="O35">
        <v>51158529</v>
      </c>
      <c r="P35">
        <v>1</v>
      </c>
      <c r="Q35" s="3">
        <v>45820</v>
      </c>
      <c r="R35">
        <v>210</v>
      </c>
      <c r="S35" s="85">
        <v>1.55E+16</v>
      </c>
      <c r="T35" t="s">
        <v>913</v>
      </c>
      <c r="U35">
        <v>1483.2</v>
      </c>
      <c r="W35" s="79">
        <f t="shared" si="0"/>
        <v>-1.9950107874865154E-2</v>
      </c>
      <c r="X35">
        <f>VLOOKUP(D35,'[3]Customer TDS'!D:I,6,0)</f>
        <v>29.59</v>
      </c>
      <c r="Y35" s="27">
        <f t="shared" si="1"/>
        <v>-1453.6100000000001</v>
      </c>
      <c r="Z35" t="s">
        <v>915</v>
      </c>
      <c r="AA35">
        <f>VLOOKUP(D35,'Ascendus DATA'!$F:$J,5,0)</f>
        <v>1477.22</v>
      </c>
      <c r="AB35" s="27">
        <f t="shared" si="2"/>
        <v>-5.9800000000000182</v>
      </c>
    </row>
    <row r="36" spans="1:28" hidden="1" x14ac:dyDescent="0.35">
      <c r="A36" t="s">
        <v>910</v>
      </c>
      <c r="B36" t="s">
        <v>910</v>
      </c>
      <c r="C36" t="s">
        <v>438</v>
      </c>
      <c r="D36" s="4">
        <v>246779411909</v>
      </c>
      <c r="E36" s="3">
        <v>45733</v>
      </c>
      <c r="F36" t="s">
        <v>11</v>
      </c>
      <c r="G36">
        <v>-28.41</v>
      </c>
      <c r="H36">
        <v>28.41</v>
      </c>
      <c r="I36" s="27">
        <v>-2472.88</v>
      </c>
      <c r="K36" s="3">
        <v>45763</v>
      </c>
      <c r="L36" s="3">
        <v>45838</v>
      </c>
      <c r="M36" t="s">
        <v>912</v>
      </c>
      <c r="N36" s="2">
        <v>45809</v>
      </c>
      <c r="O36">
        <v>51158531</v>
      </c>
      <c r="P36">
        <v>1</v>
      </c>
      <c r="Q36" s="3">
        <v>45820</v>
      </c>
      <c r="R36">
        <v>210</v>
      </c>
      <c r="S36" s="85">
        <v>1.55E+16</v>
      </c>
      <c r="T36" t="s">
        <v>913</v>
      </c>
      <c r="U36">
        <v>2472.88</v>
      </c>
      <c r="W36" s="79">
        <f t="shared" si="0"/>
        <v>-2.0061628546472129E-2</v>
      </c>
      <c r="X36">
        <f>VLOOKUP(D36,'[3]Customer TDS'!D:I,6,0)</f>
        <v>49.61</v>
      </c>
      <c r="Y36" s="27">
        <f t="shared" si="1"/>
        <v>-2423.27</v>
      </c>
      <c r="Z36" t="s">
        <v>915</v>
      </c>
      <c r="AA36">
        <f>VLOOKUP(D36,'Ascendus DATA'!$F:$J,5,0)</f>
        <v>2462.9</v>
      </c>
      <c r="AB36" s="27">
        <f t="shared" si="2"/>
        <v>-9.9800000000000182</v>
      </c>
    </row>
    <row r="37" spans="1:28" hidden="1" x14ac:dyDescent="0.35">
      <c r="A37" t="s">
        <v>910</v>
      </c>
      <c r="B37" t="s">
        <v>910</v>
      </c>
      <c r="C37" t="s">
        <v>438</v>
      </c>
      <c r="D37" s="4">
        <v>246779411600</v>
      </c>
      <c r="E37" s="3">
        <v>45733</v>
      </c>
      <c r="F37" t="s">
        <v>11</v>
      </c>
      <c r="G37">
        <v>-2.6</v>
      </c>
      <c r="H37">
        <v>2.6</v>
      </c>
      <c r="I37">
        <v>-226.31</v>
      </c>
      <c r="K37" s="3">
        <v>45763</v>
      </c>
      <c r="L37" s="3">
        <v>45838</v>
      </c>
      <c r="M37" t="s">
        <v>912</v>
      </c>
      <c r="N37" s="2">
        <v>45809</v>
      </c>
      <c r="O37">
        <v>51158533</v>
      </c>
      <c r="P37">
        <v>1</v>
      </c>
      <c r="Q37" s="3">
        <v>45820</v>
      </c>
      <c r="R37">
        <v>210</v>
      </c>
      <c r="S37" s="85">
        <v>1.55E+16</v>
      </c>
      <c r="T37" t="s">
        <v>913</v>
      </c>
      <c r="U37">
        <v>226.31</v>
      </c>
      <c r="W37" s="79">
        <f t="shared" si="0"/>
        <v>-1.9221421943352038E-2</v>
      </c>
      <c r="X37">
        <f>VLOOKUP(D37,'[3]Customer TDS'!D:I,6,0)</f>
        <v>4.3499999999999996</v>
      </c>
      <c r="Y37" s="27">
        <f t="shared" si="1"/>
        <v>-221.96</v>
      </c>
      <c r="Z37" t="s">
        <v>915</v>
      </c>
      <c r="AA37">
        <f>VLOOKUP(D37,'Ascendus DATA'!$F:$J,5,0)</f>
        <v>225.4</v>
      </c>
      <c r="AB37" s="27">
        <f t="shared" si="2"/>
        <v>-0.90999999999999659</v>
      </c>
    </row>
    <row r="38" spans="1:28" hidden="1" x14ac:dyDescent="0.35">
      <c r="A38" t="s">
        <v>910</v>
      </c>
      <c r="B38" t="s">
        <v>910</v>
      </c>
      <c r="C38" t="s">
        <v>438</v>
      </c>
      <c r="D38" s="4">
        <v>246779410436</v>
      </c>
      <c r="E38" s="3">
        <v>45719</v>
      </c>
      <c r="F38" t="s">
        <v>11</v>
      </c>
      <c r="G38" s="27">
        <v>-1332.41</v>
      </c>
      <c r="H38" s="27">
        <v>1332.41</v>
      </c>
      <c r="I38" s="27">
        <v>-115976.18</v>
      </c>
      <c r="K38" s="3">
        <v>45749</v>
      </c>
      <c r="L38" s="3">
        <v>45838</v>
      </c>
      <c r="M38" t="s">
        <v>912</v>
      </c>
      <c r="N38" s="2">
        <v>45809</v>
      </c>
      <c r="O38">
        <v>51158534</v>
      </c>
      <c r="P38">
        <v>1</v>
      </c>
      <c r="Q38" s="3">
        <v>45820</v>
      </c>
      <c r="R38">
        <v>210</v>
      </c>
      <c r="S38" s="85">
        <v>1.55E+16</v>
      </c>
      <c r="T38" t="s">
        <v>913</v>
      </c>
      <c r="U38">
        <v>115976.18</v>
      </c>
      <c r="W38" s="79">
        <f t="shared" si="0"/>
        <v>-2.0001348552780407E-2</v>
      </c>
      <c r="X38">
        <f>VLOOKUP(D38,'[3]Customer TDS'!D:I,6,0)</f>
        <v>2319.6799999999998</v>
      </c>
      <c r="Y38" s="27">
        <f t="shared" si="1"/>
        <v>-113656.5</v>
      </c>
      <c r="Z38" t="s">
        <v>915</v>
      </c>
      <c r="AA38">
        <f>VLOOKUP(D38,'Ascendus DATA'!$F:$J,5,0)</f>
        <v>115508.3</v>
      </c>
      <c r="AB38" s="27">
        <f t="shared" si="2"/>
        <v>-467.8799999999901</v>
      </c>
    </row>
    <row r="39" spans="1:28" hidden="1" x14ac:dyDescent="0.35">
      <c r="A39" t="s">
        <v>910</v>
      </c>
      <c r="B39" t="s">
        <v>910</v>
      </c>
      <c r="C39" t="s">
        <v>438</v>
      </c>
      <c r="D39" s="4">
        <v>246779411595</v>
      </c>
      <c r="E39" s="3">
        <v>45733</v>
      </c>
      <c r="F39" t="s">
        <v>11</v>
      </c>
      <c r="G39">
        <v>-51.56</v>
      </c>
      <c r="H39">
        <v>51.56</v>
      </c>
      <c r="I39" s="27">
        <v>-4487.91</v>
      </c>
      <c r="K39" s="3">
        <v>45763</v>
      </c>
      <c r="L39" s="3">
        <v>45838</v>
      </c>
      <c r="M39" t="s">
        <v>912</v>
      </c>
      <c r="N39" s="2">
        <v>45809</v>
      </c>
      <c r="O39">
        <v>51158535</v>
      </c>
      <c r="P39">
        <v>1</v>
      </c>
      <c r="Q39" s="3">
        <v>45820</v>
      </c>
      <c r="R39">
        <v>210</v>
      </c>
      <c r="S39" s="85">
        <v>1.55E+16</v>
      </c>
      <c r="T39" t="s">
        <v>913</v>
      </c>
      <c r="U39">
        <v>4487.91</v>
      </c>
      <c r="W39" s="79">
        <f t="shared" si="0"/>
        <v>-1.9975890782123529E-2</v>
      </c>
      <c r="X39">
        <f>VLOOKUP(D39,'[3]Customer TDS'!D:I,6,0)</f>
        <v>89.65</v>
      </c>
      <c r="Y39" s="27">
        <f t="shared" si="1"/>
        <v>-4398.26</v>
      </c>
      <c r="Z39" t="s">
        <v>915</v>
      </c>
      <c r="AA39">
        <f>VLOOKUP(D39,'Ascendus DATA'!$F:$J,5,0)</f>
        <v>4469.8</v>
      </c>
      <c r="AB39" s="27">
        <f t="shared" si="2"/>
        <v>-18.109999999999673</v>
      </c>
    </row>
    <row r="40" spans="1:28" hidden="1" x14ac:dyDescent="0.35">
      <c r="A40" t="s">
        <v>910</v>
      </c>
      <c r="B40" t="s">
        <v>910</v>
      </c>
      <c r="C40" t="s">
        <v>438</v>
      </c>
      <c r="D40" s="4">
        <v>246779414663</v>
      </c>
      <c r="E40" s="3">
        <v>45736</v>
      </c>
      <c r="F40" t="s">
        <v>11</v>
      </c>
      <c r="G40">
        <v>-45</v>
      </c>
      <c r="H40">
        <v>45</v>
      </c>
      <c r="I40" s="27">
        <v>-3916.91</v>
      </c>
      <c r="K40" s="3">
        <v>45766</v>
      </c>
      <c r="L40" s="3">
        <v>45838</v>
      </c>
      <c r="M40" t="s">
        <v>912</v>
      </c>
      <c r="N40" s="2">
        <v>45809</v>
      </c>
      <c r="O40">
        <v>51158536</v>
      </c>
      <c r="P40">
        <v>1</v>
      </c>
      <c r="Q40" s="3">
        <v>45820</v>
      </c>
      <c r="R40">
        <v>210</v>
      </c>
      <c r="S40" s="85">
        <v>1.55E+16</v>
      </c>
      <c r="T40" t="s">
        <v>913</v>
      </c>
      <c r="U40">
        <v>3916.91</v>
      </c>
      <c r="W40" s="79">
        <f t="shared" si="0"/>
        <v>-2.0000459545917573E-2</v>
      </c>
      <c r="X40">
        <f>VLOOKUP(D40,'[3]Customer TDS'!D:I,6,0)</f>
        <v>78.34</v>
      </c>
      <c r="Y40" s="27">
        <f t="shared" si="1"/>
        <v>-3838.5699999999997</v>
      </c>
      <c r="Z40" t="s">
        <v>915</v>
      </c>
      <c r="AA40">
        <f>VLOOKUP(D40,'Ascendus DATA'!$F:$J,5,0)</f>
        <v>3901.11</v>
      </c>
      <c r="AB40" s="27">
        <f t="shared" si="2"/>
        <v>-15.799999999999727</v>
      </c>
    </row>
    <row r="41" spans="1:28" hidden="1" x14ac:dyDescent="0.35">
      <c r="A41" t="s">
        <v>910</v>
      </c>
      <c r="B41" t="s">
        <v>910</v>
      </c>
      <c r="C41" t="s">
        <v>438</v>
      </c>
      <c r="D41" s="4">
        <v>246779411594</v>
      </c>
      <c r="E41" s="3">
        <v>45733</v>
      </c>
      <c r="F41" t="s">
        <v>11</v>
      </c>
      <c r="G41">
        <v>-17.190000000000001</v>
      </c>
      <c r="H41">
        <v>17.190000000000001</v>
      </c>
      <c r="I41" s="27">
        <v>-1496.26</v>
      </c>
      <c r="K41" s="3">
        <v>45763</v>
      </c>
      <c r="L41" s="3">
        <v>45838</v>
      </c>
      <c r="M41" t="s">
        <v>912</v>
      </c>
      <c r="N41" s="2">
        <v>45809</v>
      </c>
      <c r="O41">
        <v>51158537</v>
      </c>
      <c r="P41">
        <v>1</v>
      </c>
      <c r="Q41" s="3">
        <v>45820</v>
      </c>
      <c r="R41">
        <v>210</v>
      </c>
      <c r="S41" s="85">
        <v>1.55E+16</v>
      </c>
      <c r="T41" t="s">
        <v>913</v>
      </c>
      <c r="U41">
        <v>1496.26</v>
      </c>
      <c r="W41" s="79">
        <f t="shared" si="0"/>
        <v>-1.9775974763744267E-2</v>
      </c>
      <c r="X41">
        <f>VLOOKUP(D41,'[3]Customer TDS'!D:I,6,0)</f>
        <v>29.59</v>
      </c>
      <c r="Y41" s="27">
        <f t="shared" si="1"/>
        <v>-1466.67</v>
      </c>
      <c r="Z41" t="s">
        <v>915</v>
      </c>
      <c r="AA41">
        <f>VLOOKUP(D41,'Ascendus DATA'!$F:$J,5,0)</f>
        <v>1490.22</v>
      </c>
      <c r="AB41" s="27">
        <f t="shared" si="2"/>
        <v>-6.0399999999999636</v>
      </c>
    </row>
    <row r="42" spans="1:28" hidden="1" x14ac:dyDescent="0.35">
      <c r="A42" t="s">
        <v>910</v>
      </c>
      <c r="B42" t="s">
        <v>910</v>
      </c>
      <c r="C42" t="s">
        <v>438</v>
      </c>
      <c r="D42" s="4">
        <v>246779410098</v>
      </c>
      <c r="E42" s="3">
        <v>45708</v>
      </c>
      <c r="F42" t="s">
        <v>11</v>
      </c>
      <c r="G42" s="27">
        <v>-2380.9499999999998</v>
      </c>
      <c r="H42" s="27">
        <v>2380.9499999999998</v>
      </c>
      <c r="I42" s="27">
        <v>-206046.42</v>
      </c>
      <c r="K42" s="3">
        <v>45738</v>
      </c>
      <c r="L42" s="3">
        <v>45838</v>
      </c>
      <c r="M42" t="s">
        <v>912</v>
      </c>
      <c r="N42" s="2">
        <v>45809</v>
      </c>
      <c r="O42">
        <v>51158538</v>
      </c>
      <c r="P42">
        <v>1</v>
      </c>
      <c r="Q42" s="3">
        <v>45820</v>
      </c>
      <c r="R42">
        <v>210</v>
      </c>
      <c r="S42" s="85">
        <v>1.55E+16</v>
      </c>
      <c r="T42" t="s">
        <v>913</v>
      </c>
      <c r="U42">
        <v>206046.42</v>
      </c>
      <c r="W42" s="79">
        <f t="shared" si="0"/>
        <v>-2.0000396027264146E-2</v>
      </c>
      <c r="X42">
        <f>VLOOKUP(D42,'[3]Customer TDS'!D:I,6,0)</f>
        <v>4121.01</v>
      </c>
      <c r="Y42" s="27">
        <f t="shared" si="1"/>
        <v>-201925.41</v>
      </c>
      <c r="Z42" t="s">
        <v>915</v>
      </c>
      <c r="AA42">
        <f>VLOOKUP(D42,'Ascendus DATA'!$F:$J,5,0)</f>
        <v>205484.7</v>
      </c>
      <c r="AB42" s="27">
        <f t="shared" si="2"/>
        <v>-561.72000000000116</v>
      </c>
    </row>
    <row r="43" spans="1:28" hidden="1" x14ac:dyDescent="0.35">
      <c r="A43" t="s">
        <v>910</v>
      </c>
      <c r="B43" t="s">
        <v>910</v>
      </c>
      <c r="C43" t="s">
        <v>438</v>
      </c>
      <c r="D43" s="4">
        <v>246779411599</v>
      </c>
      <c r="E43" s="3">
        <v>45733</v>
      </c>
      <c r="F43" t="s">
        <v>11</v>
      </c>
      <c r="G43">
        <v>-37.950000000000003</v>
      </c>
      <c r="H43">
        <v>37.950000000000003</v>
      </c>
      <c r="I43" s="27">
        <v>-3303.26</v>
      </c>
      <c r="K43" s="3">
        <v>45763</v>
      </c>
      <c r="L43" s="3">
        <v>45838</v>
      </c>
      <c r="M43" t="s">
        <v>912</v>
      </c>
      <c r="N43" s="2">
        <v>45809</v>
      </c>
      <c r="O43">
        <v>51158539</v>
      </c>
      <c r="P43">
        <v>1</v>
      </c>
      <c r="Q43" s="3">
        <v>45820</v>
      </c>
      <c r="R43">
        <v>210</v>
      </c>
      <c r="S43" s="85">
        <v>1.55E+16</v>
      </c>
      <c r="T43" t="s">
        <v>913</v>
      </c>
      <c r="U43">
        <v>3303.26</v>
      </c>
      <c r="W43" s="79">
        <f t="shared" si="0"/>
        <v>-2.0025671609258732E-2</v>
      </c>
      <c r="X43">
        <f>VLOOKUP(D43,'[3]Customer TDS'!D:I,6,0)</f>
        <v>66.150000000000006</v>
      </c>
      <c r="Y43" s="27">
        <f t="shared" si="1"/>
        <v>-3237.11</v>
      </c>
      <c r="Z43" t="s">
        <v>915</v>
      </c>
      <c r="AA43">
        <f>VLOOKUP(D43,'Ascendus DATA'!$F:$J,5,0)</f>
        <v>3289.93</v>
      </c>
      <c r="AB43" s="27">
        <f t="shared" si="2"/>
        <v>-13.330000000000382</v>
      </c>
    </row>
    <row r="44" spans="1:28" hidden="1" x14ac:dyDescent="0.35">
      <c r="A44" t="s">
        <v>910</v>
      </c>
      <c r="B44" t="s">
        <v>910</v>
      </c>
      <c r="C44" t="s">
        <v>438</v>
      </c>
      <c r="D44" s="4">
        <v>246779410132</v>
      </c>
      <c r="E44" s="3">
        <v>45708</v>
      </c>
      <c r="F44" t="s">
        <v>11</v>
      </c>
      <c r="G44">
        <v>-52.38</v>
      </c>
      <c r="H44">
        <v>52.38</v>
      </c>
      <c r="I44" s="27">
        <v>-4532.9399999999996</v>
      </c>
      <c r="K44" s="3">
        <v>45738</v>
      </c>
      <c r="L44" s="3">
        <v>45838</v>
      </c>
      <c r="M44" t="s">
        <v>912</v>
      </c>
      <c r="N44" s="2">
        <v>45809</v>
      </c>
      <c r="O44">
        <v>51158540</v>
      </c>
      <c r="P44">
        <v>1</v>
      </c>
      <c r="Q44" s="3">
        <v>45820</v>
      </c>
      <c r="R44">
        <v>210</v>
      </c>
      <c r="S44" s="85">
        <v>1.55E+16</v>
      </c>
      <c r="T44" t="s">
        <v>913</v>
      </c>
      <c r="U44">
        <v>4532.9399999999996</v>
      </c>
      <c r="W44" s="79">
        <f t="shared" si="0"/>
        <v>-2.0046592277859404E-2</v>
      </c>
      <c r="X44">
        <f>VLOOKUP(D44,'[3]Customer TDS'!D:I,6,0)</f>
        <v>90.87</v>
      </c>
      <c r="Y44" s="27">
        <f t="shared" si="1"/>
        <v>-4442.07</v>
      </c>
      <c r="Z44" t="s">
        <v>915</v>
      </c>
      <c r="AA44">
        <f>VLOOKUP(D44,'Ascendus DATA'!$F:$J,5,0)</f>
        <v>4520.59</v>
      </c>
      <c r="AB44" s="27">
        <f t="shared" si="2"/>
        <v>-12.349999999999454</v>
      </c>
    </row>
    <row r="45" spans="1:28" hidden="1" x14ac:dyDescent="0.35">
      <c r="A45" t="s">
        <v>910</v>
      </c>
      <c r="B45" t="s">
        <v>910</v>
      </c>
      <c r="C45" t="s">
        <v>438</v>
      </c>
      <c r="D45" s="4">
        <v>246779410413</v>
      </c>
      <c r="E45" s="3">
        <v>45719</v>
      </c>
      <c r="F45" t="s">
        <v>11</v>
      </c>
      <c r="G45">
        <v>-694.12</v>
      </c>
      <c r="H45">
        <v>694.12</v>
      </c>
      <c r="I45" s="27">
        <v>-60417.88</v>
      </c>
      <c r="K45" s="3">
        <v>45749</v>
      </c>
      <c r="L45" s="3">
        <v>45838</v>
      </c>
      <c r="M45" t="s">
        <v>912</v>
      </c>
      <c r="N45" s="2">
        <v>45809</v>
      </c>
      <c r="O45">
        <v>51158541</v>
      </c>
      <c r="P45">
        <v>1</v>
      </c>
      <c r="Q45" s="3">
        <v>45820</v>
      </c>
      <c r="R45">
        <v>210</v>
      </c>
      <c r="S45" s="85">
        <v>1.55E+16</v>
      </c>
      <c r="T45" t="s">
        <v>913</v>
      </c>
      <c r="U45">
        <v>60417.88</v>
      </c>
      <c r="W45" s="79">
        <f t="shared" si="0"/>
        <v>-1.9996563931074712E-2</v>
      </c>
      <c r="X45">
        <f>VLOOKUP(D45,'[3]Customer TDS'!D:I,6,0)</f>
        <v>1208.1500000000001</v>
      </c>
      <c r="Y45" s="27">
        <f t="shared" si="1"/>
        <v>-59209.729999999996</v>
      </c>
      <c r="Z45" t="s">
        <v>915</v>
      </c>
      <c r="AA45">
        <f>VLOOKUP(D45,'Ascendus DATA'!$F:$J,5,0)</f>
        <v>60174.14</v>
      </c>
      <c r="AB45" s="27">
        <f t="shared" si="2"/>
        <v>-243.73999999999796</v>
      </c>
    </row>
    <row r="46" spans="1:28" hidden="1" x14ac:dyDescent="0.35">
      <c r="A46" t="s">
        <v>910</v>
      </c>
      <c r="B46" t="s">
        <v>910</v>
      </c>
      <c r="C46" t="s">
        <v>438</v>
      </c>
      <c r="D46" s="4">
        <v>246779410131</v>
      </c>
      <c r="E46" s="3">
        <v>45708</v>
      </c>
      <c r="F46" t="s">
        <v>11</v>
      </c>
      <c r="G46">
        <v>-95.24</v>
      </c>
      <c r="H46">
        <v>95.24</v>
      </c>
      <c r="I46" s="27">
        <v>-8242.0300000000007</v>
      </c>
      <c r="K46" s="3">
        <v>45738</v>
      </c>
      <c r="L46" s="3">
        <v>45838</v>
      </c>
      <c r="M46" t="s">
        <v>912</v>
      </c>
      <c r="N46" s="2">
        <v>45809</v>
      </c>
      <c r="O46">
        <v>51158542</v>
      </c>
      <c r="P46">
        <v>1</v>
      </c>
      <c r="Q46" s="3">
        <v>45820</v>
      </c>
      <c r="R46">
        <v>210</v>
      </c>
      <c r="S46" s="85">
        <v>1.55E+16</v>
      </c>
      <c r="T46" t="s">
        <v>913</v>
      </c>
      <c r="U46">
        <v>8242.0300000000007</v>
      </c>
      <c r="W46" s="79">
        <f t="shared" si="0"/>
        <v>-1.995018217599305E-2</v>
      </c>
      <c r="X46">
        <f>VLOOKUP(D46,'[3]Customer TDS'!D:I,6,0)</f>
        <v>164.43</v>
      </c>
      <c r="Y46" s="27">
        <f t="shared" si="1"/>
        <v>-8077.6</v>
      </c>
      <c r="Z46" t="s">
        <v>915</v>
      </c>
      <c r="AA46">
        <f>VLOOKUP(D46,'Ascendus DATA'!$F:$J,5,0)</f>
        <v>8219.56</v>
      </c>
      <c r="AB46" s="27">
        <f t="shared" si="2"/>
        <v>-22.470000000001164</v>
      </c>
    </row>
    <row r="47" spans="1:28" hidden="1" x14ac:dyDescent="0.35">
      <c r="A47" t="s">
        <v>910</v>
      </c>
      <c r="B47" t="s">
        <v>910</v>
      </c>
      <c r="C47" t="s">
        <v>438</v>
      </c>
      <c r="D47" s="4">
        <v>246779412111</v>
      </c>
      <c r="E47" s="3">
        <v>45733</v>
      </c>
      <c r="F47" t="s">
        <v>11</v>
      </c>
      <c r="G47">
        <v>-420.46</v>
      </c>
      <c r="H47">
        <v>420.46</v>
      </c>
      <c r="I47" s="27">
        <v>-36597.85</v>
      </c>
      <c r="K47" s="3">
        <v>45763</v>
      </c>
      <c r="L47" s="3">
        <v>45838</v>
      </c>
      <c r="M47" t="s">
        <v>912</v>
      </c>
      <c r="N47" s="2">
        <v>45809</v>
      </c>
      <c r="O47">
        <v>51158543</v>
      </c>
      <c r="P47">
        <v>1</v>
      </c>
      <c r="Q47" s="3">
        <v>45820</v>
      </c>
      <c r="R47">
        <v>210</v>
      </c>
      <c r="S47" s="85">
        <v>1.55E+16</v>
      </c>
      <c r="T47" t="s">
        <v>913</v>
      </c>
      <c r="U47">
        <v>36597.85</v>
      </c>
      <c r="W47" s="79">
        <f t="shared" si="0"/>
        <v>-2.0001994652691348E-2</v>
      </c>
      <c r="X47">
        <f>VLOOKUP(D47,'[3]Customer TDS'!D:I,6,0)</f>
        <v>732.03</v>
      </c>
      <c r="Y47" s="27">
        <f t="shared" si="1"/>
        <v>-35865.82</v>
      </c>
      <c r="Z47" t="s">
        <v>915</v>
      </c>
      <c r="AA47">
        <f>VLOOKUP(D47,'Ascendus DATA'!$F:$J,5,0)</f>
        <v>36450.21</v>
      </c>
      <c r="AB47" s="27">
        <f t="shared" si="2"/>
        <v>-147.63999999999942</v>
      </c>
    </row>
    <row r="48" spans="1:28" hidden="1" x14ac:dyDescent="0.35">
      <c r="A48" t="s">
        <v>910</v>
      </c>
      <c r="B48" t="s">
        <v>910</v>
      </c>
      <c r="C48" t="s">
        <v>438</v>
      </c>
      <c r="D48" s="4">
        <v>246779411895</v>
      </c>
      <c r="E48" s="3">
        <v>45733</v>
      </c>
      <c r="F48" t="s">
        <v>11</v>
      </c>
      <c r="G48">
        <v>-4.26</v>
      </c>
      <c r="H48">
        <v>4.26</v>
      </c>
      <c r="I48">
        <v>-370.8</v>
      </c>
      <c r="K48" s="3">
        <v>45763</v>
      </c>
      <c r="L48" s="3">
        <v>45838</v>
      </c>
      <c r="M48" t="s">
        <v>912</v>
      </c>
      <c r="N48" s="2">
        <v>45809</v>
      </c>
      <c r="O48">
        <v>51158544</v>
      </c>
      <c r="P48">
        <v>1</v>
      </c>
      <c r="Q48" s="3">
        <v>45820</v>
      </c>
      <c r="R48">
        <v>210</v>
      </c>
      <c r="S48" s="85">
        <v>1.55E+16</v>
      </c>
      <c r="T48" t="s">
        <v>913</v>
      </c>
      <c r="U48">
        <v>370.8</v>
      </c>
      <c r="W48" s="79">
        <f t="shared" si="0"/>
        <v>-2.1116504854368931E-2</v>
      </c>
      <c r="X48">
        <f>VLOOKUP(D48,'[3]Customer TDS'!D:I,6,0)</f>
        <v>7.83</v>
      </c>
      <c r="Y48" s="27">
        <f t="shared" si="1"/>
        <v>-362.97</v>
      </c>
      <c r="Z48" t="s">
        <v>915</v>
      </c>
      <c r="AA48">
        <f>VLOOKUP(D48,'Ascendus DATA'!$F:$J,5,0)</f>
        <v>369.3</v>
      </c>
      <c r="AB48" s="27">
        <f t="shared" si="2"/>
        <v>-1.5</v>
      </c>
    </row>
    <row r="49" spans="1:28" hidden="1" x14ac:dyDescent="0.35">
      <c r="A49" t="s">
        <v>910</v>
      </c>
      <c r="B49" t="s">
        <v>910</v>
      </c>
      <c r="C49" t="s">
        <v>438</v>
      </c>
      <c r="D49" s="4">
        <v>246779412046</v>
      </c>
      <c r="E49" s="3">
        <v>45733</v>
      </c>
      <c r="F49" t="s">
        <v>11</v>
      </c>
      <c r="G49">
        <v>-16.82</v>
      </c>
      <c r="H49">
        <v>16.82</v>
      </c>
      <c r="I49" s="27">
        <v>-1464.05</v>
      </c>
      <c r="K49" s="3">
        <v>45763</v>
      </c>
      <c r="L49" s="3">
        <v>45838</v>
      </c>
      <c r="M49" t="s">
        <v>912</v>
      </c>
      <c r="N49" s="2">
        <v>45809</v>
      </c>
      <c r="O49">
        <v>51158545</v>
      </c>
      <c r="P49">
        <v>1</v>
      </c>
      <c r="Q49" s="3">
        <v>45820</v>
      </c>
      <c r="R49">
        <v>210</v>
      </c>
      <c r="S49" s="85">
        <v>1.55E+16</v>
      </c>
      <c r="T49" t="s">
        <v>913</v>
      </c>
      <c r="U49">
        <v>1464.05</v>
      </c>
      <c r="W49" s="79">
        <f t="shared" si="0"/>
        <v>-2.0211058365492984E-2</v>
      </c>
      <c r="X49">
        <f>VLOOKUP(D49,'[3]Customer TDS'!D:I,6,0)</f>
        <v>29.59</v>
      </c>
      <c r="Y49" s="27">
        <f t="shared" si="1"/>
        <v>-1434.46</v>
      </c>
      <c r="Z49" t="s">
        <v>915</v>
      </c>
      <c r="AA49">
        <f>VLOOKUP(D49,'Ascendus DATA'!$F:$J,5,0)</f>
        <v>1458.15</v>
      </c>
      <c r="AB49" s="27">
        <f t="shared" si="2"/>
        <v>-5.8999999999998636</v>
      </c>
    </row>
    <row r="50" spans="1:28" hidden="1" x14ac:dyDescent="0.35">
      <c r="A50" t="s">
        <v>910</v>
      </c>
      <c r="B50" t="s">
        <v>910</v>
      </c>
      <c r="C50" t="s">
        <v>438</v>
      </c>
      <c r="D50" s="4">
        <v>246779411897</v>
      </c>
      <c r="E50" s="3">
        <v>45733</v>
      </c>
      <c r="F50" t="s">
        <v>11</v>
      </c>
      <c r="G50">
        <v>-22.72</v>
      </c>
      <c r="H50">
        <v>22.72</v>
      </c>
      <c r="I50" s="27">
        <v>-1977.6</v>
      </c>
      <c r="K50" s="3">
        <v>45763</v>
      </c>
      <c r="L50" s="3">
        <v>45838</v>
      </c>
      <c r="M50" t="s">
        <v>912</v>
      </c>
      <c r="N50" s="2">
        <v>45809</v>
      </c>
      <c r="O50">
        <v>51158546</v>
      </c>
      <c r="P50">
        <v>1</v>
      </c>
      <c r="Q50" s="3">
        <v>45820</v>
      </c>
      <c r="R50">
        <v>210</v>
      </c>
      <c r="S50" s="85">
        <v>1.55E+16</v>
      </c>
      <c r="T50" t="s">
        <v>913</v>
      </c>
      <c r="U50">
        <v>1977.6</v>
      </c>
      <c r="W50" s="79">
        <f t="shared" si="0"/>
        <v>-1.9806836569579291E-2</v>
      </c>
      <c r="X50">
        <f>VLOOKUP(D50,'[3]Customer TDS'!D:I,6,0)</f>
        <v>39.17</v>
      </c>
      <c r="Y50" s="27">
        <f t="shared" si="1"/>
        <v>-1938.4299999999998</v>
      </c>
      <c r="Z50" t="s">
        <v>915</v>
      </c>
      <c r="AA50">
        <f>VLOOKUP(D50,'Ascendus DATA'!$F:$J,5,0)</f>
        <v>1969.63</v>
      </c>
      <c r="AB50" s="27">
        <f t="shared" si="2"/>
        <v>-7.9699999999997999</v>
      </c>
    </row>
    <row r="51" spans="1:28" hidden="1" x14ac:dyDescent="0.35">
      <c r="A51" t="s">
        <v>910</v>
      </c>
      <c r="B51" t="s">
        <v>910</v>
      </c>
      <c r="C51" t="s">
        <v>438</v>
      </c>
      <c r="D51" s="4">
        <v>246779412044</v>
      </c>
      <c r="E51" s="3">
        <v>45733</v>
      </c>
      <c r="F51" t="s">
        <v>11</v>
      </c>
      <c r="G51">
        <v>-30.37</v>
      </c>
      <c r="H51">
        <v>30.37</v>
      </c>
      <c r="I51" s="27">
        <v>-2643.48</v>
      </c>
      <c r="K51" s="3">
        <v>45763</v>
      </c>
      <c r="L51" s="3">
        <v>45838</v>
      </c>
      <c r="M51" t="s">
        <v>912</v>
      </c>
      <c r="N51" s="2">
        <v>45809</v>
      </c>
      <c r="O51">
        <v>51158547</v>
      </c>
      <c r="P51">
        <v>1</v>
      </c>
      <c r="Q51" s="3">
        <v>45820</v>
      </c>
      <c r="R51">
        <v>210</v>
      </c>
      <c r="S51" s="85">
        <v>1.55E+16</v>
      </c>
      <c r="T51" t="s">
        <v>913</v>
      </c>
      <c r="U51">
        <v>2643.48</v>
      </c>
      <c r="W51" s="79">
        <f t="shared" si="0"/>
        <v>-2.0087157837396161E-2</v>
      </c>
      <c r="X51">
        <f>VLOOKUP(D51,'[3]Customer TDS'!D:I,6,0)</f>
        <v>53.1</v>
      </c>
      <c r="Y51" s="27">
        <f t="shared" si="1"/>
        <v>-2590.38</v>
      </c>
      <c r="Z51" t="s">
        <v>915</v>
      </c>
      <c r="AA51">
        <f>VLOOKUP(D51,'Ascendus DATA'!$F:$J,5,0)</f>
        <v>2632.81</v>
      </c>
      <c r="AB51" s="27">
        <f t="shared" si="2"/>
        <v>-10.670000000000073</v>
      </c>
    </row>
    <row r="52" spans="1:28" hidden="1" x14ac:dyDescent="0.35">
      <c r="A52" t="s">
        <v>910</v>
      </c>
      <c r="B52" t="s">
        <v>910</v>
      </c>
      <c r="C52" t="s">
        <v>438</v>
      </c>
      <c r="D52" s="4">
        <v>246779411898</v>
      </c>
      <c r="E52" s="3">
        <v>45733</v>
      </c>
      <c r="F52" t="s">
        <v>11</v>
      </c>
      <c r="G52">
        <v>-7.1</v>
      </c>
      <c r="H52">
        <v>7.1</v>
      </c>
      <c r="I52">
        <v>-618</v>
      </c>
      <c r="K52" s="3">
        <v>45763</v>
      </c>
      <c r="L52" s="3">
        <v>45838</v>
      </c>
      <c r="M52" t="s">
        <v>912</v>
      </c>
      <c r="N52" s="2">
        <v>45809</v>
      </c>
      <c r="O52">
        <v>51158548</v>
      </c>
      <c r="P52">
        <v>1</v>
      </c>
      <c r="Q52" s="3">
        <v>45820</v>
      </c>
      <c r="R52">
        <v>210</v>
      </c>
      <c r="S52" s="85">
        <v>1.55E+16</v>
      </c>
      <c r="T52" t="s">
        <v>913</v>
      </c>
      <c r="U52">
        <v>618</v>
      </c>
      <c r="W52" s="79">
        <f t="shared" si="0"/>
        <v>-1.9724919093851132E-2</v>
      </c>
      <c r="X52">
        <f>VLOOKUP(D52,'[3]Customer TDS'!D:I,6,0)</f>
        <v>12.19</v>
      </c>
      <c r="Y52" s="27">
        <f t="shared" si="1"/>
        <v>-605.80999999999995</v>
      </c>
      <c r="Z52" t="s">
        <v>915</v>
      </c>
      <c r="AA52">
        <f>VLOOKUP(D52,'Ascendus DATA'!$F:$J,5,0)</f>
        <v>615.51</v>
      </c>
      <c r="AB52" s="27">
        <f t="shared" si="2"/>
        <v>-2.4900000000000091</v>
      </c>
    </row>
    <row r="53" spans="1:28" hidden="1" x14ac:dyDescent="0.35">
      <c r="A53" t="s">
        <v>910</v>
      </c>
      <c r="B53" t="s">
        <v>910</v>
      </c>
      <c r="C53" t="s">
        <v>438</v>
      </c>
      <c r="D53" s="4">
        <v>246779412043</v>
      </c>
      <c r="E53" s="3">
        <v>45733</v>
      </c>
      <c r="F53" t="s">
        <v>11</v>
      </c>
      <c r="G53">
        <v>-16.82</v>
      </c>
      <c r="H53">
        <v>16.82</v>
      </c>
      <c r="I53" s="27">
        <v>-1464.05</v>
      </c>
      <c r="K53" s="3">
        <v>45763</v>
      </c>
      <c r="L53" s="3">
        <v>45838</v>
      </c>
      <c r="M53" t="s">
        <v>912</v>
      </c>
      <c r="N53" s="2">
        <v>45809</v>
      </c>
      <c r="O53">
        <v>51158549</v>
      </c>
      <c r="P53">
        <v>1</v>
      </c>
      <c r="Q53" s="3">
        <v>45820</v>
      </c>
      <c r="R53">
        <v>210</v>
      </c>
      <c r="S53" s="85">
        <v>1.55E+16</v>
      </c>
      <c r="T53" t="s">
        <v>913</v>
      </c>
      <c r="U53">
        <v>1464.05</v>
      </c>
      <c r="W53" s="79">
        <f t="shared" si="0"/>
        <v>-2.0211058365492984E-2</v>
      </c>
      <c r="X53">
        <f>VLOOKUP(D53,'[3]Customer TDS'!D:I,6,0)</f>
        <v>29.59</v>
      </c>
      <c r="Y53" s="27">
        <f t="shared" si="1"/>
        <v>-1434.46</v>
      </c>
      <c r="Z53" t="s">
        <v>915</v>
      </c>
      <c r="AA53">
        <f>VLOOKUP(D53,'Ascendus DATA'!$F:$J,5,0)</f>
        <v>1458.15</v>
      </c>
      <c r="AB53" s="27">
        <f t="shared" si="2"/>
        <v>-5.8999999999998636</v>
      </c>
    </row>
    <row r="54" spans="1:28" hidden="1" x14ac:dyDescent="0.35">
      <c r="A54" t="s">
        <v>910</v>
      </c>
      <c r="B54" t="s">
        <v>910</v>
      </c>
      <c r="C54" t="s">
        <v>438</v>
      </c>
      <c r="D54" s="4">
        <v>246779411915</v>
      </c>
      <c r="E54" s="3">
        <v>45733</v>
      </c>
      <c r="F54" t="s">
        <v>11</v>
      </c>
      <c r="G54">
        <v>-23.17</v>
      </c>
      <c r="H54">
        <v>23.17</v>
      </c>
      <c r="I54" s="27">
        <v>-2016.77</v>
      </c>
      <c r="K54" s="3">
        <v>45763</v>
      </c>
      <c r="L54" s="3">
        <v>45838</v>
      </c>
      <c r="M54" t="s">
        <v>912</v>
      </c>
      <c r="N54" s="2">
        <v>45809</v>
      </c>
      <c r="O54">
        <v>51158550</v>
      </c>
      <c r="P54">
        <v>1</v>
      </c>
      <c r="Q54" s="3">
        <v>45820</v>
      </c>
      <c r="R54">
        <v>210</v>
      </c>
      <c r="S54" s="85">
        <v>1.55E+16</v>
      </c>
      <c r="T54" t="s">
        <v>913</v>
      </c>
      <c r="U54">
        <v>2016.77</v>
      </c>
      <c r="W54" s="79">
        <f t="shared" si="0"/>
        <v>-1.9853528166325362E-2</v>
      </c>
      <c r="X54">
        <f>VLOOKUP(D54,'[3]Customer TDS'!D:I,6,0)</f>
        <v>40.04</v>
      </c>
      <c r="Y54" s="27">
        <f t="shared" si="1"/>
        <v>-1976.73</v>
      </c>
      <c r="Z54" t="s">
        <v>915</v>
      </c>
      <c r="AA54">
        <f>VLOOKUP(D54,'Ascendus DATA'!$F:$J,5,0)</f>
        <v>2008.64</v>
      </c>
      <c r="AB54" s="27">
        <f t="shared" si="2"/>
        <v>-8.1299999999998818</v>
      </c>
    </row>
    <row r="55" spans="1:28" hidden="1" x14ac:dyDescent="0.35">
      <c r="A55" t="s">
        <v>910</v>
      </c>
      <c r="B55" t="s">
        <v>910</v>
      </c>
      <c r="C55" t="s">
        <v>438</v>
      </c>
      <c r="D55" s="4">
        <v>246779412041</v>
      </c>
      <c r="E55" s="3">
        <v>45733</v>
      </c>
      <c r="F55" t="s">
        <v>11</v>
      </c>
      <c r="G55">
        <v>-33.64</v>
      </c>
      <c r="H55">
        <v>33.64</v>
      </c>
      <c r="I55" s="27">
        <v>-2928.11</v>
      </c>
      <c r="J55" t="s">
        <v>134</v>
      </c>
      <c r="K55" s="3">
        <v>45763</v>
      </c>
      <c r="L55" s="3">
        <v>45838</v>
      </c>
      <c r="M55" t="s">
        <v>912</v>
      </c>
      <c r="N55" s="2">
        <v>45809</v>
      </c>
      <c r="O55">
        <v>51158551</v>
      </c>
      <c r="P55">
        <v>1</v>
      </c>
      <c r="Q55" s="3">
        <v>45820</v>
      </c>
      <c r="R55">
        <v>210</v>
      </c>
      <c r="S55" s="85">
        <v>1.55E+16</v>
      </c>
      <c r="T55" t="s">
        <v>913</v>
      </c>
      <c r="U55">
        <v>2928.11</v>
      </c>
      <c r="W55" s="79">
        <f t="shared" si="0"/>
        <v>-1.9917284528245181E-2</v>
      </c>
      <c r="X55">
        <f>VLOOKUP(D55,'[3]Customer TDS'!D:I,6,0)</f>
        <v>58.32</v>
      </c>
      <c r="Y55" s="27">
        <f t="shared" si="1"/>
        <v>-2869.79</v>
      </c>
      <c r="Z55" t="s">
        <v>915</v>
      </c>
      <c r="AA55">
        <f>VLOOKUP(D55,'Ascendus DATA'!$F:$J,5,0)</f>
        <v>2916.29</v>
      </c>
      <c r="AB55" s="27">
        <f t="shared" si="2"/>
        <v>-11.820000000000164</v>
      </c>
    </row>
    <row r="56" spans="1:28" hidden="1" x14ac:dyDescent="0.35">
      <c r="A56" t="s">
        <v>910</v>
      </c>
      <c r="B56" t="s">
        <v>910</v>
      </c>
      <c r="C56" t="s">
        <v>438</v>
      </c>
      <c r="D56" s="4">
        <v>246779411900</v>
      </c>
      <c r="E56" s="3">
        <v>45733</v>
      </c>
      <c r="F56" t="s">
        <v>11</v>
      </c>
      <c r="G56">
        <v>-73.849999999999994</v>
      </c>
      <c r="H56">
        <v>73.849999999999994</v>
      </c>
      <c r="I56" s="27">
        <v>-6428.08</v>
      </c>
      <c r="K56" s="3">
        <v>45763</v>
      </c>
      <c r="L56" s="3">
        <v>45838</v>
      </c>
      <c r="M56" t="s">
        <v>912</v>
      </c>
      <c r="N56" s="2">
        <v>45809</v>
      </c>
      <c r="O56">
        <v>51158552</v>
      </c>
      <c r="P56">
        <v>1</v>
      </c>
      <c r="Q56" s="3">
        <v>45820</v>
      </c>
      <c r="R56">
        <v>210</v>
      </c>
      <c r="S56" s="85">
        <v>1.55E+16</v>
      </c>
      <c r="T56" t="s">
        <v>913</v>
      </c>
      <c r="U56">
        <v>6428.08</v>
      </c>
      <c r="W56" s="79">
        <f t="shared" si="0"/>
        <v>-2.0040198628517379E-2</v>
      </c>
      <c r="X56">
        <f>VLOOKUP(D56,'[3]Customer TDS'!D:I,6,0)</f>
        <v>128.82</v>
      </c>
      <c r="Y56" s="27">
        <f t="shared" si="1"/>
        <v>-6299.26</v>
      </c>
      <c r="Z56" t="s">
        <v>915</v>
      </c>
      <c r="AA56">
        <f>VLOOKUP(D56,'Ascendus DATA'!$F:$J,5,0)</f>
        <v>6402.15</v>
      </c>
      <c r="AB56" s="27">
        <f t="shared" si="2"/>
        <v>-25.930000000000291</v>
      </c>
    </row>
    <row r="57" spans="1:28" hidden="1" x14ac:dyDescent="0.35">
      <c r="A57" t="s">
        <v>910</v>
      </c>
      <c r="B57" t="s">
        <v>910</v>
      </c>
      <c r="C57" t="s">
        <v>438</v>
      </c>
      <c r="D57" s="4">
        <v>246779412048</v>
      </c>
      <c r="E57" s="3">
        <v>45733</v>
      </c>
      <c r="F57" t="s">
        <v>11</v>
      </c>
      <c r="G57">
        <v>-22.78</v>
      </c>
      <c r="H57">
        <v>22.78</v>
      </c>
      <c r="I57" s="27">
        <v>-1982.83</v>
      </c>
      <c r="K57" s="3">
        <v>45763</v>
      </c>
      <c r="L57" s="3">
        <v>45838</v>
      </c>
      <c r="M57" t="s">
        <v>912</v>
      </c>
      <c r="N57" s="2">
        <v>45809</v>
      </c>
      <c r="O57">
        <v>51158554</v>
      </c>
      <c r="P57">
        <v>1</v>
      </c>
      <c r="Q57" s="3">
        <v>45820</v>
      </c>
      <c r="R57">
        <v>210</v>
      </c>
      <c r="S57" s="85">
        <v>1.55E+16</v>
      </c>
      <c r="T57" t="s">
        <v>913</v>
      </c>
      <c r="U57">
        <v>1982.83</v>
      </c>
      <c r="W57" s="79">
        <f t="shared" si="0"/>
        <v>-2.0193359995561898E-2</v>
      </c>
      <c r="X57">
        <f>VLOOKUP(D57,'[3]Customer TDS'!D:I,6,0)</f>
        <v>40.04</v>
      </c>
      <c r="Y57" s="27">
        <f t="shared" si="1"/>
        <v>-1942.79</v>
      </c>
      <c r="Z57" t="s">
        <v>915</v>
      </c>
      <c r="AA57">
        <f>VLOOKUP(D57,'Ascendus DATA'!$F:$J,5,0)</f>
        <v>1974.83</v>
      </c>
      <c r="AB57" s="27">
        <f t="shared" si="2"/>
        <v>-8</v>
      </c>
    </row>
    <row r="58" spans="1:28" hidden="1" x14ac:dyDescent="0.35">
      <c r="A58" t="s">
        <v>910</v>
      </c>
      <c r="B58" t="s">
        <v>910</v>
      </c>
      <c r="C58" t="s">
        <v>438</v>
      </c>
      <c r="D58" s="4">
        <v>246779411903</v>
      </c>
      <c r="E58" s="3">
        <v>45733</v>
      </c>
      <c r="F58" t="s">
        <v>11</v>
      </c>
      <c r="G58">
        <v>-3.55</v>
      </c>
      <c r="H58">
        <v>3.55</v>
      </c>
      <c r="I58">
        <v>-309</v>
      </c>
      <c r="K58" s="3">
        <v>45763</v>
      </c>
      <c r="L58" s="3">
        <v>45838</v>
      </c>
      <c r="M58" t="s">
        <v>912</v>
      </c>
      <c r="N58" s="2">
        <v>45809</v>
      </c>
      <c r="O58">
        <v>51158555</v>
      </c>
      <c r="P58">
        <v>1</v>
      </c>
      <c r="Q58" s="3">
        <v>45820</v>
      </c>
      <c r="R58">
        <v>210</v>
      </c>
      <c r="S58" s="85">
        <v>1.55E+16</v>
      </c>
      <c r="T58" t="s">
        <v>913</v>
      </c>
      <c r="U58">
        <v>309</v>
      </c>
      <c r="W58" s="79">
        <f t="shared" si="0"/>
        <v>-1.9708737864077671E-2</v>
      </c>
      <c r="X58">
        <f>VLOOKUP(D58,'[3]Customer TDS'!D:I,6,0)</f>
        <v>6.09</v>
      </c>
      <c r="Y58" s="27">
        <f t="shared" si="1"/>
        <v>-302.91000000000003</v>
      </c>
      <c r="Z58" t="s">
        <v>915</v>
      </c>
      <c r="AA58">
        <f>VLOOKUP(D58,'Ascendus DATA'!$F:$J,5,0)</f>
        <v>307.75</v>
      </c>
      <c r="AB58" s="27">
        <f t="shared" si="2"/>
        <v>-1.25</v>
      </c>
    </row>
    <row r="59" spans="1:28" hidden="1" x14ac:dyDescent="0.35">
      <c r="A59" t="s">
        <v>910</v>
      </c>
      <c r="B59" t="s">
        <v>910</v>
      </c>
      <c r="C59" t="s">
        <v>438</v>
      </c>
      <c r="D59" s="4">
        <v>246779411910</v>
      </c>
      <c r="E59" s="3">
        <v>45733</v>
      </c>
      <c r="F59" t="s">
        <v>11</v>
      </c>
      <c r="G59">
        <v>-28.41</v>
      </c>
      <c r="H59">
        <v>28.41</v>
      </c>
      <c r="I59" s="27">
        <v>-2472.88</v>
      </c>
      <c r="K59" s="3">
        <v>45763</v>
      </c>
      <c r="L59" s="3">
        <v>45838</v>
      </c>
      <c r="M59" t="s">
        <v>912</v>
      </c>
      <c r="N59" s="2">
        <v>45809</v>
      </c>
      <c r="O59">
        <v>51158556</v>
      </c>
      <c r="P59">
        <v>1</v>
      </c>
      <c r="Q59" s="3">
        <v>45820</v>
      </c>
      <c r="R59">
        <v>210</v>
      </c>
      <c r="S59" s="85">
        <v>1.55E+16</v>
      </c>
      <c r="T59" t="s">
        <v>913</v>
      </c>
      <c r="U59">
        <v>2472.88</v>
      </c>
      <c r="W59" s="79">
        <f t="shared" si="0"/>
        <v>-2.0061628546472129E-2</v>
      </c>
      <c r="X59">
        <f>VLOOKUP(D59,'[3]Customer TDS'!D:I,6,0)</f>
        <v>49.61</v>
      </c>
      <c r="Y59" s="27">
        <f t="shared" si="1"/>
        <v>-2423.27</v>
      </c>
      <c r="Z59" t="s">
        <v>915</v>
      </c>
      <c r="AA59">
        <f>VLOOKUP(D59,'Ascendus DATA'!$F:$J,5,0)</f>
        <v>2462.9</v>
      </c>
      <c r="AB59" s="27">
        <f t="shared" si="2"/>
        <v>-9.9800000000000182</v>
      </c>
    </row>
    <row r="60" spans="1:28" hidden="1" x14ac:dyDescent="0.35">
      <c r="A60" t="s">
        <v>910</v>
      </c>
      <c r="B60" t="s">
        <v>910</v>
      </c>
      <c r="C60" t="s">
        <v>438</v>
      </c>
      <c r="D60" s="4">
        <v>246779411598</v>
      </c>
      <c r="E60" s="3">
        <v>45733</v>
      </c>
      <c r="F60" t="s">
        <v>11</v>
      </c>
      <c r="G60">
        <v>-91.66</v>
      </c>
      <c r="H60">
        <v>91.66</v>
      </c>
      <c r="I60" s="27">
        <v>-7978.31</v>
      </c>
      <c r="K60" s="3">
        <v>45763</v>
      </c>
      <c r="L60" s="3">
        <v>45838</v>
      </c>
      <c r="M60" t="s">
        <v>912</v>
      </c>
      <c r="N60" s="2">
        <v>45809</v>
      </c>
      <c r="O60">
        <v>51158557</v>
      </c>
      <c r="P60">
        <v>1</v>
      </c>
      <c r="Q60" s="3">
        <v>45820</v>
      </c>
      <c r="R60">
        <v>210</v>
      </c>
      <c r="S60" s="85">
        <v>1.55E+16</v>
      </c>
      <c r="T60" t="s">
        <v>913</v>
      </c>
      <c r="U60">
        <v>7978.31</v>
      </c>
      <c r="W60" s="79">
        <f t="shared" si="0"/>
        <v>-1.9965381139614779E-2</v>
      </c>
      <c r="X60">
        <f>VLOOKUP(D60,'[3]Customer TDS'!D:I,6,0)</f>
        <v>159.29</v>
      </c>
      <c r="Y60" s="27">
        <f t="shared" si="1"/>
        <v>-7819.02</v>
      </c>
      <c r="Z60" t="s">
        <v>915</v>
      </c>
      <c r="AA60">
        <f>VLOOKUP(D60,'Ascendus DATA'!$F:$J,5,0)</f>
        <v>7946.12</v>
      </c>
      <c r="AB60" s="27">
        <f t="shared" si="2"/>
        <v>-32.190000000000509</v>
      </c>
    </row>
    <row r="61" spans="1:28" hidden="1" x14ac:dyDescent="0.35">
      <c r="A61" t="s">
        <v>910</v>
      </c>
      <c r="B61" t="s">
        <v>910</v>
      </c>
      <c r="C61" t="s">
        <v>438</v>
      </c>
      <c r="D61" s="4">
        <v>246779411593</v>
      </c>
      <c r="E61" s="3">
        <v>45733</v>
      </c>
      <c r="F61" t="s">
        <v>11</v>
      </c>
      <c r="G61">
        <v>-40.1</v>
      </c>
      <c r="H61">
        <v>40.1</v>
      </c>
      <c r="I61" s="27">
        <v>-3490.4</v>
      </c>
      <c r="K61" s="3">
        <v>45763</v>
      </c>
      <c r="L61" s="3">
        <v>45838</v>
      </c>
      <c r="M61" t="s">
        <v>912</v>
      </c>
      <c r="N61" s="2">
        <v>45809</v>
      </c>
      <c r="O61">
        <v>51158558</v>
      </c>
      <c r="P61">
        <v>1</v>
      </c>
      <c r="Q61" s="3">
        <v>45820</v>
      </c>
      <c r="R61">
        <v>210</v>
      </c>
      <c r="S61" s="85">
        <v>1.55E+16</v>
      </c>
      <c r="T61" t="s">
        <v>913</v>
      </c>
      <c r="U61">
        <v>3490.4</v>
      </c>
      <c r="W61" s="79">
        <f t="shared" si="0"/>
        <v>-1.9949002979601189E-2</v>
      </c>
      <c r="X61">
        <f>VLOOKUP(D61,'[3]Customer TDS'!D:I,6,0)</f>
        <v>69.63</v>
      </c>
      <c r="Y61" s="27">
        <f t="shared" si="1"/>
        <v>-3420.77</v>
      </c>
      <c r="Z61" t="s">
        <v>915</v>
      </c>
      <c r="AA61">
        <f>VLOOKUP(D61,'Ascendus DATA'!$F:$J,5,0)</f>
        <v>3476.32</v>
      </c>
      <c r="AB61" s="27">
        <f t="shared" si="2"/>
        <v>-14.079999999999927</v>
      </c>
    </row>
    <row r="62" spans="1:28" hidden="1" x14ac:dyDescent="0.35">
      <c r="A62" t="s">
        <v>910</v>
      </c>
      <c r="B62" t="s">
        <v>910</v>
      </c>
      <c r="C62" t="s">
        <v>438</v>
      </c>
      <c r="D62" s="4">
        <v>246779412045</v>
      </c>
      <c r="E62" s="3">
        <v>45733</v>
      </c>
      <c r="F62" t="s">
        <v>11</v>
      </c>
      <c r="G62">
        <v>-230</v>
      </c>
      <c r="H62">
        <v>230</v>
      </c>
      <c r="I62" s="27">
        <v>-20019.759999999998</v>
      </c>
      <c r="J62" t="s">
        <v>134</v>
      </c>
      <c r="K62" s="3">
        <v>45763</v>
      </c>
      <c r="L62" s="3">
        <v>45838</v>
      </c>
      <c r="M62" t="s">
        <v>912</v>
      </c>
      <c r="N62" s="2">
        <v>45809</v>
      </c>
      <c r="O62">
        <v>51158560</v>
      </c>
      <c r="P62">
        <v>1</v>
      </c>
      <c r="Q62" s="3">
        <v>45820</v>
      </c>
      <c r="R62">
        <v>210</v>
      </c>
      <c r="S62" s="85">
        <v>1.55E+16</v>
      </c>
      <c r="T62" t="s">
        <v>913</v>
      </c>
      <c r="U62">
        <v>20019.759999999998</v>
      </c>
      <c r="W62" s="79">
        <f t="shared" si="0"/>
        <v>-2.0000239763114044E-2</v>
      </c>
      <c r="X62">
        <f>VLOOKUP(D62,'[3]Customer TDS'!D:I,6,0)</f>
        <v>400.4</v>
      </c>
      <c r="Y62" s="27">
        <f t="shared" si="1"/>
        <v>-19619.359999999997</v>
      </c>
      <c r="Z62" t="s">
        <v>915</v>
      </c>
      <c r="AA62">
        <f>VLOOKUP(D62,'Ascendus DATA'!$F:$J,5,0)</f>
        <v>19938.990000000002</v>
      </c>
      <c r="AB62" s="27">
        <f t="shared" si="2"/>
        <v>-80.769999999996799</v>
      </c>
    </row>
    <row r="63" spans="1:28" hidden="1" x14ac:dyDescent="0.35">
      <c r="A63" t="s">
        <v>910</v>
      </c>
      <c r="B63" t="s">
        <v>910</v>
      </c>
      <c r="C63" t="s">
        <v>438</v>
      </c>
      <c r="D63" s="4">
        <v>246779412042</v>
      </c>
      <c r="E63" s="3">
        <v>45733</v>
      </c>
      <c r="F63" t="s">
        <v>11</v>
      </c>
      <c r="G63">
        <v>-16.82</v>
      </c>
      <c r="H63">
        <v>16.82</v>
      </c>
      <c r="I63" s="27">
        <v>-1464.05</v>
      </c>
      <c r="J63" t="s">
        <v>134</v>
      </c>
      <c r="K63" s="3">
        <v>45763</v>
      </c>
      <c r="L63" s="3">
        <v>45838</v>
      </c>
      <c r="M63" t="s">
        <v>912</v>
      </c>
      <c r="N63" s="2">
        <v>45809</v>
      </c>
      <c r="O63">
        <v>51158561</v>
      </c>
      <c r="P63">
        <v>1</v>
      </c>
      <c r="Q63" s="3">
        <v>45820</v>
      </c>
      <c r="R63">
        <v>210</v>
      </c>
      <c r="S63" s="85">
        <v>1.55E+16</v>
      </c>
      <c r="T63" t="s">
        <v>913</v>
      </c>
      <c r="U63">
        <v>1464.05</v>
      </c>
      <c r="W63" s="79">
        <f t="shared" si="0"/>
        <v>-2.0211058365492984E-2</v>
      </c>
      <c r="X63">
        <f>VLOOKUP(D63,'[3]Customer TDS'!D:I,6,0)</f>
        <v>29.59</v>
      </c>
      <c r="Y63" s="27">
        <f t="shared" si="1"/>
        <v>-1434.46</v>
      </c>
      <c r="Z63" t="s">
        <v>915</v>
      </c>
      <c r="AA63">
        <f>VLOOKUP(D63,'Ascendus DATA'!$F:$J,5,0)</f>
        <v>1458.15</v>
      </c>
      <c r="AB63" s="27">
        <f t="shared" si="2"/>
        <v>-5.8999999999998636</v>
      </c>
    </row>
    <row r="64" spans="1:28" hidden="1" x14ac:dyDescent="0.35">
      <c r="A64" t="s">
        <v>910</v>
      </c>
      <c r="B64" t="s">
        <v>910</v>
      </c>
      <c r="C64" t="s">
        <v>438</v>
      </c>
      <c r="D64" s="4">
        <v>246779412038</v>
      </c>
      <c r="E64" s="3">
        <v>45733</v>
      </c>
      <c r="F64" t="s">
        <v>11</v>
      </c>
      <c r="G64">
        <v>-33.64</v>
      </c>
      <c r="H64">
        <v>33.64</v>
      </c>
      <c r="I64" s="27">
        <v>-2928.11</v>
      </c>
      <c r="J64" t="s">
        <v>134</v>
      </c>
      <c r="K64" s="3">
        <v>45763</v>
      </c>
      <c r="L64" s="3">
        <v>45838</v>
      </c>
      <c r="M64" t="s">
        <v>912</v>
      </c>
      <c r="N64" s="2">
        <v>45809</v>
      </c>
      <c r="O64">
        <v>51158562</v>
      </c>
      <c r="P64">
        <v>1</v>
      </c>
      <c r="Q64" s="3">
        <v>45820</v>
      </c>
      <c r="R64">
        <v>210</v>
      </c>
      <c r="S64" s="85">
        <v>1.55E+16</v>
      </c>
      <c r="T64" t="s">
        <v>913</v>
      </c>
      <c r="U64">
        <v>2928.11</v>
      </c>
      <c r="W64" s="79">
        <f t="shared" si="0"/>
        <v>-1.9917284528245181E-2</v>
      </c>
      <c r="X64">
        <f>VLOOKUP(D64,'[3]Customer TDS'!D:I,6,0)</f>
        <v>58.32</v>
      </c>
      <c r="Y64" s="27">
        <f t="shared" si="1"/>
        <v>-2869.79</v>
      </c>
      <c r="Z64" t="s">
        <v>915</v>
      </c>
      <c r="AA64">
        <f>VLOOKUP(D64,'Ascendus DATA'!$F:$J,5,0)</f>
        <v>2916.29</v>
      </c>
      <c r="AB64" s="27">
        <f t="shared" si="2"/>
        <v>-11.820000000000164</v>
      </c>
    </row>
    <row r="65" spans="1:28" hidden="1" x14ac:dyDescent="0.35">
      <c r="A65" t="s">
        <v>910</v>
      </c>
      <c r="B65" t="s">
        <v>910</v>
      </c>
      <c r="C65" t="s">
        <v>438</v>
      </c>
      <c r="D65" s="4">
        <v>246779410312</v>
      </c>
      <c r="E65" s="3">
        <v>45708</v>
      </c>
      <c r="F65" t="s">
        <v>11</v>
      </c>
      <c r="G65">
        <v>-52.38</v>
      </c>
      <c r="H65">
        <v>52.38</v>
      </c>
      <c r="I65" s="27">
        <v>-4559.28</v>
      </c>
      <c r="K65" s="3">
        <v>45738</v>
      </c>
      <c r="L65" s="3">
        <v>45838</v>
      </c>
      <c r="M65" t="s">
        <v>912</v>
      </c>
      <c r="N65" s="2">
        <v>45809</v>
      </c>
      <c r="O65">
        <v>51160045</v>
      </c>
      <c r="P65">
        <v>1</v>
      </c>
      <c r="Q65" s="3">
        <v>45820</v>
      </c>
      <c r="R65">
        <v>210</v>
      </c>
      <c r="S65" s="85">
        <v>1.55E+16</v>
      </c>
      <c r="T65" t="s">
        <v>913</v>
      </c>
      <c r="U65">
        <v>4559.28</v>
      </c>
      <c r="W65" s="79">
        <f t="shared" si="0"/>
        <v>-2.0044831640083523E-2</v>
      </c>
      <c r="X65">
        <f>VLOOKUP(D65,'[3]Customer TDS'!D:I,6,0)</f>
        <v>91.39</v>
      </c>
      <c r="Y65" s="27">
        <f t="shared" si="1"/>
        <v>-4467.8899999999994</v>
      </c>
      <c r="Z65" t="s">
        <v>915</v>
      </c>
      <c r="AA65">
        <f>VLOOKUP(D65,'Ascendus DATA'!$F:$J,5,0)</f>
        <v>4520.59</v>
      </c>
      <c r="AB65" s="27">
        <f t="shared" si="2"/>
        <v>-38.6899999999996</v>
      </c>
    </row>
    <row r="66" spans="1:28" hidden="1" x14ac:dyDescent="0.35">
      <c r="A66" t="s">
        <v>910</v>
      </c>
      <c r="B66" t="s">
        <v>910</v>
      </c>
      <c r="C66" t="s">
        <v>438</v>
      </c>
      <c r="D66" s="4">
        <v>246779411901</v>
      </c>
      <c r="E66" s="3">
        <v>45733</v>
      </c>
      <c r="F66" t="s">
        <v>11</v>
      </c>
      <c r="G66">
        <v>-12.78</v>
      </c>
      <c r="H66">
        <v>12.78</v>
      </c>
      <c r="I66" s="27">
        <v>-1112.4000000000001</v>
      </c>
      <c r="K66" s="3">
        <v>45763</v>
      </c>
      <c r="L66" s="3">
        <v>45838</v>
      </c>
      <c r="M66" t="s">
        <v>912</v>
      </c>
      <c r="N66" s="2">
        <v>45809</v>
      </c>
      <c r="O66">
        <v>51160046</v>
      </c>
      <c r="P66">
        <v>1</v>
      </c>
      <c r="Q66" s="3">
        <v>45820</v>
      </c>
      <c r="R66">
        <v>210</v>
      </c>
      <c r="S66" s="85">
        <v>1.55E+16</v>
      </c>
      <c r="T66" t="s">
        <v>913</v>
      </c>
      <c r="U66">
        <v>1112.4000000000001</v>
      </c>
      <c r="W66" s="79">
        <f t="shared" si="0"/>
        <v>-2.0343401654081262E-2</v>
      </c>
      <c r="X66">
        <f>VLOOKUP(D66,'[3]Customer TDS'!D:I,6,0)</f>
        <v>22.63</v>
      </c>
      <c r="Y66" s="27">
        <f t="shared" si="1"/>
        <v>-1089.77</v>
      </c>
      <c r="Z66" t="s">
        <v>915</v>
      </c>
      <c r="AA66">
        <f>VLOOKUP(D66,'Ascendus DATA'!$F:$J,5,0)</f>
        <v>1107.9100000000001</v>
      </c>
      <c r="AB66" s="27">
        <f t="shared" si="2"/>
        <v>-4.4900000000000091</v>
      </c>
    </row>
    <row r="67" spans="1:28" hidden="1" x14ac:dyDescent="0.35">
      <c r="A67" t="s">
        <v>910</v>
      </c>
      <c r="B67" t="s">
        <v>910</v>
      </c>
      <c r="C67" t="s">
        <v>438</v>
      </c>
      <c r="D67" s="4">
        <v>246779411906</v>
      </c>
      <c r="E67" s="3">
        <v>45733</v>
      </c>
      <c r="F67" t="s">
        <v>11</v>
      </c>
      <c r="G67">
        <v>-34.090000000000003</v>
      </c>
      <c r="H67">
        <v>34.090000000000003</v>
      </c>
      <c r="I67" s="27">
        <v>-2967.28</v>
      </c>
      <c r="K67" s="3">
        <v>45763</v>
      </c>
      <c r="L67" s="3">
        <v>45838</v>
      </c>
      <c r="M67" t="s">
        <v>912</v>
      </c>
      <c r="N67" s="2">
        <v>45809</v>
      </c>
      <c r="O67">
        <v>51160048</v>
      </c>
      <c r="P67">
        <v>1</v>
      </c>
      <c r="Q67" s="3">
        <v>45820</v>
      </c>
      <c r="R67">
        <v>210</v>
      </c>
      <c r="S67" s="85">
        <v>1.55E+16</v>
      </c>
      <c r="T67" t="s">
        <v>913</v>
      </c>
      <c r="U67">
        <v>2967.28</v>
      </c>
      <c r="W67" s="79">
        <f t="shared" si="0"/>
        <v>-1.9947561403035774E-2</v>
      </c>
      <c r="X67">
        <f>VLOOKUP(D67,'[3]Customer TDS'!D:I,6,0)</f>
        <v>59.19</v>
      </c>
      <c r="Y67" s="27">
        <f t="shared" si="1"/>
        <v>-2908.09</v>
      </c>
      <c r="Z67" t="s">
        <v>915</v>
      </c>
      <c r="AA67">
        <f>VLOOKUP(D67,'Ascendus DATA'!$F:$J,5,0)</f>
        <v>2955.31</v>
      </c>
      <c r="AB67" s="27">
        <f t="shared" si="2"/>
        <v>-11.970000000000255</v>
      </c>
    </row>
    <row r="68" spans="1:28" hidden="1" x14ac:dyDescent="0.35">
      <c r="A68" t="s">
        <v>910</v>
      </c>
      <c r="B68" t="s">
        <v>910</v>
      </c>
      <c r="C68" t="s">
        <v>438</v>
      </c>
      <c r="D68" s="4">
        <v>246779411911</v>
      </c>
      <c r="E68" s="3">
        <v>45733</v>
      </c>
      <c r="F68" t="s">
        <v>11</v>
      </c>
      <c r="G68">
        <v>-29.83</v>
      </c>
      <c r="H68">
        <v>29.83</v>
      </c>
      <c r="I68" s="27">
        <v>-2596.48</v>
      </c>
      <c r="K68" s="3">
        <v>45763</v>
      </c>
      <c r="L68" s="3">
        <v>45838</v>
      </c>
      <c r="M68" t="s">
        <v>912</v>
      </c>
      <c r="N68" s="2">
        <v>45809</v>
      </c>
      <c r="O68">
        <v>51160049</v>
      </c>
      <c r="P68">
        <v>1</v>
      </c>
      <c r="Q68" s="3">
        <v>45820</v>
      </c>
      <c r="R68">
        <v>210</v>
      </c>
      <c r="S68" s="85">
        <v>1.55E+16</v>
      </c>
      <c r="T68" t="s">
        <v>913</v>
      </c>
      <c r="U68">
        <v>2596.48</v>
      </c>
      <c r="W68" s="79">
        <f t="shared" ref="W68:W118" si="3">X68/I68</f>
        <v>-2.0115695094897707E-2</v>
      </c>
      <c r="X68">
        <f>VLOOKUP(D68,'[3]Customer TDS'!D:I,6,0)</f>
        <v>52.23</v>
      </c>
      <c r="Y68" s="27">
        <f t="shared" ref="Y68:Y131" si="4">I68+X68</f>
        <v>-2544.25</v>
      </c>
      <c r="Z68" t="s">
        <v>915</v>
      </c>
      <c r="AA68">
        <f>VLOOKUP(D68,'Ascendus DATA'!$F:$J,5,0)</f>
        <v>2586</v>
      </c>
      <c r="AB68" s="27">
        <f t="shared" ref="AB68:AB92" si="5">I68+AA68</f>
        <v>-10.480000000000018</v>
      </c>
    </row>
    <row r="69" spans="1:28" hidden="1" x14ac:dyDescent="0.35">
      <c r="A69" t="s">
        <v>910</v>
      </c>
      <c r="B69" t="s">
        <v>910</v>
      </c>
      <c r="C69" t="s">
        <v>438</v>
      </c>
      <c r="D69" s="4">
        <v>246779411731</v>
      </c>
      <c r="E69" s="3">
        <v>45733</v>
      </c>
      <c r="F69" t="s">
        <v>11</v>
      </c>
      <c r="G69">
        <v>-22.83</v>
      </c>
      <c r="H69">
        <v>22.83</v>
      </c>
      <c r="I69" s="27">
        <v>-1987.18</v>
      </c>
      <c r="K69" s="3">
        <v>45763</v>
      </c>
      <c r="L69" s="3">
        <v>45838</v>
      </c>
      <c r="M69" t="s">
        <v>912</v>
      </c>
      <c r="N69" s="2">
        <v>45809</v>
      </c>
      <c r="O69">
        <v>51160057</v>
      </c>
      <c r="P69">
        <v>1</v>
      </c>
      <c r="Q69" s="3">
        <v>45820</v>
      </c>
      <c r="R69">
        <v>210</v>
      </c>
      <c r="S69" s="85">
        <v>1.55E+16</v>
      </c>
      <c r="T69" t="s">
        <v>913</v>
      </c>
      <c r="U69">
        <v>1987.18</v>
      </c>
      <c r="W69" s="79">
        <f t="shared" si="3"/>
        <v>-2.0149156090540361E-2</v>
      </c>
      <c r="X69">
        <f>VLOOKUP(D69,'[3]Customer TDS'!D:I,6,0)</f>
        <v>40.04</v>
      </c>
      <c r="Y69" s="27">
        <f t="shared" si="4"/>
        <v>-1947.14</v>
      </c>
      <c r="Z69" t="s">
        <v>915</v>
      </c>
      <c r="AA69">
        <f>VLOOKUP(D69,'Ascendus DATA'!$F:$J,5,0)</f>
        <v>1979.16</v>
      </c>
      <c r="AB69" s="27">
        <f t="shared" si="5"/>
        <v>-8.0199999999999818</v>
      </c>
    </row>
    <row r="70" spans="1:28" hidden="1" x14ac:dyDescent="0.35">
      <c r="A70" t="s">
        <v>910</v>
      </c>
      <c r="B70" t="s">
        <v>910</v>
      </c>
      <c r="C70" t="s">
        <v>438</v>
      </c>
      <c r="D70" s="4">
        <v>246779414662</v>
      </c>
      <c r="E70" s="3">
        <v>45736</v>
      </c>
      <c r="F70" t="s">
        <v>11</v>
      </c>
      <c r="G70">
        <v>-275</v>
      </c>
      <c r="H70">
        <v>275</v>
      </c>
      <c r="I70" s="27">
        <v>-23936.66</v>
      </c>
      <c r="K70" s="3">
        <v>45766</v>
      </c>
      <c r="L70" s="3">
        <v>45838</v>
      </c>
      <c r="M70" t="s">
        <v>912</v>
      </c>
      <c r="N70" s="2">
        <v>45809</v>
      </c>
      <c r="O70">
        <v>51160060</v>
      </c>
      <c r="P70">
        <v>1</v>
      </c>
      <c r="Q70" s="3">
        <v>45820</v>
      </c>
      <c r="R70">
        <v>210</v>
      </c>
      <c r="S70" s="85">
        <v>1.55E+16</v>
      </c>
      <c r="T70" t="s">
        <v>913</v>
      </c>
      <c r="U70">
        <v>23936.66</v>
      </c>
      <c r="W70" s="79">
        <f t="shared" si="3"/>
        <v>-1.9999866313846627E-2</v>
      </c>
      <c r="X70">
        <f>VLOOKUP(D70,'[3]Customer TDS'!D:I,6,0)</f>
        <v>478.73</v>
      </c>
      <c r="Y70" s="27">
        <f t="shared" si="4"/>
        <v>-23457.93</v>
      </c>
      <c r="Z70" t="s">
        <v>915</v>
      </c>
      <c r="AA70">
        <f>VLOOKUP(D70,'Ascendus DATA'!$F:$J,5,0)</f>
        <v>23840.1</v>
      </c>
      <c r="AB70" s="27">
        <f t="shared" si="5"/>
        <v>-96.56000000000131</v>
      </c>
    </row>
    <row r="71" spans="1:28" hidden="1" x14ac:dyDescent="0.35">
      <c r="A71" t="s">
        <v>910</v>
      </c>
      <c r="B71" t="s">
        <v>910</v>
      </c>
      <c r="C71" t="s">
        <v>438</v>
      </c>
      <c r="D71" s="4">
        <v>246779411725</v>
      </c>
      <c r="E71" s="3">
        <v>45733</v>
      </c>
      <c r="F71" t="s">
        <v>11</v>
      </c>
      <c r="G71">
        <v>-22.83</v>
      </c>
      <c r="H71">
        <v>22.83</v>
      </c>
      <c r="I71" s="27">
        <v>-1987.18</v>
      </c>
      <c r="K71" s="3">
        <v>45763</v>
      </c>
      <c r="L71" s="3">
        <v>45838</v>
      </c>
      <c r="M71" t="s">
        <v>912</v>
      </c>
      <c r="N71" s="2">
        <v>45809</v>
      </c>
      <c r="O71">
        <v>51160062</v>
      </c>
      <c r="P71">
        <v>1</v>
      </c>
      <c r="Q71" s="3">
        <v>45820</v>
      </c>
      <c r="R71">
        <v>210</v>
      </c>
      <c r="S71" s="85">
        <v>1.55E+16</v>
      </c>
      <c r="T71" t="s">
        <v>913</v>
      </c>
      <c r="U71">
        <v>1987.18</v>
      </c>
      <c r="W71" s="79">
        <f t="shared" si="3"/>
        <v>-2.0149156090540361E-2</v>
      </c>
      <c r="X71">
        <f>VLOOKUP(D71,'[3]Customer TDS'!D:I,6,0)</f>
        <v>40.04</v>
      </c>
      <c r="Y71" s="27">
        <f t="shared" si="4"/>
        <v>-1947.14</v>
      </c>
      <c r="Z71" t="s">
        <v>915</v>
      </c>
      <c r="AA71">
        <f>VLOOKUP(D71,'Ascendus DATA'!$F:$J,5,0)</f>
        <v>1979.16</v>
      </c>
      <c r="AB71" s="27">
        <f t="shared" si="5"/>
        <v>-8.0199999999999818</v>
      </c>
    </row>
    <row r="72" spans="1:28" hidden="1" x14ac:dyDescent="0.35">
      <c r="A72" t="s">
        <v>910</v>
      </c>
      <c r="B72" t="s">
        <v>910</v>
      </c>
      <c r="C72" t="s">
        <v>438</v>
      </c>
      <c r="D72" s="4">
        <v>246779411905</v>
      </c>
      <c r="E72" s="3">
        <v>45733</v>
      </c>
      <c r="F72" t="s">
        <v>11</v>
      </c>
      <c r="G72">
        <v>-7.1</v>
      </c>
      <c r="H72">
        <v>7.1</v>
      </c>
      <c r="I72">
        <v>-618</v>
      </c>
      <c r="K72" s="3">
        <v>45763</v>
      </c>
      <c r="L72" s="3">
        <v>45838</v>
      </c>
      <c r="M72" t="s">
        <v>912</v>
      </c>
      <c r="N72" s="2">
        <v>45809</v>
      </c>
      <c r="O72">
        <v>51160065</v>
      </c>
      <c r="P72">
        <v>1</v>
      </c>
      <c r="Q72" s="3">
        <v>45820</v>
      </c>
      <c r="R72">
        <v>210</v>
      </c>
      <c r="S72" s="85">
        <v>1.55E+16</v>
      </c>
      <c r="T72" t="s">
        <v>913</v>
      </c>
      <c r="U72">
        <v>618</v>
      </c>
      <c r="W72" s="79">
        <f t="shared" si="3"/>
        <v>-1.9724919093851132E-2</v>
      </c>
      <c r="X72">
        <f>VLOOKUP(D72,'[3]Customer TDS'!D:I,6,0)</f>
        <v>12.19</v>
      </c>
      <c r="Y72" s="27">
        <f t="shared" si="4"/>
        <v>-605.80999999999995</v>
      </c>
      <c r="Z72" t="s">
        <v>915</v>
      </c>
      <c r="AA72">
        <f>VLOOKUP(D72,'Ascendus DATA'!$F:$J,5,0)</f>
        <v>615.51</v>
      </c>
      <c r="AB72" s="27">
        <f t="shared" si="5"/>
        <v>-2.4900000000000091</v>
      </c>
    </row>
    <row r="73" spans="1:28" hidden="1" x14ac:dyDescent="0.35">
      <c r="A73" t="s">
        <v>910</v>
      </c>
      <c r="B73" t="s">
        <v>910</v>
      </c>
      <c r="C73" t="s">
        <v>438</v>
      </c>
      <c r="D73" s="4">
        <v>246779411719</v>
      </c>
      <c r="E73" s="3">
        <v>45733</v>
      </c>
      <c r="F73" t="s">
        <v>11</v>
      </c>
      <c r="G73">
        <v>-28.54</v>
      </c>
      <c r="H73">
        <v>28.54</v>
      </c>
      <c r="I73" s="27">
        <v>-2484.19</v>
      </c>
      <c r="K73" s="3">
        <v>45763</v>
      </c>
      <c r="L73" s="3">
        <v>45838</v>
      </c>
      <c r="M73" t="s">
        <v>912</v>
      </c>
      <c r="N73" s="2">
        <v>45809</v>
      </c>
      <c r="O73">
        <v>51160075</v>
      </c>
      <c r="P73">
        <v>1</v>
      </c>
      <c r="Q73" s="3">
        <v>45820</v>
      </c>
      <c r="R73">
        <v>210</v>
      </c>
      <c r="S73" s="85">
        <v>1.55E+16</v>
      </c>
      <c r="T73" t="s">
        <v>913</v>
      </c>
      <c r="U73">
        <v>2484.19</v>
      </c>
      <c r="W73" s="79">
        <f t="shared" si="3"/>
        <v>-1.9970292127413764E-2</v>
      </c>
      <c r="X73">
        <f>VLOOKUP(D73,'[3]Customer TDS'!D:I,6,0)</f>
        <v>49.61</v>
      </c>
      <c r="Y73" s="27">
        <f t="shared" si="4"/>
        <v>-2434.58</v>
      </c>
      <c r="Z73" t="s">
        <v>915</v>
      </c>
      <c r="AA73">
        <f>VLOOKUP(D73,'Ascendus DATA'!$F:$J,5,0)</f>
        <v>2474.17</v>
      </c>
      <c r="AB73" s="27">
        <f t="shared" si="5"/>
        <v>-10.019999999999982</v>
      </c>
    </row>
    <row r="74" spans="1:28" hidden="1" x14ac:dyDescent="0.35">
      <c r="A74" t="s">
        <v>910</v>
      </c>
      <c r="B74" t="s">
        <v>910</v>
      </c>
      <c r="C74" t="s">
        <v>438</v>
      </c>
      <c r="D74" s="4">
        <v>246779411312</v>
      </c>
      <c r="E74" s="3">
        <v>45729</v>
      </c>
      <c r="F74" t="s">
        <v>11</v>
      </c>
      <c r="G74">
        <v>-27</v>
      </c>
      <c r="H74">
        <v>27</v>
      </c>
      <c r="I74" s="27">
        <v>-2350.15</v>
      </c>
      <c r="K74" s="3">
        <v>45759</v>
      </c>
      <c r="L74" s="3">
        <v>45838</v>
      </c>
      <c r="M74" t="s">
        <v>912</v>
      </c>
      <c r="N74" s="2">
        <v>45809</v>
      </c>
      <c r="O74">
        <v>51160078</v>
      </c>
      <c r="P74">
        <v>1</v>
      </c>
      <c r="Q74" s="3">
        <v>45820</v>
      </c>
      <c r="R74">
        <v>210</v>
      </c>
      <c r="S74" s="85">
        <v>1.55E+16</v>
      </c>
      <c r="T74" t="s">
        <v>913</v>
      </c>
      <c r="U74">
        <v>2350.15</v>
      </c>
      <c r="W74" s="79">
        <f t="shared" si="3"/>
        <v>-1.9998723485734952E-2</v>
      </c>
      <c r="X74">
        <f>VLOOKUP(D74,'[3]Customer TDS'!D:I,6,0)</f>
        <v>47</v>
      </c>
      <c r="Y74" s="27">
        <f t="shared" si="4"/>
        <v>-2303.15</v>
      </c>
      <c r="Z74" t="s">
        <v>915</v>
      </c>
      <c r="AA74">
        <f>VLOOKUP(D74,'Ascendus DATA'!$F:$J,5,0)</f>
        <v>2340.66</v>
      </c>
      <c r="AB74" s="27">
        <f t="shared" si="5"/>
        <v>-9.4900000000002365</v>
      </c>
    </row>
    <row r="75" spans="1:28" hidden="1" x14ac:dyDescent="0.35">
      <c r="A75" t="s">
        <v>910</v>
      </c>
      <c r="B75" t="s">
        <v>910</v>
      </c>
      <c r="C75" t="s">
        <v>438</v>
      </c>
      <c r="D75" s="4">
        <v>246779414385</v>
      </c>
      <c r="E75" s="3">
        <v>45736</v>
      </c>
      <c r="F75" t="s">
        <v>11</v>
      </c>
      <c r="G75">
        <v>-240</v>
      </c>
      <c r="H75">
        <v>240</v>
      </c>
      <c r="I75" s="27">
        <v>-20890.18</v>
      </c>
      <c r="K75" s="3">
        <v>45766</v>
      </c>
      <c r="L75" s="3">
        <v>45838</v>
      </c>
      <c r="M75" t="s">
        <v>912</v>
      </c>
      <c r="N75" s="2">
        <v>45809</v>
      </c>
      <c r="O75">
        <v>51162142</v>
      </c>
      <c r="P75">
        <v>1</v>
      </c>
      <c r="Q75" s="3">
        <v>45820</v>
      </c>
      <c r="R75">
        <v>210</v>
      </c>
      <c r="S75" s="85">
        <v>1.55E+16</v>
      </c>
      <c r="T75" t="s">
        <v>913</v>
      </c>
      <c r="U75">
        <v>20890.18</v>
      </c>
      <c r="W75" s="79">
        <f t="shared" si="3"/>
        <v>-1.9999827670225914E-2</v>
      </c>
      <c r="X75">
        <f>VLOOKUP(D75,'[3]Customer TDS'!D:I,6,0)</f>
        <v>417.8</v>
      </c>
      <c r="Y75" s="27">
        <f t="shared" si="4"/>
        <v>-20472.38</v>
      </c>
      <c r="Z75" t="s">
        <v>915</v>
      </c>
      <c r="AA75">
        <f>VLOOKUP(D75,'Ascendus DATA'!$F:$J,5,0)</f>
        <v>20805.900000000001</v>
      </c>
      <c r="AB75" s="27">
        <f t="shared" si="5"/>
        <v>-84.279999999998836</v>
      </c>
    </row>
    <row r="76" spans="1:28" hidden="1" x14ac:dyDescent="0.35">
      <c r="A76" t="s">
        <v>910</v>
      </c>
      <c r="B76" t="s">
        <v>910</v>
      </c>
      <c r="C76" t="s">
        <v>438</v>
      </c>
      <c r="D76" s="4">
        <v>246779411728</v>
      </c>
      <c r="E76" s="3">
        <v>45733</v>
      </c>
      <c r="F76" t="s">
        <v>11</v>
      </c>
      <c r="G76">
        <v>-11.42</v>
      </c>
      <c r="H76">
        <v>11.42</v>
      </c>
      <c r="I76">
        <v>-994.02</v>
      </c>
      <c r="K76" s="3">
        <v>45763</v>
      </c>
      <c r="L76" s="3">
        <v>45838</v>
      </c>
      <c r="M76" t="s">
        <v>912</v>
      </c>
      <c r="N76" s="2">
        <v>45809</v>
      </c>
      <c r="O76">
        <v>51162161</v>
      </c>
      <c r="P76">
        <v>1</v>
      </c>
      <c r="Q76" s="3">
        <v>45820</v>
      </c>
      <c r="R76">
        <v>210</v>
      </c>
      <c r="S76" s="85">
        <v>1.55E+16</v>
      </c>
      <c r="T76" t="s">
        <v>913</v>
      </c>
      <c r="U76">
        <v>994.02</v>
      </c>
      <c r="W76" s="79">
        <f t="shared" si="3"/>
        <v>-2.0140439830184504E-2</v>
      </c>
      <c r="X76">
        <f>VLOOKUP(D76,'[3]Customer TDS'!D:I,6,0)</f>
        <v>20.02</v>
      </c>
      <c r="Y76" s="27">
        <f t="shared" si="4"/>
        <v>-974</v>
      </c>
      <c r="Z76" t="s">
        <v>915</v>
      </c>
      <c r="AA76">
        <f>VLOOKUP(D76,'Ascendus DATA'!$F:$J,5,0)</f>
        <v>990.01</v>
      </c>
      <c r="AB76" s="27">
        <f t="shared" si="5"/>
        <v>-4.0099999999999909</v>
      </c>
    </row>
    <row r="77" spans="1:28" hidden="1" x14ac:dyDescent="0.35">
      <c r="A77" t="s">
        <v>910</v>
      </c>
      <c r="B77" t="s">
        <v>910</v>
      </c>
      <c r="C77" t="s">
        <v>438</v>
      </c>
      <c r="D77" s="4">
        <v>246779411904</v>
      </c>
      <c r="E77" s="3">
        <v>45733</v>
      </c>
      <c r="F77" t="s">
        <v>11</v>
      </c>
      <c r="G77">
        <v>-58.94</v>
      </c>
      <c r="H77">
        <v>58.94</v>
      </c>
      <c r="I77" s="27">
        <v>-5130.28</v>
      </c>
      <c r="K77" s="3">
        <v>45763</v>
      </c>
      <c r="L77" s="3">
        <v>45838</v>
      </c>
      <c r="M77" t="s">
        <v>912</v>
      </c>
      <c r="N77" s="2">
        <v>45809</v>
      </c>
      <c r="O77">
        <v>51163744</v>
      </c>
      <c r="P77">
        <v>1</v>
      </c>
      <c r="Q77" s="3">
        <v>45820</v>
      </c>
      <c r="R77">
        <v>210</v>
      </c>
      <c r="S77" s="85">
        <v>1.55E+16</v>
      </c>
      <c r="T77" t="s">
        <v>913</v>
      </c>
      <c r="U77">
        <v>5130.28</v>
      </c>
      <c r="W77" s="79">
        <f t="shared" si="3"/>
        <v>-2.002034976648448E-2</v>
      </c>
      <c r="X77">
        <f>VLOOKUP(D77,'[3]Customer TDS'!D:I,6,0)</f>
        <v>102.71</v>
      </c>
      <c r="Y77" s="27">
        <f t="shared" si="4"/>
        <v>-5027.57</v>
      </c>
      <c r="Z77" t="s">
        <v>915</v>
      </c>
      <c r="AA77">
        <f>VLOOKUP(D77,'Ascendus DATA'!$F:$J,5,0)</f>
        <v>5109.58</v>
      </c>
      <c r="AB77" s="27">
        <f t="shared" si="5"/>
        <v>-20.699999999999818</v>
      </c>
    </row>
    <row r="78" spans="1:28" hidden="1" x14ac:dyDescent="0.35">
      <c r="A78" t="s">
        <v>910</v>
      </c>
      <c r="B78" t="s">
        <v>910</v>
      </c>
      <c r="C78" t="s">
        <v>438</v>
      </c>
      <c r="D78" s="4">
        <v>246779411912</v>
      </c>
      <c r="E78" s="3">
        <v>45733</v>
      </c>
      <c r="F78" t="s">
        <v>11</v>
      </c>
      <c r="G78">
        <v>-11.36</v>
      </c>
      <c r="H78">
        <v>11.36</v>
      </c>
      <c r="I78">
        <v>-988.8</v>
      </c>
      <c r="K78" s="3">
        <v>45763</v>
      </c>
      <c r="L78" s="3">
        <v>45838</v>
      </c>
      <c r="M78" t="s">
        <v>912</v>
      </c>
      <c r="N78" s="2">
        <v>45809</v>
      </c>
      <c r="O78">
        <v>51164579</v>
      </c>
      <c r="P78">
        <v>1</v>
      </c>
      <c r="Q78" s="3">
        <v>45820</v>
      </c>
      <c r="R78">
        <v>210</v>
      </c>
      <c r="S78" s="85">
        <v>1.55E+16</v>
      </c>
      <c r="T78" t="s">
        <v>913</v>
      </c>
      <c r="U78">
        <v>988.8</v>
      </c>
      <c r="W78" s="79">
        <f t="shared" si="3"/>
        <v>-2.0246763754045306E-2</v>
      </c>
      <c r="X78">
        <f>VLOOKUP(D78,'[3]Customer TDS'!D:I,6,0)</f>
        <v>20.02</v>
      </c>
      <c r="Y78" s="27">
        <f t="shared" si="4"/>
        <v>-968.78</v>
      </c>
      <c r="Z78" t="s">
        <v>915</v>
      </c>
      <c r="AA78">
        <f>VLOOKUP(D78,'Ascendus DATA'!$F:$J,5,0)</f>
        <v>984.81</v>
      </c>
      <c r="AB78" s="27">
        <f t="shared" si="5"/>
        <v>-3.9900000000000091</v>
      </c>
    </row>
    <row r="79" spans="1:28" hidden="1" x14ac:dyDescent="0.35">
      <c r="A79" t="s">
        <v>910</v>
      </c>
      <c r="B79" t="s">
        <v>910</v>
      </c>
      <c r="C79" t="s">
        <v>438</v>
      </c>
      <c r="D79" s="4">
        <v>246779412036</v>
      </c>
      <c r="E79" s="3">
        <v>45733</v>
      </c>
      <c r="F79" t="s">
        <v>11</v>
      </c>
      <c r="G79">
        <v>-28.03</v>
      </c>
      <c r="H79">
        <v>28.03</v>
      </c>
      <c r="I79" s="27">
        <v>-2439.8000000000002</v>
      </c>
      <c r="K79" s="3">
        <v>45763</v>
      </c>
      <c r="L79" s="3">
        <v>45838</v>
      </c>
      <c r="M79" t="s">
        <v>912</v>
      </c>
      <c r="N79" s="2">
        <v>45809</v>
      </c>
      <c r="O79">
        <v>51171782</v>
      </c>
      <c r="P79">
        <v>1</v>
      </c>
      <c r="Q79" s="3">
        <v>45820</v>
      </c>
      <c r="R79">
        <v>210</v>
      </c>
      <c r="S79" s="85">
        <v>1.55E+16</v>
      </c>
      <c r="T79" t="s">
        <v>913</v>
      </c>
      <c r="U79">
        <v>2439.8000000000002</v>
      </c>
      <c r="W79" s="79">
        <f t="shared" si="3"/>
        <v>-1.9977047298958932E-2</v>
      </c>
      <c r="X79">
        <f>VLOOKUP(D79,'[3]Customer TDS'!D:I,6,0)</f>
        <v>48.74</v>
      </c>
      <c r="Y79" s="27">
        <f t="shared" si="4"/>
        <v>-2391.0600000000004</v>
      </c>
      <c r="Z79" t="s">
        <v>915</v>
      </c>
      <c r="AA79">
        <f>VLOOKUP(D79,'Ascendus DATA'!$F:$J,5,0)</f>
        <v>2429.96</v>
      </c>
      <c r="AB79" s="27">
        <f t="shared" si="5"/>
        <v>-9.8400000000001455</v>
      </c>
    </row>
    <row r="80" spans="1:28" hidden="1" x14ac:dyDescent="0.35">
      <c r="A80" t="s">
        <v>910</v>
      </c>
      <c r="B80" t="s">
        <v>910</v>
      </c>
      <c r="C80" t="s">
        <v>438</v>
      </c>
      <c r="D80" s="4">
        <v>246779412034</v>
      </c>
      <c r="E80" s="3">
        <v>45733</v>
      </c>
      <c r="F80" t="s">
        <v>11</v>
      </c>
      <c r="G80">
        <v>-33.64</v>
      </c>
      <c r="H80">
        <v>33.64</v>
      </c>
      <c r="I80" s="27">
        <v>-2928.11</v>
      </c>
      <c r="K80" s="3">
        <v>45763</v>
      </c>
      <c r="L80" s="3">
        <v>45838</v>
      </c>
      <c r="M80" t="s">
        <v>912</v>
      </c>
      <c r="N80" s="2">
        <v>45809</v>
      </c>
      <c r="O80">
        <v>51171788</v>
      </c>
      <c r="P80">
        <v>1</v>
      </c>
      <c r="Q80" s="3">
        <v>45820</v>
      </c>
      <c r="R80">
        <v>210</v>
      </c>
      <c r="S80" s="85">
        <v>1.55E+16</v>
      </c>
      <c r="T80" t="s">
        <v>913</v>
      </c>
      <c r="U80">
        <v>2928.11</v>
      </c>
      <c r="W80" s="79">
        <f t="shared" si="3"/>
        <v>-1.9917284528245181E-2</v>
      </c>
      <c r="X80">
        <f>VLOOKUP(D80,'[3]Customer TDS'!D:I,6,0)</f>
        <v>58.32</v>
      </c>
      <c r="Y80" s="27">
        <f t="shared" si="4"/>
        <v>-2869.79</v>
      </c>
      <c r="Z80" t="s">
        <v>915</v>
      </c>
      <c r="AA80">
        <f>VLOOKUP(D80,'Ascendus DATA'!$F:$J,5,0)</f>
        <v>2916.29</v>
      </c>
      <c r="AB80" s="27">
        <f t="shared" si="5"/>
        <v>-11.820000000000164</v>
      </c>
    </row>
    <row r="81" spans="1:28" hidden="1" x14ac:dyDescent="0.35">
      <c r="A81" t="s">
        <v>910</v>
      </c>
      <c r="B81" t="s">
        <v>910</v>
      </c>
      <c r="C81" t="s">
        <v>438</v>
      </c>
      <c r="D81" s="4">
        <v>246779412039</v>
      </c>
      <c r="E81" s="3">
        <v>45733</v>
      </c>
      <c r="F81" t="s">
        <v>11</v>
      </c>
      <c r="G81">
        <v>-56.06</v>
      </c>
      <c r="H81">
        <v>56.06</v>
      </c>
      <c r="I81" s="27">
        <v>-4879.6000000000004</v>
      </c>
      <c r="K81" s="3">
        <v>45763</v>
      </c>
      <c r="L81" s="3">
        <v>45838</v>
      </c>
      <c r="M81" t="s">
        <v>912</v>
      </c>
      <c r="N81" s="2">
        <v>45809</v>
      </c>
      <c r="O81">
        <v>51171795</v>
      </c>
      <c r="P81">
        <v>1</v>
      </c>
      <c r="Q81" s="3">
        <v>45820</v>
      </c>
      <c r="R81">
        <v>210</v>
      </c>
      <c r="S81" s="85">
        <v>1.55E+16</v>
      </c>
      <c r="T81" t="s">
        <v>913</v>
      </c>
      <c r="U81">
        <v>4879.6000000000004</v>
      </c>
      <c r="W81" s="79">
        <f t="shared" si="3"/>
        <v>-1.9979096647266166E-2</v>
      </c>
      <c r="X81">
        <f>VLOOKUP(D81,'[3]Customer TDS'!D:I,6,0)</f>
        <v>97.49</v>
      </c>
      <c r="Y81" s="27">
        <f t="shared" si="4"/>
        <v>-4782.1100000000006</v>
      </c>
      <c r="Z81" t="s">
        <v>915</v>
      </c>
      <c r="AA81">
        <f>VLOOKUP(D81,'Ascendus DATA'!$F:$J,5,0)</f>
        <v>4859.91</v>
      </c>
      <c r="AB81" s="27">
        <f t="shared" si="5"/>
        <v>-19.690000000000509</v>
      </c>
    </row>
    <row r="82" spans="1:28" hidden="1" x14ac:dyDescent="0.35">
      <c r="A82" t="s">
        <v>910</v>
      </c>
      <c r="B82" t="s">
        <v>910</v>
      </c>
      <c r="C82" t="s">
        <v>438</v>
      </c>
      <c r="D82" s="4">
        <v>246779412028</v>
      </c>
      <c r="E82" s="3">
        <v>45733</v>
      </c>
      <c r="F82" t="s">
        <v>11</v>
      </c>
      <c r="G82">
        <v>-28.03</v>
      </c>
      <c r="H82">
        <v>28.03</v>
      </c>
      <c r="I82" s="27">
        <v>-2439.8000000000002</v>
      </c>
      <c r="K82" s="3">
        <v>45763</v>
      </c>
      <c r="L82" s="3">
        <v>45838</v>
      </c>
      <c r="M82" t="s">
        <v>912</v>
      </c>
      <c r="N82" s="2">
        <v>45809</v>
      </c>
      <c r="O82">
        <v>51171802</v>
      </c>
      <c r="P82">
        <v>1</v>
      </c>
      <c r="Q82" s="3">
        <v>45820</v>
      </c>
      <c r="R82">
        <v>210</v>
      </c>
      <c r="S82" s="85">
        <v>1.55E+16</v>
      </c>
      <c r="T82" t="s">
        <v>913</v>
      </c>
      <c r="U82">
        <v>2439.8000000000002</v>
      </c>
      <c r="W82" s="79">
        <f t="shared" si="3"/>
        <v>-1.9977047298958932E-2</v>
      </c>
      <c r="X82">
        <f>VLOOKUP(D82,'[3]Customer TDS'!D:I,6,0)</f>
        <v>48.74</v>
      </c>
      <c r="Y82" s="27">
        <f t="shared" si="4"/>
        <v>-2391.0600000000004</v>
      </c>
      <c r="Z82" t="s">
        <v>915</v>
      </c>
      <c r="AA82">
        <f>VLOOKUP(D82,'Ascendus DATA'!$F:$J,5,0)</f>
        <v>2429.96</v>
      </c>
      <c r="AB82" s="27">
        <f t="shared" si="5"/>
        <v>-9.8400000000001455</v>
      </c>
    </row>
    <row r="83" spans="1:28" hidden="1" x14ac:dyDescent="0.35">
      <c r="A83" t="s">
        <v>910</v>
      </c>
      <c r="B83" t="s">
        <v>910</v>
      </c>
      <c r="C83" t="s">
        <v>438</v>
      </c>
      <c r="D83" s="4">
        <v>246779411407</v>
      </c>
      <c r="E83" s="3">
        <v>45730</v>
      </c>
      <c r="F83" t="s">
        <v>11</v>
      </c>
      <c r="G83">
        <v>-57.23</v>
      </c>
      <c r="H83">
        <v>57.23</v>
      </c>
      <c r="I83" s="27">
        <v>-4981.4399999999996</v>
      </c>
      <c r="K83" s="3">
        <v>45760</v>
      </c>
      <c r="L83" s="3">
        <v>45838</v>
      </c>
      <c r="M83" t="s">
        <v>912</v>
      </c>
      <c r="N83" s="2">
        <v>45809</v>
      </c>
      <c r="O83">
        <v>51171806</v>
      </c>
      <c r="P83">
        <v>1</v>
      </c>
      <c r="Q83" s="3">
        <v>45820</v>
      </c>
      <c r="R83">
        <v>210</v>
      </c>
      <c r="S83" s="85">
        <v>1.55E+16</v>
      </c>
      <c r="T83" t="s">
        <v>913</v>
      </c>
      <c r="U83">
        <v>4981.4399999999996</v>
      </c>
      <c r="W83" s="79">
        <f t="shared" si="3"/>
        <v>-1.9919942827776711E-2</v>
      </c>
      <c r="X83">
        <f>VLOOKUP(D83,'[3]Customer TDS'!D:I,6,0)</f>
        <v>99.23</v>
      </c>
      <c r="Y83" s="27">
        <f t="shared" si="4"/>
        <v>-4882.21</v>
      </c>
      <c r="Z83" t="s">
        <v>915</v>
      </c>
      <c r="AA83">
        <f>VLOOKUP(D83,'Ascendus DATA'!$F:$J,5,0)</f>
        <v>4961.34</v>
      </c>
      <c r="AB83" s="27">
        <f t="shared" si="5"/>
        <v>-20.099999999999454</v>
      </c>
    </row>
    <row r="84" spans="1:28" hidden="1" x14ac:dyDescent="0.35">
      <c r="A84" t="s">
        <v>910</v>
      </c>
      <c r="B84" t="s">
        <v>910</v>
      </c>
      <c r="C84" t="s">
        <v>438</v>
      </c>
      <c r="D84" s="4">
        <v>246779410826</v>
      </c>
      <c r="E84" s="3">
        <v>45720</v>
      </c>
      <c r="F84" t="s">
        <v>11</v>
      </c>
      <c r="G84">
        <v>-3</v>
      </c>
      <c r="H84">
        <v>3</v>
      </c>
      <c r="I84">
        <v>-261.13</v>
      </c>
      <c r="K84" s="3">
        <v>45750</v>
      </c>
      <c r="L84" s="3">
        <v>45838</v>
      </c>
      <c r="M84" t="s">
        <v>912</v>
      </c>
      <c r="N84" s="2">
        <v>45809</v>
      </c>
      <c r="O84">
        <v>51171807</v>
      </c>
      <c r="P84">
        <v>1</v>
      </c>
      <c r="Q84" s="3">
        <v>45820</v>
      </c>
      <c r="R84">
        <v>210</v>
      </c>
      <c r="S84" s="85">
        <v>1.55E+16</v>
      </c>
      <c r="T84" t="s">
        <v>913</v>
      </c>
      <c r="U84">
        <v>261.13</v>
      </c>
      <c r="W84" s="79">
        <f t="shared" si="3"/>
        <v>-1.9990043273465322E-2</v>
      </c>
      <c r="X84">
        <f>VLOOKUP(D84,'[3]Customer TDS'!D:I,6,0)</f>
        <v>5.22</v>
      </c>
      <c r="Y84" s="27">
        <f t="shared" si="4"/>
        <v>-255.91</v>
      </c>
      <c r="Z84" t="s">
        <v>915</v>
      </c>
      <c r="AA84">
        <f>VLOOKUP(D84,'Ascendus DATA'!$F:$J,5,0)</f>
        <v>260.07</v>
      </c>
      <c r="AB84" s="27">
        <f t="shared" si="5"/>
        <v>-1.0600000000000023</v>
      </c>
    </row>
    <row r="85" spans="1:28" hidden="1" x14ac:dyDescent="0.35">
      <c r="A85" t="s">
        <v>910</v>
      </c>
      <c r="B85" t="s">
        <v>910</v>
      </c>
      <c r="C85" t="s">
        <v>438</v>
      </c>
      <c r="D85" s="4">
        <v>246779410175</v>
      </c>
      <c r="E85" s="3">
        <v>45708</v>
      </c>
      <c r="F85" t="s">
        <v>11</v>
      </c>
      <c r="G85">
        <v>-52.38</v>
      </c>
      <c r="H85">
        <v>52.38</v>
      </c>
      <c r="I85" s="27">
        <v>-4532.9399999999996</v>
      </c>
      <c r="K85" s="3">
        <v>45738</v>
      </c>
      <c r="L85" s="3">
        <v>45838</v>
      </c>
      <c r="M85" t="s">
        <v>912</v>
      </c>
      <c r="N85" s="2">
        <v>45809</v>
      </c>
      <c r="O85">
        <v>51171811</v>
      </c>
      <c r="P85">
        <v>1</v>
      </c>
      <c r="Q85" s="3">
        <v>45820</v>
      </c>
      <c r="R85">
        <v>210</v>
      </c>
      <c r="S85" s="85">
        <v>1.55E+16</v>
      </c>
      <c r="T85" t="s">
        <v>913</v>
      </c>
      <c r="U85">
        <v>4532.9399999999996</v>
      </c>
      <c r="W85" s="79">
        <f t="shared" si="3"/>
        <v>-2.0046592277859404E-2</v>
      </c>
      <c r="X85">
        <f>VLOOKUP(D85,'[3]Customer TDS'!D:I,6,0)</f>
        <v>90.87</v>
      </c>
      <c r="Y85" s="27">
        <f t="shared" si="4"/>
        <v>-4442.07</v>
      </c>
      <c r="Z85" t="s">
        <v>915</v>
      </c>
      <c r="AA85">
        <f>VLOOKUP(D85,'Ascendus DATA'!$F:$J,5,0)</f>
        <v>4520.59</v>
      </c>
      <c r="AB85" s="27">
        <f t="shared" si="5"/>
        <v>-12.349999999999454</v>
      </c>
    </row>
    <row r="86" spans="1:28" hidden="1" x14ac:dyDescent="0.35">
      <c r="A86" t="s">
        <v>910</v>
      </c>
      <c r="B86" t="s">
        <v>910</v>
      </c>
      <c r="C86" t="s">
        <v>438</v>
      </c>
      <c r="D86" s="4">
        <v>246779411410</v>
      </c>
      <c r="E86" s="3">
        <v>45730</v>
      </c>
      <c r="F86" t="s">
        <v>11</v>
      </c>
      <c r="G86">
        <v>-40.06</v>
      </c>
      <c r="H86">
        <v>40.06</v>
      </c>
      <c r="I86" s="27">
        <v>-3486.92</v>
      </c>
      <c r="K86" s="3">
        <v>45760</v>
      </c>
      <c r="L86" s="3">
        <v>45838</v>
      </c>
      <c r="M86" t="s">
        <v>912</v>
      </c>
      <c r="N86" s="2">
        <v>45809</v>
      </c>
      <c r="O86">
        <v>51171812</v>
      </c>
      <c r="P86">
        <v>1</v>
      </c>
      <c r="Q86" s="3">
        <v>45820</v>
      </c>
      <c r="R86">
        <v>210</v>
      </c>
      <c r="S86" s="85">
        <v>1.55E+16</v>
      </c>
      <c r="T86" t="s">
        <v>913</v>
      </c>
      <c r="U86">
        <v>3486.92</v>
      </c>
      <c r="W86" s="79">
        <f t="shared" si="3"/>
        <v>-1.9968912392598626E-2</v>
      </c>
      <c r="X86">
        <f>VLOOKUP(D86,'[3]Customer TDS'!D:I,6,0)</f>
        <v>69.63</v>
      </c>
      <c r="Y86" s="27">
        <f t="shared" si="4"/>
        <v>-3417.29</v>
      </c>
      <c r="Z86" t="s">
        <v>915</v>
      </c>
      <c r="AA86">
        <f>VLOOKUP(D86,'Ascendus DATA'!$F:$J,5,0)</f>
        <v>3472.85</v>
      </c>
      <c r="AB86" s="27">
        <f t="shared" si="5"/>
        <v>-14.070000000000164</v>
      </c>
    </row>
    <row r="87" spans="1:28" hidden="1" x14ac:dyDescent="0.35">
      <c r="A87" t="s">
        <v>910</v>
      </c>
      <c r="B87" t="s">
        <v>910</v>
      </c>
      <c r="C87" t="s">
        <v>438</v>
      </c>
      <c r="D87" s="4">
        <v>246779410141</v>
      </c>
      <c r="E87" s="3">
        <v>45708</v>
      </c>
      <c r="F87" t="s">
        <v>11</v>
      </c>
      <c r="G87" s="27">
        <v>-2380.9499999999998</v>
      </c>
      <c r="H87" s="27">
        <v>2380.9499999999998</v>
      </c>
      <c r="I87" s="27">
        <v>-206046.42</v>
      </c>
      <c r="K87" s="3">
        <v>45738</v>
      </c>
      <c r="L87" s="3">
        <v>45838</v>
      </c>
      <c r="M87" t="s">
        <v>912</v>
      </c>
      <c r="N87" s="2">
        <v>45809</v>
      </c>
      <c r="O87">
        <v>51171816</v>
      </c>
      <c r="P87">
        <v>1</v>
      </c>
      <c r="Q87" s="3">
        <v>45820</v>
      </c>
      <c r="R87">
        <v>210</v>
      </c>
      <c r="S87" s="85">
        <v>1.55E+16</v>
      </c>
      <c r="T87" t="s">
        <v>913</v>
      </c>
      <c r="U87">
        <v>206046.42</v>
      </c>
      <c r="W87" s="79">
        <f t="shared" si="3"/>
        <v>-2.0000396027264146E-2</v>
      </c>
      <c r="X87">
        <f>VLOOKUP(D87,'[3]Customer TDS'!D:I,6,0)</f>
        <v>4121.01</v>
      </c>
      <c r="Y87" s="27">
        <f t="shared" si="4"/>
        <v>-201925.41</v>
      </c>
      <c r="Z87" t="s">
        <v>915</v>
      </c>
      <c r="AA87">
        <f>VLOOKUP(D87,'Ascendus DATA'!$F:$J,5,0)</f>
        <v>205484.7</v>
      </c>
      <c r="AB87" s="27">
        <f t="shared" si="5"/>
        <v>-561.72000000000116</v>
      </c>
    </row>
    <row r="88" spans="1:28" hidden="1" x14ac:dyDescent="0.35">
      <c r="A88" t="s">
        <v>910</v>
      </c>
      <c r="B88" t="s">
        <v>910</v>
      </c>
      <c r="C88" t="s">
        <v>438</v>
      </c>
      <c r="D88" s="4">
        <v>246779411413</v>
      </c>
      <c r="E88" s="3">
        <v>45730</v>
      </c>
      <c r="F88" t="s">
        <v>11</v>
      </c>
      <c r="G88">
        <v>-40.06</v>
      </c>
      <c r="H88">
        <v>40.06</v>
      </c>
      <c r="I88" s="27">
        <v>-3486.92</v>
      </c>
      <c r="K88" s="3">
        <v>45760</v>
      </c>
      <c r="L88" s="3">
        <v>45838</v>
      </c>
      <c r="M88" t="s">
        <v>912</v>
      </c>
      <c r="N88" s="2">
        <v>45809</v>
      </c>
      <c r="O88">
        <v>51171818</v>
      </c>
      <c r="P88">
        <v>1</v>
      </c>
      <c r="Q88" s="3">
        <v>45820</v>
      </c>
      <c r="R88">
        <v>210</v>
      </c>
      <c r="S88" s="85">
        <v>1.55E+16</v>
      </c>
      <c r="T88" t="s">
        <v>913</v>
      </c>
      <c r="U88">
        <v>3486.92</v>
      </c>
      <c r="W88" s="79">
        <f t="shared" si="3"/>
        <v>-1.9968912392598626E-2</v>
      </c>
      <c r="X88">
        <f>VLOOKUP(D88,'[3]Customer TDS'!D:I,6,0)</f>
        <v>69.63</v>
      </c>
      <c r="Y88" s="27">
        <f t="shared" si="4"/>
        <v>-3417.29</v>
      </c>
      <c r="Z88" t="s">
        <v>915</v>
      </c>
      <c r="AA88">
        <f>VLOOKUP(D88,'Ascendus DATA'!$F:$J,5,0)</f>
        <v>3472.85</v>
      </c>
      <c r="AB88" s="27">
        <f t="shared" si="5"/>
        <v>-14.070000000000164</v>
      </c>
    </row>
    <row r="89" spans="1:28" hidden="1" x14ac:dyDescent="0.35">
      <c r="A89" t="s">
        <v>910</v>
      </c>
      <c r="B89" t="s">
        <v>910</v>
      </c>
      <c r="C89" t="s">
        <v>438</v>
      </c>
      <c r="D89" s="4">
        <v>246779411414</v>
      </c>
      <c r="E89" s="3">
        <v>45730</v>
      </c>
      <c r="F89" t="s">
        <v>11</v>
      </c>
      <c r="G89">
        <v>-28.62</v>
      </c>
      <c r="H89">
        <v>28.62</v>
      </c>
      <c r="I89" s="27">
        <v>-2491.15</v>
      </c>
      <c r="K89" s="3">
        <v>45760</v>
      </c>
      <c r="L89" s="3">
        <v>45838</v>
      </c>
      <c r="M89" t="s">
        <v>912</v>
      </c>
      <c r="N89" s="2">
        <v>45809</v>
      </c>
      <c r="O89">
        <v>51171822</v>
      </c>
      <c r="P89">
        <v>1</v>
      </c>
      <c r="Q89" s="3">
        <v>45820</v>
      </c>
      <c r="R89">
        <v>210</v>
      </c>
      <c r="S89" s="85">
        <v>1.55E+16</v>
      </c>
      <c r="T89" t="s">
        <v>913</v>
      </c>
      <c r="U89">
        <v>2491.15</v>
      </c>
      <c r="W89" s="79">
        <f t="shared" si="3"/>
        <v>-1.9914497320514622E-2</v>
      </c>
      <c r="X89">
        <f>VLOOKUP(D89,'[3]Customer TDS'!D:I,6,0)</f>
        <v>49.61</v>
      </c>
      <c r="Y89" s="27">
        <f t="shared" si="4"/>
        <v>-2441.54</v>
      </c>
      <c r="Z89" t="s">
        <v>915</v>
      </c>
      <c r="AA89">
        <f>VLOOKUP(D89,'Ascendus DATA'!$F:$J,5,0)</f>
        <v>2481.1</v>
      </c>
      <c r="AB89" s="27">
        <f t="shared" si="5"/>
        <v>-10.050000000000182</v>
      </c>
    </row>
    <row r="90" spans="1:28" hidden="1" x14ac:dyDescent="0.35">
      <c r="A90" t="s">
        <v>910</v>
      </c>
      <c r="B90" t="s">
        <v>910</v>
      </c>
      <c r="C90" t="s">
        <v>438</v>
      </c>
      <c r="D90" s="4">
        <v>246779411415</v>
      </c>
      <c r="E90" s="3">
        <v>45730</v>
      </c>
      <c r="F90" t="s">
        <v>11</v>
      </c>
      <c r="G90">
        <v>-22.89</v>
      </c>
      <c r="H90">
        <v>22.89</v>
      </c>
      <c r="I90" s="27">
        <v>-1992.4</v>
      </c>
      <c r="K90" s="3">
        <v>45760</v>
      </c>
      <c r="L90" s="3">
        <v>45838</v>
      </c>
      <c r="M90" t="s">
        <v>912</v>
      </c>
      <c r="N90" s="2">
        <v>45809</v>
      </c>
      <c r="O90">
        <v>51171825</v>
      </c>
      <c r="P90">
        <v>1</v>
      </c>
      <c r="Q90" s="3">
        <v>45820</v>
      </c>
      <c r="R90">
        <v>210</v>
      </c>
      <c r="S90" s="85">
        <v>1.55E+16</v>
      </c>
      <c r="T90" t="s">
        <v>913</v>
      </c>
      <c r="U90">
        <v>1992.4</v>
      </c>
      <c r="W90" s="79">
        <f t="shared" si="3"/>
        <v>-2.0096366191527805E-2</v>
      </c>
      <c r="X90">
        <f>VLOOKUP(D90,'[3]Customer TDS'!D:I,6,0)</f>
        <v>40.04</v>
      </c>
      <c r="Y90" s="27">
        <f t="shared" si="4"/>
        <v>-1952.3600000000001</v>
      </c>
      <c r="Z90" t="s">
        <v>915</v>
      </c>
      <c r="AA90">
        <f>VLOOKUP(D90,'Ascendus DATA'!$F:$J,5,0)</f>
        <v>1984.36</v>
      </c>
      <c r="AB90" s="27">
        <f t="shared" si="5"/>
        <v>-8.040000000000191</v>
      </c>
    </row>
    <row r="91" spans="1:28" hidden="1" x14ac:dyDescent="0.35">
      <c r="A91" t="s">
        <v>910</v>
      </c>
      <c r="B91" t="s">
        <v>910</v>
      </c>
      <c r="C91" t="s">
        <v>438</v>
      </c>
      <c r="D91" s="4">
        <v>246779411417</v>
      </c>
      <c r="E91" s="3">
        <v>45730</v>
      </c>
      <c r="F91" t="s">
        <v>11</v>
      </c>
      <c r="G91">
        <v>-68.680000000000007</v>
      </c>
      <c r="H91">
        <v>68.680000000000007</v>
      </c>
      <c r="I91" s="27">
        <v>-5978.07</v>
      </c>
      <c r="K91" s="3">
        <v>45760</v>
      </c>
      <c r="L91" s="3">
        <v>45838</v>
      </c>
      <c r="M91" t="s">
        <v>912</v>
      </c>
      <c r="N91" s="2">
        <v>45809</v>
      </c>
      <c r="O91">
        <v>51171830</v>
      </c>
      <c r="P91">
        <v>1</v>
      </c>
      <c r="Q91" s="3">
        <v>45820</v>
      </c>
      <c r="R91">
        <v>210</v>
      </c>
      <c r="S91" s="85">
        <v>1.55E+16</v>
      </c>
      <c r="T91" t="s">
        <v>913</v>
      </c>
      <c r="U91">
        <v>5978.07</v>
      </c>
      <c r="W91" s="79">
        <f t="shared" si="3"/>
        <v>-1.9947909609623175E-2</v>
      </c>
      <c r="X91">
        <f>VLOOKUP(D91,'[3]Customer TDS'!D:I,6,0)</f>
        <v>119.25</v>
      </c>
      <c r="Y91" s="27">
        <f t="shared" si="4"/>
        <v>-5858.82</v>
      </c>
      <c r="Z91" t="s">
        <v>915</v>
      </c>
      <c r="AA91">
        <f>VLOOKUP(D91,'Ascendus DATA'!$F:$J,5,0)</f>
        <v>5953.96</v>
      </c>
      <c r="AB91" s="27">
        <f t="shared" si="5"/>
        <v>-24.109999999999673</v>
      </c>
    </row>
    <row r="92" spans="1:28" hidden="1" x14ac:dyDescent="0.35">
      <c r="A92" t="s">
        <v>910</v>
      </c>
      <c r="B92" t="s">
        <v>910</v>
      </c>
      <c r="C92" t="s">
        <v>438</v>
      </c>
      <c r="D92" s="4">
        <v>246779410217</v>
      </c>
      <c r="E92" s="3">
        <v>45708</v>
      </c>
      <c r="F92" t="s">
        <v>11</v>
      </c>
      <c r="G92">
        <v>-93.33</v>
      </c>
      <c r="H92">
        <v>93.33</v>
      </c>
      <c r="I92" s="27">
        <v>-8076.74</v>
      </c>
      <c r="J92" t="s">
        <v>88</v>
      </c>
      <c r="K92" s="3">
        <v>45738</v>
      </c>
      <c r="L92" s="3">
        <v>45838</v>
      </c>
      <c r="M92" t="s">
        <v>912</v>
      </c>
      <c r="N92" s="2">
        <v>45809</v>
      </c>
      <c r="O92">
        <v>51171835</v>
      </c>
      <c r="P92">
        <v>1</v>
      </c>
      <c r="Q92" s="3">
        <v>45820</v>
      </c>
      <c r="R92">
        <v>210</v>
      </c>
      <c r="S92" s="85">
        <v>1.55E+16</v>
      </c>
      <c r="T92" t="s">
        <v>913</v>
      </c>
      <c r="U92">
        <v>8076.74</v>
      </c>
      <c r="W92" s="79">
        <f t="shared" si="3"/>
        <v>-2.0036549399881639E-2</v>
      </c>
      <c r="X92">
        <f>VLOOKUP(D92,'[3]Customer TDS'!D:I,6,0)</f>
        <v>161.83000000000001</v>
      </c>
      <c r="Y92" s="27">
        <f t="shared" si="4"/>
        <v>-7914.91</v>
      </c>
      <c r="Z92" t="s">
        <v>915</v>
      </c>
      <c r="AA92">
        <f>VLOOKUP(D92,'Ascendus DATA'!$F:$J,5,0)</f>
        <v>8054.72</v>
      </c>
      <c r="AB92" s="27">
        <f t="shared" si="5"/>
        <v>-22.019999999999527</v>
      </c>
    </row>
    <row r="93" spans="1:28" hidden="1" x14ac:dyDescent="0.35">
      <c r="A93" t="s">
        <v>910</v>
      </c>
      <c r="B93" t="s">
        <v>910</v>
      </c>
      <c r="C93" t="s">
        <v>438</v>
      </c>
      <c r="D93" s="4">
        <v>246779410218</v>
      </c>
      <c r="E93" s="3">
        <v>45708</v>
      </c>
      <c r="F93" t="s">
        <v>11</v>
      </c>
      <c r="G93">
        <v>-51.33</v>
      </c>
      <c r="H93">
        <v>51.33</v>
      </c>
      <c r="I93" s="27">
        <v>-4442.08</v>
      </c>
      <c r="K93" s="3">
        <v>45738</v>
      </c>
      <c r="L93" s="3">
        <v>45838</v>
      </c>
      <c r="M93" t="s">
        <v>912</v>
      </c>
      <c r="N93" s="2">
        <v>45809</v>
      </c>
      <c r="O93">
        <v>51171840</v>
      </c>
      <c r="P93">
        <v>1</v>
      </c>
      <c r="Q93" s="3">
        <v>45820</v>
      </c>
      <c r="R93">
        <v>210</v>
      </c>
      <c r="S93" s="85">
        <v>1.55E+16</v>
      </c>
      <c r="T93" t="s">
        <v>913</v>
      </c>
      <c r="U93">
        <v>4442.08</v>
      </c>
      <c r="W93" s="79">
        <f t="shared" si="3"/>
        <v>-2.0067175737492348E-2</v>
      </c>
      <c r="X93">
        <f>VLOOKUP(D93,'[3]Customer TDS'!D:I,6,0)</f>
        <v>89.14</v>
      </c>
      <c r="Y93" s="27">
        <f t="shared" si="4"/>
        <v>-4352.9399999999996</v>
      </c>
      <c r="Z93" t="s">
        <v>915</v>
      </c>
      <c r="AA93">
        <f>VLOOKUP(D93,'Ascendus DATA'!$F:$J,5,0)</f>
        <v>4429.97</v>
      </c>
      <c r="AB93" s="27">
        <f>I93+AA93</f>
        <v>-12.109999999999673</v>
      </c>
    </row>
    <row r="94" spans="1:28" hidden="1" x14ac:dyDescent="0.35">
      <c r="A94" t="s">
        <v>910</v>
      </c>
      <c r="B94" t="s">
        <v>910</v>
      </c>
      <c r="C94" t="s">
        <v>438</v>
      </c>
      <c r="D94" s="4">
        <v>256779410818</v>
      </c>
      <c r="E94" s="3">
        <v>45751</v>
      </c>
      <c r="F94" t="s">
        <v>56</v>
      </c>
      <c r="G94" t="s">
        <v>911</v>
      </c>
      <c r="H94" t="s">
        <v>911</v>
      </c>
      <c r="I94" s="27">
        <v>-1231.96</v>
      </c>
      <c r="J94" t="s">
        <v>88</v>
      </c>
      <c r="K94" s="3">
        <v>45781</v>
      </c>
      <c r="L94" s="3">
        <v>45961</v>
      </c>
      <c r="M94" t="s">
        <v>912</v>
      </c>
      <c r="N94" s="2">
        <v>45809</v>
      </c>
      <c r="O94">
        <v>51171847</v>
      </c>
      <c r="P94">
        <v>1</v>
      </c>
      <c r="Q94" s="3">
        <v>45820</v>
      </c>
      <c r="R94">
        <v>210</v>
      </c>
      <c r="S94" s="85">
        <v>1.55E+16</v>
      </c>
      <c r="T94" t="s">
        <v>913</v>
      </c>
      <c r="U94">
        <v>457.29</v>
      </c>
      <c r="W94" s="79">
        <f t="shared" si="3"/>
        <v>-2.0292866651514658E-2</v>
      </c>
      <c r="X94">
        <f>VLOOKUP(D94,'[3]Customer TDS'!D:I,6,0)</f>
        <v>25</v>
      </c>
      <c r="Y94" s="27">
        <f t="shared" si="4"/>
        <v>-1206.96</v>
      </c>
      <c r="Z94" t="s">
        <v>894</v>
      </c>
      <c r="AA94" t="e">
        <f>VLOOKUP(D94,'Ascendus DATA'!$F:$J,5,0)</f>
        <v>#N/A</v>
      </c>
    </row>
    <row r="95" spans="1:28" hidden="1" x14ac:dyDescent="0.35">
      <c r="A95" t="s">
        <v>910</v>
      </c>
      <c r="B95" t="s">
        <v>910</v>
      </c>
      <c r="C95" t="s">
        <v>438</v>
      </c>
      <c r="D95" s="4">
        <v>246779411419</v>
      </c>
      <c r="E95" s="3">
        <v>45730</v>
      </c>
      <c r="F95" t="s">
        <v>11</v>
      </c>
      <c r="G95">
        <v>-23.35</v>
      </c>
      <c r="H95">
        <v>23.35</v>
      </c>
      <c r="I95" s="27">
        <v>-2032.44</v>
      </c>
      <c r="K95" s="3">
        <v>45760</v>
      </c>
      <c r="L95" s="3">
        <v>45838</v>
      </c>
      <c r="M95" t="s">
        <v>912</v>
      </c>
      <c r="N95" s="2">
        <v>45809</v>
      </c>
      <c r="O95">
        <v>51171848</v>
      </c>
      <c r="P95">
        <v>1</v>
      </c>
      <c r="Q95" s="3">
        <v>45820</v>
      </c>
      <c r="R95">
        <v>210</v>
      </c>
      <c r="S95" s="85">
        <v>1.55E+16</v>
      </c>
      <c r="T95" t="s">
        <v>913</v>
      </c>
      <c r="U95">
        <v>2032.44</v>
      </c>
      <c r="W95" s="79">
        <f t="shared" si="3"/>
        <v>-2.0128515478931724E-2</v>
      </c>
      <c r="X95">
        <f>VLOOKUP(D95,'[3]Customer TDS'!D:I,6,0)</f>
        <v>40.909999999999997</v>
      </c>
      <c r="Y95" s="27">
        <f t="shared" si="4"/>
        <v>-1991.53</v>
      </c>
      <c r="Z95" t="s">
        <v>915</v>
      </c>
      <c r="AA95">
        <f>VLOOKUP(D95,'Ascendus DATA'!$F:$J,5,0)</f>
        <v>2024.24</v>
      </c>
      <c r="AB95" s="27">
        <f t="shared" ref="AB95:AB96" si="6">I95+AA95</f>
        <v>-8.2000000000000455</v>
      </c>
    </row>
    <row r="96" spans="1:28" hidden="1" x14ac:dyDescent="0.35">
      <c r="A96" t="s">
        <v>910</v>
      </c>
      <c r="B96" t="s">
        <v>910</v>
      </c>
      <c r="C96" t="s">
        <v>438</v>
      </c>
      <c r="D96" s="4">
        <v>246779413202</v>
      </c>
      <c r="E96" s="3">
        <v>45735</v>
      </c>
      <c r="F96" t="s">
        <v>11</v>
      </c>
      <c r="G96">
        <v>-39.06</v>
      </c>
      <c r="H96">
        <v>39.06</v>
      </c>
      <c r="I96" s="27">
        <v>-3380.24</v>
      </c>
      <c r="K96" s="3">
        <v>45765</v>
      </c>
      <c r="L96" s="3">
        <v>45838</v>
      </c>
      <c r="M96" t="s">
        <v>912</v>
      </c>
      <c r="N96" s="2">
        <v>45809</v>
      </c>
      <c r="O96">
        <v>51171856</v>
      </c>
      <c r="P96">
        <v>1</v>
      </c>
      <c r="Q96" s="3">
        <v>45820</v>
      </c>
      <c r="R96">
        <v>210</v>
      </c>
      <c r="S96" s="85">
        <v>1.55E+16</v>
      </c>
      <c r="T96" t="s">
        <v>913</v>
      </c>
      <c r="U96">
        <v>3380.24</v>
      </c>
      <c r="W96" s="79">
        <f t="shared" si="3"/>
        <v>-1.9968996284287506E-2</v>
      </c>
      <c r="X96">
        <f>VLOOKUP(D96,'[3]Customer TDS'!D:I,6,0)</f>
        <v>67.5</v>
      </c>
      <c r="Y96" s="27">
        <f t="shared" si="4"/>
        <v>-3312.74</v>
      </c>
      <c r="Z96" t="s">
        <v>915</v>
      </c>
      <c r="AA96">
        <f>VLOOKUP(D96,'Ascendus DATA'!$F:$J,5,0)</f>
        <v>3386.16</v>
      </c>
      <c r="AB96" s="27">
        <f t="shared" si="6"/>
        <v>5.9200000000000728</v>
      </c>
    </row>
    <row r="97" spans="1:28" hidden="1" x14ac:dyDescent="0.35">
      <c r="A97" t="s">
        <v>910</v>
      </c>
      <c r="B97" t="s">
        <v>910</v>
      </c>
      <c r="C97" t="s">
        <v>438</v>
      </c>
      <c r="D97" s="4">
        <v>256779410262</v>
      </c>
      <c r="E97" s="3">
        <v>45750</v>
      </c>
      <c r="F97" t="s">
        <v>56</v>
      </c>
      <c r="G97" t="s">
        <v>911</v>
      </c>
      <c r="H97" t="s">
        <v>911</v>
      </c>
      <c r="I97">
        <v>-93.33</v>
      </c>
      <c r="J97" t="s">
        <v>88</v>
      </c>
      <c r="K97" s="3">
        <v>45780</v>
      </c>
      <c r="L97" s="3">
        <v>45939</v>
      </c>
      <c r="M97" t="s">
        <v>912</v>
      </c>
      <c r="N97" s="2">
        <v>45809</v>
      </c>
      <c r="O97">
        <v>51171858</v>
      </c>
      <c r="P97">
        <v>1</v>
      </c>
      <c r="Q97" s="3">
        <v>45820</v>
      </c>
      <c r="R97">
        <v>210</v>
      </c>
      <c r="S97" s="85">
        <v>1.55E+16</v>
      </c>
      <c r="T97" t="s">
        <v>913</v>
      </c>
      <c r="U97">
        <v>2</v>
      </c>
      <c r="W97" s="79">
        <f t="shared" si="3"/>
        <v>-2.1429336762027216E-2</v>
      </c>
      <c r="X97">
        <f>VLOOKUP(D97,'[3]Customer TDS'!D:I,6,0)</f>
        <v>2</v>
      </c>
      <c r="Y97" s="27">
        <f t="shared" si="4"/>
        <v>-91.33</v>
      </c>
      <c r="Z97" t="s">
        <v>914</v>
      </c>
      <c r="AA97">
        <f>VLOOKUP(D97,'Ascendus DATA'!$F:$J,5,0)</f>
        <v>8112.41</v>
      </c>
      <c r="AB97">
        <f>I97+AA97</f>
        <v>8019.08</v>
      </c>
    </row>
    <row r="98" spans="1:28" hidden="1" x14ac:dyDescent="0.35">
      <c r="A98" t="s">
        <v>910</v>
      </c>
      <c r="B98" t="s">
        <v>910</v>
      </c>
      <c r="C98" t="s">
        <v>438</v>
      </c>
      <c r="D98" s="4">
        <v>246779412037</v>
      </c>
      <c r="E98" s="3">
        <v>45733</v>
      </c>
      <c r="F98" t="s">
        <v>11</v>
      </c>
      <c r="G98">
        <v>-44.85</v>
      </c>
      <c r="H98">
        <v>44.85</v>
      </c>
      <c r="I98" s="27">
        <v>-3903.85</v>
      </c>
      <c r="J98" t="s">
        <v>134</v>
      </c>
      <c r="K98" s="3">
        <v>45763</v>
      </c>
      <c r="L98" s="3">
        <v>45838</v>
      </c>
      <c r="M98" t="s">
        <v>912</v>
      </c>
      <c r="N98" s="2">
        <v>45809</v>
      </c>
      <c r="O98">
        <v>51171868</v>
      </c>
      <c r="P98">
        <v>1</v>
      </c>
      <c r="Q98" s="3">
        <v>45820</v>
      </c>
      <c r="R98">
        <v>210</v>
      </c>
      <c r="S98" s="85">
        <v>1.55E+16</v>
      </c>
      <c r="T98" t="s">
        <v>913</v>
      </c>
      <c r="U98">
        <v>3903.85</v>
      </c>
      <c r="W98" s="79">
        <f t="shared" si="3"/>
        <v>-2.0067369391754294E-2</v>
      </c>
      <c r="X98">
        <f>VLOOKUP(D98,'[3]Customer TDS'!D:I,6,0)</f>
        <v>78.34</v>
      </c>
      <c r="Y98" s="27">
        <f t="shared" si="4"/>
        <v>-3825.5099999999998</v>
      </c>
      <c r="Z98" t="s">
        <v>915</v>
      </c>
      <c r="AA98">
        <f>VLOOKUP(D98,'Ascendus DATA'!$F:$J,5,0)</f>
        <v>3888.1</v>
      </c>
      <c r="AB98" s="27">
        <f t="shared" ref="AB98:AB118" si="7">I98+AA98</f>
        <v>-15.75</v>
      </c>
    </row>
    <row r="99" spans="1:28" hidden="1" x14ac:dyDescent="0.35">
      <c r="A99" t="s">
        <v>910</v>
      </c>
      <c r="B99" t="s">
        <v>910</v>
      </c>
      <c r="C99" t="s">
        <v>438</v>
      </c>
      <c r="D99" s="4">
        <v>246779412032</v>
      </c>
      <c r="E99" s="3">
        <v>45733</v>
      </c>
      <c r="F99" t="s">
        <v>11</v>
      </c>
      <c r="G99">
        <v>-33.64</v>
      </c>
      <c r="H99">
        <v>33.64</v>
      </c>
      <c r="I99" s="27">
        <v>-2928.11</v>
      </c>
      <c r="K99" s="3">
        <v>45763</v>
      </c>
      <c r="L99" s="3">
        <v>45838</v>
      </c>
      <c r="M99" t="s">
        <v>912</v>
      </c>
      <c r="N99" s="2">
        <v>45809</v>
      </c>
      <c r="O99">
        <v>51171871</v>
      </c>
      <c r="P99">
        <v>1</v>
      </c>
      <c r="Q99" s="3">
        <v>45820</v>
      </c>
      <c r="R99">
        <v>210</v>
      </c>
      <c r="S99" s="85">
        <v>1.55E+16</v>
      </c>
      <c r="T99" t="s">
        <v>913</v>
      </c>
      <c r="U99">
        <v>2928.11</v>
      </c>
      <c r="W99" s="79">
        <f t="shared" si="3"/>
        <v>-1.9917284528245181E-2</v>
      </c>
      <c r="X99">
        <f>VLOOKUP(D99,'[3]Customer TDS'!D:I,6,0)</f>
        <v>58.32</v>
      </c>
      <c r="Y99" s="27">
        <f t="shared" si="4"/>
        <v>-2869.79</v>
      </c>
      <c r="Z99" t="s">
        <v>915</v>
      </c>
      <c r="AA99">
        <f>VLOOKUP(D99,'Ascendus DATA'!$F:$J,5,0)</f>
        <v>2916.29</v>
      </c>
      <c r="AB99" s="27">
        <f t="shared" si="7"/>
        <v>-11.820000000000164</v>
      </c>
    </row>
    <row r="100" spans="1:28" hidden="1" x14ac:dyDescent="0.35">
      <c r="A100" t="s">
        <v>910</v>
      </c>
      <c r="B100" t="s">
        <v>910</v>
      </c>
      <c r="C100" t="s">
        <v>438</v>
      </c>
      <c r="D100" s="4">
        <v>246779412030</v>
      </c>
      <c r="E100" s="3">
        <v>45733</v>
      </c>
      <c r="F100" t="s">
        <v>11</v>
      </c>
      <c r="G100">
        <v>-16.82</v>
      </c>
      <c r="H100">
        <v>16.82</v>
      </c>
      <c r="I100" s="27">
        <v>-1464.05</v>
      </c>
      <c r="K100" s="3">
        <v>45763</v>
      </c>
      <c r="L100" s="3">
        <v>45838</v>
      </c>
      <c r="M100" t="s">
        <v>912</v>
      </c>
      <c r="N100" s="2">
        <v>45809</v>
      </c>
      <c r="O100">
        <v>51171874</v>
      </c>
      <c r="P100">
        <v>1</v>
      </c>
      <c r="Q100" s="3">
        <v>45820</v>
      </c>
      <c r="R100">
        <v>210</v>
      </c>
      <c r="S100" s="85">
        <v>1.55E+16</v>
      </c>
      <c r="T100" t="s">
        <v>913</v>
      </c>
      <c r="U100">
        <v>1464.05</v>
      </c>
      <c r="W100" s="79">
        <f t="shared" si="3"/>
        <v>-2.0211058365492984E-2</v>
      </c>
      <c r="X100">
        <f>VLOOKUP(D100,'[3]Customer TDS'!D:I,6,0)</f>
        <v>29.59</v>
      </c>
      <c r="Y100" s="27">
        <f t="shared" si="4"/>
        <v>-1434.46</v>
      </c>
      <c r="Z100" t="s">
        <v>915</v>
      </c>
      <c r="AA100">
        <f>VLOOKUP(D100,'Ascendus DATA'!$F:$J,5,0)</f>
        <v>1458.15</v>
      </c>
      <c r="AB100" s="27">
        <f t="shared" si="7"/>
        <v>-5.8999999999998636</v>
      </c>
    </row>
    <row r="101" spans="1:28" hidden="1" x14ac:dyDescent="0.35">
      <c r="A101" t="s">
        <v>910</v>
      </c>
      <c r="B101" t="s">
        <v>910</v>
      </c>
      <c r="C101" t="s">
        <v>438</v>
      </c>
      <c r="D101" s="4">
        <v>246779410904</v>
      </c>
      <c r="E101" s="3">
        <v>45722</v>
      </c>
      <c r="F101" t="s">
        <v>11</v>
      </c>
      <c r="G101" s="27">
        <v>-1665.82</v>
      </c>
      <c r="H101" s="27">
        <v>1665.82</v>
      </c>
      <c r="I101" s="27">
        <v>-144997</v>
      </c>
      <c r="K101" s="3">
        <v>45752</v>
      </c>
      <c r="L101" s="3">
        <v>45838</v>
      </c>
      <c r="M101" t="s">
        <v>912</v>
      </c>
      <c r="N101" s="2">
        <v>45809</v>
      </c>
      <c r="O101">
        <v>51171876</v>
      </c>
      <c r="P101">
        <v>1</v>
      </c>
      <c r="Q101" s="3">
        <v>45820</v>
      </c>
      <c r="R101">
        <v>210</v>
      </c>
      <c r="S101" s="85">
        <v>1.55E+16</v>
      </c>
      <c r="T101" t="s">
        <v>913</v>
      </c>
      <c r="U101">
        <v>144997</v>
      </c>
      <c r="W101" s="79">
        <f t="shared" si="3"/>
        <v>-2.0002137975268452E-2</v>
      </c>
      <c r="X101">
        <f>VLOOKUP(D101,'[3]Customer TDS'!D:I,6,0)</f>
        <v>2900.25</v>
      </c>
      <c r="Y101" s="27">
        <f t="shared" si="4"/>
        <v>-142096.75</v>
      </c>
      <c r="Z101" t="s">
        <v>915</v>
      </c>
      <c r="AA101">
        <f>VLOOKUP(D101,'Ascendus DATA'!$F:$J,5,0)</f>
        <v>144412.03</v>
      </c>
      <c r="AB101" s="27">
        <f t="shared" si="7"/>
        <v>-584.97000000000116</v>
      </c>
    </row>
    <row r="102" spans="1:28" hidden="1" x14ac:dyDescent="0.35">
      <c r="A102" t="s">
        <v>910</v>
      </c>
      <c r="B102" t="s">
        <v>910</v>
      </c>
      <c r="C102" t="s">
        <v>438</v>
      </c>
      <c r="D102" s="4">
        <v>246779410174</v>
      </c>
      <c r="E102" s="3">
        <v>45708</v>
      </c>
      <c r="F102" t="s">
        <v>11</v>
      </c>
      <c r="G102">
        <v>-95.24</v>
      </c>
      <c r="H102">
        <v>95.24</v>
      </c>
      <c r="I102" s="27">
        <v>-8242.0300000000007</v>
      </c>
      <c r="K102" s="3">
        <v>45738</v>
      </c>
      <c r="L102" s="3">
        <v>45838</v>
      </c>
      <c r="M102" t="s">
        <v>912</v>
      </c>
      <c r="N102" s="2">
        <v>45809</v>
      </c>
      <c r="O102">
        <v>51171884</v>
      </c>
      <c r="P102">
        <v>1</v>
      </c>
      <c r="Q102" s="3">
        <v>45820</v>
      </c>
      <c r="R102">
        <v>210</v>
      </c>
      <c r="S102" s="85">
        <v>1.55E+16</v>
      </c>
      <c r="T102" t="s">
        <v>913</v>
      </c>
      <c r="U102">
        <v>8242.0300000000007</v>
      </c>
      <c r="W102" s="79">
        <f t="shared" si="3"/>
        <v>-1.995018217599305E-2</v>
      </c>
      <c r="X102">
        <f>VLOOKUP(D102,'[3]Customer TDS'!D:I,6,0)</f>
        <v>164.43</v>
      </c>
      <c r="Y102" s="27">
        <f t="shared" si="4"/>
        <v>-8077.6</v>
      </c>
      <c r="Z102" t="s">
        <v>915</v>
      </c>
      <c r="AA102">
        <f>VLOOKUP(D102,'Ascendus DATA'!$F:$J,5,0)</f>
        <v>8219.56</v>
      </c>
      <c r="AB102" s="27">
        <f t="shared" si="7"/>
        <v>-22.470000000001164</v>
      </c>
    </row>
    <row r="103" spans="1:28" hidden="1" x14ac:dyDescent="0.35">
      <c r="A103" t="s">
        <v>910</v>
      </c>
      <c r="B103" t="s">
        <v>910</v>
      </c>
      <c r="C103" t="s">
        <v>438</v>
      </c>
      <c r="D103" s="4">
        <v>256779411468</v>
      </c>
      <c r="E103" s="3">
        <v>45762</v>
      </c>
      <c r="F103" t="s">
        <v>11</v>
      </c>
      <c r="G103">
        <v>-26.55</v>
      </c>
      <c r="H103">
        <v>26.55</v>
      </c>
      <c r="I103" s="27">
        <v>-2276.0500000000002</v>
      </c>
      <c r="K103" s="3">
        <v>45792</v>
      </c>
      <c r="L103" s="3">
        <v>45838</v>
      </c>
      <c r="M103" t="s">
        <v>912</v>
      </c>
      <c r="N103" s="2">
        <v>45809</v>
      </c>
      <c r="O103">
        <v>51171893</v>
      </c>
      <c r="P103">
        <v>1</v>
      </c>
      <c r="Q103" s="3">
        <v>45820</v>
      </c>
      <c r="R103">
        <v>210</v>
      </c>
      <c r="S103" s="85">
        <v>1.55E+16</v>
      </c>
      <c r="T103" t="s">
        <v>913</v>
      </c>
      <c r="U103">
        <v>2276.0500000000002</v>
      </c>
      <c r="W103" s="79">
        <f t="shared" si="3"/>
        <v>-1.9964412029612702E-2</v>
      </c>
      <c r="X103">
        <f>VLOOKUP(D103,'[3]Customer TDS'!D:I,6,0)</f>
        <v>45.44</v>
      </c>
      <c r="Y103" s="27">
        <f t="shared" si="4"/>
        <v>-2230.61</v>
      </c>
      <c r="Z103" t="s">
        <v>915</v>
      </c>
      <c r="AA103">
        <f>VLOOKUP(D103,'Ascendus DATA'!$F:$J,5,0)</f>
        <v>2307.77</v>
      </c>
      <c r="AB103" s="27">
        <f t="shared" si="7"/>
        <v>31.7199999999998</v>
      </c>
    </row>
    <row r="104" spans="1:28" hidden="1" x14ac:dyDescent="0.35">
      <c r="A104" t="s">
        <v>910</v>
      </c>
      <c r="B104" t="s">
        <v>910</v>
      </c>
      <c r="C104" t="s">
        <v>438</v>
      </c>
      <c r="D104" s="4">
        <v>246779410389</v>
      </c>
      <c r="E104" s="3">
        <v>45719</v>
      </c>
      <c r="F104" t="s">
        <v>11</v>
      </c>
      <c r="G104">
        <v>-542.08000000000004</v>
      </c>
      <c r="H104">
        <v>542.08000000000004</v>
      </c>
      <c r="I104" s="27">
        <v>-47183.95</v>
      </c>
      <c r="J104" t="s">
        <v>88</v>
      </c>
      <c r="K104" s="3">
        <v>45749</v>
      </c>
      <c r="L104" s="3">
        <v>45838</v>
      </c>
      <c r="M104" t="s">
        <v>912</v>
      </c>
      <c r="N104" s="2">
        <v>45809</v>
      </c>
      <c r="O104">
        <v>51171905</v>
      </c>
      <c r="P104">
        <v>1</v>
      </c>
      <c r="Q104" s="3">
        <v>45820</v>
      </c>
      <c r="R104">
        <v>210</v>
      </c>
      <c r="S104" s="85">
        <v>1.55E+16</v>
      </c>
      <c r="T104" t="s">
        <v>913</v>
      </c>
      <c r="U104">
        <v>47183.95</v>
      </c>
      <c r="W104" s="79">
        <f t="shared" si="3"/>
        <v>-1.9997054083009159E-2</v>
      </c>
      <c r="X104">
        <f>VLOOKUP(D104,'[3]Customer TDS'!D:I,6,0)</f>
        <v>943.54</v>
      </c>
      <c r="Y104" s="27">
        <f t="shared" si="4"/>
        <v>-46240.409999999996</v>
      </c>
      <c r="Z104" t="s">
        <v>915</v>
      </c>
      <c r="AA104">
        <f>VLOOKUP(D104,'Ascendus DATA'!$F:$J,5,0)</f>
        <v>46993.599999999999</v>
      </c>
      <c r="AB104" s="27">
        <f t="shared" si="7"/>
        <v>-190.34999999999854</v>
      </c>
    </row>
    <row r="105" spans="1:28" hidden="1" x14ac:dyDescent="0.35">
      <c r="A105" t="s">
        <v>910</v>
      </c>
      <c r="B105" t="s">
        <v>910</v>
      </c>
      <c r="C105" t="s">
        <v>438</v>
      </c>
      <c r="D105" s="4">
        <v>246779411409</v>
      </c>
      <c r="E105" s="3">
        <v>45730</v>
      </c>
      <c r="F105" t="s">
        <v>11</v>
      </c>
      <c r="G105">
        <v>-249.55</v>
      </c>
      <c r="H105">
        <v>249.55</v>
      </c>
      <c r="I105" s="27">
        <v>-21721.43</v>
      </c>
      <c r="J105" t="s">
        <v>88</v>
      </c>
      <c r="K105" s="3">
        <v>45760</v>
      </c>
      <c r="L105" s="3">
        <v>45838</v>
      </c>
      <c r="M105" t="s">
        <v>912</v>
      </c>
      <c r="N105" s="2">
        <v>45809</v>
      </c>
      <c r="O105">
        <v>51171913</v>
      </c>
      <c r="P105">
        <v>1</v>
      </c>
      <c r="Q105" s="3">
        <v>45820</v>
      </c>
      <c r="R105">
        <v>210</v>
      </c>
      <c r="S105" s="85">
        <v>1.55E+16</v>
      </c>
      <c r="T105" t="s">
        <v>913</v>
      </c>
      <c r="U105">
        <v>21721.43</v>
      </c>
      <c r="W105" s="79">
        <f t="shared" si="3"/>
        <v>-3.9991842157721655E-2</v>
      </c>
      <c r="X105">
        <v>868.68</v>
      </c>
      <c r="Y105" s="27">
        <f t="shared" si="4"/>
        <v>-20852.75</v>
      </c>
      <c r="Z105" t="s">
        <v>915</v>
      </c>
      <c r="AA105">
        <f>VLOOKUP(D105,'Ascendus DATA'!$F:$J,5,0)</f>
        <v>21633.8</v>
      </c>
      <c r="AB105" s="27">
        <f t="shared" si="7"/>
        <v>-87.630000000001019</v>
      </c>
    </row>
    <row r="106" spans="1:28" hidden="1" x14ac:dyDescent="0.35">
      <c r="A106" t="s">
        <v>910</v>
      </c>
      <c r="B106" t="s">
        <v>910</v>
      </c>
      <c r="C106" t="s">
        <v>438</v>
      </c>
      <c r="D106" s="4">
        <v>246779411408</v>
      </c>
      <c r="E106" s="3">
        <v>45730</v>
      </c>
      <c r="F106" t="s">
        <v>11</v>
      </c>
      <c r="G106">
        <v>-40.06</v>
      </c>
      <c r="H106">
        <v>40.06</v>
      </c>
      <c r="I106" s="27">
        <v>-3486.92</v>
      </c>
      <c r="K106" s="3">
        <v>45760</v>
      </c>
      <c r="L106" s="3">
        <v>45838</v>
      </c>
      <c r="M106" t="s">
        <v>912</v>
      </c>
      <c r="N106" s="2">
        <v>45809</v>
      </c>
      <c r="O106">
        <v>51171919</v>
      </c>
      <c r="P106">
        <v>1</v>
      </c>
      <c r="Q106" s="3">
        <v>45820</v>
      </c>
      <c r="R106">
        <v>210</v>
      </c>
      <c r="S106" s="85">
        <v>1.55E+16</v>
      </c>
      <c r="T106" t="s">
        <v>913</v>
      </c>
      <c r="U106">
        <v>3486.92</v>
      </c>
      <c r="W106" s="79">
        <f t="shared" si="3"/>
        <v>-1.9968912392598626E-2</v>
      </c>
      <c r="X106">
        <f>VLOOKUP(D106,'[3]Customer TDS'!D:I,6,0)</f>
        <v>69.63</v>
      </c>
      <c r="Y106" s="27">
        <f t="shared" si="4"/>
        <v>-3417.29</v>
      </c>
      <c r="Z106" t="s">
        <v>915</v>
      </c>
      <c r="AA106">
        <f>VLOOKUP(D106,'Ascendus DATA'!$F:$J,5,0)</f>
        <v>3472.85</v>
      </c>
      <c r="AB106" s="27">
        <f t="shared" si="7"/>
        <v>-14.070000000000164</v>
      </c>
    </row>
    <row r="107" spans="1:28" hidden="1" x14ac:dyDescent="0.35">
      <c r="A107" t="s">
        <v>910</v>
      </c>
      <c r="B107" t="s">
        <v>910</v>
      </c>
      <c r="C107" t="s">
        <v>438</v>
      </c>
      <c r="D107" s="4">
        <v>246779411411</v>
      </c>
      <c r="E107" s="3">
        <v>45730</v>
      </c>
      <c r="F107" t="s">
        <v>11</v>
      </c>
      <c r="G107">
        <v>-45.79</v>
      </c>
      <c r="H107">
        <v>45.79</v>
      </c>
      <c r="I107" s="27">
        <v>-3985.67</v>
      </c>
      <c r="K107" s="3">
        <v>45760</v>
      </c>
      <c r="L107" s="3">
        <v>45838</v>
      </c>
      <c r="M107" t="s">
        <v>912</v>
      </c>
      <c r="N107" s="2">
        <v>45809</v>
      </c>
      <c r="O107">
        <v>51171925</v>
      </c>
      <c r="P107">
        <v>1</v>
      </c>
      <c r="Q107" s="3">
        <v>45820</v>
      </c>
      <c r="R107">
        <v>210</v>
      </c>
      <c r="S107" s="85">
        <v>1.55E+16</v>
      </c>
      <c r="T107" t="s">
        <v>913</v>
      </c>
      <c r="U107">
        <v>3985.67</v>
      </c>
      <c r="W107" s="79">
        <f t="shared" si="3"/>
        <v>-2.0091979516618286E-2</v>
      </c>
      <c r="X107">
        <f>VLOOKUP(D107,'[3]Customer TDS'!D:I,6,0)</f>
        <v>80.08</v>
      </c>
      <c r="Y107" s="27">
        <f t="shared" si="4"/>
        <v>-3905.59</v>
      </c>
      <c r="Z107" t="s">
        <v>915</v>
      </c>
      <c r="AA107">
        <f>VLOOKUP(D107,'Ascendus DATA'!$F:$J,5,0)</f>
        <v>3969.59</v>
      </c>
      <c r="AB107" s="27">
        <f t="shared" si="7"/>
        <v>-16.079999999999927</v>
      </c>
    </row>
    <row r="108" spans="1:28" hidden="1" x14ac:dyDescent="0.35">
      <c r="A108" t="s">
        <v>910</v>
      </c>
      <c r="B108" t="s">
        <v>910</v>
      </c>
      <c r="C108" t="s">
        <v>438</v>
      </c>
      <c r="D108" s="4">
        <v>246779411412</v>
      </c>
      <c r="E108" s="3">
        <v>45730</v>
      </c>
      <c r="F108" t="s">
        <v>11</v>
      </c>
      <c r="G108">
        <v>-20.03</v>
      </c>
      <c r="H108">
        <v>20.03</v>
      </c>
      <c r="I108" s="27">
        <v>-1743.46</v>
      </c>
      <c r="K108" s="3">
        <v>45760</v>
      </c>
      <c r="L108" s="3">
        <v>45838</v>
      </c>
      <c r="M108" t="s">
        <v>912</v>
      </c>
      <c r="N108" s="2">
        <v>45809</v>
      </c>
      <c r="O108">
        <v>51171929</v>
      </c>
      <c r="P108">
        <v>1</v>
      </c>
      <c r="Q108" s="3">
        <v>45820</v>
      </c>
      <c r="R108">
        <v>210</v>
      </c>
      <c r="S108" s="85">
        <v>1.55E+16</v>
      </c>
      <c r="T108" t="s">
        <v>913</v>
      </c>
      <c r="U108">
        <v>1743.46</v>
      </c>
      <c r="W108" s="79">
        <f t="shared" si="3"/>
        <v>-1.9971780253060008E-2</v>
      </c>
      <c r="X108">
        <f>VLOOKUP(D108,'[3]Customer TDS'!D:I,6,0)</f>
        <v>34.82</v>
      </c>
      <c r="Y108" s="27">
        <f t="shared" si="4"/>
        <v>-1708.64</v>
      </c>
      <c r="Z108" t="s">
        <v>915</v>
      </c>
      <c r="AA108">
        <f>VLOOKUP(D108,'Ascendus DATA'!$F:$J,5,0)</f>
        <v>1736.43</v>
      </c>
      <c r="AB108" s="27">
        <f t="shared" si="7"/>
        <v>-7.0299999999999727</v>
      </c>
    </row>
    <row r="109" spans="1:28" hidden="1" x14ac:dyDescent="0.35">
      <c r="A109" t="s">
        <v>910</v>
      </c>
      <c r="B109" t="s">
        <v>910</v>
      </c>
      <c r="C109" t="s">
        <v>438</v>
      </c>
      <c r="D109" s="4">
        <v>246779411416</v>
      </c>
      <c r="E109" s="3">
        <v>45730</v>
      </c>
      <c r="F109" t="s">
        <v>11</v>
      </c>
      <c r="G109">
        <v>-114.46</v>
      </c>
      <c r="H109">
        <v>114.46</v>
      </c>
      <c r="I109" s="27">
        <v>-9962.8700000000008</v>
      </c>
      <c r="K109" s="3">
        <v>45760</v>
      </c>
      <c r="L109" s="3">
        <v>45838</v>
      </c>
      <c r="M109" t="s">
        <v>912</v>
      </c>
      <c r="N109" s="2">
        <v>45809</v>
      </c>
      <c r="O109">
        <v>51171933</v>
      </c>
      <c r="P109">
        <v>1</v>
      </c>
      <c r="Q109" s="3">
        <v>45820</v>
      </c>
      <c r="R109">
        <v>210</v>
      </c>
      <c r="S109" s="85">
        <v>1.55E+16</v>
      </c>
      <c r="T109" t="s">
        <v>913</v>
      </c>
      <c r="U109">
        <v>9962.8700000000008</v>
      </c>
      <c r="W109" s="79">
        <f t="shared" si="3"/>
        <v>-2.0007287056842054E-2</v>
      </c>
      <c r="X109">
        <f>VLOOKUP(D109,'[3]Customer TDS'!D:I,6,0)</f>
        <v>199.33</v>
      </c>
      <c r="Y109" s="27">
        <f t="shared" si="4"/>
        <v>-9763.5400000000009</v>
      </c>
      <c r="Z109" t="s">
        <v>915</v>
      </c>
      <c r="AA109">
        <f>VLOOKUP(D109,'Ascendus DATA'!$F:$J,5,0)</f>
        <v>9922.68</v>
      </c>
      <c r="AB109" s="27">
        <f t="shared" si="7"/>
        <v>-40.190000000000509</v>
      </c>
    </row>
    <row r="110" spans="1:28" hidden="1" x14ac:dyDescent="0.35">
      <c r="A110" t="s">
        <v>910</v>
      </c>
      <c r="B110" t="s">
        <v>910</v>
      </c>
      <c r="C110" t="s">
        <v>438</v>
      </c>
      <c r="D110" s="4">
        <v>246779411418</v>
      </c>
      <c r="E110" s="3">
        <v>45730</v>
      </c>
      <c r="F110" t="s">
        <v>11</v>
      </c>
      <c r="G110">
        <v>-312.5</v>
      </c>
      <c r="H110">
        <v>312.5</v>
      </c>
      <c r="I110" s="27">
        <v>-27200.75</v>
      </c>
      <c r="K110" s="3">
        <v>45760</v>
      </c>
      <c r="L110" s="3">
        <v>45838</v>
      </c>
      <c r="M110" t="s">
        <v>912</v>
      </c>
      <c r="N110" s="2">
        <v>45809</v>
      </c>
      <c r="O110">
        <v>51171937</v>
      </c>
      <c r="P110">
        <v>1</v>
      </c>
      <c r="Q110" s="3">
        <v>45820</v>
      </c>
      <c r="R110">
        <v>210</v>
      </c>
      <c r="S110" s="85">
        <v>1.55E+16</v>
      </c>
      <c r="T110" t="s">
        <v>913</v>
      </c>
      <c r="U110">
        <v>27200.75</v>
      </c>
      <c r="W110" s="79">
        <f t="shared" si="3"/>
        <v>-2.0000183818460887E-2</v>
      </c>
      <c r="X110">
        <f>VLOOKUP(D110,'[3]Customer TDS'!D:I,6,0)</f>
        <v>544.02</v>
      </c>
      <c r="Y110" s="27">
        <f t="shared" si="4"/>
        <v>-26656.73</v>
      </c>
      <c r="Z110" t="s">
        <v>915</v>
      </c>
      <c r="AA110">
        <f>VLOOKUP(D110,'Ascendus DATA'!$F:$J,5,0)</f>
        <v>27091.02</v>
      </c>
      <c r="AB110" s="27">
        <f t="shared" si="7"/>
        <v>-109.72999999999956</v>
      </c>
    </row>
    <row r="111" spans="1:28" hidden="1" x14ac:dyDescent="0.35">
      <c r="A111" t="s">
        <v>910</v>
      </c>
      <c r="B111" t="s">
        <v>910</v>
      </c>
      <c r="C111" t="s">
        <v>438</v>
      </c>
      <c r="D111" s="4">
        <v>246779410184</v>
      </c>
      <c r="E111" s="3">
        <v>45708</v>
      </c>
      <c r="F111" t="s">
        <v>11</v>
      </c>
      <c r="G111" s="27">
        <v>-2333.1799999999998</v>
      </c>
      <c r="H111" s="27">
        <v>2333.1799999999998</v>
      </c>
      <c r="I111" s="27">
        <v>-201912.42</v>
      </c>
      <c r="J111" t="s">
        <v>88</v>
      </c>
      <c r="K111" s="3">
        <v>45738</v>
      </c>
      <c r="L111" s="3">
        <v>45838</v>
      </c>
      <c r="M111" t="s">
        <v>912</v>
      </c>
      <c r="N111" s="2">
        <v>45809</v>
      </c>
      <c r="O111">
        <v>51171940</v>
      </c>
      <c r="P111">
        <v>1</v>
      </c>
      <c r="Q111" s="3">
        <v>45820</v>
      </c>
      <c r="R111">
        <v>210</v>
      </c>
      <c r="S111" s="85">
        <v>1.55E+16</v>
      </c>
      <c r="T111" t="s">
        <v>913</v>
      </c>
      <c r="U111">
        <v>201912.42</v>
      </c>
      <c r="W111" s="79">
        <f t="shared" si="3"/>
        <v>-1.9998472605102745E-2</v>
      </c>
      <c r="X111">
        <f>VLOOKUP(D111,'[3]Customer TDS'!D:I,6,0)</f>
        <v>4037.94</v>
      </c>
      <c r="Y111" s="27">
        <f t="shared" si="4"/>
        <v>-197874.48</v>
      </c>
      <c r="Z111" t="s">
        <v>915</v>
      </c>
      <c r="AA111">
        <f>VLOOKUP(D111,'Ascendus DATA'!$F:$J,5,0)</f>
        <v>201361.97</v>
      </c>
      <c r="AB111" s="27">
        <f t="shared" si="7"/>
        <v>-550.45000000001164</v>
      </c>
    </row>
    <row r="112" spans="1:28" hidden="1" x14ac:dyDescent="0.35">
      <c r="A112" t="s">
        <v>910</v>
      </c>
      <c r="B112" t="s">
        <v>910</v>
      </c>
      <c r="C112" t="s">
        <v>438</v>
      </c>
      <c r="D112" s="4">
        <v>246779413730</v>
      </c>
      <c r="E112" s="3">
        <v>45736</v>
      </c>
      <c r="F112" t="s">
        <v>11</v>
      </c>
      <c r="G112">
        <v>-3.2</v>
      </c>
      <c r="H112">
        <v>3.2</v>
      </c>
      <c r="I112">
        <v>-278.54000000000002</v>
      </c>
      <c r="K112" s="3">
        <v>45766</v>
      </c>
      <c r="L112" s="3">
        <v>45838</v>
      </c>
      <c r="M112" t="s">
        <v>912</v>
      </c>
      <c r="N112" s="2">
        <v>45809</v>
      </c>
      <c r="O112">
        <v>51171944</v>
      </c>
      <c r="P112">
        <v>1</v>
      </c>
      <c r="Q112" s="3">
        <v>45820</v>
      </c>
      <c r="R112">
        <v>210</v>
      </c>
      <c r="S112" s="85">
        <v>1.55E+16</v>
      </c>
      <c r="T112" t="s">
        <v>913</v>
      </c>
      <c r="U112">
        <v>278.54000000000002</v>
      </c>
      <c r="W112" s="79">
        <f t="shared" si="3"/>
        <v>-1.8740575859840593E-2</v>
      </c>
      <c r="X112">
        <f>VLOOKUP(D112,'[3]Customer TDS'!D:I,6,0)</f>
        <v>5.22</v>
      </c>
      <c r="Y112" s="27">
        <f t="shared" si="4"/>
        <v>-273.32</v>
      </c>
      <c r="Z112" t="s">
        <v>915</v>
      </c>
      <c r="AA112">
        <f>VLOOKUP(D112,'Ascendus DATA'!$F:$J,5,0)</f>
        <v>277.41000000000003</v>
      </c>
      <c r="AB112" s="27">
        <f t="shared" si="7"/>
        <v>-1.1299999999999955</v>
      </c>
    </row>
    <row r="113" spans="1:28" hidden="1" x14ac:dyDescent="0.35">
      <c r="A113" t="s">
        <v>910</v>
      </c>
      <c r="B113" t="s">
        <v>910</v>
      </c>
      <c r="C113" t="s">
        <v>438</v>
      </c>
      <c r="D113" s="4">
        <v>256779410263</v>
      </c>
      <c r="E113" s="3">
        <v>45750</v>
      </c>
      <c r="F113" t="s">
        <v>56</v>
      </c>
      <c r="G113" t="s">
        <v>911</v>
      </c>
      <c r="H113" t="s">
        <v>911</v>
      </c>
      <c r="I113">
        <v>-51.33</v>
      </c>
      <c r="J113" t="s">
        <v>88</v>
      </c>
      <c r="K113" s="3">
        <v>45780</v>
      </c>
      <c r="L113" s="3">
        <v>45939</v>
      </c>
      <c r="M113" t="s">
        <v>912</v>
      </c>
      <c r="N113" s="2">
        <v>45809</v>
      </c>
      <c r="O113">
        <v>51171949</v>
      </c>
      <c r="P113">
        <v>1</v>
      </c>
      <c r="Q113" s="3">
        <v>45820</v>
      </c>
      <c r="R113">
        <v>210</v>
      </c>
      <c r="S113" s="85">
        <v>1.55E+16</v>
      </c>
      <c r="T113" t="s">
        <v>913</v>
      </c>
      <c r="U113">
        <v>2</v>
      </c>
      <c r="W113" s="79">
        <f t="shared" si="3"/>
        <v>-3.8963569062926168E-2</v>
      </c>
      <c r="X113">
        <f>VLOOKUP(D113,'[3]Customer TDS'!D:I,6,0)</f>
        <v>2</v>
      </c>
      <c r="Y113" s="27">
        <f t="shared" si="4"/>
        <v>-49.33</v>
      </c>
      <c r="Z113" t="s">
        <v>914</v>
      </c>
      <c r="AA113">
        <f>VLOOKUP(D113,'Ascendus DATA'!$F:$J,5,0)</f>
        <v>4461.7</v>
      </c>
      <c r="AB113">
        <f t="shared" si="7"/>
        <v>4410.37</v>
      </c>
    </row>
    <row r="114" spans="1:28" hidden="1" x14ac:dyDescent="0.35">
      <c r="A114" t="s">
        <v>910</v>
      </c>
      <c r="B114" t="s">
        <v>910</v>
      </c>
      <c r="C114" t="s">
        <v>438</v>
      </c>
      <c r="D114" s="4">
        <v>256779412012</v>
      </c>
      <c r="E114" s="3">
        <v>45763</v>
      </c>
      <c r="F114" t="s">
        <v>56</v>
      </c>
      <c r="G114" t="s">
        <v>911</v>
      </c>
      <c r="H114" t="s">
        <v>911</v>
      </c>
      <c r="I114" s="27">
        <v>-1051.22</v>
      </c>
      <c r="J114" t="s">
        <v>88</v>
      </c>
      <c r="K114" s="3">
        <v>45793</v>
      </c>
      <c r="L114" s="3">
        <v>45820</v>
      </c>
      <c r="M114" t="s">
        <v>912</v>
      </c>
      <c r="N114" s="2">
        <v>45809</v>
      </c>
      <c r="O114">
        <v>51171953</v>
      </c>
      <c r="P114">
        <v>1</v>
      </c>
      <c r="Q114" s="3">
        <v>45820</v>
      </c>
      <c r="R114">
        <v>210</v>
      </c>
      <c r="S114" s="85">
        <v>1.55E+16</v>
      </c>
      <c r="T114" t="s">
        <v>913</v>
      </c>
      <c r="U114">
        <v>22</v>
      </c>
      <c r="W114" s="79">
        <f t="shared" si="3"/>
        <v>-2.0928064534540818E-2</v>
      </c>
      <c r="X114">
        <f>VLOOKUP(D114,'[3]Customer TDS'!D:I,6,0)</f>
        <v>22</v>
      </c>
      <c r="Y114" s="27">
        <f t="shared" si="4"/>
        <v>-1029.22</v>
      </c>
      <c r="Z114" t="s">
        <v>914</v>
      </c>
      <c r="AA114">
        <f>VLOOKUP(D114,'Ascendus DATA'!$F:$J,5,0)</f>
        <v>91373.96</v>
      </c>
      <c r="AB114">
        <f t="shared" si="7"/>
        <v>90322.74</v>
      </c>
    </row>
    <row r="115" spans="1:28" hidden="1" x14ac:dyDescent="0.35">
      <c r="A115" t="s">
        <v>910</v>
      </c>
      <c r="B115" t="s">
        <v>910</v>
      </c>
      <c r="C115" t="s">
        <v>438</v>
      </c>
      <c r="D115" s="4">
        <v>246779412035</v>
      </c>
      <c r="E115" s="3">
        <v>45733</v>
      </c>
      <c r="F115" t="s">
        <v>11</v>
      </c>
      <c r="G115">
        <v>-72.88</v>
      </c>
      <c r="H115">
        <v>72.88</v>
      </c>
      <c r="I115" s="27">
        <v>-6343.65</v>
      </c>
      <c r="K115" s="3">
        <v>45763</v>
      </c>
      <c r="L115" s="3">
        <v>45838</v>
      </c>
      <c r="M115" t="s">
        <v>912</v>
      </c>
      <c r="N115" s="2">
        <v>45809</v>
      </c>
      <c r="O115">
        <v>51173807</v>
      </c>
      <c r="P115">
        <v>1</v>
      </c>
      <c r="Q115" s="3">
        <v>45820</v>
      </c>
      <c r="R115">
        <v>210</v>
      </c>
      <c r="S115" s="85">
        <v>1.55E+16</v>
      </c>
      <c r="T115" t="s">
        <v>913</v>
      </c>
      <c r="U115">
        <v>6343.65</v>
      </c>
      <c r="W115" s="79">
        <f t="shared" si="3"/>
        <v>-2.0032631056253105E-2</v>
      </c>
      <c r="X115">
        <f>VLOOKUP(D115,'[3]Customer TDS'!D:I,6,0)</f>
        <v>127.08</v>
      </c>
      <c r="Y115" s="27">
        <f t="shared" si="4"/>
        <v>-6216.57</v>
      </c>
      <c r="Z115" t="s">
        <v>915</v>
      </c>
      <c r="AA115">
        <f>VLOOKUP(D115,'Ascendus DATA'!$F:$J,5,0)</f>
        <v>6318.06</v>
      </c>
      <c r="AB115" s="27">
        <f t="shared" si="7"/>
        <v>-25.589999999999236</v>
      </c>
    </row>
    <row r="116" spans="1:28" hidden="1" x14ac:dyDescent="0.35">
      <c r="A116" t="s">
        <v>910</v>
      </c>
      <c r="B116" t="s">
        <v>910</v>
      </c>
      <c r="C116" t="s">
        <v>438</v>
      </c>
      <c r="D116" s="4">
        <v>246779412031</v>
      </c>
      <c r="E116" s="3">
        <v>45733</v>
      </c>
      <c r="F116" t="s">
        <v>11</v>
      </c>
      <c r="G116">
        <v>-28.03</v>
      </c>
      <c r="H116">
        <v>28.03</v>
      </c>
      <c r="I116" s="27">
        <v>-2439.8000000000002</v>
      </c>
      <c r="J116" t="s">
        <v>134</v>
      </c>
      <c r="K116" s="3">
        <v>45763</v>
      </c>
      <c r="L116" s="3">
        <v>45838</v>
      </c>
      <c r="M116" t="s">
        <v>912</v>
      </c>
      <c r="N116" s="2">
        <v>45809</v>
      </c>
      <c r="O116">
        <v>51173809</v>
      </c>
      <c r="P116">
        <v>1</v>
      </c>
      <c r="Q116" s="3">
        <v>45820</v>
      </c>
      <c r="R116">
        <v>210</v>
      </c>
      <c r="S116" s="85">
        <v>1.55E+16</v>
      </c>
      <c r="T116" t="s">
        <v>913</v>
      </c>
      <c r="U116">
        <v>2439.8000000000002</v>
      </c>
      <c r="W116" s="79">
        <f t="shared" si="3"/>
        <v>-1.9977047298958932E-2</v>
      </c>
      <c r="X116">
        <f>VLOOKUP(D116,'[3]Customer TDS'!D:I,6,0)</f>
        <v>48.74</v>
      </c>
      <c r="Y116" s="27">
        <f t="shared" si="4"/>
        <v>-2391.0600000000004</v>
      </c>
      <c r="Z116" t="s">
        <v>915</v>
      </c>
      <c r="AA116">
        <f>VLOOKUP(D116,'Ascendus DATA'!$F:$J,5,0)</f>
        <v>2429.96</v>
      </c>
      <c r="AB116" s="27">
        <f t="shared" si="7"/>
        <v>-9.8400000000001455</v>
      </c>
    </row>
    <row r="117" spans="1:28" hidden="1" x14ac:dyDescent="0.35">
      <c r="A117" t="s">
        <v>910</v>
      </c>
      <c r="B117" t="s">
        <v>910</v>
      </c>
      <c r="C117" t="s">
        <v>438</v>
      </c>
      <c r="D117" s="4">
        <v>246779412029</v>
      </c>
      <c r="E117" s="3">
        <v>45733</v>
      </c>
      <c r="F117" t="s">
        <v>11</v>
      </c>
      <c r="G117">
        <v>-22.42</v>
      </c>
      <c r="H117">
        <v>22.42</v>
      </c>
      <c r="I117" s="27">
        <v>-1951.49</v>
      </c>
      <c r="K117" s="3">
        <v>45763</v>
      </c>
      <c r="L117" s="3">
        <v>45838</v>
      </c>
      <c r="M117" t="s">
        <v>912</v>
      </c>
      <c r="N117" s="2">
        <v>45809</v>
      </c>
      <c r="O117">
        <v>51173811</v>
      </c>
      <c r="P117">
        <v>1</v>
      </c>
      <c r="Q117" s="3">
        <v>45820</v>
      </c>
      <c r="R117">
        <v>210</v>
      </c>
      <c r="S117" s="85">
        <v>1.55E+16</v>
      </c>
      <c r="T117" t="s">
        <v>913</v>
      </c>
      <c r="U117">
        <v>1951.49</v>
      </c>
      <c r="W117" s="79">
        <f t="shared" si="3"/>
        <v>-2.0071842540827778E-2</v>
      </c>
      <c r="X117">
        <f>VLOOKUP(D117,'[3]Customer TDS'!D:I,6,0)</f>
        <v>39.17</v>
      </c>
      <c r="Y117" s="27">
        <f t="shared" si="4"/>
        <v>-1912.32</v>
      </c>
      <c r="Z117" t="s">
        <v>915</v>
      </c>
      <c r="AA117">
        <f>VLOOKUP(D117,'Ascendus DATA'!$F:$J,5,0)</f>
        <v>1943.62</v>
      </c>
      <c r="AB117" s="27">
        <f t="shared" si="7"/>
        <v>-7.8700000000001182</v>
      </c>
    </row>
    <row r="118" spans="1:28" hidden="1" x14ac:dyDescent="0.35">
      <c r="A118" t="s">
        <v>910</v>
      </c>
      <c r="B118" t="s">
        <v>910</v>
      </c>
      <c r="C118" t="s">
        <v>438</v>
      </c>
      <c r="D118" s="4">
        <v>246779410227</v>
      </c>
      <c r="E118" s="3">
        <v>45708</v>
      </c>
      <c r="F118" t="s">
        <v>11</v>
      </c>
      <c r="G118" s="27">
        <v>-2286.2399999999998</v>
      </c>
      <c r="H118" s="27">
        <v>2286.2399999999998</v>
      </c>
      <c r="I118" s="27">
        <v>-197850.25</v>
      </c>
      <c r="K118" s="3">
        <v>45738</v>
      </c>
      <c r="L118" s="3">
        <v>45869</v>
      </c>
      <c r="M118" t="s">
        <v>912</v>
      </c>
      <c r="N118" s="2">
        <v>45809</v>
      </c>
      <c r="O118">
        <v>52235128</v>
      </c>
      <c r="P118">
        <v>1</v>
      </c>
      <c r="Q118" s="3">
        <v>45834</v>
      </c>
      <c r="R118">
        <v>210</v>
      </c>
      <c r="S118" s="85">
        <v>1.55E+16</v>
      </c>
      <c r="T118" t="s">
        <v>913</v>
      </c>
      <c r="U118">
        <v>197850.25</v>
      </c>
      <c r="W118" s="79">
        <f t="shared" si="3"/>
        <v>-1.9997902454002459E-2</v>
      </c>
      <c r="X118">
        <f>VLOOKUP(D118,'[3]Customer TDS'!D:I,6,0)</f>
        <v>3956.59</v>
      </c>
      <c r="Y118" s="27">
        <f t="shared" si="4"/>
        <v>-193893.66</v>
      </c>
      <c r="Z118" t="s">
        <v>915</v>
      </c>
      <c r="AA118">
        <f>VLOOKUP(D118,'Ascendus DATA'!$F:$J,5,0)</f>
        <v>197310.88</v>
      </c>
      <c r="AB118" s="27">
        <f t="shared" si="7"/>
        <v>-539.36999999999534</v>
      </c>
    </row>
    <row r="119" spans="1:28" x14ac:dyDescent="0.35">
      <c r="A119" t="s">
        <v>910</v>
      </c>
      <c r="B119" t="s">
        <v>910</v>
      </c>
      <c r="C119" t="s">
        <v>453</v>
      </c>
      <c r="D119" s="4">
        <v>2439105</v>
      </c>
      <c r="E119" s="3">
        <v>45827</v>
      </c>
      <c r="F119" t="s">
        <v>56</v>
      </c>
      <c r="G119" t="s">
        <v>911</v>
      </c>
      <c r="H119" t="s">
        <v>911</v>
      </c>
      <c r="I119" s="27">
        <v>1760137.77</v>
      </c>
      <c r="J119" t="s">
        <v>454</v>
      </c>
      <c r="K119" s="3">
        <v>45827</v>
      </c>
      <c r="L119" s="3">
        <v>45869</v>
      </c>
      <c r="M119" t="s">
        <v>912</v>
      </c>
      <c r="N119" s="2">
        <v>45809</v>
      </c>
      <c r="O119">
        <v>52421432</v>
      </c>
      <c r="P119">
        <v>1</v>
      </c>
      <c r="Q119" s="3">
        <v>45827</v>
      </c>
      <c r="R119">
        <v>400</v>
      </c>
      <c r="S119" t="s">
        <v>916</v>
      </c>
      <c r="T119" t="s">
        <v>913</v>
      </c>
      <c r="U119">
        <v>-1760137.77</v>
      </c>
      <c r="Y119" s="27">
        <f t="shared" si="4"/>
        <v>1760137.77</v>
      </c>
    </row>
    <row r="120" spans="1:28" hidden="1" x14ac:dyDescent="0.35">
      <c r="A120" t="s">
        <v>910</v>
      </c>
      <c r="B120" t="s">
        <v>910</v>
      </c>
      <c r="C120" t="s">
        <v>438</v>
      </c>
      <c r="D120" s="4">
        <v>246779411973</v>
      </c>
      <c r="E120" s="3">
        <v>45733</v>
      </c>
      <c r="F120" t="s">
        <v>11</v>
      </c>
      <c r="G120">
        <v>-426.09</v>
      </c>
      <c r="H120">
        <v>426.09</v>
      </c>
      <c r="I120" s="27">
        <v>-37087.9</v>
      </c>
      <c r="K120" s="3">
        <v>45763</v>
      </c>
      <c r="L120" s="3">
        <v>45869</v>
      </c>
      <c r="M120" t="s">
        <v>912</v>
      </c>
      <c r="N120" s="2">
        <v>45809</v>
      </c>
      <c r="O120">
        <v>52538488</v>
      </c>
      <c r="P120">
        <v>1</v>
      </c>
      <c r="Q120" s="3">
        <v>45838</v>
      </c>
      <c r="R120">
        <v>210</v>
      </c>
      <c r="S120" s="85">
        <v>1.55E+16</v>
      </c>
      <c r="T120" t="s">
        <v>913</v>
      </c>
      <c r="U120">
        <v>37087.9</v>
      </c>
      <c r="W120" s="79">
        <f t="shared" ref="W120:W170" si="8">X120/I120</f>
        <v>-1.9995739850463358E-2</v>
      </c>
      <c r="X120">
        <f>VLOOKUP(D120,'[3]Customer TDS'!D:I,6,0)</f>
        <v>741.6</v>
      </c>
      <c r="Y120" s="27">
        <f t="shared" si="4"/>
        <v>-36346.300000000003</v>
      </c>
      <c r="Z120" t="s">
        <v>915</v>
      </c>
      <c r="AA120">
        <f>VLOOKUP(D120,'Ascendus DATA'!$F:$J,5,0)</f>
        <v>36938.28</v>
      </c>
      <c r="AB120" s="27">
        <f t="shared" ref="AB120:AB153" si="9">I120+AA120</f>
        <v>-149.62000000000262</v>
      </c>
    </row>
    <row r="121" spans="1:28" hidden="1" x14ac:dyDescent="0.35">
      <c r="A121" t="s">
        <v>910</v>
      </c>
      <c r="B121" t="s">
        <v>910</v>
      </c>
      <c r="C121" t="s">
        <v>438</v>
      </c>
      <c r="D121" s="4">
        <v>246779412033</v>
      </c>
      <c r="E121" s="3">
        <v>45733</v>
      </c>
      <c r="F121" t="s">
        <v>11</v>
      </c>
      <c r="G121">
        <v>-22.42</v>
      </c>
      <c r="H121">
        <v>22.42</v>
      </c>
      <c r="I121" s="27">
        <v>-1951.49</v>
      </c>
      <c r="K121" s="3">
        <v>45763</v>
      </c>
      <c r="L121" s="3">
        <v>45869</v>
      </c>
      <c r="M121" t="s">
        <v>912</v>
      </c>
      <c r="N121" s="2">
        <v>45809</v>
      </c>
      <c r="O121">
        <v>52538490</v>
      </c>
      <c r="P121">
        <v>1</v>
      </c>
      <c r="Q121" s="3">
        <v>45838</v>
      </c>
      <c r="R121">
        <v>210</v>
      </c>
      <c r="S121" s="85">
        <v>1.55E+16</v>
      </c>
      <c r="T121" t="s">
        <v>913</v>
      </c>
      <c r="U121">
        <v>1951.49</v>
      </c>
      <c r="W121" s="79">
        <f t="shared" si="8"/>
        <v>-2.0071842540827778E-2</v>
      </c>
      <c r="X121">
        <f>VLOOKUP(D121,'[3]Customer TDS'!D:I,6,0)</f>
        <v>39.17</v>
      </c>
      <c r="Y121" s="27">
        <f t="shared" si="4"/>
        <v>-1912.32</v>
      </c>
      <c r="Z121" t="s">
        <v>915</v>
      </c>
      <c r="AA121">
        <f>VLOOKUP(D121,'Ascendus DATA'!$F:$J,5,0)</f>
        <v>1943.62</v>
      </c>
      <c r="AB121" s="27">
        <f t="shared" si="9"/>
        <v>-7.8700000000001182</v>
      </c>
    </row>
    <row r="122" spans="1:28" hidden="1" x14ac:dyDescent="0.35">
      <c r="A122" t="s">
        <v>910</v>
      </c>
      <c r="B122" t="s">
        <v>910</v>
      </c>
      <c r="C122" t="s">
        <v>438</v>
      </c>
      <c r="D122" s="4">
        <v>246779410260</v>
      </c>
      <c r="E122" s="3">
        <v>45708</v>
      </c>
      <c r="F122" t="s">
        <v>11</v>
      </c>
      <c r="G122">
        <v>-91.45</v>
      </c>
      <c r="H122">
        <v>91.45</v>
      </c>
      <c r="I122" s="27">
        <v>-7914.04</v>
      </c>
      <c r="K122" s="3">
        <v>45738</v>
      </c>
      <c r="L122" s="3">
        <v>45869</v>
      </c>
      <c r="M122" t="s">
        <v>912</v>
      </c>
      <c r="N122" s="2">
        <v>45809</v>
      </c>
      <c r="O122">
        <v>52538802</v>
      </c>
      <c r="P122">
        <v>1</v>
      </c>
      <c r="Q122" s="3">
        <v>45838</v>
      </c>
      <c r="R122">
        <v>210</v>
      </c>
      <c r="S122" s="85">
        <v>1.55E+16</v>
      </c>
      <c r="T122" t="s">
        <v>913</v>
      </c>
      <c r="U122">
        <v>7914.04</v>
      </c>
      <c r="W122" s="79">
        <f t="shared" si="8"/>
        <v>-2.0011271108056065E-2</v>
      </c>
      <c r="X122">
        <f>VLOOKUP(D122,'[3]Customer TDS'!D:I,6,0)</f>
        <v>158.37</v>
      </c>
      <c r="Y122" s="27">
        <f t="shared" si="4"/>
        <v>-7755.67</v>
      </c>
      <c r="Z122" t="s">
        <v>915</v>
      </c>
      <c r="AA122">
        <f>VLOOKUP(D122,'Ascendus DATA'!$F:$J,5,0)</f>
        <v>7892.47</v>
      </c>
      <c r="AB122" s="27">
        <f t="shared" si="9"/>
        <v>-21.569999999999709</v>
      </c>
    </row>
    <row r="123" spans="1:28" hidden="1" x14ac:dyDescent="0.35">
      <c r="A123" t="s">
        <v>910</v>
      </c>
      <c r="B123" t="s">
        <v>910</v>
      </c>
      <c r="C123" t="s">
        <v>438</v>
      </c>
      <c r="D123" s="4">
        <v>246779413936</v>
      </c>
      <c r="E123" s="3">
        <v>45736</v>
      </c>
      <c r="F123" t="s">
        <v>11</v>
      </c>
      <c r="G123">
        <v>-27.5</v>
      </c>
      <c r="H123">
        <v>27.5</v>
      </c>
      <c r="I123" s="27">
        <v>-2393.67</v>
      </c>
      <c r="K123" s="3">
        <v>45766</v>
      </c>
      <c r="L123" s="3">
        <v>45869</v>
      </c>
      <c r="M123" t="s">
        <v>912</v>
      </c>
      <c r="N123" s="2">
        <v>45809</v>
      </c>
      <c r="O123">
        <v>52538807</v>
      </c>
      <c r="P123">
        <v>1</v>
      </c>
      <c r="Q123" s="3">
        <v>45838</v>
      </c>
      <c r="R123">
        <v>210</v>
      </c>
      <c r="S123" s="85">
        <v>1.55E+16</v>
      </c>
      <c r="T123" t="s">
        <v>913</v>
      </c>
      <c r="U123">
        <v>2393.67</v>
      </c>
      <c r="W123" s="79">
        <f t="shared" si="8"/>
        <v>-1.9998579586994029E-2</v>
      </c>
      <c r="X123">
        <f>VLOOKUP(D123,'[3]Customer TDS'!D:I,6,0)</f>
        <v>47.87</v>
      </c>
      <c r="Y123" s="27">
        <f t="shared" si="4"/>
        <v>-2345.8000000000002</v>
      </c>
      <c r="Z123" t="s">
        <v>915</v>
      </c>
      <c r="AA123">
        <f>VLOOKUP(D123,'Ascendus DATA'!$F:$J,5,0)</f>
        <v>2384.0100000000002</v>
      </c>
      <c r="AB123" s="27">
        <f t="shared" si="9"/>
        <v>-9.6599999999998545</v>
      </c>
    </row>
    <row r="124" spans="1:28" hidden="1" x14ac:dyDescent="0.35">
      <c r="A124" t="s">
        <v>910</v>
      </c>
      <c r="B124" t="s">
        <v>910</v>
      </c>
      <c r="C124" t="s">
        <v>438</v>
      </c>
      <c r="D124" s="4">
        <v>256779410801</v>
      </c>
      <c r="E124" s="3">
        <v>45751</v>
      </c>
      <c r="F124" t="s">
        <v>11</v>
      </c>
      <c r="G124" s="27">
        <v>-2829.48</v>
      </c>
      <c r="H124" s="27">
        <v>2829.48</v>
      </c>
      <c r="I124" s="27">
        <v>-242562.74</v>
      </c>
      <c r="K124" s="3">
        <v>45781</v>
      </c>
      <c r="L124" s="3">
        <v>45869</v>
      </c>
      <c r="M124" t="s">
        <v>912</v>
      </c>
      <c r="N124" s="2">
        <v>45809</v>
      </c>
      <c r="O124">
        <v>52538812</v>
      </c>
      <c r="P124">
        <v>1</v>
      </c>
      <c r="Q124" s="3">
        <v>45838</v>
      </c>
      <c r="R124">
        <v>210</v>
      </c>
      <c r="S124" s="85">
        <v>1.55E+16</v>
      </c>
      <c r="T124" t="s">
        <v>913</v>
      </c>
      <c r="U124">
        <v>242562.74</v>
      </c>
      <c r="W124" s="79">
        <f t="shared" si="8"/>
        <v>-2.0000145117094241E-2</v>
      </c>
      <c r="X124">
        <f>VLOOKUP(D124,'[3]Customer TDS'!D:I,6,0)</f>
        <v>4851.29</v>
      </c>
      <c r="Y124" s="27">
        <f t="shared" si="4"/>
        <v>-237711.44999999998</v>
      </c>
      <c r="Z124" t="s">
        <v>915</v>
      </c>
      <c r="AA124">
        <f>VLOOKUP(D124,'Ascendus DATA'!$F:$J,5,0)</f>
        <v>245943.55</v>
      </c>
      <c r="AB124" s="27">
        <f t="shared" si="9"/>
        <v>3380.8099999999977</v>
      </c>
    </row>
    <row r="125" spans="1:28" hidden="1" x14ac:dyDescent="0.35">
      <c r="A125" t="s">
        <v>910</v>
      </c>
      <c r="B125" t="s">
        <v>910</v>
      </c>
      <c r="C125" t="s">
        <v>438</v>
      </c>
      <c r="D125" s="4">
        <v>256779412524</v>
      </c>
      <c r="E125" s="3">
        <v>45769</v>
      </c>
      <c r="F125" t="s">
        <v>11</v>
      </c>
      <c r="G125">
        <v>-36.5</v>
      </c>
      <c r="H125">
        <v>36.5</v>
      </c>
      <c r="I125" s="27">
        <v>-3129.03</v>
      </c>
      <c r="K125" s="3">
        <v>45799</v>
      </c>
      <c r="L125" s="3">
        <v>45869</v>
      </c>
      <c r="M125" t="s">
        <v>912</v>
      </c>
      <c r="N125" s="2">
        <v>45809</v>
      </c>
      <c r="O125">
        <v>52538816</v>
      </c>
      <c r="P125">
        <v>1</v>
      </c>
      <c r="Q125" s="3">
        <v>45838</v>
      </c>
      <c r="R125">
        <v>210</v>
      </c>
      <c r="S125" s="85">
        <v>1.55E+16</v>
      </c>
      <c r="T125" t="s">
        <v>913</v>
      </c>
      <c r="U125">
        <v>3129.03</v>
      </c>
      <c r="W125" s="79">
        <f t="shared" si="8"/>
        <v>-1.9999808247284302E-2</v>
      </c>
      <c r="X125">
        <f>VLOOKUP(D125,'[3]Customer TDS'!D:I,6,0)</f>
        <v>62.58</v>
      </c>
      <c r="Y125" s="27">
        <f t="shared" si="4"/>
        <v>-3066.4500000000003</v>
      </c>
      <c r="Z125" t="s">
        <v>915</v>
      </c>
      <c r="AA125">
        <f>VLOOKUP(D125,'Ascendus DATA'!$F:$J,5,0)</f>
        <v>3172.65</v>
      </c>
      <c r="AB125" s="27">
        <f t="shared" si="9"/>
        <v>43.619999999999891</v>
      </c>
    </row>
    <row r="126" spans="1:28" hidden="1" x14ac:dyDescent="0.35">
      <c r="A126" t="s">
        <v>910</v>
      </c>
      <c r="B126" t="s">
        <v>910</v>
      </c>
      <c r="C126" t="s">
        <v>438</v>
      </c>
      <c r="D126" s="4">
        <v>256779412529</v>
      </c>
      <c r="E126" s="3">
        <v>45769</v>
      </c>
      <c r="F126" t="s">
        <v>11</v>
      </c>
      <c r="G126">
        <v>-29.57</v>
      </c>
      <c r="H126">
        <v>29.57</v>
      </c>
      <c r="I126" s="27">
        <v>-2534.9499999999998</v>
      </c>
      <c r="K126" s="3">
        <v>45799</v>
      </c>
      <c r="L126" s="3">
        <v>45869</v>
      </c>
      <c r="M126" t="s">
        <v>912</v>
      </c>
      <c r="N126" s="2">
        <v>45809</v>
      </c>
      <c r="O126">
        <v>52538818</v>
      </c>
      <c r="P126">
        <v>1</v>
      </c>
      <c r="Q126" s="3">
        <v>45838</v>
      </c>
      <c r="R126">
        <v>210</v>
      </c>
      <c r="S126" s="85">
        <v>1.55E+16</v>
      </c>
      <c r="T126" t="s">
        <v>913</v>
      </c>
      <c r="U126">
        <v>2534.9499999999998</v>
      </c>
      <c r="W126" s="79">
        <f t="shared" si="8"/>
        <v>-1.9953056273299276E-2</v>
      </c>
      <c r="X126">
        <f>VLOOKUP(D126,'[3]Customer TDS'!D:I,6,0)</f>
        <v>50.58</v>
      </c>
      <c r="Y126" s="27">
        <f t="shared" si="4"/>
        <v>-2484.37</v>
      </c>
      <c r="Z126" t="s">
        <v>915</v>
      </c>
      <c r="AA126">
        <f>VLOOKUP(D126,'Ascendus DATA'!$F:$J,5,0)</f>
        <v>2570.2800000000002</v>
      </c>
      <c r="AB126" s="27">
        <f t="shared" si="9"/>
        <v>35.330000000000382</v>
      </c>
    </row>
    <row r="127" spans="1:28" hidden="1" x14ac:dyDescent="0.35">
      <c r="A127" t="s">
        <v>910</v>
      </c>
      <c r="B127" t="s">
        <v>910</v>
      </c>
      <c r="C127" t="s">
        <v>438</v>
      </c>
      <c r="D127" s="4">
        <v>256779412536</v>
      </c>
      <c r="E127" s="3">
        <v>45769</v>
      </c>
      <c r="F127" t="s">
        <v>11</v>
      </c>
      <c r="G127">
        <v>-37.020000000000003</v>
      </c>
      <c r="H127">
        <v>37.020000000000003</v>
      </c>
      <c r="I127" s="27">
        <v>-3173.61</v>
      </c>
      <c r="K127" s="3">
        <v>45799</v>
      </c>
      <c r="L127" s="3">
        <v>45869</v>
      </c>
      <c r="M127" t="s">
        <v>912</v>
      </c>
      <c r="N127" s="2">
        <v>45809</v>
      </c>
      <c r="O127">
        <v>52538819</v>
      </c>
      <c r="P127">
        <v>1</v>
      </c>
      <c r="Q127" s="3">
        <v>45838</v>
      </c>
      <c r="R127">
        <v>210</v>
      </c>
      <c r="S127" s="85">
        <v>1.55E+16</v>
      </c>
      <c r="T127" t="s">
        <v>913</v>
      </c>
      <c r="U127">
        <v>3173.61</v>
      </c>
      <c r="W127" s="79">
        <f t="shared" si="8"/>
        <v>-1.9989853825769389E-2</v>
      </c>
      <c r="X127">
        <f>VLOOKUP(D127,'[3]Customer TDS'!D:I,6,0)</f>
        <v>63.44</v>
      </c>
      <c r="Y127" s="27">
        <f t="shared" si="4"/>
        <v>-3110.17</v>
      </c>
      <c r="Z127" t="s">
        <v>915</v>
      </c>
      <c r="AA127">
        <f>VLOOKUP(D127,'Ascendus DATA'!$F:$J,5,0)</f>
        <v>3217.85</v>
      </c>
      <c r="AB127" s="27">
        <f t="shared" si="9"/>
        <v>44.239999999999782</v>
      </c>
    </row>
    <row r="128" spans="1:28" hidden="1" x14ac:dyDescent="0.35">
      <c r="A128" t="s">
        <v>910</v>
      </c>
      <c r="B128" t="s">
        <v>910</v>
      </c>
      <c r="C128" t="s">
        <v>438</v>
      </c>
      <c r="D128" s="4">
        <v>256779412537</v>
      </c>
      <c r="E128" s="3">
        <v>45769</v>
      </c>
      <c r="F128" t="s">
        <v>11</v>
      </c>
      <c r="G128">
        <v>-407.58</v>
      </c>
      <c r="H128">
        <v>407.58</v>
      </c>
      <c r="I128" s="27">
        <v>-34940.6</v>
      </c>
      <c r="K128" s="3">
        <v>45799</v>
      </c>
      <c r="L128" s="3">
        <v>45869</v>
      </c>
      <c r="M128" t="s">
        <v>912</v>
      </c>
      <c r="N128" s="2">
        <v>45809</v>
      </c>
      <c r="O128">
        <v>52538821</v>
      </c>
      <c r="P128">
        <v>1</v>
      </c>
      <c r="Q128" s="3">
        <v>45838</v>
      </c>
      <c r="R128">
        <v>210</v>
      </c>
      <c r="S128" s="85">
        <v>1.55E+16</v>
      </c>
      <c r="T128" t="s">
        <v>913</v>
      </c>
      <c r="U128">
        <v>34940.6</v>
      </c>
      <c r="W128" s="79">
        <f t="shared" si="8"/>
        <v>-1.9995935959886208E-2</v>
      </c>
      <c r="X128">
        <f>VLOOKUP(D128,'[3]Customer TDS'!D:I,6,0)</f>
        <v>698.67</v>
      </c>
      <c r="Y128" s="27">
        <f t="shared" si="4"/>
        <v>-34241.93</v>
      </c>
      <c r="Z128" t="s">
        <v>915</v>
      </c>
      <c r="AA128">
        <f>VLOOKUP(D128,'Ascendus DATA'!$F:$J,5,0)</f>
        <v>35427.599999999999</v>
      </c>
      <c r="AB128" s="27">
        <f t="shared" si="9"/>
        <v>487</v>
      </c>
    </row>
    <row r="129" spans="1:28" hidden="1" x14ac:dyDescent="0.35">
      <c r="A129" t="s">
        <v>910</v>
      </c>
      <c r="B129" t="s">
        <v>910</v>
      </c>
      <c r="C129" t="s">
        <v>438</v>
      </c>
      <c r="D129" s="4">
        <v>256779412579</v>
      </c>
      <c r="E129" s="3">
        <v>45769</v>
      </c>
      <c r="F129" t="s">
        <v>11</v>
      </c>
      <c r="G129">
        <v>-57.6</v>
      </c>
      <c r="H129">
        <v>57.6</v>
      </c>
      <c r="I129" s="27">
        <v>-4937.87</v>
      </c>
      <c r="K129" s="3">
        <v>45799</v>
      </c>
      <c r="L129" s="3">
        <v>45869</v>
      </c>
      <c r="M129" t="s">
        <v>912</v>
      </c>
      <c r="N129" s="2">
        <v>45809</v>
      </c>
      <c r="O129">
        <v>52538823</v>
      </c>
      <c r="P129">
        <v>1</v>
      </c>
      <c r="Q129" s="3">
        <v>45838</v>
      </c>
      <c r="R129">
        <v>210</v>
      </c>
      <c r="S129" s="85">
        <v>1.55E+16</v>
      </c>
      <c r="T129" t="s">
        <v>913</v>
      </c>
      <c r="U129">
        <v>4937.87</v>
      </c>
      <c r="W129" s="79">
        <f t="shared" si="8"/>
        <v>-1.9966098742980273E-2</v>
      </c>
      <c r="X129">
        <f>VLOOKUP(D129,'[3]Customer TDS'!D:I,6,0)</f>
        <v>98.59</v>
      </c>
      <c r="Y129" s="27">
        <f t="shared" si="4"/>
        <v>-4839.28</v>
      </c>
      <c r="Z129" t="s">
        <v>915</v>
      </c>
      <c r="AA129">
        <f>VLOOKUP(D129,'Ascendus DATA'!$F:$J,5,0)</f>
        <v>5006.7</v>
      </c>
      <c r="AB129" s="27">
        <f t="shared" si="9"/>
        <v>68.829999999999927</v>
      </c>
    </row>
    <row r="130" spans="1:28" hidden="1" x14ac:dyDescent="0.35">
      <c r="A130" t="s">
        <v>910</v>
      </c>
      <c r="B130" t="s">
        <v>910</v>
      </c>
      <c r="C130" t="s">
        <v>438</v>
      </c>
      <c r="D130" s="4">
        <v>256779412586</v>
      </c>
      <c r="E130" s="3">
        <v>45769</v>
      </c>
      <c r="F130" t="s">
        <v>11</v>
      </c>
      <c r="G130">
        <v>-51.5</v>
      </c>
      <c r="H130">
        <v>51.5</v>
      </c>
      <c r="I130" s="27">
        <v>-4414.9399999999996</v>
      </c>
      <c r="K130" s="3">
        <v>45799</v>
      </c>
      <c r="L130" s="3">
        <v>45869</v>
      </c>
      <c r="M130" t="s">
        <v>912</v>
      </c>
      <c r="N130" s="2">
        <v>45809</v>
      </c>
      <c r="O130">
        <v>52538824</v>
      </c>
      <c r="P130">
        <v>1</v>
      </c>
      <c r="Q130" s="3">
        <v>45838</v>
      </c>
      <c r="R130">
        <v>210</v>
      </c>
      <c r="S130" s="85">
        <v>1.55E+16</v>
      </c>
      <c r="T130" t="s">
        <v>913</v>
      </c>
      <c r="U130">
        <v>4414.9399999999996</v>
      </c>
      <c r="W130" s="79">
        <f t="shared" si="8"/>
        <v>-2.0000271804373332E-2</v>
      </c>
      <c r="X130">
        <f>VLOOKUP(D130,'[3]Customer TDS'!D:I,6,0)</f>
        <v>88.3</v>
      </c>
      <c r="Y130" s="27">
        <f t="shared" si="4"/>
        <v>-4326.6399999999994</v>
      </c>
      <c r="Z130" t="s">
        <v>915</v>
      </c>
      <c r="AA130">
        <f>VLOOKUP(D130,'Ascendus DATA'!$F:$J,5,0)</f>
        <v>4476.47</v>
      </c>
      <c r="AB130" s="27">
        <f t="shared" si="9"/>
        <v>61.530000000000655</v>
      </c>
    </row>
    <row r="131" spans="1:28" hidden="1" x14ac:dyDescent="0.35">
      <c r="A131" t="s">
        <v>910</v>
      </c>
      <c r="B131" t="s">
        <v>910</v>
      </c>
      <c r="C131" t="s">
        <v>438</v>
      </c>
      <c r="D131" s="4">
        <v>246779412994</v>
      </c>
      <c r="E131" s="3">
        <v>45735</v>
      </c>
      <c r="F131" t="s">
        <v>11</v>
      </c>
      <c r="G131" s="27">
        <v>-2297.27</v>
      </c>
      <c r="H131" s="27">
        <v>2297.27</v>
      </c>
      <c r="I131" s="27">
        <v>-199959.93</v>
      </c>
      <c r="K131" s="3">
        <v>45765</v>
      </c>
      <c r="L131" s="3">
        <v>45869</v>
      </c>
      <c r="M131" t="s">
        <v>912</v>
      </c>
      <c r="N131" s="2">
        <v>45809</v>
      </c>
      <c r="O131">
        <v>52538827</v>
      </c>
      <c r="P131">
        <v>1</v>
      </c>
      <c r="Q131" s="3">
        <v>45838</v>
      </c>
      <c r="R131">
        <v>210</v>
      </c>
      <c r="S131" s="85">
        <v>1.55E+16</v>
      </c>
      <c r="T131" t="s">
        <v>913</v>
      </c>
      <c r="U131">
        <v>199959.93</v>
      </c>
      <c r="W131" s="79">
        <f t="shared" si="8"/>
        <v>-2.0002007402183029E-2</v>
      </c>
      <c r="X131">
        <f>VLOOKUP(D131,'[3]Customer TDS'!D:I,6,0)</f>
        <v>3999.6</v>
      </c>
      <c r="Y131" s="27">
        <f t="shared" si="4"/>
        <v>-195960.33</v>
      </c>
      <c r="Z131" t="s">
        <v>915</v>
      </c>
      <c r="AA131">
        <f>VLOOKUP(D131,'Ascendus DATA'!$F:$J,5,0)</f>
        <v>199153.23</v>
      </c>
      <c r="AB131" s="27">
        <f t="shared" si="9"/>
        <v>-806.69999999998254</v>
      </c>
    </row>
    <row r="132" spans="1:28" hidden="1" x14ac:dyDescent="0.35">
      <c r="A132" t="s">
        <v>910</v>
      </c>
      <c r="B132" t="s">
        <v>910</v>
      </c>
      <c r="C132" t="s">
        <v>438</v>
      </c>
      <c r="D132" s="4">
        <v>246779413889</v>
      </c>
      <c r="E132" s="3">
        <v>45736</v>
      </c>
      <c r="F132" t="s">
        <v>11</v>
      </c>
      <c r="G132">
        <v>-42.5</v>
      </c>
      <c r="H132">
        <v>42.5</v>
      </c>
      <c r="I132" s="27">
        <v>-3699.3</v>
      </c>
      <c r="K132" s="3">
        <v>45766</v>
      </c>
      <c r="L132" s="3">
        <v>45869</v>
      </c>
      <c r="M132" t="s">
        <v>912</v>
      </c>
      <c r="N132" s="2">
        <v>45809</v>
      </c>
      <c r="O132">
        <v>52538828</v>
      </c>
      <c r="P132">
        <v>1</v>
      </c>
      <c r="Q132" s="3">
        <v>45838</v>
      </c>
      <c r="R132">
        <v>210</v>
      </c>
      <c r="S132" s="85">
        <v>1.55E+16</v>
      </c>
      <c r="T132" t="s">
        <v>913</v>
      </c>
      <c r="U132">
        <v>3699.3</v>
      </c>
      <c r="W132" s="79">
        <f t="shared" si="8"/>
        <v>-2.0001081285648634E-2</v>
      </c>
      <c r="X132">
        <f>VLOOKUP(D132,'[3]Customer TDS'!D:I,6,0)</f>
        <v>73.989999999999995</v>
      </c>
      <c r="Y132" s="27">
        <f t="shared" ref="Y132:Y195" si="10">I132+X132</f>
        <v>-3625.3100000000004</v>
      </c>
      <c r="Z132" t="s">
        <v>915</v>
      </c>
      <c r="AA132">
        <f>VLOOKUP(D132,'Ascendus DATA'!$F:$J,5,0)</f>
        <v>3684.38</v>
      </c>
      <c r="AB132" s="27">
        <f t="shared" si="9"/>
        <v>-14.920000000000073</v>
      </c>
    </row>
    <row r="133" spans="1:28" hidden="1" x14ac:dyDescent="0.35">
      <c r="A133" t="s">
        <v>910</v>
      </c>
      <c r="B133" t="s">
        <v>910</v>
      </c>
      <c r="C133" t="s">
        <v>438</v>
      </c>
      <c r="D133" s="4">
        <v>246779413023</v>
      </c>
      <c r="E133" s="3">
        <v>45735</v>
      </c>
      <c r="F133" t="s">
        <v>11</v>
      </c>
      <c r="G133">
        <v>-91.89</v>
      </c>
      <c r="H133">
        <v>91.89</v>
      </c>
      <c r="I133" s="27">
        <v>-7998.33</v>
      </c>
      <c r="K133" s="3">
        <v>45765</v>
      </c>
      <c r="L133" s="3">
        <v>45869</v>
      </c>
      <c r="M133" t="s">
        <v>912</v>
      </c>
      <c r="N133" s="2">
        <v>45809</v>
      </c>
      <c r="O133">
        <v>52538829</v>
      </c>
      <c r="P133">
        <v>1</v>
      </c>
      <c r="Q133" s="3">
        <v>45838</v>
      </c>
      <c r="R133">
        <v>210</v>
      </c>
      <c r="S133" s="85">
        <v>1.55E+16</v>
      </c>
      <c r="T133" t="s">
        <v>913</v>
      </c>
      <c r="U133">
        <v>7998.33</v>
      </c>
      <c r="W133" s="79">
        <f t="shared" si="8"/>
        <v>-2.0024180047584932E-2</v>
      </c>
      <c r="X133">
        <f>VLOOKUP(D133,'[3]Customer TDS'!D:I,6,0)</f>
        <v>160.16</v>
      </c>
      <c r="Y133" s="27">
        <f t="shared" si="10"/>
        <v>-7838.17</v>
      </c>
      <c r="Z133" t="s">
        <v>915</v>
      </c>
      <c r="AA133">
        <f>VLOOKUP(D133,'Ascendus DATA'!$F:$J,5,0)</f>
        <v>7966.06</v>
      </c>
      <c r="AB133" s="27">
        <f t="shared" si="9"/>
        <v>-32.269999999999527</v>
      </c>
    </row>
    <row r="134" spans="1:28" hidden="1" x14ac:dyDescent="0.35">
      <c r="A134" t="s">
        <v>910</v>
      </c>
      <c r="B134" t="s">
        <v>910</v>
      </c>
      <c r="C134" t="s">
        <v>438</v>
      </c>
      <c r="D134" s="4">
        <v>246779413920</v>
      </c>
      <c r="E134" s="3">
        <v>45736</v>
      </c>
      <c r="F134" t="s">
        <v>11</v>
      </c>
      <c r="G134">
        <v>-22.5</v>
      </c>
      <c r="H134">
        <v>22.5</v>
      </c>
      <c r="I134" s="27">
        <v>-1958.45</v>
      </c>
      <c r="K134" s="3">
        <v>45766</v>
      </c>
      <c r="L134" s="3">
        <v>45869</v>
      </c>
      <c r="M134" t="s">
        <v>912</v>
      </c>
      <c r="N134" s="2">
        <v>45809</v>
      </c>
      <c r="O134">
        <v>52538830</v>
      </c>
      <c r="P134">
        <v>1</v>
      </c>
      <c r="Q134" s="3">
        <v>45838</v>
      </c>
      <c r="R134">
        <v>210</v>
      </c>
      <c r="S134" s="85">
        <v>1.55E+16</v>
      </c>
      <c r="T134" t="s">
        <v>913</v>
      </c>
      <c r="U134">
        <v>1958.45</v>
      </c>
      <c r="W134" s="79">
        <f t="shared" si="8"/>
        <v>-2.0000510607878681E-2</v>
      </c>
      <c r="X134">
        <f>VLOOKUP(D134,'[3]Customer TDS'!D:I,6,0)</f>
        <v>39.17</v>
      </c>
      <c r="Y134" s="27">
        <f t="shared" si="10"/>
        <v>-1919.28</v>
      </c>
      <c r="Z134" t="s">
        <v>915</v>
      </c>
      <c r="AA134">
        <f>VLOOKUP(D134,'Ascendus DATA'!$F:$J,5,0)</f>
        <v>1950.55</v>
      </c>
      <c r="AB134" s="27">
        <f t="shared" si="9"/>
        <v>-7.9000000000000909</v>
      </c>
    </row>
    <row r="135" spans="1:28" hidden="1" x14ac:dyDescent="0.35">
      <c r="A135" t="s">
        <v>910</v>
      </c>
      <c r="B135" t="s">
        <v>910</v>
      </c>
      <c r="C135" t="s">
        <v>438</v>
      </c>
      <c r="D135" s="4">
        <v>256779410196</v>
      </c>
      <c r="E135" s="3">
        <v>45750</v>
      </c>
      <c r="F135" t="s">
        <v>11</v>
      </c>
      <c r="G135">
        <v>-246.52</v>
      </c>
      <c r="H135">
        <v>246.52</v>
      </c>
      <c r="I135" s="27">
        <v>-21133.41</v>
      </c>
      <c r="K135" s="3">
        <v>45780</v>
      </c>
      <c r="L135" s="3">
        <v>45869</v>
      </c>
      <c r="M135" t="s">
        <v>912</v>
      </c>
      <c r="N135" s="2">
        <v>45809</v>
      </c>
      <c r="O135">
        <v>52538831</v>
      </c>
      <c r="P135">
        <v>1</v>
      </c>
      <c r="Q135" s="3">
        <v>45838</v>
      </c>
      <c r="R135">
        <v>210</v>
      </c>
      <c r="S135" s="85">
        <v>1.55E+16</v>
      </c>
      <c r="T135" t="s">
        <v>913</v>
      </c>
      <c r="U135">
        <v>21133.41</v>
      </c>
      <c r="W135" s="79">
        <f t="shared" si="8"/>
        <v>-1.9998192435579491E-2</v>
      </c>
      <c r="X135">
        <f>VLOOKUP(D135,'[3]Customer TDS'!D:I,6,0)</f>
        <v>422.63</v>
      </c>
      <c r="Y135" s="27">
        <f t="shared" si="10"/>
        <v>-20710.78</v>
      </c>
      <c r="Z135" t="s">
        <v>915</v>
      </c>
      <c r="AA135">
        <f>VLOOKUP(D135,'Ascendus DATA'!$F:$J,5,0)</f>
        <v>21427.97</v>
      </c>
      <c r="AB135" s="27">
        <f t="shared" si="9"/>
        <v>294.56000000000131</v>
      </c>
    </row>
    <row r="136" spans="1:28" hidden="1" x14ac:dyDescent="0.35">
      <c r="A136" t="s">
        <v>910</v>
      </c>
      <c r="B136" t="s">
        <v>910</v>
      </c>
      <c r="C136" t="s">
        <v>438</v>
      </c>
      <c r="D136" s="4">
        <v>246779413941</v>
      </c>
      <c r="E136" s="3">
        <v>45736</v>
      </c>
      <c r="F136" t="s">
        <v>11</v>
      </c>
      <c r="G136">
        <v>-30</v>
      </c>
      <c r="H136">
        <v>30</v>
      </c>
      <c r="I136" s="27">
        <v>-2611.27</v>
      </c>
      <c r="K136" s="3">
        <v>45766</v>
      </c>
      <c r="L136" s="3">
        <v>45869</v>
      </c>
      <c r="M136" t="s">
        <v>912</v>
      </c>
      <c r="N136" s="2">
        <v>45809</v>
      </c>
      <c r="O136">
        <v>52538832</v>
      </c>
      <c r="P136">
        <v>1</v>
      </c>
      <c r="Q136" s="3">
        <v>45838</v>
      </c>
      <c r="R136">
        <v>210</v>
      </c>
      <c r="S136" s="85">
        <v>1.55E+16</v>
      </c>
      <c r="T136" t="s">
        <v>913</v>
      </c>
      <c r="U136">
        <v>2611.27</v>
      </c>
      <c r="W136" s="79">
        <f t="shared" si="8"/>
        <v>-2.0001761594932731E-2</v>
      </c>
      <c r="X136">
        <f>VLOOKUP(D136,'[3]Customer TDS'!D:I,6,0)</f>
        <v>52.23</v>
      </c>
      <c r="Y136" s="27">
        <f t="shared" si="10"/>
        <v>-2559.04</v>
      </c>
      <c r="Z136" t="s">
        <v>915</v>
      </c>
      <c r="AA136">
        <f>VLOOKUP(D136,'Ascendus DATA'!$F:$J,5,0)</f>
        <v>2600.7399999999998</v>
      </c>
      <c r="AB136" s="27">
        <f t="shared" si="9"/>
        <v>-10.5300000000002</v>
      </c>
    </row>
    <row r="137" spans="1:28" hidden="1" x14ac:dyDescent="0.35">
      <c r="A137" t="s">
        <v>910</v>
      </c>
      <c r="B137" t="s">
        <v>910</v>
      </c>
      <c r="C137" t="s">
        <v>438</v>
      </c>
      <c r="D137" s="4">
        <v>256779412092</v>
      </c>
      <c r="E137" s="3">
        <v>45763</v>
      </c>
      <c r="F137" t="s">
        <v>11</v>
      </c>
      <c r="G137">
        <v>-289.17</v>
      </c>
      <c r="H137">
        <v>289.17</v>
      </c>
      <c r="I137" s="27">
        <v>-24789.67</v>
      </c>
      <c r="K137" s="3">
        <v>45793</v>
      </c>
      <c r="L137" s="3">
        <v>45869</v>
      </c>
      <c r="M137" t="s">
        <v>912</v>
      </c>
      <c r="N137" s="2">
        <v>45809</v>
      </c>
      <c r="O137">
        <v>52538833</v>
      </c>
      <c r="P137">
        <v>1</v>
      </c>
      <c r="Q137" s="3">
        <v>45838</v>
      </c>
      <c r="R137">
        <v>210</v>
      </c>
      <c r="S137" s="85">
        <v>1.55E+16</v>
      </c>
      <c r="T137" t="s">
        <v>913</v>
      </c>
      <c r="U137">
        <v>24789.67</v>
      </c>
      <c r="W137" s="79">
        <f t="shared" si="8"/>
        <v>-1.9988164424939905E-2</v>
      </c>
      <c r="X137">
        <f>VLOOKUP(D137,'[3]Customer TDS'!D:I,6,0)</f>
        <v>495.5</v>
      </c>
      <c r="Y137" s="27">
        <f t="shared" si="10"/>
        <v>-24294.17</v>
      </c>
      <c r="Z137" t="s">
        <v>915</v>
      </c>
      <c r="AA137">
        <f>VLOOKUP(D137,'Ascendus DATA'!$F:$J,5,0)</f>
        <v>25135.18</v>
      </c>
      <c r="AB137" s="27">
        <f t="shared" si="9"/>
        <v>345.51000000000204</v>
      </c>
    </row>
    <row r="138" spans="1:28" hidden="1" x14ac:dyDescent="0.35">
      <c r="A138" t="s">
        <v>910</v>
      </c>
      <c r="B138" t="s">
        <v>910</v>
      </c>
      <c r="C138" t="s">
        <v>438</v>
      </c>
      <c r="D138" s="4">
        <v>256779410303</v>
      </c>
      <c r="E138" s="3">
        <v>45750</v>
      </c>
      <c r="F138" t="s">
        <v>11</v>
      </c>
      <c r="G138">
        <v>-91.45</v>
      </c>
      <c r="H138">
        <v>91.45</v>
      </c>
      <c r="I138" s="27">
        <v>-7839.73</v>
      </c>
      <c r="K138" s="3">
        <v>45780</v>
      </c>
      <c r="L138" s="3">
        <v>45869</v>
      </c>
      <c r="M138" t="s">
        <v>912</v>
      </c>
      <c r="N138" s="2">
        <v>45809</v>
      </c>
      <c r="O138">
        <v>52538834</v>
      </c>
      <c r="P138">
        <v>1</v>
      </c>
      <c r="Q138" s="3">
        <v>45838</v>
      </c>
      <c r="R138">
        <v>210</v>
      </c>
      <c r="S138" s="85">
        <v>1.55E+16</v>
      </c>
      <c r="T138" t="s">
        <v>913</v>
      </c>
      <c r="U138">
        <v>7839.73</v>
      </c>
      <c r="W138" s="79">
        <f t="shared" si="8"/>
        <v>-2.0010893232292441E-2</v>
      </c>
      <c r="X138">
        <f>VLOOKUP(D138,'[3]Customer TDS'!D:I,6,0)</f>
        <v>156.88</v>
      </c>
      <c r="Y138" s="27">
        <f t="shared" si="10"/>
        <v>-7682.8499999999995</v>
      </c>
      <c r="Z138" t="s">
        <v>915</v>
      </c>
      <c r="AA138">
        <f>VLOOKUP(D138,'Ascendus DATA'!$F:$J,5,0)</f>
        <v>7949</v>
      </c>
      <c r="AB138" s="27">
        <f t="shared" si="9"/>
        <v>109.27000000000044</v>
      </c>
    </row>
    <row r="139" spans="1:28" hidden="1" x14ac:dyDescent="0.35">
      <c r="A139" t="s">
        <v>910</v>
      </c>
      <c r="B139" t="s">
        <v>910</v>
      </c>
      <c r="C139" t="s">
        <v>438</v>
      </c>
      <c r="D139" s="4">
        <v>256779412184</v>
      </c>
      <c r="E139" s="3">
        <v>45768</v>
      </c>
      <c r="F139" t="s">
        <v>11</v>
      </c>
      <c r="G139">
        <v>-93.23</v>
      </c>
      <c r="H139">
        <v>93.23</v>
      </c>
      <c r="I139" s="27">
        <v>-7992.33</v>
      </c>
      <c r="K139" s="3">
        <v>45798</v>
      </c>
      <c r="L139" s="3">
        <v>45869</v>
      </c>
      <c r="M139" t="s">
        <v>912</v>
      </c>
      <c r="N139" s="2">
        <v>45809</v>
      </c>
      <c r="O139">
        <v>52538835</v>
      </c>
      <c r="P139">
        <v>1</v>
      </c>
      <c r="Q139" s="3">
        <v>45838</v>
      </c>
      <c r="R139">
        <v>210</v>
      </c>
      <c r="S139" s="85">
        <v>1.55E+16</v>
      </c>
      <c r="T139" t="s">
        <v>913</v>
      </c>
      <c r="U139">
        <v>7992.33</v>
      </c>
      <c r="W139" s="79">
        <f t="shared" si="8"/>
        <v>-1.9950377424355601E-2</v>
      </c>
      <c r="X139">
        <f>VLOOKUP(D139,'[3]Customer TDS'!D:I,6,0)</f>
        <v>159.44999999999999</v>
      </c>
      <c r="Y139" s="27">
        <f t="shared" si="10"/>
        <v>-7832.88</v>
      </c>
      <c r="Z139" t="s">
        <v>915</v>
      </c>
      <c r="AA139">
        <f>VLOOKUP(D139,'Ascendus DATA'!$F:$J,5,0)</f>
        <v>8000.07</v>
      </c>
      <c r="AB139" s="27">
        <f t="shared" si="9"/>
        <v>7.7399999999997817</v>
      </c>
    </row>
    <row r="140" spans="1:28" hidden="1" x14ac:dyDescent="0.35">
      <c r="A140" t="s">
        <v>910</v>
      </c>
      <c r="B140" t="s">
        <v>910</v>
      </c>
      <c r="C140" t="s">
        <v>438</v>
      </c>
      <c r="D140" s="4">
        <v>256779412053</v>
      </c>
      <c r="E140" s="3">
        <v>45763</v>
      </c>
      <c r="F140" t="s">
        <v>11</v>
      </c>
      <c r="G140">
        <v>-985.93</v>
      </c>
      <c r="H140">
        <v>985.93</v>
      </c>
      <c r="I140" s="27">
        <v>-84520.79</v>
      </c>
      <c r="K140" s="3">
        <v>45793</v>
      </c>
      <c r="L140" s="3">
        <v>45869</v>
      </c>
      <c r="M140" t="s">
        <v>912</v>
      </c>
      <c r="N140" s="2">
        <v>45809</v>
      </c>
      <c r="O140">
        <v>52538836</v>
      </c>
      <c r="P140">
        <v>1</v>
      </c>
      <c r="Q140" s="3">
        <v>45838</v>
      </c>
      <c r="R140">
        <v>210</v>
      </c>
      <c r="S140" s="85">
        <v>1.55E+16</v>
      </c>
      <c r="T140" t="s">
        <v>913</v>
      </c>
      <c r="U140">
        <v>84520.79</v>
      </c>
      <c r="W140" s="79">
        <f t="shared" si="8"/>
        <v>-2.0001469460945644E-2</v>
      </c>
      <c r="X140">
        <f>VLOOKUP(D140,'[3]Customer TDS'!D:I,6,0)</f>
        <v>1690.54</v>
      </c>
      <c r="Y140" s="27">
        <f t="shared" si="10"/>
        <v>-82830.25</v>
      </c>
      <c r="Z140" t="s">
        <v>915</v>
      </c>
      <c r="AA140">
        <f>VLOOKUP(D140,'Ascendus DATA'!$F:$J,5,0)</f>
        <v>85698.83</v>
      </c>
      <c r="AB140" s="27">
        <f t="shared" si="9"/>
        <v>1178.0400000000081</v>
      </c>
    </row>
    <row r="141" spans="1:28" hidden="1" x14ac:dyDescent="0.35">
      <c r="A141" t="s">
        <v>910</v>
      </c>
      <c r="B141" t="s">
        <v>910</v>
      </c>
      <c r="C141" t="s">
        <v>438</v>
      </c>
      <c r="D141" s="4">
        <v>256779412185</v>
      </c>
      <c r="E141" s="3">
        <v>45768</v>
      </c>
      <c r="F141" t="s">
        <v>11</v>
      </c>
      <c r="G141">
        <v>-51.28</v>
      </c>
      <c r="H141">
        <v>51.28</v>
      </c>
      <c r="I141" s="27">
        <v>-4396.08</v>
      </c>
      <c r="K141" s="3">
        <v>45798</v>
      </c>
      <c r="L141" s="3">
        <v>45869</v>
      </c>
      <c r="M141" t="s">
        <v>912</v>
      </c>
      <c r="N141" s="2">
        <v>45809</v>
      </c>
      <c r="O141">
        <v>52538839</v>
      </c>
      <c r="P141">
        <v>1</v>
      </c>
      <c r="Q141" s="3">
        <v>45838</v>
      </c>
      <c r="R141">
        <v>210</v>
      </c>
      <c r="S141" s="85">
        <v>1.55E+16</v>
      </c>
      <c r="T141" t="s">
        <v>913</v>
      </c>
      <c r="U141">
        <v>4396.08</v>
      </c>
      <c r="W141" s="79">
        <f t="shared" si="8"/>
        <v>-2.0086076686502519E-2</v>
      </c>
      <c r="X141">
        <f>VLOOKUP(D141,'[3]Customer TDS'!D:I,6,0)</f>
        <v>88.3</v>
      </c>
      <c r="Y141" s="27">
        <f t="shared" si="10"/>
        <v>-4307.78</v>
      </c>
      <c r="Z141" t="s">
        <v>915</v>
      </c>
      <c r="AA141">
        <f>VLOOKUP(D141,'Ascendus DATA'!$F:$J,5,0)</f>
        <v>4400.34</v>
      </c>
      <c r="AB141" s="27">
        <f t="shared" si="9"/>
        <v>4.2600000000002183</v>
      </c>
    </row>
    <row r="142" spans="1:28" hidden="1" x14ac:dyDescent="0.35">
      <c r="A142" t="s">
        <v>910</v>
      </c>
      <c r="B142" t="s">
        <v>910</v>
      </c>
      <c r="C142" t="s">
        <v>438</v>
      </c>
      <c r="D142" s="4">
        <v>256779412563</v>
      </c>
      <c r="E142" s="3">
        <v>45769</v>
      </c>
      <c r="F142" t="s">
        <v>11</v>
      </c>
      <c r="G142">
        <v>-27</v>
      </c>
      <c r="H142">
        <v>27</v>
      </c>
      <c r="I142" s="27">
        <v>-2314.63</v>
      </c>
      <c r="K142" s="3">
        <v>45799</v>
      </c>
      <c r="L142" s="3">
        <v>45869</v>
      </c>
      <c r="M142" t="s">
        <v>912</v>
      </c>
      <c r="N142" s="2">
        <v>45809</v>
      </c>
      <c r="O142">
        <v>52538840</v>
      </c>
      <c r="P142">
        <v>1</v>
      </c>
      <c r="Q142" s="3">
        <v>45838</v>
      </c>
      <c r="R142">
        <v>210</v>
      </c>
      <c r="S142" s="85">
        <v>1.55E+16</v>
      </c>
      <c r="T142" t="s">
        <v>913</v>
      </c>
      <c r="U142">
        <v>2314.63</v>
      </c>
      <c r="W142" s="79">
        <f t="shared" si="8"/>
        <v>-1.9998876710316551E-2</v>
      </c>
      <c r="X142">
        <f>VLOOKUP(D142,'[3]Customer TDS'!D:I,6,0)</f>
        <v>46.29</v>
      </c>
      <c r="Y142" s="27">
        <f t="shared" si="10"/>
        <v>-2268.34</v>
      </c>
      <c r="Z142" t="s">
        <v>915</v>
      </c>
      <c r="AA142">
        <f>VLOOKUP(D142,'Ascendus DATA'!$F:$J,5,0)</f>
        <v>2346.89</v>
      </c>
      <c r="AB142" s="27">
        <f t="shared" si="9"/>
        <v>32.259999999999764</v>
      </c>
    </row>
    <row r="143" spans="1:28" hidden="1" x14ac:dyDescent="0.35">
      <c r="A143" t="s">
        <v>910</v>
      </c>
      <c r="B143" t="s">
        <v>910</v>
      </c>
      <c r="C143" t="s">
        <v>438</v>
      </c>
      <c r="D143" s="4">
        <v>246779410882</v>
      </c>
      <c r="E143" s="3">
        <v>45722</v>
      </c>
      <c r="F143" t="s">
        <v>11</v>
      </c>
      <c r="G143" s="27">
        <v>-2232.73</v>
      </c>
      <c r="H143" s="27">
        <v>2232.73</v>
      </c>
      <c r="I143" s="27">
        <v>-194342.21</v>
      </c>
      <c r="K143" s="3">
        <v>45752</v>
      </c>
      <c r="L143" s="3">
        <v>45869</v>
      </c>
      <c r="M143" t="s">
        <v>912</v>
      </c>
      <c r="N143" s="2">
        <v>45809</v>
      </c>
      <c r="O143">
        <v>52538841</v>
      </c>
      <c r="P143">
        <v>1</v>
      </c>
      <c r="Q143" s="3">
        <v>45838</v>
      </c>
      <c r="R143">
        <v>210</v>
      </c>
      <c r="S143" s="85">
        <v>1.55E+16</v>
      </c>
      <c r="T143" t="s">
        <v>913</v>
      </c>
      <c r="U143">
        <v>194342.21</v>
      </c>
      <c r="W143" s="79">
        <f t="shared" si="8"/>
        <v>-1.9997920163612425E-2</v>
      </c>
      <c r="X143">
        <f>VLOOKUP(D143,'[3]Customer TDS'!D:I,6,0)</f>
        <v>3886.44</v>
      </c>
      <c r="Y143" s="27">
        <f t="shared" si="10"/>
        <v>-190455.77</v>
      </c>
      <c r="Z143" t="s">
        <v>915</v>
      </c>
      <c r="AA143">
        <f>VLOOKUP(D143,'Ascendus DATA'!$F:$J,5,0)</f>
        <v>193558.18</v>
      </c>
      <c r="AB143" s="27">
        <f t="shared" si="9"/>
        <v>-784.02999999999884</v>
      </c>
    </row>
    <row r="144" spans="1:28" hidden="1" x14ac:dyDescent="0.35">
      <c r="A144" t="s">
        <v>910</v>
      </c>
      <c r="B144" t="s">
        <v>910</v>
      </c>
      <c r="C144" t="s">
        <v>438</v>
      </c>
      <c r="D144" s="4">
        <v>256779412576</v>
      </c>
      <c r="E144" s="3">
        <v>45769</v>
      </c>
      <c r="F144" t="s">
        <v>11</v>
      </c>
      <c r="G144">
        <v>-46</v>
      </c>
      <c r="H144">
        <v>46</v>
      </c>
      <c r="I144" s="27">
        <v>-3943.44</v>
      </c>
      <c r="K144" s="3">
        <v>45799</v>
      </c>
      <c r="L144" s="3">
        <v>45869</v>
      </c>
      <c r="M144" t="s">
        <v>912</v>
      </c>
      <c r="N144" s="2">
        <v>45809</v>
      </c>
      <c r="O144">
        <v>52538843</v>
      </c>
      <c r="P144">
        <v>1</v>
      </c>
      <c r="Q144" s="3">
        <v>45838</v>
      </c>
      <c r="R144">
        <v>210</v>
      </c>
      <c r="S144" s="85">
        <v>1.55E+16</v>
      </c>
      <c r="T144" t="s">
        <v>913</v>
      </c>
      <c r="U144">
        <v>3943.44</v>
      </c>
      <c r="W144" s="79">
        <f t="shared" si="8"/>
        <v>-2.0000304302842189E-2</v>
      </c>
      <c r="X144">
        <f>VLOOKUP(D144,'[3]Customer TDS'!D:I,6,0)</f>
        <v>78.87</v>
      </c>
      <c r="Y144" s="27">
        <f t="shared" si="10"/>
        <v>-3864.57</v>
      </c>
      <c r="Z144" t="s">
        <v>915</v>
      </c>
      <c r="AA144">
        <f>VLOOKUP(D144,'Ascendus DATA'!$F:$J,5,0)</f>
        <v>3998.4</v>
      </c>
      <c r="AB144" s="27">
        <f t="shared" si="9"/>
        <v>54.960000000000036</v>
      </c>
    </row>
    <row r="145" spans="1:28" hidden="1" x14ac:dyDescent="0.35">
      <c r="A145" t="s">
        <v>910</v>
      </c>
      <c r="B145" t="s">
        <v>910</v>
      </c>
      <c r="C145" t="s">
        <v>438</v>
      </c>
      <c r="D145" s="4">
        <v>256779412577</v>
      </c>
      <c r="E145" s="3">
        <v>45769</v>
      </c>
      <c r="F145" t="s">
        <v>11</v>
      </c>
      <c r="G145">
        <v>-46</v>
      </c>
      <c r="H145">
        <v>46</v>
      </c>
      <c r="I145" s="27">
        <v>-3943.44</v>
      </c>
      <c r="K145" s="3">
        <v>45799</v>
      </c>
      <c r="L145" s="3">
        <v>45869</v>
      </c>
      <c r="M145" t="s">
        <v>912</v>
      </c>
      <c r="N145" s="2">
        <v>45809</v>
      </c>
      <c r="O145">
        <v>52538844</v>
      </c>
      <c r="P145">
        <v>1</v>
      </c>
      <c r="Q145" s="3">
        <v>45838</v>
      </c>
      <c r="R145">
        <v>210</v>
      </c>
      <c r="S145" s="85">
        <v>1.55E+16</v>
      </c>
      <c r="T145" t="s">
        <v>913</v>
      </c>
      <c r="U145">
        <v>3943.44</v>
      </c>
      <c r="W145" s="79">
        <f t="shared" si="8"/>
        <v>-2.0000304302842189E-2</v>
      </c>
      <c r="X145">
        <f>VLOOKUP(D145,'[3]Customer TDS'!D:I,6,0)</f>
        <v>78.87</v>
      </c>
      <c r="Y145" s="27">
        <f t="shared" si="10"/>
        <v>-3864.57</v>
      </c>
      <c r="Z145" t="s">
        <v>915</v>
      </c>
      <c r="AA145">
        <f>VLOOKUP(D145,'Ascendus DATA'!$F:$J,5,0)</f>
        <v>3998.4</v>
      </c>
      <c r="AB145" s="27">
        <f t="shared" si="9"/>
        <v>54.960000000000036</v>
      </c>
    </row>
    <row r="146" spans="1:28" hidden="1" x14ac:dyDescent="0.35">
      <c r="A146" t="s">
        <v>910</v>
      </c>
      <c r="B146" t="s">
        <v>910</v>
      </c>
      <c r="C146" t="s">
        <v>438</v>
      </c>
      <c r="D146" s="4">
        <v>256779412580</v>
      </c>
      <c r="E146" s="3">
        <v>45769</v>
      </c>
      <c r="F146" t="s">
        <v>11</v>
      </c>
      <c r="G146">
        <v>-40.5</v>
      </c>
      <c r="H146">
        <v>40.5</v>
      </c>
      <c r="I146" s="27">
        <v>-3471.94</v>
      </c>
      <c r="K146" s="3">
        <v>45799</v>
      </c>
      <c r="L146" s="3">
        <v>45869</v>
      </c>
      <c r="M146" t="s">
        <v>912</v>
      </c>
      <c r="N146" s="2">
        <v>45809</v>
      </c>
      <c r="O146">
        <v>52538847</v>
      </c>
      <c r="P146">
        <v>1</v>
      </c>
      <c r="Q146" s="3">
        <v>45838</v>
      </c>
      <c r="R146">
        <v>210</v>
      </c>
      <c r="S146" s="85">
        <v>1.55E+16</v>
      </c>
      <c r="T146" t="s">
        <v>913</v>
      </c>
      <c r="U146">
        <v>3471.94</v>
      </c>
      <c r="W146" s="79">
        <f t="shared" si="8"/>
        <v>-2.000034562809265E-2</v>
      </c>
      <c r="X146">
        <f>VLOOKUP(D146,'[3]Customer TDS'!D:I,6,0)</f>
        <v>69.44</v>
      </c>
      <c r="Y146" s="27">
        <f t="shared" si="10"/>
        <v>-3402.5</v>
      </c>
      <c r="Z146" t="s">
        <v>915</v>
      </c>
      <c r="AA146">
        <f>VLOOKUP(D146,'Ascendus DATA'!$F:$J,5,0)</f>
        <v>3520.33</v>
      </c>
      <c r="AB146" s="27">
        <f t="shared" si="9"/>
        <v>48.389999999999873</v>
      </c>
    </row>
    <row r="147" spans="1:28" hidden="1" x14ac:dyDescent="0.35">
      <c r="A147" t="s">
        <v>910</v>
      </c>
      <c r="B147" t="s">
        <v>910</v>
      </c>
      <c r="C147" t="s">
        <v>438</v>
      </c>
      <c r="D147" s="4">
        <v>246779413815</v>
      </c>
      <c r="E147" s="3">
        <v>45736</v>
      </c>
      <c r="F147" t="s">
        <v>11</v>
      </c>
      <c r="G147">
        <v>-50</v>
      </c>
      <c r="H147">
        <v>50</v>
      </c>
      <c r="I147" s="27">
        <v>-4352.12</v>
      </c>
      <c r="K147" s="3">
        <v>45766</v>
      </c>
      <c r="L147" s="3">
        <v>45869</v>
      </c>
      <c r="M147" t="s">
        <v>912</v>
      </c>
      <c r="N147" s="2">
        <v>45809</v>
      </c>
      <c r="O147">
        <v>52538849</v>
      </c>
      <c r="P147">
        <v>1</v>
      </c>
      <c r="Q147" s="3">
        <v>45838</v>
      </c>
      <c r="R147">
        <v>210</v>
      </c>
      <c r="S147" s="85">
        <v>1.55E+16</v>
      </c>
      <c r="T147" t="s">
        <v>913</v>
      </c>
      <c r="U147">
        <v>4352.12</v>
      </c>
      <c r="W147" s="79">
        <f t="shared" si="8"/>
        <v>-1.9999448544617337E-2</v>
      </c>
      <c r="X147">
        <f>VLOOKUP(D147,'[3]Customer TDS'!D:I,6,0)</f>
        <v>87.04</v>
      </c>
      <c r="Y147" s="27">
        <f t="shared" si="10"/>
        <v>-4265.08</v>
      </c>
      <c r="Z147" t="s">
        <v>915</v>
      </c>
      <c r="AA147">
        <f>VLOOKUP(D147,'Ascendus DATA'!$F:$J,5,0)</f>
        <v>4334.5600000000004</v>
      </c>
      <c r="AB147" s="27">
        <f t="shared" si="9"/>
        <v>-17.559999999999491</v>
      </c>
    </row>
    <row r="148" spans="1:28" hidden="1" x14ac:dyDescent="0.35">
      <c r="A148" t="s">
        <v>910</v>
      </c>
      <c r="B148" t="s">
        <v>910</v>
      </c>
      <c r="C148" t="s">
        <v>438</v>
      </c>
      <c r="D148" s="4">
        <v>256779410304</v>
      </c>
      <c r="E148" s="3">
        <v>45750</v>
      </c>
      <c r="F148" t="s">
        <v>11</v>
      </c>
      <c r="G148">
        <v>-50.3</v>
      </c>
      <c r="H148">
        <v>50.3</v>
      </c>
      <c r="I148" s="27">
        <v>-4312.07</v>
      </c>
      <c r="K148" s="3">
        <v>45780</v>
      </c>
      <c r="L148" s="3">
        <v>45869</v>
      </c>
      <c r="M148" t="s">
        <v>912</v>
      </c>
      <c r="N148" s="2">
        <v>45809</v>
      </c>
      <c r="O148">
        <v>52538853</v>
      </c>
      <c r="P148">
        <v>1</v>
      </c>
      <c r="Q148" s="3">
        <v>45838</v>
      </c>
      <c r="R148">
        <v>210</v>
      </c>
      <c r="S148" s="85">
        <v>1.55E+16</v>
      </c>
      <c r="T148" t="s">
        <v>913</v>
      </c>
      <c r="U148">
        <v>4312.07</v>
      </c>
      <c r="W148" s="79">
        <f t="shared" si="8"/>
        <v>-2.0078523771645637E-2</v>
      </c>
      <c r="X148">
        <f>VLOOKUP(D148,'[3]Customer TDS'!D:I,6,0)</f>
        <v>86.58</v>
      </c>
      <c r="Y148" s="27">
        <f t="shared" si="10"/>
        <v>-4225.49</v>
      </c>
      <c r="Z148" t="s">
        <v>915</v>
      </c>
      <c r="AA148">
        <f>VLOOKUP(D148,'Ascendus DATA'!$F:$J,5,0)</f>
        <v>4372.17</v>
      </c>
      <c r="AB148" s="27">
        <f t="shared" si="9"/>
        <v>60.100000000000364</v>
      </c>
    </row>
    <row r="149" spans="1:28" hidden="1" x14ac:dyDescent="0.35">
      <c r="A149" t="s">
        <v>910</v>
      </c>
      <c r="B149" t="s">
        <v>910</v>
      </c>
      <c r="C149" t="s">
        <v>438</v>
      </c>
      <c r="D149" s="4">
        <v>246779413024</v>
      </c>
      <c r="E149" s="3">
        <v>45735</v>
      </c>
      <c r="F149" t="s">
        <v>11</v>
      </c>
      <c r="G149">
        <v>-50.54</v>
      </c>
      <c r="H149">
        <v>50.54</v>
      </c>
      <c r="I149" s="27">
        <v>-4399.12</v>
      </c>
      <c r="K149" s="3">
        <v>45765</v>
      </c>
      <c r="L149" s="3">
        <v>45869</v>
      </c>
      <c r="M149" t="s">
        <v>912</v>
      </c>
      <c r="N149" s="2">
        <v>45809</v>
      </c>
      <c r="O149">
        <v>52538854</v>
      </c>
      <c r="P149">
        <v>1</v>
      </c>
      <c r="Q149" s="3">
        <v>45838</v>
      </c>
      <c r="R149">
        <v>210</v>
      </c>
      <c r="S149" s="85">
        <v>1.55E+16</v>
      </c>
      <c r="T149" t="s">
        <v>913</v>
      </c>
      <c r="U149">
        <v>4399.12</v>
      </c>
      <c r="W149" s="79">
        <f t="shared" si="8"/>
        <v>-1.9983542162978051E-2</v>
      </c>
      <c r="X149">
        <f>VLOOKUP(D149,'[3]Customer TDS'!D:I,6,0)</f>
        <v>87.91</v>
      </c>
      <c r="Y149" s="27">
        <f t="shared" si="10"/>
        <v>-4311.21</v>
      </c>
      <c r="Z149" t="s">
        <v>915</v>
      </c>
      <c r="AA149">
        <f>VLOOKUP(D149,'Ascendus DATA'!$F:$J,5,0)</f>
        <v>4381.38</v>
      </c>
      <c r="AB149" s="27">
        <f t="shared" si="9"/>
        <v>-17.739999999999782</v>
      </c>
    </row>
    <row r="150" spans="1:28" hidden="1" x14ac:dyDescent="0.35">
      <c r="A150" t="s">
        <v>910</v>
      </c>
      <c r="B150" t="s">
        <v>910</v>
      </c>
      <c r="C150" t="s">
        <v>438</v>
      </c>
      <c r="D150" s="4">
        <v>256779412091</v>
      </c>
      <c r="E150" s="3">
        <v>45763</v>
      </c>
      <c r="F150" t="s">
        <v>11</v>
      </c>
      <c r="G150">
        <v>-96.4</v>
      </c>
      <c r="H150">
        <v>96.4</v>
      </c>
      <c r="I150" s="27">
        <v>-8264.08</v>
      </c>
      <c r="K150" s="3">
        <v>45793</v>
      </c>
      <c r="L150" s="3">
        <v>45869</v>
      </c>
      <c r="M150" t="s">
        <v>912</v>
      </c>
      <c r="N150" s="2">
        <v>45809</v>
      </c>
      <c r="O150">
        <v>52538855</v>
      </c>
      <c r="P150">
        <v>1</v>
      </c>
      <c r="Q150" s="3">
        <v>45838</v>
      </c>
      <c r="R150">
        <v>210</v>
      </c>
      <c r="S150" s="85">
        <v>1.55E+16</v>
      </c>
      <c r="T150" t="s">
        <v>913</v>
      </c>
      <c r="U150">
        <v>8264.08</v>
      </c>
      <c r="W150" s="79">
        <f t="shared" si="8"/>
        <v>-2.0020377343878567E-2</v>
      </c>
      <c r="X150">
        <f>VLOOKUP(D150,'[3]Customer TDS'!D:I,6,0)</f>
        <v>165.45</v>
      </c>
      <c r="Y150" s="27">
        <f t="shared" si="10"/>
        <v>-8098.63</v>
      </c>
      <c r="Z150" t="s">
        <v>915</v>
      </c>
      <c r="AA150">
        <f>VLOOKUP(D150,'Ascendus DATA'!$F:$J,5,0)</f>
        <v>8379.26</v>
      </c>
      <c r="AB150" s="27">
        <f t="shared" si="9"/>
        <v>115.18000000000029</v>
      </c>
    </row>
    <row r="151" spans="1:28" hidden="1" x14ac:dyDescent="0.35">
      <c r="A151" t="s">
        <v>910</v>
      </c>
      <c r="B151" t="s">
        <v>910</v>
      </c>
      <c r="C151" t="s">
        <v>438</v>
      </c>
      <c r="D151" s="4">
        <v>256779412562</v>
      </c>
      <c r="E151" s="3">
        <v>45769</v>
      </c>
      <c r="F151" t="s">
        <v>11</v>
      </c>
      <c r="G151">
        <v>-54.65</v>
      </c>
      <c r="H151">
        <v>54.65</v>
      </c>
      <c r="I151" s="27">
        <v>-4684.9799999999996</v>
      </c>
      <c r="K151" s="3">
        <v>45799</v>
      </c>
      <c r="L151" s="3">
        <v>45869</v>
      </c>
      <c r="M151" t="s">
        <v>912</v>
      </c>
      <c r="N151" s="2">
        <v>45809</v>
      </c>
      <c r="O151">
        <v>52538856</v>
      </c>
      <c r="P151">
        <v>1</v>
      </c>
      <c r="Q151" s="3">
        <v>45838</v>
      </c>
      <c r="R151">
        <v>210</v>
      </c>
      <c r="S151" s="85">
        <v>1.55E+16</v>
      </c>
      <c r="T151" t="s">
        <v>913</v>
      </c>
      <c r="U151">
        <v>4684.9799999999996</v>
      </c>
      <c r="W151" s="79">
        <f t="shared" si="8"/>
        <v>-1.9944588877647291E-2</v>
      </c>
      <c r="X151">
        <f>VLOOKUP(D151,'[3]Customer TDS'!D:I,6,0)</f>
        <v>93.44</v>
      </c>
      <c r="Y151" s="27">
        <f t="shared" si="10"/>
        <v>-4591.54</v>
      </c>
      <c r="Z151" t="s">
        <v>915</v>
      </c>
      <c r="AA151">
        <f>VLOOKUP(D151,'Ascendus DATA'!$F:$J,5,0)</f>
        <v>4750.28</v>
      </c>
      <c r="AB151" s="27">
        <f t="shared" si="9"/>
        <v>65.300000000000182</v>
      </c>
    </row>
    <row r="152" spans="1:28" hidden="1" x14ac:dyDescent="0.35">
      <c r="A152" t="s">
        <v>910</v>
      </c>
      <c r="B152" t="s">
        <v>910</v>
      </c>
      <c r="C152" t="s">
        <v>438</v>
      </c>
      <c r="D152" s="4">
        <v>256779412123</v>
      </c>
      <c r="E152" s="3">
        <v>45763</v>
      </c>
      <c r="F152" t="s">
        <v>11</v>
      </c>
      <c r="G152" s="27">
        <v>-3318.21</v>
      </c>
      <c r="H152" s="27">
        <v>3318.21</v>
      </c>
      <c r="I152" s="27">
        <v>-284460.08</v>
      </c>
      <c r="K152" s="3">
        <v>45793</v>
      </c>
      <c r="L152" s="3">
        <v>45869</v>
      </c>
      <c r="M152" t="s">
        <v>912</v>
      </c>
      <c r="N152" s="2">
        <v>45809</v>
      </c>
      <c r="O152">
        <v>52538857</v>
      </c>
      <c r="P152">
        <v>1</v>
      </c>
      <c r="Q152" s="3">
        <v>45838</v>
      </c>
      <c r="R152">
        <v>210</v>
      </c>
      <c r="S152" s="85">
        <v>1.55E+16</v>
      </c>
      <c r="T152" t="s">
        <v>913</v>
      </c>
      <c r="U152">
        <v>284460.08</v>
      </c>
      <c r="W152" s="79">
        <f t="shared" si="8"/>
        <v>-1.9998728819875182E-2</v>
      </c>
      <c r="X152">
        <f>VLOOKUP(D152,'[3]Customer TDS'!D:I,6,0)</f>
        <v>5688.84</v>
      </c>
      <c r="Y152" s="27">
        <f t="shared" si="10"/>
        <v>-278771.24</v>
      </c>
      <c r="Z152" t="s">
        <v>915</v>
      </c>
      <c r="AA152">
        <f>VLOOKUP(D152,'Ascendus DATA'!$F:$J,5,0)</f>
        <v>288424.84999999998</v>
      </c>
      <c r="AB152" s="27">
        <f t="shared" si="9"/>
        <v>3964.7699999999604</v>
      </c>
    </row>
    <row r="153" spans="1:28" hidden="1" x14ac:dyDescent="0.35">
      <c r="A153" t="s">
        <v>910</v>
      </c>
      <c r="B153" t="s">
        <v>910</v>
      </c>
      <c r="C153" t="s">
        <v>438</v>
      </c>
      <c r="D153" s="4">
        <v>256779412564</v>
      </c>
      <c r="E153" s="3">
        <v>45769</v>
      </c>
      <c r="F153" t="s">
        <v>11</v>
      </c>
      <c r="G153">
        <v>-55.2</v>
      </c>
      <c r="H153">
        <v>55.2</v>
      </c>
      <c r="I153" s="27">
        <v>-4732.13</v>
      </c>
      <c r="K153" s="3">
        <v>45799</v>
      </c>
      <c r="L153" s="3">
        <v>45869</v>
      </c>
      <c r="M153" t="s">
        <v>912</v>
      </c>
      <c r="N153" s="2">
        <v>45809</v>
      </c>
      <c r="O153">
        <v>52538858</v>
      </c>
      <c r="P153">
        <v>1</v>
      </c>
      <c r="Q153" s="3">
        <v>45838</v>
      </c>
      <c r="R153">
        <v>210</v>
      </c>
      <c r="S153" s="85">
        <v>1.55E+16</v>
      </c>
      <c r="T153" t="s">
        <v>913</v>
      </c>
      <c r="U153">
        <v>4732.13</v>
      </c>
      <c r="W153" s="79">
        <f t="shared" si="8"/>
        <v>-1.9927601312728093E-2</v>
      </c>
      <c r="X153">
        <f>VLOOKUP(D153,'[3]Customer TDS'!D:I,6,0)</f>
        <v>94.3</v>
      </c>
      <c r="Y153" s="27">
        <f t="shared" si="10"/>
        <v>-4637.83</v>
      </c>
      <c r="Z153" t="s">
        <v>915</v>
      </c>
      <c r="AA153">
        <f>VLOOKUP(D153,'Ascendus DATA'!$F:$J,5,0)</f>
        <v>4798.08</v>
      </c>
      <c r="AB153" s="27">
        <f t="shared" si="9"/>
        <v>65.949999999999818</v>
      </c>
    </row>
    <row r="154" spans="1:28" hidden="1" x14ac:dyDescent="0.35">
      <c r="A154" t="s">
        <v>910</v>
      </c>
      <c r="B154" t="s">
        <v>910</v>
      </c>
      <c r="C154" t="s">
        <v>438</v>
      </c>
      <c r="D154" s="4">
        <v>256779412189</v>
      </c>
      <c r="E154" s="3">
        <v>45768</v>
      </c>
      <c r="F154" t="s">
        <v>56</v>
      </c>
      <c r="G154" t="s">
        <v>911</v>
      </c>
      <c r="H154" t="s">
        <v>911</v>
      </c>
      <c r="I154">
        <v>-262.20999999999998</v>
      </c>
      <c r="K154" s="3">
        <v>45798</v>
      </c>
      <c r="L154" s="3">
        <v>45939</v>
      </c>
      <c r="M154" t="s">
        <v>912</v>
      </c>
      <c r="N154" s="2">
        <v>45809</v>
      </c>
      <c r="O154">
        <v>52538859</v>
      </c>
      <c r="P154">
        <v>1</v>
      </c>
      <c r="Q154" s="3">
        <v>45838</v>
      </c>
      <c r="R154">
        <v>210</v>
      </c>
      <c r="S154" s="85">
        <v>1.55E+16</v>
      </c>
      <c r="T154" t="s">
        <v>913</v>
      </c>
      <c r="U154">
        <v>6</v>
      </c>
      <c r="W154" s="79">
        <f t="shared" si="8"/>
        <v>-2.2882422485793832E-2</v>
      </c>
      <c r="X154">
        <f>VLOOKUP(D154,'[3]Customer TDS'!D:I,6,0)</f>
        <v>6</v>
      </c>
      <c r="Y154" s="27">
        <f t="shared" si="10"/>
        <v>-256.20999999999998</v>
      </c>
      <c r="Z154" t="s">
        <v>915</v>
      </c>
      <c r="AA154">
        <f>VLOOKUP(D154,'Ascendus DATA'!$F:$J,5,0)</f>
        <v>262.20999999999998</v>
      </c>
      <c r="AB154">
        <f>I154+AA154</f>
        <v>0</v>
      </c>
    </row>
    <row r="155" spans="1:28" hidden="1" x14ac:dyDescent="0.35">
      <c r="A155" t="s">
        <v>910</v>
      </c>
      <c r="B155" t="s">
        <v>910</v>
      </c>
      <c r="C155" t="s">
        <v>438</v>
      </c>
      <c r="D155" s="4">
        <v>256779412570</v>
      </c>
      <c r="E155" s="3">
        <v>45769</v>
      </c>
      <c r="F155" t="s">
        <v>11</v>
      </c>
      <c r="G155">
        <v>-43.38</v>
      </c>
      <c r="H155">
        <v>43.38</v>
      </c>
      <c r="I155" s="27">
        <v>-3718.84</v>
      </c>
      <c r="K155" s="3">
        <v>45799</v>
      </c>
      <c r="L155" s="3">
        <v>45869</v>
      </c>
      <c r="M155" t="s">
        <v>912</v>
      </c>
      <c r="N155" s="2">
        <v>45809</v>
      </c>
      <c r="O155">
        <v>52538860</v>
      </c>
      <c r="P155">
        <v>1</v>
      </c>
      <c r="Q155" s="3">
        <v>45838</v>
      </c>
      <c r="R155">
        <v>210</v>
      </c>
      <c r="S155" s="85">
        <v>1.55E+16</v>
      </c>
      <c r="T155" t="s">
        <v>913</v>
      </c>
      <c r="U155">
        <v>3718.84</v>
      </c>
      <c r="W155" s="79">
        <f t="shared" si="8"/>
        <v>-2.0054640694410084E-2</v>
      </c>
      <c r="X155">
        <f>VLOOKUP(D155,'[3]Customer TDS'!D:I,6,0)</f>
        <v>74.58</v>
      </c>
      <c r="Y155" s="27">
        <f t="shared" si="10"/>
        <v>-3644.26</v>
      </c>
      <c r="Z155" t="s">
        <v>915</v>
      </c>
      <c r="AA155">
        <f>VLOOKUP(D155,'Ascendus DATA'!$F:$J,5,0)</f>
        <v>3770.67</v>
      </c>
      <c r="AB155" s="27">
        <f t="shared" ref="AB155:AB171" si="11">I155+AA155</f>
        <v>51.829999999999927</v>
      </c>
    </row>
    <row r="156" spans="1:28" hidden="1" x14ac:dyDescent="0.35">
      <c r="A156" t="s">
        <v>910</v>
      </c>
      <c r="B156" t="s">
        <v>910</v>
      </c>
      <c r="C156" t="s">
        <v>438</v>
      </c>
      <c r="D156" s="4">
        <v>256779412581</v>
      </c>
      <c r="E156" s="3">
        <v>45769</v>
      </c>
      <c r="F156" t="s">
        <v>11</v>
      </c>
      <c r="G156">
        <v>-51.5</v>
      </c>
      <c r="H156">
        <v>51.5</v>
      </c>
      <c r="I156" s="27">
        <v>-4414.9399999999996</v>
      </c>
      <c r="K156" s="3">
        <v>45799</v>
      </c>
      <c r="L156" s="3">
        <v>45869</v>
      </c>
      <c r="M156" t="s">
        <v>912</v>
      </c>
      <c r="N156" s="2">
        <v>45809</v>
      </c>
      <c r="O156">
        <v>52538862</v>
      </c>
      <c r="P156">
        <v>1</v>
      </c>
      <c r="Q156" s="3">
        <v>45838</v>
      </c>
      <c r="R156">
        <v>210</v>
      </c>
      <c r="S156" s="85">
        <v>1.55E+16</v>
      </c>
      <c r="T156" t="s">
        <v>913</v>
      </c>
      <c r="U156">
        <v>4414.9399999999996</v>
      </c>
      <c r="W156" s="79">
        <f t="shared" si="8"/>
        <v>-2.0000271804373332E-2</v>
      </c>
      <c r="X156">
        <f>VLOOKUP(D156,'[3]Customer TDS'!D:I,6,0)</f>
        <v>88.3</v>
      </c>
      <c r="Y156" s="27">
        <f t="shared" si="10"/>
        <v>-4326.6399999999994</v>
      </c>
      <c r="Z156" t="s">
        <v>915</v>
      </c>
      <c r="AA156">
        <f>VLOOKUP(D156,'Ascendus DATA'!$F:$J,5,0)</f>
        <v>4476.47</v>
      </c>
      <c r="AB156" s="27">
        <f t="shared" si="11"/>
        <v>61.530000000000655</v>
      </c>
    </row>
    <row r="157" spans="1:28" hidden="1" x14ac:dyDescent="0.35">
      <c r="A157" t="s">
        <v>910</v>
      </c>
      <c r="B157" t="s">
        <v>910</v>
      </c>
      <c r="C157" t="s">
        <v>438</v>
      </c>
      <c r="D157" s="4">
        <v>246779410080</v>
      </c>
      <c r="E157" s="3">
        <v>45708</v>
      </c>
      <c r="F157" t="s">
        <v>11</v>
      </c>
      <c r="G157">
        <v>-95.24</v>
      </c>
      <c r="H157">
        <v>95.24</v>
      </c>
      <c r="I157" s="27">
        <v>-8242.0300000000007</v>
      </c>
      <c r="K157" s="3">
        <v>45738</v>
      </c>
      <c r="L157" s="3">
        <v>45869</v>
      </c>
      <c r="M157" t="s">
        <v>912</v>
      </c>
      <c r="N157" s="2">
        <v>45809</v>
      </c>
      <c r="O157">
        <v>52538863</v>
      </c>
      <c r="P157">
        <v>1</v>
      </c>
      <c r="Q157" s="3">
        <v>45838</v>
      </c>
      <c r="R157">
        <v>210</v>
      </c>
      <c r="S157" s="85">
        <v>1.55E+16</v>
      </c>
      <c r="T157" t="s">
        <v>913</v>
      </c>
      <c r="U157">
        <v>8242.0300000000007</v>
      </c>
      <c r="W157" s="79">
        <f t="shared" si="8"/>
        <v>-1.995018217599305E-2</v>
      </c>
      <c r="X157">
        <f>VLOOKUP(D157,'[3]Customer TDS'!D:I,6,0)</f>
        <v>164.43</v>
      </c>
      <c r="Y157" s="27">
        <f t="shared" si="10"/>
        <v>-8077.6</v>
      </c>
      <c r="Z157" t="s">
        <v>915</v>
      </c>
      <c r="AA157">
        <f>VLOOKUP(D157,'Ascendus DATA'!$F:$J,5,0)</f>
        <v>8219.56</v>
      </c>
      <c r="AB157" s="27">
        <f t="shared" si="11"/>
        <v>-22.470000000001164</v>
      </c>
    </row>
    <row r="158" spans="1:28" hidden="1" x14ac:dyDescent="0.35">
      <c r="A158" t="s">
        <v>910</v>
      </c>
      <c r="B158" t="s">
        <v>910</v>
      </c>
      <c r="C158" t="s">
        <v>438</v>
      </c>
      <c r="D158" s="4">
        <v>256779412585</v>
      </c>
      <c r="E158" s="3">
        <v>45769</v>
      </c>
      <c r="F158" t="s">
        <v>11</v>
      </c>
      <c r="G158">
        <v>-48.75</v>
      </c>
      <c r="H158">
        <v>48.75</v>
      </c>
      <c r="I158" s="27">
        <v>-4179.1899999999996</v>
      </c>
      <c r="K158" s="3">
        <v>45799</v>
      </c>
      <c r="L158" s="3">
        <v>45869</v>
      </c>
      <c r="M158" t="s">
        <v>912</v>
      </c>
      <c r="N158" s="2">
        <v>45809</v>
      </c>
      <c r="O158">
        <v>52538867</v>
      </c>
      <c r="P158">
        <v>1</v>
      </c>
      <c r="Q158" s="3">
        <v>45838</v>
      </c>
      <c r="R158">
        <v>210</v>
      </c>
      <c r="S158" s="85">
        <v>1.55E+16</v>
      </c>
      <c r="T158" t="s">
        <v>913</v>
      </c>
      <c r="U158">
        <v>4179.1899999999996</v>
      </c>
      <c r="W158" s="79">
        <f t="shared" si="8"/>
        <v>-2.0101981484450339E-2</v>
      </c>
      <c r="X158">
        <f>VLOOKUP(D158,'[3]Customer TDS'!D:I,6,0)</f>
        <v>84.01</v>
      </c>
      <c r="Y158" s="27">
        <f t="shared" si="10"/>
        <v>-4095.1799999999994</v>
      </c>
      <c r="Z158" t="s">
        <v>915</v>
      </c>
      <c r="AA158">
        <f>VLOOKUP(D158,'Ascendus DATA'!$F:$J,5,0)</f>
        <v>4237.4399999999996</v>
      </c>
      <c r="AB158" s="27">
        <f t="shared" si="11"/>
        <v>58.25</v>
      </c>
    </row>
    <row r="159" spans="1:28" hidden="1" x14ac:dyDescent="0.35">
      <c r="A159" t="s">
        <v>910</v>
      </c>
      <c r="B159" t="s">
        <v>910</v>
      </c>
      <c r="C159" t="s">
        <v>438</v>
      </c>
      <c r="D159" s="4">
        <v>246779410064</v>
      </c>
      <c r="E159" s="3">
        <v>45708</v>
      </c>
      <c r="F159" t="s">
        <v>11</v>
      </c>
      <c r="G159">
        <v>-52.38</v>
      </c>
      <c r="H159">
        <v>52.38</v>
      </c>
      <c r="I159" s="27">
        <v>-4532.9399999999996</v>
      </c>
      <c r="K159" s="3">
        <v>45738</v>
      </c>
      <c r="L159" s="3">
        <v>45869</v>
      </c>
      <c r="M159" t="s">
        <v>912</v>
      </c>
      <c r="N159" s="2">
        <v>45809</v>
      </c>
      <c r="O159">
        <v>52538868</v>
      </c>
      <c r="P159">
        <v>1</v>
      </c>
      <c r="Q159" s="3">
        <v>45838</v>
      </c>
      <c r="R159">
        <v>210</v>
      </c>
      <c r="S159" s="85">
        <v>1.55E+16</v>
      </c>
      <c r="T159" t="s">
        <v>913</v>
      </c>
      <c r="U159">
        <v>4532.9399999999996</v>
      </c>
      <c r="W159" s="79">
        <f t="shared" si="8"/>
        <v>-2.0046592277859404E-2</v>
      </c>
      <c r="X159">
        <f>VLOOKUP(D159,'[3]Customer TDS'!D:I,6,0)</f>
        <v>90.87</v>
      </c>
      <c r="Y159" s="27">
        <f t="shared" si="10"/>
        <v>-4442.07</v>
      </c>
      <c r="Z159" t="s">
        <v>915</v>
      </c>
      <c r="AA159">
        <f>VLOOKUP(D159,'Ascendus DATA'!$F:$J,5,0)</f>
        <v>4520.59</v>
      </c>
      <c r="AB159" s="27">
        <f t="shared" si="11"/>
        <v>-12.349999999999454</v>
      </c>
    </row>
    <row r="160" spans="1:28" hidden="1" x14ac:dyDescent="0.35">
      <c r="A160" t="s">
        <v>910</v>
      </c>
      <c r="B160" t="s">
        <v>910</v>
      </c>
      <c r="C160" t="s">
        <v>438</v>
      </c>
      <c r="D160" s="4">
        <v>256779411969</v>
      </c>
      <c r="E160" s="3">
        <v>45763</v>
      </c>
      <c r="F160" t="s">
        <v>11</v>
      </c>
      <c r="G160">
        <v>-79.08</v>
      </c>
      <c r="H160">
        <v>79.08</v>
      </c>
      <c r="I160" s="27">
        <v>-6779.29</v>
      </c>
      <c r="K160" s="3">
        <v>45793</v>
      </c>
      <c r="L160" s="3">
        <v>45869</v>
      </c>
      <c r="M160" t="s">
        <v>912</v>
      </c>
      <c r="N160" s="2">
        <v>45809</v>
      </c>
      <c r="O160">
        <v>52538869</v>
      </c>
      <c r="P160">
        <v>1</v>
      </c>
      <c r="Q160" s="3">
        <v>45838</v>
      </c>
      <c r="R160">
        <v>210</v>
      </c>
      <c r="S160" s="85">
        <v>1.55E+16</v>
      </c>
      <c r="T160" t="s">
        <v>913</v>
      </c>
      <c r="U160">
        <v>6779.29</v>
      </c>
      <c r="W160" s="79">
        <f t="shared" si="8"/>
        <v>-1.9979968403770896E-2</v>
      </c>
      <c r="X160">
        <f>VLOOKUP(D160,'[3]Customer TDS'!D:I,6,0)</f>
        <v>135.44999999999999</v>
      </c>
      <c r="Y160" s="27">
        <f t="shared" si="10"/>
        <v>-6643.84</v>
      </c>
      <c r="Z160" t="s">
        <v>915</v>
      </c>
      <c r="AA160">
        <f>VLOOKUP(D160,'Ascendus DATA'!$F:$J,5,0)</f>
        <v>6873.78</v>
      </c>
      <c r="AB160" s="27">
        <f t="shared" si="11"/>
        <v>94.489999999999782</v>
      </c>
    </row>
    <row r="161" spans="1:28" hidden="1" x14ac:dyDescent="0.35">
      <c r="A161" t="s">
        <v>910</v>
      </c>
      <c r="B161" t="s">
        <v>910</v>
      </c>
      <c r="C161" t="s">
        <v>438</v>
      </c>
      <c r="D161" s="4">
        <v>256779412155</v>
      </c>
      <c r="E161" s="3">
        <v>45768</v>
      </c>
      <c r="F161" t="s">
        <v>11</v>
      </c>
      <c r="G161" s="27">
        <v>-2330.73</v>
      </c>
      <c r="H161" s="27">
        <v>2330.73</v>
      </c>
      <c r="I161" s="27">
        <v>-199806.42</v>
      </c>
      <c r="K161" s="3">
        <v>45798</v>
      </c>
      <c r="L161" s="3">
        <v>45869</v>
      </c>
      <c r="M161" t="s">
        <v>912</v>
      </c>
      <c r="N161" s="2">
        <v>45809</v>
      </c>
      <c r="O161">
        <v>52538871</v>
      </c>
      <c r="P161">
        <v>1</v>
      </c>
      <c r="Q161" s="3">
        <v>45838</v>
      </c>
      <c r="R161">
        <v>210</v>
      </c>
      <c r="S161" s="85">
        <v>1.55E+16</v>
      </c>
      <c r="T161" t="s">
        <v>913</v>
      </c>
      <c r="U161">
        <v>199806.42</v>
      </c>
      <c r="W161" s="79">
        <f t="shared" si="8"/>
        <v>-1.9998006070075226E-2</v>
      </c>
      <c r="X161">
        <f>VLOOKUP(D161,'[3]Customer TDS'!D:I,6,0)</f>
        <v>3995.73</v>
      </c>
      <c r="Y161" s="27">
        <f t="shared" si="10"/>
        <v>-195810.69</v>
      </c>
      <c r="Z161" t="s">
        <v>915</v>
      </c>
      <c r="AA161">
        <f>VLOOKUP(D161,'Ascendus DATA'!$F:$J,5,0)</f>
        <v>199999.94</v>
      </c>
      <c r="AB161" s="27">
        <f t="shared" si="11"/>
        <v>193.51999999998952</v>
      </c>
    </row>
    <row r="162" spans="1:28" hidden="1" x14ac:dyDescent="0.35">
      <c r="A162" t="s">
        <v>910</v>
      </c>
      <c r="B162" t="s">
        <v>910</v>
      </c>
      <c r="C162" t="s">
        <v>438</v>
      </c>
      <c r="D162" s="4">
        <v>246779412047</v>
      </c>
      <c r="E162" s="3">
        <v>45733</v>
      </c>
      <c r="F162" t="s">
        <v>11</v>
      </c>
      <c r="G162">
        <v>-28.03</v>
      </c>
      <c r="H162">
        <v>28.03</v>
      </c>
      <c r="I162" s="27">
        <v>-2439.8000000000002</v>
      </c>
      <c r="K162" s="3">
        <v>45763</v>
      </c>
      <c r="L162" s="3">
        <v>45869</v>
      </c>
      <c r="M162" t="s">
        <v>912</v>
      </c>
      <c r="N162" s="2">
        <v>45809</v>
      </c>
      <c r="O162">
        <v>52538874</v>
      </c>
      <c r="P162">
        <v>1</v>
      </c>
      <c r="Q162" s="3">
        <v>45838</v>
      </c>
      <c r="R162">
        <v>210</v>
      </c>
      <c r="S162" s="85">
        <v>1.55E+16</v>
      </c>
      <c r="T162" t="s">
        <v>913</v>
      </c>
      <c r="U162">
        <v>2439.8000000000002</v>
      </c>
      <c r="W162" s="79">
        <f t="shared" si="8"/>
        <v>-1.9977047298958932E-2</v>
      </c>
      <c r="X162">
        <f>VLOOKUP(D162,'[3]Customer TDS'!D:I,6,0)</f>
        <v>48.74</v>
      </c>
      <c r="Y162" s="27">
        <f t="shared" si="10"/>
        <v>-2391.0600000000004</v>
      </c>
      <c r="Z162" t="s">
        <v>915</v>
      </c>
      <c r="AA162">
        <f>VLOOKUP(D162,'Ascendus DATA'!$F:$J,5,0)</f>
        <v>2429.96</v>
      </c>
      <c r="AB162" s="27">
        <f t="shared" si="11"/>
        <v>-9.8400000000001455</v>
      </c>
    </row>
    <row r="163" spans="1:28" hidden="1" x14ac:dyDescent="0.35">
      <c r="A163" t="s">
        <v>910</v>
      </c>
      <c r="B163" t="s">
        <v>910</v>
      </c>
      <c r="C163" t="s">
        <v>438</v>
      </c>
      <c r="D163" s="4">
        <v>246779414384</v>
      </c>
      <c r="E163" s="3">
        <v>45736</v>
      </c>
      <c r="F163" t="s">
        <v>11</v>
      </c>
      <c r="G163">
        <v>-182.5</v>
      </c>
      <c r="H163">
        <v>182.5</v>
      </c>
      <c r="I163" s="27">
        <v>-15885.24</v>
      </c>
      <c r="K163" s="3">
        <v>45766</v>
      </c>
      <c r="L163" s="3">
        <v>45869</v>
      </c>
      <c r="M163" t="s">
        <v>912</v>
      </c>
      <c r="N163" s="2">
        <v>45809</v>
      </c>
      <c r="O163">
        <v>52538878</v>
      </c>
      <c r="P163">
        <v>1</v>
      </c>
      <c r="Q163" s="3">
        <v>45838</v>
      </c>
      <c r="R163">
        <v>210</v>
      </c>
      <c r="S163" s="85">
        <v>1.55E+16</v>
      </c>
      <c r="T163" t="s">
        <v>913</v>
      </c>
      <c r="U163">
        <v>15885.24</v>
      </c>
      <c r="W163" s="79">
        <f t="shared" si="8"/>
        <v>-1.9999697832705075E-2</v>
      </c>
      <c r="X163">
        <f>VLOOKUP(D163,'[3]Customer TDS'!D:I,6,0)</f>
        <v>317.7</v>
      </c>
      <c r="Y163" s="27">
        <f t="shared" si="10"/>
        <v>-15567.539999999999</v>
      </c>
      <c r="Z163" t="s">
        <v>915</v>
      </c>
      <c r="AA163">
        <f>VLOOKUP(D163,'Ascendus DATA'!$F:$J,5,0)</f>
        <v>15821.15</v>
      </c>
      <c r="AB163" s="27">
        <f t="shared" si="11"/>
        <v>-64.090000000000146</v>
      </c>
    </row>
    <row r="164" spans="1:28" hidden="1" x14ac:dyDescent="0.35">
      <c r="A164" t="s">
        <v>910</v>
      </c>
      <c r="B164" t="s">
        <v>910</v>
      </c>
      <c r="C164" t="s">
        <v>438</v>
      </c>
      <c r="D164" s="4">
        <v>246779410743</v>
      </c>
      <c r="E164" s="3">
        <v>45720</v>
      </c>
      <c r="F164" t="s">
        <v>11</v>
      </c>
      <c r="G164">
        <v>-3</v>
      </c>
      <c r="H164">
        <v>3</v>
      </c>
      <c r="I164">
        <v>-261.13</v>
      </c>
      <c r="K164" s="3">
        <v>45750</v>
      </c>
      <c r="L164" s="3">
        <v>45869</v>
      </c>
      <c r="M164" t="s">
        <v>912</v>
      </c>
      <c r="N164" s="2">
        <v>45809</v>
      </c>
      <c r="O164">
        <v>52538882</v>
      </c>
      <c r="P164">
        <v>1</v>
      </c>
      <c r="Q164" s="3">
        <v>45838</v>
      </c>
      <c r="R164">
        <v>210</v>
      </c>
      <c r="S164" s="85">
        <v>1.55E+16</v>
      </c>
      <c r="T164" t="s">
        <v>913</v>
      </c>
      <c r="U164">
        <v>261.13</v>
      </c>
      <c r="W164" s="79">
        <f t="shared" si="8"/>
        <v>-1.9990043273465322E-2</v>
      </c>
      <c r="X164">
        <f>VLOOKUP(D164,'[3]Customer TDS'!D:I,6,0)</f>
        <v>5.22</v>
      </c>
      <c r="Y164" s="27">
        <f t="shared" si="10"/>
        <v>-255.91</v>
      </c>
      <c r="Z164" t="s">
        <v>915</v>
      </c>
      <c r="AA164">
        <f>VLOOKUP(D164,'Ascendus DATA'!$F:$J,5,0)</f>
        <v>260.07</v>
      </c>
      <c r="AB164" s="27">
        <f t="shared" si="11"/>
        <v>-1.0600000000000023</v>
      </c>
    </row>
    <row r="165" spans="1:28" hidden="1" x14ac:dyDescent="0.35">
      <c r="A165" t="s">
        <v>910</v>
      </c>
      <c r="B165" t="s">
        <v>910</v>
      </c>
      <c r="C165" t="s">
        <v>438</v>
      </c>
      <c r="D165" s="4">
        <v>246779410010</v>
      </c>
      <c r="E165" s="3">
        <v>45708</v>
      </c>
      <c r="F165" t="s">
        <v>11</v>
      </c>
      <c r="G165" s="27">
        <v>-2380.9499999999998</v>
      </c>
      <c r="H165" s="27">
        <v>2380.9499999999998</v>
      </c>
      <c r="I165" s="27">
        <v>-206046.42</v>
      </c>
      <c r="K165" s="3">
        <v>45738</v>
      </c>
      <c r="L165" s="3">
        <v>45869</v>
      </c>
      <c r="M165" t="s">
        <v>912</v>
      </c>
      <c r="N165" s="2">
        <v>45809</v>
      </c>
      <c r="O165">
        <v>52538884</v>
      </c>
      <c r="P165">
        <v>1</v>
      </c>
      <c r="Q165" s="3">
        <v>45838</v>
      </c>
      <c r="R165">
        <v>210</v>
      </c>
      <c r="S165" s="85">
        <v>1.55E+16</v>
      </c>
      <c r="T165" t="s">
        <v>913</v>
      </c>
      <c r="U165">
        <v>206046.42</v>
      </c>
      <c r="W165" s="79">
        <f t="shared" si="8"/>
        <v>-2.0000396027264146E-2</v>
      </c>
      <c r="X165">
        <f>VLOOKUP(D165,'[3]Customer TDS'!D:I,6,0)</f>
        <v>4121.01</v>
      </c>
      <c r="Y165" s="27">
        <f t="shared" si="10"/>
        <v>-201925.41</v>
      </c>
      <c r="Z165" t="s">
        <v>915</v>
      </c>
      <c r="AA165">
        <f>VLOOKUP(D165,'Ascendus DATA'!$F:$J,5,0)</f>
        <v>205484.7</v>
      </c>
      <c r="AB165" s="27">
        <f t="shared" si="11"/>
        <v>-561.72000000000116</v>
      </c>
    </row>
    <row r="166" spans="1:28" hidden="1" x14ac:dyDescent="0.35">
      <c r="A166" t="s">
        <v>910</v>
      </c>
      <c r="B166" t="s">
        <v>910</v>
      </c>
      <c r="C166" t="s">
        <v>438</v>
      </c>
      <c r="D166" s="4">
        <v>246779411908</v>
      </c>
      <c r="E166" s="3">
        <v>45733</v>
      </c>
      <c r="F166" t="s">
        <v>11</v>
      </c>
      <c r="G166">
        <v>-28.41</v>
      </c>
      <c r="H166">
        <v>28.41</v>
      </c>
      <c r="I166" s="27">
        <v>-2472.88</v>
      </c>
      <c r="K166" s="3">
        <v>45763</v>
      </c>
      <c r="L166" s="3">
        <v>45869</v>
      </c>
      <c r="M166" t="s">
        <v>912</v>
      </c>
      <c r="N166" s="2">
        <v>45809</v>
      </c>
      <c r="O166">
        <v>52538885</v>
      </c>
      <c r="P166">
        <v>1</v>
      </c>
      <c r="Q166" s="3">
        <v>45838</v>
      </c>
      <c r="R166">
        <v>210</v>
      </c>
      <c r="S166" s="85">
        <v>1.55E+16</v>
      </c>
      <c r="T166" t="s">
        <v>913</v>
      </c>
      <c r="U166">
        <v>2472.88</v>
      </c>
      <c r="W166" s="79">
        <f t="shared" si="8"/>
        <v>-2.0061628546472129E-2</v>
      </c>
      <c r="X166">
        <f>VLOOKUP(D166,'[3]Customer TDS'!D:I,6,0)</f>
        <v>49.61</v>
      </c>
      <c r="Y166" s="27">
        <f t="shared" si="10"/>
        <v>-2423.27</v>
      </c>
      <c r="Z166" t="s">
        <v>915</v>
      </c>
      <c r="AA166">
        <f>VLOOKUP(D166,'Ascendus DATA'!$F:$J,5,0)</f>
        <v>2462.9</v>
      </c>
      <c r="AB166" s="27">
        <f t="shared" si="11"/>
        <v>-9.9800000000000182</v>
      </c>
    </row>
    <row r="167" spans="1:28" hidden="1" x14ac:dyDescent="0.35">
      <c r="A167" t="s">
        <v>910</v>
      </c>
      <c r="B167" t="s">
        <v>910</v>
      </c>
      <c r="C167" t="s">
        <v>438</v>
      </c>
      <c r="D167" s="4">
        <v>246779410081</v>
      </c>
      <c r="E167" s="3">
        <v>45707</v>
      </c>
      <c r="F167" t="s">
        <v>11</v>
      </c>
      <c r="G167">
        <v>-52.38</v>
      </c>
      <c r="H167">
        <v>52.38</v>
      </c>
      <c r="I167" s="27">
        <v>-4532.9399999999996</v>
      </c>
      <c r="K167" s="3">
        <v>45737</v>
      </c>
      <c r="L167" s="3">
        <v>45869</v>
      </c>
      <c r="M167" t="s">
        <v>912</v>
      </c>
      <c r="N167" s="2">
        <v>45809</v>
      </c>
      <c r="O167">
        <v>52538888</v>
      </c>
      <c r="P167">
        <v>1</v>
      </c>
      <c r="Q167" s="3">
        <v>45838</v>
      </c>
      <c r="R167">
        <v>210</v>
      </c>
      <c r="S167" s="85">
        <v>1.55E+16</v>
      </c>
      <c r="T167" t="s">
        <v>913</v>
      </c>
      <c r="U167">
        <v>4532.9399999999996</v>
      </c>
      <c r="W167" s="79">
        <f t="shared" si="8"/>
        <v>-2.0046592277859404E-2</v>
      </c>
      <c r="X167">
        <f>VLOOKUP(D167,'[3]Customer TDS'!D:I,6,0)</f>
        <v>90.87</v>
      </c>
      <c r="Y167" s="27">
        <f t="shared" si="10"/>
        <v>-4442.07</v>
      </c>
      <c r="Z167" t="s">
        <v>915</v>
      </c>
      <c r="AA167">
        <f>VLOOKUP(D167,'Ascendus DATA'!$F:$J,5,0)</f>
        <v>4520.59</v>
      </c>
      <c r="AB167" s="27">
        <f t="shared" si="11"/>
        <v>-12.349999999999454</v>
      </c>
    </row>
    <row r="168" spans="1:28" hidden="1" x14ac:dyDescent="0.35">
      <c r="A168" t="s">
        <v>910</v>
      </c>
      <c r="B168" t="s">
        <v>910</v>
      </c>
      <c r="C168" t="s">
        <v>438</v>
      </c>
      <c r="D168" s="4">
        <v>246779410063</v>
      </c>
      <c r="E168" s="3">
        <v>45708</v>
      </c>
      <c r="F168" t="s">
        <v>11</v>
      </c>
      <c r="G168">
        <v>-95.24</v>
      </c>
      <c r="H168">
        <v>95.24</v>
      </c>
      <c r="I168" s="27">
        <v>-8242.0300000000007</v>
      </c>
      <c r="K168" s="3">
        <v>45738</v>
      </c>
      <c r="L168" s="3">
        <v>45869</v>
      </c>
      <c r="M168" t="s">
        <v>912</v>
      </c>
      <c r="N168" s="2">
        <v>45809</v>
      </c>
      <c r="O168">
        <v>52538893</v>
      </c>
      <c r="P168">
        <v>1</v>
      </c>
      <c r="Q168" s="3">
        <v>45838</v>
      </c>
      <c r="R168">
        <v>210</v>
      </c>
      <c r="S168" s="85">
        <v>1.55E+16</v>
      </c>
      <c r="T168" t="s">
        <v>913</v>
      </c>
      <c r="U168">
        <v>8242.0300000000007</v>
      </c>
      <c r="W168" s="79">
        <f t="shared" si="8"/>
        <v>-1.995018217599305E-2</v>
      </c>
      <c r="X168">
        <f>VLOOKUP(D168,'[3]Customer TDS'!D:I,6,0)</f>
        <v>164.43</v>
      </c>
      <c r="Y168" s="27">
        <f t="shared" si="10"/>
        <v>-8077.6</v>
      </c>
      <c r="Z168" t="s">
        <v>915</v>
      </c>
      <c r="AA168">
        <f>VLOOKUP(D168,'Ascendus DATA'!$F:$J,5,0)</f>
        <v>8219.56</v>
      </c>
      <c r="AB168" s="27">
        <f t="shared" si="11"/>
        <v>-22.470000000001164</v>
      </c>
    </row>
    <row r="169" spans="1:28" hidden="1" x14ac:dyDescent="0.35">
      <c r="A169" t="s">
        <v>910</v>
      </c>
      <c r="B169" t="s">
        <v>910</v>
      </c>
      <c r="C169" t="s">
        <v>438</v>
      </c>
      <c r="D169" s="4">
        <v>246779410030</v>
      </c>
      <c r="E169" s="3">
        <v>45708</v>
      </c>
      <c r="F169" t="s">
        <v>11</v>
      </c>
      <c r="G169" s="27">
        <v>-2380.9499999999998</v>
      </c>
      <c r="H169" s="27">
        <v>2380.9499999999998</v>
      </c>
      <c r="I169" s="27">
        <v>-206046.42</v>
      </c>
      <c r="K169" s="3">
        <v>45738</v>
      </c>
      <c r="L169" s="3">
        <v>45869</v>
      </c>
      <c r="M169" t="s">
        <v>912</v>
      </c>
      <c r="N169" s="2">
        <v>45809</v>
      </c>
      <c r="O169">
        <v>52538895</v>
      </c>
      <c r="P169">
        <v>1</v>
      </c>
      <c r="Q169" s="3">
        <v>45838</v>
      </c>
      <c r="R169">
        <v>210</v>
      </c>
      <c r="S169" s="85">
        <v>1.55E+16</v>
      </c>
      <c r="T169" t="s">
        <v>913</v>
      </c>
      <c r="U169">
        <v>206046.42</v>
      </c>
      <c r="W169" s="79">
        <f t="shared" si="8"/>
        <v>-2.0000396027264146E-2</v>
      </c>
      <c r="X169">
        <f>VLOOKUP(D169,'[3]Customer TDS'!D:I,6,0)</f>
        <v>4121.01</v>
      </c>
      <c r="Y169" s="27">
        <f t="shared" si="10"/>
        <v>-201925.41</v>
      </c>
      <c r="Z169" t="s">
        <v>915</v>
      </c>
      <c r="AA169">
        <f>VLOOKUP(D169,'Ascendus DATA'!$F:$J,5,0)</f>
        <v>205484.7</v>
      </c>
      <c r="AB169" s="27">
        <f t="shared" si="11"/>
        <v>-561.72000000000116</v>
      </c>
    </row>
    <row r="170" spans="1:28" hidden="1" x14ac:dyDescent="0.35">
      <c r="A170" t="s">
        <v>910</v>
      </c>
      <c r="B170" t="s">
        <v>910</v>
      </c>
      <c r="C170" t="s">
        <v>438</v>
      </c>
      <c r="D170" s="4">
        <v>246779410261</v>
      </c>
      <c r="E170" s="3">
        <v>45708</v>
      </c>
      <c r="F170" t="s">
        <v>11</v>
      </c>
      <c r="G170">
        <v>-50.3</v>
      </c>
      <c r="H170">
        <v>50.3</v>
      </c>
      <c r="I170" s="27">
        <v>-4352.9399999999996</v>
      </c>
      <c r="K170" s="3">
        <v>45738</v>
      </c>
      <c r="L170" s="3">
        <v>45869</v>
      </c>
      <c r="M170" t="s">
        <v>912</v>
      </c>
      <c r="N170" s="2">
        <v>45809</v>
      </c>
      <c r="O170">
        <v>52541800</v>
      </c>
      <c r="P170">
        <v>1</v>
      </c>
      <c r="Q170" s="3">
        <v>45838</v>
      </c>
      <c r="R170">
        <v>210</v>
      </c>
      <c r="S170" s="85">
        <v>1.55E+16</v>
      </c>
      <c r="T170" t="s">
        <v>913</v>
      </c>
      <c r="U170">
        <v>4352.9399999999996</v>
      </c>
      <c r="W170" s="79">
        <f t="shared" si="8"/>
        <v>-2.00783838049686E-2</v>
      </c>
      <c r="X170">
        <f>VLOOKUP(D170,'[3]Customer TDS'!D:I,6,0)</f>
        <v>87.4</v>
      </c>
      <c r="Y170" s="27">
        <f t="shared" si="10"/>
        <v>-4265.54</v>
      </c>
      <c r="Z170" t="s">
        <v>915</v>
      </c>
      <c r="AA170">
        <f>VLOOKUP(D170,'Ascendus DATA'!$F:$J,5,0)</f>
        <v>4341.07</v>
      </c>
      <c r="AB170" s="27">
        <f t="shared" si="11"/>
        <v>-11.869999999999891</v>
      </c>
    </row>
    <row r="171" spans="1:28" hidden="1" x14ac:dyDescent="0.35">
      <c r="A171" t="s">
        <v>910</v>
      </c>
      <c r="B171" t="s">
        <v>910</v>
      </c>
      <c r="C171" t="s">
        <v>438</v>
      </c>
      <c r="D171" s="4">
        <v>256779412583</v>
      </c>
      <c r="E171" s="3">
        <v>45769</v>
      </c>
      <c r="F171" t="s">
        <v>11</v>
      </c>
      <c r="G171">
        <v>-51.75</v>
      </c>
      <c r="H171">
        <v>51.75</v>
      </c>
      <c r="I171" s="27">
        <v>-4436.37</v>
      </c>
      <c r="K171" s="3">
        <v>45799</v>
      </c>
      <c r="L171" s="3">
        <v>45869</v>
      </c>
      <c r="M171" t="s">
        <v>912</v>
      </c>
      <c r="N171" s="2">
        <v>45809</v>
      </c>
      <c r="O171">
        <v>52544500</v>
      </c>
      <c r="P171">
        <v>1</v>
      </c>
      <c r="Q171" s="3">
        <v>45838</v>
      </c>
      <c r="R171">
        <v>210</v>
      </c>
      <c r="S171" s="85">
        <v>1.55E+16</v>
      </c>
      <c r="T171" t="s">
        <v>913</v>
      </c>
      <c r="U171">
        <v>4436.37</v>
      </c>
      <c r="Y171" s="27">
        <f t="shared" si="10"/>
        <v>-4436.37</v>
      </c>
      <c r="Z171" t="s">
        <v>915</v>
      </c>
      <c r="AA171">
        <f>VLOOKUP(D171,'Ascendus DATA'!$F:$J,5,0)</f>
        <v>4498.2</v>
      </c>
      <c r="AB171" s="27">
        <f t="shared" si="11"/>
        <v>61.829999999999927</v>
      </c>
    </row>
    <row r="172" spans="1:28" hidden="1" x14ac:dyDescent="0.35">
      <c r="A172" t="s">
        <v>910</v>
      </c>
      <c r="B172" t="s">
        <v>910</v>
      </c>
      <c r="C172" t="s">
        <v>438</v>
      </c>
      <c r="D172" s="4">
        <v>246779410227</v>
      </c>
      <c r="E172" s="3">
        <v>45708</v>
      </c>
      <c r="F172" t="s">
        <v>11</v>
      </c>
      <c r="G172" t="s">
        <v>911</v>
      </c>
      <c r="H172" t="s">
        <v>911</v>
      </c>
      <c r="I172" s="27">
        <v>1232.44</v>
      </c>
      <c r="J172" t="s">
        <v>15</v>
      </c>
      <c r="K172" s="3">
        <v>45738</v>
      </c>
      <c r="M172" t="s">
        <v>912</v>
      </c>
      <c r="N172" s="2">
        <v>45809</v>
      </c>
      <c r="O172">
        <v>52702994</v>
      </c>
      <c r="P172">
        <v>2</v>
      </c>
      <c r="Q172" s="3">
        <v>45838</v>
      </c>
      <c r="R172">
        <v>271</v>
      </c>
      <c r="T172" t="s">
        <v>913</v>
      </c>
      <c r="U172">
        <v>0</v>
      </c>
      <c r="Y172" s="27">
        <f t="shared" si="10"/>
        <v>1232.44</v>
      </c>
      <c r="Z172" t="s">
        <v>894</v>
      </c>
    </row>
    <row r="173" spans="1:28" hidden="1" x14ac:dyDescent="0.35">
      <c r="A173" t="s">
        <v>910</v>
      </c>
      <c r="B173" t="s">
        <v>910</v>
      </c>
      <c r="C173" t="s">
        <v>438</v>
      </c>
      <c r="D173" s="4">
        <v>246779411973</v>
      </c>
      <c r="E173" s="3">
        <v>45733</v>
      </c>
      <c r="F173" t="s">
        <v>11</v>
      </c>
      <c r="G173" t="s">
        <v>911</v>
      </c>
      <c r="H173" t="s">
        <v>911</v>
      </c>
      <c r="I173">
        <v>439.66</v>
      </c>
      <c r="J173" t="s">
        <v>15</v>
      </c>
      <c r="K173" s="3">
        <v>45763</v>
      </c>
      <c r="M173" t="s">
        <v>912</v>
      </c>
      <c r="N173" s="2">
        <v>45809</v>
      </c>
      <c r="O173">
        <v>52702994</v>
      </c>
      <c r="P173">
        <v>4</v>
      </c>
      <c r="Q173" s="3">
        <v>45838</v>
      </c>
      <c r="R173">
        <v>271</v>
      </c>
      <c r="T173" t="s">
        <v>913</v>
      </c>
      <c r="U173">
        <v>0</v>
      </c>
      <c r="Y173" s="27">
        <f t="shared" si="10"/>
        <v>439.66</v>
      </c>
      <c r="Z173" t="s">
        <v>894</v>
      </c>
    </row>
    <row r="174" spans="1:28" hidden="1" x14ac:dyDescent="0.35">
      <c r="A174" t="s">
        <v>910</v>
      </c>
      <c r="B174" t="s">
        <v>910</v>
      </c>
      <c r="C174" t="s">
        <v>438</v>
      </c>
      <c r="D174" s="4">
        <v>246779412033</v>
      </c>
      <c r="E174" s="3">
        <v>45733</v>
      </c>
      <c r="F174" t="s">
        <v>11</v>
      </c>
      <c r="G174" t="s">
        <v>911</v>
      </c>
      <c r="H174" t="s">
        <v>911</v>
      </c>
      <c r="I174">
        <v>23.13</v>
      </c>
      <c r="J174" t="s">
        <v>15</v>
      </c>
      <c r="K174" s="3">
        <v>45763</v>
      </c>
      <c r="M174" t="s">
        <v>912</v>
      </c>
      <c r="N174" s="2">
        <v>45809</v>
      </c>
      <c r="O174">
        <v>52702994</v>
      </c>
      <c r="P174">
        <v>6</v>
      </c>
      <c r="Q174" s="3">
        <v>45838</v>
      </c>
      <c r="R174">
        <v>271</v>
      </c>
      <c r="T174" t="s">
        <v>913</v>
      </c>
      <c r="U174">
        <v>0</v>
      </c>
      <c r="Y174" s="27">
        <f t="shared" si="10"/>
        <v>23.13</v>
      </c>
      <c r="Z174" t="s">
        <v>894</v>
      </c>
    </row>
    <row r="175" spans="1:28" hidden="1" x14ac:dyDescent="0.35">
      <c r="A175" t="s">
        <v>910</v>
      </c>
      <c r="B175" t="s">
        <v>910</v>
      </c>
      <c r="C175" t="s">
        <v>438</v>
      </c>
      <c r="D175" s="4">
        <v>246779410260</v>
      </c>
      <c r="E175" s="3">
        <v>45708</v>
      </c>
      <c r="F175" t="s">
        <v>11</v>
      </c>
      <c r="G175" t="s">
        <v>911</v>
      </c>
      <c r="H175" t="s">
        <v>911</v>
      </c>
      <c r="I175">
        <v>49.29</v>
      </c>
      <c r="J175" t="s">
        <v>15</v>
      </c>
      <c r="K175" s="3">
        <v>45738</v>
      </c>
      <c r="M175" t="s">
        <v>912</v>
      </c>
      <c r="N175" s="2">
        <v>45809</v>
      </c>
      <c r="O175">
        <v>52702994</v>
      </c>
      <c r="P175">
        <v>8</v>
      </c>
      <c r="Q175" s="3">
        <v>45838</v>
      </c>
      <c r="R175">
        <v>271</v>
      </c>
      <c r="T175" t="s">
        <v>913</v>
      </c>
      <c r="U175">
        <v>0</v>
      </c>
      <c r="Y175" s="27">
        <f t="shared" si="10"/>
        <v>49.29</v>
      </c>
      <c r="Z175" t="s">
        <v>894</v>
      </c>
    </row>
    <row r="176" spans="1:28" hidden="1" x14ac:dyDescent="0.35">
      <c r="A176" t="s">
        <v>910</v>
      </c>
      <c r="B176" t="s">
        <v>910</v>
      </c>
      <c r="C176" t="s">
        <v>438</v>
      </c>
      <c r="D176" s="4">
        <v>246779413936</v>
      </c>
      <c r="E176" s="3">
        <v>45736</v>
      </c>
      <c r="F176" t="s">
        <v>11</v>
      </c>
      <c r="G176" t="s">
        <v>911</v>
      </c>
      <c r="H176" t="s">
        <v>911</v>
      </c>
      <c r="I176">
        <v>28.38</v>
      </c>
      <c r="J176" t="s">
        <v>15</v>
      </c>
      <c r="K176" s="3">
        <v>45766</v>
      </c>
      <c r="M176" t="s">
        <v>912</v>
      </c>
      <c r="N176" s="2">
        <v>45809</v>
      </c>
      <c r="O176">
        <v>52702994</v>
      </c>
      <c r="P176">
        <v>10</v>
      </c>
      <c r="Q176" s="3">
        <v>45838</v>
      </c>
      <c r="R176">
        <v>271</v>
      </c>
      <c r="T176" t="s">
        <v>913</v>
      </c>
      <c r="U176">
        <v>0</v>
      </c>
      <c r="Y176" s="27">
        <f t="shared" si="10"/>
        <v>28.38</v>
      </c>
      <c r="Z176" t="s">
        <v>894</v>
      </c>
    </row>
    <row r="177" spans="1:26" hidden="1" x14ac:dyDescent="0.35">
      <c r="A177" t="s">
        <v>910</v>
      </c>
      <c r="B177" t="s">
        <v>910</v>
      </c>
      <c r="C177" t="s">
        <v>438</v>
      </c>
      <c r="D177" s="4">
        <v>256779410801</v>
      </c>
      <c r="E177" s="3">
        <v>45751</v>
      </c>
      <c r="F177" t="s">
        <v>11</v>
      </c>
      <c r="G177" t="s">
        <v>911</v>
      </c>
      <c r="H177" t="s">
        <v>911</v>
      </c>
      <c r="I177">
        <v>-728</v>
      </c>
      <c r="J177" t="s">
        <v>15</v>
      </c>
      <c r="K177" s="3">
        <v>45781</v>
      </c>
      <c r="M177" t="s">
        <v>912</v>
      </c>
      <c r="N177" s="2">
        <v>45809</v>
      </c>
      <c r="O177">
        <v>52702994</v>
      </c>
      <c r="P177">
        <v>12</v>
      </c>
      <c r="Q177" s="3">
        <v>45838</v>
      </c>
      <c r="R177">
        <v>271</v>
      </c>
      <c r="T177" t="s">
        <v>913</v>
      </c>
      <c r="U177">
        <v>0</v>
      </c>
      <c r="Y177" s="27">
        <f t="shared" si="10"/>
        <v>-728</v>
      </c>
      <c r="Z177" t="s">
        <v>894</v>
      </c>
    </row>
    <row r="178" spans="1:26" hidden="1" x14ac:dyDescent="0.35">
      <c r="A178" t="s">
        <v>910</v>
      </c>
      <c r="B178" t="s">
        <v>910</v>
      </c>
      <c r="C178" t="s">
        <v>438</v>
      </c>
      <c r="D178" s="4">
        <v>256779412524</v>
      </c>
      <c r="E178" s="3">
        <v>45769</v>
      </c>
      <c r="F178" t="s">
        <v>11</v>
      </c>
      <c r="G178" t="s">
        <v>911</v>
      </c>
      <c r="H178" t="s">
        <v>911</v>
      </c>
      <c r="I178">
        <v>-9.39</v>
      </c>
      <c r="J178" t="s">
        <v>15</v>
      </c>
      <c r="K178" s="3">
        <v>45799</v>
      </c>
      <c r="M178" t="s">
        <v>912</v>
      </c>
      <c r="N178" s="2">
        <v>45809</v>
      </c>
      <c r="O178">
        <v>52702994</v>
      </c>
      <c r="P178">
        <v>14</v>
      </c>
      <c r="Q178" s="3">
        <v>45838</v>
      </c>
      <c r="R178">
        <v>271</v>
      </c>
      <c r="T178" t="s">
        <v>913</v>
      </c>
      <c r="U178">
        <v>0</v>
      </c>
      <c r="Y178" s="27">
        <f t="shared" si="10"/>
        <v>-9.39</v>
      </c>
      <c r="Z178" t="s">
        <v>894</v>
      </c>
    </row>
    <row r="179" spans="1:26" hidden="1" x14ac:dyDescent="0.35">
      <c r="A179" t="s">
        <v>910</v>
      </c>
      <c r="B179" t="s">
        <v>910</v>
      </c>
      <c r="C179" t="s">
        <v>438</v>
      </c>
      <c r="D179" s="4">
        <v>256779412529</v>
      </c>
      <c r="E179" s="3">
        <v>45769</v>
      </c>
      <c r="F179" t="s">
        <v>11</v>
      </c>
      <c r="G179" t="s">
        <v>911</v>
      </c>
      <c r="H179" t="s">
        <v>911</v>
      </c>
      <c r="I179">
        <v>-7.61</v>
      </c>
      <c r="J179" t="s">
        <v>15</v>
      </c>
      <c r="K179" s="3">
        <v>45799</v>
      </c>
      <c r="M179" t="s">
        <v>912</v>
      </c>
      <c r="N179" s="2">
        <v>45809</v>
      </c>
      <c r="O179">
        <v>52702994</v>
      </c>
      <c r="P179">
        <v>16</v>
      </c>
      <c r="Q179" s="3">
        <v>45838</v>
      </c>
      <c r="R179">
        <v>271</v>
      </c>
      <c r="T179" t="s">
        <v>913</v>
      </c>
      <c r="U179">
        <v>0</v>
      </c>
      <c r="Y179" s="27">
        <f t="shared" si="10"/>
        <v>-7.61</v>
      </c>
      <c r="Z179" t="s">
        <v>894</v>
      </c>
    </row>
    <row r="180" spans="1:26" hidden="1" x14ac:dyDescent="0.35">
      <c r="A180" t="s">
        <v>910</v>
      </c>
      <c r="B180" t="s">
        <v>910</v>
      </c>
      <c r="C180" t="s">
        <v>438</v>
      </c>
      <c r="D180" s="4">
        <v>256779412536</v>
      </c>
      <c r="E180" s="3">
        <v>45769</v>
      </c>
      <c r="F180" t="s">
        <v>11</v>
      </c>
      <c r="G180" t="s">
        <v>911</v>
      </c>
      <c r="H180" t="s">
        <v>911</v>
      </c>
      <c r="I180">
        <v>-9.5299999999999994</v>
      </c>
      <c r="J180" t="s">
        <v>15</v>
      </c>
      <c r="K180" s="3">
        <v>45799</v>
      </c>
      <c r="M180" t="s">
        <v>912</v>
      </c>
      <c r="N180" s="2">
        <v>45809</v>
      </c>
      <c r="O180">
        <v>52702994</v>
      </c>
      <c r="P180">
        <v>18</v>
      </c>
      <c r="Q180" s="3">
        <v>45838</v>
      </c>
      <c r="R180">
        <v>271</v>
      </c>
      <c r="T180" t="s">
        <v>913</v>
      </c>
      <c r="U180">
        <v>0</v>
      </c>
      <c r="Y180" s="27">
        <f t="shared" si="10"/>
        <v>-9.5299999999999994</v>
      </c>
      <c r="Z180" t="s">
        <v>894</v>
      </c>
    </row>
    <row r="181" spans="1:26" hidden="1" x14ac:dyDescent="0.35">
      <c r="A181" t="s">
        <v>910</v>
      </c>
      <c r="B181" t="s">
        <v>910</v>
      </c>
      <c r="C181" t="s">
        <v>438</v>
      </c>
      <c r="D181" s="4">
        <v>256779412537</v>
      </c>
      <c r="E181" s="3">
        <v>45769</v>
      </c>
      <c r="F181" t="s">
        <v>11</v>
      </c>
      <c r="G181" t="s">
        <v>911</v>
      </c>
      <c r="H181" t="s">
        <v>911</v>
      </c>
      <c r="I181">
        <v>-104.86</v>
      </c>
      <c r="J181" t="s">
        <v>15</v>
      </c>
      <c r="K181" s="3">
        <v>45799</v>
      </c>
      <c r="M181" t="s">
        <v>912</v>
      </c>
      <c r="N181" s="2">
        <v>45809</v>
      </c>
      <c r="O181">
        <v>52702994</v>
      </c>
      <c r="P181">
        <v>20</v>
      </c>
      <c r="Q181" s="3">
        <v>45838</v>
      </c>
      <c r="R181">
        <v>271</v>
      </c>
      <c r="T181" t="s">
        <v>913</v>
      </c>
      <c r="U181">
        <v>0</v>
      </c>
      <c r="Y181" s="27">
        <f t="shared" si="10"/>
        <v>-104.86</v>
      </c>
      <c r="Z181" t="s">
        <v>894</v>
      </c>
    </row>
    <row r="182" spans="1:26" hidden="1" x14ac:dyDescent="0.35">
      <c r="A182" t="s">
        <v>910</v>
      </c>
      <c r="B182" t="s">
        <v>910</v>
      </c>
      <c r="C182" t="s">
        <v>438</v>
      </c>
      <c r="D182" s="4">
        <v>256779412579</v>
      </c>
      <c r="E182" s="3">
        <v>45769</v>
      </c>
      <c r="F182" t="s">
        <v>11</v>
      </c>
      <c r="G182" t="s">
        <v>911</v>
      </c>
      <c r="H182" t="s">
        <v>911</v>
      </c>
      <c r="I182">
        <v>-14.83</v>
      </c>
      <c r="J182" t="s">
        <v>15</v>
      </c>
      <c r="K182" s="3">
        <v>45799</v>
      </c>
      <c r="M182" t="s">
        <v>912</v>
      </c>
      <c r="N182" s="2">
        <v>45809</v>
      </c>
      <c r="O182">
        <v>52702994</v>
      </c>
      <c r="P182">
        <v>22</v>
      </c>
      <c r="Q182" s="3">
        <v>45838</v>
      </c>
      <c r="R182">
        <v>271</v>
      </c>
      <c r="T182" t="s">
        <v>913</v>
      </c>
      <c r="U182">
        <v>0</v>
      </c>
      <c r="Y182" s="27">
        <f t="shared" si="10"/>
        <v>-14.83</v>
      </c>
      <c r="Z182" t="s">
        <v>894</v>
      </c>
    </row>
    <row r="183" spans="1:26" hidden="1" x14ac:dyDescent="0.35">
      <c r="A183" t="s">
        <v>910</v>
      </c>
      <c r="B183" t="s">
        <v>910</v>
      </c>
      <c r="C183" t="s">
        <v>438</v>
      </c>
      <c r="D183" s="4">
        <v>256779412586</v>
      </c>
      <c r="E183" s="3">
        <v>45769</v>
      </c>
      <c r="F183" t="s">
        <v>11</v>
      </c>
      <c r="G183" t="s">
        <v>911</v>
      </c>
      <c r="H183" t="s">
        <v>911</v>
      </c>
      <c r="I183">
        <v>-13.25</v>
      </c>
      <c r="J183" t="s">
        <v>15</v>
      </c>
      <c r="K183" s="3">
        <v>45799</v>
      </c>
      <c r="M183" t="s">
        <v>912</v>
      </c>
      <c r="N183" s="2">
        <v>45809</v>
      </c>
      <c r="O183">
        <v>52702994</v>
      </c>
      <c r="P183">
        <v>24</v>
      </c>
      <c r="Q183" s="3">
        <v>45838</v>
      </c>
      <c r="R183">
        <v>271</v>
      </c>
      <c r="T183" t="s">
        <v>913</v>
      </c>
      <c r="U183">
        <v>0</v>
      </c>
      <c r="Y183" s="27">
        <f t="shared" si="10"/>
        <v>-13.25</v>
      </c>
      <c r="Z183" t="s">
        <v>894</v>
      </c>
    </row>
    <row r="184" spans="1:26" hidden="1" x14ac:dyDescent="0.35">
      <c r="A184" t="s">
        <v>910</v>
      </c>
      <c r="B184" t="s">
        <v>910</v>
      </c>
      <c r="C184" t="s">
        <v>438</v>
      </c>
      <c r="D184" s="4">
        <v>246779412994</v>
      </c>
      <c r="E184" s="3">
        <v>45735</v>
      </c>
      <c r="F184" t="s">
        <v>11</v>
      </c>
      <c r="G184" t="s">
        <v>911</v>
      </c>
      <c r="H184" t="s">
        <v>911</v>
      </c>
      <c r="I184" s="27">
        <v>2370.4299999999998</v>
      </c>
      <c r="J184" t="s">
        <v>15</v>
      </c>
      <c r="K184" s="3">
        <v>45765</v>
      </c>
      <c r="M184" t="s">
        <v>912</v>
      </c>
      <c r="N184" s="2">
        <v>45809</v>
      </c>
      <c r="O184">
        <v>52702994</v>
      </c>
      <c r="P184">
        <v>26</v>
      </c>
      <c r="Q184" s="3">
        <v>45838</v>
      </c>
      <c r="R184">
        <v>271</v>
      </c>
      <c r="T184" t="s">
        <v>913</v>
      </c>
      <c r="U184">
        <v>0</v>
      </c>
      <c r="Y184" s="27">
        <f t="shared" si="10"/>
        <v>2370.4299999999998</v>
      </c>
      <c r="Z184" t="s">
        <v>894</v>
      </c>
    </row>
    <row r="185" spans="1:26" hidden="1" x14ac:dyDescent="0.35">
      <c r="A185" t="s">
        <v>910</v>
      </c>
      <c r="B185" t="s">
        <v>910</v>
      </c>
      <c r="C185" t="s">
        <v>438</v>
      </c>
      <c r="D185" s="4">
        <v>246779413889</v>
      </c>
      <c r="E185" s="3">
        <v>45736</v>
      </c>
      <c r="F185" t="s">
        <v>11</v>
      </c>
      <c r="G185" t="s">
        <v>911</v>
      </c>
      <c r="H185" t="s">
        <v>911</v>
      </c>
      <c r="I185">
        <v>43.85</v>
      </c>
      <c r="J185" t="s">
        <v>15</v>
      </c>
      <c r="K185" s="3">
        <v>45766</v>
      </c>
      <c r="M185" t="s">
        <v>912</v>
      </c>
      <c r="N185" s="2">
        <v>45809</v>
      </c>
      <c r="O185">
        <v>52702994</v>
      </c>
      <c r="P185">
        <v>28</v>
      </c>
      <c r="Q185" s="3">
        <v>45838</v>
      </c>
      <c r="R185">
        <v>271</v>
      </c>
      <c r="T185" t="s">
        <v>913</v>
      </c>
      <c r="U185">
        <v>0</v>
      </c>
      <c r="Y185" s="27">
        <f t="shared" si="10"/>
        <v>43.85</v>
      </c>
      <c r="Z185" t="s">
        <v>894</v>
      </c>
    </row>
    <row r="186" spans="1:26" hidden="1" x14ac:dyDescent="0.35">
      <c r="A186" t="s">
        <v>910</v>
      </c>
      <c r="B186" t="s">
        <v>910</v>
      </c>
      <c r="C186" t="s">
        <v>438</v>
      </c>
      <c r="D186" s="4">
        <v>246779413023</v>
      </c>
      <c r="E186" s="3">
        <v>45735</v>
      </c>
      <c r="F186" t="s">
        <v>11</v>
      </c>
      <c r="G186" t="s">
        <v>911</v>
      </c>
      <c r="H186" t="s">
        <v>911</v>
      </c>
      <c r="I186">
        <v>94.81</v>
      </c>
      <c r="J186" t="s">
        <v>15</v>
      </c>
      <c r="K186" s="3">
        <v>45765</v>
      </c>
      <c r="M186" t="s">
        <v>912</v>
      </c>
      <c r="N186" s="2">
        <v>45809</v>
      </c>
      <c r="O186">
        <v>52702994</v>
      </c>
      <c r="P186">
        <v>30</v>
      </c>
      <c r="Q186" s="3">
        <v>45838</v>
      </c>
      <c r="R186">
        <v>271</v>
      </c>
      <c r="T186" t="s">
        <v>913</v>
      </c>
      <c r="U186">
        <v>0</v>
      </c>
      <c r="Y186" s="27">
        <f t="shared" si="10"/>
        <v>94.81</v>
      </c>
      <c r="Z186" t="s">
        <v>894</v>
      </c>
    </row>
    <row r="187" spans="1:26" hidden="1" x14ac:dyDescent="0.35">
      <c r="A187" t="s">
        <v>910</v>
      </c>
      <c r="B187" t="s">
        <v>910</v>
      </c>
      <c r="C187" t="s">
        <v>438</v>
      </c>
      <c r="D187" s="4">
        <v>246779413920</v>
      </c>
      <c r="E187" s="3">
        <v>45736</v>
      </c>
      <c r="F187" t="s">
        <v>11</v>
      </c>
      <c r="G187" t="s">
        <v>911</v>
      </c>
      <c r="H187" t="s">
        <v>911</v>
      </c>
      <c r="I187">
        <v>23.21</v>
      </c>
      <c r="J187" t="s">
        <v>15</v>
      </c>
      <c r="K187" s="3">
        <v>45766</v>
      </c>
      <c r="M187" t="s">
        <v>912</v>
      </c>
      <c r="N187" s="2">
        <v>45809</v>
      </c>
      <c r="O187">
        <v>52702994</v>
      </c>
      <c r="P187">
        <v>32</v>
      </c>
      <c r="Q187" s="3">
        <v>45838</v>
      </c>
      <c r="R187">
        <v>271</v>
      </c>
      <c r="T187" t="s">
        <v>913</v>
      </c>
      <c r="U187">
        <v>0</v>
      </c>
      <c r="Y187" s="27">
        <f t="shared" si="10"/>
        <v>23.21</v>
      </c>
      <c r="Z187" t="s">
        <v>894</v>
      </c>
    </row>
    <row r="188" spans="1:26" hidden="1" x14ac:dyDescent="0.35">
      <c r="A188" t="s">
        <v>910</v>
      </c>
      <c r="B188" t="s">
        <v>910</v>
      </c>
      <c r="C188" t="s">
        <v>438</v>
      </c>
      <c r="D188" s="4">
        <v>256779410196</v>
      </c>
      <c r="E188" s="3">
        <v>45750</v>
      </c>
      <c r="F188" t="s">
        <v>11</v>
      </c>
      <c r="G188" t="s">
        <v>911</v>
      </c>
      <c r="H188" t="s">
        <v>911</v>
      </c>
      <c r="I188">
        <v>-63.43</v>
      </c>
      <c r="J188" t="s">
        <v>15</v>
      </c>
      <c r="K188" s="3">
        <v>45780</v>
      </c>
      <c r="M188" t="s">
        <v>912</v>
      </c>
      <c r="N188" s="2">
        <v>45809</v>
      </c>
      <c r="O188">
        <v>52702994</v>
      </c>
      <c r="P188">
        <v>34</v>
      </c>
      <c r="Q188" s="3">
        <v>45838</v>
      </c>
      <c r="R188">
        <v>271</v>
      </c>
      <c r="T188" t="s">
        <v>913</v>
      </c>
      <c r="U188">
        <v>0</v>
      </c>
      <c r="Y188" s="27">
        <f t="shared" si="10"/>
        <v>-63.43</v>
      </c>
      <c r="Z188" t="s">
        <v>894</v>
      </c>
    </row>
    <row r="189" spans="1:26" hidden="1" x14ac:dyDescent="0.35">
      <c r="A189" t="s">
        <v>910</v>
      </c>
      <c r="B189" t="s">
        <v>910</v>
      </c>
      <c r="C189" t="s">
        <v>438</v>
      </c>
      <c r="D189" s="4">
        <v>246779413941</v>
      </c>
      <c r="E189" s="3">
        <v>45736</v>
      </c>
      <c r="F189" t="s">
        <v>11</v>
      </c>
      <c r="G189" t="s">
        <v>911</v>
      </c>
      <c r="H189" t="s">
        <v>911</v>
      </c>
      <c r="I189">
        <v>30.95</v>
      </c>
      <c r="J189" t="s">
        <v>15</v>
      </c>
      <c r="K189" s="3">
        <v>45766</v>
      </c>
      <c r="M189" t="s">
        <v>912</v>
      </c>
      <c r="N189" s="2">
        <v>45809</v>
      </c>
      <c r="O189">
        <v>52702994</v>
      </c>
      <c r="P189">
        <v>36</v>
      </c>
      <c r="Q189" s="3">
        <v>45838</v>
      </c>
      <c r="R189">
        <v>271</v>
      </c>
      <c r="T189" t="s">
        <v>913</v>
      </c>
      <c r="U189">
        <v>0</v>
      </c>
      <c r="Y189" s="27">
        <f t="shared" si="10"/>
        <v>30.95</v>
      </c>
      <c r="Z189" t="s">
        <v>894</v>
      </c>
    </row>
    <row r="190" spans="1:26" hidden="1" x14ac:dyDescent="0.35">
      <c r="A190" t="s">
        <v>910</v>
      </c>
      <c r="B190" t="s">
        <v>910</v>
      </c>
      <c r="C190" t="s">
        <v>438</v>
      </c>
      <c r="D190" s="4">
        <v>256779412092</v>
      </c>
      <c r="E190" s="3">
        <v>45763</v>
      </c>
      <c r="F190" t="s">
        <v>11</v>
      </c>
      <c r="G190" t="s">
        <v>911</v>
      </c>
      <c r="H190" t="s">
        <v>911</v>
      </c>
      <c r="I190">
        <v>-74.400000000000006</v>
      </c>
      <c r="J190" t="s">
        <v>15</v>
      </c>
      <c r="K190" s="3">
        <v>45793</v>
      </c>
      <c r="M190" t="s">
        <v>912</v>
      </c>
      <c r="N190" s="2">
        <v>45809</v>
      </c>
      <c r="O190">
        <v>52702994</v>
      </c>
      <c r="P190">
        <v>38</v>
      </c>
      <c r="Q190" s="3">
        <v>45838</v>
      </c>
      <c r="R190">
        <v>271</v>
      </c>
      <c r="T190" t="s">
        <v>913</v>
      </c>
      <c r="U190">
        <v>0</v>
      </c>
      <c r="Y190" s="27">
        <f t="shared" si="10"/>
        <v>-74.400000000000006</v>
      </c>
      <c r="Z190" t="s">
        <v>894</v>
      </c>
    </row>
    <row r="191" spans="1:26" hidden="1" x14ac:dyDescent="0.35">
      <c r="A191" t="s">
        <v>910</v>
      </c>
      <c r="B191" t="s">
        <v>910</v>
      </c>
      <c r="C191" t="s">
        <v>438</v>
      </c>
      <c r="D191" s="4">
        <v>256779410303</v>
      </c>
      <c r="E191" s="3">
        <v>45750</v>
      </c>
      <c r="F191" t="s">
        <v>11</v>
      </c>
      <c r="G191" t="s">
        <v>911</v>
      </c>
      <c r="H191" t="s">
        <v>911</v>
      </c>
      <c r="I191">
        <v>-23.53</v>
      </c>
      <c r="J191" t="s">
        <v>15</v>
      </c>
      <c r="K191" s="3">
        <v>45780</v>
      </c>
      <c r="M191" t="s">
        <v>912</v>
      </c>
      <c r="N191" s="2">
        <v>45809</v>
      </c>
      <c r="O191">
        <v>52702994</v>
      </c>
      <c r="P191">
        <v>40</v>
      </c>
      <c r="Q191" s="3">
        <v>45838</v>
      </c>
      <c r="R191">
        <v>271</v>
      </c>
      <c r="T191" t="s">
        <v>913</v>
      </c>
      <c r="U191">
        <v>0</v>
      </c>
      <c r="Y191" s="27">
        <f t="shared" si="10"/>
        <v>-23.53</v>
      </c>
      <c r="Z191" t="s">
        <v>894</v>
      </c>
    </row>
    <row r="192" spans="1:26" hidden="1" x14ac:dyDescent="0.35">
      <c r="A192" t="s">
        <v>910</v>
      </c>
      <c r="B192" t="s">
        <v>910</v>
      </c>
      <c r="C192" t="s">
        <v>438</v>
      </c>
      <c r="D192" s="4">
        <v>256779412184</v>
      </c>
      <c r="E192" s="3">
        <v>45768</v>
      </c>
      <c r="F192" t="s">
        <v>11</v>
      </c>
      <c r="G192" t="s">
        <v>911</v>
      </c>
      <c r="H192" t="s">
        <v>911</v>
      </c>
      <c r="I192">
        <v>-23.98</v>
      </c>
      <c r="J192" t="s">
        <v>15</v>
      </c>
      <c r="K192" s="3">
        <v>45798</v>
      </c>
      <c r="M192" t="s">
        <v>912</v>
      </c>
      <c r="N192" s="2">
        <v>45809</v>
      </c>
      <c r="O192">
        <v>52702994</v>
      </c>
      <c r="P192">
        <v>42</v>
      </c>
      <c r="Q192" s="3">
        <v>45838</v>
      </c>
      <c r="R192">
        <v>271</v>
      </c>
      <c r="T192" t="s">
        <v>913</v>
      </c>
      <c r="U192">
        <v>0</v>
      </c>
      <c r="Y192" s="27">
        <f t="shared" si="10"/>
        <v>-23.98</v>
      </c>
      <c r="Z192" t="s">
        <v>894</v>
      </c>
    </row>
    <row r="193" spans="1:26" hidden="1" x14ac:dyDescent="0.35">
      <c r="A193" t="s">
        <v>910</v>
      </c>
      <c r="B193" t="s">
        <v>910</v>
      </c>
      <c r="C193" t="s">
        <v>438</v>
      </c>
      <c r="D193" s="4">
        <v>256779412053</v>
      </c>
      <c r="E193" s="3">
        <v>45763</v>
      </c>
      <c r="F193" t="s">
        <v>11</v>
      </c>
      <c r="G193" t="s">
        <v>911</v>
      </c>
      <c r="H193" t="s">
        <v>911</v>
      </c>
      <c r="I193">
        <v>-253.67</v>
      </c>
      <c r="J193" t="s">
        <v>15</v>
      </c>
      <c r="K193" s="3">
        <v>45793</v>
      </c>
      <c r="M193" t="s">
        <v>912</v>
      </c>
      <c r="N193" s="2">
        <v>45809</v>
      </c>
      <c r="O193">
        <v>52702994</v>
      </c>
      <c r="P193">
        <v>44</v>
      </c>
      <c r="Q193" s="3">
        <v>45838</v>
      </c>
      <c r="R193">
        <v>271</v>
      </c>
      <c r="T193" t="s">
        <v>913</v>
      </c>
      <c r="U193">
        <v>0</v>
      </c>
      <c r="Y193" s="27">
        <f t="shared" si="10"/>
        <v>-253.67</v>
      </c>
      <c r="Z193" t="s">
        <v>894</v>
      </c>
    </row>
    <row r="194" spans="1:26" hidden="1" x14ac:dyDescent="0.35">
      <c r="A194" t="s">
        <v>910</v>
      </c>
      <c r="B194" t="s">
        <v>910</v>
      </c>
      <c r="C194" t="s">
        <v>438</v>
      </c>
      <c r="D194" s="4">
        <v>256779412185</v>
      </c>
      <c r="E194" s="3">
        <v>45768</v>
      </c>
      <c r="F194" t="s">
        <v>11</v>
      </c>
      <c r="G194" t="s">
        <v>911</v>
      </c>
      <c r="H194" t="s">
        <v>911</v>
      </c>
      <c r="I194">
        <v>-13.19</v>
      </c>
      <c r="J194" t="s">
        <v>15</v>
      </c>
      <c r="K194" s="3">
        <v>45798</v>
      </c>
      <c r="M194" t="s">
        <v>912</v>
      </c>
      <c r="N194" s="2">
        <v>45809</v>
      </c>
      <c r="O194">
        <v>52702994</v>
      </c>
      <c r="P194">
        <v>46</v>
      </c>
      <c r="Q194" s="3">
        <v>45838</v>
      </c>
      <c r="R194">
        <v>271</v>
      </c>
      <c r="T194" t="s">
        <v>913</v>
      </c>
      <c r="U194">
        <v>0</v>
      </c>
      <c r="Y194" s="27">
        <f t="shared" si="10"/>
        <v>-13.19</v>
      </c>
      <c r="Z194" t="s">
        <v>894</v>
      </c>
    </row>
    <row r="195" spans="1:26" hidden="1" x14ac:dyDescent="0.35">
      <c r="A195" t="s">
        <v>910</v>
      </c>
      <c r="B195" t="s">
        <v>910</v>
      </c>
      <c r="C195" t="s">
        <v>438</v>
      </c>
      <c r="D195" s="4">
        <v>256779412563</v>
      </c>
      <c r="E195" s="3">
        <v>45769</v>
      </c>
      <c r="F195" t="s">
        <v>11</v>
      </c>
      <c r="G195" t="s">
        <v>911</v>
      </c>
      <c r="H195" t="s">
        <v>911</v>
      </c>
      <c r="I195">
        <v>-6.94</v>
      </c>
      <c r="J195" t="s">
        <v>15</v>
      </c>
      <c r="K195" s="3">
        <v>45799</v>
      </c>
      <c r="M195" t="s">
        <v>912</v>
      </c>
      <c r="N195" s="2">
        <v>45809</v>
      </c>
      <c r="O195">
        <v>52702994</v>
      </c>
      <c r="P195">
        <v>48</v>
      </c>
      <c r="Q195" s="3">
        <v>45838</v>
      </c>
      <c r="R195">
        <v>271</v>
      </c>
      <c r="T195" t="s">
        <v>913</v>
      </c>
      <c r="U195">
        <v>0</v>
      </c>
      <c r="Y195" s="27">
        <f t="shared" si="10"/>
        <v>-6.94</v>
      </c>
      <c r="Z195" t="s">
        <v>894</v>
      </c>
    </row>
    <row r="196" spans="1:26" hidden="1" x14ac:dyDescent="0.35">
      <c r="A196" t="s">
        <v>910</v>
      </c>
      <c r="B196" t="s">
        <v>910</v>
      </c>
      <c r="C196" t="s">
        <v>438</v>
      </c>
      <c r="D196" s="4">
        <v>246779410882</v>
      </c>
      <c r="E196" s="3">
        <v>45722</v>
      </c>
      <c r="F196" t="s">
        <v>11</v>
      </c>
      <c r="G196" t="s">
        <v>911</v>
      </c>
      <c r="H196" t="s">
        <v>911</v>
      </c>
      <c r="I196" s="27">
        <v>2303.84</v>
      </c>
      <c r="J196" t="s">
        <v>15</v>
      </c>
      <c r="K196" s="3">
        <v>45752</v>
      </c>
      <c r="M196" t="s">
        <v>912</v>
      </c>
      <c r="N196" s="2">
        <v>45809</v>
      </c>
      <c r="O196">
        <v>52702994</v>
      </c>
      <c r="P196">
        <v>50</v>
      </c>
      <c r="Q196" s="3">
        <v>45838</v>
      </c>
      <c r="R196">
        <v>271</v>
      </c>
      <c r="T196" t="s">
        <v>913</v>
      </c>
      <c r="U196">
        <v>0</v>
      </c>
      <c r="Y196" s="27">
        <f t="shared" ref="Y196:Y259" si="12">I196+X196</f>
        <v>2303.84</v>
      </c>
      <c r="Z196" t="s">
        <v>894</v>
      </c>
    </row>
    <row r="197" spans="1:26" hidden="1" x14ac:dyDescent="0.35">
      <c r="A197" t="s">
        <v>910</v>
      </c>
      <c r="B197" t="s">
        <v>910</v>
      </c>
      <c r="C197" t="s">
        <v>438</v>
      </c>
      <c r="D197" s="4">
        <v>256779412576</v>
      </c>
      <c r="E197" s="3">
        <v>45769</v>
      </c>
      <c r="F197" t="s">
        <v>11</v>
      </c>
      <c r="G197" t="s">
        <v>911</v>
      </c>
      <c r="H197" t="s">
        <v>911</v>
      </c>
      <c r="I197">
        <v>-11.84</v>
      </c>
      <c r="J197" t="s">
        <v>15</v>
      </c>
      <c r="K197" s="3">
        <v>45799</v>
      </c>
      <c r="M197" t="s">
        <v>912</v>
      </c>
      <c r="N197" s="2">
        <v>45809</v>
      </c>
      <c r="O197">
        <v>52702994</v>
      </c>
      <c r="P197">
        <v>52</v>
      </c>
      <c r="Q197" s="3">
        <v>45838</v>
      </c>
      <c r="R197">
        <v>271</v>
      </c>
      <c r="T197" t="s">
        <v>913</v>
      </c>
      <c r="U197">
        <v>0</v>
      </c>
      <c r="Y197" s="27">
        <f t="shared" si="12"/>
        <v>-11.84</v>
      </c>
      <c r="Z197" t="s">
        <v>894</v>
      </c>
    </row>
    <row r="198" spans="1:26" hidden="1" x14ac:dyDescent="0.35">
      <c r="A198" t="s">
        <v>910</v>
      </c>
      <c r="B198" t="s">
        <v>910</v>
      </c>
      <c r="C198" t="s">
        <v>438</v>
      </c>
      <c r="D198" s="4">
        <v>256779412577</v>
      </c>
      <c r="E198" s="3">
        <v>45769</v>
      </c>
      <c r="F198" t="s">
        <v>11</v>
      </c>
      <c r="G198" t="s">
        <v>911</v>
      </c>
      <c r="H198" t="s">
        <v>911</v>
      </c>
      <c r="I198">
        <v>-11.84</v>
      </c>
      <c r="J198" t="s">
        <v>15</v>
      </c>
      <c r="K198" s="3">
        <v>45799</v>
      </c>
      <c r="M198" t="s">
        <v>912</v>
      </c>
      <c r="N198" s="2">
        <v>45809</v>
      </c>
      <c r="O198">
        <v>52702994</v>
      </c>
      <c r="P198">
        <v>54</v>
      </c>
      <c r="Q198" s="3">
        <v>45838</v>
      </c>
      <c r="R198">
        <v>271</v>
      </c>
      <c r="T198" t="s">
        <v>913</v>
      </c>
      <c r="U198">
        <v>0</v>
      </c>
      <c r="Y198" s="27">
        <f t="shared" si="12"/>
        <v>-11.84</v>
      </c>
      <c r="Z198" t="s">
        <v>894</v>
      </c>
    </row>
    <row r="199" spans="1:26" hidden="1" x14ac:dyDescent="0.35">
      <c r="A199" t="s">
        <v>910</v>
      </c>
      <c r="B199" t="s">
        <v>910</v>
      </c>
      <c r="C199" t="s">
        <v>438</v>
      </c>
      <c r="D199" s="4">
        <v>256779412580</v>
      </c>
      <c r="E199" s="3">
        <v>45769</v>
      </c>
      <c r="F199" t="s">
        <v>11</v>
      </c>
      <c r="G199" t="s">
        <v>911</v>
      </c>
      <c r="H199" t="s">
        <v>911</v>
      </c>
      <c r="I199">
        <v>-10.42</v>
      </c>
      <c r="J199" t="s">
        <v>15</v>
      </c>
      <c r="K199" s="3">
        <v>45799</v>
      </c>
      <c r="M199" t="s">
        <v>912</v>
      </c>
      <c r="N199" s="2">
        <v>45809</v>
      </c>
      <c r="O199">
        <v>52702994</v>
      </c>
      <c r="P199">
        <v>56</v>
      </c>
      <c r="Q199" s="3">
        <v>45838</v>
      </c>
      <c r="R199">
        <v>271</v>
      </c>
      <c r="T199" t="s">
        <v>913</v>
      </c>
      <c r="U199">
        <v>0</v>
      </c>
      <c r="Y199" s="27">
        <f t="shared" si="12"/>
        <v>-10.42</v>
      </c>
      <c r="Z199" t="s">
        <v>894</v>
      </c>
    </row>
    <row r="200" spans="1:26" hidden="1" x14ac:dyDescent="0.35">
      <c r="A200" t="s">
        <v>910</v>
      </c>
      <c r="B200" t="s">
        <v>910</v>
      </c>
      <c r="C200" t="s">
        <v>438</v>
      </c>
      <c r="D200" s="4">
        <v>246779413815</v>
      </c>
      <c r="E200" s="3">
        <v>45736</v>
      </c>
      <c r="F200" t="s">
        <v>11</v>
      </c>
      <c r="G200" t="s">
        <v>911</v>
      </c>
      <c r="H200" t="s">
        <v>911</v>
      </c>
      <c r="I200">
        <v>51.59</v>
      </c>
      <c r="J200" t="s">
        <v>15</v>
      </c>
      <c r="K200" s="3">
        <v>45766</v>
      </c>
      <c r="M200" t="s">
        <v>912</v>
      </c>
      <c r="N200" s="2">
        <v>45809</v>
      </c>
      <c r="O200">
        <v>52702994</v>
      </c>
      <c r="P200">
        <v>58</v>
      </c>
      <c r="Q200" s="3">
        <v>45838</v>
      </c>
      <c r="R200">
        <v>271</v>
      </c>
      <c r="T200" t="s">
        <v>913</v>
      </c>
      <c r="U200">
        <v>0</v>
      </c>
      <c r="Y200" s="27">
        <f t="shared" si="12"/>
        <v>51.59</v>
      </c>
      <c r="Z200" t="s">
        <v>894</v>
      </c>
    </row>
    <row r="201" spans="1:26" hidden="1" x14ac:dyDescent="0.35">
      <c r="A201" t="s">
        <v>910</v>
      </c>
      <c r="B201" t="s">
        <v>910</v>
      </c>
      <c r="C201" t="s">
        <v>438</v>
      </c>
      <c r="D201" s="4">
        <v>256779410304</v>
      </c>
      <c r="E201" s="3">
        <v>45750</v>
      </c>
      <c r="F201" t="s">
        <v>11</v>
      </c>
      <c r="G201" t="s">
        <v>911</v>
      </c>
      <c r="H201" t="s">
        <v>911</v>
      </c>
      <c r="I201">
        <v>-12.93</v>
      </c>
      <c r="J201" t="s">
        <v>15</v>
      </c>
      <c r="K201" s="3">
        <v>45780</v>
      </c>
      <c r="M201" t="s">
        <v>912</v>
      </c>
      <c r="N201" s="2">
        <v>45809</v>
      </c>
      <c r="O201">
        <v>52702994</v>
      </c>
      <c r="P201">
        <v>60</v>
      </c>
      <c r="Q201" s="3">
        <v>45838</v>
      </c>
      <c r="R201">
        <v>271</v>
      </c>
      <c r="T201" t="s">
        <v>913</v>
      </c>
      <c r="U201">
        <v>0</v>
      </c>
      <c r="Y201" s="27">
        <f t="shared" si="12"/>
        <v>-12.93</v>
      </c>
      <c r="Z201" t="s">
        <v>894</v>
      </c>
    </row>
    <row r="202" spans="1:26" hidden="1" x14ac:dyDescent="0.35">
      <c r="A202" t="s">
        <v>910</v>
      </c>
      <c r="B202" t="s">
        <v>910</v>
      </c>
      <c r="C202" t="s">
        <v>438</v>
      </c>
      <c r="D202" s="4">
        <v>246779413024</v>
      </c>
      <c r="E202" s="3">
        <v>45735</v>
      </c>
      <c r="F202" t="s">
        <v>11</v>
      </c>
      <c r="G202" t="s">
        <v>911</v>
      </c>
      <c r="H202" t="s">
        <v>911</v>
      </c>
      <c r="I202">
        <v>52.15</v>
      </c>
      <c r="J202" t="s">
        <v>15</v>
      </c>
      <c r="K202" s="3">
        <v>45765</v>
      </c>
      <c r="M202" t="s">
        <v>912</v>
      </c>
      <c r="N202" s="2">
        <v>45809</v>
      </c>
      <c r="O202">
        <v>52702994</v>
      </c>
      <c r="P202">
        <v>62</v>
      </c>
      <c r="Q202" s="3">
        <v>45838</v>
      </c>
      <c r="R202">
        <v>271</v>
      </c>
      <c r="T202" t="s">
        <v>913</v>
      </c>
      <c r="U202">
        <v>0</v>
      </c>
      <c r="Y202" s="27">
        <f t="shared" si="12"/>
        <v>52.15</v>
      </c>
      <c r="Z202" t="s">
        <v>894</v>
      </c>
    </row>
    <row r="203" spans="1:26" hidden="1" x14ac:dyDescent="0.35">
      <c r="A203" t="s">
        <v>910</v>
      </c>
      <c r="B203" t="s">
        <v>910</v>
      </c>
      <c r="C203" t="s">
        <v>438</v>
      </c>
      <c r="D203" s="4">
        <v>256779412091</v>
      </c>
      <c r="E203" s="3">
        <v>45763</v>
      </c>
      <c r="F203" t="s">
        <v>11</v>
      </c>
      <c r="G203" t="s">
        <v>911</v>
      </c>
      <c r="H203" t="s">
        <v>911</v>
      </c>
      <c r="I203">
        <v>-24.8</v>
      </c>
      <c r="J203" t="s">
        <v>15</v>
      </c>
      <c r="K203" s="3">
        <v>45793</v>
      </c>
      <c r="M203" t="s">
        <v>912</v>
      </c>
      <c r="N203" s="2">
        <v>45809</v>
      </c>
      <c r="O203">
        <v>52702994</v>
      </c>
      <c r="P203">
        <v>64</v>
      </c>
      <c r="Q203" s="3">
        <v>45838</v>
      </c>
      <c r="R203">
        <v>271</v>
      </c>
      <c r="T203" t="s">
        <v>913</v>
      </c>
      <c r="U203">
        <v>0</v>
      </c>
      <c r="Y203" s="27">
        <f t="shared" si="12"/>
        <v>-24.8</v>
      </c>
      <c r="Z203" t="s">
        <v>894</v>
      </c>
    </row>
    <row r="204" spans="1:26" hidden="1" x14ac:dyDescent="0.35">
      <c r="A204" t="s">
        <v>910</v>
      </c>
      <c r="B204" t="s">
        <v>910</v>
      </c>
      <c r="C204" t="s">
        <v>438</v>
      </c>
      <c r="D204" s="4">
        <v>256779412562</v>
      </c>
      <c r="E204" s="3">
        <v>45769</v>
      </c>
      <c r="F204" t="s">
        <v>11</v>
      </c>
      <c r="G204" t="s">
        <v>911</v>
      </c>
      <c r="H204" t="s">
        <v>911</v>
      </c>
      <c r="I204">
        <v>-14.06</v>
      </c>
      <c r="J204" t="s">
        <v>15</v>
      </c>
      <c r="K204" s="3">
        <v>45799</v>
      </c>
      <c r="M204" t="s">
        <v>912</v>
      </c>
      <c r="N204" s="2">
        <v>45809</v>
      </c>
      <c r="O204">
        <v>52702994</v>
      </c>
      <c r="P204">
        <v>66</v>
      </c>
      <c r="Q204" s="3">
        <v>45838</v>
      </c>
      <c r="R204">
        <v>271</v>
      </c>
      <c r="T204" t="s">
        <v>913</v>
      </c>
      <c r="U204">
        <v>0</v>
      </c>
      <c r="Y204" s="27">
        <f t="shared" si="12"/>
        <v>-14.06</v>
      </c>
      <c r="Z204" t="s">
        <v>894</v>
      </c>
    </row>
    <row r="205" spans="1:26" hidden="1" x14ac:dyDescent="0.35">
      <c r="A205" t="s">
        <v>910</v>
      </c>
      <c r="B205" t="s">
        <v>910</v>
      </c>
      <c r="C205" t="s">
        <v>438</v>
      </c>
      <c r="D205" s="4">
        <v>256779412123</v>
      </c>
      <c r="E205" s="3">
        <v>45763</v>
      </c>
      <c r="F205" t="s">
        <v>11</v>
      </c>
      <c r="G205" t="s">
        <v>911</v>
      </c>
      <c r="H205" t="s">
        <v>911</v>
      </c>
      <c r="I205">
        <v>-853.75</v>
      </c>
      <c r="J205" t="s">
        <v>15</v>
      </c>
      <c r="K205" s="3">
        <v>45793</v>
      </c>
      <c r="M205" t="s">
        <v>912</v>
      </c>
      <c r="N205" s="2">
        <v>45809</v>
      </c>
      <c r="O205">
        <v>52702994</v>
      </c>
      <c r="P205">
        <v>68</v>
      </c>
      <c r="Q205" s="3">
        <v>45838</v>
      </c>
      <c r="R205">
        <v>271</v>
      </c>
      <c r="T205" t="s">
        <v>913</v>
      </c>
      <c r="U205">
        <v>0</v>
      </c>
      <c r="Y205" s="27">
        <f t="shared" si="12"/>
        <v>-853.75</v>
      </c>
      <c r="Z205" t="s">
        <v>894</v>
      </c>
    </row>
    <row r="206" spans="1:26" hidden="1" x14ac:dyDescent="0.35">
      <c r="A206" t="s">
        <v>910</v>
      </c>
      <c r="B206" t="s">
        <v>910</v>
      </c>
      <c r="C206" t="s">
        <v>438</v>
      </c>
      <c r="D206" s="4">
        <v>256779412564</v>
      </c>
      <c r="E206" s="3">
        <v>45769</v>
      </c>
      <c r="F206" t="s">
        <v>11</v>
      </c>
      <c r="G206" t="s">
        <v>911</v>
      </c>
      <c r="H206" t="s">
        <v>911</v>
      </c>
      <c r="I206">
        <v>-14.2</v>
      </c>
      <c r="J206" t="s">
        <v>15</v>
      </c>
      <c r="K206" s="3">
        <v>45799</v>
      </c>
      <c r="M206" t="s">
        <v>912</v>
      </c>
      <c r="N206" s="2">
        <v>45809</v>
      </c>
      <c r="O206">
        <v>52702994</v>
      </c>
      <c r="P206">
        <v>70</v>
      </c>
      <c r="Q206" s="3">
        <v>45838</v>
      </c>
      <c r="R206">
        <v>271</v>
      </c>
      <c r="T206" t="s">
        <v>913</v>
      </c>
      <c r="U206">
        <v>0</v>
      </c>
      <c r="Y206" s="27">
        <f t="shared" si="12"/>
        <v>-14.2</v>
      </c>
      <c r="Z206" t="s">
        <v>894</v>
      </c>
    </row>
    <row r="207" spans="1:26" hidden="1" x14ac:dyDescent="0.35">
      <c r="A207" t="s">
        <v>910</v>
      </c>
      <c r="B207" t="s">
        <v>910</v>
      </c>
      <c r="C207" t="s">
        <v>438</v>
      </c>
      <c r="D207" s="4">
        <v>256779412570</v>
      </c>
      <c r="E207" s="3">
        <v>45769</v>
      </c>
      <c r="F207" t="s">
        <v>11</v>
      </c>
      <c r="G207" t="s">
        <v>911</v>
      </c>
      <c r="H207" t="s">
        <v>911</v>
      </c>
      <c r="I207">
        <v>-11.15</v>
      </c>
      <c r="J207" t="s">
        <v>15</v>
      </c>
      <c r="K207" s="3">
        <v>45799</v>
      </c>
      <c r="M207" t="s">
        <v>912</v>
      </c>
      <c r="N207" s="2">
        <v>45809</v>
      </c>
      <c r="O207">
        <v>52702994</v>
      </c>
      <c r="P207">
        <v>72</v>
      </c>
      <c r="Q207" s="3">
        <v>45838</v>
      </c>
      <c r="R207">
        <v>271</v>
      </c>
      <c r="T207" t="s">
        <v>913</v>
      </c>
      <c r="U207">
        <v>0</v>
      </c>
      <c r="Y207" s="27">
        <f t="shared" si="12"/>
        <v>-11.15</v>
      </c>
      <c r="Z207" t="s">
        <v>894</v>
      </c>
    </row>
    <row r="208" spans="1:26" hidden="1" x14ac:dyDescent="0.35">
      <c r="A208" t="s">
        <v>910</v>
      </c>
      <c r="B208" t="s">
        <v>910</v>
      </c>
      <c r="C208" t="s">
        <v>438</v>
      </c>
      <c r="D208" s="4">
        <v>256779412581</v>
      </c>
      <c r="E208" s="3">
        <v>45769</v>
      </c>
      <c r="F208" t="s">
        <v>11</v>
      </c>
      <c r="G208" t="s">
        <v>911</v>
      </c>
      <c r="H208" t="s">
        <v>911</v>
      </c>
      <c r="I208">
        <v>-13.25</v>
      </c>
      <c r="J208" t="s">
        <v>15</v>
      </c>
      <c r="K208" s="3">
        <v>45799</v>
      </c>
      <c r="M208" t="s">
        <v>912</v>
      </c>
      <c r="N208" s="2">
        <v>45809</v>
      </c>
      <c r="O208">
        <v>52702994</v>
      </c>
      <c r="P208">
        <v>74</v>
      </c>
      <c r="Q208" s="3">
        <v>45838</v>
      </c>
      <c r="R208">
        <v>271</v>
      </c>
      <c r="T208" t="s">
        <v>913</v>
      </c>
      <c r="U208">
        <v>0</v>
      </c>
      <c r="Y208" s="27">
        <f t="shared" si="12"/>
        <v>-13.25</v>
      </c>
      <c r="Z208" t="s">
        <v>894</v>
      </c>
    </row>
    <row r="209" spans="1:28" hidden="1" x14ac:dyDescent="0.35">
      <c r="A209" t="s">
        <v>910</v>
      </c>
      <c r="B209" t="s">
        <v>910</v>
      </c>
      <c r="C209" t="s">
        <v>438</v>
      </c>
      <c r="D209" s="4">
        <v>246779410080</v>
      </c>
      <c r="E209" s="3">
        <v>45708</v>
      </c>
      <c r="F209" t="s">
        <v>11</v>
      </c>
      <c r="G209" t="s">
        <v>911</v>
      </c>
      <c r="H209" t="s">
        <v>911</v>
      </c>
      <c r="I209">
        <v>51.34</v>
      </c>
      <c r="J209" t="s">
        <v>15</v>
      </c>
      <c r="K209" s="3">
        <v>45738</v>
      </c>
      <c r="M209" t="s">
        <v>912</v>
      </c>
      <c r="N209" s="2">
        <v>45809</v>
      </c>
      <c r="O209">
        <v>52702994</v>
      </c>
      <c r="P209">
        <v>76</v>
      </c>
      <c r="Q209" s="3">
        <v>45838</v>
      </c>
      <c r="R209">
        <v>271</v>
      </c>
      <c r="T209" t="s">
        <v>913</v>
      </c>
      <c r="U209">
        <v>0</v>
      </c>
      <c r="Y209" s="27">
        <f t="shared" si="12"/>
        <v>51.34</v>
      </c>
      <c r="Z209" t="s">
        <v>894</v>
      </c>
    </row>
    <row r="210" spans="1:28" hidden="1" x14ac:dyDescent="0.35">
      <c r="A210" t="s">
        <v>910</v>
      </c>
      <c r="B210" t="s">
        <v>910</v>
      </c>
      <c r="C210" t="s">
        <v>438</v>
      </c>
      <c r="D210" s="4">
        <v>256779412585</v>
      </c>
      <c r="E210" s="3">
        <v>45769</v>
      </c>
      <c r="F210" t="s">
        <v>11</v>
      </c>
      <c r="G210" t="s">
        <v>911</v>
      </c>
      <c r="H210" t="s">
        <v>911</v>
      </c>
      <c r="I210">
        <v>-12.54</v>
      </c>
      <c r="J210" t="s">
        <v>15</v>
      </c>
      <c r="K210" s="3">
        <v>45799</v>
      </c>
      <c r="M210" t="s">
        <v>912</v>
      </c>
      <c r="N210" s="2">
        <v>45809</v>
      </c>
      <c r="O210">
        <v>52702994</v>
      </c>
      <c r="P210">
        <v>78</v>
      </c>
      <c r="Q210" s="3">
        <v>45838</v>
      </c>
      <c r="R210">
        <v>271</v>
      </c>
      <c r="T210" t="s">
        <v>913</v>
      </c>
      <c r="U210">
        <v>0</v>
      </c>
      <c r="Y210" s="27">
        <f t="shared" si="12"/>
        <v>-12.54</v>
      </c>
      <c r="Z210" t="s">
        <v>894</v>
      </c>
    </row>
    <row r="211" spans="1:28" hidden="1" x14ac:dyDescent="0.35">
      <c r="A211" t="s">
        <v>910</v>
      </c>
      <c r="B211" t="s">
        <v>910</v>
      </c>
      <c r="C211" t="s">
        <v>438</v>
      </c>
      <c r="D211" s="4">
        <v>246779410064</v>
      </c>
      <c r="E211" s="3">
        <v>45708</v>
      </c>
      <c r="F211" t="s">
        <v>11</v>
      </c>
      <c r="G211" t="s">
        <v>911</v>
      </c>
      <c r="H211" t="s">
        <v>911</v>
      </c>
      <c r="I211">
        <v>28.23</v>
      </c>
      <c r="J211" t="s">
        <v>15</v>
      </c>
      <c r="K211" s="3">
        <v>45738</v>
      </c>
      <c r="M211" t="s">
        <v>912</v>
      </c>
      <c r="N211" s="2">
        <v>45809</v>
      </c>
      <c r="O211">
        <v>52702994</v>
      </c>
      <c r="P211">
        <v>80</v>
      </c>
      <c r="Q211" s="3">
        <v>45838</v>
      </c>
      <c r="R211">
        <v>271</v>
      </c>
      <c r="T211" t="s">
        <v>913</v>
      </c>
      <c r="U211">
        <v>0</v>
      </c>
      <c r="Y211" s="27">
        <f t="shared" si="12"/>
        <v>28.23</v>
      </c>
      <c r="Z211" t="s">
        <v>894</v>
      </c>
    </row>
    <row r="212" spans="1:28" hidden="1" x14ac:dyDescent="0.35">
      <c r="A212" t="s">
        <v>910</v>
      </c>
      <c r="B212" t="s">
        <v>910</v>
      </c>
      <c r="C212" t="s">
        <v>438</v>
      </c>
      <c r="D212" s="4">
        <v>256779411969</v>
      </c>
      <c r="E212" s="3">
        <v>45763</v>
      </c>
      <c r="F212" t="s">
        <v>11</v>
      </c>
      <c r="G212" t="s">
        <v>911</v>
      </c>
      <c r="H212" t="s">
        <v>911</v>
      </c>
      <c r="I212">
        <v>-20.350000000000001</v>
      </c>
      <c r="J212" t="s">
        <v>15</v>
      </c>
      <c r="K212" s="3">
        <v>45793</v>
      </c>
      <c r="M212" t="s">
        <v>912</v>
      </c>
      <c r="N212" s="2">
        <v>45809</v>
      </c>
      <c r="O212">
        <v>52702994</v>
      </c>
      <c r="P212">
        <v>82</v>
      </c>
      <c r="Q212" s="3">
        <v>45838</v>
      </c>
      <c r="R212">
        <v>271</v>
      </c>
      <c r="T212" t="s">
        <v>913</v>
      </c>
      <c r="U212">
        <v>0</v>
      </c>
      <c r="Y212" s="27">
        <f t="shared" si="12"/>
        <v>-20.350000000000001</v>
      </c>
      <c r="Z212" t="s">
        <v>894</v>
      </c>
    </row>
    <row r="213" spans="1:28" hidden="1" x14ac:dyDescent="0.35">
      <c r="A213" t="s">
        <v>910</v>
      </c>
      <c r="B213" t="s">
        <v>910</v>
      </c>
      <c r="C213" t="s">
        <v>438</v>
      </c>
      <c r="D213" s="4">
        <v>256779412155</v>
      </c>
      <c r="E213" s="3">
        <v>45768</v>
      </c>
      <c r="F213" t="s">
        <v>11</v>
      </c>
      <c r="G213" t="s">
        <v>911</v>
      </c>
      <c r="H213" t="s">
        <v>911</v>
      </c>
      <c r="I213">
        <v>-599.66999999999996</v>
      </c>
      <c r="J213" t="s">
        <v>15</v>
      </c>
      <c r="K213" s="3">
        <v>45798</v>
      </c>
      <c r="M213" t="s">
        <v>912</v>
      </c>
      <c r="N213" s="2">
        <v>45809</v>
      </c>
      <c r="O213">
        <v>52702994</v>
      </c>
      <c r="P213">
        <v>84</v>
      </c>
      <c r="Q213" s="3">
        <v>45838</v>
      </c>
      <c r="R213">
        <v>271</v>
      </c>
      <c r="T213" t="s">
        <v>913</v>
      </c>
      <c r="U213">
        <v>0</v>
      </c>
      <c r="Y213" s="27">
        <f t="shared" si="12"/>
        <v>-599.66999999999996</v>
      </c>
      <c r="Z213" t="s">
        <v>894</v>
      </c>
    </row>
    <row r="214" spans="1:28" hidden="1" x14ac:dyDescent="0.35">
      <c r="A214" t="s">
        <v>910</v>
      </c>
      <c r="B214" t="s">
        <v>910</v>
      </c>
      <c r="C214" t="s">
        <v>438</v>
      </c>
      <c r="D214" s="4">
        <v>246779412047</v>
      </c>
      <c r="E214" s="3">
        <v>45733</v>
      </c>
      <c r="F214" t="s">
        <v>11</v>
      </c>
      <c r="G214" t="s">
        <v>911</v>
      </c>
      <c r="H214" t="s">
        <v>911</v>
      </c>
      <c r="I214">
        <v>28.93</v>
      </c>
      <c r="J214" t="s">
        <v>15</v>
      </c>
      <c r="K214" s="3">
        <v>45763</v>
      </c>
      <c r="M214" t="s">
        <v>912</v>
      </c>
      <c r="N214" s="2">
        <v>45809</v>
      </c>
      <c r="O214">
        <v>52702994</v>
      </c>
      <c r="P214">
        <v>86</v>
      </c>
      <c r="Q214" s="3">
        <v>45838</v>
      </c>
      <c r="R214">
        <v>271</v>
      </c>
      <c r="T214" t="s">
        <v>913</v>
      </c>
      <c r="U214">
        <v>0</v>
      </c>
      <c r="Y214" s="27">
        <f t="shared" si="12"/>
        <v>28.93</v>
      </c>
      <c r="Z214" t="s">
        <v>894</v>
      </c>
    </row>
    <row r="215" spans="1:28" hidden="1" x14ac:dyDescent="0.35">
      <c r="A215" t="s">
        <v>910</v>
      </c>
      <c r="B215" t="s">
        <v>910</v>
      </c>
      <c r="C215" t="s">
        <v>438</v>
      </c>
      <c r="D215" s="4">
        <v>246779414384</v>
      </c>
      <c r="E215" s="3">
        <v>45736</v>
      </c>
      <c r="F215" t="s">
        <v>11</v>
      </c>
      <c r="G215" t="s">
        <v>911</v>
      </c>
      <c r="H215" t="s">
        <v>911</v>
      </c>
      <c r="I215">
        <v>188.32</v>
      </c>
      <c r="J215" t="s">
        <v>15</v>
      </c>
      <c r="K215" s="3">
        <v>45766</v>
      </c>
      <c r="M215" t="s">
        <v>912</v>
      </c>
      <c r="N215" s="2">
        <v>45809</v>
      </c>
      <c r="O215">
        <v>52702994</v>
      </c>
      <c r="P215">
        <v>88</v>
      </c>
      <c r="Q215" s="3">
        <v>45838</v>
      </c>
      <c r="R215">
        <v>271</v>
      </c>
      <c r="T215" t="s">
        <v>913</v>
      </c>
      <c r="U215">
        <v>0</v>
      </c>
      <c r="Y215" s="27">
        <f t="shared" si="12"/>
        <v>188.32</v>
      </c>
      <c r="Z215" t="s">
        <v>894</v>
      </c>
    </row>
    <row r="216" spans="1:28" hidden="1" x14ac:dyDescent="0.35">
      <c r="A216" t="s">
        <v>910</v>
      </c>
      <c r="B216" t="s">
        <v>910</v>
      </c>
      <c r="C216" t="s">
        <v>438</v>
      </c>
      <c r="D216" s="4">
        <v>246779410743</v>
      </c>
      <c r="E216" s="3">
        <v>45720</v>
      </c>
      <c r="F216" t="s">
        <v>11</v>
      </c>
      <c r="G216" t="s">
        <v>911</v>
      </c>
      <c r="H216" t="s">
        <v>911</v>
      </c>
      <c r="I216">
        <v>3.1</v>
      </c>
      <c r="J216" t="s">
        <v>15</v>
      </c>
      <c r="K216" s="3">
        <v>45750</v>
      </c>
      <c r="M216" t="s">
        <v>912</v>
      </c>
      <c r="N216" s="2">
        <v>45809</v>
      </c>
      <c r="O216">
        <v>52702994</v>
      </c>
      <c r="P216">
        <v>90</v>
      </c>
      <c r="Q216" s="3">
        <v>45838</v>
      </c>
      <c r="R216">
        <v>271</v>
      </c>
      <c r="T216" t="s">
        <v>913</v>
      </c>
      <c r="U216">
        <v>0</v>
      </c>
      <c r="Y216" s="27">
        <f t="shared" si="12"/>
        <v>3.1</v>
      </c>
      <c r="Z216" t="s">
        <v>894</v>
      </c>
    </row>
    <row r="217" spans="1:28" hidden="1" x14ac:dyDescent="0.35">
      <c r="A217" t="s">
        <v>910</v>
      </c>
      <c r="B217" t="s">
        <v>910</v>
      </c>
      <c r="C217" t="s">
        <v>438</v>
      </c>
      <c r="D217" s="4">
        <v>246779410010</v>
      </c>
      <c r="E217" s="3">
        <v>45708</v>
      </c>
      <c r="F217" t="s">
        <v>11</v>
      </c>
      <c r="G217" t="s">
        <v>911</v>
      </c>
      <c r="H217" t="s">
        <v>911</v>
      </c>
      <c r="I217" s="27">
        <v>1283.51</v>
      </c>
      <c r="J217" t="s">
        <v>15</v>
      </c>
      <c r="K217" s="3">
        <v>45738</v>
      </c>
      <c r="M217" t="s">
        <v>912</v>
      </c>
      <c r="N217" s="2">
        <v>45809</v>
      </c>
      <c r="O217">
        <v>52702994</v>
      </c>
      <c r="P217">
        <v>92</v>
      </c>
      <c r="Q217" s="3">
        <v>45838</v>
      </c>
      <c r="R217">
        <v>271</v>
      </c>
      <c r="T217" t="s">
        <v>913</v>
      </c>
      <c r="U217">
        <v>0</v>
      </c>
      <c r="Y217" s="27">
        <f t="shared" si="12"/>
        <v>1283.51</v>
      </c>
      <c r="Z217" t="s">
        <v>894</v>
      </c>
    </row>
    <row r="218" spans="1:28" hidden="1" x14ac:dyDescent="0.35">
      <c r="A218" t="s">
        <v>910</v>
      </c>
      <c r="B218" t="s">
        <v>910</v>
      </c>
      <c r="C218" t="s">
        <v>438</v>
      </c>
      <c r="D218" s="4">
        <v>246779411908</v>
      </c>
      <c r="E218" s="3">
        <v>45733</v>
      </c>
      <c r="F218" t="s">
        <v>11</v>
      </c>
      <c r="G218" t="s">
        <v>911</v>
      </c>
      <c r="H218" t="s">
        <v>911</v>
      </c>
      <c r="I218">
        <v>29.32</v>
      </c>
      <c r="J218" t="s">
        <v>15</v>
      </c>
      <c r="K218" s="3">
        <v>45763</v>
      </c>
      <c r="M218" t="s">
        <v>912</v>
      </c>
      <c r="N218" s="2">
        <v>45809</v>
      </c>
      <c r="O218">
        <v>52702994</v>
      </c>
      <c r="P218">
        <v>94</v>
      </c>
      <c r="Q218" s="3">
        <v>45838</v>
      </c>
      <c r="R218">
        <v>271</v>
      </c>
      <c r="T218" t="s">
        <v>913</v>
      </c>
      <c r="U218">
        <v>0</v>
      </c>
      <c r="Y218" s="27">
        <f t="shared" si="12"/>
        <v>29.32</v>
      </c>
      <c r="Z218" t="s">
        <v>894</v>
      </c>
    </row>
    <row r="219" spans="1:28" hidden="1" x14ac:dyDescent="0.35">
      <c r="A219" t="s">
        <v>910</v>
      </c>
      <c r="B219" t="s">
        <v>910</v>
      </c>
      <c r="C219" t="s">
        <v>438</v>
      </c>
      <c r="D219" s="4">
        <v>246779410081</v>
      </c>
      <c r="E219" s="3">
        <v>45707</v>
      </c>
      <c r="F219" t="s">
        <v>11</v>
      </c>
      <c r="G219" t="s">
        <v>911</v>
      </c>
      <c r="H219" t="s">
        <v>911</v>
      </c>
      <c r="I219">
        <v>28.23</v>
      </c>
      <c r="J219" t="s">
        <v>15</v>
      </c>
      <c r="K219" s="3">
        <v>45737</v>
      </c>
      <c r="M219" t="s">
        <v>912</v>
      </c>
      <c r="N219" s="2">
        <v>45809</v>
      </c>
      <c r="O219">
        <v>52702994</v>
      </c>
      <c r="P219">
        <v>96</v>
      </c>
      <c r="Q219" s="3">
        <v>45838</v>
      </c>
      <c r="R219">
        <v>271</v>
      </c>
      <c r="T219" t="s">
        <v>913</v>
      </c>
      <c r="U219">
        <v>0</v>
      </c>
      <c r="Y219" s="27">
        <f t="shared" si="12"/>
        <v>28.23</v>
      </c>
      <c r="Z219" t="s">
        <v>894</v>
      </c>
    </row>
    <row r="220" spans="1:28" hidden="1" x14ac:dyDescent="0.35">
      <c r="A220" t="s">
        <v>910</v>
      </c>
      <c r="B220" t="s">
        <v>910</v>
      </c>
      <c r="C220" t="s">
        <v>438</v>
      </c>
      <c r="D220" s="4">
        <v>246779410063</v>
      </c>
      <c r="E220" s="3">
        <v>45708</v>
      </c>
      <c r="F220" t="s">
        <v>11</v>
      </c>
      <c r="G220" t="s">
        <v>911</v>
      </c>
      <c r="H220" t="s">
        <v>911</v>
      </c>
      <c r="I220">
        <v>51.34</v>
      </c>
      <c r="J220" t="s">
        <v>15</v>
      </c>
      <c r="K220" s="3">
        <v>45738</v>
      </c>
      <c r="M220" t="s">
        <v>912</v>
      </c>
      <c r="N220" s="2">
        <v>45809</v>
      </c>
      <c r="O220">
        <v>52702994</v>
      </c>
      <c r="P220">
        <v>98</v>
      </c>
      <c r="Q220" s="3">
        <v>45838</v>
      </c>
      <c r="R220">
        <v>271</v>
      </c>
      <c r="T220" t="s">
        <v>913</v>
      </c>
      <c r="U220">
        <v>0</v>
      </c>
      <c r="Y220" s="27">
        <f t="shared" si="12"/>
        <v>51.34</v>
      </c>
      <c r="Z220" t="s">
        <v>894</v>
      </c>
    </row>
    <row r="221" spans="1:28" hidden="1" x14ac:dyDescent="0.35">
      <c r="A221" t="s">
        <v>910</v>
      </c>
      <c r="B221" t="s">
        <v>910</v>
      </c>
      <c r="C221" t="s">
        <v>438</v>
      </c>
      <c r="D221" s="4">
        <v>246779410030</v>
      </c>
      <c r="E221" s="3">
        <v>45708</v>
      </c>
      <c r="F221" t="s">
        <v>11</v>
      </c>
      <c r="G221" t="s">
        <v>911</v>
      </c>
      <c r="H221" t="s">
        <v>911</v>
      </c>
      <c r="I221" s="27">
        <v>1283.51</v>
      </c>
      <c r="J221" t="s">
        <v>15</v>
      </c>
      <c r="K221" s="3">
        <v>45738</v>
      </c>
      <c r="M221" t="s">
        <v>912</v>
      </c>
      <c r="N221" s="2">
        <v>45809</v>
      </c>
      <c r="O221">
        <v>52702994</v>
      </c>
      <c r="P221">
        <v>100</v>
      </c>
      <c r="Q221" s="3">
        <v>45838</v>
      </c>
      <c r="R221">
        <v>271</v>
      </c>
      <c r="T221" t="s">
        <v>913</v>
      </c>
      <c r="U221">
        <v>0</v>
      </c>
      <c r="Y221" s="27">
        <f t="shared" si="12"/>
        <v>1283.51</v>
      </c>
      <c r="Z221" t="s">
        <v>894</v>
      </c>
    </row>
    <row r="222" spans="1:28" hidden="1" x14ac:dyDescent="0.35">
      <c r="A222" t="s">
        <v>910</v>
      </c>
      <c r="B222" t="s">
        <v>910</v>
      </c>
      <c r="C222" t="s">
        <v>438</v>
      </c>
      <c r="D222" s="4">
        <v>246779410261</v>
      </c>
      <c r="E222" s="3">
        <v>45708</v>
      </c>
      <c r="F222" t="s">
        <v>11</v>
      </c>
      <c r="G222" t="s">
        <v>911</v>
      </c>
      <c r="H222" t="s">
        <v>911</v>
      </c>
      <c r="I222">
        <v>27.12</v>
      </c>
      <c r="J222" t="s">
        <v>15</v>
      </c>
      <c r="K222" s="3">
        <v>45738</v>
      </c>
      <c r="M222" t="s">
        <v>912</v>
      </c>
      <c r="N222" s="2">
        <v>45809</v>
      </c>
      <c r="O222">
        <v>52702994</v>
      </c>
      <c r="P222">
        <v>102</v>
      </c>
      <c r="Q222" s="3">
        <v>45838</v>
      </c>
      <c r="R222">
        <v>271</v>
      </c>
      <c r="T222" t="s">
        <v>913</v>
      </c>
      <c r="U222">
        <v>0</v>
      </c>
      <c r="Y222" s="27">
        <f t="shared" si="12"/>
        <v>27.12</v>
      </c>
      <c r="Z222" t="s">
        <v>894</v>
      </c>
    </row>
    <row r="223" spans="1:28" hidden="1" x14ac:dyDescent="0.35">
      <c r="A223" t="s">
        <v>910</v>
      </c>
      <c r="B223" t="s">
        <v>910</v>
      </c>
      <c r="C223" t="s">
        <v>438</v>
      </c>
      <c r="D223" s="4">
        <v>256779412583</v>
      </c>
      <c r="E223" s="3">
        <v>45769</v>
      </c>
      <c r="F223" t="s">
        <v>11</v>
      </c>
      <c r="G223" t="s">
        <v>911</v>
      </c>
      <c r="H223" t="s">
        <v>911</v>
      </c>
      <c r="I223">
        <v>-13.59</v>
      </c>
      <c r="J223" t="s">
        <v>15</v>
      </c>
      <c r="K223" s="3">
        <v>45799</v>
      </c>
      <c r="M223" t="s">
        <v>912</v>
      </c>
      <c r="N223" s="2">
        <v>45809</v>
      </c>
      <c r="O223">
        <v>52702994</v>
      </c>
      <c r="P223">
        <v>104</v>
      </c>
      <c r="Q223" s="3">
        <v>45838</v>
      </c>
      <c r="R223">
        <v>271</v>
      </c>
      <c r="T223" t="s">
        <v>913</v>
      </c>
      <c r="U223">
        <v>0</v>
      </c>
      <c r="Y223" s="27">
        <f t="shared" si="12"/>
        <v>-13.59</v>
      </c>
      <c r="Z223" t="s">
        <v>894</v>
      </c>
    </row>
    <row r="224" spans="1:28" hidden="1" x14ac:dyDescent="0.35">
      <c r="A224" t="s">
        <v>910</v>
      </c>
      <c r="B224" t="s">
        <v>910</v>
      </c>
      <c r="C224" t="s">
        <v>438</v>
      </c>
      <c r="D224" s="4">
        <v>256779413393</v>
      </c>
      <c r="E224" s="3">
        <v>45798</v>
      </c>
      <c r="F224" t="s">
        <v>11</v>
      </c>
      <c r="G224">
        <v>-229.87</v>
      </c>
      <c r="H224">
        <v>229.87</v>
      </c>
      <c r="I224" s="27">
        <v>-19625.03</v>
      </c>
      <c r="K224" s="3">
        <v>45828</v>
      </c>
      <c r="L224" s="3">
        <v>45869</v>
      </c>
      <c r="M224" t="s">
        <v>912</v>
      </c>
      <c r="N224" s="2">
        <v>45839</v>
      </c>
      <c r="O224">
        <v>53371277</v>
      </c>
      <c r="P224">
        <v>1</v>
      </c>
      <c r="Q224" s="3">
        <v>45849</v>
      </c>
      <c r="R224">
        <v>210</v>
      </c>
      <c r="S224" s="85">
        <v>1.55E+16</v>
      </c>
      <c r="T224" t="s">
        <v>913</v>
      </c>
      <c r="U224">
        <v>19625.03</v>
      </c>
      <c r="Y224" s="27">
        <f t="shared" si="12"/>
        <v>-19625.03</v>
      </c>
      <c r="Z224" t="s">
        <v>915</v>
      </c>
      <c r="AA224">
        <f>VLOOKUP(D224,'Ascendus DATA'!$F:$J,5,0)</f>
        <v>19765.07</v>
      </c>
      <c r="AB224" s="27">
        <f t="shared" ref="AB224:AB234" si="13">I224+AA224</f>
        <v>140.04000000000087</v>
      </c>
    </row>
    <row r="225" spans="1:28" hidden="1" x14ac:dyDescent="0.35">
      <c r="A225" t="s">
        <v>910</v>
      </c>
      <c r="B225" t="s">
        <v>910</v>
      </c>
      <c r="C225" t="s">
        <v>438</v>
      </c>
      <c r="D225" s="4">
        <v>256779413394</v>
      </c>
      <c r="E225" s="3">
        <v>45798</v>
      </c>
      <c r="F225" t="s">
        <v>11</v>
      </c>
      <c r="G225">
        <v>-218.17</v>
      </c>
      <c r="H225">
        <v>218.17</v>
      </c>
      <c r="I225" s="27">
        <v>-18626.150000000001</v>
      </c>
      <c r="K225" s="3">
        <v>45828</v>
      </c>
      <c r="L225" s="3">
        <v>45869</v>
      </c>
      <c r="M225" t="s">
        <v>912</v>
      </c>
      <c r="N225" s="2">
        <v>45839</v>
      </c>
      <c r="O225">
        <v>53371283</v>
      </c>
      <c r="P225">
        <v>1</v>
      </c>
      <c r="Q225" s="3">
        <v>45849</v>
      </c>
      <c r="R225">
        <v>210</v>
      </c>
      <c r="S225" s="85">
        <v>1.55E+16</v>
      </c>
      <c r="T225" t="s">
        <v>913</v>
      </c>
      <c r="U225">
        <v>18626.150000000001</v>
      </c>
      <c r="Y225" s="27">
        <f t="shared" si="12"/>
        <v>-18626.150000000001</v>
      </c>
      <c r="Z225" t="s">
        <v>915</v>
      </c>
      <c r="AA225">
        <f>VLOOKUP(D225,'Ascendus DATA'!$F:$J,5,0)</f>
        <v>18759.060000000001</v>
      </c>
      <c r="AB225" s="27">
        <f t="shared" si="13"/>
        <v>132.90999999999985</v>
      </c>
    </row>
    <row r="226" spans="1:28" hidden="1" x14ac:dyDescent="0.35">
      <c r="A226" t="s">
        <v>910</v>
      </c>
      <c r="B226" t="s">
        <v>910</v>
      </c>
      <c r="C226" t="s">
        <v>438</v>
      </c>
      <c r="D226" s="4">
        <v>256779413403</v>
      </c>
      <c r="E226" s="3">
        <v>45798</v>
      </c>
      <c r="F226" t="s">
        <v>11</v>
      </c>
      <c r="G226">
        <v>-402.88</v>
      </c>
      <c r="H226">
        <v>402.88</v>
      </c>
      <c r="I226" s="27">
        <v>-34395.67</v>
      </c>
      <c r="K226" s="3">
        <v>45828</v>
      </c>
      <c r="L226" s="3">
        <v>45869</v>
      </c>
      <c r="M226" t="s">
        <v>912</v>
      </c>
      <c r="N226" s="2">
        <v>45839</v>
      </c>
      <c r="O226">
        <v>53371287</v>
      </c>
      <c r="P226">
        <v>1</v>
      </c>
      <c r="Q226" s="3">
        <v>45849</v>
      </c>
      <c r="R226">
        <v>210</v>
      </c>
      <c r="S226" s="85">
        <v>1.55E+16</v>
      </c>
      <c r="T226" t="s">
        <v>913</v>
      </c>
      <c r="U226">
        <v>34395.67</v>
      </c>
      <c r="Y226" s="27">
        <f t="shared" si="12"/>
        <v>-34395.67</v>
      </c>
      <c r="Z226" t="s">
        <v>915</v>
      </c>
      <c r="AA226">
        <f>VLOOKUP(D226,'Ascendus DATA'!$F:$J,5,0)</f>
        <v>34641.11</v>
      </c>
      <c r="AB226" s="27">
        <f t="shared" si="13"/>
        <v>245.44000000000233</v>
      </c>
    </row>
    <row r="227" spans="1:28" hidden="1" x14ac:dyDescent="0.35">
      <c r="A227" t="s">
        <v>910</v>
      </c>
      <c r="B227" t="s">
        <v>910</v>
      </c>
      <c r="C227" t="s">
        <v>438</v>
      </c>
      <c r="D227" s="4">
        <v>256779413397</v>
      </c>
      <c r="E227" s="3">
        <v>45798</v>
      </c>
      <c r="F227" t="s">
        <v>11</v>
      </c>
      <c r="G227">
        <v>-229.87</v>
      </c>
      <c r="H227">
        <v>229.87</v>
      </c>
      <c r="I227" s="27">
        <v>-19625.03</v>
      </c>
      <c r="K227" s="3">
        <v>45828</v>
      </c>
      <c r="L227" s="3">
        <v>45869</v>
      </c>
      <c r="M227" t="s">
        <v>912</v>
      </c>
      <c r="N227" s="2">
        <v>45839</v>
      </c>
      <c r="O227">
        <v>53371291</v>
      </c>
      <c r="P227">
        <v>1</v>
      </c>
      <c r="Q227" s="3">
        <v>45849</v>
      </c>
      <c r="R227">
        <v>210</v>
      </c>
      <c r="S227" s="85">
        <v>1.55E+16</v>
      </c>
      <c r="T227" t="s">
        <v>913</v>
      </c>
      <c r="U227">
        <v>19625.03</v>
      </c>
      <c r="Y227" s="27">
        <f t="shared" si="12"/>
        <v>-19625.03</v>
      </c>
      <c r="Z227" t="s">
        <v>915</v>
      </c>
      <c r="AA227">
        <f>VLOOKUP(D227,'Ascendus DATA'!$F:$J,5,0)</f>
        <v>19765.07</v>
      </c>
      <c r="AB227" s="27">
        <f t="shared" si="13"/>
        <v>140.04000000000087</v>
      </c>
    </row>
    <row r="228" spans="1:28" hidden="1" x14ac:dyDescent="0.35">
      <c r="A228" t="s">
        <v>910</v>
      </c>
      <c r="B228" t="s">
        <v>910</v>
      </c>
      <c r="C228" t="s">
        <v>438</v>
      </c>
      <c r="D228" s="4">
        <v>256779413398</v>
      </c>
      <c r="E228" s="3">
        <v>45798</v>
      </c>
      <c r="F228" t="s">
        <v>11</v>
      </c>
      <c r="G228">
        <v>-218.17</v>
      </c>
      <c r="H228">
        <v>218.17</v>
      </c>
      <c r="I228" s="27">
        <v>-18626.150000000001</v>
      </c>
      <c r="K228" s="3">
        <v>45828</v>
      </c>
      <c r="L228" s="3">
        <v>45869</v>
      </c>
      <c r="M228" t="s">
        <v>912</v>
      </c>
      <c r="N228" s="2">
        <v>45839</v>
      </c>
      <c r="O228">
        <v>53371296</v>
      </c>
      <c r="P228">
        <v>1</v>
      </c>
      <c r="Q228" s="3">
        <v>45849</v>
      </c>
      <c r="R228">
        <v>210</v>
      </c>
      <c r="S228" s="85">
        <v>1.55E+16</v>
      </c>
      <c r="T228" t="s">
        <v>913</v>
      </c>
      <c r="U228">
        <v>18626.150000000001</v>
      </c>
      <c r="Y228" s="27">
        <f t="shared" si="12"/>
        <v>-18626.150000000001</v>
      </c>
      <c r="Z228" t="s">
        <v>915</v>
      </c>
      <c r="AA228">
        <f>VLOOKUP(D228,'Ascendus DATA'!$F:$J,5,0)</f>
        <v>18759.060000000001</v>
      </c>
      <c r="AB228" s="27">
        <f t="shared" si="13"/>
        <v>132.90999999999985</v>
      </c>
    </row>
    <row r="229" spans="1:28" hidden="1" x14ac:dyDescent="0.35">
      <c r="A229" t="s">
        <v>910</v>
      </c>
      <c r="B229" t="s">
        <v>910</v>
      </c>
      <c r="C229" t="s">
        <v>438</v>
      </c>
      <c r="D229" s="4">
        <v>256779413400</v>
      </c>
      <c r="E229" s="3">
        <v>45798</v>
      </c>
      <c r="F229" t="s">
        <v>11</v>
      </c>
      <c r="G229">
        <v>-218.17</v>
      </c>
      <c r="H229">
        <v>218.17</v>
      </c>
      <c r="I229" s="27">
        <v>-18626.150000000001</v>
      </c>
      <c r="J229" t="s">
        <v>42</v>
      </c>
      <c r="K229" s="3">
        <v>45828</v>
      </c>
      <c r="L229" s="3">
        <v>45869</v>
      </c>
      <c r="M229" t="s">
        <v>912</v>
      </c>
      <c r="N229" s="2">
        <v>45839</v>
      </c>
      <c r="O229">
        <v>53371299</v>
      </c>
      <c r="P229">
        <v>1</v>
      </c>
      <c r="Q229" s="3">
        <v>45849</v>
      </c>
      <c r="R229">
        <v>210</v>
      </c>
      <c r="S229" s="85">
        <v>1.55E+16</v>
      </c>
      <c r="T229" t="s">
        <v>913</v>
      </c>
      <c r="U229">
        <v>18626.150000000001</v>
      </c>
      <c r="Y229" s="27">
        <f t="shared" si="12"/>
        <v>-18626.150000000001</v>
      </c>
      <c r="Z229" t="s">
        <v>915</v>
      </c>
      <c r="AA229">
        <f>VLOOKUP(D229,'Ascendus DATA'!$F:$J,5,0)</f>
        <v>18759.060000000001</v>
      </c>
      <c r="AB229" s="27">
        <f t="shared" si="13"/>
        <v>132.90999999999985</v>
      </c>
    </row>
    <row r="230" spans="1:28" hidden="1" x14ac:dyDescent="0.35">
      <c r="A230" t="s">
        <v>910</v>
      </c>
      <c r="B230" t="s">
        <v>910</v>
      </c>
      <c r="C230" t="s">
        <v>438</v>
      </c>
      <c r="D230" s="4">
        <v>256779413402</v>
      </c>
      <c r="E230" s="3">
        <v>45798</v>
      </c>
      <c r="F230" t="s">
        <v>11</v>
      </c>
      <c r="G230">
        <v>-229.87</v>
      </c>
      <c r="H230">
        <v>229.87</v>
      </c>
      <c r="I230" s="27">
        <v>-19625.03</v>
      </c>
      <c r="K230" s="3">
        <v>45828</v>
      </c>
      <c r="L230" s="3">
        <v>45869</v>
      </c>
      <c r="M230" t="s">
        <v>912</v>
      </c>
      <c r="N230" s="2">
        <v>45839</v>
      </c>
      <c r="O230">
        <v>53371303</v>
      </c>
      <c r="P230">
        <v>1</v>
      </c>
      <c r="Q230" s="3">
        <v>45849</v>
      </c>
      <c r="R230">
        <v>210</v>
      </c>
      <c r="S230" s="85">
        <v>1.55E+16</v>
      </c>
      <c r="T230" t="s">
        <v>913</v>
      </c>
      <c r="U230">
        <v>19625.03</v>
      </c>
      <c r="Y230" s="27">
        <f t="shared" si="12"/>
        <v>-19625.03</v>
      </c>
      <c r="Z230" t="s">
        <v>915</v>
      </c>
      <c r="AA230">
        <f>VLOOKUP(D230,'Ascendus DATA'!$F:$J,5,0)</f>
        <v>19765.07</v>
      </c>
      <c r="AB230" s="27">
        <f t="shared" si="13"/>
        <v>140.04000000000087</v>
      </c>
    </row>
    <row r="231" spans="1:28" hidden="1" x14ac:dyDescent="0.35">
      <c r="A231" t="s">
        <v>910</v>
      </c>
      <c r="B231" t="s">
        <v>910</v>
      </c>
      <c r="C231" t="s">
        <v>438</v>
      </c>
      <c r="D231" s="4">
        <v>256779413396</v>
      </c>
      <c r="E231" s="3">
        <v>45798</v>
      </c>
      <c r="F231" t="s">
        <v>11</v>
      </c>
      <c r="G231">
        <v>-218.17</v>
      </c>
      <c r="H231">
        <v>218.17</v>
      </c>
      <c r="I231" s="27">
        <v>-18626.150000000001</v>
      </c>
      <c r="K231" s="3">
        <v>45828</v>
      </c>
      <c r="L231" s="3">
        <v>45869</v>
      </c>
      <c r="M231" t="s">
        <v>912</v>
      </c>
      <c r="N231" s="2">
        <v>45839</v>
      </c>
      <c r="O231">
        <v>53373132</v>
      </c>
      <c r="P231">
        <v>1</v>
      </c>
      <c r="Q231" s="3">
        <v>45849</v>
      </c>
      <c r="R231">
        <v>210</v>
      </c>
      <c r="S231" s="85">
        <v>1.55E+16</v>
      </c>
      <c r="T231" t="s">
        <v>913</v>
      </c>
      <c r="U231">
        <v>18626.150000000001</v>
      </c>
      <c r="W231" s="79">
        <f t="shared" ref="W231:W234" si="14">X231/I231</f>
        <v>-1.9984269427659501E-2</v>
      </c>
      <c r="X231">
        <f>VLOOKUP(D231,'[3]Customer TDS'!D:I,6,0)</f>
        <v>372.23</v>
      </c>
      <c r="Y231" s="27">
        <f t="shared" si="12"/>
        <v>-18253.920000000002</v>
      </c>
      <c r="Z231" t="s">
        <v>915</v>
      </c>
      <c r="AA231">
        <f>VLOOKUP(D231,'Ascendus DATA'!$F:$J,5,0)</f>
        <v>18759.060000000001</v>
      </c>
      <c r="AB231" s="27">
        <f t="shared" si="13"/>
        <v>132.90999999999985</v>
      </c>
    </row>
    <row r="232" spans="1:28" hidden="1" x14ac:dyDescent="0.35">
      <c r="A232" t="s">
        <v>910</v>
      </c>
      <c r="B232" t="s">
        <v>910</v>
      </c>
      <c r="C232" t="s">
        <v>438</v>
      </c>
      <c r="D232" s="4">
        <v>256779413401</v>
      </c>
      <c r="E232" s="3">
        <v>45798</v>
      </c>
      <c r="F232" t="s">
        <v>11</v>
      </c>
      <c r="G232">
        <v>-229.87</v>
      </c>
      <c r="H232">
        <v>229.87</v>
      </c>
      <c r="I232" s="27">
        <v>-19625.03</v>
      </c>
      <c r="K232" s="3">
        <v>45828</v>
      </c>
      <c r="L232" s="3">
        <v>45869</v>
      </c>
      <c r="M232" t="s">
        <v>912</v>
      </c>
      <c r="N232" s="2">
        <v>45839</v>
      </c>
      <c r="O232">
        <v>53373136</v>
      </c>
      <c r="P232">
        <v>1</v>
      </c>
      <c r="Q232" s="3">
        <v>45849</v>
      </c>
      <c r="R232">
        <v>210</v>
      </c>
      <c r="S232" s="85">
        <v>1.55E+16</v>
      </c>
      <c r="T232" t="s">
        <v>913</v>
      </c>
      <c r="U232">
        <v>19625.03</v>
      </c>
      <c r="W232" s="79">
        <f t="shared" si="14"/>
        <v>-2.0011179600744562E-2</v>
      </c>
      <c r="X232">
        <f>VLOOKUP(D232,'[3]Customer TDS'!D:I,6,0)</f>
        <v>392.72</v>
      </c>
      <c r="Y232" s="27">
        <f t="shared" si="12"/>
        <v>-19232.309999999998</v>
      </c>
      <c r="Z232" t="s">
        <v>915</v>
      </c>
      <c r="AA232">
        <f>VLOOKUP(D232,'Ascendus DATA'!$F:$J,5,0)</f>
        <v>19765.07</v>
      </c>
      <c r="AB232" s="27">
        <f t="shared" si="13"/>
        <v>140.04000000000087</v>
      </c>
    </row>
    <row r="233" spans="1:28" hidden="1" x14ac:dyDescent="0.35">
      <c r="A233" t="s">
        <v>910</v>
      </c>
      <c r="B233" t="s">
        <v>910</v>
      </c>
      <c r="C233" t="s">
        <v>438</v>
      </c>
      <c r="D233" s="4">
        <v>256779413395</v>
      </c>
      <c r="E233" s="3">
        <v>45798</v>
      </c>
      <c r="F233" t="s">
        <v>11</v>
      </c>
      <c r="G233">
        <v>-264.98</v>
      </c>
      <c r="H233">
        <v>264.98</v>
      </c>
      <c r="I233" s="27">
        <v>-22622.53</v>
      </c>
      <c r="K233" s="3">
        <v>45828</v>
      </c>
      <c r="L233" s="3">
        <v>45869</v>
      </c>
      <c r="M233" t="s">
        <v>912</v>
      </c>
      <c r="N233" s="2">
        <v>45839</v>
      </c>
      <c r="O233">
        <v>53373364</v>
      </c>
      <c r="P233">
        <v>1</v>
      </c>
      <c r="Q233" s="3">
        <v>45849</v>
      </c>
      <c r="R233">
        <v>210</v>
      </c>
      <c r="S233" s="85">
        <v>1.55E+16</v>
      </c>
      <c r="T233" t="s">
        <v>913</v>
      </c>
      <c r="U233">
        <v>22622.53</v>
      </c>
      <c r="W233" s="79">
        <f t="shared" si="14"/>
        <v>-2.000129958939164E-2</v>
      </c>
      <c r="X233">
        <f>VLOOKUP(D233,'[3]Customer TDS'!D:I,6,0)</f>
        <v>452.48</v>
      </c>
      <c r="Y233" s="27">
        <f t="shared" si="12"/>
        <v>-22170.05</v>
      </c>
      <c r="Z233" t="s">
        <v>915</v>
      </c>
      <c r="AA233">
        <f>VLOOKUP(D233,'Ascendus DATA'!$F:$J,5,0)</f>
        <v>22783.96</v>
      </c>
      <c r="AB233" s="27">
        <f t="shared" si="13"/>
        <v>161.43000000000029</v>
      </c>
    </row>
    <row r="234" spans="1:28" hidden="1" x14ac:dyDescent="0.35">
      <c r="A234" t="s">
        <v>910</v>
      </c>
      <c r="B234" t="s">
        <v>910</v>
      </c>
      <c r="C234" t="s">
        <v>438</v>
      </c>
      <c r="D234" s="4">
        <v>256779413399</v>
      </c>
      <c r="E234" s="3">
        <v>45798</v>
      </c>
      <c r="F234" t="s">
        <v>11</v>
      </c>
      <c r="G234">
        <v>-229.87</v>
      </c>
      <c r="H234">
        <v>229.87</v>
      </c>
      <c r="I234" s="27">
        <v>-19625.03</v>
      </c>
      <c r="K234" s="3">
        <v>45828</v>
      </c>
      <c r="L234" s="3">
        <v>45869</v>
      </c>
      <c r="M234" t="s">
        <v>912</v>
      </c>
      <c r="N234" s="2">
        <v>45839</v>
      </c>
      <c r="O234">
        <v>53373888</v>
      </c>
      <c r="P234">
        <v>1</v>
      </c>
      <c r="Q234" s="3">
        <v>45849</v>
      </c>
      <c r="R234">
        <v>210</v>
      </c>
      <c r="S234" s="85">
        <v>1.55E+16</v>
      </c>
      <c r="T234" t="s">
        <v>913</v>
      </c>
      <c r="U234">
        <v>19625.03</v>
      </c>
      <c r="W234" s="79">
        <f t="shared" si="14"/>
        <v>-2.0011179600744562E-2</v>
      </c>
      <c r="X234">
        <f>VLOOKUP(D234,'[3]Customer TDS'!D:I,6,0)</f>
        <v>392.72</v>
      </c>
      <c r="Y234" s="27">
        <f t="shared" si="12"/>
        <v>-19232.309999999998</v>
      </c>
      <c r="Z234" t="s">
        <v>915</v>
      </c>
      <c r="AA234">
        <f>VLOOKUP(D234,'Ascendus DATA'!$F:$J,5,0)</f>
        <v>19765.07</v>
      </c>
      <c r="AB234" s="27">
        <f t="shared" si="13"/>
        <v>140.04000000000087</v>
      </c>
    </row>
    <row r="235" spans="1:28" x14ac:dyDescent="0.35">
      <c r="A235" t="s">
        <v>910</v>
      </c>
      <c r="B235" t="s">
        <v>910</v>
      </c>
      <c r="C235" t="s">
        <v>453</v>
      </c>
      <c r="D235" s="4">
        <v>2512590</v>
      </c>
      <c r="E235" s="3">
        <v>45859</v>
      </c>
      <c r="F235" t="s">
        <v>56</v>
      </c>
      <c r="G235" t="s">
        <v>911</v>
      </c>
      <c r="H235" t="s">
        <v>911</v>
      </c>
      <c r="I235" s="27">
        <v>2396201.27</v>
      </c>
      <c r="J235" t="s">
        <v>457</v>
      </c>
      <c r="K235" s="3">
        <v>45859</v>
      </c>
      <c r="L235" s="3">
        <v>46053</v>
      </c>
      <c r="M235" t="s">
        <v>912</v>
      </c>
      <c r="N235" s="2">
        <v>45839</v>
      </c>
      <c r="O235">
        <v>54915840</v>
      </c>
      <c r="P235">
        <v>1</v>
      </c>
      <c r="Q235" s="3">
        <v>45859</v>
      </c>
      <c r="R235">
        <v>400</v>
      </c>
      <c r="S235" t="s">
        <v>916</v>
      </c>
      <c r="T235" t="s">
        <v>913</v>
      </c>
      <c r="U235">
        <v>-2396201.27</v>
      </c>
      <c r="Y235" s="27">
        <f t="shared" si="12"/>
        <v>2396201.27</v>
      </c>
    </row>
    <row r="236" spans="1:28" x14ac:dyDescent="0.35">
      <c r="A236" t="s">
        <v>910</v>
      </c>
      <c r="B236" t="s">
        <v>910</v>
      </c>
      <c r="C236" t="s">
        <v>453</v>
      </c>
      <c r="D236" s="4">
        <v>2513416</v>
      </c>
      <c r="E236" s="3">
        <v>45859</v>
      </c>
      <c r="F236" t="s">
        <v>56</v>
      </c>
      <c r="G236" t="s">
        <v>911</v>
      </c>
      <c r="H236" t="s">
        <v>911</v>
      </c>
      <c r="I236" s="27">
        <v>2396201.27</v>
      </c>
      <c r="J236" t="s">
        <v>458</v>
      </c>
      <c r="K236" s="3">
        <v>45859</v>
      </c>
      <c r="L236" s="3">
        <v>45869</v>
      </c>
      <c r="M236" t="s">
        <v>912</v>
      </c>
      <c r="N236" s="2">
        <v>45839</v>
      </c>
      <c r="O236">
        <v>54947512</v>
      </c>
      <c r="P236">
        <v>2</v>
      </c>
      <c r="Q236" s="3">
        <v>45859</v>
      </c>
      <c r="R236">
        <v>230</v>
      </c>
      <c r="S236" t="s">
        <v>917</v>
      </c>
      <c r="T236" t="s">
        <v>913</v>
      </c>
      <c r="U236">
        <v>-2396201.27</v>
      </c>
      <c r="Y236" s="27">
        <f t="shared" si="12"/>
        <v>2396201.27</v>
      </c>
    </row>
    <row r="237" spans="1:28" x14ac:dyDescent="0.35">
      <c r="A237" t="s">
        <v>910</v>
      </c>
      <c r="B237" t="s">
        <v>910</v>
      </c>
      <c r="C237" t="s">
        <v>453</v>
      </c>
      <c r="D237" s="4">
        <v>2516019</v>
      </c>
      <c r="E237" s="3">
        <v>45869</v>
      </c>
      <c r="F237" t="s">
        <v>56</v>
      </c>
      <c r="G237" t="s">
        <v>911</v>
      </c>
      <c r="H237" t="s">
        <v>911</v>
      </c>
      <c r="I237" s="27">
        <v>-2396201.27</v>
      </c>
      <c r="J237" t="s">
        <v>458</v>
      </c>
      <c r="K237" s="3">
        <v>45869</v>
      </c>
      <c r="L237" s="3">
        <v>45869</v>
      </c>
      <c r="M237" t="s">
        <v>912</v>
      </c>
      <c r="N237" s="2">
        <v>45839</v>
      </c>
      <c r="O237">
        <v>54956542</v>
      </c>
      <c r="P237">
        <v>2</v>
      </c>
      <c r="Q237" s="3">
        <v>45869</v>
      </c>
      <c r="R237">
        <v>248</v>
      </c>
      <c r="S237" t="s">
        <v>917</v>
      </c>
      <c r="T237" t="s">
        <v>913</v>
      </c>
      <c r="U237">
        <v>2396201.27</v>
      </c>
      <c r="Y237" s="27">
        <f t="shared" si="12"/>
        <v>-2396201.27</v>
      </c>
    </row>
    <row r="238" spans="1:28" hidden="1" x14ac:dyDescent="0.35">
      <c r="A238" t="s">
        <v>910</v>
      </c>
      <c r="B238" t="s">
        <v>910</v>
      </c>
      <c r="C238" t="s">
        <v>455</v>
      </c>
      <c r="D238" s="4" t="s">
        <v>456</v>
      </c>
      <c r="E238" s="3">
        <v>45730</v>
      </c>
      <c r="F238" t="s">
        <v>11</v>
      </c>
      <c r="G238" t="s">
        <v>911</v>
      </c>
      <c r="H238" t="s">
        <v>911</v>
      </c>
      <c r="I238">
        <v>-2.0499999999999998</v>
      </c>
      <c r="J238" t="s">
        <v>15</v>
      </c>
      <c r="K238" s="3">
        <v>45760</v>
      </c>
      <c r="M238" t="s">
        <v>912</v>
      </c>
      <c r="N238" s="2">
        <v>45839</v>
      </c>
      <c r="O238">
        <v>54969548</v>
      </c>
      <c r="P238">
        <v>2</v>
      </c>
      <c r="Q238" s="3">
        <v>45869</v>
      </c>
      <c r="R238">
        <v>271</v>
      </c>
      <c r="T238" t="s">
        <v>913</v>
      </c>
      <c r="U238">
        <v>0</v>
      </c>
      <c r="Y238" s="27">
        <f t="shared" si="12"/>
        <v>-2.0499999999999998</v>
      </c>
      <c r="Z238" t="s">
        <v>894</v>
      </c>
    </row>
    <row r="239" spans="1:28" hidden="1" x14ac:dyDescent="0.35">
      <c r="A239" t="s">
        <v>910</v>
      </c>
      <c r="B239" t="s">
        <v>910</v>
      </c>
      <c r="C239" t="s">
        <v>438</v>
      </c>
      <c r="D239" s="4">
        <v>246779410311</v>
      </c>
      <c r="E239" s="3">
        <v>45708</v>
      </c>
      <c r="F239" t="s">
        <v>11</v>
      </c>
      <c r="G239">
        <v>-95.24</v>
      </c>
      <c r="H239">
        <v>95.24</v>
      </c>
      <c r="I239" s="27">
        <v>-8242.0300000000007</v>
      </c>
      <c r="K239" s="3">
        <v>45738</v>
      </c>
      <c r="L239" s="3">
        <v>45991</v>
      </c>
      <c r="M239" t="s">
        <v>912</v>
      </c>
      <c r="N239" s="2">
        <v>45901</v>
      </c>
      <c r="O239">
        <v>59294855</v>
      </c>
      <c r="P239">
        <v>1</v>
      </c>
      <c r="Q239" s="3">
        <v>45930</v>
      </c>
      <c r="R239">
        <v>210</v>
      </c>
      <c r="S239" s="85">
        <v>1.55E+16</v>
      </c>
      <c r="T239" t="s">
        <v>913</v>
      </c>
      <c r="U239">
        <v>8242.0300000000007</v>
      </c>
      <c r="W239" s="79">
        <f t="shared" ref="W239:W254" si="15">X239/I239</f>
        <v>-1.995018217599305E-2</v>
      </c>
      <c r="X239">
        <f>VLOOKUP(D239,'[3]Customer TDS'!D:I,6,0)</f>
        <v>164.43</v>
      </c>
      <c r="Y239" s="27">
        <f t="shared" si="12"/>
        <v>-8077.6</v>
      </c>
      <c r="Z239" t="s">
        <v>915</v>
      </c>
      <c r="AA239">
        <f>VLOOKUP(D239,'Ascendus DATA'!$F:$J,5,0)</f>
        <v>8219.56</v>
      </c>
      <c r="AB239" s="27">
        <f t="shared" ref="AB239:AB302" si="16">I239+AA239</f>
        <v>-22.470000000001164</v>
      </c>
    </row>
    <row r="240" spans="1:28" hidden="1" x14ac:dyDescent="0.35">
      <c r="A240" t="s">
        <v>910</v>
      </c>
      <c r="B240" t="s">
        <v>910</v>
      </c>
      <c r="C240" t="s">
        <v>438</v>
      </c>
      <c r="D240" s="4">
        <v>256779411867</v>
      </c>
      <c r="E240" s="3">
        <v>45763</v>
      </c>
      <c r="F240" t="s">
        <v>11</v>
      </c>
      <c r="G240">
        <v>-295</v>
      </c>
      <c r="H240">
        <v>5.9</v>
      </c>
      <c r="I240" s="27">
        <v>-25289.46</v>
      </c>
      <c r="K240" s="3">
        <v>45793</v>
      </c>
      <c r="L240" s="3">
        <v>46053</v>
      </c>
      <c r="M240" t="s">
        <v>912</v>
      </c>
      <c r="N240" s="2">
        <v>45901</v>
      </c>
      <c r="O240">
        <v>59294860</v>
      </c>
      <c r="P240">
        <v>1</v>
      </c>
      <c r="Q240" s="3">
        <v>45930</v>
      </c>
      <c r="R240">
        <v>210</v>
      </c>
      <c r="S240" s="85">
        <v>1.55E+16</v>
      </c>
      <c r="T240" t="s">
        <v>913</v>
      </c>
      <c r="U240">
        <v>-1200.98</v>
      </c>
      <c r="W240" s="79">
        <f t="shared" si="15"/>
        <v>-2.0000031633731999E-2</v>
      </c>
      <c r="X240">
        <f>VLOOKUP(D240,'[3]Customer TDS'!D:I,6,0)</f>
        <v>505.79</v>
      </c>
      <c r="Y240" s="27">
        <f t="shared" si="12"/>
        <v>-24783.67</v>
      </c>
      <c r="Z240" t="s">
        <v>915</v>
      </c>
      <c r="AA240">
        <f>VLOOKUP(D240,'Ascendus DATA'!$F:$J,5,0)</f>
        <v>25641.94</v>
      </c>
      <c r="AB240" s="27">
        <f t="shared" si="16"/>
        <v>352.47999999999956</v>
      </c>
    </row>
    <row r="241" spans="1:28" hidden="1" x14ac:dyDescent="0.35">
      <c r="A241" t="s">
        <v>910</v>
      </c>
      <c r="B241" t="s">
        <v>910</v>
      </c>
      <c r="C241" t="s">
        <v>438</v>
      </c>
      <c r="D241" s="4">
        <v>256779415389</v>
      </c>
      <c r="E241" s="3">
        <v>45848</v>
      </c>
      <c r="F241" t="s">
        <v>11</v>
      </c>
      <c r="G241">
        <v>-170.62</v>
      </c>
      <c r="H241">
        <v>170.62</v>
      </c>
      <c r="I241" s="27">
        <v>-15094.75</v>
      </c>
      <c r="K241" s="3">
        <v>45878</v>
      </c>
      <c r="L241" s="3">
        <v>45991</v>
      </c>
      <c r="M241" t="s">
        <v>912</v>
      </c>
      <c r="N241" s="2">
        <v>45901</v>
      </c>
      <c r="O241">
        <v>59294867</v>
      </c>
      <c r="P241">
        <v>1</v>
      </c>
      <c r="Q241" s="3">
        <v>45930</v>
      </c>
      <c r="R241">
        <v>210</v>
      </c>
      <c r="S241" s="85">
        <v>1.55E+16</v>
      </c>
      <c r="T241" t="s">
        <v>913</v>
      </c>
      <c r="U241">
        <v>15094.75</v>
      </c>
      <c r="W241" s="79">
        <f t="shared" si="15"/>
        <v>-1.9985756637241427E-2</v>
      </c>
      <c r="X241">
        <f>VLOOKUP(D241,'[3]Customer TDS'!D:I,6,0)</f>
        <v>301.68</v>
      </c>
      <c r="Y241" s="27">
        <f t="shared" si="12"/>
        <v>-14793.07</v>
      </c>
      <c r="Z241" t="s">
        <v>915</v>
      </c>
      <c r="AA241">
        <f>VLOOKUP(D241,'Ascendus DATA'!$F:$J,5,0)</f>
        <v>14673.43</v>
      </c>
      <c r="AB241" s="27">
        <f t="shared" si="16"/>
        <v>-421.31999999999971</v>
      </c>
    </row>
    <row r="242" spans="1:28" hidden="1" x14ac:dyDescent="0.35">
      <c r="A242" t="s">
        <v>910</v>
      </c>
      <c r="B242" t="s">
        <v>910</v>
      </c>
      <c r="C242" t="s">
        <v>438</v>
      </c>
      <c r="D242" s="4">
        <v>256779415346</v>
      </c>
      <c r="E242" s="3">
        <v>45848</v>
      </c>
      <c r="F242" t="s">
        <v>11</v>
      </c>
      <c r="G242">
        <v>-17.5</v>
      </c>
      <c r="H242">
        <v>17.5</v>
      </c>
      <c r="I242" s="27">
        <v>-1548.23</v>
      </c>
      <c r="K242" s="3">
        <v>45878</v>
      </c>
      <c r="L242" s="3">
        <v>45991</v>
      </c>
      <c r="M242" t="s">
        <v>912</v>
      </c>
      <c r="N242" s="2">
        <v>45901</v>
      </c>
      <c r="O242">
        <v>59294870</v>
      </c>
      <c r="P242">
        <v>1</v>
      </c>
      <c r="Q242" s="3">
        <v>45930</v>
      </c>
      <c r="R242">
        <v>210</v>
      </c>
      <c r="S242" s="85">
        <v>1.55E+16</v>
      </c>
      <c r="T242" t="s">
        <v>913</v>
      </c>
      <c r="U242">
        <v>1548.23</v>
      </c>
      <c r="W242" s="79">
        <f t="shared" si="15"/>
        <v>-1.9997028865220284E-2</v>
      </c>
      <c r="X242">
        <f>VLOOKUP(D242,'[3]Customer TDS'!D:I,6,0)</f>
        <v>30.96</v>
      </c>
      <c r="Y242" s="27">
        <f t="shared" si="12"/>
        <v>-1517.27</v>
      </c>
      <c r="Z242" t="s">
        <v>915</v>
      </c>
      <c r="AA242">
        <f>VLOOKUP(D242,'Ascendus DATA'!$F:$J,5,0)</f>
        <v>1505.01</v>
      </c>
      <c r="AB242" s="27">
        <f t="shared" si="16"/>
        <v>-43.220000000000027</v>
      </c>
    </row>
    <row r="243" spans="1:28" hidden="1" x14ac:dyDescent="0.35">
      <c r="A243" t="s">
        <v>910</v>
      </c>
      <c r="B243" t="s">
        <v>910</v>
      </c>
      <c r="C243" t="s">
        <v>438</v>
      </c>
      <c r="D243" s="4">
        <v>256779415350</v>
      </c>
      <c r="E243" s="3">
        <v>45848</v>
      </c>
      <c r="F243" t="s">
        <v>11</v>
      </c>
      <c r="G243">
        <v>-22.5</v>
      </c>
      <c r="H243">
        <v>22.5</v>
      </c>
      <c r="I243" s="27">
        <v>-1990.58</v>
      </c>
      <c r="K243" s="3">
        <v>45878</v>
      </c>
      <c r="L243" s="3">
        <v>45991</v>
      </c>
      <c r="M243" t="s">
        <v>912</v>
      </c>
      <c r="N243" s="2">
        <v>45901</v>
      </c>
      <c r="O243">
        <v>59294874</v>
      </c>
      <c r="P243">
        <v>1</v>
      </c>
      <c r="Q243" s="3">
        <v>45930</v>
      </c>
      <c r="R243">
        <v>210</v>
      </c>
      <c r="S243" s="85">
        <v>1.55E+16</v>
      </c>
      <c r="T243" t="s">
        <v>913</v>
      </c>
      <c r="U243">
        <v>1990.58</v>
      </c>
      <c r="W243" s="79">
        <f t="shared" si="15"/>
        <v>-1.9999196214168735E-2</v>
      </c>
      <c r="X243">
        <f>VLOOKUP(D243,'[3]Customer TDS'!D:I,6,0)</f>
        <v>39.81</v>
      </c>
      <c r="Y243" s="27">
        <f t="shared" si="12"/>
        <v>-1950.77</v>
      </c>
      <c r="Z243" t="s">
        <v>915</v>
      </c>
      <c r="AA243">
        <f>VLOOKUP(D243,'Ascendus DATA'!$F:$J,5,0)</f>
        <v>1935.02</v>
      </c>
      <c r="AB243" s="27">
        <f t="shared" si="16"/>
        <v>-55.559999999999945</v>
      </c>
    </row>
    <row r="244" spans="1:28" hidden="1" x14ac:dyDescent="0.35">
      <c r="A244" t="s">
        <v>910</v>
      </c>
      <c r="B244" t="s">
        <v>910</v>
      </c>
      <c r="C244" t="s">
        <v>438</v>
      </c>
      <c r="D244" s="4">
        <v>256779415316</v>
      </c>
      <c r="E244" s="3">
        <v>45848</v>
      </c>
      <c r="F244" t="s">
        <v>11</v>
      </c>
      <c r="G244">
        <v>-60</v>
      </c>
      <c r="H244">
        <v>60</v>
      </c>
      <c r="I244" s="27">
        <v>-5308.2</v>
      </c>
      <c r="K244" s="3">
        <v>45878</v>
      </c>
      <c r="L244" s="3">
        <v>45991</v>
      </c>
      <c r="M244" t="s">
        <v>912</v>
      </c>
      <c r="N244" s="2">
        <v>45901</v>
      </c>
      <c r="O244">
        <v>59294880</v>
      </c>
      <c r="P244">
        <v>1</v>
      </c>
      <c r="Q244" s="3">
        <v>45930</v>
      </c>
      <c r="R244">
        <v>210</v>
      </c>
      <c r="S244" s="85">
        <v>1.55E+16</v>
      </c>
      <c r="T244" t="s">
        <v>913</v>
      </c>
      <c r="U244">
        <v>5308.2</v>
      </c>
      <c r="W244" s="79">
        <f t="shared" si="15"/>
        <v>-1.9999246448890395E-2</v>
      </c>
      <c r="X244">
        <f>VLOOKUP(D244,'[3]Customer TDS'!D:I,6,0)</f>
        <v>106.16</v>
      </c>
      <c r="Y244" s="27">
        <f t="shared" si="12"/>
        <v>-5202.04</v>
      </c>
      <c r="Z244" t="s">
        <v>915</v>
      </c>
      <c r="AA244">
        <f>VLOOKUP(D244,'Ascendus DATA'!$F:$J,5,0)</f>
        <v>5160.04</v>
      </c>
      <c r="AB244" s="27">
        <f t="shared" si="16"/>
        <v>-148.15999999999985</v>
      </c>
    </row>
    <row r="245" spans="1:28" hidden="1" x14ac:dyDescent="0.35">
      <c r="A245" t="s">
        <v>910</v>
      </c>
      <c r="B245" t="s">
        <v>910</v>
      </c>
      <c r="C245" t="s">
        <v>438</v>
      </c>
      <c r="D245" s="4">
        <v>256779415355</v>
      </c>
      <c r="E245" s="3">
        <v>45848</v>
      </c>
      <c r="F245" t="s">
        <v>11</v>
      </c>
      <c r="G245">
        <v>-21.37</v>
      </c>
      <c r="H245">
        <v>21.37</v>
      </c>
      <c r="I245" s="27">
        <v>-1890.6</v>
      </c>
      <c r="K245" s="3">
        <v>45878</v>
      </c>
      <c r="L245" s="3">
        <v>45991</v>
      </c>
      <c r="M245" t="s">
        <v>912</v>
      </c>
      <c r="N245" s="2">
        <v>45901</v>
      </c>
      <c r="O245">
        <v>59294887</v>
      </c>
      <c r="P245">
        <v>1</v>
      </c>
      <c r="Q245" s="3">
        <v>45930</v>
      </c>
      <c r="R245">
        <v>210</v>
      </c>
      <c r="S245" s="85">
        <v>1.55E+16</v>
      </c>
      <c r="T245" t="s">
        <v>913</v>
      </c>
      <c r="U245">
        <v>1890.6</v>
      </c>
      <c r="W245" s="79">
        <f t="shared" si="15"/>
        <v>-2.0120596635988575E-2</v>
      </c>
      <c r="X245">
        <f>VLOOKUP(D245,'[3]Customer TDS'!D:I,6,0)</f>
        <v>38.04</v>
      </c>
      <c r="Y245" s="27">
        <f t="shared" si="12"/>
        <v>-1852.56</v>
      </c>
      <c r="Z245" t="s">
        <v>915</v>
      </c>
      <c r="AA245">
        <f>VLOOKUP(D245,'Ascendus DATA'!$F:$J,5,0)</f>
        <v>1837.83</v>
      </c>
      <c r="AB245" s="27">
        <f t="shared" si="16"/>
        <v>-52.769999999999982</v>
      </c>
    </row>
    <row r="246" spans="1:28" hidden="1" x14ac:dyDescent="0.35">
      <c r="A246" t="s">
        <v>910</v>
      </c>
      <c r="B246" t="s">
        <v>910</v>
      </c>
      <c r="C246" t="s">
        <v>438</v>
      </c>
      <c r="D246" s="4">
        <v>256779415209</v>
      </c>
      <c r="E246" s="3">
        <v>45842</v>
      </c>
      <c r="F246" t="s">
        <v>11</v>
      </c>
      <c r="G246">
        <v>-63.26</v>
      </c>
      <c r="H246">
        <v>63.26</v>
      </c>
      <c r="I246" s="27">
        <v>-5596.61</v>
      </c>
      <c r="K246" s="3">
        <v>45872</v>
      </c>
      <c r="L246" s="3">
        <v>45991</v>
      </c>
      <c r="M246" t="s">
        <v>912</v>
      </c>
      <c r="N246" s="2">
        <v>45901</v>
      </c>
      <c r="O246">
        <v>59294892</v>
      </c>
      <c r="P246">
        <v>1</v>
      </c>
      <c r="Q246" s="3">
        <v>45930</v>
      </c>
      <c r="R246">
        <v>210</v>
      </c>
      <c r="S246" s="85">
        <v>1.55E+16</v>
      </c>
      <c r="T246" t="s">
        <v>913</v>
      </c>
      <c r="U246">
        <v>5596.61</v>
      </c>
      <c r="W246" s="79">
        <f t="shared" si="15"/>
        <v>-2.0076439130116266E-2</v>
      </c>
      <c r="X246">
        <f>VLOOKUP(D246,'[3]Customer TDS'!D:I,6,0)</f>
        <v>112.36</v>
      </c>
      <c r="Y246" s="27">
        <f t="shared" si="12"/>
        <v>-5484.25</v>
      </c>
      <c r="Z246" t="s">
        <v>915</v>
      </c>
      <c r="AA246">
        <f>VLOOKUP(D246,'Ascendus DATA'!$F:$J,5,0)</f>
        <v>5440.4</v>
      </c>
      <c r="AB246" s="27">
        <f t="shared" si="16"/>
        <v>-156.21000000000004</v>
      </c>
    </row>
    <row r="247" spans="1:28" hidden="1" x14ac:dyDescent="0.35">
      <c r="A247" t="s">
        <v>910</v>
      </c>
      <c r="B247" t="s">
        <v>910</v>
      </c>
      <c r="C247" t="s">
        <v>438</v>
      </c>
      <c r="D247" s="4">
        <v>256779415303</v>
      </c>
      <c r="E247" s="3">
        <v>45848</v>
      </c>
      <c r="F247" t="s">
        <v>11</v>
      </c>
      <c r="G247">
        <v>-100</v>
      </c>
      <c r="H247">
        <v>2</v>
      </c>
      <c r="I247" s="27">
        <v>-8847</v>
      </c>
      <c r="K247" s="3">
        <v>45878</v>
      </c>
      <c r="L247" s="3">
        <v>46053</v>
      </c>
      <c r="M247" t="s">
        <v>912</v>
      </c>
      <c r="N247" s="2">
        <v>45901</v>
      </c>
      <c r="O247">
        <v>59294893</v>
      </c>
      <c r="P247">
        <v>1</v>
      </c>
      <c r="Q247" s="3">
        <v>45930</v>
      </c>
      <c r="R247">
        <v>210</v>
      </c>
      <c r="S247" s="85">
        <v>1.55E+16</v>
      </c>
      <c r="T247" t="s">
        <v>913</v>
      </c>
      <c r="U247">
        <v>-132.81</v>
      </c>
      <c r="W247" s="79">
        <f t="shared" si="15"/>
        <v>-0.02</v>
      </c>
      <c r="X247">
        <f>VLOOKUP(D247,'[3]Customer TDS'!D:I,6,0)</f>
        <v>176.94</v>
      </c>
      <c r="Y247" s="27">
        <f t="shared" si="12"/>
        <v>-8670.06</v>
      </c>
      <c r="Z247" t="s">
        <v>915</v>
      </c>
      <c r="AA247">
        <f>VLOOKUP(D247,'Ascendus DATA'!$F:$J,5,0)</f>
        <v>8600.07</v>
      </c>
      <c r="AB247" s="27">
        <f t="shared" si="16"/>
        <v>-246.93000000000029</v>
      </c>
    </row>
    <row r="248" spans="1:28" hidden="1" x14ac:dyDescent="0.35">
      <c r="A248" t="s">
        <v>910</v>
      </c>
      <c r="B248" t="s">
        <v>910</v>
      </c>
      <c r="C248" t="s">
        <v>438</v>
      </c>
      <c r="D248" s="4">
        <v>256779415333</v>
      </c>
      <c r="E248" s="3">
        <v>45848</v>
      </c>
      <c r="F248" t="s">
        <v>11</v>
      </c>
      <c r="G248">
        <v>-22.5</v>
      </c>
      <c r="H248">
        <v>22.5</v>
      </c>
      <c r="I248" s="27">
        <v>-1990.58</v>
      </c>
      <c r="K248" s="3">
        <v>45878</v>
      </c>
      <c r="L248" s="3">
        <v>45991</v>
      </c>
      <c r="M248" t="s">
        <v>912</v>
      </c>
      <c r="N248" s="2">
        <v>45901</v>
      </c>
      <c r="O248">
        <v>59294897</v>
      </c>
      <c r="P248">
        <v>1</v>
      </c>
      <c r="Q248" s="3">
        <v>45930</v>
      </c>
      <c r="R248">
        <v>210</v>
      </c>
      <c r="S248" s="85">
        <v>1.55E+16</v>
      </c>
      <c r="T248" t="s">
        <v>913</v>
      </c>
      <c r="U248">
        <v>1990.58</v>
      </c>
      <c r="W248" s="79">
        <f t="shared" si="15"/>
        <v>-1.9999196214168735E-2</v>
      </c>
      <c r="X248">
        <f>VLOOKUP(D248,'[3]Customer TDS'!D:I,6,0)</f>
        <v>39.81</v>
      </c>
      <c r="Y248" s="27">
        <f t="shared" si="12"/>
        <v>-1950.77</v>
      </c>
      <c r="Z248" t="s">
        <v>915</v>
      </c>
      <c r="AA248">
        <f>VLOOKUP(D248,'Ascendus DATA'!$F:$J,5,0)</f>
        <v>1935.02</v>
      </c>
      <c r="AB248" s="27">
        <f t="shared" si="16"/>
        <v>-55.559999999999945</v>
      </c>
    </row>
    <row r="249" spans="1:28" hidden="1" x14ac:dyDescent="0.35">
      <c r="A249" t="s">
        <v>910</v>
      </c>
      <c r="B249" t="s">
        <v>910</v>
      </c>
      <c r="C249" t="s">
        <v>438</v>
      </c>
      <c r="D249" s="4">
        <v>256779415304</v>
      </c>
      <c r="E249" s="3">
        <v>45848</v>
      </c>
      <c r="F249" t="s">
        <v>11</v>
      </c>
      <c r="G249">
        <v>-30</v>
      </c>
      <c r="H249">
        <v>0.6</v>
      </c>
      <c r="I249" s="27">
        <v>-2654.1</v>
      </c>
      <c r="K249" s="3">
        <v>45878</v>
      </c>
      <c r="L249" s="3">
        <v>46053</v>
      </c>
      <c r="M249" t="s">
        <v>912</v>
      </c>
      <c r="N249" s="2">
        <v>45901</v>
      </c>
      <c r="O249">
        <v>59294899</v>
      </c>
      <c r="P249">
        <v>1</v>
      </c>
      <c r="Q249" s="3">
        <v>45930</v>
      </c>
      <c r="R249">
        <v>210</v>
      </c>
      <c r="S249" s="85">
        <v>1.55E+16</v>
      </c>
      <c r="T249" t="s">
        <v>913</v>
      </c>
      <c r="U249">
        <v>-39.840000000000003</v>
      </c>
      <c r="W249" s="79">
        <f t="shared" si="15"/>
        <v>-1.9999246448890395E-2</v>
      </c>
      <c r="X249">
        <f>VLOOKUP(D249,'[3]Customer TDS'!D:I,6,0)</f>
        <v>53.08</v>
      </c>
      <c r="Y249" s="27">
        <f t="shared" si="12"/>
        <v>-2601.02</v>
      </c>
      <c r="Z249" t="s">
        <v>915</v>
      </c>
      <c r="AA249">
        <f>VLOOKUP(D249,'Ascendus DATA'!$F:$J,5,0)</f>
        <v>2580.02</v>
      </c>
      <c r="AB249" s="27">
        <f t="shared" si="16"/>
        <v>-74.079999999999927</v>
      </c>
    </row>
    <row r="250" spans="1:28" hidden="1" x14ac:dyDescent="0.35">
      <c r="A250" t="s">
        <v>910</v>
      </c>
      <c r="B250" t="s">
        <v>910</v>
      </c>
      <c r="C250" t="s">
        <v>438</v>
      </c>
      <c r="D250" s="4">
        <v>256779415377</v>
      </c>
      <c r="E250" s="3">
        <v>45848</v>
      </c>
      <c r="F250" t="s">
        <v>11</v>
      </c>
      <c r="G250">
        <v>-50</v>
      </c>
      <c r="H250">
        <v>50</v>
      </c>
      <c r="I250" s="27">
        <v>-4423.5</v>
      </c>
      <c r="K250" s="3">
        <v>45878</v>
      </c>
      <c r="L250" s="3">
        <v>45991</v>
      </c>
      <c r="M250" t="s">
        <v>912</v>
      </c>
      <c r="N250" s="2">
        <v>45901</v>
      </c>
      <c r="O250">
        <v>59294900</v>
      </c>
      <c r="P250">
        <v>1</v>
      </c>
      <c r="Q250" s="3">
        <v>45930</v>
      </c>
      <c r="R250">
        <v>210</v>
      </c>
      <c r="S250" s="85">
        <v>1.55E+16</v>
      </c>
      <c r="T250" t="s">
        <v>913</v>
      </c>
      <c r="U250">
        <v>4423.5</v>
      </c>
      <c r="W250" s="79">
        <f t="shared" si="15"/>
        <v>-0.02</v>
      </c>
      <c r="X250">
        <f>VLOOKUP(D250,'[3]Customer TDS'!D:I,6,0)</f>
        <v>88.47</v>
      </c>
      <c r="Y250" s="27">
        <f t="shared" si="12"/>
        <v>-4335.03</v>
      </c>
      <c r="Z250" t="s">
        <v>915</v>
      </c>
      <c r="AA250">
        <f>VLOOKUP(D250,'Ascendus DATA'!$F:$J,5,0)</f>
        <v>4300.03</v>
      </c>
      <c r="AB250" s="27">
        <f t="shared" si="16"/>
        <v>-123.47000000000025</v>
      </c>
    </row>
    <row r="251" spans="1:28" hidden="1" x14ac:dyDescent="0.35">
      <c r="A251" t="s">
        <v>910</v>
      </c>
      <c r="B251" t="s">
        <v>910</v>
      </c>
      <c r="C251" t="s">
        <v>438</v>
      </c>
      <c r="D251" s="4">
        <v>256779415270</v>
      </c>
      <c r="E251" s="3">
        <v>45842</v>
      </c>
      <c r="F251" t="s">
        <v>11</v>
      </c>
      <c r="G251">
        <v>-420.86</v>
      </c>
      <c r="H251">
        <v>420.86</v>
      </c>
      <c r="I251" s="27">
        <v>-37233.480000000003</v>
      </c>
      <c r="K251" s="3">
        <v>45872</v>
      </c>
      <c r="L251" s="3">
        <v>45991</v>
      </c>
      <c r="M251" t="s">
        <v>912</v>
      </c>
      <c r="N251" s="2">
        <v>45901</v>
      </c>
      <c r="O251">
        <v>59294902</v>
      </c>
      <c r="P251">
        <v>1</v>
      </c>
      <c r="Q251" s="3">
        <v>45930</v>
      </c>
      <c r="R251">
        <v>210</v>
      </c>
      <c r="S251" s="85">
        <v>1.55E+16</v>
      </c>
      <c r="T251" t="s">
        <v>913</v>
      </c>
      <c r="U251">
        <v>37233.480000000003</v>
      </c>
      <c r="W251" s="79">
        <f t="shared" si="15"/>
        <v>-2.0006725130178534E-2</v>
      </c>
      <c r="X251">
        <f>VLOOKUP(D251,'[3]Customer TDS'!D:I,6,0)</f>
        <v>744.92</v>
      </c>
      <c r="Y251" s="27">
        <f t="shared" si="12"/>
        <v>-36488.560000000005</v>
      </c>
      <c r="Z251" t="s">
        <v>915</v>
      </c>
      <c r="AA251">
        <f>VLOOKUP(D251,'Ascendus DATA'!$F:$J,5,0)</f>
        <v>36194.239999999998</v>
      </c>
      <c r="AB251" s="27">
        <f t="shared" si="16"/>
        <v>-1039.2400000000052</v>
      </c>
    </row>
    <row r="252" spans="1:28" hidden="1" x14ac:dyDescent="0.35">
      <c r="A252" t="s">
        <v>910</v>
      </c>
      <c r="B252" t="s">
        <v>910</v>
      </c>
      <c r="C252" t="s">
        <v>438</v>
      </c>
      <c r="D252" s="4">
        <v>256779415298</v>
      </c>
      <c r="E252" s="3">
        <v>45848</v>
      </c>
      <c r="F252" t="s">
        <v>11</v>
      </c>
      <c r="G252">
        <v>-24</v>
      </c>
      <c r="H252">
        <v>24</v>
      </c>
      <c r="I252" s="27">
        <v>-2123.2800000000002</v>
      </c>
      <c r="K252" s="3">
        <v>45878</v>
      </c>
      <c r="L252" s="3">
        <v>45991</v>
      </c>
      <c r="M252" t="s">
        <v>912</v>
      </c>
      <c r="N252" s="2">
        <v>45901</v>
      </c>
      <c r="O252">
        <v>59294903</v>
      </c>
      <c r="P252">
        <v>1</v>
      </c>
      <c r="Q252" s="3">
        <v>45930</v>
      </c>
      <c r="R252">
        <v>210</v>
      </c>
      <c r="S252" s="85">
        <v>1.55E+16</v>
      </c>
      <c r="T252" t="s">
        <v>913</v>
      </c>
      <c r="U252">
        <v>2123.2800000000002</v>
      </c>
      <c r="W252" s="79">
        <f t="shared" si="15"/>
        <v>-2.000207226555141E-2</v>
      </c>
      <c r="X252">
        <f>VLOOKUP(D252,'[3]Customer TDS'!D:I,6,0)</f>
        <v>42.47</v>
      </c>
      <c r="Y252" s="27">
        <f t="shared" si="12"/>
        <v>-2080.8100000000004</v>
      </c>
      <c r="Z252" t="s">
        <v>915</v>
      </c>
      <c r="AA252">
        <f>VLOOKUP(D252,'Ascendus DATA'!$F:$J,5,0)</f>
        <v>2064.02</v>
      </c>
      <c r="AB252" s="27">
        <f t="shared" si="16"/>
        <v>-59.260000000000218</v>
      </c>
    </row>
    <row r="253" spans="1:28" hidden="1" x14ac:dyDescent="0.35">
      <c r="A253" t="s">
        <v>910</v>
      </c>
      <c r="B253" t="s">
        <v>910</v>
      </c>
      <c r="C253" t="s">
        <v>438</v>
      </c>
      <c r="D253" s="4">
        <v>256779415380</v>
      </c>
      <c r="E253" s="3">
        <v>45848</v>
      </c>
      <c r="F253" t="s">
        <v>11</v>
      </c>
      <c r="G253">
        <v>-200</v>
      </c>
      <c r="H253">
        <v>200</v>
      </c>
      <c r="I253" s="27">
        <v>-17694</v>
      </c>
      <c r="K253" s="3">
        <v>45878</v>
      </c>
      <c r="L253" s="3">
        <v>45991</v>
      </c>
      <c r="M253" t="s">
        <v>912</v>
      </c>
      <c r="N253" s="2">
        <v>45901</v>
      </c>
      <c r="O253">
        <v>59294905</v>
      </c>
      <c r="P253">
        <v>1</v>
      </c>
      <c r="Q253" s="3">
        <v>45930</v>
      </c>
      <c r="R253">
        <v>210</v>
      </c>
      <c r="S253" s="85">
        <v>1.55E+16</v>
      </c>
      <c r="T253" t="s">
        <v>913</v>
      </c>
      <c r="U253">
        <v>17694</v>
      </c>
      <c r="W253" s="79">
        <f t="shared" si="15"/>
        <v>-0.02</v>
      </c>
      <c r="X253">
        <f>VLOOKUP(D253,'[3]Customer TDS'!D:I,6,0)</f>
        <v>353.88</v>
      </c>
      <c r="Y253" s="27">
        <f t="shared" si="12"/>
        <v>-17340.12</v>
      </c>
      <c r="Z253" t="s">
        <v>915</v>
      </c>
      <c r="AA253">
        <f>VLOOKUP(D253,'Ascendus DATA'!$F:$J,5,0)</f>
        <v>17200.13</v>
      </c>
      <c r="AB253" s="27">
        <f t="shared" si="16"/>
        <v>-493.86999999999898</v>
      </c>
    </row>
    <row r="254" spans="1:28" hidden="1" x14ac:dyDescent="0.35">
      <c r="A254" t="s">
        <v>910</v>
      </c>
      <c r="B254" t="s">
        <v>910</v>
      </c>
      <c r="C254" t="s">
        <v>438</v>
      </c>
      <c r="D254" s="4">
        <v>256779415341</v>
      </c>
      <c r="E254" s="3">
        <v>45848</v>
      </c>
      <c r="F254" t="s">
        <v>11</v>
      </c>
      <c r="G254">
        <v>-15</v>
      </c>
      <c r="H254">
        <v>15</v>
      </c>
      <c r="I254" s="27">
        <v>-1327.05</v>
      </c>
      <c r="K254" s="3">
        <v>45878</v>
      </c>
      <c r="L254" s="3">
        <v>45991</v>
      </c>
      <c r="M254" t="s">
        <v>912</v>
      </c>
      <c r="N254" s="2">
        <v>45901</v>
      </c>
      <c r="O254">
        <v>59294907</v>
      </c>
      <c r="P254">
        <v>1</v>
      </c>
      <c r="Q254" s="3">
        <v>45930</v>
      </c>
      <c r="R254">
        <v>210</v>
      </c>
      <c r="S254" s="85">
        <v>1.55E+16</v>
      </c>
      <c r="T254" t="s">
        <v>913</v>
      </c>
      <c r="U254">
        <v>1327.05</v>
      </c>
      <c r="W254" s="79">
        <f t="shared" si="15"/>
        <v>-1.9999246448890395E-2</v>
      </c>
      <c r="X254">
        <f>VLOOKUP(D254,'[3]Customer TDS'!D:I,6,0)</f>
        <v>26.54</v>
      </c>
      <c r="Y254" s="27">
        <f t="shared" si="12"/>
        <v>-1300.51</v>
      </c>
      <c r="Z254" t="s">
        <v>915</v>
      </c>
      <c r="AA254">
        <f>VLOOKUP(D254,'Ascendus DATA'!$F:$J,5,0)</f>
        <v>1290.01</v>
      </c>
      <c r="AB254" s="27">
        <f t="shared" si="16"/>
        <v>-37.039999999999964</v>
      </c>
    </row>
    <row r="255" spans="1:28" hidden="1" x14ac:dyDescent="0.35">
      <c r="A255" t="s">
        <v>910</v>
      </c>
      <c r="B255" t="s">
        <v>910</v>
      </c>
      <c r="C255" t="s">
        <v>438</v>
      </c>
      <c r="D255" s="4">
        <v>256779415385</v>
      </c>
      <c r="E255" s="3">
        <v>45848</v>
      </c>
      <c r="F255" t="s">
        <v>11</v>
      </c>
      <c r="G255">
        <v>-24</v>
      </c>
      <c r="H255">
        <v>23.52</v>
      </c>
      <c r="I255" s="27">
        <v>-2123.2800000000002</v>
      </c>
      <c r="K255" s="3">
        <v>45878</v>
      </c>
      <c r="L255" s="3">
        <v>46053</v>
      </c>
      <c r="M255" t="s">
        <v>912</v>
      </c>
      <c r="N255" s="2">
        <v>45901</v>
      </c>
      <c r="O255">
        <v>59294908</v>
      </c>
      <c r="P255">
        <v>1</v>
      </c>
      <c r="Q255" s="3">
        <v>45930</v>
      </c>
      <c r="R255">
        <v>210</v>
      </c>
      <c r="S255" s="85">
        <v>1.55E+16</v>
      </c>
      <c r="T255" t="s">
        <v>913</v>
      </c>
      <c r="U255">
        <v>2079.3000000000002</v>
      </c>
      <c r="Y255" s="27">
        <f t="shared" si="12"/>
        <v>-2123.2800000000002</v>
      </c>
      <c r="Z255" t="s">
        <v>915</v>
      </c>
      <c r="AA255">
        <f>VLOOKUP(D255,'Ascendus DATA'!$F:$J,5,0)</f>
        <v>2064.02</v>
      </c>
      <c r="AB255" s="27">
        <f t="shared" si="16"/>
        <v>-59.260000000000218</v>
      </c>
    </row>
    <row r="256" spans="1:28" hidden="1" x14ac:dyDescent="0.35">
      <c r="A256" t="s">
        <v>910</v>
      </c>
      <c r="B256" t="s">
        <v>910</v>
      </c>
      <c r="C256" t="s">
        <v>438</v>
      </c>
      <c r="D256" s="4">
        <v>256779415293</v>
      </c>
      <c r="E256" s="3">
        <v>45848</v>
      </c>
      <c r="F256" t="s">
        <v>11</v>
      </c>
      <c r="G256">
        <v>-24</v>
      </c>
      <c r="H256">
        <v>23.52</v>
      </c>
      <c r="I256" s="27">
        <v>-2123.2800000000002</v>
      </c>
      <c r="K256" s="3">
        <v>45878</v>
      </c>
      <c r="L256" s="3">
        <v>46053</v>
      </c>
      <c r="M256" t="s">
        <v>912</v>
      </c>
      <c r="N256" s="2">
        <v>45901</v>
      </c>
      <c r="O256">
        <v>59294910</v>
      </c>
      <c r="P256">
        <v>1</v>
      </c>
      <c r="Q256" s="3">
        <v>45930</v>
      </c>
      <c r="R256">
        <v>210</v>
      </c>
      <c r="S256" s="85">
        <v>1.55E+16</v>
      </c>
      <c r="T256" t="s">
        <v>913</v>
      </c>
      <c r="U256">
        <v>2079.3000000000002</v>
      </c>
      <c r="Y256" s="27">
        <f t="shared" si="12"/>
        <v>-2123.2800000000002</v>
      </c>
      <c r="Z256" t="s">
        <v>915</v>
      </c>
      <c r="AA256">
        <f>VLOOKUP(D256,'Ascendus DATA'!$F:$J,5,0)</f>
        <v>2064.02</v>
      </c>
      <c r="AB256" s="27">
        <f t="shared" si="16"/>
        <v>-59.260000000000218</v>
      </c>
    </row>
    <row r="257" spans="1:28" hidden="1" x14ac:dyDescent="0.35">
      <c r="A257" t="s">
        <v>910</v>
      </c>
      <c r="B257" t="s">
        <v>910</v>
      </c>
      <c r="C257" t="s">
        <v>438</v>
      </c>
      <c r="D257" s="4">
        <v>256779415359</v>
      </c>
      <c r="E257" s="3">
        <v>45848</v>
      </c>
      <c r="F257" t="s">
        <v>11</v>
      </c>
      <c r="G257">
        <v>-200</v>
      </c>
      <c r="H257">
        <v>200</v>
      </c>
      <c r="I257" s="27">
        <v>-17694</v>
      </c>
      <c r="K257" s="3">
        <v>45878</v>
      </c>
      <c r="L257" s="3">
        <v>45991</v>
      </c>
      <c r="M257" t="s">
        <v>912</v>
      </c>
      <c r="N257" s="2">
        <v>45901</v>
      </c>
      <c r="O257">
        <v>59294912</v>
      </c>
      <c r="P257">
        <v>1</v>
      </c>
      <c r="Q257" s="3">
        <v>45930</v>
      </c>
      <c r="R257">
        <v>210</v>
      </c>
      <c r="S257" s="85">
        <v>1.55E+16</v>
      </c>
      <c r="T257" t="s">
        <v>913</v>
      </c>
      <c r="U257">
        <v>17694</v>
      </c>
      <c r="W257" s="79">
        <f>X257/I257</f>
        <v>-0.02</v>
      </c>
      <c r="X257">
        <f>VLOOKUP(D257,'[3]Customer TDS'!D:I,6,0)</f>
        <v>353.88</v>
      </c>
      <c r="Y257" s="27">
        <f t="shared" si="12"/>
        <v>-17340.12</v>
      </c>
      <c r="Z257" t="s">
        <v>915</v>
      </c>
      <c r="AA257">
        <f>VLOOKUP(D257,'Ascendus DATA'!$F:$J,5,0)</f>
        <v>17200.13</v>
      </c>
      <c r="AB257" s="27">
        <f t="shared" si="16"/>
        <v>-493.86999999999898</v>
      </c>
    </row>
    <row r="258" spans="1:28" hidden="1" x14ac:dyDescent="0.35">
      <c r="A258" t="s">
        <v>910</v>
      </c>
      <c r="B258" t="s">
        <v>910</v>
      </c>
      <c r="C258" t="s">
        <v>438</v>
      </c>
      <c r="D258" s="4">
        <v>256779415374</v>
      </c>
      <c r="E258" s="3">
        <v>45848</v>
      </c>
      <c r="F258" t="s">
        <v>11</v>
      </c>
      <c r="G258">
        <v>-469.38</v>
      </c>
      <c r="H258">
        <v>459.99</v>
      </c>
      <c r="I258" s="27">
        <v>-41526.050000000003</v>
      </c>
      <c r="K258" s="3">
        <v>45878</v>
      </c>
      <c r="L258" s="3">
        <v>46053</v>
      </c>
      <c r="M258" t="s">
        <v>912</v>
      </c>
      <c r="N258" s="2">
        <v>45901</v>
      </c>
      <c r="O258">
        <v>59294913</v>
      </c>
      <c r="P258">
        <v>1</v>
      </c>
      <c r="Q258" s="3">
        <v>45930</v>
      </c>
      <c r="R258">
        <v>210</v>
      </c>
      <c r="S258" s="85">
        <v>1.55E+16</v>
      </c>
      <c r="T258" t="s">
        <v>913</v>
      </c>
      <c r="U258">
        <v>40665.64</v>
      </c>
      <c r="Y258" s="27">
        <f t="shared" si="12"/>
        <v>-41526.050000000003</v>
      </c>
      <c r="Z258" t="s">
        <v>915</v>
      </c>
      <c r="AA258">
        <f>VLOOKUP(D258,'Ascendus DATA'!$F:$J,5,0)</f>
        <v>40366.99</v>
      </c>
      <c r="AB258" s="27">
        <f t="shared" si="16"/>
        <v>-1159.0600000000049</v>
      </c>
    </row>
    <row r="259" spans="1:28" hidden="1" x14ac:dyDescent="0.35">
      <c r="A259" t="s">
        <v>910</v>
      </c>
      <c r="B259" t="s">
        <v>910</v>
      </c>
      <c r="C259" t="s">
        <v>438</v>
      </c>
      <c r="D259" s="4">
        <v>256779415338</v>
      </c>
      <c r="E259" s="3">
        <v>45848</v>
      </c>
      <c r="F259" t="s">
        <v>11</v>
      </c>
      <c r="G259">
        <v>-12.5</v>
      </c>
      <c r="H259">
        <v>12.5</v>
      </c>
      <c r="I259" s="27">
        <v>-1105.8800000000001</v>
      </c>
      <c r="K259" s="3">
        <v>45878</v>
      </c>
      <c r="L259" s="3">
        <v>45991</v>
      </c>
      <c r="M259" t="s">
        <v>912</v>
      </c>
      <c r="N259" s="2">
        <v>45901</v>
      </c>
      <c r="O259">
        <v>59294916</v>
      </c>
      <c r="P259">
        <v>1</v>
      </c>
      <c r="Q259" s="3">
        <v>45930</v>
      </c>
      <c r="R259">
        <v>210</v>
      </c>
      <c r="S259" s="85">
        <v>1.55E+16</v>
      </c>
      <c r="T259" t="s">
        <v>913</v>
      </c>
      <c r="U259">
        <v>1105.8800000000001</v>
      </c>
      <c r="W259" s="79">
        <f t="shared" ref="W259:W322" si="17">X259/I259</f>
        <v>-2.0002170217383441E-2</v>
      </c>
      <c r="X259">
        <f>VLOOKUP(D259,'[3]Customer TDS'!D:I,6,0)</f>
        <v>22.12</v>
      </c>
      <c r="Y259" s="27">
        <f t="shared" si="12"/>
        <v>-1083.7600000000002</v>
      </c>
      <c r="Z259" t="s">
        <v>915</v>
      </c>
      <c r="AA259">
        <f>VLOOKUP(D259,'Ascendus DATA'!$F:$J,5,0)</f>
        <v>1075.01</v>
      </c>
      <c r="AB259" s="27">
        <f t="shared" si="16"/>
        <v>-30.870000000000118</v>
      </c>
    </row>
    <row r="260" spans="1:28" hidden="1" x14ac:dyDescent="0.35">
      <c r="A260" t="s">
        <v>910</v>
      </c>
      <c r="B260" t="s">
        <v>910</v>
      </c>
      <c r="C260" t="s">
        <v>438</v>
      </c>
      <c r="D260" s="4">
        <v>256779415344</v>
      </c>
      <c r="E260" s="3">
        <v>45848</v>
      </c>
      <c r="F260" t="s">
        <v>11</v>
      </c>
      <c r="G260">
        <v>-25</v>
      </c>
      <c r="H260">
        <v>25</v>
      </c>
      <c r="I260" s="27">
        <v>-2211.75</v>
      </c>
      <c r="K260" s="3">
        <v>45878</v>
      </c>
      <c r="L260" s="3">
        <v>45991</v>
      </c>
      <c r="M260" t="s">
        <v>912</v>
      </c>
      <c r="N260" s="2">
        <v>45901</v>
      </c>
      <c r="O260">
        <v>59294918</v>
      </c>
      <c r="P260">
        <v>1</v>
      </c>
      <c r="Q260" s="3">
        <v>45930</v>
      </c>
      <c r="R260">
        <v>210</v>
      </c>
      <c r="S260" s="85">
        <v>1.55E+16</v>
      </c>
      <c r="T260" t="s">
        <v>913</v>
      </c>
      <c r="U260">
        <v>2211.75</v>
      </c>
      <c r="W260" s="79">
        <f t="shared" si="17"/>
        <v>-2.0002260653328812E-2</v>
      </c>
      <c r="X260">
        <f>VLOOKUP(D260,'[3]Customer TDS'!D:I,6,0)</f>
        <v>44.24</v>
      </c>
      <c r="Y260" s="27">
        <f t="shared" ref="Y260:Y323" si="18">I260+X260</f>
        <v>-2167.5100000000002</v>
      </c>
      <c r="Z260" t="s">
        <v>915</v>
      </c>
      <c r="AA260">
        <f>VLOOKUP(D260,'Ascendus DATA'!$F:$J,5,0)</f>
        <v>2150.02</v>
      </c>
      <c r="AB260" s="27">
        <f t="shared" si="16"/>
        <v>-61.730000000000018</v>
      </c>
    </row>
    <row r="261" spans="1:28" hidden="1" x14ac:dyDescent="0.35">
      <c r="A261" t="s">
        <v>910</v>
      </c>
      <c r="B261" t="s">
        <v>910</v>
      </c>
      <c r="C261" t="s">
        <v>438</v>
      </c>
      <c r="D261" s="4">
        <v>256779415345</v>
      </c>
      <c r="E261" s="3">
        <v>45848</v>
      </c>
      <c r="F261" t="s">
        <v>11</v>
      </c>
      <c r="G261">
        <v>-25</v>
      </c>
      <c r="H261">
        <v>25</v>
      </c>
      <c r="I261" s="27">
        <v>-2211.75</v>
      </c>
      <c r="K261" s="3">
        <v>45878</v>
      </c>
      <c r="L261" s="3">
        <v>45991</v>
      </c>
      <c r="M261" t="s">
        <v>912</v>
      </c>
      <c r="N261" s="2">
        <v>45901</v>
      </c>
      <c r="O261">
        <v>59294921</v>
      </c>
      <c r="P261">
        <v>1</v>
      </c>
      <c r="Q261" s="3">
        <v>45930</v>
      </c>
      <c r="R261">
        <v>210</v>
      </c>
      <c r="S261" s="85">
        <v>1.55E+16</v>
      </c>
      <c r="T261" t="s">
        <v>913</v>
      </c>
      <c r="U261">
        <v>2211.75</v>
      </c>
      <c r="W261" s="79">
        <f t="shared" si="17"/>
        <v>-2.0002260653328812E-2</v>
      </c>
      <c r="X261">
        <f>VLOOKUP(D261,'[3]Customer TDS'!D:I,6,0)</f>
        <v>44.24</v>
      </c>
      <c r="Y261" s="27">
        <f t="shared" si="18"/>
        <v>-2167.5100000000002</v>
      </c>
      <c r="Z261" t="s">
        <v>915</v>
      </c>
      <c r="AA261">
        <f>VLOOKUP(D261,'Ascendus DATA'!$F:$J,5,0)</f>
        <v>2150.02</v>
      </c>
      <c r="AB261" s="27">
        <f t="shared" si="16"/>
        <v>-61.730000000000018</v>
      </c>
    </row>
    <row r="262" spans="1:28" hidden="1" x14ac:dyDescent="0.35">
      <c r="A262" t="s">
        <v>910</v>
      </c>
      <c r="B262" t="s">
        <v>910</v>
      </c>
      <c r="C262" t="s">
        <v>438</v>
      </c>
      <c r="D262" s="4">
        <v>256779415388</v>
      </c>
      <c r="E262" s="3">
        <v>45848</v>
      </c>
      <c r="F262" t="s">
        <v>11</v>
      </c>
      <c r="G262" s="27">
        <v>-2261.63</v>
      </c>
      <c r="H262" s="27">
        <v>2261.63</v>
      </c>
      <c r="I262" s="27">
        <v>-200086.41</v>
      </c>
      <c r="K262" s="3">
        <v>45878</v>
      </c>
      <c r="L262" s="3">
        <v>45991</v>
      </c>
      <c r="M262" t="s">
        <v>912</v>
      </c>
      <c r="N262" s="2">
        <v>45901</v>
      </c>
      <c r="O262">
        <v>59294922</v>
      </c>
      <c r="P262">
        <v>1</v>
      </c>
      <c r="Q262" s="3">
        <v>45930</v>
      </c>
      <c r="R262">
        <v>210</v>
      </c>
      <c r="S262" s="85">
        <v>1.55E+16</v>
      </c>
      <c r="T262" t="s">
        <v>913</v>
      </c>
      <c r="U262">
        <v>200086.41</v>
      </c>
      <c r="W262" s="79">
        <f t="shared" si="17"/>
        <v>-1.9998859492756153E-2</v>
      </c>
      <c r="X262">
        <f>VLOOKUP(D262,'[3]Customer TDS'!D:I,6,0)</f>
        <v>4001.5</v>
      </c>
      <c r="Y262" s="27">
        <f t="shared" si="18"/>
        <v>-196084.91</v>
      </c>
      <c r="Z262" t="s">
        <v>915</v>
      </c>
      <c r="AA262">
        <f>VLOOKUP(D262,'Ascendus DATA'!$F:$J,5,0)</f>
        <v>194501.7</v>
      </c>
      <c r="AB262" s="27">
        <f t="shared" si="16"/>
        <v>-5584.7099999999919</v>
      </c>
    </row>
    <row r="263" spans="1:28" hidden="1" x14ac:dyDescent="0.35">
      <c r="A263" t="s">
        <v>910</v>
      </c>
      <c r="B263" t="s">
        <v>910</v>
      </c>
      <c r="C263" t="s">
        <v>438</v>
      </c>
      <c r="D263" s="4">
        <v>256779415310</v>
      </c>
      <c r="E263" s="3">
        <v>45848</v>
      </c>
      <c r="F263" t="s">
        <v>11</v>
      </c>
      <c r="G263">
        <v>-30</v>
      </c>
      <c r="H263">
        <v>30</v>
      </c>
      <c r="I263" s="27">
        <v>-2654.1</v>
      </c>
      <c r="K263" s="3">
        <v>45878</v>
      </c>
      <c r="L263" s="3">
        <v>45991</v>
      </c>
      <c r="M263" t="s">
        <v>912</v>
      </c>
      <c r="N263" s="2">
        <v>45901</v>
      </c>
      <c r="O263">
        <v>59294926</v>
      </c>
      <c r="P263">
        <v>1</v>
      </c>
      <c r="Q263" s="3">
        <v>45930</v>
      </c>
      <c r="R263">
        <v>210</v>
      </c>
      <c r="S263" s="85">
        <v>1.55E+16</v>
      </c>
      <c r="T263" t="s">
        <v>913</v>
      </c>
      <c r="U263">
        <v>2654.1</v>
      </c>
      <c r="W263" s="79">
        <f t="shared" si="17"/>
        <v>-1.9999246448890395E-2</v>
      </c>
      <c r="X263">
        <f>VLOOKUP(D263,'[3]Customer TDS'!D:I,6,0)</f>
        <v>53.08</v>
      </c>
      <c r="Y263" s="27">
        <f t="shared" si="18"/>
        <v>-2601.02</v>
      </c>
      <c r="Z263" t="s">
        <v>915</v>
      </c>
      <c r="AA263">
        <f>VLOOKUP(D263,'Ascendus DATA'!$F:$J,5,0)</f>
        <v>2580.02</v>
      </c>
      <c r="AB263" s="27">
        <f t="shared" si="16"/>
        <v>-74.079999999999927</v>
      </c>
    </row>
    <row r="264" spans="1:28" hidden="1" x14ac:dyDescent="0.35">
      <c r="A264" t="s">
        <v>910</v>
      </c>
      <c r="B264" t="s">
        <v>910</v>
      </c>
      <c r="C264" t="s">
        <v>438</v>
      </c>
      <c r="D264" s="4">
        <v>256779415379</v>
      </c>
      <c r="E264" s="3">
        <v>45848</v>
      </c>
      <c r="F264" t="s">
        <v>11</v>
      </c>
      <c r="G264">
        <v>-233.11</v>
      </c>
      <c r="H264">
        <v>233.11</v>
      </c>
      <c r="I264" s="27">
        <v>-20623.240000000002</v>
      </c>
      <c r="K264" s="3">
        <v>45878</v>
      </c>
      <c r="L264" s="3">
        <v>45991</v>
      </c>
      <c r="M264" t="s">
        <v>912</v>
      </c>
      <c r="N264" s="2">
        <v>45901</v>
      </c>
      <c r="O264">
        <v>59294928</v>
      </c>
      <c r="P264">
        <v>1</v>
      </c>
      <c r="Q264" s="3">
        <v>45930</v>
      </c>
      <c r="R264">
        <v>210</v>
      </c>
      <c r="S264" s="85">
        <v>1.55E+16</v>
      </c>
      <c r="T264" t="s">
        <v>913</v>
      </c>
      <c r="U264">
        <v>20623.240000000002</v>
      </c>
      <c r="W264" s="79">
        <f t="shared" si="17"/>
        <v>-1.9990554345485963E-2</v>
      </c>
      <c r="X264">
        <f>VLOOKUP(D264,'[3]Customer TDS'!D:I,6,0)</f>
        <v>412.27</v>
      </c>
      <c r="Y264" s="27">
        <f t="shared" si="18"/>
        <v>-20210.97</v>
      </c>
      <c r="Z264" t="s">
        <v>915</v>
      </c>
      <c r="AA264">
        <f>VLOOKUP(D264,'Ascendus DATA'!$F:$J,5,0)</f>
        <v>20047.62</v>
      </c>
      <c r="AB264" s="27">
        <f t="shared" si="16"/>
        <v>-575.62000000000262</v>
      </c>
    </row>
    <row r="265" spans="1:28" hidden="1" x14ac:dyDescent="0.35">
      <c r="A265" t="s">
        <v>910</v>
      </c>
      <c r="B265" t="s">
        <v>910</v>
      </c>
      <c r="C265" t="s">
        <v>438</v>
      </c>
      <c r="D265" s="4">
        <v>256779415384</v>
      </c>
      <c r="E265" s="3">
        <v>45848</v>
      </c>
      <c r="F265" t="s">
        <v>11</v>
      </c>
      <c r="G265">
        <v>-350</v>
      </c>
      <c r="H265">
        <v>350</v>
      </c>
      <c r="I265" s="27">
        <v>-30964.5</v>
      </c>
      <c r="K265" s="3">
        <v>45878</v>
      </c>
      <c r="L265" s="3">
        <v>45991</v>
      </c>
      <c r="M265" t="s">
        <v>912</v>
      </c>
      <c r="N265" s="2">
        <v>45901</v>
      </c>
      <c r="O265">
        <v>59294931</v>
      </c>
      <c r="P265">
        <v>1</v>
      </c>
      <c r="Q265" s="3">
        <v>45930</v>
      </c>
      <c r="R265">
        <v>210</v>
      </c>
      <c r="S265" s="85">
        <v>1.55E+16</v>
      </c>
      <c r="T265" t="s">
        <v>913</v>
      </c>
      <c r="U265">
        <v>30964.5</v>
      </c>
      <c r="W265" s="79">
        <f t="shared" si="17"/>
        <v>-0.02</v>
      </c>
      <c r="X265">
        <f>VLOOKUP(D265,'[3]Customer TDS'!D:I,6,0)</f>
        <v>619.29</v>
      </c>
      <c r="Y265" s="27">
        <f t="shared" si="18"/>
        <v>-30345.21</v>
      </c>
      <c r="Z265" t="s">
        <v>915</v>
      </c>
      <c r="AA265">
        <f>VLOOKUP(D265,'Ascendus DATA'!$F:$J,5,0)</f>
        <v>30100.23</v>
      </c>
      <c r="AB265" s="27">
        <f t="shared" si="16"/>
        <v>-864.27000000000044</v>
      </c>
    </row>
    <row r="266" spans="1:28" hidden="1" x14ac:dyDescent="0.35">
      <c r="A266" t="s">
        <v>910</v>
      </c>
      <c r="B266" t="s">
        <v>910</v>
      </c>
      <c r="C266" t="s">
        <v>438</v>
      </c>
      <c r="D266" s="4">
        <v>256779415339</v>
      </c>
      <c r="E266" s="3">
        <v>45848</v>
      </c>
      <c r="F266" t="s">
        <v>11</v>
      </c>
      <c r="G266">
        <v>-27.39</v>
      </c>
      <c r="H266">
        <v>0.55000000000000004</v>
      </c>
      <c r="I266" s="27">
        <v>-2423.19</v>
      </c>
      <c r="K266" s="3">
        <v>45878</v>
      </c>
      <c r="L266" s="3">
        <v>46053</v>
      </c>
      <c r="M266" t="s">
        <v>912</v>
      </c>
      <c r="N266" s="2">
        <v>45901</v>
      </c>
      <c r="O266">
        <v>59294933</v>
      </c>
      <c r="P266">
        <v>1</v>
      </c>
      <c r="Q266" s="3">
        <v>45930</v>
      </c>
      <c r="R266">
        <v>210</v>
      </c>
      <c r="S266" s="85">
        <v>1.55E+16</v>
      </c>
      <c r="T266" t="s">
        <v>913</v>
      </c>
      <c r="U266">
        <v>-36.18</v>
      </c>
      <c r="W266" s="79">
        <f t="shared" si="17"/>
        <v>-2.0080967650081091E-2</v>
      </c>
      <c r="X266">
        <f>VLOOKUP(D266,'[3]Customer TDS'!D:I,6,0)</f>
        <v>48.66</v>
      </c>
      <c r="Y266" s="27">
        <f t="shared" si="18"/>
        <v>-2374.5300000000002</v>
      </c>
      <c r="Z266" t="s">
        <v>915</v>
      </c>
      <c r="AA266">
        <f>VLOOKUP(D266,'Ascendus DATA'!$F:$J,5,0)</f>
        <v>2355.56</v>
      </c>
      <c r="AB266" s="27">
        <f t="shared" si="16"/>
        <v>-67.630000000000109</v>
      </c>
    </row>
    <row r="267" spans="1:28" hidden="1" x14ac:dyDescent="0.35">
      <c r="A267" t="s">
        <v>910</v>
      </c>
      <c r="B267" t="s">
        <v>910</v>
      </c>
      <c r="C267" t="s">
        <v>438</v>
      </c>
      <c r="D267" s="4">
        <v>256779411467</v>
      </c>
      <c r="E267" s="3">
        <v>45762</v>
      </c>
      <c r="F267" t="s">
        <v>11</v>
      </c>
      <c r="G267">
        <v>-35.4</v>
      </c>
      <c r="H267">
        <v>0.71</v>
      </c>
      <c r="I267" s="27">
        <v>-3034.73</v>
      </c>
      <c r="K267" s="3">
        <v>45792</v>
      </c>
      <c r="L267" s="3">
        <v>46053</v>
      </c>
      <c r="M267" t="s">
        <v>912</v>
      </c>
      <c r="N267" s="2">
        <v>45901</v>
      </c>
      <c r="O267">
        <v>59294935</v>
      </c>
      <c r="P267">
        <v>1</v>
      </c>
      <c r="Q267" s="3">
        <v>45930</v>
      </c>
      <c r="R267">
        <v>210</v>
      </c>
      <c r="S267" s="85">
        <v>1.55E+16</v>
      </c>
      <c r="T267" t="s">
        <v>913</v>
      </c>
      <c r="U267">
        <v>-143.94</v>
      </c>
      <c r="W267" s="79">
        <f t="shared" si="17"/>
        <v>-2.0057797563539426E-2</v>
      </c>
      <c r="X267">
        <f>VLOOKUP(D267,'[3]Customer TDS'!D:I,6,0)</f>
        <v>60.87</v>
      </c>
      <c r="Y267" s="27">
        <f t="shared" si="18"/>
        <v>-2973.86</v>
      </c>
      <c r="Z267" t="s">
        <v>915</v>
      </c>
      <c r="AA267">
        <f>VLOOKUP(D267,'Ascendus DATA'!$F:$J,5,0)</f>
        <v>3077.03</v>
      </c>
      <c r="AB267" s="27">
        <f t="shared" si="16"/>
        <v>42.300000000000182</v>
      </c>
    </row>
    <row r="268" spans="1:28" hidden="1" x14ac:dyDescent="0.35">
      <c r="A268" t="s">
        <v>910</v>
      </c>
      <c r="B268" t="s">
        <v>910</v>
      </c>
      <c r="C268" t="s">
        <v>438</v>
      </c>
      <c r="D268" s="4">
        <v>256779415393</v>
      </c>
      <c r="E268" s="3">
        <v>45848</v>
      </c>
      <c r="F268" t="s">
        <v>11</v>
      </c>
      <c r="G268">
        <v>-60</v>
      </c>
      <c r="H268">
        <v>60</v>
      </c>
      <c r="I268" s="27">
        <v>-5308.2</v>
      </c>
      <c r="K268" s="3">
        <v>45878</v>
      </c>
      <c r="L268" s="3">
        <v>45991</v>
      </c>
      <c r="M268" t="s">
        <v>912</v>
      </c>
      <c r="N268" s="2">
        <v>45901</v>
      </c>
      <c r="O268">
        <v>59294938</v>
      </c>
      <c r="P268">
        <v>1</v>
      </c>
      <c r="Q268" s="3">
        <v>45930</v>
      </c>
      <c r="R268">
        <v>210</v>
      </c>
      <c r="S268" s="85">
        <v>1.55E+16</v>
      </c>
      <c r="T268" t="s">
        <v>913</v>
      </c>
      <c r="U268">
        <v>5308.2</v>
      </c>
      <c r="W268" s="79">
        <f t="shared" si="17"/>
        <v>-1.9999246448890395E-2</v>
      </c>
      <c r="X268">
        <f>VLOOKUP(D268,'[3]Customer TDS'!D:I,6,0)</f>
        <v>106.16</v>
      </c>
      <c r="Y268" s="27">
        <f t="shared" si="18"/>
        <v>-5202.04</v>
      </c>
      <c r="Z268" t="s">
        <v>915</v>
      </c>
      <c r="AA268">
        <f>VLOOKUP(D268,'Ascendus DATA'!$F:$J,5,0)</f>
        <v>5160.04</v>
      </c>
      <c r="AB268" s="27">
        <f t="shared" si="16"/>
        <v>-148.15999999999985</v>
      </c>
    </row>
    <row r="269" spans="1:28" hidden="1" x14ac:dyDescent="0.35">
      <c r="A269" t="s">
        <v>910</v>
      </c>
      <c r="B269" t="s">
        <v>910</v>
      </c>
      <c r="C269" t="s">
        <v>438</v>
      </c>
      <c r="D269" s="4">
        <v>256779415357</v>
      </c>
      <c r="E269" s="3">
        <v>45848</v>
      </c>
      <c r="F269" t="s">
        <v>11</v>
      </c>
      <c r="G269">
        <v>-207.27</v>
      </c>
      <c r="H269">
        <v>207.27</v>
      </c>
      <c r="I269" s="27">
        <v>-18337.18</v>
      </c>
      <c r="K269" s="3">
        <v>45878</v>
      </c>
      <c r="L269" s="3">
        <v>45991</v>
      </c>
      <c r="M269" t="s">
        <v>912</v>
      </c>
      <c r="N269" s="2">
        <v>45901</v>
      </c>
      <c r="O269">
        <v>59294939</v>
      </c>
      <c r="P269">
        <v>1</v>
      </c>
      <c r="Q269" s="3">
        <v>45930</v>
      </c>
      <c r="R269">
        <v>210</v>
      </c>
      <c r="S269" s="85">
        <v>1.55E+16</v>
      </c>
      <c r="T269" t="s">
        <v>913</v>
      </c>
      <c r="U269">
        <v>18337.18</v>
      </c>
      <c r="W269" s="79">
        <f t="shared" si="17"/>
        <v>-2.0022162622606091E-2</v>
      </c>
      <c r="X269">
        <f>VLOOKUP(D269,'[3]Customer TDS'!D:I,6,0)</f>
        <v>367.15</v>
      </c>
      <c r="Y269" s="27">
        <f t="shared" si="18"/>
        <v>-17970.03</v>
      </c>
      <c r="Z269" t="s">
        <v>915</v>
      </c>
      <c r="AA269">
        <f>VLOOKUP(D269,'Ascendus DATA'!$F:$J,5,0)</f>
        <v>17825.36</v>
      </c>
      <c r="AB269" s="27">
        <f t="shared" si="16"/>
        <v>-511.81999999999971</v>
      </c>
    </row>
    <row r="270" spans="1:28" hidden="1" x14ac:dyDescent="0.35">
      <c r="A270" t="s">
        <v>910</v>
      </c>
      <c r="B270" t="s">
        <v>910</v>
      </c>
      <c r="C270" t="s">
        <v>438</v>
      </c>
      <c r="D270" s="4">
        <v>246779413747</v>
      </c>
      <c r="E270" s="3">
        <v>45736</v>
      </c>
      <c r="F270" t="s">
        <v>11</v>
      </c>
      <c r="G270">
        <v>-2.74</v>
      </c>
      <c r="H270">
        <v>2.74</v>
      </c>
      <c r="I270">
        <v>-238.5</v>
      </c>
      <c r="K270" s="3">
        <v>45766</v>
      </c>
      <c r="L270" s="3">
        <v>45991</v>
      </c>
      <c r="M270" t="s">
        <v>912</v>
      </c>
      <c r="N270" s="2">
        <v>45901</v>
      </c>
      <c r="O270">
        <v>59294940</v>
      </c>
      <c r="P270">
        <v>1</v>
      </c>
      <c r="Q270" s="3">
        <v>45930</v>
      </c>
      <c r="R270">
        <v>210</v>
      </c>
      <c r="S270" s="85">
        <v>1.55E+16</v>
      </c>
      <c r="T270" t="s">
        <v>913</v>
      </c>
      <c r="U270">
        <v>238.5</v>
      </c>
      <c r="W270" s="79">
        <f t="shared" si="17"/>
        <v>-1.8238993710691823E-2</v>
      </c>
      <c r="X270">
        <f>VLOOKUP(D270,'[3]Customer TDS'!D:I,6,0)</f>
        <v>4.3499999999999996</v>
      </c>
      <c r="Y270" s="27">
        <f t="shared" si="18"/>
        <v>-234.15</v>
      </c>
      <c r="Z270" t="s">
        <v>915</v>
      </c>
      <c r="AA270">
        <f>VLOOKUP(D270,'Ascendus DATA'!$F:$J,5,0)</f>
        <v>237.53</v>
      </c>
      <c r="AB270" s="27">
        <f t="shared" si="16"/>
        <v>-0.96999999999999886</v>
      </c>
    </row>
    <row r="271" spans="1:28" hidden="1" x14ac:dyDescent="0.35">
      <c r="A271" t="s">
        <v>910</v>
      </c>
      <c r="B271" t="s">
        <v>910</v>
      </c>
      <c r="C271" t="s">
        <v>438</v>
      </c>
      <c r="D271" s="4">
        <v>256779415300</v>
      </c>
      <c r="E271" s="3">
        <v>45848</v>
      </c>
      <c r="F271" t="s">
        <v>11</v>
      </c>
      <c r="G271">
        <v>-24</v>
      </c>
      <c r="H271">
        <v>24</v>
      </c>
      <c r="I271" s="27">
        <v>-2123.2800000000002</v>
      </c>
      <c r="K271" s="3">
        <v>45878</v>
      </c>
      <c r="L271" s="3">
        <v>45991</v>
      </c>
      <c r="M271" t="s">
        <v>912</v>
      </c>
      <c r="N271" s="2">
        <v>45901</v>
      </c>
      <c r="O271">
        <v>59294941</v>
      </c>
      <c r="P271">
        <v>1</v>
      </c>
      <c r="Q271" s="3">
        <v>45930</v>
      </c>
      <c r="R271">
        <v>210</v>
      </c>
      <c r="S271" s="85">
        <v>1.55E+16</v>
      </c>
      <c r="T271" t="s">
        <v>913</v>
      </c>
      <c r="U271">
        <v>2123.2800000000002</v>
      </c>
      <c r="W271" s="79">
        <f t="shared" si="17"/>
        <v>-2.000207226555141E-2</v>
      </c>
      <c r="X271">
        <f>VLOOKUP(D271,'[3]Customer TDS'!D:I,6,0)</f>
        <v>42.47</v>
      </c>
      <c r="Y271" s="27">
        <f t="shared" si="18"/>
        <v>-2080.8100000000004</v>
      </c>
      <c r="Z271" t="s">
        <v>915</v>
      </c>
      <c r="AA271">
        <f>VLOOKUP(D271,'Ascendus DATA'!$F:$J,5,0)</f>
        <v>2064.02</v>
      </c>
      <c r="AB271" s="27">
        <f t="shared" si="16"/>
        <v>-59.260000000000218</v>
      </c>
    </row>
    <row r="272" spans="1:28" hidden="1" x14ac:dyDescent="0.35">
      <c r="A272" t="s">
        <v>910</v>
      </c>
      <c r="B272" t="s">
        <v>910</v>
      </c>
      <c r="C272" t="s">
        <v>438</v>
      </c>
      <c r="D272" s="4">
        <v>256779415375</v>
      </c>
      <c r="E272" s="3">
        <v>45848</v>
      </c>
      <c r="F272" t="s">
        <v>11</v>
      </c>
      <c r="G272">
        <v>-360</v>
      </c>
      <c r="H272">
        <v>360</v>
      </c>
      <c r="I272" s="27">
        <v>-31849.200000000001</v>
      </c>
      <c r="K272" s="3">
        <v>45878</v>
      </c>
      <c r="L272" s="3">
        <v>45991</v>
      </c>
      <c r="M272" t="s">
        <v>912</v>
      </c>
      <c r="N272" s="2">
        <v>45901</v>
      </c>
      <c r="O272">
        <v>59294943</v>
      </c>
      <c r="P272">
        <v>1</v>
      </c>
      <c r="Q272" s="3">
        <v>45930</v>
      </c>
      <c r="R272">
        <v>210</v>
      </c>
      <c r="S272" s="85">
        <v>1.55E+16</v>
      </c>
      <c r="T272" t="s">
        <v>913</v>
      </c>
      <c r="U272">
        <v>31849.200000000001</v>
      </c>
      <c r="W272" s="79">
        <f t="shared" si="17"/>
        <v>-1.9999874408148398E-2</v>
      </c>
      <c r="X272">
        <f>VLOOKUP(D272,'[3]Customer TDS'!D:I,6,0)</f>
        <v>636.98</v>
      </c>
      <c r="Y272" s="27">
        <f t="shared" si="18"/>
        <v>-31212.22</v>
      </c>
      <c r="Z272" t="s">
        <v>915</v>
      </c>
      <c r="AA272">
        <f>VLOOKUP(D272,'Ascendus DATA'!$F:$J,5,0)</f>
        <v>30960.240000000002</v>
      </c>
      <c r="AB272" s="27">
        <f t="shared" si="16"/>
        <v>-888.95999999999913</v>
      </c>
    </row>
    <row r="273" spans="1:28" hidden="1" x14ac:dyDescent="0.35">
      <c r="A273" t="s">
        <v>910</v>
      </c>
      <c r="B273" t="s">
        <v>910</v>
      </c>
      <c r="C273" t="s">
        <v>438</v>
      </c>
      <c r="D273" s="4">
        <v>256779413391</v>
      </c>
      <c r="E273" s="3">
        <v>45798</v>
      </c>
      <c r="F273" t="s">
        <v>11</v>
      </c>
      <c r="G273">
        <v>-253.29</v>
      </c>
      <c r="H273">
        <v>253.29</v>
      </c>
      <c r="I273" s="27">
        <v>-21624.5</v>
      </c>
      <c r="K273" s="3">
        <v>45828</v>
      </c>
      <c r="L273" s="3">
        <v>45991</v>
      </c>
      <c r="M273" t="s">
        <v>912</v>
      </c>
      <c r="N273" s="2">
        <v>45901</v>
      </c>
      <c r="O273">
        <v>59294944</v>
      </c>
      <c r="P273">
        <v>1</v>
      </c>
      <c r="Q273" s="3">
        <v>45930</v>
      </c>
      <c r="R273">
        <v>210</v>
      </c>
      <c r="S273" s="85">
        <v>1.55E+16</v>
      </c>
      <c r="T273" t="s">
        <v>913</v>
      </c>
      <c r="U273">
        <v>21624.5</v>
      </c>
      <c r="W273" s="79">
        <f t="shared" si="17"/>
        <v>-2.0016647783763789E-2</v>
      </c>
      <c r="X273">
        <f>VLOOKUP(D273,'[3]Customer TDS'!D:I,6,0)</f>
        <v>432.85</v>
      </c>
      <c r="Y273" s="27">
        <f t="shared" si="18"/>
        <v>-21191.65</v>
      </c>
      <c r="Z273" t="s">
        <v>915</v>
      </c>
      <c r="AA273">
        <f>VLOOKUP(D273,'Ascendus DATA'!$F:$J,5,0)</f>
        <v>21778.81</v>
      </c>
      <c r="AB273" s="27">
        <f t="shared" si="16"/>
        <v>154.31000000000131</v>
      </c>
    </row>
    <row r="274" spans="1:28" hidden="1" x14ac:dyDescent="0.35">
      <c r="A274" t="s">
        <v>910</v>
      </c>
      <c r="B274" t="s">
        <v>910</v>
      </c>
      <c r="C274" t="s">
        <v>438</v>
      </c>
      <c r="D274" s="4">
        <v>256779415349</v>
      </c>
      <c r="E274" s="3">
        <v>45848</v>
      </c>
      <c r="F274" t="s">
        <v>11</v>
      </c>
      <c r="G274">
        <v>-27.5</v>
      </c>
      <c r="H274">
        <v>27.5</v>
      </c>
      <c r="I274" s="27">
        <v>-2432.9299999999998</v>
      </c>
      <c r="K274" s="3">
        <v>45878</v>
      </c>
      <c r="L274" s="3">
        <v>45991</v>
      </c>
      <c r="M274" t="s">
        <v>912</v>
      </c>
      <c r="N274" s="2">
        <v>45901</v>
      </c>
      <c r="O274">
        <v>59294945</v>
      </c>
      <c r="P274">
        <v>1</v>
      </c>
      <c r="Q274" s="3">
        <v>45930</v>
      </c>
      <c r="R274">
        <v>210</v>
      </c>
      <c r="S274" s="85">
        <v>1.55E+16</v>
      </c>
      <c r="T274" t="s">
        <v>913</v>
      </c>
      <c r="U274">
        <v>2432.9299999999998</v>
      </c>
      <c r="W274" s="79">
        <f t="shared" si="17"/>
        <v>-2.0000575437846547E-2</v>
      </c>
      <c r="X274">
        <f>VLOOKUP(D274,'[3]Customer TDS'!D:I,6,0)</f>
        <v>48.66</v>
      </c>
      <c r="Y274" s="27">
        <f t="shared" si="18"/>
        <v>-2384.27</v>
      </c>
      <c r="Z274" t="s">
        <v>915</v>
      </c>
      <c r="AA274">
        <f>VLOOKUP(D274,'Ascendus DATA'!$F:$J,5,0)</f>
        <v>2365.02</v>
      </c>
      <c r="AB274" s="27">
        <f t="shared" si="16"/>
        <v>-67.909999999999854</v>
      </c>
    </row>
    <row r="275" spans="1:28" hidden="1" x14ac:dyDescent="0.35">
      <c r="A275" t="s">
        <v>910</v>
      </c>
      <c r="B275" t="s">
        <v>910</v>
      </c>
      <c r="C275" t="s">
        <v>438</v>
      </c>
      <c r="D275" s="4">
        <v>256779415308</v>
      </c>
      <c r="E275" s="3">
        <v>45848</v>
      </c>
      <c r="F275" t="s">
        <v>11</v>
      </c>
      <c r="G275">
        <v>-30</v>
      </c>
      <c r="H275">
        <v>0.6</v>
      </c>
      <c r="I275" s="27">
        <v>-2654.1</v>
      </c>
      <c r="K275" s="3">
        <v>45878</v>
      </c>
      <c r="L275" s="3">
        <v>46053</v>
      </c>
      <c r="M275" t="s">
        <v>912</v>
      </c>
      <c r="N275" s="2">
        <v>45901</v>
      </c>
      <c r="O275">
        <v>59294946</v>
      </c>
      <c r="P275">
        <v>1</v>
      </c>
      <c r="Q275" s="3">
        <v>45930</v>
      </c>
      <c r="R275">
        <v>210</v>
      </c>
      <c r="S275" s="85">
        <v>1.55E+16</v>
      </c>
      <c r="T275" t="s">
        <v>913</v>
      </c>
      <c r="U275">
        <v>-39.840000000000003</v>
      </c>
      <c r="W275" s="79">
        <f t="shared" si="17"/>
        <v>-1.9999246448890395E-2</v>
      </c>
      <c r="X275">
        <f>VLOOKUP(D275,'[3]Customer TDS'!D:I,6,0)</f>
        <v>53.08</v>
      </c>
      <c r="Y275" s="27">
        <f t="shared" si="18"/>
        <v>-2601.02</v>
      </c>
      <c r="Z275" t="s">
        <v>915</v>
      </c>
      <c r="AA275">
        <f>VLOOKUP(D275,'Ascendus DATA'!$F:$J,5,0)</f>
        <v>2580.02</v>
      </c>
      <c r="AB275" s="27">
        <f t="shared" si="16"/>
        <v>-74.079999999999927</v>
      </c>
    </row>
    <row r="276" spans="1:28" hidden="1" x14ac:dyDescent="0.35">
      <c r="A276" t="s">
        <v>910</v>
      </c>
      <c r="B276" t="s">
        <v>910</v>
      </c>
      <c r="C276" t="s">
        <v>438</v>
      </c>
      <c r="D276" s="4">
        <v>256779413392</v>
      </c>
      <c r="E276" s="3">
        <v>45798</v>
      </c>
      <c r="F276" t="s">
        <v>11</v>
      </c>
      <c r="G276">
        <v>-218.17</v>
      </c>
      <c r="H276">
        <v>218.17</v>
      </c>
      <c r="I276" s="27">
        <v>-18626.150000000001</v>
      </c>
      <c r="K276" s="3">
        <v>45828</v>
      </c>
      <c r="L276" s="3">
        <v>45991</v>
      </c>
      <c r="M276" t="s">
        <v>912</v>
      </c>
      <c r="N276" s="2">
        <v>45901</v>
      </c>
      <c r="O276">
        <v>59294948</v>
      </c>
      <c r="P276">
        <v>1</v>
      </c>
      <c r="Q276" s="3">
        <v>45930</v>
      </c>
      <c r="R276">
        <v>210</v>
      </c>
      <c r="S276" s="85">
        <v>1.55E+16</v>
      </c>
      <c r="T276" t="s">
        <v>913</v>
      </c>
      <c r="U276">
        <v>18626.150000000001</v>
      </c>
      <c r="W276" s="79">
        <f t="shared" si="17"/>
        <v>-1.9984269427659501E-2</v>
      </c>
      <c r="X276">
        <f>VLOOKUP(D276,'[3]Customer TDS'!D:I,6,0)</f>
        <v>372.23</v>
      </c>
      <c r="Y276" s="27">
        <f t="shared" si="18"/>
        <v>-18253.920000000002</v>
      </c>
      <c r="Z276" t="s">
        <v>915</v>
      </c>
      <c r="AA276">
        <f>VLOOKUP(D276,'Ascendus DATA'!$F:$J,5,0)</f>
        <v>18759.060000000001</v>
      </c>
      <c r="AB276" s="27">
        <f t="shared" si="16"/>
        <v>132.90999999999985</v>
      </c>
    </row>
    <row r="277" spans="1:28" hidden="1" x14ac:dyDescent="0.35">
      <c r="A277" t="s">
        <v>910</v>
      </c>
      <c r="B277" t="s">
        <v>910</v>
      </c>
      <c r="C277" t="s">
        <v>438</v>
      </c>
      <c r="D277" s="4">
        <v>256779415360</v>
      </c>
      <c r="E277" s="3">
        <v>45848</v>
      </c>
      <c r="F277" t="s">
        <v>11</v>
      </c>
      <c r="G277">
        <v>-60</v>
      </c>
      <c r="H277">
        <v>60</v>
      </c>
      <c r="I277" s="27">
        <v>-5308.2</v>
      </c>
      <c r="K277" s="3">
        <v>45878</v>
      </c>
      <c r="L277" s="3">
        <v>45991</v>
      </c>
      <c r="M277" t="s">
        <v>912</v>
      </c>
      <c r="N277" s="2">
        <v>45901</v>
      </c>
      <c r="O277">
        <v>59294951</v>
      </c>
      <c r="P277">
        <v>1</v>
      </c>
      <c r="Q277" s="3">
        <v>45930</v>
      </c>
      <c r="R277">
        <v>210</v>
      </c>
      <c r="S277" s="85">
        <v>1.55E+16</v>
      </c>
      <c r="T277" t="s">
        <v>913</v>
      </c>
      <c r="U277">
        <v>5308.2</v>
      </c>
      <c r="W277" s="79">
        <f t="shared" si="17"/>
        <v>-1.9999246448890395E-2</v>
      </c>
      <c r="X277">
        <f>VLOOKUP(D277,'[3]Customer TDS'!D:I,6,0)</f>
        <v>106.16</v>
      </c>
      <c r="Y277" s="27">
        <f t="shared" si="18"/>
        <v>-5202.04</v>
      </c>
      <c r="Z277" t="s">
        <v>915</v>
      </c>
      <c r="AA277">
        <f>VLOOKUP(D277,'Ascendus DATA'!$F:$J,5,0)</f>
        <v>5160.04</v>
      </c>
      <c r="AB277" s="27">
        <f t="shared" si="16"/>
        <v>-148.15999999999985</v>
      </c>
    </row>
    <row r="278" spans="1:28" hidden="1" x14ac:dyDescent="0.35">
      <c r="A278" t="s">
        <v>910</v>
      </c>
      <c r="B278" t="s">
        <v>910</v>
      </c>
      <c r="C278" t="s">
        <v>438</v>
      </c>
      <c r="D278" s="4">
        <v>256779415318</v>
      </c>
      <c r="E278" s="3">
        <v>45848</v>
      </c>
      <c r="F278" t="s">
        <v>11</v>
      </c>
      <c r="G278">
        <v>-254.65</v>
      </c>
      <c r="H278">
        <v>254.65</v>
      </c>
      <c r="I278" s="27">
        <v>-22528.89</v>
      </c>
      <c r="K278" s="3">
        <v>45878</v>
      </c>
      <c r="L278" s="3">
        <v>45991</v>
      </c>
      <c r="M278" t="s">
        <v>912</v>
      </c>
      <c r="N278" s="2">
        <v>45901</v>
      </c>
      <c r="O278">
        <v>59294952</v>
      </c>
      <c r="P278">
        <v>1</v>
      </c>
      <c r="Q278" s="3">
        <v>45930</v>
      </c>
      <c r="R278">
        <v>210</v>
      </c>
      <c r="S278" s="85">
        <v>1.55E+16</v>
      </c>
      <c r="T278" t="s">
        <v>913</v>
      </c>
      <c r="U278">
        <v>22528.89</v>
      </c>
      <c r="W278" s="79">
        <f t="shared" si="17"/>
        <v>-1.9988113040633606E-2</v>
      </c>
      <c r="X278">
        <f>VLOOKUP(D278,'[3]Customer TDS'!D:I,6,0)</f>
        <v>450.31</v>
      </c>
      <c r="Y278" s="27">
        <f t="shared" si="18"/>
        <v>-22078.579999999998</v>
      </c>
      <c r="Z278" t="s">
        <v>915</v>
      </c>
      <c r="AA278">
        <f>VLOOKUP(D278,'Ascendus DATA'!$F:$J,5,0)</f>
        <v>21900.07</v>
      </c>
      <c r="AB278" s="27">
        <f t="shared" si="16"/>
        <v>-628.81999999999971</v>
      </c>
    </row>
    <row r="279" spans="1:28" hidden="1" x14ac:dyDescent="0.35">
      <c r="A279" t="s">
        <v>910</v>
      </c>
      <c r="B279" t="s">
        <v>910</v>
      </c>
      <c r="C279" t="s">
        <v>438</v>
      </c>
      <c r="D279" s="4">
        <v>256779415378</v>
      </c>
      <c r="E279" s="3">
        <v>45848</v>
      </c>
      <c r="F279" t="s">
        <v>11</v>
      </c>
      <c r="G279">
        <v>-120</v>
      </c>
      <c r="H279">
        <v>120</v>
      </c>
      <c r="I279" s="27">
        <v>-10616.4</v>
      </c>
      <c r="K279" s="3">
        <v>45878</v>
      </c>
      <c r="L279" s="3">
        <v>45991</v>
      </c>
      <c r="M279" t="s">
        <v>912</v>
      </c>
      <c r="N279" s="2">
        <v>45901</v>
      </c>
      <c r="O279">
        <v>59294953</v>
      </c>
      <c r="P279">
        <v>1</v>
      </c>
      <c r="Q279" s="3">
        <v>45930</v>
      </c>
      <c r="R279">
        <v>210</v>
      </c>
      <c r="S279" s="85">
        <v>1.55E+16</v>
      </c>
      <c r="T279" t="s">
        <v>913</v>
      </c>
      <c r="U279">
        <v>10616.4</v>
      </c>
      <c r="W279" s="79">
        <f t="shared" si="17"/>
        <v>-2.0000188387777403E-2</v>
      </c>
      <c r="X279">
        <f>VLOOKUP(D279,'[3]Customer TDS'!D:I,6,0)</f>
        <v>212.33</v>
      </c>
      <c r="Y279" s="27">
        <f t="shared" si="18"/>
        <v>-10404.07</v>
      </c>
      <c r="Z279" t="s">
        <v>915</v>
      </c>
      <c r="AA279">
        <f>VLOOKUP(D279,'Ascendus DATA'!$F:$J,5,0)</f>
        <v>10320.08</v>
      </c>
      <c r="AB279" s="27">
        <f t="shared" si="16"/>
        <v>-296.31999999999971</v>
      </c>
    </row>
    <row r="280" spans="1:28" hidden="1" x14ac:dyDescent="0.35">
      <c r="A280" t="s">
        <v>910</v>
      </c>
      <c r="B280" t="s">
        <v>910</v>
      </c>
      <c r="C280" t="s">
        <v>438</v>
      </c>
      <c r="D280" s="4">
        <v>256779415391</v>
      </c>
      <c r="E280" s="3">
        <v>45848</v>
      </c>
      <c r="F280" t="s">
        <v>11</v>
      </c>
      <c r="G280">
        <v>-820.07</v>
      </c>
      <c r="H280">
        <v>820.07</v>
      </c>
      <c r="I280" s="27">
        <v>-72551.59</v>
      </c>
      <c r="K280" s="3">
        <v>45878</v>
      </c>
      <c r="L280" s="3">
        <v>45991</v>
      </c>
      <c r="M280" t="s">
        <v>912</v>
      </c>
      <c r="N280" s="2">
        <v>45901</v>
      </c>
      <c r="O280">
        <v>59294955</v>
      </c>
      <c r="P280">
        <v>1</v>
      </c>
      <c r="Q280" s="3">
        <v>45930</v>
      </c>
      <c r="R280">
        <v>210</v>
      </c>
      <c r="S280" s="85">
        <v>1.55E+16</v>
      </c>
      <c r="T280" t="s">
        <v>913</v>
      </c>
      <c r="U280">
        <v>72551.59</v>
      </c>
      <c r="W280" s="79">
        <f t="shared" si="17"/>
        <v>-1.9998321194614758E-2</v>
      </c>
      <c r="X280">
        <f>VLOOKUP(D280,'[3]Customer TDS'!D:I,6,0)</f>
        <v>1450.91</v>
      </c>
      <c r="Y280" s="27">
        <f t="shared" si="18"/>
        <v>-71100.679999999993</v>
      </c>
      <c r="Z280" t="s">
        <v>915</v>
      </c>
      <c r="AA280">
        <f>VLOOKUP(D280,'Ascendus DATA'!$F:$J,5,0)</f>
        <v>70526.570000000007</v>
      </c>
      <c r="AB280" s="27">
        <f t="shared" si="16"/>
        <v>-2025.0199999999895</v>
      </c>
    </row>
    <row r="281" spans="1:28" hidden="1" x14ac:dyDescent="0.35">
      <c r="A281" t="s">
        <v>910</v>
      </c>
      <c r="B281" t="s">
        <v>910</v>
      </c>
      <c r="C281" t="s">
        <v>438</v>
      </c>
      <c r="D281" s="4">
        <v>256779415334</v>
      </c>
      <c r="E281" s="3">
        <v>45848</v>
      </c>
      <c r="F281" t="s">
        <v>11</v>
      </c>
      <c r="G281">
        <v>-22.5</v>
      </c>
      <c r="H281">
        <v>22.5</v>
      </c>
      <c r="I281" s="27">
        <v>-1990.58</v>
      </c>
      <c r="K281" s="3">
        <v>45878</v>
      </c>
      <c r="L281" s="3">
        <v>45991</v>
      </c>
      <c r="M281" t="s">
        <v>912</v>
      </c>
      <c r="N281" s="2">
        <v>45901</v>
      </c>
      <c r="O281">
        <v>59294956</v>
      </c>
      <c r="P281">
        <v>1</v>
      </c>
      <c r="Q281" s="3">
        <v>45930</v>
      </c>
      <c r="R281">
        <v>210</v>
      </c>
      <c r="S281" s="85">
        <v>1.55E+16</v>
      </c>
      <c r="T281" t="s">
        <v>913</v>
      </c>
      <c r="U281">
        <v>1990.58</v>
      </c>
      <c r="W281" s="79">
        <f t="shared" si="17"/>
        <v>-1.9999196214168735E-2</v>
      </c>
      <c r="X281">
        <f>VLOOKUP(D281,'[3]Customer TDS'!D:I,6,0)</f>
        <v>39.81</v>
      </c>
      <c r="Y281" s="27">
        <f t="shared" si="18"/>
        <v>-1950.77</v>
      </c>
      <c r="Z281" t="s">
        <v>915</v>
      </c>
      <c r="AA281">
        <f>VLOOKUP(D281,'Ascendus DATA'!$F:$J,5,0)</f>
        <v>1935.02</v>
      </c>
      <c r="AB281" s="27">
        <f t="shared" si="16"/>
        <v>-55.559999999999945</v>
      </c>
    </row>
    <row r="282" spans="1:28" hidden="1" x14ac:dyDescent="0.35">
      <c r="A282" t="s">
        <v>910</v>
      </c>
      <c r="B282" t="s">
        <v>910</v>
      </c>
      <c r="C282" t="s">
        <v>438</v>
      </c>
      <c r="D282" s="4">
        <v>256779415371</v>
      </c>
      <c r="E282" s="3">
        <v>45848</v>
      </c>
      <c r="F282" t="s">
        <v>11</v>
      </c>
      <c r="G282">
        <v>-43.32</v>
      </c>
      <c r="H282">
        <v>43.32</v>
      </c>
      <c r="I282" s="27">
        <v>-3832.52</v>
      </c>
      <c r="K282" s="3">
        <v>45878</v>
      </c>
      <c r="L282" s="3">
        <v>45991</v>
      </c>
      <c r="M282" t="s">
        <v>912</v>
      </c>
      <c r="N282" s="2">
        <v>45901</v>
      </c>
      <c r="O282">
        <v>59294960</v>
      </c>
      <c r="P282">
        <v>1</v>
      </c>
      <c r="Q282" s="3">
        <v>45930</v>
      </c>
      <c r="R282">
        <v>210</v>
      </c>
      <c r="S282" s="85">
        <v>1.55E+16</v>
      </c>
      <c r="T282" t="s">
        <v>913</v>
      </c>
      <c r="U282">
        <v>3832.52</v>
      </c>
      <c r="W282" s="79">
        <f t="shared" si="17"/>
        <v>-2.0083391606566959E-2</v>
      </c>
      <c r="X282">
        <f>VLOOKUP(D282,'[3]Customer TDS'!D:I,6,0)</f>
        <v>76.97</v>
      </c>
      <c r="Y282" s="27">
        <f t="shared" si="18"/>
        <v>-3755.55</v>
      </c>
      <c r="Z282" t="s">
        <v>915</v>
      </c>
      <c r="AA282">
        <f>VLOOKUP(D282,'Ascendus DATA'!$F:$J,5,0)</f>
        <v>3725.55</v>
      </c>
      <c r="AB282" s="27">
        <f t="shared" si="16"/>
        <v>-106.9699999999998</v>
      </c>
    </row>
    <row r="283" spans="1:28" hidden="1" x14ac:dyDescent="0.35">
      <c r="A283" t="s">
        <v>910</v>
      </c>
      <c r="B283" t="s">
        <v>910</v>
      </c>
      <c r="C283" t="s">
        <v>438</v>
      </c>
      <c r="D283" s="4">
        <v>256779415305</v>
      </c>
      <c r="E283" s="3">
        <v>45848</v>
      </c>
      <c r="F283" t="s">
        <v>11</v>
      </c>
      <c r="G283">
        <v>-30</v>
      </c>
      <c r="H283">
        <v>0.6</v>
      </c>
      <c r="I283" s="27">
        <v>-2654.1</v>
      </c>
      <c r="K283" s="3">
        <v>45878</v>
      </c>
      <c r="L283" s="3">
        <v>46053</v>
      </c>
      <c r="M283" t="s">
        <v>912</v>
      </c>
      <c r="N283" s="2">
        <v>45901</v>
      </c>
      <c r="O283">
        <v>59294961</v>
      </c>
      <c r="P283">
        <v>1</v>
      </c>
      <c r="Q283" s="3">
        <v>45930</v>
      </c>
      <c r="R283">
        <v>210</v>
      </c>
      <c r="S283" s="85">
        <v>1.55E+16</v>
      </c>
      <c r="T283" t="s">
        <v>913</v>
      </c>
      <c r="U283">
        <v>-39.840000000000003</v>
      </c>
      <c r="W283" s="79">
        <f t="shared" si="17"/>
        <v>-1.9999246448890395E-2</v>
      </c>
      <c r="X283">
        <f>VLOOKUP(D283,'[3]Customer TDS'!D:I,6,0)</f>
        <v>53.08</v>
      </c>
      <c r="Y283" s="27">
        <f t="shared" si="18"/>
        <v>-2601.02</v>
      </c>
      <c r="Z283" t="s">
        <v>915</v>
      </c>
      <c r="AA283">
        <f>VLOOKUP(D283,'Ascendus DATA'!$F:$J,5,0)</f>
        <v>2580.02</v>
      </c>
      <c r="AB283" s="27">
        <f t="shared" si="16"/>
        <v>-74.079999999999927</v>
      </c>
    </row>
    <row r="284" spans="1:28" hidden="1" x14ac:dyDescent="0.35">
      <c r="A284" t="s">
        <v>910</v>
      </c>
      <c r="B284" t="s">
        <v>910</v>
      </c>
      <c r="C284" t="s">
        <v>438</v>
      </c>
      <c r="D284" s="4">
        <v>256779415315</v>
      </c>
      <c r="E284" s="3">
        <v>45848</v>
      </c>
      <c r="F284" t="s">
        <v>11</v>
      </c>
      <c r="G284">
        <v>-120</v>
      </c>
      <c r="H284">
        <v>120</v>
      </c>
      <c r="I284" s="27">
        <v>-10616.4</v>
      </c>
      <c r="K284" s="3">
        <v>45878</v>
      </c>
      <c r="L284" s="3">
        <v>45991</v>
      </c>
      <c r="M284" t="s">
        <v>912</v>
      </c>
      <c r="N284" s="2">
        <v>45901</v>
      </c>
      <c r="O284">
        <v>59294962</v>
      </c>
      <c r="P284">
        <v>1</v>
      </c>
      <c r="Q284" s="3">
        <v>45930</v>
      </c>
      <c r="R284">
        <v>210</v>
      </c>
      <c r="S284" s="85">
        <v>1.55E+16</v>
      </c>
      <c r="T284" t="s">
        <v>913</v>
      </c>
      <c r="U284">
        <v>10616.4</v>
      </c>
      <c r="W284" s="79">
        <f t="shared" si="17"/>
        <v>-2.0000188387777403E-2</v>
      </c>
      <c r="X284">
        <f>VLOOKUP(D284,'[3]Customer TDS'!D:I,6,0)</f>
        <v>212.33</v>
      </c>
      <c r="Y284" s="27">
        <f t="shared" si="18"/>
        <v>-10404.07</v>
      </c>
      <c r="Z284" t="s">
        <v>915</v>
      </c>
      <c r="AA284">
        <f>VLOOKUP(D284,'Ascendus DATA'!$F:$J,5,0)</f>
        <v>10320.08</v>
      </c>
      <c r="AB284" s="27">
        <f t="shared" si="16"/>
        <v>-296.31999999999971</v>
      </c>
    </row>
    <row r="285" spans="1:28" hidden="1" x14ac:dyDescent="0.35">
      <c r="A285" t="s">
        <v>910</v>
      </c>
      <c r="B285" t="s">
        <v>910</v>
      </c>
      <c r="C285" t="s">
        <v>438</v>
      </c>
      <c r="D285" s="4">
        <v>256779415356</v>
      </c>
      <c r="E285" s="3">
        <v>45848</v>
      </c>
      <c r="F285" t="s">
        <v>11</v>
      </c>
      <c r="G285">
        <v>-72</v>
      </c>
      <c r="H285">
        <v>72</v>
      </c>
      <c r="I285" s="27">
        <v>-6369.84</v>
      </c>
      <c r="K285" s="3">
        <v>45878</v>
      </c>
      <c r="L285" s="3">
        <v>45991</v>
      </c>
      <c r="M285" t="s">
        <v>912</v>
      </c>
      <c r="N285" s="2">
        <v>45901</v>
      </c>
      <c r="O285">
        <v>59294963</v>
      </c>
      <c r="P285">
        <v>1</v>
      </c>
      <c r="Q285" s="3">
        <v>45930</v>
      </c>
      <c r="R285">
        <v>210</v>
      </c>
      <c r="S285" s="85">
        <v>1.55E+16</v>
      </c>
      <c r="T285" t="s">
        <v>913</v>
      </c>
      <c r="U285">
        <v>6369.84</v>
      </c>
      <c r="W285" s="79">
        <f t="shared" si="17"/>
        <v>-2.0000502367406404E-2</v>
      </c>
      <c r="X285">
        <f>VLOOKUP(D285,'[3]Customer TDS'!D:I,6,0)</f>
        <v>127.4</v>
      </c>
      <c r="Y285" s="27">
        <f t="shared" si="18"/>
        <v>-6242.4400000000005</v>
      </c>
      <c r="Z285" t="s">
        <v>915</v>
      </c>
      <c r="AA285">
        <f>VLOOKUP(D285,'Ascendus DATA'!$F:$J,5,0)</f>
        <v>6192.05</v>
      </c>
      <c r="AB285" s="27">
        <f t="shared" si="16"/>
        <v>-177.78999999999996</v>
      </c>
    </row>
    <row r="286" spans="1:28" hidden="1" x14ac:dyDescent="0.35">
      <c r="A286" t="s">
        <v>910</v>
      </c>
      <c r="B286" t="s">
        <v>910</v>
      </c>
      <c r="C286" t="s">
        <v>438</v>
      </c>
      <c r="D286" s="4">
        <v>256779415383</v>
      </c>
      <c r="E286" s="3">
        <v>45848</v>
      </c>
      <c r="F286" t="s">
        <v>11</v>
      </c>
      <c r="G286">
        <v>-155.80000000000001</v>
      </c>
      <c r="H286">
        <v>155.80000000000001</v>
      </c>
      <c r="I286" s="27">
        <v>-13783.63</v>
      </c>
      <c r="K286" s="3">
        <v>45878</v>
      </c>
      <c r="L286" s="3">
        <v>45991</v>
      </c>
      <c r="M286" t="s">
        <v>912</v>
      </c>
      <c r="N286" s="2">
        <v>45901</v>
      </c>
      <c r="O286">
        <v>59294964</v>
      </c>
      <c r="P286">
        <v>1</v>
      </c>
      <c r="Q286" s="3">
        <v>45930</v>
      </c>
      <c r="R286">
        <v>210</v>
      </c>
      <c r="S286" s="85">
        <v>1.55E+16</v>
      </c>
      <c r="T286" t="s">
        <v>913</v>
      </c>
      <c r="U286">
        <v>13783.63</v>
      </c>
      <c r="W286" s="79">
        <f t="shared" si="17"/>
        <v>-2.0025929308897582E-2</v>
      </c>
      <c r="X286">
        <f>VLOOKUP(D286,'[3]Customer TDS'!D:I,6,0)</f>
        <v>276.02999999999997</v>
      </c>
      <c r="Y286" s="27">
        <f t="shared" si="18"/>
        <v>-13507.599999999999</v>
      </c>
      <c r="Z286" t="s">
        <v>915</v>
      </c>
      <c r="AA286">
        <f>VLOOKUP(D286,'Ascendus DATA'!$F:$J,5,0)</f>
        <v>13398.9</v>
      </c>
      <c r="AB286" s="27">
        <f t="shared" si="16"/>
        <v>-384.72999999999956</v>
      </c>
    </row>
    <row r="287" spans="1:28" hidden="1" x14ac:dyDescent="0.35">
      <c r="A287" t="s">
        <v>910</v>
      </c>
      <c r="B287" t="s">
        <v>910</v>
      </c>
      <c r="C287" t="s">
        <v>438</v>
      </c>
      <c r="D287" s="4">
        <v>256779415372</v>
      </c>
      <c r="E287" s="3">
        <v>45848</v>
      </c>
      <c r="F287" t="s">
        <v>11</v>
      </c>
      <c r="G287">
        <v>-155.38</v>
      </c>
      <c r="H287">
        <v>155.38</v>
      </c>
      <c r="I287" s="27">
        <v>-13746.47</v>
      </c>
      <c r="K287" s="3">
        <v>45878</v>
      </c>
      <c r="L287" s="3">
        <v>45991</v>
      </c>
      <c r="M287" t="s">
        <v>912</v>
      </c>
      <c r="N287" s="2">
        <v>45901</v>
      </c>
      <c r="O287">
        <v>59294965</v>
      </c>
      <c r="P287">
        <v>1</v>
      </c>
      <c r="Q287" s="3">
        <v>45930</v>
      </c>
      <c r="R287">
        <v>210</v>
      </c>
      <c r="S287" s="85">
        <v>1.55E+16</v>
      </c>
      <c r="T287" t="s">
        <v>913</v>
      </c>
      <c r="U287">
        <v>13746.47</v>
      </c>
      <c r="W287" s="79">
        <f t="shared" si="17"/>
        <v>-2.0015320296774372E-2</v>
      </c>
      <c r="X287">
        <f>VLOOKUP(D287,'[3]Customer TDS'!D:I,6,0)</f>
        <v>275.14</v>
      </c>
      <c r="Y287" s="27">
        <f t="shared" si="18"/>
        <v>-13471.33</v>
      </c>
      <c r="Z287" t="s">
        <v>915</v>
      </c>
      <c r="AA287">
        <f>VLOOKUP(D287,'Ascendus DATA'!$F:$J,5,0)</f>
        <v>13362.78</v>
      </c>
      <c r="AB287" s="27">
        <f t="shared" si="16"/>
        <v>-383.68999999999869</v>
      </c>
    </row>
    <row r="288" spans="1:28" hidden="1" x14ac:dyDescent="0.35">
      <c r="A288" t="s">
        <v>910</v>
      </c>
      <c r="B288" t="s">
        <v>910</v>
      </c>
      <c r="C288" t="s">
        <v>438</v>
      </c>
      <c r="D288" s="4">
        <v>256779415361</v>
      </c>
      <c r="E288" s="3">
        <v>45848</v>
      </c>
      <c r="F288" t="s">
        <v>11</v>
      </c>
      <c r="G288">
        <v>-67.5</v>
      </c>
      <c r="H288">
        <v>67.5</v>
      </c>
      <c r="I288" s="27">
        <v>-5971.73</v>
      </c>
      <c r="K288" s="3">
        <v>45878</v>
      </c>
      <c r="L288" s="3">
        <v>45991</v>
      </c>
      <c r="M288" t="s">
        <v>912</v>
      </c>
      <c r="N288" s="2">
        <v>45901</v>
      </c>
      <c r="O288">
        <v>59294967</v>
      </c>
      <c r="P288">
        <v>1</v>
      </c>
      <c r="Q288" s="3">
        <v>45930</v>
      </c>
      <c r="R288">
        <v>210</v>
      </c>
      <c r="S288" s="85">
        <v>1.55E+16</v>
      </c>
      <c r="T288" t="s">
        <v>913</v>
      </c>
      <c r="U288">
        <v>5971.73</v>
      </c>
      <c r="W288" s="79">
        <f t="shared" si="17"/>
        <v>-1.9999229703955138E-2</v>
      </c>
      <c r="X288">
        <f>VLOOKUP(D288,'[3]Customer TDS'!D:I,6,0)</f>
        <v>119.43</v>
      </c>
      <c r="Y288" s="27">
        <f t="shared" si="18"/>
        <v>-5852.2999999999993</v>
      </c>
      <c r="Z288" t="s">
        <v>915</v>
      </c>
      <c r="AA288">
        <f>VLOOKUP(D288,'Ascendus DATA'!$F:$J,5,0)</f>
        <v>5805.05</v>
      </c>
      <c r="AB288" s="27">
        <f t="shared" si="16"/>
        <v>-166.67999999999938</v>
      </c>
    </row>
    <row r="289" spans="1:28" hidden="1" x14ac:dyDescent="0.35">
      <c r="A289" t="s">
        <v>910</v>
      </c>
      <c r="B289" t="s">
        <v>910</v>
      </c>
      <c r="C289" t="s">
        <v>438</v>
      </c>
      <c r="D289" s="4">
        <v>256779415317</v>
      </c>
      <c r="E289" s="3">
        <v>45848</v>
      </c>
      <c r="F289" t="s">
        <v>11</v>
      </c>
      <c r="G289">
        <v>-200</v>
      </c>
      <c r="H289">
        <v>200</v>
      </c>
      <c r="I289" s="27">
        <v>-17694</v>
      </c>
      <c r="K289" s="3">
        <v>45878</v>
      </c>
      <c r="L289" s="3">
        <v>45991</v>
      </c>
      <c r="M289" t="s">
        <v>912</v>
      </c>
      <c r="N289" s="2">
        <v>45901</v>
      </c>
      <c r="O289">
        <v>59294971</v>
      </c>
      <c r="P289">
        <v>1</v>
      </c>
      <c r="Q289" s="3">
        <v>45930</v>
      </c>
      <c r="R289">
        <v>210</v>
      </c>
      <c r="S289" s="85">
        <v>1.55E+16</v>
      </c>
      <c r="T289" t="s">
        <v>913</v>
      </c>
      <c r="U289">
        <v>17694</v>
      </c>
      <c r="W289" s="79">
        <f t="shared" si="17"/>
        <v>-0.02</v>
      </c>
      <c r="X289">
        <f>VLOOKUP(D289,'[3]Customer TDS'!D:I,6,0)</f>
        <v>353.88</v>
      </c>
      <c r="Y289" s="27">
        <f t="shared" si="18"/>
        <v>-17340.12</v>
      </c>
      <c r="Z289" t="s">
        <v>915</v>
      </c>
      <c r="AA289">
        <f>VLOOKUP(D289,'Ascendus DATA'!$F:$J,5,0)</f>
        <v>17200.13</v>
      </c>
      <c r="AB289" s="27">
        <f t="shared" si="16"/>
        <v>-493.86999999999898</v>
      </c>
    </row>
    <row r="290" spans="1:28" hidden="1" x14ac:dyDescent="0.35">
      <c r="A290" t="s">
        <v>910</v>
      </c>
      <c r="B290" t="s">
        <v>910</v>
      </c>
      <c r="C290" t="s">
        <v>438</v>
      </c>
      <c r="D290" s="4">
        <v>256779415394</v>
      </c>
      <c r="E290" s="3">
        <v>45848</v>
      </c>
      <c r="F290" t="s">
        <v>11</v>
      </c>
      <c r="G290">
        <v>-96</v>
      </c>
      <c r="H290">
        <v>96</v>
      </c>
      <c r="I290" s="27">
        <v>-8493.1200000000008</v>
      </c>
      <c r="K290" s="3">
        <v>45878</v>
      </c>
      <c r="L290" s="3">
        <v>45991</v>
      </c>
      <c r="M290" t="s">
        <v>912</v>
      </c>
      <c r="N290" s="2">
        <v>45901</v>
      </c>
      <c r="O290">
        <v>59294972</v>
      </c>
      <c r="P290">
        <v>1</v>
      </c>
      <c r="Q290" s="3">
        <v>45930</v>
      </c>
      <c r="R290">
        <v>210</v>
      </c>
      <c r="S290" s="85">
        <v>1.55E+16</v>
      </c>
      <c r="T290" t="s">
        <v>913</v>
      </c>
      <c r="U290">
        <v>8493.1200000000008</v>
      </c>
      <c r="W290" s="79">
        <f t="shared" si="17"/>
        <v>-1.9999717418333899E-2</v>
      </c>
      <c r="X290">
        <f>VLOOKUP(D290,'[3]Customer TDS'!D:I,6,0)</f>
        <v>169.86</v>
      </c>
      <c r="Y290" s="27">
        <f t="shared" si="18"/>
        <v>-8323.26</v>
      </c>
      <c r="Z290" t="s">
        <v>915</v>
      </c>
      <c r="AA290">
        <f>VLOOKUP(D290,'Ascendus DATA'!$F:$J,5,0)</f>
        <v>8256.06</v>
      </c>
      <c r="AB290" s="27">
        <f t="shared" si="16"/>
        <v>-237.06000000000131</v>
      </c>
    </row>
    <row r="291" spans="1:28" hidden="1" x14ac:dyDescent="0.35">
      <c r="A291" t="s">
        <v>910</v>
      </c>
      <c r="B291" t="s">
        <v>910</v>
      </c>
      <c r="C291" t="s">
        <v>438</v>
      </c>
      <c r="D291" s="4">
        <v>256779415314</v>
      </c>
      <c r="E291" s="3">
        <v>45848</v>
      </c>
      <c r="F291" t="s">
        <v>11</v>
      </c>
      <c r="G291">
        <v>-179.14</v>
      </c>
      <c r="H291">
        <v>179.14</v>
      </c>
      <c r="I291" s="27">
        <v>-15848.52</v>
      </c>
      <c r="K291" s="3">
        <v>45878</v>
      </c>
      <c r="L291" s="3">
        <v>45991</v>
      </c>
      <c r="M291" t="s">
        <v>912</v>
      </c>
      <c r="N291" s="2">
        <v>45901</v>
      </c>
      <c r="O291">
        <v>59294975</v>
      </c>
      <c r="P291">
        <v>1</v>
      </c>
      <c r="Q291" s="3">
        <v>45930</v>
      </c>
      <c r="R291">
        <v>210</v>
      </c>
      <c r="S291" s="85">
        <v>1.55E+16</v>
      </c>
      <c r="T291" t="s">
        <v>913</v>
      </c>
      <c r="U291">
        <v>15848.52</v>
      </c>
      <c r="W291" s="79">
        <f t="shared" si="17"/>
        <v>-1.998420041745223E-2</v>
      </c>
      <c r="X291">
        <f>VLOOKUP(D291,'[3]Customer TDS'!D:I,6,0)</f>
        <v>316.72000000000003</v>
      </c>
      <c r="Y291" s="27">
        <f t="shared" si="18"/>
        <v>-15531.800000000001</v>
      </c>
      <c r="Z291" t="s">
        <v>915</v>
      </c>
      <c r="AA291">
        <f>VLOOKUP(D291,'Ascendus DATA'!$F:$J,5,0)</f>
        <v>15406.16</v>
      </c>
      <c r="AB291" s="27">
        <f t="shared" si="16"/>
        <v>-442.36000000000058</v>
      </c>
    </row>
    <row r="292" spans="1:28" hidden="1" x14ac:dyDescent="0.35">
      <c r="A292" t="s">
        <v>910</v>
      </c>
      <c r="B292" t="s">
        <v>910</v>
      </c>
      <c r="C292" t="s">
        <v>438</v>
      </c>
      <c r="D292" s="4">
        <v>256779415352</v>
      </c>
      <c r="E292" s="3">
        <v>45848</v>
      </c>
      <c r="F292" t="s">
        <v>11</v>
      </c>
      <c r="G292">
        <v>-155.91999999999999</v>
      </c>
      <c r="H292">
        <v>155.91999999999999</v>
      </c>
      <c r="I292" s="27">
        <v>-13794.24</v>
      </c>
      <c r="K292" s="3">
        <v>45878</v>
      </c>
      <c r="L292" s="3">
        <v>45991</v>
      </c>
      <c r="M292" t="s">
        <v>912</v>
      </c>
      <c r="N292" s="2">
        <v>45901</v>
      </c>
      <c r="O292">
        <v>59294977</v>
      </c>
      <c r="P292">
        <v>1</v>
      </c>
      <c r="Q292" s="3">
        <v>45930</v>
      </c>
      <c r="R292">
        <v>210</v>
      </c>
      <c r="S292" s="85">
        <v>1.55E+16</v>
      </c>
      <c r="T292" t="s">
        <v>913</v>
      </c>
      <c r="U292">
        <v>13794.24</v>
      </c>
      <c r="W292" s="79">
        <f t="shared" si="17"/>
        <v>-2.0010526132646669E-2</v>
      </c>
      <c r="X292">
        <f>VLOOKUP(D292,'[3]Customer TDS'!D:I,6,0)</f>
        <v>276.02999999999997</v>
      </c>
      <c r="Y292" s="27">
        <f t="shared" si="18"/>
        <v>-13518.21</v>
      </c>
      <c r="Z292" t="s">
        <v>915</v>
      </c>
      <c r="AA292">
        <f>VLOOKUP(D292,'Ascendus DATA'!$F:$J,5,0)</f>
        <v>13409.22</v>
      </c>
      <c r="AB292" s="27">
        <f t="shared" si="16"/>
        <v>-385.02000000000044</v>
      </c>
    </row>
    <row r="293" spans="1:28" hidden="1" x14ac:dyDescent="0.35">
      <c r="A293" t="s">
        <v>910</v>
      </c>
      <c r="B293" t="s">
        <v>910</v>
      </c>
      <c r="C293" t="s">
        <v>438</v>
      </c>
      <c r="D293" s="4">
        <v>256779415208</v>
      </c>
      <c r="E293" s="3">
        <v>45842</v>
      </c>
      <c r="F293" t="s">
        <v>11</v>
      </c>
      <c r="G293">
        <v>-183.43</v>
      </c>
      <c r="H293">
        <v>183.43</v>
      </c>
      <c r="I293" s="27">
        <v>-16228.05</v>
      </c>
      <c r="K293" s="3">
        <v>45872</v>
      </c>
      <c r="L293" s="3">
        <v>45991</v>
      </c>
      <c r="M293" t="s">
        <v>912</v>
      </c>
      <c r="N293" s="2">
        <v>45901</v>
      </c>
      <c r="O293">
        <v>59294978</v>
      </c>
      <c r="P293">
        <v>1</v>
      </c>
      <c r="Q293" s="3">
        <v>45930</v>
      </c>
      <c r="R293">
        <v>210</v>
      </c>
      <c r="S293" s="85">
        <v>1.55E+16</v>
      </c>
      <c r="T293" t="s">
        <v>913</v>
      </c>
      <c r="U293">
        <v>16228.05</v>
      </c>
      <c r="W293" s="79">
        <f t="shared" si="17"/>
        <v>-2.0007332982089655E-2</v>
      </c>
      <c r="X293">
        <f>VLOOKUP(D293,'[3]Customer TDS'!D:I,6,0)</f>
        <v>324.68</v>
      </c>
      <c r="Y293" s="27">
        <f t="shared" si="18"/>
        <v>-15903.369999999999</v>
      </c>
      <c r="Z293" t="s">
        <v>915</v>
      </c>
      <c r="AA293">
        <f>VLOOKUP(D293,'Ascendus DATA'!$F:$J,5,0)</f>
        <v>15775.1</v>
      </c>
      <c r="AB293" s="27">
        <f t="shared" si="16"/>
        <v>-452.94999999999891</v>
      </c>
    </row>
    <row r="294" spans="1:28" hidden="1" x14ac:dyDescent="0.35">
      <c r="A294" t="s">
        <v>910</v>
      </c>
      <c r="B294" t="s">
        <v>910</v>
      </c>
      <c r="C294" t="s">
        <v>438</v>
      </c>
      <c r="D294" s="4">
        <v>256779415342</v>
      </c>
      <c r="E294" s="3">
        <v>45848</v>
      </c>
      <c r="F294" t="s">
        <v>11</v>
      </c>
      <c r="G294">
        <v>-2.5</v>
      </c>
      <c r="H294">
        <v>2.5</v>
      </c>
      <c r="I294">
        <v>-221.18</v>
      </c>
      <c r="K294" s="3">
        <v>45878</v>
      </c>
      <c r="L294" s="3">
        <v>45991</v>
      </c>
      <c r="M294" t="s">
        <v>912</v>
      </c>
      <c r="N294" s="2">
        <v>45901</v>
      </c>
      <c r="O294">
        <v>59294982</v>
      </c>
      <c r="P294">
        <v>1</v>
      </c>
      <c r="Q294" s="3">
        <v>45930</v>
      </c>
      <c r="R294">
        <v>210</v>
      </c>
      <c r="S294" s="85">
        <v>1.55E+16</v>
      </c>
      <c r="T294" t="s">
        <v>913</v>
      </c>
      <c r="U294">
        <v>221.18</v>
      </c>
      <c r="W294" s="79">
        <f t="shared" si="17"/>
        <v>-1.9983723663984085E-2</v>
      </c>
      <c r="X294">
        <f>VLOOKUP(D294,'[3]Customer TDS'!D:I,6,0)</f>
        <v>4.42</v>
      </c>
      <c r="Y294" s="27">
        <f t="shared" si="18"/>
        <v>-216.76000000000002</v>
      </c>
      <c r="Z294" t="s">
        <v>915</v>
      </c>
      <c r="AA294">
        <f>VLOOKUP(D294,'Ascendus DATA'!$F:$J,5,0)</f>
        <v>215</v>
      </c>
      <c r="AB294" s="27">
        <f t="shared" si="16"/>
        <v>-6.1800000000000068</v>
      </c>
    </row>
    <row r="295" spans="1:28" hidden="1" x14ac:dyDescent="0.35">
      <c r="A295" t="s">
        <v>910</v>
      </c>
      <c r="B295" t="s">
        <v>910</v>
      </c>
      <c r="C295" t="s">
        <v>438</v>
      </c>
      <c r="D295" s="4">
        <v>256779415376</v>
      </c>
      <c r="E295" s="3">
        <v>45848</v>
      </c>
      <c r="F295" t="s">
        <v>11</v>
      </c>
      <c r="G295">
        <v>-60</v>
      </c>
      <c r="H295">
        <v>60</v>
      </c>
      <c r="I295" s="27">
        <v>-5308.2</v>
      </c>
      <c r="K295" s="3">
        <v>45878</v>
      </c>
      <c r="L295" s="3">
        <v>45991</v>
      </c>
      <c r="M295" t="s">
        <v>912</v>
      </c>
      <c r="N295" s="2">
        <v>45901</v>
      </c>
      <c r="O295">
        <v>59294987</v>
      </c>
      <c r="P295">
        <v>1</v>
      </c>
      <c r="Q295" s="3">
        <v>45930</v>
      </c>
      <c r="R295">
        <v>210</v>
      </c>
      <c r="S295" s="85">
        <v>1.55E+16</v>
      </c>
      <c r="T295" t="s">
        <v>913</v>
      </c>
      <c r="U295">
        <v>5308.2</v>
      </c>
      <c r="W295" s="79">
        <f t="shared" si="17"/>
        <v>-1.9999246448890395E-2</v>
      </c>
      <c r="X295">
        <f>VLOOKUP(D295,'[3]Customer TDS'!D:I,6,0)</f>
        <v>106.16</v>
      </c>
      <c r="Y295" s="27">
        <f t="shared" si="18"/>
        <v>-5202.04</v>
      </c>
      <c r="Z295" t="s">
        <v>915</v>
      </c>
      <c r="AA295">
        <f>VLOOKUP(D295,'Ascendus DATA'!$F:$J,5,0)</f>
        <v>5160.04</v>
      </c>
      <c r="AB295" s="27">
        <f t="shared" si="16"/>
        <v>-148.15999999999985</v>
      </c>
    </row>
    <row r="296" spans="1:28" hidden="1" x14ac:dyDescent="0.35">
      <c r="A296" t="s">
        <v>910</v>
      </c>
      <c r="B296" t="s">
        <v>910</v>
      </c>
      <c r="C296" t="s">
        <v>438</v>
      </c>
      <c r="D296" s="4">
        <v>256779415210</v>
      </c>
      <c r="E296" s="3">
        <v>45842</v>
      </c>
      <c r="F296" t="s">
        <v>11</v>
      </c>
      <c r="G296" s="27">
        <v>-9629.6299999999992</v>
      </c>
      <c r="H296" s="27">
        <v>9629.6299999999992</v>
      </c>
      <c r="I296" s="27">
        <v>-851933.37</v>
      </c>
      <c r="K296" s="3">
        <v>45872</v>
      </c>
      <c r="L296" s="3">
        <v>45991</v>
      </c>
      <c r="M296" t="s">
        <v>912</v>
      </c>
      <c r="N296" s="2">
        <v>45901</v>
      </c>
      <c r="O296">
        <v>59294988</v>
      </c>
      <c r="P296">
        <v>1</v>
      </c>
      <c r="Q296" s="3">
        <v>45930</v>
      </c>
      <c r="R296">
        <v>210</v>
      </c>
      <c r="S296" s="85">
        <v>1.55E+16</v>
      </c>
      <c r="T296" t="s">
        <v>913</v>
      </c>
      <c r="U296">
        <v>851933.37</v>
      </c>
      <c r="W296" s="79">
        <f t="shared" si="17"/>
        <v>-1.9999733077717099E-2</v>
      </c>
      <c r="X296">
        <f>VLOOKUP(D296,'[3]Customer TDS'!D:I,6,0)</f>
        <v>17038.439999999999</v>
      </c>
      <c r="Y296" s="27">
        <f t="shared" si="18"/>
        <v>-834894.93</v>
      </c>
      <c r="Z296" t="s">
        <v>915</v>
      </c>
      <c r="AA296">
        <f>VLOOKUP(D296,'Ascendus DATA'!$F:$J,5,0)</f>
        <v>828154.63</v>
      </c>
      <c r="AB296" s="27">
        <f t="shared" si="16"/>
        <v>-23778.739999999991</v>
      </c>
    </row>
    <row r="297" spans="1:28" hidden="1" x14ac:dyDescent="0.35">
      <c r="A297" t="s">
        <v>910</v>
      </c>
      <c r="B297" t="s">
        <v>910</v>
      </c>
      <c r="C297" t="s">
        <v>438</v>
      </c>
      <c r="D297" s="4">
        <v>256779415336</v>
      </c>
      <c r="E297" s="3">
        <v>45848</v>
      </c>
      <c r="F297" t="s">
        <v>11</v>
      </c>
      <c r="G297">
        <v>-5</v>
      </c>
      <c r="H297">
        <v>5</v>
      </c>
      <c r="I297">
        <v>-442.35</v>
      </c>
      <c r="K297" s="3">
        <v>45878</v>
      </c>
      <c r="L297" s="3">
        <v>45991</v>
      </c>
      <c r="M297" t="s">
        <v>912</v>
      </c>
      <c r="N297" s="2">
        <v>45901</v>
      </c>
      <c r="O297">
        <v>59294989</v>
      </c>
      <c r="P297">
        <v>1</v>
      </c>
      <c r="Q297" s="3">
        <v>45930</v>
      </c>
      <c r="R297">
        <v>210</v>
      </c>
      <c r="S297" s="85">
        <v>1.55E+16</v>
      </c>
      <c r="T297" t="s">
        <v>913</v>
      </c>
      <c r="U297">
        <v>442.35</v>
      </c>
      <c r="W297" s="79">
        <f t="shared" si="17"/>
        <v>-2.0006781959986435E-2</v>
      </c>
      <c r="X297">
        <f>VLOOKUP(D297,'[3]Customer TDS'!D:I,6,0)</f>
        <v>8.85</v>
      </c>
      <c r="Y297" s="27">
        <f t="shared" si="18"/>
        <v>-433.5</v>
      </c>
      <c r="Z297" t="s">
        <v>915</v>
      </c>
      <c r="AA297">
        <f>VLOOKUP(D297,'Ascendus DATA'!$F:$J,5,0)</f>
        <v>430</v>
      </c>
      <c r="AB297" s="27">
        <f t="shared" si="16"/>
        <v>-12.350000000000023</v>
      </c>
    </row>
    <row r="298" spans="1:28" hidden="1" x14ac:dyDescent="0.35">
      <c r="A298" t="s">
        <v>910</v>
      </c>
      <c r="B298" t="s">
        <v>910</v>
      </c>
      <c r="C298" t="s">
        <v>438</v>
      </c>
      <c r="D298" s="4">
        <v>256779415382</v>
      </c>
      <c r="E298" s="3">
        <v>45848</v>
      </c>
      <c r="F298" t="s">
        <v>11</v>
      </c>
      <c r="G298">
        <v>-117.64</v>
      </c>
      <c r="H298">
        <v>117.64</v>
      </c>
      <c r="I298" s="27">
        <v>-10407.61</v>
      </c>
      <c r="K298" s="3">
        <v>45878</v>
      </c>
      <c r="L298" s="3">
        <v>45991</v>
      </c>
      <c r="M298" t="s">
        <v>912</v>
      </c>
      <c r="N298" s="2">
        <v>45901</v>
      </c>
      <c r="O298">
        <v>59294993</v>
      </c>
      <c r="P298">
        <v>1</v>
      </c>
      <c r="Q298" s="3">
        <v>45930</v>
      </c>
      <c r="R298">
        <v>210</v>
      </c>
      <c r="S298" s="85">
        <v>1.55E+16</v>
      </c>
      <c r="T298" t="s">
        <v>913</v>
      </c>
      <c r="U298">
        <v>10407.61</v>
      </c>
      <c r="W298" s="79">
        <f t="shared" si="17"/>
        <v>-1.9975767731496473E-2</v>
      </c>
      <c r="X298">
        <f>VLOOKUP(D298,'[3]Customer TDS'!D:I,6,0)</f>
        <v>207.9</v>
      </c>
      <c r="Y298" s="27">
        <f t="shared" si="18"/>
        <v>-10199.710000000001</v>
      </c>
      <c r="Z298" t="s">
        <v>915</v>
      </c>
      <c r="AA298">
        <f>VLOOKUP(D298,'Ascendus DATA'!$F:$J,5,0)</f>
        <v>10117.120000000001</v>
      </c>
      <c r="AB298" s="27">
        <f t="shared" si="16"/>
        <v>-290.48999999999978</v>
      </c>
    </row>
    <row r="299" spans="1:28" hidden="1" x14ac:dyDescent="0.35">
      <c r="A299" t="s">
        <v>910</v>
      </c>
      <c r="B299" t="s">
        <v>910</v>
      </c>
      <c r="C299" t="s">
        <v>438</v>
      </c>
      <c r="D299" s="4">
        <v>256779415295</v>
      </c>
      <c r="E299" s="3">
        <v>45848</v>
      </c>
      <c r="F299" t="s">
        <v>11</v>
      </c>
      <c r="G299">
        <v>-24</v>
      </c>
      <c r="H299">
        <v>24</v>
      </c>
      <c r="I299" s="27">
        <v>-2123.2800000000002</v>
      </c>
      <c r="K299" s="3">
        <v>45878</v>
      </c>
      <c r="L299" s="3">
        <v>45991</v>
      </c>
      <c r="M299" t="s">
        <v>912</v>
      </c>
      <c r="N299" s="2">
        <v>45901</v>
      </c>
      <c r="O299">
        <v>59295000</v>
      </c>
      <c r="P299">
        <v>1</v>
      </c>
      <c r="Q299" s="3">
        <v>45930</v>
      </c>
      <c r="R299">
        <v>210</v>
      </c>
      <c r="S299" s="85">
        <v>1.55E+16</v>
      </c>
      <c r="T299" t="s">
        <v>913</v>
      </c>
      <c r="U299">
        <v>2123.2800000000002</v>
      </c>
      <c r="W299" s="79">
        <f t="shared" si="17"/>
        <v>-2.000207226555141E-2</v>
      </c>
      <c r="X299">
        <f>VLOOKUP(D299,'[3]Customer TDS'!D:I,6,0)</f>
        <v>42.47</v>
      </c>
      <c r="Y299" s="27">
        <f t="shared" si="18"/>
        <v>-2080.8100000000004</v>
      </c>
      <c r="Z299" t="s">
        <v>915</v>
      </c>
      <c r="AA299">
        <f>VLOOKUP(D299,'Ascendus DATA'!$F:$J,5,0)</f>
        <v>2064.02</v>
      </c>
      <c r="AB299" s="27">
        <f t="shared" si="16"/>
        <v>-59.260000000000218</v>
      </c>
    </row>
    <row r="300" spans="1:28" hidden="1" x14ac:dyDescent="0.35">
      <c r="A300" t="s">
        <v>910</v>
      </c>
      <c r="B300" t="s">
        <v>910</v>
      </c>
      <c r="C300" t="s">
        <v>438</v>
      </c>
      <c r="D300" s="4">
        <v>256779415326</v>
      </c>
      <c r="E300" s="3">
        <v>45848</v>
      </c>
      <c r="F300" t="s">
        <v>11</v>
      </c>
      <c r="G300">
        <v>-185.05</v>
      </c>
      <c r="H300">
        <v>185.05</v>
      </c>
      <c r="I300" s="27">
        <v>-16371.37</v>
      </c>
      <c r="K300" s="3">
        <v>45878</v>
      </c>
      <c r="L300" s="3">
        <v>45991</v>
      </c>
      <c r="M300" t="s">
        <v>912</v>
      </c>
      <c r="N300" s="2">
        <v>45901</v>
      </c>
      <c r="O300">
        <v>59295001</v>
      </c>
      <c r="P300">
        <v>1</v>
      </c>
      <c r="Q300" s="3">
        <v>45930</v>
      </c>
      <c r="R300">
        <v>210</v>
      </c>
      <c r="S300" s="85">
        <v>1.55E+16</v>
      </c>
      <c r="T300" t="s">
        <v>913</v>
      </c>
      <c r="U300">
        <v>16371.37</v>
      </c>
      <c r="W300" s="79">
        <f t="shared" si="17"/>
        <v>-1.999466141196491E-2</v>
      </c>
      <c r="X300">
        <f>VLOOKUP(D300,'[3]Customer TDS'!D:I,6,0)</f>
        <v>327.33999999999997</v>
      </c>
      <c r="Y300" s="27">
        <f t="shared" si="18"/>
        <v>-16044.03</v>
      </c>
      <c r="Z300" t="s">
        <v>915</v>
      </c>
      <c r="AA300">
        <f>VLOOKUP(D300,'Ascendus DATA'!$F:$J,5,0)</f>
        <v>15914.42</v>
      </c>
      <c r="AB300" s="27">
        <f t="shared" si="16"/>
        <v>-456.95000000000073</v>
      </c>
    </row>
    <row r="301" spans="1:28" hidden="1" x14ac:dyDescent="0.35">
      <c r="A301" t="s">
        <v>910</v>
      </c>
      <c r="B301" t="s">
        <v>910</v>
      </c>
      <c r="C301" t="s">
        <v>438</v>
      </c>
      <c r="D301" s="4">
        <v>256779415306</v>
      </c>
      <c r="E301" s="3">
        <v>45848</v>
      </c>
      <c r="F301" t="s">
        <v>11</v>
      </c>
      <c r="G301">
        <v>-30</v>
      </c>
      <c r="H301">
        <v>0.6</v>
      </c>
      <c r="I301" s="27">
        <v>-2654.1</v>
      </c>
      <c r="K301" s="3">
        <v>45878</v>
      </c>
      <c r="L301" s="3">
        <v>46053</v>
      </c>
      <c r="M301" t="s">
        <v>912</v>
      </c>
      <c r="N301" s="2">
        <v>45901</v>
      </c>
      <c r="O301">
        <v>59295004</v>
      </c>
      <c r="P301">
        <v>1</v>
      </c>
      <c r="Q301" s="3">
        <v>45930</v>
      </c>
      <c r="R301">
        <v>210</v>
      </c>
      <c r="S301" s="85">
        <v>1.55E+16</v>
      </c>
      <c r="T301" t="s">
        <v>913</v>
      </c>
      <c r="U301">
        <v>-39.840000000000003</v>
      </c>
      <c r="W301" s="79">
        <f t="shared" si="17"/>
        <v>-1.9999246448890395E-2</v>
      </c>
      <c r="X301">
        <f>VLOOKUP(D301,'[3]Customer TDS'!D:I,6,0)</f>
        <v>53.08</v>
      </c>
      <c r="Y301" s="27">
        <f t="shared" si="18"/>
        <v>-2601.02</v>
      </c>
      <c r="Z301" t="s">
        <v>915</v>
      </c>
      <c r="AA301">
        <f>VLOOKUP(D301,'Ascendus DATA'!$F:$J,5,0)</f>
        <v>2580.02</v>
      </c>
      <c r="AB301" s="27">
        <f t="shared" si="16"/>
        <v>-74.079999999999927</v>
      </c>
    </row>
    <row r="302" spans="1:28" hidden="1" x14ac:dyDescent="0.35">
      <c r="A302" t="s">
        <v>910</v>
      </c>
      <c r="B302" t="s">
        <v>910</v>
      </c>
      <c r="C302" t="s">
        <v>438</v>
      </c>
      <c r="D302" s="4">
        <v>256779415390</v>
      </c>
      <c r="E302" s="3">
        <v>45848</v>
      </c>
      <c r="F302" t="s">
        <v>11</v>
      </c>
      <c r="G302">
        <v>-110.96</v>
      </c>
      <c r="H302">
        <v>110.96</v>
      </c>
      <c r="I302" s="27">
        <v>-9816.6299999999992</v>
      </c>
      <c r="K302" s="3">
        <v>45878</v>
      </c>
      <c r="L302" s="3">
        <v>45991</v>
      </c>
      <c r="M302" t="s">
        <v>912</v>
      </c>
      <c r="N302" s="2">
        <v>45901</v>
      </c>
      <c r="O302">
        <v>59295005</v>
      </c>
      <c r="P302">
        <v>1</v>
      </c>
      <c r="Q302" s="3">
        <v>45930</v>
      </c>
      <c r="R302">
        <v>210</v>
      </c>
      <c r="S302" s="85">
        <v>1.55E+16</v>
      </c>
      <c r="T302" t="s">
        <v>913</v>
      </c>
      <c r="U302">
        <v>9816.6299999999992</v>
      </c>
      <c r="W302" s="79">
        <f t="shared" si="17"/>
        <v>-2.0006865900008459E-2</v>
      </c>
      <c r="X302">
        <f>VLOOKUP(D302,'[3]Customer TDS'!D:I,6,0)</f>
        <v>196.4</v>
      </c>
      <c r="Y302" s="27">
        <f t="shared" si="18"/>
        <v>-9620.23</v>
      </c>
      <c r="Z302" t="s">
        <v>915</v>
      </c>
      <c r="AA302">
        <f>VLOOKUP(D302,'Ascendus DATA'!$F:$J,5,0)</f>
        <v>9542.6299999999992</v>
      </c>
      <c r="AB302" s="27">
        <f t="shared" si="16"/>
        <v>-274</v>
      </c>
    </row>
    <row r="303" spans="1:28" hidden="1" x14ac:dyDescent="0.35">
      <c r="A303" t="s">
        <v>910</v>
      </c>
      <c r="B303" t="s">
        <v>910</v>
      </c>
      <c r="C303" t="s">
        <v>438</v>
      </c>
      <c r="D303" s="4">
        <v>256779415340</v>
      </c>
      <c r="E303" s="3">
        <v>45848</v>
      </c>
      <c r="F303" t="s">
        <v>11</v>
      </c>
      <c r="G303">
        <v>-25.84</v>
      </c>
      <c r="H303">
        <v>25.84</v>
      </c>
      <c r="I303" s="27">
        <v>-2286.06</v>
      </c>
      <c r="K303" s="3">
        <v>45878</v>
      </c>
      <c r="L303" s="3">
        <v>45991</v>
      </c>
      <c r="M303" t="s">
        <v>912</v>
      </c>
      <c r="N303" s="2">
        <v>45901</v>
      </c>
      <c r="O303">
        <v>59295010</v>
      </c>
      <c r="P303">
        <v>1</v>
      </c>
      <c r="Q303" s="3">
        <v>45930</v>
      </c>
      <c r="R303">
        <v>210</v>
      </c>
      <c r="S303" s="85">
        <v>1.55E+16</v>
      </c>
      <c r="T303" t="s">
        <v>913</v>
      </c>
      <c r="U303">
        <v>2286.06</v>
      </c>
      <c r="W303" s="79">
        <f t="shared" si="17"/>
        <v>-2.0121956554071199E-2</v>
      </c>
      <c r="X303">
        <f>VLOOKUP(D303,'[3]Customer TDS'!D:I,6,0)</f>
        <v>46</v>
      </c>
      <c r="Y303" s="27">
        <f t="shared" si="18"/>
        <v>-2240.06</v>
      </c>
      <c r="Z303" t="s">
        <v>915</v>
      </c>
      <c r="AA303">
        <f>VLOOKUP(D303,'Ascendus DATA'!$F:$J,5,0)</f>
        <v>2222.2600000000002</v>
      </c>
      <c r="AB303" s="27">
        <f t="shared" ref="AB303:AB324" si="19">I303+AA303</f>
        <v>-63.799999999999727</v>
      </c>
    </row>
    <row r="304" spans="1:28" hidden="1" x14ac:dyDescent="0.35">
      <c r="A304" t="s">
        <v>910</v>
      </c>
      <c r="B304" t="s">
        <v>910</v>
      </c>
      <c r="C304" t="s">
        <v>438</v>
      </c>
      <c r="D304" s="4">
        <v>256779415343</v>
      </c>
      <c r="E304" s="3">
        <v>45848</v>
      </c>
      <c r="F304" t="s">
        <v>11</v>
      </c>
      <c r="G304">
        <v>-1</v>
      </c>
      <c r="H304">
        <v>1</v>
      </c>
      <c r="I304">
        <v>-88.47</v>
      </c>
      <c r="K304" s="3">
        <v>45878</v>
      </c>
      <c r="L304" s="3">
        <v>45991</v>
      </c>
      <c r="M304" t="s">
        <v>912</v>
      </c>
      <c r="N304" s="2">
        <v>45901</v>
      </c>
      <c r="O304">
        <v>59295015</v>
      </c>
      <c r="P304">
        <v>1</v>
      </c>
      <c r="Q304" s="3">
        <v>45930</v>
      </c>
      <c r="R304">
        <v>210</v>
      </c>
      <c r="S304" s="85">
        <v>1.55E+16</v>
      </c>
      <c r="T304" t="s">
        <v>913</v>
      </c>
      <c r="U304">
        <v>88.47</v>
      </c>
      <c r="W304" s="79">
        <f t="shared" si="17"/>
        <v>-2.0006781959986435E-2</v>
      </c>
      <c r="X304">
        <f>VLOOKUP(D304,'[3]Customer TDS'!D:I,6,0)</f>
        <v>1.77</v>
      </c>
      <c r="Y304" s="27">
        <f t="shared" si="18"/>
        <v>-86.7</v>
      </c>
      <c r="Z304" t="s">
        <v>915</v>
      </c>
      <c r="AA304">
        <f>VLOOKUP(D304,'Ascendus DATA'!$F:$J,5,0)</f>
        <v>86</v>
      </c>
      <c r="AB304" s="27">
        <f t="shared" si="19"/>
        <v>-2.4699999999999989</v>
      </c>
    </row>
    <row r="305" spans="1:28" hidden="1" x14ac:dyDescent="0.35">
      <c r="A305" t="s">
        <v>910</v>
      </c>
      <c r="B305" t="s">
        <v>910</v>
      </c>
      <c r="C305" t="s">
        <v>438</v>
      </c>
      <c r="D305" s="4">
        <v>256779415395</v>
      </c>
      <c r="E305" s="3">
        <v>45848</v>
      </c>
      <c r="F305" t="s">
        <v>11</v>
      </c>
      <c r="G305">
        <v>-205.72</v>
      </c>
      <c r="H305">
        <v>205.72</v>
      </c>
      <c r="I305" s="27">
        <v>-18200.05</v>
      </c>
      <c r="K305" s="3">
        <v>45878</v>
      </c>
      <c r="L305" s="3">
        <v>45991</v>
      </c>
      <c r="M305" t="s">
        <v>912</v>
      </c>
      <c r="N305" s="2">
        <v>45901</v>
      </c>
      <c r="O305">
        <v>59295016</v>
      </c>
      <c r="P305">
        <v>1</v>
      </c>
      <c r="Q305" s="3">
        <v>45930</v>
      </c>
      <c r="R305">
        <v>210</v>
      </c>
      <c r="S305" s="85">
        <v>1.55E+16</v>
      </c>
      <c r="T305" t="s">
        <v>913</v>
      </c>
      <c r="U305">
        <v>18200.05</v>
      </c>
      <c r="W305" s="79">
        <f t="shared" si="17"/>
        <v>-1.9978516542536972E-2</v>
      </c>
      <c r="X305">
        <f>VLOOKUP(D305,'[3]Customer TDS'!D:I,6,0)</f>
        <v>363.61</v>
      </c>
      <c r="Y305" s="27">
        <f t="shared" si="18"/>
        <v>-17836.439999999999</v>
      </c>
      <c r="Z305" t="s">
        <v>915</v>
      </c>
      <c r="AA305">
        <f>VLOOKUP(D305,'Ascendus DATA'!$F:$J,5,0)</f>
        <v>17692.060000000001</v>
      </c>
      <c r="AB305" s="27">
        <f t="shared" si="19"/>
        <v>-507.98999999999796</v>
      </c>
    </row>
    <row r="306" spans="1:28" hidden="1" x14ac:dyDescent="0.35">
      <c r="A306" t="s">
        <v>910</v>
      </c>
      <c r="B306" t="s">
        <v>910</v>
      </c>
      <c r="C306" t="s">
        <v>438</v>
      </c>
      <c r="D306" s="4">
        <v>256779415381</v>
      </c>
      <c r="E306" s="3">
        <v>45848</v>
      </c>
      <c r="F306" t="s">
        <v>11</v>
      </c>
      <c r="G306">
        <v>-60</v>
      </c>
      <c r="H306">
        <v>60</v>
      </c>
      <c r="I306" s="27">
        <v>-5308.2</v>
      </c>
      <c r="K306" s="3">
        <v>45878</v>
      </c>
      <c r="L306" s="3">
        <v>45991</v>
      </c>
      <c r="M306" t="s">
        <v>912</v>
      </c>
      <c r="N306" s="2">
        <v>45901</v>
      </c>
      <c r="O306">
        <v>59295019</v>
      </c>
      <c r="P306">
        <v>1</v>
      </c>
      <c r="Q306" s="3">
        <v>45930</v>
      </c>
      <c r="R306">
        <v>210</v>
      </c>
      <c r="S306" s="85">
        <v>1.55E+16</v>
      </c>
      <c r="T306" t="s">
        <v>913</v>
      </c>
      <c r="U306">
        <v>5308.2</v>
      </c>
      <c r="W306" s="79">
        <f t="shared" si="17"/>
        <v>-1.9999246448890395E-2</v>
      </c>
      <c r="X306">
        <f>VLOOKUP(D306,'[3]Customer TDS'!D:I,6,0)</f>
        <v>106.16</v>
      </c>
      <c r="Y306" s="27">
        <f t="shared" si="18"/>
        <v>-5202.04</v>
      </c>
      <c r="Z306" t="s">
        <v>915</v>
      </c>
      <c r="AA306">
        <f>VLOOKUP(D306,'Ascendus DATA'!$F:$J,5,0)</f>
        <v>5160.04</v>
      </c>
      <c r="AB306" s="27">
        <f t="shared" si="19"/>
        <v>-148.15999999999985</v>
      </c>
    </row>
    <row r="307" spans="1:28" hidden="1" x14ac:dyDescent="0.35">
      <c r="A307" t="s">
        <v>910</v>
      </c>
      <c r="B307" t="s">
        <v>910</v>
      </c>
      <c r="C307" t="s">
        <v>438</v>
      </c>
      <c r="D307" s="4">
        <v>256779415392</v>
      </c>
      <c r="E307" s="3">
        <v>45848</v>
      </c>
      <c r="F307" t="s">
        <v>11</v>
      </c>
      <c r="G307">
        <v>-200</v>
      </c>
      <c r="H307">
        <v>200</v>
      </c>
      <c r="I307" s="27">
        <v>-17694</v>
      </c>
      <c r="K307" s="3">
        <v>45878</v>
      </c>
      <c r="L307" s="3">
        <v>45991</v>
      </c>
      <c r="M307" t="s">
        <v>912</v>
      </c>
      <c r="N307" s="2">
        <v>45901</v>
      </c>
      <c r="O307">
        <v>59295025</v>
      </c>
      <c r="P307">
        <v>1</v>
      </c>
      <c r="Q307" s="3">
        <v>45930</v>
      </c>
      <c r="R307">
        <v>210</v>
      </c>
      <c r="S307" s="85">
        <v>1.55E+16</v>
      </c>
      <c r="T307" t="s">
        <v>913</v>
      </c>
      <c r="U307">
        <v>17694</v>
      </c>
      <c r="W307" s="79">
        <f t="shared" si="17"/>
        <v>-0.02</v>
      </c>
      <c r="X307">
        <f>VLOOKUP(D307,'[3]Customer TDS'!D:I,6,0)</f>
        <v>353.88</v>
      </c>
      <c r="Y307" s="27">
        <f t="shared" si="18"/>
        <v>-17340.12</v>
      </c>
      <c r="Z307" t="s">
        <v>915</v>
      </c>
      <c r="AA307">
        <f>VLOOKUP(D307,'Ascendus DATA'!$F:$J,5,0)</f>
        <v>17200.13</v>
      </c>
      <c r="AB307" s="27">
        <f t="shared" si="19"/>
        <v>-493.86999999999898</v>
      </c>
    </row>
    <row r="308" spans="1:28" hidden="1" x14ac:dyDescent="0.35">
      <c r="A308" t="s">
        <v>910</v>
      </c>
      <c r="B308" t="s">
        <v>910</v>
      </c>
      <c r="C308" t="s">
        <v>438</v>
      </c>
      <c r="D308" s="4">
        <v>256779415358</v>
      </c>
      <c r="E308" s="3">
        <v>45848</v>
      </c>
      <c r="F308" t="s">
        <v>11</v>
      </c>
      <c r="G308">
        <v>-96</v>
      </c>
      <c r="H308">
        <v>96</v>
      </c>
      <c r="I308" s="27">
        <v>-8493.1200000000008</v>
      </c>
      <c r="K308" s="3">
        <v>45878</v>
      </c>
      <c r="L308" s="3">
        <v>45991</v>
      </c>
      <c r="M308" t="s">
        <v>912</v>
      </c>
      <c r="N308" s="2">
        <v>45901</v>
      </c>
      <c r="O308">
        <v>59295028</v>
      </c>
      <c r="P308">
        <v>1</v>
      </c>
      <c r="Q308" s="3">
        <v>45930</v>
      </c>
      <c r="R308">
        <v>210</v>
      </c>
      <c r="S308" s="85">
        <v>1.55E+16</v>
      </c>
      <c r="T308" t="s">
        <v>913</v>
      </c>
      <c r="U308">
        <v>8493.1200000000008</v>
      </c>
      <c r="W308" s="79">
        <f t="shared" si="17"/>
        <v>-1.9999717418333899E-2</v>
      </c>
      <c r="X308">
        <f>VLOOKUP(D308,'[3]Customer TDS'!D:I,6,0)</f>
        <v>169.86</v>
      </c>
      <c r="Y308" s="27">
        <f t="shared" si="18"/>
        <v>-8323.26</v>
      </c>
      <c r="Z308" t="s">
        <v>915</v>
      </c>
      <c r="AA308">
        <f>VLOOKUP(D308,'Ascendus DATA'!$F:$J,5,0)</f>
        <v>8256.06</v>
      </c>
      <c r="AB308" s="27">
        <f t="shared" si="19"/>
        <v>-237.06000000000131</v>
      </c>
    </row>
    <row r="309" spans="1:28" hidden="1" x14ac:dyDescent="0.35">
      <c r="A309" t="s">
        <v>910</v>
      </c>
      <c r="B309" t="s">
        <v>910</v>
      </c>
      <c r="C309" t="s">
        <v>438</v>
      </c>
      <c r="D309" s="4">
        <v>256779415337</v>
      </c>
      <c r="E309" s="3">
        <v>45848</v>
      </c>
      <c r="F309" t="s">
        <v>11</v>
      </c>
      <c r="G309">
        <v>-17.5</v>
      </c>
      <c r="H309">
        <v>17.5</v>
      </c>
      <c r="I309" s="27">
        <v>-1548.23</v>
      </c>
      <c r="K309" s="3">
        <v>45878</v>
      </c>
      <c r="L309" s="3">
        <v>45991</v>
      </c>
      <c r="M309" t="s">
        <v>912</v>
      </c>
      <c r="N309" s="2">
        <v>45901</v>
      </c>
      <c r="O309">
        <v>59295034</v>
      </c>
      <c r="P309">
        <v>1</v>
      </c>
      <c r="Q309" s="3">
        <v>45930</v>
      </c>
      <c r="R309">
        <v>210</v>
      </c>
      <c r="S309" s="85">
        <v>1.55E+16</v>
      </c>
      <c r="T309" t="s">
        <v>913</v>
      </c>
      <c r="U309">
        <v>1548.23</v>
      </c>
      <c r="W309" s="79">
        <f t="shared" si="17"/>
        <v>-1.9997028865220284E-2</v>
      </c>
      <c r="X309">
        <f>VLOOKUP(D309,'[3]Customer TDS'!D:I,6,0)</f>
        <v>30.96</v>
      </c>
      <c r="Y309" s="27">
        <f t="shared" si="18"/>
        <v>-1517.27</v>
      </c>
      <c r="Z309" t="s">
        <v>915</v>
      </c>
      <c r="AA309">
        <f>VLOOKUP(D309,'Ascendus DATA'!$F:$J,5,0)</f>
        <v>1505.01</v>
      </c>
      <c r="AB309" s="27">
        <f t="shared" si="19"/>
        <v>-43.220000000000027</v>
      </c>
    </row>
    <row r="310" spans="1:28" hidden="1" x14ac:dyDescent="0.35">
      <c r="A310" t="s">
        <v>910</v>
      </c>
      <c r="B310" t="s">
        <v>910</v>
      </c>
      <c r="C310" t="s">
        <v>438</v>
      </c>
      <c r="D310" s="4">
        <v>256779415362</v>
      </c>
      <c r="E310" s="3">
        <v>45848</v>
      </c>
      <c r="F310" t="s">
        <v>11</v>
      </c>
      <c r="G310">
        <v>-3</v>
      </c>
      <c r="H310">
        <v>3</v>
      </c>
      <c r="I310">
        <v>-265.41000000000003</v>
      </c>
      <c r="K310" s="3">
        <v>45878</v>
      </c>
      <c r="L310" s="3">
        <v>45991</v>
      </c>
      <c r="M310" t="s">
        <v>912</v>
      </c>
      <c r="N310" s="2">
        <v>45901</v>
      </c>
      <c r="O310">
        <v>59295035</v>
      </c>
      <c r="P310">
        <v>1</v>
      </c>
      <c r="Q310" s="3">
        <v>45930</v>
      </c>
      <c r="R310">
        <v>210</v>
      </c>
      <c r="S310" s="85">
        <v>1.55E+16</v>
      </c>
      <c r="T310" t="s">
        <v>913</v>
      </c>
      <c r="U310">
        <v>265.41000000000003</v>
      </c>
      <c r="W310" s="79">
        <f t="shared" si="17"/>
        <v>-2.0006781959986432E-2</v>
      </c>
      <c r="X310">
        <f>VLOOKUP(D310,'[3]Customer TDS'!D:I,6,0)</f>
        <v>5.31</v>
      </c>
      <c r="Y310" s="27">
        <f t="shared" si="18"/>
        <v>-260.10000000000002</v>
      </c>
      <c r="Z310" t="s">
        <v>915</v>
      </c>
      <c r="AA310">
        <f>VLOOKUP(D310,'Ascendus DATA'!$F:$J,5,0)</f>
        <v>258</v>
      </c>
      <c r="AB310" s="27">
        <f t="shared" si="19"/>
        <v>-7.410000000000025</v>
      </c>
    </row>
    <row r="311" spans="1:28" hidden="1" x14ac:dyDescent="0.35">
      <c r="A311" t="s">
        <v>910</v>
      </c>
      <c r="B311" t="s">
        <v>910</v>
      </c>
      <c r="C311" t="s">
        <v>438</v>
      </c>
      <c r="D311" s="4">
        <v>256779415373</v>
      </c>
      <c r="E311" s="3">
        <v>45848</v>
      </c>
      <c r="F311" t="s">
        <v>11</v>
      </c>
      <c r="G311">
        <v>-2.63</v>
      </c>
      <c r="H311">
        <v>2.63</v>
      </c>
      <c r="I311">
        <v>-232.68</v>
      </c>
      <c r="K311" s="3">
        <v>45878</v>
      </c>
      <c r="L311" s="3">
        <v>45991</v>
      </c>
      <c r="M311" t="s">
        <v>912</v>
      </c>
      <c r="N311" s="2">
        <v>45901</v>
      </c>
      <c r="O311">
        <v>59295041</v>
      </c>
      <c r="P311">
        <v>1</v>
      </c>
      <c r="Q311" s="3">
        <v>45930</v>
      </c>
      <c r="R311">
        <v>210</v>
      </c>
      <c r="S311" s="85">
        <v>1.55E+16</v>
      </c>
      <c r="T311" t="s">
        <v>913</v>
      </c>
      <c r="U311">
        <v>232.68</v>
      </c>
      <c r="W311" s="79">
        <f t="shared" si="17"/>
        <v>-1.8996046071858345E-2</v>
      </c>
      <c r="X311">
        <f>VLOOKUP(D311,'[3]Customer TDS'!D:I,6,0)</f>
        <v>4.42</v>
      </c>
      <c r="Y311" s="27">
        <f t="shared" si="18"/>
        <v>-228.26000000000002</v>
      </c>
      <c r="Z311" t="s">
        <v>915</v>
      </c>
      <c r="AA311">
        <f>VLOOKUP(D311,'Ascendus DATA'!$F:$J,5,0)</f>
        <v>226.18</v>
      </c>
      <c r="AB311" s="27">
        <f t="shared" si="19"/>
        <v>-6.5</v>
      </c>
    </row>
    <row r="312" spans="1:28" hidden="1" x14ac:dyDescent="0.35">
      <c r="A312" t="s">
        <v>910</v>
      </c>
      <c r="B312" t="s">
        <v>910</v>
      </c>
      <c r="C312" t="s">
        <v>438</v>
      </c>
      <c r="D312" s="4">
        <v>256779415386</v>
      </c>
      <c r="E312" s="3">
        <v>45848</v>
      </c>
      <c r="F312" t="s">
        <v>11</v>
      </c>
      <c r="G312">
        <v>-7.5</v>
      </c>
      <c r="H312">
        <v>7.5</v>
      </c>
      <c r="I312">
        <v>-663.53</v>
      </c>
      <c r="K312" s="3">
        <v>45878</v>
      </c>
      <c r="L312" s="3">
        <v>45991</v>
      </c>
      <c r="M312" t="s">
        <v>912</v>
      </c>
      <c r="N312" s="2">
        <v>45901</v>
      </c>
      <c r="O312">
        <v>59295045</v>
      </c>
      <c r="P312">
        <v>1</v>
      </c>
      <c r="Q312" s="3">
        <v>45930</v>
      </c>
      <c r="R312">
        <v>210</v>
      </c>
      <c r="S312" s="85">
        <v>1.55E+16</v>
      </c>
      <c r="T312" t="s">
        <v>913</v>
      </c>
      <c r="U312">
        <v>663.53</v>
      </c>
      <c r="W312" s="79">
        <f t="shared" si="17"/>
        <v>-1.9999095745482497E-2</v>
      </c>
      <c r="X312">
        <f>VLOOKUP(D312,'[3]Customer TDS'!D:I,6,0)</f>
        <v>13.27</v>
      </c>
      <c r="Y312" s="27">
        <f t="shared" si="18"/>
        <v>-650.26</v>
      </c>
      <c r="Z312" t="s">
        <v>915</v>
      </c>
      <c r="AA312">
        <f>VLOOKUP(D312,'Ascendus DATA'!$F:$J,5,0)</f>
        <v>645.01</v>
      </c>
      <c r="AB312" s="27">
        <f t="shared" si="19"/>
        <v>-18.519999999999982</v>
      </c>
    </row>
    <row r="313" spans="1:28" hidden="1" x14ac:dyDescent="0.35">
      <c r="A313" t="s">
        <v>910</v>
      </c>
      <c r="B313" t="s">
        <v>910</v>
      </c>
      <c r="C313" t="s">
        <v>438</v>
      </c>
      <c r="D313" s="4">
        <v>256779415348</v>
      </c>
      <c r="E313" s="3">
        <v>45848</v>
      </c>
      <c r="F313" t="s">
        <v>11</v>
      </c>
      <c r="G313">
        <v>-7.5</v>
      </c>
      <c r="H313">
        <v>7.5</v>
      </c>
      <c r="I313">
        <v>-663.53</v>
      </c>
      <c r="K313" s="3">
        <v>45878</v>
      </c>
      <c r="L313" s="3">
        <v>45991</v>
      </c>
      <c r="M313" t="s">
        <v>912</v>
      </c>
      <c r="N313" s="2">
        <v>45901</v>
      </c>
      <c r="O313">
        <v>59295048</v>
      </c>
      <c r="P313">
        <v>1</v>
      </c>
      <c r="Q313" s="3">
        <v>45930</v>
      </c>
      <c r="R313">
        <v>210</v>
      </c>
      <c r="S313" s="85">
        <v>1.55E+16</v>
      </c>
      <c r="T313" t="s">
        <v>913</v>
      </c>
      <c r="U313">
        <v>663.53</v>
      </c>
      <c r="W313" s="79">
        <f t="shared" si="17"/>
        <v>-1.9999095745482497E-2</v>
      </c>
      <c r="X313">
        <f>VLOOKUP(D313,'[3]Customer TDS'!D:I,6,0)</f>
        <v>13.27</v>
      </c>
      <c r="Y313" s="27">
        <f t="shared" si="18"/>
        <v>-650.26</v>
      </c>
      <c r="Z313" t="s">
        <v>915</v>
      </c>
      <c r="AA313">
        <f>VLOOKUP(D313,'Ascendus DATA'!$F:$J,5,0)</f>
        <v>645.01</v>
      </c>
      <c r="AB313" s="27">
        <f t="shared" si="19"/>
        <v>-18.519999999999982</v>
      </c>
    </row>
    <row r="314" spans="1:28" hidden="1" x14ac:dyDescent="0.35">
      <c r="A314" t="s">
        <v>910</v>
      </c>
      <c r="B314" t="s">
        <v>910</v>
      </c>
      <c r="C314" t="s">
        <v>438</v>
      </c>
      <c r="D314" s="4">
        <v>256779415369</v>
      </c>
      <c r="E314" s="3">
        <v>45848</v>
      </c>
      <c r="F314" t="s">
        <v>11</v>
      </c>
      <c r="G314">
        <v>-3</v>
      </c>
      <c r="H314">
        <v>3</v>
      </c>
      <c r="I314">
        <v>-265.41000000000003</v>
      </c>
      <c r="K314" s="3">
        <v>45878</v>
      </c>
      <c r="L314" s="3">
        <v>45991</v>
      </c>
      <c r="M314" t="s">
        <v>912</v>
      </c>
      <c r="N314" s="2">
        <v>45901</v>
      </c>
      <c r="O314">
        <v>59295051</v>
      </c>
      <c r="P314">
        <v>1</v>
      </c>
      <c r="Q314" s="3">
        <v>45930</v>
      </c>
      <c r="R314">
        <v>210</v>
      </c>
      <c r="S314" s="85">
        <v>1.55E+16</v>
      </c>
      <c r="T314" t="s">
        <v>913</v>
      </c>
      <c r="U314">
        <v>265.41000000000003</v>
      </c>
      <c r="W314" s="79">
        <f t="shared" si="17"/>
        <v>-2.0006781959986432E-2</v>
      </c>
      <c r="X314">
        <f>VLOOKUP(D314,'[3]Customer TDS'!D:I,6,0)</f>
        <v>5.31</v>
      </c>
      <c r="Y314" s="27">
        <f t="shared" si="18"/>
        <v>-260.10000000000002</v>
      </c>
      <c r="Z314" t="s">
        <v>915</v>
      </c>
      <c r="AA314">
        <f>VLOOKUP(D314,'Ascendus DATA'!$F:$J,5,0)</f>
        <v>258</v>
      </c>
      <c r="AB314" s="27">
        <f t="shared" si="19"/>
        <v>-7.410000000000025</v>
      </c>
    </row>
    <row r="315" spans="1:28" hidden="1" x14ac:dyDescent="0.35">
      <c r="A315" t="s">
        <v>910</v>
      </c>
      <c r="B315" t="s">
        <v>910</v>
      </c>
      <c r="C315" t="s">
        <v>438</v>
      </c>
      <c r="D315" s="4">
        <v>256779415364</v>
      </c>
      <c r="E315" s="3">
        <v>45848</v>
      </c>
      <c r="F315" t="s">
        <v>11</v>
      </c>
      <c r="G315">
        <v>-200</v>
      </c>
      <c r="H315">
        <v>200</v>
      </c>
      <c r="I315" s="27">
        <v>-17694</v>
      </c>
      <c r="K315" s="3">
        <v>45878</v>
      </c>
      <c r="L315" s="3">
        <v>45991</v>
      </c>
      <c r="M315" t="s">
        <v>912</v>
      </c>
      <c r="N315" s="2">
        <v>45901</v>
      </c>
      <c r="O315">
        <v>59296977</v>
      </c>
      <c r="P315">
        <v>1</v>
      </c>
      <c r="Q315" s="3">
        <v>45930</v>
      </c>
      <c r="R315">
        <v>210</v>
      </c>
      <c r="S315" s="85">
        <v>1.55E+16</v>
      </c>
      <c r="T315" t="s">
        <v>913</v>
      </c>
      <c r="U315">
        <v>17694</v>
      </c>
      <c r="W315" s="79">
        <f t="shared" si="17"/>
        <v>-0.02</v>
      </c>
      <c r="X315">
        <f>VLOOKUP(D315,'[3]Customer TDS'!D:I,6,0)</f>
        <v>353.88</v>
      </c>
      <c r="Y315" s="27">
        <f t="shared" si="18"/>
        <v>-17340.12</v>
      </c>
      <c r="Z315" t="s">
        <v>915</v>
      </c>
      <c r="AA315">
        <f>VLOOKUP(D315,'Ascendus DATA'!$F:$J,5,0)</f>
        <v>17200.13</v>
      </c>
      <c r="AB315" s="27">
        <f t="shared" si="19"/>
        <v>-493.86999999999898</v>
      </c>
    </row>
    <row r="316" spans="1:28" hidden="1" x14ac:dyDescent="0.35">
      <c r="A316" t="s">
        <v>910</v>
      </c>
      <c r="B316" t="s">
        <v>910</v>
      </c>
      <c r="C316" t="s">
        <v>438</v>
      </c>
      <c r="D316" s="4">
        <v>256779415299</v>
      </c>
      <c r="E316" s="3">
        <v>45848</v>
      </c>
      <c r="F316" t="s">
        <v>11</v>
      </c>
      <c r="G316">
        <v>-24</v>
      </c>
      <c r="H316">
        <v>24</v>
      </c>
      <c r="I316" s="27">
        <v>-2123.2800000000002</v>
      </c>
      <c r="K316" s="3">
        <v>45878</v>
      </c>
      <c r="L316" s="3">
        <v>45991</v>
      </c>
      <c r="M316" t="s">
        <v>912</v>
      </c>
      <c r="N316" s="2">
        <v>45901</v>
      </c>
      <c r="O316">
        <v>59296980</v>
      </c>
      <c r="P316">
        <v>1</v>
      </c>
      <c r="Q316" s="3">
        <v>45930</v>
      </c>
      <c r="R316">
        <v>210</v>
      </c>
      <c r="S316" s="85">
        <v>1.55E+16</v>
      </c>
      <c r="T316" t="s">
        <v>913</v>
      </c>
      <c r="U316">
        <v>2123.2800000000002</v>
      </c>
      <c r="W316" s="79">
        <f t="shared" si="17"/>
        <v>-2.000207226555141E-2</v>
      </c>
      <c r="X316">
        <f>VLOOKUP(D316,'[3]Customer TDS'!D:I,6,0)</f>
        <v>42.47</v>
      </c>
      <c r="Y316" s="27">
        <f t="shared" si="18"/>
        <v>-2080.8100000000004</v>
      </c>
      <c r="Z316" t="s">
        <v>915</v>
      </c>
      <c r="AA316">
        <f>VLOOKUP(D316,'Ascendus DATA'!$F:$J,5,0)</f>
        <v>2064.02</v>
      </c>
      <c r="AB316" s="27">
        <f t="shared" si="19"/>
        <v>-59.260000000000218</v>
      </c>
    </row>
    <row r="317" spans="1:28" hidden="1" x14ac:dyDescent="0.35">
      <c r="A317" t="s">
        <v>910</v>
      </c>
      <c r="B317" t="s">
        <v>910</v>
      </c>
      <c r="C317" t="s">
        <v>438</v>
      </c>
      <c r="D317" s="4">
        <v>256779415335</v>
      </c>
      <c r="E317" s="3">
        <v>45848</v>
      </c>
      <c r="F317" t="s">
        <v>11</v>
      </c>
      <c r="G317">
        <v>-25</v>
      </c>
      <c r="H317">
        <v>25</v>
      </c>
      <c r="I317" s="27">
        <v>-2211.75</v>
      </c>
      <c r="K317" s="3">
        <v>45878</v>
      </c>
      <c r="L317" s="3">
        <v>45991</v>
      </c>
      <c r="M317" t="s">
        <v>912</v>
      </c>
      <c r="N317" s="2">
        <v>45901</v>
      </c>
      <c r="O317">
        <v>59296984</v>
      </c>
      <c r="P317">
        <v>1</v>
      </c>
      <c r="Q317" s="3">
        <v>45930</v>
      </c>
      <c r="R317">
        <v>210</v>
      </c>
      <c r="S317" s="85">
        <v>1.55E+16</v>
      </c>
      <c r="T317" t="s">
        <v>913</v>
      </c>
      <c r="U317">
        <v>2211.75</v>
      </c>
      <c r="W317" s="79">
        <f t="shared" si="17"/>
        <v>-2.0002260653328812E-2</v>
      </c>
      <c r="X317">
        <f>VLOOKUP(D317,'[3]Customer TDS'!D:I,6,0)</f>
        <v>44.24</v>
      </c>
      <c r="Y317" s="27">
        <f t="shared" si="18"/>
        <v>-2167.5100000000002</v>
      </c>
      <c r="Z317" t="s">
        <v>915</v>
      </c>
      <c r="AA317">
        <f>VLOOKUP(D317,'Ascendus DATA'!$F:$J,5,0)</f>
        <v>2150.02</v>
      </c>
      <c r="AB317" s="27">
        <f t="shared" si="19"/>
        <v>-61.730000000000018</v>
      </c>
    </row>
    <row r="318" spans="1:28" hidden="1" x14ac:dyDescent="0.35">
      <c r="A318" t="s">
        <v>910</v>
      </c>
      <c r="B318" t="s">
        <v>910</v>
      </c>
      <c r="C318" t="s">
        <v>438</v>
      </c>
      <c r="D318" s="4">
        <v>256779415292</v>
      </c>
      <c r="E318" s="3">
        <v>45848</v>
      </c>
      <c r="F318" t="s">
        <v>11</v>
      </c>
      <c r="G318">
        <v>-24</v>
      </c>
      <c r="H318">
        <v>24</v>
      </c>
      <c r="I318" s="27">
        <v>-2123.2800000000002</v>
      </c>
      <c r="K318" s="3">
        <v>45878</v>
      </c>
      <c r="L318" s="3">
        <v>45991</v>
      </c>
      <c r="M318" t="s">
        <v>912</v>
      </c>
      <c r="N318" s="2">
        <v>45901</v>
      </c>
      <c r="O318">
        <v>59296988</v>
      </c>
      <c r="P318">
        <v>1</v>
      </c>
      <c r="Q318" s="3">
        <v>45930</v>
      </c>
      <c r="R318">
        <v>210</v>
      </c>
      <c r="S318" s="85">
        <v>1.55E+16</v>
      </c>
      <c r="T318" t="s">
        <v>913</v>
      </c>
      <c r="U318">
        <v>2123.2800000000002</v>
      </c>
      <c r="W318" s="79">
        <f t="shared" si="17"/>
        <v>-2.000207226555141E-2</v>
      </c>
      <c r="X318">
        <f>VLOOKUP(D318,'[3]Customer TDS'!D:I,6,0)</f>
        <v>42.47</v>
      </c>
      <c r="Y318" s="27">
        <f t="shared" si="18"/>
        <v>-2080.8100000000004</v>
      </c>
      <c r="Z318" t="s">
        <v>915</v>
      </c>
      <c r="AA318">
        <f>VLOOKUP(D318,'Ascendus DATA'!$F:$J,5,0)</f>
        <v>2064.02</v>
      </c>
      <c r="AB318" s="27">
        <f t="shared" si="19"/>
        <v>-59.260000000000218</v>
      </c>
    </row>
    <row r="319" spans="1:28" hidden="1" x14ac:dyDescent="0.35">
      <c r="A319" t="s">
        <v>910</v>
      </c>
      <c r="B319" t="s">
        <v>910</v>
      </c>
      <c r="C319" t="s">
        <v>438</v>
      </c>
      <c r="D319" s="4">
        <v>256779415370</v>
      </c>
      <c r="E319" s="3">
        <v>45848</v>
      </c>
      <c r="F319" t="s">
        <v>11</v>
      </c>
      <c r="G319">
        <v>-72</v>
      </c>
      <c r="H319">
        <v>72</v>
      </c>
      <c r="I319" s="27">
        <v>-6369.84</v>
      </c>
      <c r="K319" s="3">
        <v>45878</v>
      </c>
      <c r="L319" s="3">
        <v>45991</v>
      </c>
      <c r="M319" t="s">
        <v>912</v>
      </c>
      <c r="N319" s="2">
        <v>45901</v>
      </c>
      <c r="O319">
        <v>59297002</v>
      </c>
      <c r="P319">
        <v>1</v>
      </c>
      <c r="Q319" s="3">
        <v>45930</v>
      </c>
      <c r="R319">
        <v>210</v>
      </c>
      <c r="S319" s="85">
        <v>1.55E+16</v>
      </c>
      <c r="T319" t="s">
        <v>913</v>
      </c>
      <c r="U319">
        <v>6369.84</v>
      </c>
      <c r="W319" s="79">
        <f t="shared" si="17"/>
        <v>-2.0000502367406404E-2</v>
      </c>
      <c r="X319">
        <f>VLOOKUP(D319,'[3]Customer TDS'!D:I,6,0)</f>
        <v>127.4</v>
      </c>
      <c r="Y319" s="27">
        <f t="shared" si="18"/>
        <v>-6242.4400000000005</v>
      </c>
      <c r="Z319" t="s">
        <v>915</v>
      </c>
      <c r="AA319">
        <f>VLOOKUP(D319,'Ascendus DATA'!$F:$J,5,0)</f>
        <v>6192.05</v>
      </c>
      <c r="AB319" s="27">
        <f t="shared" si="19"/>
        <v>-177.78999999999996</v>
      </c>
    </row>
    <row r="320" spans="1:28" hidden="1" x14ac:dyDescent="0.35">
      <c r="A320" t="s">
        <v>910</v>
      </c>
      <c r="B320" t="s">
        <v>910</v>
      </c>
      <c r="C320" t="s">
        <v>438</v>
      </c>
      <c r="D320" s="4">
        <v>256779415294</v>
      </c>
      <c r="E320" s="3">
        <v>45848</v>
      </c>
      <c r="F320" t="s">
        <v>11</v>
      </c>
      <c r="G320">
        <v>-24</v>
      </c>
      <c r="H320">
        <v>24</v>
      </c>
      <c r="I320" s="27">
        <v>-2123.2800000000002</v>
      </c>
      <c r="K320" s="3">
        <v>45878</v>
      </c>
      <c r="L320" s="3">
        <v>45991</v>
      </c>
      <c r="M320" t="s">
        <v>912</v>
      </c>
      <c r="N320" s="2">
        <v>45901</v>
      </c>
      <c r="O320">
        <v>59297003</v>
      </c>
      <c r="P320">
        <v>1</v>
      </c>
      <c r="Q320" s="3">
        <v>45930</v>
      </c>
      <c r="R320">
        <v>210</v>
      </c>
      <c r="S320" s="85">
        <v>1.55E+16</v>
      </c>
      <c r="T320" t="s">
        <v>913</v>
      </c>
      <c r="U320">
        <v>2123.2800000000002</v>
      </c>
      <c r="W320" s="79">
        <f t="shared" si="17"/>
        <v>-2.000207226555141E-2</v>
      </c>
      <c r="X320">
        <f>VLOOKUP(D320,'[3]Customer TDS'!D:I,6,0)</f>
        <v>42.47</v>
      </c>
      <c r="Y320" s="27">
        <f t="shared" si="18"/>
        <v>-2080.8100000000004</v>
      </c>
      <c r="Z320" t="s">
        <v>915</v>
      </c>
      <c r="AA320">
        <f>VLOOKUP(D320,'Ascendus DATA'!$F:$J,5,0)</f>
        <v>2064.02</v>
      </c>
      <c r="AB320" s="27">
        <f t="shared" si="19"/>
        <v>-59.260000000000218</v>
      </c>
    </row>
    <row r="321" spans="1:28" hidden="1" x14ac:dyDescent="0.35">
      <c r="A321" t="s">
        <v>910</v>
      </c>
      <c r="B321" t="s">
        <v>910</v>
      </c>
      <c r="C321" t="s">
        <v>438</v>
      </c>
      <c r="D321" s="4">
        <v>256779415307</v>
      </c>
      <c r="E321" s="3">
        <v>45848</v>
      </c>
      <c r="F321" t="s">
        <v>11</v>
      </c>
      <c r="G321">
        <v>-30</v>
      </c>
      <c r="H321">
        <v>0.6</v>
      </c>
      <c r="I321" s="27">
        <v>-2654.1</v>
      </c>
      <c r="K321" s="3">
        <v>45878</v>
      </c>
      <c r="L321" s="3">
        <v>46053</v>
      </c>
      <c r="M321" t="s">
        <v>912</v>
      </c>
      <c r="N321" s="2">
        <v>45901</v>
      </c>
      <c r="O321">
        <v>59298921</v>
      </c>
      <c r="P321">
        <v>1</v>
      </c>
      <c r="Q321" s="3">
        <v>45930</v>
      </c>
      <c r="R321">
        <v>210</v>
      </c>
      <c r="S321" s="85">
        <v>1.55E+16</v>
      </c>
      <c r="T321" t="s">
        <v>913</v>
      </c>
      <c r="U321">
        <v>-39.840000000000003</v>
      </c>
      <c r="W321" s="79">
        <f t="shared" si="17"/>
        <v>-1.9999246448890395E-2</v>
      </c>
      <c r="X321">
        <f>VLOOKUP(D321,'[3]Customer TDS'!D:I,6,0)</f>
        <v>53.08</v>
      </c>
      <c r="Y321" s="27">
        <f t="shared" si="18"/>
        <v>-2601.02</v>
      </c>
      <c r="Z321" t="s">
        <v>915</v>
      </c>
      <c r="AA321">
        <f>VLOOKUP(D321,'Ascendus DATA'!$F:$J,5,0)</f>
        <v>2580.02</v>
      </c>
      <c r="AB321" s="27">
        <f t="shared" si="19"/>
        <v>-74.079999999999927</v>
      </c>
    </row>
    <row r="322" spans="1:28" hidden="1" x14ac:dyDescent="0.35">
      <c r="A322" t="s">
        <v>910</v>
      </c>
      <c r="B322" t="s">
        <v>910</v>
      </c>
      <c r="C322" t="s">
        <v>438</v>
      </c>
      <c r="D322" s="4">
        <v>256779415347</v>
      </c>
      <c r="E322" s="3">
        <v>45848</v>
      </c>
      <c r="F322" t="s">
        <v>11</v>
      </c>
      <c r="G322">
        <v>-20</v>
      </c>
      <c r="H322">
        <v>20</v>
      </c>
      <c r="I322" s="27">
        <v>-1769.4</v>
      </c>
      <c r="K322" s="3">
        <v>45878</v>
      </c>
      <c r="L322" s="3">
        <v>45991</v>
      </c>
      <c r="M322" t="s">
        <v>912</v>
      </c>
      <c r="N322" s="2">
        <v>45901</v>
      </c>
      <c r="O322">
        <v>59298924</v>
      </c>
      <c r="P322">
        <v>1</v>
      </c>
      <c r="Q322" s="3">
        <v>45930</v>
      </c>
      <c r="R322">
        <v>210</v>
      </c>
      <c r="S322" s="85">
        <v>1.55E+16</v>
      </c>
      <c r="T322" t="s">
        <v>913</v>
      </c>
      <c r="U322">
        <v>1769.4</v>
      </c>
      <c r="W322" s="79">
        <f t="shared" si="17"/>
        <v>-2.0001130326664406E-2</v>
      </c>
      <c r="X322">
        <f>VLOOKUP(D322,'[3]Customer TDS'!D:I,6,0)</f>
        <v>35.39</v>
      </c>
      <c r="Y322" s="27">
        <f t="shared" si="18"/>
        <v>-1734.01</v>
      </c>
      <c r="Z322" t="s">
        <v>915</v>
      </c>
      <c r="AA322">
        <f>VLOOKUP(D322,'Ascendus DATA'!$F:$J,5,0)</f>
        <v>1720.01</v>
      </c>
      <c r="AB322" s="27">
        <f t="shared" si="19"/>
        <v>-49.3900000000001</v>
      </c>
    </row>
    <row r="323" spans="1:28" hidden="1" x14ac:dyDescent="0.35">
      <c r="A323" t="s">
        <v>910</v>
      </c>
      <c r="B323" t="s">
        <v>910</v>
      </c>
      <c r="C323" t="s">
        <v>438</v>
      </c>
      <c r="D323" s="4">
        <v>256779415297</v>
      </c>
      <c r="E323" s="3">
        <v>45848</v>
      </c>
      <c r="F323" t="s">
        <v>11</v>
      </c>
      <c r="G323">
        <v>-24</v>
      </c>
      <c r="H323">
        <v>24</v>
      </c>
      <c r="I323" s="27">
        <v>-2123.2800000000002</v>
      </c>
      <c r="K323" s="3">
        <v>45878</v>
      </c>
      <c r="L323" s="3">
        <v>45991</v>
      </c>
      <c r="M323" t="s">
        <v>912</v>
      </c>
      <c r="N323" s="2">
        <v>45901</v>
      </c>
      <c r="O323">
        <v>59300350</v>
      </c>
      <c r="P323">
        <v>1</v>
      </c>
      <c r="Q323" s="3">
        <v>45930</v>
      </c>
      <c r="R323">
        <v>210</v>
      </c>
      <c r="S323" s="85">
        <v>1.55E+16</v>
      </c>
      <c r="T323" t="s">
        <v>913</v>
      </c>
      <c r="U323">
        <v>2123.2800000000002</v>
      </c>
      <c r="W323" s="79">
        <f t="shared" ref="W323" si="20">X323/I323</f>
        <v>-2.000207226555141E-2</v>
      </c>
      <c r="X323">
        <f>VLOOKUP(D323,'[3]Customer TDS'!D:I,6,0)</f>
        <v>42.47</v>
      </c>
      <c r="Y323" s="27">
        <f t="shared" si="18"/>
        <v>-2080.8100000000004</v>
      </c>
      <c r="Z323" t="s">
        <v>915</v>
      </c>
      <c r="AA323">
        <f>VLOOKUP(D323,'Ascendus DATA'!$F:$J,5,0)</f>
        <v>2064.02</v>
      </c>
      <c r="AB323" s="27">
        <f t="shared" si="19"/>
        <v>-59.260000000000218</v>
      </c>
    </row>
    <row r="324" spans="1:28" hidden="1" x14ac:dyDescent="0.35">
      <c r="A324" t="s">
        <v>910</v>
      </c>
      <c r="B324" t="s">
        <v>910</v>
      </c>
      <c r="C324" t="s">
        <v>438</v>
      </c>
      <c r="D324" s="4">
        <v>256779415291</v>
      </c>
      <c r="E324" s="3">
        <v>45848</v>
      </c>
      <c r="F324" t="s">
        <v>11</v>
      </c>
      <c r="G324">
        <v>-24</v>
      </c>
      <c r="H324">
        <v>23.52</v>
      </c>
      <c r="I324" s="27">
        <v>-2123.2800000000002</v>
      </c>
      <c r="K324" s="3">
        <v>45878</v>
      </c>
      <c r="L324" s="3">
        <v>46053</v>
      </c>
      <c r="M324" t="s">
        <v>912</v>
      </c>
      <c r="N324" s="2">
        <v>45901</v>
      </c>
      <c r="O324">
        <v>59300352</v>
      </c>
      <c r="P324">
        <v>1</v>
      </c>
      <c r="Q324" s="3">
        <v>45930</v>
      </c>
      <c r="R324">
        <v>210</v>
      </c>
      <c r="S324" s="85">
        <v>1.55E+16</v>
      </c>
      <c r="T324" t="s">
        <v>913</v>
      </c>
      <c r="U324">
        <v>2079.3000000000002</v>
      </c>
      <c r="Y324" s="27">
        <f t="shared" ref="Y324:Y387" si="21">I324+X324</f>
        <v>-2123.2800000000002</v>
      </c>
      <c r="Z324" t="s">
        <v>915</v>
      </c>
      <c r="AA324">
        <f>VLOOKUP(D324,'Ascendus DATA'!$F:$J,5,0)</f>
        <v>2064.02</v>
      </c>
      <c r="AB324" s="27">
        <f t="shared" si="19"/>
        <v>-59.260000000000218</v>
      </c>
    </row>
    <row r="325" spans="1:28" hidden="1" x14ac:dyDescent="0.35">
      <c r="A325" t="s">
        <v>910</v>
      </c>
      <c r="B325" t="s">
        <v>910</v>
      </c>
      <c r="C325" t="s">
        <v>438</v>
      </c>
      <c r="D325" s="4">
        <v>246779410311</v>
      </c>
      <c r="E325" s="3">
        <v>45708</v>
      </c>
      <c r="F325" t="s">
        <v>11</v>
      </c>
      <c r="G325" t="s">
        <v>911</v>
      </c>
      <c r="H325" t="s">
        <v>911</v>
      </c>
      <c r="I325">
        <v>-197.88</v>
      </c>
      <c r="J325" t="s">
        <v>15</v>
      </c>
      <c r="K325" s="3">
        <v>45738</v>
      </c>
      <c r="M325" t="s">
        <v>912</v>
      </c>
      <c r="N325" s="2">
        <v>45901</v>
      </c>
      <c r="O325">
        <v>59439575</v>
      </c>
      <c r="P325">
        <v>2</v>
      </c>
      <c r="Q325" s="3">
        <v>45930</v>
      </c>
      <c r="R325">
        <v>271</v>
      </c>
      <c r="T325" t="s">
        <v>913</v>
      </c>
      <c r="U325">
        <v>0</v>
      </c>
      <c r="Y325" s="27">
        <f t="shared" si="21"/>
        <v>-197.88</v>
      </c>
      <c r="Z325" t="s">
        <v>894</v>
      </c>
    </row>
    <row r="326" spans="1:28" hidden="1" x14ac:dyDescent="0.35">
      <c r="A326" t="s">
        <v>910</v>
      </c>
      <c r="B326" t="s">
        <v>910</v>
      </c>
      <c r="C326" t="s">
        <v>438</v>
      </c>
      <c r="D326" s="4">
        <v>256779411867</v>
      </c>
      <c r="E326" s="3">
        <v>45763</v>
      </c>
      <c r="F326" t="s">
        <v>11</v>
      </c>
      <c r="G326" t="s">
        <v>911</v>
      </c>
      <c r="H326" t="s">
        <v>911</v>
      </c>
      <c r="I326">
        <v>-847.79</v>
      </c>
      <c r="J326" t="s">
        <v>15</v>
      </c>
      <c r="K326" s="3">
        <v>45793</v>
      </c>
      <c r="M326" t="s">
        <v>912</v>
      </c>
      <c r="N326" s="2">
        <v>45901</v>
      </c>
      <c r="O326">
        <v>59439575</v>
      </c>
      <c r="P326">
        <v>4</v>
      </c>
      <c r="Q326" s="3">
        <v>45930</v>
      </c>
      <c r="R326">
        <v>271</v>
      </c>
      <c r="T326" t="s">
        <v>913</v>
      </c>
      <c r="U326">
        <v>0</v>
      </c>
      <c r="Y326" s="27">
        <f t="shared" si="21"/>
        <v>-847.79</v>
      </c>
      <c r="Z326" t="s">
        <v>894</v>
      </c>
    </row>
    <row r="327" spans="1:28" hidden="1" x14ac:dyDescent="0.35">
      <c r="A327" t="s">
        <v>910</v>
      </c>
      <c r="B327" t="s">
        <v>910</v>
      </c>
      <c r="C327" t="s">
        <v>438</v>
      </c>
      <c r="D327" s="4">
        <v>256779415389</v>
      </c>
      <c r="E327" s="3">
        <v>45848</v>
      </c>
      <c r="F327" t="s">
        <v>11</v>
      </c>
      <c r="G327" t="s">
        <v>911</v>
      </c>
      <c r="H327" t="s">
        <v>911</v>
      </c>
      <c r="I327">
        <v>-31.68</v>
      </c>
      <c r="J327" t="s">
        <v>15</v>
      </c>
      <c r="K327" s="3">
        <v>45878</v>
      </c>
      <c r="M327" t="s">
        <v>912</v>
      </c>
      <c r="N327" s="2">
        <v>45901</v>
      </c>
      <c r="O327">
        <v>59439575</v>
      </c>
      <c r="P327">
        <v>6</v>
      </c>
      <c r="Q327" s="3">
        <v>45930</v>
      </c>
      <c r="R327">
        <v>271</v>
      </c>
      <c r="T327" t="s">
        <v>913</v>
      </c>
      <c r="U327">
        <v>0</v>
      </c>
      <c r="Y327" s="27">
        <f t="shared" si="21"/>
        <v>-31.68</v>
      </c>
      <c r="Z327" t="s">
        <v>894</v>
      </c>
    </row>
    <row r="328" spans="1:28" hidden="1" x14ac:dyDescent="0.35">
      <c r="A328" t="s">
        <v>910</v>
      </c>
      <c r="B328" t="s">
        <v>910</v>
      </c>
      <c r="C328" t="s">
        <v>438</v>
      </c>
      <c r="D328" s="4">
        <v>256779415346</v>
      </c>
      <c r="E328" s="3">
        <v>45848</v>
      </c>
      <c r="F328" t="s">
        <v>11</v>
      </c>
      <c r="G328" t="s">
        <v>911</v>
      </c>
      <c r="H328" t="s">
        <v>911</v>
      </c>
      <c r="I328">
        <v>-3.24</v>
      </c>
      <c r="J328" t="s">
        <v>15</v>
      </c>
      <c r="K328" s="3">
        <v>45878</v>
      </c>
      <c r="M328" t="s">
        <v>912</v>
      </c>
      <c r="N328" s="2">
        <v>45901</v>
      </c>
      <c r="O328">
        <v>59439575</v>
      </c>
      <c r="P328">
        <v>8</v>
      </c>
      <c r="Q328" s="3">
        <v>45930</v>
      </c>
      <c r="R328">
        <v>271</v>
      </c>
      <c r="T328" t="s">
        <v>913</v>
      </c>
      <c r="U328">
        <v>0</v>
      </c>
      <c r="Y328" s="27">
        <f t="shared" si="21"/>
        <v>-3.24</v>
      </c>
      <c r="Z328" t="s">
        <v>894</v>
      </c>
    </row>
    <row r="329" spans="1:28" hidden="1" x14ac:dyDescent="0.35">
      <c r="A329" t="s">
        <v>910</v>
      </c>
      <c r="B329" t="s">
        <v>910</v>
      </c>
      <c r="C329" t="s">
        <v>438</v>
      </c>
      <c r="D329" s="4">
        <v>256779415350</v>
      </c>
      <c r="E329" s="3">
        <v>45848</v>
      </c>
      <c r="F329" t="s">
        <v>11</v>
      </c>
      <c r="G329" t="s">
        <v>911</v>
      </c>
      <c r="H329" t="s">
        <v>911</v>
      </c>
      <c r="I329">
        <v>-4.17</v>
      </c>
      <c r="J329" t="s">
        <v>15</v>
      </c>
      <c r="K329" s="3">
        <v>45878</v>
      </c>
      <c r="M329" t="s">
        <v>912</v>
      </c>
      <c r="N329" s="2">
        <v>45901</v>
      </c>
      <c r="O329">
        <v>59439575</v>
      </c>
      <c r="P329">
        <v>10</v>
      </c>
      <c r="Q329" s="3">
        <v>45930</v>
      </c>
      <c r="R329">
        <v>271</v>
      </c>
      <c r="T329" t="s">
        <v>913</v>
      </c>
      <c r="U329">
        <v>0</v>
      </c>
      <c r="Y329" s="27">
        <f t="shared" si="21"/>
        <v>-4.17</v>
      </c>
      <c r="Z329" t="s">
        <v>894</v>
      </c>
    </row>
    <row r="330" spans="1:28" hidden="1" x14ac:dyDescent="0.35">
      <c r="A330" t="s">
        <v>910</v>
      </c>
      <c r="B330" t="s">
        <v>910</v>
      </c>
      <c r="C330" t="s">
        <v>438</v>
      </c>
      <c r="D330" s="4">
        <v>256779415316</v>
      </c>
      <c r="E330" s="3">
        <v>45848</v>
      </c>
      <c r="F330" t="s">
        <v>11</v>
      </c>
      <c r="G330" t="s">
        <v>911</v>
      </c>
      <c r="H330" t="s">
        <v>911</v>
      </c>
      <c r="I330">
        <v>-11.14</v>
      </c>
      <c r="J330" t="s">
        <v>15</v>
      </c>
      <c r="K330" s="3">
        <v>45878</v>
      </c>
      <c r="M330" t="s">
        <v>912</v>
      </c>
      <c r="N330" s="2">
        <v>45901</v>
      </c>
      <c r="O330">
        <v>59439575</v>
      </c>
      <c r="P330">
        <v>12</v>
      </c>
      <c r="Q330" s="3">
        <v>45930</v>
      </c>
      <c r="R330">
        <v>271</v>
      </c>
      <c r="T330" t="s">
        <v>913</v>
      </c>
      <c r="U330">
        <v>0</v>
      </c>
      <c r="Y330" s="27">
        <f t="shared" si="21"/>
        <v>-11.14</v>
      </c>
      <c r="Z330" t="s">
        <v>894</v>
      </c>
    </row>
    <row r="331" spans="1:28" hidden="1" x14ac:dyDescent="0.35">
      <c r="A331" t="s">
        <v>910</v>
      </c>
      <c r="B331" t="s">
        <v>910</v>
      </c>
      <c r="C331" t="s">
        <v>438</v>
      </c>
      <c r="D331" s="4">
        <v>256779415355</v>
      </c>
      <c r="E331" s="3">
        <v>45848</v>
      </c>
      <c r="F331" t="s">
        <v>11</v>
      </c>
      <c r="G331" t="s">
        <v>911</v>
      </c>
      <c r="H331" t="s">
        <v>911</v>
      </c>
      <c r="I331">
        <v>-3.97</v>
      </c>
      <c r="J331" t="s">
        <v>15</v>
      </c>
      <c r="K331" s="3">
        <v>45878</v>
      </c>
      <c r="M331" t="s">
        <v>912</v>
      </c>
      <c r="N331" s="2">
        <v>45901</v>
      </c>
      <c r="O331">
        <v>59439575</v>
      </c>
      <c r="P331">
        <v>14</v>
      </c>
      <c r="Q331" s="3">
        <v>45930</v>
      </c>
      <c r="R331">
        <v>271</v>
      </c>
      <c r="T331" t="s">
        <v>913</v>
      </c>
      <c r="U331">
        <v>0</v>
      </c>
      <c r="Y331" s="27">
        <f t="shared" si="21"/>
        <v>-3.97</v>
      </c>
      <c r="Z331" t="s">
        <v>894</v>
      </c>
    </row>
    <row r="332" spans="1:28" hidden="1" x14ac:dyDescent="0.35">
      <c r="A332" t="s">
        <v>910</v>
      </c>
      <c r="B332" t="s">
        <v>910</v>
      </c>
      <c r="C332" t="s">
        <v>438</v>
      </c>
      <c r="D332" s="4">
        <v>256779415209</v>
      </c>
      <c r="E332" s="3">
        <v>45842</v>
      </c>
      <c r="F332" t="s">
        <v>11</v>
      </c>
      <c r="G332" t="s">
        <v>911</v>
      </c>
      <c r="H332" t="s">
        <v>911</v>
      </c>
      <c r="I332">
        <v>-11.75</v>
      </c>
      <c r="J332" t="s">
        <v>15</v>
      </c>
      <c r="K332" s="3">
        <v>45872</v>
      </c>
      <c r="M332" t="s">
        <v>912</v>
      </c>
      <c r="N332" s="2">
        <v>45901</v>
      </c>
      <c r="O332">
        <v>59439575</v>
      </c>
      <c r="P332">
        <v>16</v>
      </c>
      <c r="Q332" s="3">
        <v>45930</v>
      </c>
      <c r="R332">
        <v>271</v>
      </c>
      <c r="T332" t="s">
        <v>913</v>
      </c>
      <c r="U332">
        <v>0</v>
      </c>
      <c r="Y332" s="27">
        <f t="shared" si="21"/>
        <v>-11.75</v>
      </c>
      <c r="Z332" t="s">
        <v>894</v>
      </c>
    </row>
    <row r="333" spans="1:28" hidden="1" x14ac:dyDescent="0.35">
      <c r="A333" t="s">
        <v>910</v>
      </c>
      <c r="B333" t="s">
        <v>910</v>
      </c>
      <c r="C333" t="s">
        <v>438</v>
      </c>
      <c r="D333" s="4">
        <v>256779415303</v>
      </c>
      <c r="E333" s="3">
        <v>45848</v>
      </c>
      <c r="F333" t="s">
        <v>11</v>
      </c>
      <c r="G333" t="s">
        <v>911</v>
      </c>
      <c r="H333" t="s">
        <v>911</v>
      </c>
      <c r="I333">
        <v>-18.57</v>
      </c>
      <c r="J333" t="s">
        <v>15</v>
      </c>
      <c r="K333" s="3">
        <v>45878</v>
      </c>
      <c r="M333" t="s">
        <v>912</v>
      </c>
      <c r="N333" s="2">
        <v>45901</v>
      </c>
      <c r="O333">
        <v>59439575</v>
      </c>
      <c r="P333">
        <v>18</v>
      </c>
      <c r="Q333" s="3">
        <v>45930</v>
      </c>
      <c r="R333">
        <v>271</v>
      </c>
      <c r="T333" t="s">
        <v>913</v>
      </c>
      <c r="U333">
        <v>0</v>
      </c>
      <c r="Y333" s="27">
        <f t="shared" si="21"/>
        <v>-18.57</v>
      </c>
      <c r="Z333" t="s">
        <v>894</v>
      </c>
    </row>
    <row r="334" spans="1:28" hidden="1" x14ac:dyDescent="0.35">
      <c r="A334" t="s">
        <v>910</v>
      </c>
      <c r="B334" t="s">
        <v>910</v>
      </c>
      <c r="C334" t="s">
        <v>438</v>
      </c>
      <c r="D334" s="4">
        <v>256779415333</v>
      </c>
      <c r="E334" s="3">
        <v>45848</v>
      </c>
      <c r="F334" t="s">
        <v>11</v>
      </c>
      <c r="G334" t="s">
        <v>911</v>
      </c>
      <c r="H334" t="s">
        <v>911</v>
      </c>
      <c r="I334">
        <v>-4.17</v>
      </c>
      <c r="J334" t="s">
        <v>15</v>
      </c>
      <c r="K334" s="3">
        <v>45878</v>
      </c>
      <c r="M334" t="s">
        <v>912</v>
      </c>
      <c r="N334" s="2">
        <v>45901</v>
      </c>
      <c r="O334">
        <v>59439575</v>
      </c>
      <c r="P334">
        <v>20</v>
      </c>
      <c r="Q334" s="3">
        <v>45930</v>
      </c>
      <c r="R334">
        <v>271</v>
      </c>
      <c r="T334" t="s">
        <v>913</v>
      </c>
      <c r="U334">
        <v>0</v>
      </c>
      <c r="Y334" s="27">
        <f t="shared" si="21"/>
        <v>-4.17</v>
      </c>
      <c r="Z334" t="s">
        <v>894</v>
      </c>
    </row>
    <row r="335" spans="1:28" hidden="1" x14ac:dyDescent="0.35">
      <c r="A335" t="s">
        <v>910</v>
      </c>
      <c r="B335" t="s">
        <v>910</v>
      </c>
      <c r="C335" t="s">
        <v>438</v>
      </c>
      <c r="D335" s="4">
        <v>256779415304</v>
      </c>
      <c r="E335" s="3">
        <v>45848</v>
      </c>
      <c r="F335" t="s">
        <v>11</v>
      </c>
      <c r="G335" t="s">
        <v>911</v>
      </c>
      <c r="H335" t="s">
        <v>911</v>
      </c>
      <c r="I335">
        <v>-5.57</v>
      </c>
      <c r="J335" t="s">
        <v>15</v>
      </c>
      <c r="K335" s="3">
        <v>45878</v>
      </c>
      <c r="M335" t="s">
        <v>912</v>
      </c>
      <c r="N335" s="2">
        <v>45901</v>
      </c>
      <c r="O335">
        <v>59439575</v>
      </c>
      <c r="P335">
        <v>22</v>
      </c>
      <c r="Q335" s="3">
        <v>45930</v>
      </c>
      <c r="R335">
        <v>271</v>
      </c>
      <c r="T335" t="s">
        <v>913</v>
      </c>
      <c r="U335">
        <v>0</v>
      </c>
      <c r="Y335" s="27">
        <f t="shared" si="21"/>
        <v>-5.57</v>
      </c>
      <c r="Z335" t="s">
        <v>894</v>
      </c>
    </row>
    <row r="336" spans="1:28" hidden="1" x14ac:dyDescent="0.35">
      <c r="A336" t="s">
        <v>910</v>
      </c>
      <c r="B336" t="s">
        <v>910</v>
      </c>
      <c r="C336" t="s">
        <v>438</v>
      </c>
      <c r="D336" s="4">
        <v>256779415377</v>
      </c>
      <c r="E336" s="3">
        <v>45848</v>
      </c>
      <c r="F336" t="s">
        <v>11</v>
      </c>
      <c r="G336" t="s">
        <v>911</v>
      </c>
      <c r="H336" t="s">
        <v>911</v>
      </c>
      <c r="I336">
        <v>-9.2899999999999991</v>
      </c>
      <c r="J336" t="s">
        <v>15</v>
      </c>
      <c r="K336" s="3">
        <v>45878</v>
      </c>
      <c r="M336" t="s">
        <v>912</v>
      </c>
      <c r="N336" s="2">
        <v>45901</v>
      </c>
      <c r="O336">
        <v>59439575</v>
      </c>
      <c r="P336">
        <v>24</v>
      </c>
      <c r="Q336" s="3">
        <v>45930</v>
      </c>
      <c r="R336">
        <v>271</v>
      </c>
      <c r="T336" t="s">
        <v>913</v>
      </c>
      <c r="U336">
        <v>0</v>
      </c>
      <c r="Y336" s="27">
        <f t="shared" si="21"/>
        <v>-9.2899999999999991</v>
      </c>
      <c r="Z336" t="s">
        <v>894</v>
      </c>
    </row>
    <row r="337" spans="1:26" hidden="1" x14ac:dyDescent="0.35">
      <c r="A337" t="s">
        <v>910</v>
      </c>
      <c r="B337" t="s">
        <v>910</v>
      </c>
      <c r="C337" t="s">
        <v>438</v>
      </c>
      <c r="D337" s="4">
        <v>256779415270</v>
      </c>
      <c r="E337" s="3">
        <v>45842</v>
      </c>
      <c r="F337" t="s">
        <v>11</v>
      </c>
      <c r="G337" t="s">
        <v>911</v>
      </c>
      <c r="H337" t="s">
        <v>911</v>
      </c>
      <c r="I337">
        <v>-78.16</v>
      </c>
      <c r="J337" t="s">
        <v>15</v>
      </c>
      <c r="K337" s="3">
        <v>45872</v>
      </c>
      <c r="M337" t="s">
        <v>912</v>
      </c>
      <c r="N337" s="2">
        <v>45901</v>
      </c>
      <c r="O337">
        <v>59439575</v>
      </c>
      <c r="P337">
        <v>26</v>
      </c>
      <c r="Q337" s="3">
        <v>45930</v>
      </c>
      <c r="R337">
        <v>271</v>
      </c>
      <c r="T337" t="s">
        <v>913</v>
      </c>
      <c r="U337">
        <v>0</v>
      </c>
      <c r="Y337" s="27">
        <f t="shared" si="21"/>
        <v>-78.16</v>
      </c>
      <c r="Z337" t="s">
        <v>894</v>
      </c>
    </row>
    <row r="338" spans="1:26" hidden="1" x14ac:dyDescent="0.35">
      <c r="A338" t="s">
        <v>910</v>
      </c>
      <c r="B338" t="s">
        <v>910</v>
      </c>
      <c r="C338" t="s">
        <v>438</v>
      </c>
      <c r="D338" s="4">
        <v>256779415298</v>
      </c>
      <c r="E338" s="3">
        <v>45848</v>
      </c>
      <c r="F338" t="s">
        <v>11</v>
      </c>
      <c r="G338" t="s">
        <v>911</v>
      </c>
      <c r="H338" t="s">
        <v>911</v>
      </c>
      <c r="I338">
        <v>-4.46</v>
      </c>
      <c r="J338" t="s">
        <v>15</v>
      </c>
      <c r="K338" s="3">
        <v>45878</v>
      </c>
      <c r="M338" t="s">
        <v>912</v>
      </c>
      <c r="N338" s="2">
        <v>45901</v>
      </c>
      <c r="O338">
        <v>59439575</v>
      </c>
      <c r="P338">
        <v>28</v>
      </c>
      <c r="Q338" s="3">
        <v>45930</v>
      </c>
      <c r="R338">
        <v>271</v>
      </c>
      <c r="T338" t="s">
        <v>913</v>
      </c>
      <c r="U338">
        <v>0</v>
      </c>
      <c r="Y338" s="27">
        <f t="shared" si="21"/>
        <v>-4.46</v>
      </c>
      <c r="Z338" t="s">
        <v>894</v>
      </c>
    </row>
    <row r="339" spans="1:26" hidden="1" x14ac:dyDescent="0.35">
      <c r="A339" t="s">
        <v>910</v>
      </c>
      <c r="B339" t="s">
        <v>910</v>
      </c>
      <c r="C339" t="s">
        <v>438</v>
      </c>
      <c r="D339" s="4">
        <v>256779415380</v>
      </c>
      <c r="E339" s="3">
        <v>45848</v>
      </c>
      <c r="F339" t="s">
        <v>11</v>
      </c>
      <c r="G339" t="s">
        <v>911</v>
      </c>
      <c r="H339" t="s">
        <v>911</v>
      </c>
      <c r="I339">
        <v>-37.14</v>
      </c>
      <c r="J339" t="s">
        <v>15</v>
      </c>
      <c r="K339" s="3">
        <v>45878</v>
      </c>
      <c r="M339" t="s">
        <v>912</v>
      </c>
      <c r="N339" s="2">
        <v>45901</v>
      </c>
      <c r="O339">
        <v>59439575</v>
      </c>
      <c r="P339">
        <v>30</v>
      </c>
      <c r="Q339" s="3">
        <v>45930</v>
      </c>
      <c r="R339">
        <v>271</v>
      </c>
      <c r="T339" t="s">
        <v>913</v>
      </c>
      <c r="U339">
        <v>0</v>
      </c>
      <c r="Y339" s="27">
        <f t="shared" si="21"/>
        <v>-37.14</v>
      </c>
      <c r="Z339" t="s">
        <v>894</v>
      </c>
    </row>
    <row r="340" spans="1:26" hidden="1" x14ac:dyDescent="0.35">
      <c r="A340" t="s">
        <v>910</v>
      </c>
      <c r="B340" t="s">
        <v>910</v>
      </c>
      <c r="C340" t="s">
        <v>438</v>
      </c>
      <c r="D340" s="4">
        <v>256779415341</v>
      </c>
      <c r="E340" s="3">
        <v>45848</v>
      </c>
      <c r="F340" t="s">
        <v>11</v>
      </c>
      <c r="G340" t="s">
        <v>911</v>
      </c>
      <c r="H340" t="s">
        <v>911</v>
      </c>
      <c r="I340">
        <v>-2.78</v>
      </c>
      <c r="J340" t="s">
        <v>15</v>
      </c>
      <c r="K340" s="3">
        <v>45878</v>
      </c>
      <c r="M340" t="s">
        <v>912</v>
      </c>
      <c r="N340" s="2">
        <v>45901</v>
      </c>
      <c r="O340">
        <v>59439575</v>
      </c>
      <c r="P340">
        <v>32</v>
      </c>
      <c r="Q340" s="3">
        <v>45930</v>
      </c>
      <c r="R340">
        <v>271</v>
      </c>
      <c r="T340" t="s">
        <v>913</v>
      </c>
      <c r="U340">
        <v>0</v>
      </c>
      <c r="Y340" s="27">
        <f t="shared" si="21"/>
        <v>-2.78</v>
      </c>
      <c r="Z340" t="s">
        <v>894</v>
      </c>
    </row>
    <row r="341" spans="1:26" hidden="1" x14ac:dyDescent="0.35">
      <c r="A341" t="s">
        <v>910</v>
      </c>
      <c r="B341" t="s">
        <v>910</v>
      </c>
      <c r="C341" t="s">
        <v>438</v>
      </c>
      <c r="D341" s="4">
        <v>256779415359</v>
      </c>
      <c r="E341" s="3">
        <v>45848</v>
      </c>
      <c r="F341" t="s">
        <v>11</v>
      </c>
      <c r="G341" t="s">
        <v>911</v>
      </c>
      <c r="H341" t="s">
        <v>911</v>
      </c>
      <c r="I341">
        <v>-37.14</v>
      </c>
      <c r="J341" t="s">
        <v>15</v>
      </c>
      <c r="K341" s="3">
        <v>45878</v>
      </c>
      <c r="M341" t="s">
        <v>912</v>
      </c>
      <c r="N341" s="2">
        <v>45901</v>
      </c>
      <c r="O341">
        <v>59439575</v>
      </c>
      <c r="P341">
        <v>34</v>
      </c>
      <c r="Q341" s="3">
        <v>45930</v>
      </c>
      <c r="R341">
        <v>271</v>
      </c>
      <c r="T341" t="s">
        <v>913</v>
      </c>
      <c r="U341">
        <v>0</v>
      </c>
      <c r="Y341" s="27">
        <f t="shared" si="21"/>
        <v>-37.14</v>
      </c>
      <c r="Z341" t="s">
        <v>894</v>
      </c>
    </row>
    <row r="342" spans="1:26" hidden="1" x14ac:dyDescent="0.35">
      <c r="A342" t="s">
        <v>910</v>
      </c>
      <c r="B342" t="s">
        <v>910</v>
      </c>
      <c r="C342" t="s">
        <v>438</v>
      </c>
      <c r="D342" s="4">
        <v>256779415338</v>
      </c>
      <c r="E342" s="3">
        <v>45848</v>
      </c>
      <c r="F342" t="s">
        <v>11</v>
      </c>
      <c r="G342" t="s">
        <v>911</v>
      </c>
      <c r="H342" t="s">
        <v>911</v>
      </c>
      <c r="I342">
        <v>-2.3199999999999998</v>
      </c>
      <c r="J342" t="s">
        <v>15</v>
      </c>
      <c r="K342" s="3">
        <v>45878</v>
      </c>
      <c r="M342" t="s">
        <v>912</v>
      </c>
      <c r="N342" s="2">
        <v>45901</v>
      </c>
      <c r="O342">
        <v>59439575</v>
      </c>
      <c r="P342">
        <v>36</v>
      </c>
      <c r="Q342" s="3">
        <v>45930</v>
      </c>
      <c r="R342">
        <v>271</v>
      </c>
      <c r="T342" t="s">
        <v>913</v>
      </c>
      <c r="U342">
        <v>0</v>
      </c>
      <c r="Y342" s="27">
        <f t="shared" si="21"/>
        <v>-2.3199999999999998</v>
      </c>
      <c r="Z342" t="s">
        <v>894</v>
      </c>
    </row>
    <row r="343" spans="1:26" hidden="1" x14ac:dyDescent="0.35">
      <c r="A343" t="s">
        <v>910</v>
      </c>
      <c r="B343" t="s">
        <v>910</v>
      </c>
      <c r="C343" t="s">
        <v>438</v>
      </c>
      <c r="D343" s="4">
        <v>256779415344</v>
      </c>
      <c r="E343" s="3">
        <v>45848</v>
      </c>
      <c r="F343" t="s">
        <v>11</v>
      </c>
      <c r="G343" t="s">
        <v>911</v>
      </c>
      <c r="H343" t="s">
        <v>911</v>
      </c>
      <c r="I343">
        <v>-4.6500000000000004</v>
      </c>
      <c r="J343" t="s">
        <v>15</v>
      </c>
      <c r="K343" s="3">
        <v>45878</v>
      </c>
      <c r="M343" t="s">
        <v>912</v>
      </c>
      <c r="N343" s="2">
        <v>45901</v>
      </c>
      <c r="O343">
        <v>59439575</v>
      </c>
      <c r="P343">
        <v>38</v>
      </c>
      <c r="Q343" s="3">
        <v>45930</v>
      </c>
      <c r="R343">
        <v>271</v>
      </c>
      <c r="T343" t="s">
        <v>913</v>
      </c>
      <c r="U343">
        <v>0</v>
      </c>
      <c r="Y343" s="27">
        <f t="shared" si="21"/>
        <v>-4.6500000000000004</v>
      </c>
      <c r="Z343" t="s">
        <v>894</v>
      </c>
    </row>
    <row r="344" spans="1:26" hidden="1" x14ac:dyDescent="0.35">
      <c r="A344" t="s">
        <v>910</v>
      </c>
      <c r="B344" t="s">
        <v>910</v>
      </c>
      <c r="C344" t="s">
        <v>438</v>
      </c>
      <c r="D344" s="4">
        <v>256779415345</v>
      </c>
      <c r="E344" s="3">
        <v>45848</v>
      </c>
      <c r="F344" t="s">
        <v>11</v>
      </c>
      <c r="G344" t="s">
        <v>911</v>
      </c>
      <c r="H344" t="s">
        <v>911</v>
      </c>
      <c r="I344">
        <v>-4.6500000000000004</v>
      </c>
      <c r="J344" t="s">
        <v>15</v>
      </c>
      <c r="K344" s="3">
        <v>45878</v>
      </c>
      <c r="M344" t="s">
        <v>912</v>
      </c>
      <c r="N344" s="2">
        <v>45901</v>
      </c>
      <c r="O344">
        <v>59439575</v>
      </c>
      <c r="P344">
        <v>40</v>
      </c>
      <c r="Q344" s="3">
        <v>45930</v>
      </c>
      <c r="R344">
        <v>271</v>
      </c>
      <c r="T344" t="s">
        <v>913</v>
      </c>
      <c r="U344">
        <v>0</v>
      </c>
      <c r="Y344" s="27">
        <f t="shared" si="21"/>
        <v>-4.6500000000000004</v>
      </c>
      <c r="Z344" t="s">
        <v>894</v>
      </c>
    </row>
    <row r="345" spans="1:26" hidden="1" x14ac:dyDescent="0.35">
      <c r="A345" t="s">
        <v>910</v>
      </c>
      <c r="B345" t="s">
        <v>910</v>
      </c>
      <c r="C345" t="s">
        <v>438</v>
      </c>
      <c r="D345" s="4">
        <v>256779415388</v>
      </c>
      <c r="E345" s="3">
        <v>45848</v>
      </c>
      <c r="F345" t="s">
        <v>11</v>
      </c>
      <c r="G345" t="s">
        <v>911</v>
      </c>
      <c r="H345" t="s">
        <v>911</v>
      </c>
      <c r="I345">
        <v>-420</v>
      </c>
      <c r="J345" t="s">
        <v>15</v>
      </c>
      <c r="K345" s="3">
        <v>45878</v>
      </c>
      <c r="M345" t="s">
        <v>912</v>
      </c>
      <c r="N345" s="2">
        <v>45901</v>
      </c>
      <c r="O345">
        <v>59439575</v>
      </c>
      <c r="P345">
        <v>42</v>
      </c>
      <c r="Q345" s="3">
        <v>45930</v>
      </c>
      <c r="R345">
        <v>271</v>
      </c>
      <c r="T345" t="s">
        <v>913</v>
      </c>
      <c r="U345">
        <v>0</v>
      </c>
      <c r="Y345" s="27">
        <f t="shared" si="21"/>
        <v>-420</v>
      </c>
      <c r="Z345" t="s">
        <v>894</v>
      </c>
    </row>
    <row r="346" spans="1:26" hidden="1" x14ac:dyDescent="0.35">
      <c r="A346" t="s">
        <v>910</v>
      </c>
      <c r="B346" t="s">
        <v>910</v>
      </c>
      <c r="C346" t="s">
        <v>438</v>
      </c>
      <c r="D346" s="4">
        <v>256779415310</v>
      </c>
      <c r="E346" s="3">
        <v>45848</v>
      </c>
      <c r="F346" t="s">
        <v>11</v>
      </c>
      <c r="G346" t="s">
        <v>911</v>
      </c>
      <c r="H346" t="s">
        <v>911</v>
      </c>
      <c r="I346">
        <v>-5.57</v>
      </c>
      <c r="J346" t="s">
        <v>15</v>
      </c>
      <c r="K346" s="3">
        <v>45878</v>
      </c>
      <c r="M346" t="s">
        <v>912</v>
      </c>
      <c r="N346" s="2">
        <v>45901</v>
      </c>
      <c r="O346">
        <v>59439575</v>
      </c>
      <c r="P346">
        <v>44</v>
      </c>
      <c r="Q346" s="3">
        <v>45930</v>
      </c>
      <c r="R346">
        <v>271</v>
      </c>
      <c r="T346" t="s">
        <v>913</v>
      </c>
      <c r="U346">
        <v>0</v>
      </c>
      <c r="Y346" s="27">
        <f t="shared" si="21"/>
        <v>-5.57</v>
      </c>
      <c r="Z346" t="s">
        <v>894</v>
      </c>
    </row>
    <row r="347" spans="1:26" hidden="1" x14ac:dyDescent="0.35">
      <c r="A347" t="s">
        <v>910</v>
      </c>
      <c r="B347" t="s">
        <v>910</v>
      </c>
      <c r="C347" t="s">
        <v>438</v>
      </c>
      <c r="D347" s="4">
        <v>256779415379</v>
      </c>
      <c r="E347" s="3">
        <v>45848</v>
      </c>
      <c r="F347" t="s">
        <v>11</v>
      </c>
      <c r="G347" t="s">
        <v>911</v>
      </c>
      <c r="H347" t="s">
        <v>911</v>
      </c>
      <c r="I347">
        <v>-43.29</v>
      </c>
      <c r="J347" t="s">
        <v>15</v>
      </c>
      <c r="K347" s="3">
        <v>45878</v>
      </c>
      <c r="M347" t="s">
        <v>912</v>
      </c>
      <c r="N347" s="2">
        <v>45901</v>
      </c>
      <c r="O347">
        <v>59439575</v>
      </c>
      <c r="P347">
        <v>46</v>
      </c>
      <c r="Q347" s="3">
        <v>45930</v>
      </c>
      <c r="R347">
        <v>271</v>
      </c>
      <c r="T347" t="s">
        <v>913</v>
      </c>
      <c r="U347">
        <v>0</v>
      </c>
      <c r="Y347" s="27">
        <f t="shared" si="21"/>
        <v>-43.29</v>
      </c>
      <c r="Z347" t="s">
        <v>894</v>
      </c>
    </row>
    <row r="348" spans="1:26" hidden="1" x14ac:dyDescent="0.35">
      <c r="A348" t="s">
        <v>910</v>
      </c>
      <c r="B348" t="s">
        <v>910</v>
      </c>
      <c r="C348" t="s">
        <v>438</v>
      </c>
      <c r="D348" s="4">
        <v>256779415384</v>
      </c>
      <c r="E348" s="3">
        <v>45848</v>
      </c>
      <c r="F348" t="s">
        <v>11</v>
      </c>
      <c r="G348" t="s">
        <v>911</v>
      </c>
      <c r="H348" t="s">
        <v>911</v>
      </c>
      <c r="I348">
        <v>-65</v>
      </c>
      <c r="J348" t="s">
        <v>15</v>
      </c>
      <c r="K348" s="3">
        <v>45878</v>
      </c>
      <c r="M348" t="s">
        <v>912</v>
      </c>
      <c r="N348" s="2">
        <v>45901</v>
      </c>
      <c r="O348">
        <v>59439575</v>
      </c>
      <c r="P348">
        <v>48</v>
      </c>
      <c r="Q348" s="3">
        <v>45930</v>
      </c>
      <c r="R348">
        <v>271</v>
      </c>
      <c r="T348" t="s">
        <v>913</v>
      </c>
      <c r="U348">
        <v>0</v>
      </c>
      <c r="Y348" s="27">
        <f t="shared" si="21"/>
        <v>-65</v>
      </c>
      <c r="Z348" t="s">
        <v>894</v>
      </c>
    </row>
    <row r="349" spans="1:26" hidden="1" x14ac:dyDescent="0.35">
      <c r="A349" t="s">
        <v>910</v>
      </c>
      <c r="B349" t="s">
        <v>910</v>
      </c>
      <c r="C349" t="s">
        <v>438</v>
      </c>
      <c r="D349" s="4">
        <v>256779415339</v>
      </c>
      <c r="E349" s="3">
        <v>45848</v>
      </c>
      <c r="F349" t="s">
        <v>11</v>
      </c>
      <c r="G349" t="s">
        <v>911</v>
      </c>
      <c r="H349" t="s">
        <v>911</v>
      </c>
      <c r="I349">
        <v>-5.09</v>
      </c>
      <c r="J349" t="s">
        <v>15</v>
      </c>
      <c r="K349" s="3">
        <v>45878</v>
      </c>
      <c r="M349" t="s">
        <v>912</v>
      </c>
      <c r="N349" s="2">
        <v>45901</v>
      </c>
      <c r="O349">
        <v>59439575</v>
      </c>
      <c r="P349">
        <v>50</v>
      </c>
      <c r="Q349" s="3">
        <v>45930</v>
      </c>
      <c r="R349">
        <v>271</v>
      </c>
      <c r="T349" t="s">
        <v>913</v>
      </c>
      <c r="U349">
        <v>0</v>
      </c>
      <c r="Y349" s="27">
        <f t="shared" si="21"/>
        <v>-5.09</v>
      </c>
      <c r="Z349" t="s">
        <v>894</v>
      </c>
    </row>
    <row r="350" spans="1:26" hidden="1" x14ac:dyDescent="0.35">
      <c r="A350" t="s">
        <v>910</v>
      </c>
      <c r="B350" t="s">
        <v>910</v>
      </c>
      <c r="C350" t="s">
        <v>438</v>
      </c>
      <c r="D350" s="4">
        <v>256779411467</v>
      </c>
      <c r="E350" s="3">
        <v>45762</v>
      </c>
      <c r="F350" t="s">
        <v>11</v>
      </c>
      <c r="G350" t="s">
        <v>911</v>
      </c>
      <c r="H350" t="s">
        <v>911</v>
      </c>
      <c r="I350">
        <v>-101.74</v>
      </c>
      <c r="J350" t="s">
        <v>15</v>
      </c>
      <c r="K350" s="3">
        <v>45792</v>
      </c>
      <c r="M350" t="s">
        <v>912</v>
      </c>
      <c r="N350" s="2">
        <v>45901</v>
      </c>
      <c r="O350">
        <v>59439575</v>
      </c>
      <c r="P350">
        <v>52</v>
      </c>
      <c r="Q350" s="3">
        <v>45930</v>
      </c>
      <c r="R350">
        <v>271</v>
      </c>
      <c r="T350" t="s">
        <v>913</v>
      </c>
      <c r="U350">
        <v>0</v>
      </c>
      <c r="Y350" s="27">
        <f t="shared" si="21"/>
        <v>-101.74</v>
      </c>
      <c r="Z350" t="s">
        <v>894</v>
      </c>
    </row>
    <row r="351" spans="1:26" hidden="1" x14ac:dyDescent="0.35">
      <c r="A351" t="s">
        <v>910</v>
      </c>
      <c r="B351" t="s">
        <v>910</v>
      </c>
      <c r="C351" t="s">
        <v>438</v>
      </c>
      <c r="D351" s="4">
        <v>256779415393</v>
      </c>
      <c r="E351" s="3">
        <v>45848</v>
      </c>
      <c r="F351" t="s">
        <v>11</v>
      </c>
      <c r="G351" t="s">
        <v>911</v>
      </c>
      <c r="H351" t="s">
        <v>911</v>
      </c>
      <c r="I351">
        <v>-11.14</v>
      </c>
      <c r="J351" t="s">
        <v>15</v>
      </c>
      <c r="K351" s="3">
        <v>45878</v>
      </c>
      <c r="M351" t="s">
        <v>912</v>
      </c>
      <c r="N351" s="2">
        <v>45901</v>
      </c>
      <c r="O351">
        <v>59439575</v>
      </c>
      <c r="P351">
        <v>54</v>
      </c>
      <c r="Q351" s="3">
        <v>45930</v>
      </c>
      <c r="R351">
        <v>271</v>
      </c>
      <c r="T351" t="s">
        <v>913</v>
      </c>
      <c r="U351">
        <v>0</v>
      </c>
      <c r="Y351" s="27">
        <f t="shared" si="21"/>
        <v>-11.14</v>
      </c>
      <c r="Z351" t="s">
        <v>894</v>
      </c>
    </row>
    <row r="352" spans="1:26" hidden="1" x14ac:dyDescent="0.35">
      <c r="A352" t="s">
        <v>910</v>
      </c>
      <c r="B352" t="s">
        <v>910</v>
      </c>
      <c r="C352" t="s">
        <v>438</v>
      </c>
      <c r="D352" s="4">
        <v>256779415357</v>
      </c>
      <c r="E352" s="3">
        <v>45848</v>
      </c>
      <c r="F352" t="s">
        <v>11</v>
      </c>
      <c r="G352" t="s">
        <v>911</v>
      </c>
      <c r="H352" t="s">
        <v>911</v>
      </c>
      <c r="I352">
        <v>-38.49</v>
      </c>
      <c r="J352" t="s">
        <v>15</v>
      </c>
      <c r="K352" s="3">
        <v>45878</v>
      </c>
      <c r="M352" t="s">
        <v>912</v>
      </c>
      <c r="N352" s="2">
        <v>45901</v>
      </c>
      <c r="O352">
        <v>59439575</v>
      </c>
      <c r="P352">
        <v>56</v>
      </c>
      <c r="Q352" s="3">
        <v>45930</v>
      </c>
      <c r="R352">
        <v>271</v>
      </c>
      <c r="T352" t="s">
        <v>913</v>
      </c>
      <c r="U352">
        <v>0</v>
      </c>
      <c r="Y352" s="27">
        <f t="shared" si="21"/>
        <v>-38.49</v>
      </c>
      <c r="Z352" t="s">
        <v>894</v>
      </c>
    </row>
    <row r="353" spans="1:26" hidden="1" x14ac:dyDescent="0.35">
      <c r="A353" t="s">
        <v>910</v>
      </c>
      <c r="B353" t="s">
        <v>910</v>
      </c>
      <c r="C353" t="s">
        <v>438</v>
      </c>
      <c r="D353" s="4">
        <v>246779413747</v>
      </c>
      <c r="E353" s="3">
        <v>45736</v>
      </c>
      <c r="F353" t="s">
        <v>11</v>
      </c>
      <c r="G353" t="s">
        <v>911</v>
      </c>
      <c r="H353" t="s">
        <v>911</v>
      </c>
      <c r="I353">
        <v>-4.34</v>
      </c>
      <c r="J353" t="s">
        <v>15</v>
      </c>
      <c r="K353" s="3">
        <v>45766</v>
      </c>
      <c r="M353" t="s">
        <v>912</v>
      </c>
      <c r="N353" s="2">
        <v>45901</v>
      </c>
      <c r="O353">
        <v>59439575</v>
      </c>
      <c r="P353">
        <v>58</v>
      </c>
      <c r="Q353" s="3">
        <v>45930</v>
      </c>
      <c r="R353">
        <v>271</v>
      </c>
      <c r="T353" t="s">
        <v>913</v>
      </c>
      <c r="U353">
        <v>0</v>
      </c>
      <c r="Y353" s="27">
        <f t="shared" si="21"/>
        <v>-4.34</v>
      </c>
      <c r="Z353" t="s">
        <v>894</v>
      </c>
    </row>
    <row r="354" spans="1:26" hidden="1" x14ac:dyDescent="0.35">
      <c r="A354" t="s">
        <v>910</v>
      </c>
      <c r="B354" t="s">
        <v>910</v>
      </c>
      <c r="C354" t="s">
        <v>438</v>
      </c>
      <c r="D354" s="4">
        <v>256779415300</v>
      </c>
      <c r="E354" s="3">
        <v>45848</v>
      </c>
      <c r="F354" t="s">
        <v>11</v>
      </c>
      <c r="G354" t="s">
        <v>911</v>
      </c>
      <c r="H354" t="s">
        <v>911</v>
      </c>
      <c r="I354">
        <v>-4.46</v>
      </c>
      <c r="J354" t="s">
        <v>15</v>
      </c>
      <c r="K354" s="3">
        <v>45878</v>
      </c>
      <c r="M354" t="s">
        <v>912</v>
      </c>
      <c r="N354" s="2">
        <v>45901</v>
      </c>
      <c r="O354">
        <v>59439575</v>
      </c>
      <c r="P354">
        <v>60</v>
      </c>
      <c r="Q354" s="3">
        <v>45930</v>
      </c>
      <c r="R354">
        <v>271</v>
      </c>
      <c r="T354" t="s">
        <v>913</v>
      </c>
      <c r="U354">
        <v>0</v>
      </c>
      <c r="Y354" s="27">
        <f t="shared" si="21"/>
        <v>-4.46</v>
      </c>
      <c r="Z354" t="s">
        <v>894</v>
      </c>
    </row>
    <row r="355" spans="1:26" hidden="1" x14ac:dyDescent="0.35">
      <c r="A355" t="s">
        <v>910</v>
      </c>
      <c r="B355" t="s">
        <v>910</v>
      </c>
      <c r="C355" t="s">
        <v>438</v>
      </c>
      <c r="D355" s="4">
        <v>256779415375</v>
      </c>
      <c r="E355" s="3">
        <v>45848</v>
      </c>
      <c r="F355" t="s">
        <v>11</v>
      </c>
      <c r="G355" t="s">
        <v>911</v>
      </c>
      <c r="H355" t="s">
        <v>911</v>
      </c>
      <c r="I355">
        <v>-66.849999999999994</v>
      </c>
      <c r="J355" t="s">
        <v>15</v>
      </c>
      <c r="K355" s="3">
        <v>45878</v>
      </c>
      <c r="M355" t="s">
        <v>912</v>
      </c>
      <c r="N355" s="2">
        <v>45901</v>
      </c>
      <c r="O355">
        <v>59439575</v>
      </c>
      <c r="P355">
        <v>62</v>
      </c>
      <c r="Q355" s="3">
        <v>45930</v>
      </c>
      <c r="R355">
        <v>271</v>
      </c>
      <c r="T355" t="s">
        <v>913</v>
      </c>
      <c r="U355">
        <v>0</v>
      </c>
      <c r="Y355" s="27">
        <f t="shared" si="21"/>
        <v>-66.849999999999994</v>
      </c>
      <c r="Z355" t="s">
        <v>894</v>
      </c>
    </row>
    <row r="356" spans="1:26" hidden="1" x14ac:dyDescent="0.35">
      <c r="A356" t="s">
        <v>910</v>
      </c>
      <c r="B356" t="s">
        <v>910</v>
      </c>
      <c r="C356" t="s">
        <v>438</v>
      </c>
      <c r="D356" s="4">
        <v>256779413391</v>
      </c>
      <c r="E356" s="3">
        <v>45798</v>
      </c>
      <c r="F356" t="s">
        <v>11</v>
      </c>
      <c r="G356" t="s">
        <v>911</v>
      </c>
      <c r="H356" t="s">
        <v>911</v>
      </c>
      <c r="I356">
        <v>-815.41</v>
      </c>
      <c r="J356" t="s">
        <v>15</v>
      </c>
      <c r="K356" s="3">
        <v>45828</v>
      </c>
      <c r="M356" t="s">
        <v>912</v>
      </c>
      <c r="N356" s="2">
        <v>45901</v>
      </c>
      <c r="O356">
        <v>59439575</v>
      </c>
      <c r="P356">
        <v>64</v>
      </c>
      <c r="Q356" s="3">
        <v>45930</v>
      </c>
      <c r="R356">
        <v>271</v>
      </c>
      <c r="T356" t="s">
        <v>913</v>
      </c>
      <c r="U356">
        <v>0</v>
      </c>
      <c r="Y356" s="27">
        <f t="shared" si="21"/>
        <v>-815.41</v>
      </c>
      <c r="Z356" t="s">
        <v>894</v>
      </c>
    </row>
    <row r="357" spans="1:26" hidden="1" x14ac:dyDescent="0.35">
      <c r="A357" t="s">
        <v>910</v>
      </c>
      <c r="B357" t="s">
        <v>910</v>
      </c>
      <c r="C357" t="s">
        <v>438</v>
      </c>
      <c r="D357" s="4">
        <v>256779415349</v>
      </c>
      <c r="E357" s="3">
        <v>45848</v>
      </c>
      <c r="F357" t="s">
        <v>11</v>
      </c>
      <c r="G357" t="s">
        <v>911</v>
      </c>
      <c r="H357" t="s">
        <v>911</v>
      </c>
      <c r="I357">
        <v>-5.0999999999999996</v>
      </c>
      <c r="J357" t="s">
        <v>15</v>
      </c>
      <c r="K357" s="3">
        <v>45878</v>
      </c>
      <c r="M357" t="s">
        <v>912</v>
      </c>
      <c r="N357" s="2">
        <v>45901</v>
      </c>
      <c r="O357">
        <v>59439575</v>
      </c>
      <c r="P357">
        <v>66</v>
      </c>
      <c r="Q357" s="3">
        <v>45930</v>
      </c>
      <c r="R357">
        <v>271</v>
      </c>
      <c r="T357" t="s">
        <v>913</v>
      </c>
      <c r="U357">
        <v>0</v>
      </c>
      <c r="Y357" s="27">
        <f t="shared" si="21"/>
        <v>-5.0999999999999996</v>
      </c>
      <c r="Z357" t="s">
        <v>894</v>
      </c>
    </row>
    <row r="358" spans="1:26" hidden="1" x14ac:dyDescent="0.35">
      <c r="A358" t="s">
        <v>910</v>
      </c>
      <c r="B358" t="s">
        <v>910</v>
      </c>
      <c r="C358" t="s">
        <v>438</v>
      </c>
      <c r="D358" s="4">
        <v>256779415308</v>
      </c>
      <c r="E358" s="3">
        <v>45848</v>
      </c>
      <c r="F358" t="s">
        <v>11</v>
      </c>
      <c r="G358" t="s">
        <v>911</v>
      </c>
      <c r="H358" t="s">
        <v>911</v>
      </c>
      <c r="I358">
        <v>-5.57</v>
      </c>
      <c r="J358" t="s">
        <v>15</v>
      </c>
      <c r="K358" s="3">
        <v>45878</v>
      </c>
      <c r="M358" t="s">
        <v>912</v>
      </c>
      <c r="N358" s="2">
        <v>45901</v>
      </c>
      <c r="O358">
        <v>59439575</v>
      </c>
      <c r="P358">
        <v>68</v>
      </c>
      <c r="Q358" s="3">
        <v>45930</v>
      </c>
      <c r="R358">
        <v>271</v>
      </c>
      <c r="T358" t="s">
        <v>913</v>
      </c>
      <c r="U358">
        <v>0</v>
      </c>
      <c r="Y358" s="27">
        <f t="shared" si="21"/>
        <v>-5.57</v>
      </c>
      <c r="Z358" t="s">
        <v>894</v>
      </c>
    </row>
    <row r="359" spans="1:26" hidden="1" x14ac:dyDescent="0.35">
      <c r="A359" t="s">
        <v>910</v>
      </c>
      <c r="B359" t="s">
        <v>910</v>
      </c>
      <c r="C359" t="s">
        <v>438</v>
      </c>
      <c r="D359" s="4">
        <v>256779413392</v>
      </c>
      <c r="E359" s="3">
        <v>45798</v>
      </c>
      <c r="F359" t="s">
        <v>11</v>
      </c>
      <c r="G359" t="s">
        <v>911</v>
      </c>
      <c r="H359" t="s">
        <v>911</v>
      </c>
      <c r="I359">
        <v>-702.37</v>
      </c>
      <c r="J359" t="s">
        <v>15</v>
      </c>
      <c r="K359" s="3">
        <v>45828</v>
      </c>
      <c r="M359" t="s">
        <v>912</v>
      </c>
      <c r="N359" s="2">
        <v>45901</v>
      </c>
      <c r="O359">
        <v>59439575</v>
      </c>
      <c r="P359">
        <v>70</v>
      </c>
      <c r="Q359" s="3">
        <v>45930</v>
      </c>
      <c r="R359">
        <v>271</v>
      </c>
      <c r="T359" t="s">
        <v>913</v>
      </c>
      <c r="U359">
        <v>0</v>
      </c>
      <c r="Y359" s="27">
        <f t="shared" si="21"/>
        <v>-702.37</v>
      </c>
      <c r="Z359" t="s">
        <v>894</v>
      </c>
    </row>
    <row r="360" spans="1:26" hidden="1" x14ac:dyDescent="0.35">
      <c r="A360" t="s">
        <v>910</v>
      </c>
      <c r="B360" t="s">
        <v>910</v>
      </c>
      <c r="C360" t="s">
        <v>438</v>
      </c>
      <c r="D360" s="4">
        <v>256779415360</v>
      </c>
      <c r="E360" s="3">
        <v>45848</v>
      </c>
      <c r="F360" t="s">
        <v>11</v>
      </c>
      <c r="G360" t="s">
        <v>911</v>
      </c>
      <c r="H360" t="s">
        <v>911</v>
      </c>
      <c r="I360">
        <v>-11.14</v>
      </c>
      <c r="J360" t="s">
        <v>15</v>
      </c>
      <c r="K360" s="3">
        <v>45878</v>
      </c>
      <c r="M360" t="s">
        <v>912</v>
      </c>
      <c r="N360" s="2">
        <v>45901</v>
      </c>
      <c r="O360">
        <v>59439575</v>
      </c>
      <c r="P360">
        <v>72</v>
      </c>
      <c r="Q360" s="3">
        <v>45930</v>
      </c>
      <c r="R360">
        <v>271</v>
      </c>
      <c r="T360" t="s">
        <v>913</v>
      </c>
      <c r="U360">
        <v>0</v>
      </c>
      <c r="Y360" s="27">
        <f t="shared" si="21"/>
        <v>-11.14</v>
      </c>
      <c r="Z360" t="s">
        <v>894</v>
      </c>
    </row>
    <row r="361" spans="1:26" hidden="1" x14ac:dyDescent="0.35">
      <c r="A361" t="s">
        <v>910</v>
      </c>
      <c r="B361" t="s">
        <v>910</v>
      </c>
      <c r="C361" t="s">
        <v>438</v>
      </c>
      <c r="D361" s="4">
        <v>256779415318</v>
      </c>
      <c r="E361" s="3">
        <v>45848</v>
      </c>
      <c r="F361" t="s">
        <v>11</v>
      </c>
      <c r="G361" t="s">
        <v>911</v>
      </c>
      <c r="H361" t="s">
        <v>911</v>
      </c>
      <c r="I361">
        <v>-47.28</v>
      </c>
      <c r="J361" t="s">
        <v>15</v>
      </c>
      <c r="K361" s="3">
        <v>45878</v>
      </c>
      <c r="M361" t="s">
        <v>912</v>
      </c>
      <c r="N361" s="2">
        <v>45901</v>
      </c>
      <c r="O361">
        <v>59439575</v>
      </c>
      <c r="P361">
        <v>74</v>
      </c>
      <c r="Q361" s="3">
        <v>45930</v>
      </c>
      <c r="R361">
        <v>271</v>
      </c>
      <c r="T361" t="s">
        <v>913</v>
      </c>
      <c r="U361">
        <v>0</v>
      </c>
      <c r="Y361" s="27">
        <f t="shared" si="21"/>
        <v>-47.28</v>
      </c>
      <c r="Z361" t="s">
        <v>894</v>
      </c>
    </row>
    <row r="362" spans="1:26" hidden="1" x14ac:dyDescent="0.35">
      <c r="A362" t="s">
        <v>910</v>
      </c>
      <c r="B362" t="s">
        <v>910</v>
      </c>
      <c r="C362" t="s">
        <v>438</v>
      </c>
      <c r="D362" s="4">
        <v>256779415378</v>
      </c>
      <c r="E362" s="3">
        <v>45848</v>
      </c>
      <c r="F362" t="s">
        <v>11</v>
      </c>
      <c r="G362" t="s">
        <v>911</v>
      </c>
      <c r="H362" t="s">
        <v>911</v>
      </c>
      <c r="I362">
        <v>-22.29</v>
      </c>
      <c r="J362" t="s">
        <v>15</v>
      </c>
      <c r="K362" s="3">
        <v>45878</v>
      </c>
      <c r="M362" t="s">
        <v>912</v>
      </c>
      <c r="N362" s="2">
        <v>45901</v>
      </c>
      <c r="O362">
        <v>59439575</v>
      </c>
      <c r="P362">
        <v>76</v>
      </c>
      <c r="Q362" s="3">
        <v>45930</v>
      </c>
      <c r="R362">
        <v>271</v>
      </c>
      <c r="T362" t="s">
        <v>913</v>
      </c>
      <c r="U362">
        <v>0</v>
      </c>
      <c r="Y362" s="27">
        <f t="shared" si="21"/>
        <v>-22.29</v>
      </c>
      <c r="Z362" t="s">
        <v>894</v>
      </c>
    </row>
    <row r="363" spans="1:26" hidden="1" x14ac:dyDescent="0.35">
      <c r="A363" t="s">
        <v>910</v>
      </c>
      <c r="B363" t="s">
        <v>910</v>
      </c>
      <c r="C363" t="s">
        <v>438</v>
      </c>
      <c r="D363" s="4">
        <v>256779415391</v>
      </c>
      <c r="E363" s="3">
        <v>45848</v>
      </c>
      <c r="F363" t="s">
        <v>11</v>
      </c>
      <c r="G363" t="s">
        <v>911</v>
      </c>
      <c r="H363" t="s">
        <v>911</v>
      </c>
      <c r="I363">
        <v>-152.30000000000001</v>
      </c>
      <c r="J363" t="s">
        <v>15</v>
      </c>
      <c r="K363" s="3">
        <v>45878</v>
      </c>
      <c r="M363" t="s">
        <v>912</v>
      </c>
      <c r="N363" s="2">
        <v>45901</v>
      </c>
      <c r="O363">
        <v>59439575</v>
      </c>
      <c r="P363">
        <v>78</v>
      </c>
      <c r="Q363" s="3">
        <v>45930</v>
      </c>
      <c r="R363">
        <v>271</v>
      </c>
      <c r="T363" t="s">
        <v>913</v>
      </c>
      <c r="U363">
        <v>0</v>
      </c>
      <c r="Y363" s="27">
        <f t="shared" si="21"/>
        <v>-152.30000000000001</v>
      </c>
      <c r="Z363" t="s">
        <v>894</v>
      </c>
    </row>
    <row r="364" spans="1:26" hidden="1" x14ac:dyDescent="0.35">
      <c r="A364" t="s">
        <v>910</v>
      </c>
      <c r="B364" t="s">
        <v>910</v>
      </c>
      <c r="C364" t="s">
        <v>438</v>
      </c>
      <c r="D364" s="4">
        <v>256779415334</v>
      </c>
      <c r="E364" s="3">
        <v>45848</v>
      </c>
      <c r="F364" t="s">
        <v>11</v>
      </c>
      <c r="G364" t="s">
        <v>911</v>
      </c>
      <c r="H364" t="s">
        <v>911</v>
      </c>
      <c r="I364">
        <v>-4.17</v>
      </c>
      <c r="J364" t="s">
        <v>15</v>
      </c>
      <c r="K364" s="3">
        <v>45878</v>
      </c>
      <c r="M364" t="s">
        <v>912</v>
      </c>
      <c r="N364" s="2">
        <v>45901</v>
      </c>
      <c r="O364">
        <v>59439575</v>
      </c>
      <c r="P364">
        <v>80</v>
      </c>
      <c r="Q364" s="3">
        <v>45930</v>
      </c>
      <c r="R364">
        <v>271</v>
      </c>
      <c r="T364" t="s">
        <v>913</v>
      </c>
      <c r="U364">
        <v>0</v>
      </c>
      <c r="Y364" s="27">
        <f t="shared" si="21"/>
        <v>-4.17</v>
      </c>
      <c r="Z364" t="s">
        <v>894</v>
      </c>
    </row>
    <row r="365" spans="1:26" hidden="1" x14ac:dyDescent="0.35">
      <c r="A365" t="s">
        <v>910</v>
      </c>
      <c r="B365" t="s">
        <v>910</v>
      </c>
      <c r="C365" t="s">
        <v>438</v>
      </c>
      <c r="D365" s="4">
        <v>256779415371</v>
      </c>
      <c r="E365" s="3">
        <v>45848</v>
      </c>
      <c r="F365" t="s">
        <v>11</v>
      </c>
      <c r="G365" t="s">
        <v>911</v>
      </c>
      <c r="H365" t="s">
        <v>911</v>
      </c>
      <c r="I365">
        <v>-8.0500000000000007</v>
      </c>
      <c r="J365" t="s">
        <v>15</v>
      </c>
      <c r="K365" s="3">
        <v>45878</v>
      </c>
      <c r="M365" t="s">
        <v>912</v>
      </c>
      <c r="N365" s="2">
        <v>45901</v>
      </c>
      <c r="O365">
        <v>59439575</v>
      </c>
      <c r="P365">
        <v>82</v>
      </c>
      <c r="Q365" s="3">
        <v>45930</v>
      </c>
      <c r="R365">
        <v>271</v>
      </c>
      <c r="T365" t="s">
        <v>913</v>
      </c>
      <c r="U365">
        <v>0</v>
      </c>
      <c r="Y365" s="27">
        <f t="shared" si="21"/>
        <v>-8.0500000000000007</v>
      </c>
      <c r="Z365" t="s">
        <v>894</v>
      </c>
    </row>
    <row r="366" spans="1:26" hidden="1" x14ac:dyDescent="0.35">
      <c r="A366" t="s">
        <v>910</v>
      </c>
      <c r="B366" t="s">
        <v>910</v>
      </c>
      <c r="C366" t="s">
        <v>438</v>
      </c>
      <c r="D366" s="4">
        <v>256779415315</v>
      </c>
      <c r="E366" s="3">
        <v>45848</v>
      </c>
      <c r="F366" t="s">
        <v>11</v>
      </c>
      <c r="G366" t="s">
        <v>911</v>
      </c>
      <c r="H366" t="s">
        <v>911</v>
      </c>
      <c r="I366">
        <v>-22.29</v>
      </c>
      <c r="J366" t="s">
        <v>15</v>
      </c>
      <c r="K366" s="3">
        <v>45878</v>
      </c>
      <c r="M366" t="s">
        <v>912</v>
      </c>
      <c r="N366" s="2">
        <v>45901</v>
      </c>
      <c r="O366">
        <v>59439575</v>
      </c>
      <c r="P366">
        <v>84</v>
      </c>
      <c r="Q366" s="3">
        <v>45930</v>
      </c>
      <c r="R366">
        <v>271</v>
      </c>
      <c r="T366" t="s">
        <v>913</v>
      </c>
      <c r="U366">
        <v>0</v>
      </c>
      <c r="Y366" s="27">
        <f t="shared" si="21"/>
        <v>-22.29</v>
      </c>
      <c r="Z366" t="s">
        <v>894</v>
      </c>
    </row>
    <row r="367" spans="1:26" hidden="1" x14ac:dyDescent="0.35">
      <c r="A367" t="s">
        <v>910</v>
      </c>
      <c r="B367" t="s">
        <v>910</v>
      </c>
      <c r="C367" t="s">
        <v>438</v>
      </c>
      <c r="D367" s="4">
        <v>256779415305</v>
      </c>
      <c r="E367" s="3">
        <v>45848</v>
      </c>
      <c r="F367" t="s">
        <v>11</v>
      </c>
      <c r="G367" t="s">
        <v>911</v>
      </c>
      <c r="H367" t="s">
        <v>911</v>
      </c>
      <c r="I367">
        <v>-5.57</v>
      </c>
      <c r="J367" t="s">
        <v>15</v>
      </c>
      <c r="K367" s="3">
        <v>45878</v>
      </c>
      <c r="M367" t="s">
        <v>912</v>
      </c>
      <c r="N367" s="2">
        <v>45901</v>
      </c>
      <c r="O367">
        <v>59439575</v>
      </c>
      <c r="P367">
        <v>86</v>
      </c>
      <c r="Q367" s="3">
        <v>45930</v>
      </c>
      <c r="R367">
        <v>271</v>
      </c>
      <c r="T367" t="s">
        <v>913</v>
      </c>
      <c r="U367">
        <v>0</v>
      </c>
      <c r="Y367" s="27">
        <f t="shared" si="21"/>
        <v>-5.57</v>
      </c>
      <c r="Z367" t="s">
        <v>894</v>
      </c>
    </row>
    <row r="368" spans="1:26" hidden="1" x14ac:dyDescent="0.35">
      <c r="A368" t="s">
        <v>910</v>
      </c>
      <c r="B368" t="s">
        <v>910</v>
      </c>
      <c r="C368" t="s">
        <v>438</v>
      </c>
      <c r="D368" s="4">
        <v>256779415356</v>
      </c>
      <c r="E368" s="3">
        <v>45848</v>
      </c>
      <c r="F368" t="s">
        <v>11</v>
      </c>
      <c r="G368" t="s">
        <v>911</v>
      </c>
      <c r="H368" t="s">
        <v>911</v>
      </c>
      <c r="I368">
        <v>-13.37</v>
      </c>
      <c r="J368" t="s">
        <v>15</v>
      </c>
      <c r="K368" s="3">
        <v>45878</v>
      </c>
      <c r="M368" t="s">
        <v>912</v>
      </c>
      <c r="N368" s="2">
        <v>45901</v>
      </c>
      <c r="O368">
        <v>59439575</v>
      </c>
      <c r="P368">
        <v>88</v>
      </c>
      <c r="Q368" s="3">
        <v>45930</v>
      </c>
      <c r="R368">
        <v>271</v>
      </c>
      <c r="T368" t="s">
        <v>913</v>
      </c>
      <c r="U368">
        <v>0</v>
      </c>
      <c r="Y368" s="27">
        <f t="shared" si="21"/>
        <v>-13.37</v>
      </c>
      <c r="Z368" t="s">
        <v>894</v>
      </c>
    </row>
    <row r="369" spans="1:26" hidden="1" x14ac:dyDescent="0.35">
      <c r="A369" t="s">
        <v>910</v>
      </c>
      <c r="B369" t="s">
        <v>910</v>
      </c>
      <c r="C369" t="s">
        <v>438</v>
      </c>
      <c r="D369" s="4">
        <v>256779415383</v>
      </c>
      <c r="E369" s="3">
        <v>45848</v>
      </c>
      <c r="F369" t="s">
        <v>11</v>
      </c>
      <c r="G369" t="s">
        <v>911</v>
      </c>
      <c r="H369" t="s">
        <v>911</v>
      </c>
      <c r="I369">
        <v>-28.93</v>
      </c>
      <c r="J369" t="s">
        <v>15</v>
      </c>
      <c r="K369" s="3">
        <v>45878</v>
      </c>
      <c r="M369" t="s">
        <v>912</v>
      </c>
      <c r="N369" s="2">
        <v>45901</v>
      </c>
      <c r="O369">
        <v>59439575</v>
      </c>
      <c r="P369">
        <v>90</v>
      </c>
      <c r="Q369" s="3">
        <v>45930</v>
      </c>
      <c r="R369">
        <v>271</v>
      </c>
      <c r="T369" t="s">
        <v>913</v>
      </c>
      <c r="U369">
        <v>0</v>
      </c>
      <c r="Y369" s="27">
        <f t="shared" si="21"/>
        <v>-28.93</v>
      </c>
      <c r="Z369" t="s">
        <v>894</v>
      </c>
    </row>
    <row r="370" spans="1:26" hidden="1" x14ac:dyDescent="0.35">
      <c r="A370" t="s">
        <v>910</v>
      </c>
      <c r="B370" t="s">
        <v>910</v>
      </c>
      <c r="C370" t="s">
        <v>438</v>
      </c>
      <c r="D370" s="4">
        <v>256779415372</v>
      </c>
      <c r="E370" s="3">
        <v>45848</v>
      </c>
      <c r="F370" t="s">
        <v>11</v>
      </c>
      <c r="G370" t="s">
        <v>911</v>
      </c>
      <c r="H370" t="s">
        <v>911</v>
      </c>
      <c r="I370">
        <v>-28.85</v>
      </c>
      <c r="J370" t="s">
        <v>15</v>
      </c>
      <c r="K370" s="3">
        <v>45878</v>
      </c>
      <c r="M370" t="s">
        <v>912</v>
      </c>
      <c r="N370" s="2">
        <v>45901</v>
      </c>
      <c r="O370">
        <v>59439575</v>
      </c>
      <c r="P370">
        <v>92</v>
      </c>
      <c r="Q370" s="3">
        <v>45930</v>
      </c>
      <c r="R370">
        <v>271</v>
      </c>
      <c r="T370" t="s">
        <v>913</v>
      </c>
      <c r="U370">
        <v>0</v>
      </c>
      <c r="Y370" s="27">
        <f t="shared" si="21"/>
        <v>-28.85</v>
      </c>
      <c r="Z370" t="s">
        <v>894</v>
      </c>
    </row>
    <row r="371" spans="1:26" hidden="1" x14ac:dyDescent="0.35">
      <c r="A371" t="s">
        <v>910</v>
      </c>
      <c r="B371" t="s">
        <v>910</v>
      </c>
      <c r="C371" t="s">
        <v>438</v>
      </c>
      <c r="D371" s="4">
        <v>256779415361</v>
      </c>
      <c r="E371" s="3">
        <v>45848</v>
      </c>
      <c r="F371" t="s">
        <v>11</v>
      </c>
      <c r="G371" t="s">
        <v>911</v>
      </c>
      <c r="H371" t="s">
        <v>911</v>
      </c>
      <c r="I371">
        <v>-12.53</v>
      </c>
      <c r="J371" t="s">
        <v>15</v>
      </c>
      <c r="K371" s="3">
        <v>45878</v>
      </c>
      <c r="M371" t="s">
        <v>912</v>
      </c>
      <c r="N371" s="2">
        <v>45901</v>
      </c>
      <c r="O371">
        <v>59439575</v>
      </c>
      <c r="P371">
        <v>94</v>
      </c>
      <c r="Q371" s="3">
        <v>45930</v>
      </c>
      <c r="R371">
        <v>271</v>
      </c>
      <c r="T371" t="s">
        <v>913</v>
      </c>
      <c r="U371">
        <v>0</v>
      </c>
      <c r="Y371" s="27">
        <f t="shared" si="21"/>
        <v>-12.53</v>
      </c>
      <c r="Z371" t="s">
        <v>894</v>
      </c>
    </row>
    <row r="372" spans="1:26" hidden="1" x14ac:dyDescent="0.35">
      <c r="A372" t="s">
        <v>910</v>
      </c>
      <c r="B372" t="s">
        <v>910</v>
      </c>
      <c r="C372" t="s">
        <v>438</v>
      </c>
      <c r="D372" s="4">
        <v>256779415317</v>
      </c>
      <c r="E372" s="3">
        <v>45848</v>
      </c>
      <c r="F372" t="s">
        <v>11</v>
      </c>
      <c r="G372" t="s">
        <v>911</v>
      </c>
      <c r="H372" t="s">
        <v>911</v>
      </c>
      <c r="I372">
        <v>-37.14</v>
      </c>
      <c r="J372" t="s">
        <v>15</v>
      </c>
      <c r="K372" s="3">
        <v>45878</v>
      </c>
      <c r="M372" t="s">
        <v>912</v>
      </c>
      <c r="N372" s="2">
        <v>45901</v>
      </c>
      <c r="O372">
        <v>59439575</v>
      </c>
      <c r="P372">
        <v>96</v>
      </c>
      <c r="Q372" s="3">
        <v>45930</v>
      </c>
      <c r="R372">
        <v>271</v>
      </c>
      <c r="T372" t="s">
        <v>913</v>
      </c>
      <c r="U372">
        <v>0</v>
      </c>
      <c r="Y372" s="27">
        <f t="shared" si="21"/>
        <v>-37.14</v>
      </c>
      <c r="Z372" t="s">
        <v>894</v>
      </c>
    </row>
    <row r="373" spans="1:26" hidden="1" x14ac:dyDescent="0.35">
      <c r="A373" t="s">
        <v>910</v>
      </c>
      <c r="B373" t="s">
        <v>910</v>
      </c>
      <c r="C373" t="s">
        <v>438</v>
      </c>
      <c r="D373" s="4">
        <v>256779415394</v>
      </c>
      <c r="E373" s="3">
        <v>45848</v>
      </c>
      <c r="F373" t="s">
        <v>11</v>
      </c>
      <c r="G373" t="s">
        <v>911</v>
      </c>
      <c r="H373" t="s">
        <v>911</v>
      </c>
      <c r="I373">
        <v>-17.829999999999998</v>
      </c>
      <c r="J373" t="s">
        <v>15</v>
      </c>
      <c r="K373" s="3">
        <v>45878</v>
      </c>
      <c r="M373" t="s">
        <v>912</v>
      </c>
      <c r="N373" s="2">
        <v>45901</v>
      </c>
      <c r="O373">
        <v>59439575</v>
      </c>
      <c r="P373">
        <v>98</v>
      </c>
      <c r="Q373" s="3">
        <v>45930</v>
      </c>
      <c r="R373">
        <v>271</v>
      </c>
      <c r="T373" t="s">
        <v>913</v>
      </c>
      <c r="U373">
        <v>0</v>
      </c>
      <c r="Y373" s="27">
        <f t="shared" si="21"/>
        <v>-17.829999999999998</v>
      </c>
      <c r="Z373" t="s">
        <v>894</v>
      </c>
    </row>
    <row r="374" spans="1:26" hidden="1" x14ac:dyDescent="0.35">
      <c r="A374" t="s">
        <v>910</v>
      </c>
      <c r="B374" t="s">
        <v>910</v>
      </c>
      <c r="C374" t="s">
        <v>438</v>
      </c>
      <c r="D374" s="4">
        <v>256779415314</v>
      </c>
      <c r="E374" s="3">
        <v>45848</v>
      </c>
      <c r="F374" t="s">
        <v>11</v>
      </c>
      <c r="G374" t="s">
        <v>911</v>
      </c>
      <c r="H374" t="s">
        <v>911</v>
      </c>
      <c r="I374">
        <v>-33.26</v>
      </c>
      <c r="J374" t="s">
        <v>15</v>
      </c>
      <c r="K374" s="3">
        <v>45878</v>
      </c>
      <c r="M374" t="s">
        <v>912</v>
      </c>
      <c r="N374" s="2">
        <v>45901</v>
      </c>
      <c r="O374">
        <v>59439575</v>
      </c>
      <c r="P374">
        <v>100</v>
      </c>
      <c r="Q374" s="3">
        <v>45930</v>
      </c>
      <c r="R374">
        <v>271</v>
      </c>
      <c r="T374" t="s">
        <v>913</v>
      </c>
      <c r="U374">
        <v>0</v>
      </c>
      <c r="Y374" s="27">
        <f t="shared" si="21"/>
        <v>-33.26</v>
      </c>
      <c r="Z374" t="s">
        <v>894</v>
      </c>
    </row>
    <row r="375" spans="1:26" hidden="1" x14ac:dyDescent="0.35">
      <c r="A375" t="s">
        <v>910</v>
      </c>
      <c r="B375" t="s">
        <v>910</v>
      </c>
      <c r="C375" t="s">
        <v>438</v>
      </c>
      <c r="D375" s="4">
        <v>256779415352</v>
      </c>
      <c r="E375" s="3">
        <v>45848</v>
      </c>
      <c r="F375" t="s">
        <v>11</v>
      </c>
      <c r="G375" t="s">
        <v>911</v>
      </c>
      <c r="H375" t="s">
        <v>911</v>
      </c>
      <c r="I375">
        <v>-28.96</v>
      </c>
      <c r="J375" t="s">
        <v>15</v>
      </c>
      <c r="K375" s="3">
        <v>45878</v>
      </c>
      <c r="M375" t="s">
        <v>912</v>
      </c>
      <c r="N375" s="2">
        <v>45901</v>
      </c>
      <c r="O375">
        <v>59439575</v>
      </c>
      <c r="P375">
        <v>102</v>
      </c>
      <c r="Q375" s="3">
        <v>45930</v>
      </c>
      <c r="R375">
        <v>271</v>
      </c>
      <c r="T375" t="s">
        <v>913</v>
      </c>
      <c r="U375">
        <v>0</v>
      </c>
      <c r="Y375" s="27">
        <f t="shared" si="21"/>
        <v>-28.96</v>
      </c>
      <c r="Z375" t="s">
        <v>894</v>
      </c>
    </row>
    <row r="376" spans="1:26" hidden="1" x14ac:dyDescent="0.35">
      <c r="A376" t="s">
        <v>910</v>
      </c>
      <c r="B376" t="s">
        <v>910</v>
      </c>
      <c r="C376" t="s">
        <v>438</v>
      </c>
      <c r="D376" s="4">
        <v>256779415208</v>
      </c>
      <c r="E376" s="3">
        <v>45842</v>
      </c>
      <c r="F376" t="s">
        <v>11</v>
      </c>
      <c r="G376" t="s">
        <v>911</v>
      </c>
      <c r="H376" t="s">
        <v>911</v>
      </c>
      <c r="I376">
        <v>-34.06</v>
      </c>
      <c r="J376" t="s">
        <v>15</v>
      </c>
      <c r="K376" s="3">
        <v>45872</v>
      </c>
      <c r="M376" t="s">
        <v>912</v>
      </c>
      <c r="N376" s="2">
        <v>45901</v>
      </c>
      <c r="O376">
        <v>59439575</v>
      </c>
      <c r="P376">
        <v>104</v>
      </c>
      <c r="Q376" s="3">
        <v>45930</v>
      </c>
      <c r="R376">
        <v>271</v>
      </c>
      <c r="T376" t="s">
        <v>913</v>
      </c>
      <c r="U376">
        <v>0</v>
      </c>
      <c r="Y376" s="27">
        <f t="shared" si="21"/>
        <v>-34.06</v>
      </c>
      <c r="Z376" t="s">
        <v>894</v>
      </c>
    </row>
    <row r="377" spans="1:26" hidden="1" x14ac:dyDescent="0.35">
      <c r="A377" t="s">
        <v>910</v>
      </c>
      <c r="B377" t="s">
        <v>910</v>
      </c>
      <c r="C377" t="s">
        <v>438</v>
      </c>
      <c r="D377" s="4">
        <v>256779415342</v>
      </c>
      <c r="E377" s="3">
        <v>45848</v>
      </c>
      <c r="F377" t="s">
        <v>11</v>
      </c>
      <c r="G377" t="s">
        <v>911</v>
      </c>
      <c r="H377" t="s">
        <v>911</v>
      </c>
      <c r="I377">
        <v>-0.46</v>
      </c>
      <c r="J377" t="s">
        <v>15</v>
      </c>
      <c r="K377" s="3">
        <v>45878</v>
      </c>
      <c r="M377" t="s">
        <v>912</v>
      </c>
      <c r="N377" s="2">
        <v>45901</v>
      </c>
      <c r="O377">
        <v>59439575</v>
      </c>
      <c r="P377">
        <v>106</v>
      </c>
      <c r="Q377" s="3">
        <v>45930</v>
      </c>
      <c r="R377">
        <v>271</v>
      </c>
      <c r="T377" t="s">
        <v>913</v>
      </c>
      <c r="U377">
        <v>0</v>
      </c>
      <c r="Y377" s="27">
        <f t="shared" si="21"/>
        <v>-0.46</v>
      </c>
      <c r="Z377" t="s">
        <v>894</v>
      </c>
    </row>
    <row r="378" spans="1:26" hidden="1" x14ac:dyDescent="0.35">
      <c r="A378" t="s">
        <v>910</v>
      </c>
      <c r="B378" t="s">
        <v>910</v>
      </c>
      <c r="C378" t="s">
        <v>438</v>
      </c>
      <c r="D378" s="4">
        <v>256779415376</v>
      </c>
      <c r="E378" s="3">
        <v>45848</v>
      </c>
      <c r="F378" t="s">
        <v>11</v>
      </c>
      <c r="G378" t="s">
        <v>911</v>
      </c>
      <c r="H378" t="s">
        <v>911</v>
      </c>
      <c r="I378">
        <v>-11.14</v>
      </c>
      <c r="J378" t="s">
        <v>15</v>
      </c>
      <c r="K378" s="3">
        <v>45878</v>
      </c>
      <c r="M378" t="s">
        <v>912</v>
      </c>
      <c r="N378" s="2">
        <v>45901</v>
      </c>
      <c r="O378">
        <v>59439575</v>
      </c>
      <c r="P378">
        <v>108</v>
      </c>
      <c r="Q378" s="3">
        <v>45930</v>
      </c>
      <c r="R378">
        <v>271</v>
      </c>
      <c r="T378" t="s">
        <v>913</v>
      </c>
      <c r="U378">
        <v>0</v>
      </c>
      <c r="Y378" s="27">
        <f t="shared" si="21"/>
        <v>-11.14</v>
      </c>
      <c r="Z378" t="s">
        <v>894</v>
      </c>
    </row>
    <row r="379" spans="1:26" hidden="1" x14ac:dyDescent="0.35">
      <c r="A379" t="s">
        <v>910</v>
      </c>
      <c r="B379" t="s">
        <v>910</v>
      </c>
      <c r="C379" t="s">
        <v>438</v>
      </c>
      <c r="D379" s="4">
        <v>256779415336</v>
      </c>
      <c r="E379" s="3">
        <v>45848</v>
      </c>
      <c r="F379" t="s">
        <v>11</v>
      </c>
      <c r="G379" t="s">
        <v>911</v>
      </c>
      <c r="H379" t="s">
        <v>911</v>
      </c>
      <c r="I379">
        <v>-0.93</v>
      </c>
      <c r="J379" t="s">
        <v>15</v>
      </c>
      <c r="K379" s="3">
        <v>45878</v>
      </c>
      <c r="M379" t="s">
        <v>912</v>
      </c>
      <c r="N379" s="2">
        <v>45901</v>
      </c>
      <c r="O379">
        <v>59439575</v>
      </c>
      <c r="P379">
        <v>110</v>
      </c>
      <c r="Q379" s="3">
        <v>45930</v>
      </c>
      <c r="R379">
        <v>271</v>
      </c>
      <c r="T379" t="s">
        <v>913</v>
      </c>
      <c r="U379">
        <v>0</v>
      </c>
      <c r="Y379" s="27">
        <f t="shared" si="21"/>
        <v>-0.93</v>
      </c>
      <c r="Z379" t="s">
        <v>894</v>
      </c>
    </row>
    <row r="380" spans="1:26" hidden="1" x14ac:dyDescent="0.35">
      <c r="A380" t="s">
        <v>910</v>
      </c>
      <c r="B380" t="s">
        <v>910</v>
      </c>
      <c r="C380" t="s">
        <v>438</v>
      </c>
      <c r="D380" s="4">
        <v>256779415210</v>
      </c>
      <c r="E380" s="3">
        <v>45842</v>
      </c>
      <c r="F380" t="s">
        <v>11</v>
      </c>
      <c r="G380" t="s">
        <v>911</v>
      </c>
      <c r="H380" t="s">
        <v>911</v>
      </c>
      <c r="I380" s="27">
        <v>-1788.28</v>
      </c>
      <c r="J380" t="s">
        <v>15</v>
      </c>
      <c r="K380" s="3">
        <v>45872</v>
      </c>
      <c r="M380" t="s">
        <v>912</v>
      </c>
      <c r="N380" s="2">
        <v>45901</v>
      </c>
      <c r="O380">
        <v>59439575</v>
      </c>
      <c r="P380">
        <v>112</v>
      </c>
      <c r="Q380" s="3">
        <v>45930</v>
      </c>
      <c r="R380">
        <v>271</v>
      </c>
      <c r="T380" t="s">
        <v>913</v>
      </c>
      <c r="U380">
        <v>0</v>
      </c>
      <c r="Y380" s="27">
        <f t="shared" si="21"/>
        <v>-1788.28</v>
      </c>
      <c r="Z380" t="s">
        <v>894</v>
      </c>
    </row>
    <row r="381" spans="1:26" hidden="1" x14ac:dyDescent="0.35">
      <c r="A381" t="s">
        <v>910</v>
      </c>
      <c r="B381" t="s">
        <v>910</v>
      </c>
      <c r="C381" t="s">
        <v>438</v>
      </c>
      <c r="D381" s="4">
        <v>256779415382</v>
      </c>
      <c r="E381" s="3">
        <v>45848</v>
      </c>
      <c r="F381" t="s">
        <v>11</v>
      </c>
      <c r="G381" t="s">
        <v>911</v>
      </c>
      <c r="H381" t="s">
        <v>911</v>
      </c>
      <c r="I381">
        <v>-21.84</v>
      </c>
      <c r="J381" t="s">
        <v>15</v>
      </c>
      <c r="K381" s="3">
        <v>45878</v>
      </c>
      <c r="M381" t="s">
        <v>912</v>
      </c>
      <c r="N381" s="2">
        <v>45901</v>
      </c>
      <c r="O381">
        <v>59439575</v>
      </c>
      <c r="P381">
        <v>114</v>
      </c>
      <c r="Q381" s="3">
        <v>45930</v>
      </c>
      <c r="R381">
        <v>271</v>
      </c>
      <c r="T381" t="s">
        <v>913</v>
      </c>
      <c r="U381">
        <v>0</v>
      </c>
      <c r="Y381" s="27">
        <f t="shared" si="21"/>
        <v>-21.84</v>
      </c>
      <c r="Z381" t="s">
        <v>894</v>
      </c>
    </row>
    <row r="382" spans="1:26" hidden="1" x14ac:dyDescent="0.35">
      <c r="A382" t="s">
        <v>910</v>
      </c>
      <c r="B382" t="s">
        <v>910</v>
      </c>
      <c r="C382" t="s">
        <v>438</v>
      </c>
      <c r="D382" s="4">
        <v>256779415295</v>
      </c>
      <c r="E382" s="3">
        <v>45848</v>
      </c>
      <c r="F382" t="s">
        <v>11</v>
      </c>
      <c r="G382" t="s">
        <v>911</v>
      </c>
      <c r="H382" t="s">
        <v>911</v>
      </c>
      <c r="I382">
        <v>-4.46</v>
      </c>
      <c r="J382" t="s">
        <v>15</v>
      </c>
      <c r="K382" s="3">
        <v>45878</v>
      </c>
      <c r="M382" t="s">
        <v>912</v>
      </c>
      <c r="N382" s="2">
        <v>45901</v>
      </c>
      <c r="O382">
        <v>59439575</v>
      </c>
      <c r="P382">
        <v>116</v>
      </c>
      <c r="Q382" s="3">
        <v>45930</v>
      </c>
      <c r="R382">
        <v>271</v>
      </c>
      <c r="T382" t="s">
        <v>913</v>
      </c>
      <c r="U382">
        <v>0</v>
      </c>
      <c r="Y382" s="27">
        <f t="shared" si="21"/>
        <v>-4.46</v>
      </c>
      <c r="Z382" t="s">
        <v>894</v>
      </c>
    </row>
    <row r="383" spans="1:26" hidden="1" x14ac:dyDescent="0.35">
      <c r="A383" t="s">
        <v>910</v>
      </c>
      <c r="B383" t="s">
        <v>910</v>
      </c>
      <c r="C383" t="s">
        <v>438</v>
      </c>
      <c r="D383" s="4">
        <v>256779415326</v>
      </c>
      <c r="E383" s="3">
        <v>45848</v>
      </c>
      <c r="F383" t="s">
        <v>11</v>
      </c>
      <c r="G383" t="s">
        <v>911</v>
      </c>
      <c r="H383" t="s">
        <v>911</v>
      </c>
      <c r="I383">
        <v>-34.369999999999997</v>
      </c>
      <c r="J383" t="s">
        <v>15</v>
      </c>
      <c r="K383" s="3">
        <v>45878</v>
      </c>
      <c r="M383" t="s">
        <v>912</v>
      </c>
      <c r="N383" s="2">
        <v>45901</v>
      </c>
      <c r="O383">
        <v>59439575</v>
      </c>
      <c r="P383">
        <v>118</v>
      </c>
      <c r="Q383" s="3">
        <v>45930</v>
      </c>
      <c r="R383">
        <v>271</v>
      </c>
      <c r="T383" t="s">
        <v>913</v>
      </c>
      <c r="U383">
        <v>0</v>
      </c>
      <c r="Y383" s="27">
        <f t="shared" si="21"/>
        <v>-34.369999999999997</v>
      </c>
      <c r="Z383" t="s">
        <v>894</v>
      </c>
    </row>
    <row r="384" spans="1:26" hidden="1" x14ac:dyDescent="0.35">
      <c r="A384" t="s">
        <v>910</v>
      </c>
      <c r="B384" t="s">
        <v>910</v>
      </c>
      <c r="C384" t="s">
        <v>438</v>
      </c>
      <c r="D384" s="4">
        <v>256779415306</v>
      </c>
      <c r="E384" s="3">
        <v>45848</v>
      </c>
      <c r="F384" t="s">
        <v>11</v>
      </c>
      <c r="G384" t="s">
        <v>911</v>
      </c>
      <c r="H384" t="s">
        <v>911</v>
      </c>
      <c r="I384">
        <v>-5.57</v>
      </c>
      <c r="J384" t="s">
        <v>15</v>
      </c>
      <c r="K384" s="3">
        <v>45878</v>
      </c>
      <c r="M384" t="s">
        <v>912</v>
      </c>
      <c r="N384" s="2">
        <v>45901</v>
      </c>
      <c r="O384">
        <v>59439575</v>
      </c>
      <c r="P384">
        <v>120</v>
      </c>
      <c r="Q384" s="3">
        <v>45930</v>
      </c>
      <c r="R384">
        <v>271</v>
      </c>
      <c r="T384" t="s">
        <v>913</v>
      </c>
      <c r="U384">
        <v>0</v>
      </c>
      <c r="Y384" s="27">
        <f t="shared" si="21"/>
        <v>-5.57</v>
      </c>
      <c r="Z384" t="s">
        <v>894</v>
      </c>
    </row>
    <row r="385" spans="1:26" hidden="1" x14ac:dyDescent="0.35">
      <c r="A385" t="s">
        <v>910</v>
      </c>
      <c r="B385" t="s">
        <v>910</v>
      </c>
      <c r="C385" t="s">
        <v>438</v>
      </c>
      <c r="D385" s="4">
        <v>256779415390</v>
      </c>
      <c r="E385" s="3">
        <v>45848</v>
      </c>
      <c r="F385" t="s">
        <v>11</v>
      </c>
      <c r="G385" t="s">
        <v>911</v>
      </c>
      <c r="H385" t="s">
        <v>911</v>
      </c>
      <c r="I385">
        <v>-20.6</v>
      </c>
      <c r="J385" t="s">
        <v>15</v>
      </c>
      <c r="K385" s="3">
        <v>45878</v>
      </c>
      <c r="M385" t="s">
        <v>912</v>
      </c>
      <c r="N385" s="2">
        <v>45901</v>
      </c>
      <c r="O385">
        <v>59439575</v>
      </c>
      <c r="P385">
        <v>122</v>
      </c>
      <c r="Q385" s="3">
        <v>45930</v>
      </c>
      <c r="R385">
        <v>271</v>
      </c>
      <c r="T385" t="s">
        <v>913</v>
      </c>
      <c r="U385">
        <v>0</v>
      </c>
      <c r="Y385" s="27">
        <f t="shared" si="21"/>
        <v>-20.6</v>
      </c>
      <c r="Z385" t="s">
        <v>894</v>
      </c>
    </row>
    <row r="386" spans="1:26" hidden="1" x14ac:dyDescent="0.35">
      <c r="A386" t="s">
        <v>910</v>
      </c>
      <c r="B386" t="s">
        <v>910</v>
      </c>
      <c r="C386" t="s">
        <v>438</v>
      </c>
      <c r="D386" s="4">
        <v>256779415340</v>
      </c>
      <c r="E386" s="3">
        <v>45848</v>
      </c>
      <c r="F386" t="s">
        <v>11</v>
      </c>
      <c r="G386" t="s">
        <v>911</v>
      </c>
      <c r="H386" t="s">
        <v>911</v>
      </c>
      <c r="I386">
        <v>-4.8</v>
      </c>
      <c r="J386" t="s">
        <v>15</v>
      </c>
      <c r="K386" s="3">
        <v>45878</v>
      </c>
      <c r="M386" t="s">
        <v>912</v>
      </c>
      <c r="N386" s="2">
        <v>45901</v>
      </c>
      <c r="O386">
        <v>59439575</v>
      </c>
      <c r="P386">
        <v>124</v>
      </c>
      <c r="Q386" s="3">
        <v>45930</v>
      </c>
      <c r="R386">
        <v>271</v>
      </c>
      <c r="T386" t="s">
        <v>913</v>
      </c>
      <c r="U386">
        <v>0</v>
      </c>
      <c r="Y386" s="27">
        <f t="shared" si="21"/>
        <v>-4.8</v>
      </c>
      <c r="Z386" t="s">
        <v>894</v>
      </c>
    </row>
    <row r="387" spans="1:26" hidden="1" x14ac:dyDescent="0.35">
      <c r="A387" t="s">
        <v>910</v>
      </c>
      <c r="B387" t="s">
        <v>910</v>
      </c>
      <c r="C387" t="s">
        <v>438</v>
      </c>
      <c r="D387" s="4">
        <v>256779415343</v>
      </c>
      <c r="E387" s="3">
        <v>45848</v>
      </c>
      <c r="F387" t="s">
        <v>11</v>
      </c>
      <c r="G387" t="s">
        <v>911</v>
      </c>
      <c r="H387" t="s">
        <v>911</v>
      </c>
      <c r="I387">
        <v>-0.19</v>
      </c>
      <c r="J387" t="s">
        <v>15</v>
      </c>
      <c r="K387" s="3">
        <v>45878</v>
      </c>
      <c r="M387" t="s">
        <v>912</v>
      </c>
      <c r="N387" s="2">
        <v>45901</v>
      </c>
      <c r="O387">
        <v>59439575</v>
      </c>
      <c r="P387">
        <v>126</v>
      </c>
      <c r="Q387" s="3">
        <v>45930</v>
      </c>
      <c r="R387">
        <v>271</v>
      </c>
      <c r="T387" t="s">
        <v>913</v>
      </c>
      <c r="U387">
        <v>0</v>
      </c>
      <c r="Y387" s="27">
        <f t="shared" si="21"/>
        <v>-0.19</v>
      </c>
      <c r="Z387" t="s">
        <v>894</v>
      </c>
    </row>
    <row r="388" spans="1:26" hidden="1" x14ac:dyDescent="0.35">
      <c r="A388" t="s">
        <v>910</v>
      </c>
      <c r="B388" t="s">
        <v>910</v>
      </c>
      <c r="C388" t="s">
        <v>438</v>
      </c>
      <c r="D388" s="4">
        <v>256779415395</v>
      </c>
      <c r="E388" s="3">
        <v>45848</v>
      </c>
      <c r="F388" t="s">
        <v>11</v>
      </c>
      <c r="G388" t="s">
        <v>911</v>
      </c>
      <c r="H388" t="s">
        <v>911</v>
      </c>
      <c r="I388">
        <v>-38.200000000000003</v>
      </c>
      <c r="J388" t="s">
        <v>15</v>
      </c>
      <c r="K388" s="3">
        <v>45878</v>
      </c>
      <c r="M388" t="s">
        <v>912</v>
      </c>
      <c r="N388" s="2">
        <v>45901</v>
      </c>
      <c r="O388">
        <v>59439575</v>
      </c>
      <c r="P388">
        <v>128</v>
      </c>
      <c r="Q388" s="3">
        <v>45930</v>
      </c>
      <c r="R388">
        <v>271</v>
      </c>
      <c r="T388" t="s">
        <v>913</v>
      </c>
      <c r="U388">
        <v>0</v>
      </c>
      <c r="Y388" s="27">
        <f t="shared" ref="Y388:Y451" si="22">I388+X388</f>
        <v>-38.200000000000003</v>
      </c>
      <c r="Z388" t="s">
        <v>894</v>
      </c>
    </row>
    <row r="389" spans="1:26" hidden="1" x14ac:dyDescent="0.35">
      <c r="A389" t="s">
        <v>910</v>
      </c>
      <c r="B389" t="s">
        <v>910</v>
      </c>
      <c r="C389" t="s">
        <v>438</v>
      </c>
      <c r="D389" s="4">
        <v>256779415381</v>
      </c>
      <c r="E389" s="3">
        <v>45848</v>
      </c>
      <c r="F389" t="s">
        <v>11</v>
      </c>
      <c r="G389" t="s">
        <v>911</v>
      </c>
      <c r="H389" t="s">
        <v>911</v>
      </c>
      <c r="I389">
        <v>-11.14</v>
      </c>
      <c r="J389" t="s">
        <v>15</v>
      </c>
      <c r="K389" s="3">
        <v>45878</v>
      </c>
      <c r="M389" t="s">
        <v>912</v>
      </c>
      <c r="N389" s="2">
        <v>45901</v>
      </c>
      <c r="O389">
        <v>59439575</v>
      </c>
      <c r="P389">
        <v>130</v>
      </c>
      <c r="Q389" s="3">
        <v>45930</v>
      </c>
      <c r="R389">
        <v>271</v>
      </c>
      <c r="T389" t="s">
        <v>913</v>
      </c>
      <c r="U389">
        <v>0</v>
      </c>
      <c r="Y389" s="27">
        <f t="shared" si="22"/>
        <v>-11.14</v>
      </c>
      <c r="Z389" t="s">
        <v>894</v>
      </c>
    </row>
    <row r="390" spans="1:26" hidden="1" x14ac:dyDescent="0.35">
      <c r="A390" t="s">
        <v>910</v>
      </c>
      <c r="B390" t="s">
        <v>910</v>
      </c>
      <c r="C390" t="s">
        <v>438</v>
      </c>
      <c r="D390" s="4">
        <v>256779415392</v>
      </c>
      <c r="E390" s="3">
        <v>45848</v>
      </c>
      <c r="F390" t="s">
        <v>11</v>
      </c>
      <c r="G390" t="s">
        <v>911</v>
      </c>
      <c r="H390" t="s">
        <v>911</v>
      </c>
      <c r="I390">
        <v>-37.14</v>
      </c>
      <c r="J390" t="s">
        <v>15</v>
      </c>
      <c r="K390" s="3">
        <v>45878</v>
      </c>
      <c r="M390" t="s">
        <v>912</v>
      </c>
      <c r="N390" s="2">
        <v>45901</v>
      </c>
      <c r="O390">
        <v>59439575</v>
      </c>
      <c r="P390">
        <v>132</v>
      </c>
      <c r="Q390" s="3">
        <v>45930</v>
      </c>
      <c r="R390">
        <v>271</v>
      </c>
      <c r="T390" t="s">
        <v>913</v>
      </c>
      <c r="U390">
        <v>0</v>
      </c>
      <c r="Y390" s="27">
        <f t="shared" si="22"/>
        <v>-37.14</v>
      </c>
      <c r="Z390" t="s">
        <v>894</v>
      </c>
    </row>
    <row r="391" spans="1:26" hidden="1" x14ac:dyDescent="0.35">
      <c r="A391" t="s">
        <v>910</v>
      </c>
      <c r="B391" t="s">
        <v>910</v>
      </c>
      <c r="C391" t="s">
        <v>438</v>
      </c>
      <c r="D391" s="4">
        <v>256779415358</v>
      </c>
      <c r="E391" s="3">
        <v>45848</v>
      </c>
      <c r="F391" t="s">
        <v>11</v>
      </c>
      <c r="G391" t="s">
        <v>911</v>
      </c>
      <c r="H391" t="s">
        <v>911</v>
      </c>
      <c r="I391">
        <v>-17.829999999999998</v>
      </c>
      <c r="J391" t="s">
        <v>15</v>
      </c>
      <c r="K391" s="3">
        <v>45878</v>
      </c>
      <c r="M391" t="s">
        <v>912</v>
      </c>
      <c r="N391" s="2">
        <v>45901</v>
      </c>
      <c r="O391">
        <v>59439575</v>
      </c>
      <c r="P391">
        <v>134</v>
      </c>
      <c r="Q391" s="3">
        <v>45930</v>
      </c>
      <c r="R391">
        <v>271</v>
      </c>
      <c r="T391" t="s">
        <v>913</v>
      </c>
      <c r="U391">
        <v>0</v>
      </c>
      <c r="Y391" s="27">
        <f t="shared" si="22"/>
        <v>-17.829999999999998</v>
      </c>
      <c r="Z391" t="s">
        <v>894</v>
      </c>
    </row>
    <row r="392" spans="1:26" hidden="1" x14ac:dyDescent="0.35">
      <c r="A392" t="s">
        <v>910</v>
      </c>
      <c r="B392" t="s">
        <v>910</v>
      </c>
      <c r="C392" t="s">
        <v>438</v>
      </c>
      <c r="D392" s="4">
        <v>256779415337</v>
      </c>
      <c r="E392" s="3">
        <v>45848</v>
      </c>
      <c r="F392" t="s">
        <v>11</v>
      </c>
      <c r="G392" t="s">
        <v>911</v>
      </c>
      <c r="H392" t="s">
        <v>911</v>
      </c>
      <c r="I392">
        <v>-3.24</v>
      </c>
      <c r="J392" t="s">
        <v>15</v>
      </c>
      <c r="K392" s="3">
        <v>45878</v>
      </c>
      <c r="M392" t="s">
        <v>912</v>
      </c>
      <c r="N392" s="2">
        <v>45901</v>
      </c>
      <c r="O392">
        <v>59439575</v>
      </c>
      <c r="P392">
        <v>136</v>
      </c>
      <c r="Q392" s="3">
        <v>45930</v>
      </c>
      <c r="R392">
        <v>271</v>
      </c>
      <c r="T392" t="s">
        <v>913</v>
      </c>
      <c r="U392">
        <v>0</v>
      </c>
      <c r="Y392" s="27">
        <f t="shared" si="22"/>
        <v>-3.24</v>
      </c>
      <c r="Z392" t="s">
        <v>894</v>
      </c>
    </row>
    <row r="393" spans="1:26" hidden="1" x14ac:dyDescent="0.35">
      <c r="A393" t="s">
        <v>910</v>
      </c>
      <c r="B393" t="s">
        <v>910</v>
      </c>
      <c r="C393" t="s">
        <v>438</v>
      </c>
      <c r="D393" s="4">
        <v>256779415362</v>
      </c>
      <c r="E393" s="3">
        <v>45848</v>
      </c>
      <c r="F393" t="s">
        <v>11</v>
      </c>
      <c r="G393" t="s">
        <v>911</v>
      </c>
      <c r="H393" t="s">
        <v>911</v>
      </c>
      <c r="I393">
        <v>-0.56000000000000005</v>
      </c>
      <c r="J393" t="s">
        <v>15</v>
      </c>
      <c r="K393" s="3">
        <v>45878</v>
      </c>
      <c r="M393" t="s">
        <v>912</v>
      </c>
      <c r="N393" s="2">
        <v>45901</v>
      </c>
      <c r="O393">
        <v>59439575</v>
      </c>
      <c r="P393">
        <v>138</v>
      </c>
      <c r="Q393" s="3">
        <v>45930</v>
      </c>
      <c r="R393">
        <v>271</v>
      </c>
      <c r="T393" t="s">
        <v>913</v>
      </c>
      <c r="U393">
        <v>0</v>
      </c>
      <c r="Y393" s="27">
        <f t="shared" si="22"/>
        <v>-0.56000000000000005</v>
      </c>
      <c r="Z393" t="s">
        <v>894</v>
      </c>
    </row>
    <row r="394" spans="1:26" hidden="1" x14ac:dyDescent="0.35">
      <c r="A394" t="s">
        <v>910</v>
      </c>
      <c r="B394" t="s">
        <v>910</v>
      </c>
      <c r="C394" t="s">
        <v>438</v>
      </c>
      <c r="D394" s="4">
        <v>256779415373</v>
      </c>
      <c r="E394" s="3">
        <v>45848</v>
      </c>
      <c r="F394" t="s">
        <v>11</v>
      </c>
      <c r="G394" t="s">
        <v>911</v>
      </c>
      <c r="H394" t="s">
        <v>911</v>
      </c>
      <c r="I394">
        <v>-0.48</v>
      </c>
      <c r="J394" t="s">
        <v>15</v>
      </c>
      <c r="K394" s="3">
        <v>45878</v>
      </c>
      <c r="M394" t="s">
        <v>912</v>
      </c>
      <c r="N394" s="2">
        <v>45901</v>
      </c>
      <c r="O394">
        <v>59439575</v>
      </c>
      <c r="P394">
        <v>140</v>
      </c>
      <c r="Q394" s="3">
        <v>45930</v>
      </c>
      <c r="R394">
        <v>271</v>
      </c>
      <c r="T394" t="s">
        <v>913</v>
      </c>
      <c r="U394">
        <v>0</v>
      </c>
      <c r="Y394" s="27">
        <f t="shared" si="22"/>
        <v>-0.48</v>
      </c>
      <c r="Z394" t="s">
        <v>894</v>
      </c>
    </row>
    <row r="395" spans="1:26" hidden="1" x14ac:dyDescent="0.35">
      <c r="A395" t="s">
        <v>910</v>
      </c>
      <c r="B395" t="s">
        <v>910</v>
      </c>
      <c r="C395" t="s">
        <v>438</v>
      </c>
      <c r="D395" s="4">
        <v>256779415386</v>
      </c>
      <c r="E395" s="3">
        <v>45848</v>
      </c>
      <c r="F395" t="s">
        <v>11</v>
      </c>
      <c r="G395" t="s">
        <v>911</v>
      </c>
      <c r="H395" t="s">
        <v>911</v>
      </c>
      <c r="I395">
        <v>-1.39</v>
      </c>
      <c r="J395" t="s">
        <v>15</v>
      </c>
      <c r="K395" s="3">
        <v>45878</v>
      </c>
      <c r="M395" t="s">
        <v>912</v>
      </c>
      <c r="N395" s="2">
        <v>45901</v>
      </c>
      <c r="O395">
        <v>59439575</v>
      </c>
      <c r="P395">
        <v>142</v>
      </c>
      <c r="Q395" s="3">
        <v>45930</v>
      </c>
      <c r="R395">
        <v>271</v>
      </c>
      <c r="T395" t="s">
        <v>913</v>
      </c>
      <c r="U395">
        <v>0</v>
      </c>
      <c r="Y395" s="27">
        <f t="shared" si="22"/>
        <v>-1.39</v>
      </c>
      <c r="Z395" t="s">
        <v>894</v>
      </c>
    </row>
    <row r="396" spans="1:26" hidden="1" x14ac:dyDescent="0.35">
      <c r="A396" t="s">
        <v>910</v>
      </c>
      <c r="B396" t="s">
        <v>910</v>
      </c>
      <c r="C396" t="s">
        <v>438</v>
      </c>
      <c r="D396" s="4">
        <v>256779415348</v>
      </c>
      <c r="E396" s="3">
        <v>45848</v>
      </c>
      <c r="F396" t="s">
        <v>11</v>
      </c>
      <c r="G396" t="s">
        <v>911</v>
      </c>
      <c r="H396" t="s">
        <v>911</v>
      </c>
      <c r="I396">
        <v>-1.39</v>
      </c>
      <c r="J396" t="s">
        <v>15</v>
      </c>
      <c r="K396" s="3">
        <v>45878</v>
      </c>
      <c r="M396" t="s">
        <v>912</v>
      </c>
      <c r="N396" s="2">
        <v>45901</v>
      </c>
      <c r="O396">
        <v>59439575</v>
      </c>
      <c r="P396">
        <v>144</v>
      </c>
      <c r="Q396" s="3">
        <v>45930</v>
      </c>
      <c r="R396">
        <v>271</v>
      </c>
      <c r="T396" t="s">
        <v>913</v>
      </c>
      <c r="U396">
        <v>0</v>
      </c>
      <c r="Y396" s="27">
        <f t="shared" si="22"/>
        <v>-1.39</v>
      </c>
      <c r="Z396" t="s">
        <v>894</v>
      </c>
    </row>
    <row r="397" spans="1:26" hidden="1" x14ac:dyDescent="0.35">
      <c r="A397" t="s">
        <v>910</v>
      </c>
      <c r="B397" t="s">
        <v>910</v>
      </c>
      <c r="C397" t="s">
        <v>438</v>
      </c>
      <c r="D397" s="4">
        <v>256779415369</v>
      </c>
      <c r="E397" s="3">
        <v>45848</v>
      </c>
      <c r="F397" t="s">
        <v>11</v>
      </c>
      <c r="G397" t="s">
        <v>911</v>
      </c>
      <c r="H397" t="s">
        <v>911</v>
      </c>
      <c r="I397">
        <v>-0.56000000000000005</v>
      </c>
      <c r="J397" t="s">
        <v>15</v>
      </c>
      <c r="K397" s="3">
        <v>45878</v>
      </c>
      <c r="M397" t="s">
        <v>912</v>
      </c>
      <c r="N397" s="2">
        <v>45901</v>
      </c>
      <c r="O397">
        <v>59439575</v>
      </c>
      <c r="P397">
        <v>146</v>
      </c>
      <c r="Q397" s="3">
        <v>45930</v>
      </c>
      <c r="R397">
        <v>271</v>
      </c>
      <c r="T397" t="s">
        <v>913</v>
      </c>
      <c r="U397">
        <v>0</v>
      </c>
      <c r="Y397" s="27">
        <f t="shared" si="22"/>
        <v>-0.56000000000000005</v>
      </c>
      <c r="Z397" t="s">
        <v>894</v>
      </c>
    </row>
    <row r="398" spans="1:26" hidden="1" x14ac:dyDescent="0.35">
      <c r="A398" t="s">
        <v>910</v>
      </c>
      <c r="B398" t="s">
        <v>910</v>
      </c>
      <c r="C398" t="s">
        <v>438</v>
      </c>
      <c r="D398" s="4">
        <v>256779415364</v>
      </c>
      <c r="E398" s="3">
        <v>45848</v>
      </c>
      <c r="F398" t="s">
        <v>11</v>
      </c>
      <c r="G398" t="s">
        <v>911</v>
      </c>
      <c r="H398" t="s">
        <v>911</v>
      </c>
      <c r="I398">
        <v>-37.14</v>
      </c>
      <c r="J398" t="s">
        <v>15</v>
      </c>
      <c r="K398" s="3">
        <v>45878</v>
      </c>
      <c r="M398" t="s">
        <v>912</v>
      </c>
      <c r="N398" s="2">
        <v>45901</v>
      </c>
      <c r="O398">
        <v>59439575</v>
      </c>
      <c r="P398">
        <v>148</v>
      </c>
      <c r="Q398" s="3">
        <v>45930</v>
      </c>
      <c r="R398">
        <v>271</v>
      </c>
      <c r="T398" t="s">
        <v>913</v>
      </c>
      <c r="U398">
        <v>0</v>
      </c>
      <c r="Y398" s="27">
        <f t="shared" si="22"/>
        <v>-37.14</v>
      </c>
      <c r="Z398" t="s">
        <v>894</v>
      </c>
    </row>
    <row r="399" spans="1:26" hidden="1" x14ac:dyDescent="0.35">
      <c r="A399" t="s">
        <v>910</v>
      </c>
      <c r="B399" t="s">
        <v>910</v>
      </c>
      <c r="C399" t="s">
        <v>438</v>
      </c>
      <c r="D399" s="4">
        <v>256779415299</v>
      </c>
      <c r="E399" s="3">
        <v>45848</v>
      </c>
      <c r="F399" t="s">
        <v>11</v>
      </c>
      <c r="G399" t="s">
        <v>911</v>
      </c>
      <c r="H399" t="s">
        <v>911</v>
      </c>
      <c r="I399">
        <v>-4.46</v>
      </c>
      <c r="J399" t="s">
        <v>15</v>
      </c>
      <c r="K399" s="3">
        <v>45878</v>
      </c>
      <c r="M399" t="s">
        <v>912</v>
      </c>
      <c r="N399" s="2">
        <v>45901</v>
      </c>
      <c r="O399">
        <v>59439575</v>
      </c>
      <c r="P399">
        <v>150</v>
      </c>
      <c r="Q399" s="3">
        <v>45930</v>
      </c>
      <c r="R399">
        <v>271</v>
      </c>
      <c r="T399" t="s">
        <v>913</v>
      </c>
      <c r="U399">
        <v>0</v>
      </c>
      <c r="Y399" s="27">
        <f t="shared" si="22"/>
        <v>-4.46</v>
      </c>
      <c r="Z399" t="s">
        <v>894</v>
      </c>
    </row>
    <row r="400" spans="1:26" hidden="1" x14ac:dyDescent="0.35">
      <c r="A400" t="s">
        <v>910</v>
      </c>
      <c r="B400" t="s">
        <v>910</v>
      </c>
      <c r="C400" t="s">
        <v>438</v>
      </c>
      <c r="D400" s="4">
        <v>256779415335</v>
      </c>
      <c r="E400" s="3">
        <v>45848</v>
      </c>
      <c r="F400" t="s">
        <v>11</v>
      </c>
      <c r="G400" t="s">
        <v>911</v>
      </c>
      <c r="H400" t="s">
        <v>911</v>
      </c>
      <c r="I400">
        <v>-4.6500000000000004</v>
      </c>
      <c r="J400" t="s">
        <v>15</v>
      </c>
      <c r="K400" s="3">
        <v>45878</v>
      </c>
      <c r="M400" t="s">
        <v>912</v>
      </c>
      <c r="N400" s="2">
        <v>45901</v>
      </c>
      <c r="O400">
        <v>59439575</v>
      </c>
      <c r="P400">
        <v>152</v>
      </c>
      <c r="Q400" s="3">
        <v>45930</v>
      </c>
      <c r="R400">
        <v>271</v>
      </c>
      <c r="T400" t="s">
        <v>913</v>
      </c>
      <c r="U400">
        <v>0</v>
      </c>
      <c r="Y400" s="27">
        <f t="shared" si="22"/>
        <v>-4.6500000000000004</v>
      </c>
      <c r="Z400" t="s">
        <v>894</v>
      </c>
    </row>
    <row r="401" spans="1:28" hidden="1" x14ac:dyDescent="0.35">
      <c r="A401" t="s">
        <v>910</v>
      </c>
      <c r="B401" t="s">
        <v>910</v>
      </c>
      <c r="C401" t="s">
        <v>438</v>
      </c>
      <c r="D401" s="4">
        <v>256779415292</v>
      </c>
      <c r="E401" s="3">
        <v>45848</v>
      </c>
      <c r="F401" t="s">
        <v>11</v>
      </c>
      <c r="G401" t="s">
        <v>911</v>
      </c>
      <c r="H401" t="s">
        <v>911</v>
      </c>
      <c r="I401">
        <v>-4.46</v>
      </c>
      <c r="J401" t="s">
        <v>15</v>
      </c>
      <c r="K401" s="3">
        <v>45878</v>
      </c>
      <c r="M401" t="s">
        <v>912</v>
      </c>
      <c r="N401" s="2">
        <v>45901</v>
      </c>
      <c r="O401">
        <v>59439575</v>
      </c>
      <c r="P401">
        <v>154</v>
      </c>
      <c r="Q401" s="3">
        <v>45930</v>
      </c>
      <c r="R401">
        <v>271</v>
      </c>
      <c r="T401" t="s">
        <v>913</v>
      </c>
      <c r="U401">
        <v>0</v>
      </c>
      <c r="Y401" s="27">
        <f t="shared" si="22"/>
        <v>-4.46</v>
      </c>
      <c r="Z401" t="s">
        <v>894</v>
      </c>
    </row>
    <row r="402" spans="1:28" hidden="1" x14ac:dyDescent="0.35">
      <c r="A402" t="s">
        <v>910</v>
      </c>
      <c r="B402" t="s">
        <v>910</v>
      </c>
      <c r="C402" t="s">
        <v>438</v>
      </c>
      <c r="D402" s="4">
        <v>256779415370</v>
      </c>
      <c r="E402" s="3">
        <v>45848</v>
      </c>
      <c r="F402" t="s">
        <v>11</v>
      </c>
      <c r="G402" t="s">
        <v>911</v>
      </c>
      <c r="H402" t="s">
        <v>911</v>
      </c>
      <c r="I402">
        <v>-13.37</v>
      </c>
      <c r="J402" t="s">
        <v>15</v>
      </c>
      <c r="K402" s="3">
        <v>45878</v>
      </c>
      <c r="M402" t="s">
        <v>912</v>
      </c>
      <c r="N402" s="2">
        <v>45901</v>
      </c>
      <c r="O402">
        <v>59439575</v>
      </c>
      <c r="P402">
        <v>156</v>
      </c>
      <c r="Q402" s="3">
        <v>45930</v>
      </c>
      <c r="R402">
        <v>271</v>
      </c>
      <c r="T402" t="s">
        <v>913</v>
      </c>
      <c r="U402">
        <v>0</v>
      </c>
      <c r="Y402" s="27">
        <f t="shared" si="22"/>
        <v>-13.37</v>
      </c>
      <c r="Z402" t="s">
        <v>894</v>
      </c>
    </row>
    <row r="403" spans="1:28" hidden="1" x14ac:dyDescent="0.35">
      <c r="A403" t="s">
        <v>910</v>
      </c>
      <c r="B403" t="s">
        <v>910</v>
      </c>
      <c r="C403" t="s">
        <v>438</v>
      </c>
      <c r="D403" s="4">
        <v>256779415294</v>
      </c>
      <c r="E403" s="3">
        <v>45848</v>
      </c>
      <c r="F403" t="s">
        <v>11</v>
      </c>
      <c r="G403" t="s">
        <v>911</v>
      </c>
      <c r="H403" t="s">
        <v>911</v>
      </c>
      <c r="I403">
        <v>-4.46</v>
      </c>
      <c r="J403" t="s">
        <v>15</v>
      </c>
      <c r="K403" s="3">
        <v>45878</v>
      </c>
      <c r="M403" t="s">
        <v>912</v>
      </c>
      <c r="N403" s="2">
        <v>45901</v>
      </c>
      <c r="O403">
        <v>59439575</v>
      </c>
      <c r="P403">
        <v>158</v>
      </c>
      <c r="Q403" s="3">
        <v>45930</v>
      </c>
      <c r="R403">
        <v>271</v>
      </c>
      <c r="T403" t="s">
        <v>913</v>
      </c>
      <c r="U403">
        <v>0</v>
      </c>
      <c r="Y403" s="27">
        <f t="shared" si="22"/>
        <v>-4.46</v>
      </c>
      <c r="Z403" t="s">
        <v>894</v>
      </c>
    </row>
    <row r="404" spans="1:28" hidden="1" x14ac:dyDescent="0.35">
      <c r="A404" t="s">
        <v>910</v>
      </c>
      <c r="B404" t="s">
        <v>910</v>
      </c>
      <c r="C404" t="s">
        <v>438</v>
      </c>
      <c r="D404" s="4">
        <v>256779415307</v>
      </c>
      <c r="E404" s="3">
        <v>45848</v>
      </c>
      <c r="F404" t="s">
        <v>11</v>
      </c>
      <c r="G404" t="s">
        <v>911</v>
      </c>
      <c r="H404" t="s">
        <v>911</v>
      </c>
      <c r="I404">
        <v>-5.57</v>
      </c>
      <c r="J404" t="s">
        <v>15</v>
      </c>
      <c r="K404" s="3">
        <v>45878</v>
      </c>
      <c r="M404" t="s">
        <v>912</v>
      </c>
      <c r="N404" s="2">
        <v>45901</v>
      </c>
      <c r="O404">
        <v>59439575</v>
      </c>
      <c r="P404">
        <v>160</v>
      </c>
      <c r="Q404" s="3">
        <v>45930</v>
      </c>
      <c r="R404">
        <v>271</v>
      </c>
      <c r="T404" t="s">
        <v>913</v>
      </c>
      <c r="U404">
        <v>0</v>
      </c>
      <c r="Y404" s="27">
        <f t="shared" si="22"/>
        <v>-5.57</v>
      </c>
      <c r="Z404" t="s">
        <v>894</v>
      </c>
    </row>
    <row r="405" spans="1:28" hidden="1" x14ac:dyDescent="0.35">
      <c r="A405" t="s">
        <v>910</v>
      </c>
      <c r="B405" t="s">
        <v>910</v>
      </c>
      <c r="C405" t="s">
        <v>438</v>
      </c>
      <c r="D405" s="4">
        <v>256779415347</v>
      </c>
      <c r="E405" s="3">
        <v>45848</v>
      </c>
      <c r="F405" t="s">
        <v>11</v>
      </c>
      <c r="G405" t="s">
        <v>911</v>
      </c>
      <c r="H405" t="s">
        <v>911</v>
      </c>
      <c r="I405">
        <v>-3.72</v>
      </c>
      <c r="J405" t="s">
        <v>15</v>
      </c>
      <c r="K405" s="3">
        <v>45878</v>
      </c>
      <c r="M405" t="s">
        <v>912</v>
      </c>
      <c r="N405" s="2">
        <v>45901</v>
      </c>
      <c r="O405">
        <v>59439575</v>
      </c>
      <c r="P405">
        <v>162</v>
      </c>
      <c r="Q405" s="3">
        <v>45930</v>
      </c>
      <c r="R405">
        <v>271</v>
      </c>
      <c r="T405" t="s">
        <v>913</v>
      </c>
      <c r="U405">
        <v>0</v>
      </c>
      <c r="Y405" s="27">
        <f t="shared" si="22"/>
        <v>-3.72</v>
      </c>
      <c r="Z405" t="s">
        <v>894</v>
      </c>
    </row>
    <row r="406" spans="1:28" hidden="1" x14ac:dyDescent="0.35">
      <c r="A406" t="s">
        <v>910</v>
      </c>
      <c r="B406" t="s">
        <v>910</v>
      </c>
      <c r="C406" t="s">
        <v>438</v>
      </c>
      <c r="D406" s="4">
        <v>256779415297</v>
      </c>
      <c r="E406" s="3">
        <v>45848</v>
      </c>
      <c r="F406" t="s">
        <v>11</v>
      </c>
      <c r="G406" t="s">
        <v>911</v>
      </c>
      <c r="H406" t="s">
        <v>911</v>
      </c>
      <c r="I406">
        <v>-4.46</v>
      </c>
      <c r="J406" t="s">
        <v>15</v>
      </c>
      <c r="K406" s="3">
        <v>45878</v>
      </c>
      <c r="M406" t="s">
        <v>912</v>
      </c>
      <c r="N406" s="2">
        <v>45901</v>
      </c>
      <c r="O406">
        <v>59439575</v>
      </c>
      <c r="P406">
        <v>164</v>
      </c>
      <c r="Q406" s="3">
        <v>45930</v>
      </c>
      <c r="R406">
        <v>271</v>
      </c>
      <c r="T406" t="s">
        <v>913</v>
      </c>
      <c r="U406">
        <v>0</v>
      </c>
      <c r="Y406" s="27">
        <f t="shared" si="22"/>
        <v>-4.46</v>
      </c>
      <c r="Z406" t="s">
        <v>894</v>
      </c>
    </row>
    <row r="407" spans="1:28" hidden="1" x14ac:dyDescent="0.35">
      <c r="A407" t="s">
        <v>910</v>
      </c>
      <c r="B407" t="s">
        <v>910</v>
      </c>
      <c r="C407" t="s">
        <v>438</v>
      </c>
      <c r="D407" s="4">
        <v>256779415312</v>
      </c>
      <c r="E407" s="3">
        <v>45848</v>
      </c>
      <c r="F407" t="s">
        <v>11</v>
      </c>
      <c r="G407">
        <v>-200</v>
      </c>
      <c r="H407">
        <v>200</v>
      </c>
      <c r="I407" s="27">
        <v>-17694</v>
      </c>
      <c r="K407" s="3">
        <v>45878</v>
      </c>
      <c r="L407" s="3">
        <v>45991</v>
      </c>
      <c r="M407" t="s">
        <v>912</v>
      </c>
      <c r="N407" s="2">
        <v>45931</v>
      </c>
      <c r="O407">
        <v>61262744</v>
      </c>
      <c r="P407">
        <v>1</v>
      </c>
      <c r="Q407" s="3">
        <v>45959</v>
      </c>
      <c r="R407">
        <v>210</v>
      </c>
      <c r="S407" s="85">
        <v>1.55E+16</v>
      </c>
      <c r="T407" t="s">
        <v>913</v>
      </c>
      <c r="U407">
        <v>17694</v>
      </c>
      <c r="W407" s="79">
        <f t="shared" ref="W407:W453" si="23">X407/I407</f>
        <v>-0.02</v>
      </c>
      <c r="X407">
        <f>VLOOKUP(D407,'[3]Customer TDS'!D:I,6,0)</f>
        <v>353.88</v>
      </c>
      <c r="Y407" s="27">
        <f t="shared" si="22"/>
        <v>-17340.12</v>
      </c>
      <c r="Z407" t="s">
        <v>915</v>
      </c>
      <c r="AA407">
        <f>VLOOKUP(D407,'Ascendus DATA'!$F:$J,5,0)</f>
        <v>17200.13</v>
      </c>
      <c r="AB407" s="27">
        <f t="shared" ref="AB407:AB453" si="24">I407+AA407</f>
        <v>-493.86999999999898</v>
      </c>
    </row>
    <row r="408" spans="1:28" hidden="1" x14ac:dyDescent="0.35">
      <c r="A408" t="s">
        <v>910</v>
      </c>
      <c r="B408" t="s">
        <v>910</v>
      </c>
      <c r="C408" t="s">
        <v>438</v>
      </c>
      <c r="D408" s="4">
        <v>256779411970</v>
      </c>
      <c r="E408" s="3">
        <v>45763</v>
      </c>
      <c r="F408" t="s">
        <v>11</v>
      </c>
      <c r="G408">
        <v>-8.66</v>
      </c>
      <c r="H408">
        <v>8.66</v>
      </c>
      <c r="I408">
        <v>-742.4</v>
      </c>
      <c r="K408" s="3">
        <v>45793</v>
      </c>
      <c r="L408" s="3">
        <v>45991</v>
      </c>
      <c r="M408" t="s">
        <v>912</v>
      </c>
      <c r="N408" s="2">
        <v>45931</v>
      </c>
      <c r="O408">
        <v>61262747</v>
      </c>
      <c r="P408">
        <v>1</v>
      </c>
      <c r="Q408" s="3">
        <v>45959</v>
      </c>
      <c r="R408">
        <v>210</v>
      </c>
      <c r="S408" s="85">
        <v>1.55E+16</v>
      </c>
      <c r="T408" t="s">
        <v>913</v>
      </c>
      <c r="U408">
        <v>742.4</v>
      </c>
      <c r="W408" s="79">
        <f t="shared" si="23"/>
        <v>-1.9625538793103449E-2</v>
      </c>
      <c r="X408">
        <f>VLOOKUP(D408,'[3]Customer TDS'!D:I,6,0)</f>
        <v>14.57</v>
      </c>
      <c r="Y408" s="27">
        <f t="shared" si="22"/>
        <v>-727.82999999999993</v>
      </c>
      <c r="Z408" t="s">
        <v>915</v>
      </c>
      <c r="AA408">
        <f>VLOOKUP(D408,'Ascendus DATA'!$F:$J,5,0)</f>
        <v>752.74</v>
      </c>
      <c r="AB408" s="27">
        <f t="shared" si="24"/>
        <v>10.340000000000032</v>
      </c>
    </row>
    <row r="409" spans="1:28" hidden="1" x14ac:dyDescent="0.35">
      <c r="A409" t="s">
        <v>910</v>
      </c>
      <c r="B409" t="s">
        <v>910</v>
      </c>
      <c r="C409" t="s">
        <v>438</v>
      </c>
      <c r="D409" s="4">
        <v>256779415327</v>
      </c>
      <c r="E409" s="3">
        <v>45848</v>
      </c>
      <c r="F409" t="s">
        <v>11</v>
      </c>
      <c r="G409">
        <v>-20</v>
      </c>
      <c r="H409">
        <v>20</v>
      </c>
      <c r="I409" s="27">
        <v>-1769.4</v>
      </c>
      <c r="K409" s="3">
        <v>45878</v>
      </c>
      <c r="L409" s="3">
        <v>45991</v>
      </c>
      <c r="M409" t="s">
        <v>912</v>
      </c>
      <c r="N409" s="2">
        <v>45931</v>
      </c>
      <c r="O409">
        <v>61262748</v>
      </c>
      <c r="P409">
        <v>1</v>
      </c>
      <c r="Q409" s="3">
        <v>45959</v>
      </c>
      <c r="R409">
        <v>210</v>
      </c>
      <c r="S409" s="85">
        <v>1.55E+16</v>
      </c>
      <c r="T409" t="s">
        <v>913</v>
      </c>
      <c r="U409">
        <v>1769.4</v>
      </c>
      <c r="W409" s="79">
        <f t="shared" si="23"/>
        <v>-2.0001130326664406E-2</v>
      </c>
      <c r="X409">
        <f>VLOOKUP(D409,'[3]Customer TDS'!D:I,6,0)</f>
        <v>35.39</v>
      </c>
      <c r="Y409" s="27">
        <f t="shared" si="22"/>
        <v>-1734.01</v>
      </c>
      <c r="Z409" t="s">
        <v>915</v>
      </c>
      <c r="AA409">
        <f>VLOOKUP(D409,'Ascendus DATA'!$F:$J,5,0)</f>
        <v>1720.01</v>
      </c>
      <c r="AB409" s="27">
        <f t="shared" si="24"/>
        <v>-49.3900000000001</v>
      </c>
    </row>
    <row r="410" spans="1:28" hidden="1" x14ac:dyDescent="0.35">
      <c r="A410" t="s">
        <v>910</v>
      </c>
      <c r="B410" t="s">
        <v>910</v>
      </c>
      <c r="C410" t="s">
        <v>438</v>
      </c>
      <c r="D410" s="4">
        <v>256779415351</v>
      </c>
      <c r="E410" s="3">
        <v>45848</v>
      </c>
      <c r="F410" t="s">
        <v>11</v>
      </c>
      <c r="G410">
        <v>-17.03</v>
      </c>
      <c r="H410">
        <v>17.03</v>
      </c>
      <c r="I410" s="27">
        <v>-1464.4</v>
      </c>
      <c r="K410" s="3">
        <v>45878</v>
      </c>
      <c r="L410" s="3">
        <v>45991</v>
      </c>
      <c r="M410" t="s">
        <v>912</v>
      </c>
      <c r="N410" s="2">
        <v>45931</v>
      </c>
      <c r="O410">
        <v>61262750</v>
      </c>
      <c r="P410">
        <v>1</v>
      </c>
      <c r="Q410" s="3">
        <v>45959</v>
      </c>
      <c r="R410">
        <v>210</v>
      </c>
      <c r="S410" s="85">
        <v>1.55E+16</v>
      </c>
      <c r="T410" t="s">
        <v>913</v>
      </c>
      <c r="U410">
        <v>1464.4</v>
      </c>
      <c r="W410" s="79">
        <f t="shared" si="23"/>
        <v>-1.9967222070472548E-2</v>
      </c>
      <c r="X410">
        <f>VLOOKUP(D410,'[3]Customer TDS'!D:I,6,0)</f>
        <v>29.24</v>
      </c>
      <c r="Y410" s="27">
        <f t="shared" si="22"/>
        <v>-1435.16</v>
      </c>
      <c r="Z410" t="s">
        <v>915</v>
      </c>
      <c r="AA410">
        <f>VLOOKUP(D410,'Ascendus DATA'!$F:$J,5,0)</f>
        <v>1464.59</v>
      </c>
      <c r="AB410" s="27">
        <f t="shared" si="24"/>
        <v>0.1899999999998272</v>
      </c>
    </row>
    <row r="411" spans="1:28" hidden="1" x14ac:dyDescent="0.35">
      <c r="A411" t="s">
        <v>910</v>
      </c>
      <c r="B411" t="s">
        <v>910</v>
      </c>
      <c r="C411" t="s">
        <v>438</v>
      </c>
      <c r="D411" s="4">
        <v>256779415324</v>
      </c>
      <c r="E411" s="3">
        <v>45848</v>
      </c>
      <c r="F411" t="s">
        <v>11</v>
      </c>
      <c r="G411">
        <v>-146.65</v>
      </c>
      <c r="H411">
        <v>146.65</v>
      </c>
      <c r="I411" s="27">
        <v>-12974.13</v>
      </c>
      <c r="K411" s="3">
        <v>45878</v>
      </c>
      <c r="L411" s="3">
        <v>45991</v>
      </c>
      <c r="M411" t="s">
        <v>912</v>
      </c>
      <c r="N411" s="2">
        <v>45931</v>
      </c>
      <c r="O411">
        <v>61262751</v>
      </c>
      <c r="P411">
        <v>1</v>
      </c>
      <c r="Q411" s="3">
        <v>45959</v>
      </c>
      <c r="R411">
        <v>210</v>
      </c>
      <c r="S411" s="85">
        <v>1.55E+16</v>
      </c>
      <c r="T411" t="s">
        <v>913</v>
      </c>
      <c r="U411">
        <v>12974.13</v>
      </c>
      <c r="W411" s="79">
        <f t="shared" si="23"/>
        <v>-1.9979759721846478E-2</v>
      </c>
      <c r="X411">
        <f>VLOOKUP(D411,'[3]Customer TDS'!D:I,6,0)</f>
        <v>259.22000000000003</v>
      </c>
      <c r="Y411" s="27">
        <f t="shared" si="22"/>
        <v>-12714.91</v>
      </c>
      <c r="Z411" t="s">
        <v>915</v>
      </c>
      <c r="AA411">
        <f>VLOOKUP(D411,'Ascendus DATA'!$F:$J,5,0)</f>
        <v>12612</v>
      </c>
      <c r="AB411" s="27">
        <f t="shared" si="24"/>
        <v>-362.1299999999992</v>
      </c>
    </row>
    <row r="412" spans="1:28" hidden="1" x14ac:dyDescent="0.35">
      <c r="A412" t="s">
        <v>910</v>
      </c>
      <c r="B412" t="s">
        <v>910</v>
      </c>
      <c r="C412" t="s">
        <v>438</v>
      </c>
      <c r="D412" s="4">
        <v>256779415322</v>
      </c>
      <c r="E412" s="3">
        <v>45848</v>
      </c>
      <c r="F412" t="s">
        <v>11</v>
      </c>
      <c r="G412">
        <v>-192</v>
      </c>
      <c r="H412">
        <v>192</v>
      </c>
      <c r="I412" s="27">
        <v>-16986.240000000002</v>
      </c>
      <c r="K412" s="3">
        <v>45878</v>
      </c>
      <c r="L412" s="3">
        <v>45991</v>
      </c>
      <c r="M412" t="s">
        <v>912</v>
      </c>
      <c r="N412" s="2">
        <v>45931</v>
      </c>
      <c r="O412">
        <v>61262754</v>
      </c>
      <c r="P412">
        <v>1</v>
      </c>
      <c r="Q412" s="3">
        <v>45959</v>
      </c>
      <c r="R412">
        <v>210</v>
      </c>
      <c r="S412" s="85">
        <v>1.55E+16</v>
      </c>
      <c r="T412" t="s">
        <v>913</v>
      </c>
      <c r="U412">
        <v>16986.240000000002</v>
      </c>
      <c r="W412" s="79">
        <f t="shared" si="23"/>
        <v>-1.9999717418333899E-2</v>
      </c>
      <c r="X412">
        <f>VLOOKUP(D412,'[3]Customer TDS'!D:I,6,0)</f>
        <v>339.72</v>
      </c>
      <c r="Y412" s="27">
        <f t="shared" si="22"/>
        <v>-16646.52</v>
      </c>
      <c r="Z412" t="s">
        <v>915</v>
      </c>
      <c r="AA412">
        <f>VLOOKUP(D412,'Ascendus DATA'!$F:$J,5,0)</f>
        <v>16512.13</v>
      </c>
      <c r="AB412" s="27">
        <f t="shared" si="24"/>
        <v>-474.11000000000058</v>
      </c>
    </row>
    <row r="413" spans="1:28" hidden="1" x14ac:dyDescent="0.35">
      <c r="A413" t="s">
        <v>910</v>
      </c>
      <c r="B413" t="s">
        <v>910</v>
      </c>
      <c r="C413" t="s">
        <v>438</v>
      </c>
      <c r="D413" s="4">
        <v>256779415366</v>
      </c>
      <c r="E413" s="3">
        <v>45848</v>
      </c>
      <c r="F413" t="s">
        <v>11</v>
      </c>
      <c r="G413">
        <v>-192</v>
      </c>
      <c r="H413">
        <v>192</v>
      </c>
      <c r="I413" s="27">
        <v>-16986.240000000002</v>
      </c>
      <c r="K413" s="3">
        <v>45878</v>
      </c>
      <c r="L413" s="3">
        <v>45991</v>
      </c>
      <c r="M413" t="s">
        <v>912</v>
      </c>
      <c r="N413" s="2">
        <v>45931</v>
      </c>
      <c r="O413">
        <v>61262757</v>
      </c>
      <c r="P413">
        <v>1</v>
      </c>
      <c r="Q413" s="3">
        <v>45959</v>
      </c>
      <c r="R413">
        <v>210</v>
      </c>
      <c r="S413" s="85">
        <v>1.55E+16</v>
      </c>
      <c r="T413" t="s">
        <v>913</v>
      </c>
      <c r="U413">
        <v>16986.240000000002</v>
      </c>
      <c r="W413" s="79">
        <f t="shared" si="23"/>
        <v>-1.9999717418333899E-2</v>
      </c>
      <c r="X413">
        <f>VLOOKUP(D413,'[3]Customer TDS'!D:I,6,0)</f>
        <v>339.72</v>
      </c>
      <c r="Y413" s="27">
        <f t="shared" si="22"/>
        <v>-16646.52</v>
      </c>
      <c r="Z413" t="s">
        <v>915</v>
      </c>
      <c r="AA413">
        <f>VLOOKUP(D413,'Ascendus DATA'!$F:$J,5,0)</f>
        <v>16512.13</v>
      </c>
      <c r="AB413" s="27">
        <f t="shared" si="24"/>
        <v>-474.11000000000058</v>
      </c>
    </row>
    <row r="414" spans="1:28" hidden="1" x14ac:dyDescent="0.35">
      <c r="A414" t="s">
        <v>910</v>
      </c>
      <c r="B414" t="s">
        <v>910</v>
      </c>
      <c r="C414" t="s">
        <v>438</v>
      </c>
      <c r="D414" s="4">
        <v>256779415365</v>
      </c>
      <c r="E414" s="3">
        <v>45848</v>
      </c>
      <c r="F414" t="s">
        <v>11</v>
      </c>
      <c r="G414">
        <v>-313</v>
      </c>
      <c r="H414">
        <v>313</v>
      </c>
      <c r="I414" s="27">
        <v>-27691.11</v>
      </c>
      <c r="K414" s="3">
        <v>45878</v>
      </c>
      <c r="L414" s="3">
        <v>45991</v>
      </c>
      <c r="M414" t="s">
        <v>912</v>
      </c>
      <c r="N414" s="2">
        <v>45931</v>
      </c>
      <c r="O414">
        <v>61262759</v>
      </c>
      <c r="P414">
        <v>1</v>
      </c>
      <c r="Q414" s="3">
        <v>45959</v>
      </c>
      <c r="R414">
        <v>210</v>
      </c>
      <c r="S414" s="85">
        <v>1.55E+16</v>
      </c>
      <c r="T414" t="s">
        <v>913</v>
      </c>
      <c r="U414">
        <v>27691.11</v>
      </c>
      <c r="W414" s="79">
        <f t="shared" si="23"/>
        <v>-1.9999920552119434E-2</v>
      </c>
      <c r="X414">
        <f>VLOOKUP(D414,'[3]Customer TDS'!D:I,6,0)</f>
        <v>553.82000000000005</v>
      </c>
      <c r="Y414" s="27">
        <f t="shared" si="22"/>
        <v>-27137.29</v>
      </c>
      <c r="Z414" t="s">
        <v>915</v>
      </c>
      <c r="AA414">
        <f>VLOOKUP(D414,'Ascendus DATA'!$F:$J,5,0)</f>
        <v>26918.21</v>
      </c>
      <c r="AB414" s="27">
        <f t="shared" si="24"/>
        <v>-772.90000000000146</v>
      </c>
    </row>
    <row r="415" spans="1:28" hidden="1" x14ac:dyDescent="0.35">
      <c r="A415" t="s">
        <v>910</v>
      </c>
      <c r="B415" t="s">
        <v>910</v>
      </c>
      <c r="C415" t="s">
        <v>438</v>
      </c>
      <c r="D415" s="4">
        <v>256779415311</v>
      </c>
      <c r="E415" s="3">
        <v>45848</v>
      </c>
      <c r="F415" t="s">
        <v>11</v>
      </c>
      <c r="G415">
        <v>-77.48</v>
      </c>
      <c r="H415">
        <v>77.48</v>
      </c>
      <c r="I415" s="27">
        <v>-6854.66</v>
      </c>
      <c r="K415" s="3">
        <v>45878</v>
      </c>
      <c r="L415" s="3">
        <v>45991</v>
      </c>
      <c r="M415" t="s">
        <v>912</v>
      </c>
      <c r="N415" s="2">
        <v>45931</v>
      </c>
      <c r="O415">
        <v>61262760</v>
      </c>
      <c r="P415">
        <v>1</v>
      </c>
      <c r="Q415" s="3">
        <v>45959</v>
      </c>
      <c r="R415">
        <v>210</v>
      </c>
      <c r="S415" s="85">
        <v>1.55E+16</v>
      </c>
      <c r="T415" t="s">
        <v>913</v>
      </c>
      <c r="U415">
        <v>6854.66</v>
      </c>
      <c r="W415" s="79">
        <f t="shared" si="23"/>
        <v>-2.0005368610551071E-2</v>
      </c>
      <c r="X415">
        <f>VLOOKUP(D415,'[3]Customer TDS'!D:I,6,0)</f>
        <v>137.13</v>
      </c>
      <c r="Y415" s="27">
        <f t="shared" si="22"/>
        <v>-6717.53</v>
      </c>
      <c r="Z415" t="s">
        <v>915</v>
      </c>
      <c r="AA415">
        <f>VLOOKUP(D415,'Ascendus DATA'!$F:$J,5,0)</f>
        <v>6663.33</v>
      </c>
      <c r="AB415" s="27">
        <f t="shared" si="24"/>
        <v>-191.32999999999993</v>
      </c>
    </row>
    <row r="416" spans="1:28" hidden="1" x14ac:dyDescent="0.35">
      <c r="A416" t="s">
        <v>910</v>
      </c>
      <c r="B416" t="s">
        <v>910</v>
      </c>
      <c r="C416" t="s">
        <v>438</v>
      </c>
      <c r="D416" s="4">
        <v>256779415368</v>
      </c>
      <c r="E416" s="3">
        <v>45848</v>
      </c>
      <c r="F416" t="s">
        <v>11</v>
      </c>
      <c r="G416">
        <v>-60</v>
      </c>
      <c r="H416">
        <v>60</v>
      </c>
      <c r="I416" s="27">
        <v>-5308.2</v>
      </c>
      <c r="K416" s="3">
        <v>45878</v>
      </c>
      <c r="L416" s="3">
        <v>45991</v>
      </c>
      <c r="M416" t="s">
        <v>912</v>
      </c>
      <c r="N416" s="2">
        <v>45931</v>
      </c>
      <c r="O416">
        <v>61262763</v>
      </c>
      <c r="P416">
        <v>1</v>
      </c>
      <c r="Q416" s="3">
        <v>45959</v>
      </c>
      <c r="R416">
        <v>210</v>
      </c>
      <c r="S416" s="85">
        <v>1.55E+16</v>
      </c>
      <c r="T416" t="s">
        <v>913</v>
      </c>
      <c r="U416">
        <v>5308.2</v>
      </c>
      <c r="W416" s="79">
        <f t="shared" si="23"/>
        <v>-1.9999246448890395E-2</v>
      </c>
      <c r="X416">
        <f>VLOOKUP(D416,'[3]Customer TDS'!D:I,6,0)</f>
        <v>106.16</v>
      </c>
      <c r="Y416" s="27">
        <f t="shared" si="22"/>
        <v>-5202.04</v>
      </c>
      <c r="Z416" t="s">
        <v>915</v>
      </c>
      <c r="AA416">
        <f>VLOOKUP(D416,'Ascendus DATA'!$F:$J,5,0)</f>
        <v>5160.04</v>
      </c>
      <c r="AB416" s="27">
        <f t="shared" si="24"/>
        <v>-148.15999999999985</v>
      </c>
    </row>
    <row r="417" spans="1:28" hidden="1" x14ac:dyDescent="0.35">
      <c r="A417" t="s">
        <v>910</v>
      </c>
      <c r="B417" t="s">
        <v>910</v>
      </c>
      <c r="C417" t="s">
        <v>438</v>
      </c>
      <c r="D417" s="4">
        <v>256779415320</v>
      </c>
      <c r="E417" s="3">
        <v>45848</v>
      </c>
      <c r="F417" t="s">
        <v>11</v>
      </c>
      <c r="G417">
        <v>-12.5</v>
      </c>
      <c r="H417">
        <v>12.5</v>
      </c>
      <c r="I417" s="27">
        <v>-1105.8800000000001</v>
      </c>
      <c r="K417" s="3">
        <v>45878</v>
      </c>
      <c r="L417" s="3">
        <v>45991</v>
      </c>
      <c r="M417" t="s">
        <v>912</v>
      </c>
      <c r="N417" s="2">
        <v>45931</v>
      </c>
      <c r="O417">
        <v>61262766</v>
      </c>
      <c r="P417">
        <v>1</v>
      </c>
      <c r="Q417" s="3">
        <v>45959</v>
      </c>
      <c r="R417">
        <v>210</v>
      </c>
      <c r="S417" s="85">
        <v>1.55E+16</v>
      </c>
      <c r="T417" t="s">
        <v>913</v>
      </c>
      <c r="U417">
        <v>1105.8800000000001</v>
      </c>
      <c r="W417" s="79">
        <f t="shared" si="23"/>
        <v>-2.0002170217383441E-2</v>
      </c>
      <c r="X417">
        <f>VLOOKUP(D417,'[3]Customer TDS'!D:I,6,0)</f>
        <v>22.12</v>
      </c>
      <c r="Y417" s="27">
        <f t="shared" si="22"/>
        <v>-1083.7600000000002</v>
      </c>
      <c r="Z417" t="s">
        <v>915</v>
      </c>
      <c r="AA417">
        <f>VLOOKUP(D417,'Ascendus DATA'!$F:$J,5,0)</f>
        <v>1075.01</v>
      </c>
      <c r="AB417" s="27">
        <f t="shared" si="24"/>
        <v>-30.870000000000118</v>
      </c>
    </row>
    <row r="418" spans="1:28" hidden="1" x14ac:dyDescent="0.35">
      <c r="A418" t="s">
        <v>910</v>
      </c>
      <c r="B418" t="s">
        <v>910</v>
      </c>
      <c r="C418" t="s">
        <v>438</v>
      </c>
      <c r="D418" s="4">
        <v>256779415301</v>
      </c>
      <c r="E418" s="3">
        <v>45848</v>
      </c>
      <c r="F418" t="s">
        <v>11</v>
      </c>
      <c r="G418">
        <v>-30</v>
      </c>
      <c r="H418">
        <v>30</v>
      </c>
      <c r="I418" s="27">
        <v>-2654.1</v>
      </c>
      <c r="K418" s="3">
        <v>45878</v>
      </c>
      <c r="L418" s="3">
        <v>45991</v>
      </c>
      <c r="M418" t="s">
        <v>912</v>
      </c>
      <c r="N418" s="2">
        <v>45931</v>
      </c>
      <c r="O418">
        <v>61262767</v>
      </c>
      <c r="P418">
        <v>1</v>
      </c>
      <c r="Q418" s="3">
        <v>45959</v>
      </c>
      <c r="R418">
        <v>210</v>
      </c>
      <c r="S418" s="85">
        <v>1.55E+16</v>
      </c>
      <c r="T418" t="s">
        <v>913</v>
      </c>
      <c r="U418">
        <v>2654.1</v>
      </c>
      <c r="W418" s="79">
        <f t="shared" si="23"/>
        <v>-1.9999246448890395E-2</v>
      </c>
      <c r="X418">
        <f>VLOOKUP(D418,'[3]Customer TDS'!D:I,6,0)</f>
        <v>53.08</v>
      </c>
      <c r="Y418" s="27">
        <f t="shared" si="22"/>
        <v>-2601.02</v>
      </c>
      <c r="Z418" t="s">
        <v>915</v>
      </c>
      <c r="AA418">
        <f>VLOOKUP(D418,'Ascendus DATA'!$F:$J,5,0)</f>
        <v>2580.02</v>
      </c>
      <c r="AB418" s="27">
        <f t="shared" si="24"/>
        <v>-74.079999999999927</v>
      </c>
    </row>
    <row r="419" spans="1:28" hidden="1" x14ac:dyDescent="0.35">
      <c r="A419" t="s">
        <v>910</v>
      </c>
      <c r="B419" t="s">
        <v>910</v>
      </c>
      <c r="C419" t="s">
        <v>438</v>
      </c>
      <c r="D419" s="4">
        <v>256779415329</v>
      </c>
      <c r="E419" s="3">
        <v>45848</v>
      </c>
      <c r="F419" t="s">
        <v>11</v>
      </c>
      <c r="G419">
        <v>-27.5</v>
      </c>
      <c r="H419">
        <v>27.5</v>
      </c>
      <c r="I419" s="27">
        <v>-2432.9299999999998</v>
      </c>
      <c r="K419" s="3">
        <v>45878</v>
      </c>
      <c r="L419" s="3">
        <v>45991</v>
      </c>
      <c r="M419" t="s">
        <v>912</v>
      </c>
      <c r="N419" s="2">
        <v>45931</v>
      </c>
      <c r="O419">
        <v>61262777</v>
      </c>
      <c r="P419">
        <v>1</v>
      </c>
      <c r="Q419" s="3">
        <v>45959</v>
      </c>
      <c r="R419">
        <v>210</v>
      </c>
      <c r="S419" s="85">
        <v>1.55E+16</v>
      </c>
      <c r="T419" t="s">
        <v>913</v>
      </c>
      <c r="U419">
        <v>2432.9299999999998</v>
      </c>
      <c r="W419" s="79">
        <f t="shared" si="23"/>
        <v>-2.0000575437846547E-2</v>
      </c>
      <c r="X419">
        <f>VLOOKUP(D419,'[3]Customer TDS'!D:I,6,0)</f>
        <v>48.66</v>
      </c>
      <c r="Y419" s="27">
        <f t="shared" si="22"/>
        <v>-2384.27</v>
      </c>
      <c r="Z419" t="s">
        <v>915</v>
      </c>
      <c r="AA419">
        <f>VLOOKUP(D419,'Ascendus DATA'!$F:$J,5,0)</f>
        <v>2365.02</v>
      </c>
      <c r="AB419" s="27">
        <f t="shared" si="24"/>
        <v>-67.909999999999854</v>
      </c>
    </row>
    <row r="420" spans="1:28" hidden="1" x14ac:dyDescent="0.35">
      <c r="A420" t="s">
        <v>910</v>
      </c>
      <c r="B420" t="s">
        <v>910</v>
      </c>
      <c r="C420" t="s">
        <v>438</v>
      </c>
      <c r="D420" s="4">
        <v>256779415367</v>
      </c>
      <c r="E420" s="3">
        <v>45848</v>
      </c>
      <c r="F420" t="s">
        <v>11</v>
      </c>
      <c r="G420">
        <v>-200</v>
      </c>
      <c r="H420">
        <v>200</v>
      </c>
      <c r="I420" s="27">
        <v>-17694</v>
      </c>
      <c r="K420" s="3">
        <v>45878</v>
      </c>
      <c r="L420" s="3">
        <v>45991</v>
      </c>
      <c r="M420" t="s">
        <v>912</v>
      </c>
      <c r="N420" s="2">
        <v>45931</v>
      </c>
      <c r="O420">
        <v>61262782</v>
      </c>
      <c r="P420">
        <v>1</v>
      </c>
      <c r="Q420" s="3">
        <v>45959</v>
      </c>
      <c r="R420">
        <v>210</v>
      </c>
      <c r="S420" s="85">
        <v>1.55E+16</v>
      </c>
      <c r="T420" t="s">
        <v>913</v>
      </c>
      <c r="U420">
        <v>17694</v>
      </c>
      <c r="W420" s="79">
        <f t="shared" si="23"/>
        <v>-0.02</v>
      </c>
      <c r="X420">
        <f>VLOOKUP(D420,'[3]Customer TDS'!D:I,6,0)</f>
        <v>353.88</v>
      </c>
      <c r="Y420" s="27">
        <f t="shared" si="22"/>
        <v>-17340.12</v>
      </c>
      <c r="Z420" t="s">
        <v>915</v>
      </c>
      <c r="AA420">
        <f>VLOOKUP(D420,'Ascendus DATA'!$F:$J,5,0)</f>
        <v>17200.13</v>
      </c>
      <c r="AB420" s="27">
        <f t="shared" si="24"/>
        <v>-493.86999999999898</v>
      </c>
    </row>
    <row r="421" spans="1:28" hidden="1" x14ac:dyDescent="0.35">
      <c r="A421" t="s">
        <v>910</v>
      </c>
      <c r="B421" t="s">
        <v>910</v>
      </c>
      <c r="C421" t="s">
        <v>438</v>
      </c>
      <c r="D421" s="4">
        <v>256779415353</v>
      </c>
      <c r="E421" s="3">
        <v>45848</v>
      </c>
      <c r="F421" t="s">
        <v>11</v>
      </c>
      <c r="G421">
        <v>-200</v>
      </c>
      <c r="H421">
        <v>200</v>
      </c>
      <c r="I421" s="27">
        <v>-17694</v>
      </c>
      <c r="K421" s="3">
        <v>45878</v>
      </c>
      <c r="L421" s="3">
        <v>45991</v>
      </c>
      <c r="M421" t="s">
        <v>912</v>
      </c>
      <c r="N421" s="2">
        <v>45931</v>
      </c>
      <c r="O421">
        <v>61262790</v>
      </c>
      <c r="P421">
        <v>1</v>
      </c>
      <c r="Q421" s="3">
        <v>45959</v>
      </c>
      <c r="R421">
        <v>210</v>
      </c>
      <c r="S421" s="85">
        <v>1.55E+16</v>
      </c>
      <c r="T421" t="s">
        <v>913</v>
      </c>
      <c r="U421">
        <v>17694</v>
      </c>
      <c r="W421" s="79">
        <f t="shared" si="23"/>
        <v>-0.02</v>
      </c>
      <c r="X421">
        <f>VLOOKUP(D421,'[3]Customer TDS'!D:I,6,0)</f>
        <v>353.88</v>
      </c>
      <c r="Y421" s="27">
        <f t="shared" si="22"/>
        <v>-17340.12</v>
      </c>
      <c r="Z421" t="s">
        <v>915</v>
      </c>
      <c r="AA421">
        <f>VLOOKUP(D421,'Ascendus DATA'!$F:$J,5,0)</f>
        <v>17200.13</v>
      </c>
      <c r="AB421" s="27">
        <f t="shared" si="24"/>
        <v>-493.86999999999898</v>
      </c>
    </row>
    <row r="422" spans="1:28" hidden="1" x14ac:dyDescent="0.35">
      <c r="A422" t="s">
        <v>910</v>
      </c>
      <c r="B422" t="s">
        <v>910</v>
      </c>
      <c r="C422" t="s">
        <v>438</v>
      </c>
      <c r="D422" s="4">
        <v>256779415330</v>
      </c>
      <c r="E422" s="3">
        <v>45848</v>
      </c>
      <c r="F422" t="s">
        <v>11</v>
      </c>
      <c r="G422">
        <v>-22.5</v>
      </c>
      <c r="H422">
        <v>22.5</v>
      </c>
      <c r="I422" s="27">
        <v>-1990.58</v>
      </c>
      <c r="K422" s="3">
        <v>45878</v>
      </c>
      <c r="L422" s="3">
        <v>45991</v>
      </c>
      <c r="M422" t="s">
        <v>912</v>
      </c>
      <c r="N422" s="2">
        <v>45931</v>
      </c>
      <c r="O422">
        <v>61262798</v>
      </c>
      <c r="P422">
        <v>1</v>
      </c>
      <c r="Q422" s="3">
        <v>45959</v>
      </c>
      <c r="R422">
        <v>210</v>
      </c>
      <c r="S422" s="85">
        <v>1.55E+16</v>
      </c>
      <c r="T422" t="s">
        <v>913</v>
      </c>
      <c r="U422">
        <v>1990.58</v>
      </c>
      <c r="W422" s="79">
        <f t="shared" si="23"/>
        <v>-1.9999196214168735E-2</v>
      </c>
      <c r="X422">
        <f>VLOOKUP(D422,'[3]Customer TDS'!D:I,6,0)</f>
        <v>39.81</v>
      </c>
      <c r="Y422" s="27">
        <f t="shared" si="22"/>
        <v>-1950.77</v>
      </c>
      <c r="Z422" t="s">
        <v>915</v>
      </c>
      <c r="AA422">
        <f>VLOOKUP(D422,'Ascendus DATA'!$F:$J,5,0)</f>
        <v>1935.02</v>
      </c>
      <c r="AB422" s="27">
        <f t="shared" si="24"/>
        <v>-55.559999999999945</v>
      </c>
    </row>
    <row r="423" spans="1:28" hidden="1" x14ac:dyDescent="0.35">
      <c r="A423" t="s">
        <v>910</v>
      </c>
      <c r="B423" t="s">
        <v>910</v>
      </c>
      <c r="C423" t="s">
        <v>438</v>
      </c>
      <c r="D423" s="4">
        <v>256779415354</v>
      </c>
      <c r="E423" s="3">
        <v>45848</v>
      </c>
      <c r="F423" t="s">
        <v>11</v>
      </c>
      <c r="G423">
        <v>-60</v>
      </c>
      <c r="H423">
        <v>60</v>
      </c>
      <c r="I423" s="27">
        <v>-5308.2</v>
      </c>
      <c r="K423" s="3">
        <v>45878</v>
      </c>
      <c r="L423" s="3">
        <v>45991</v>
      </c>
      <c r="M423" t="s">
        <v>912</v>
      </c>
      <c r="N423" s="2">
        <v>45931</v>
      </c>
      <c r="O423">
        <v>61262805</v>
      </c>
      <c r="P423">
        <v>1</v>
      </c>
      <c r="Q423" s="3">
        <v>45959</v>
      </c>
      <c r="R423">
        <v>210</v>
      </c>
      <c r="S423" s="85">
        <v>1.55E+16</v>
      </c>
      <c r="T423" t="s">
        <v>913</v>
      </c>
      <c r="U423">
        <v>5308.2</v>
      </c>
      <c r="W423" s="79">
        <f t="shared" si="23"/>
        <v>-1.9999246448890395E-2</v>
      </c>
      <c r="X423">
        <f>VLOOKUP(D423,'[3]Customer TDS'!D:I,6,0)</f>
        <v>106.16</v>
      </c>
      <c r="Y423" s="27">
        <f t="shared" si="22"/>
        <v>-5202.04</v>
      </c>
      <c r="Z423" t="s">
        <v>915</v>
      </c>
      <c r="AA423">
        <f>VLOOKUP(D423,'Ascendus DATA'!$F:$J,5,0)</f>
        <v>5160.04</v>
      </c>
      <c r="AB423" s="27">
        <f t="shared" si="24"/>
        <v>-148.15999999999985</v>
      </c>
    </row>
    <row r="424" spans="1:28" hidden="1" x14ac:dyDescent="0.35">
      <c r="A424" t="s">
        <v>910</v>
      </c>
      <c r="B424" t="s">
        <v>910</v>
      </c>
      <c r="C424" t="s">
        <v>438</v>
      </c>
      <c r="D424" s="4">
        <v>256779417134</v>
      </c>
      <c r="E424" s="3">
        <v>45904</v>
      </c>
      <c r="F424" t="s">
        <v>11</v>
      </c>
      <c r="G424">
        <v>-536.44000000000005</v>
      </c>
      <c r="H424">
        <v>536.44000000000005</v>
      </c>
      <c r="I424" s="27">
        <v>-47020</v>
      </c>
      <c r="K424" s="3">
        <v>45934</v>
      </c>
      <c r="L424" s="3">
        <v>45991</v>
      </c>
      <c r="M424" t="s">
        <v>912</v>
      </c>
      <c r="N424" s="2">
        <v>45931</v>
      </c>
      <c r="O424">
        <v>61263997</v>
      </c>
      <c r="P424">
        <v>1</v>
      </c>
      <c r="Q424" s="3">
        <v>45959</v>
      </c>
      <c r="R424">
        <v>210</v>
      </c>
      <c r="S424" s="85">
        <v>1.55E+16</v>
      </c>
      <c r="T424" t="s">
        <v>913</v>
      </c>
      <c r="U424">
        <v>47020</v>
      </c>
      <c r="W424" s="79">
        <f t="shared" si="23"/>
        <v>-2.0002339430029773E-2</v>
      </c>
      <c r="X424">
        <f>VLOOKUP(D424,'[3]Customer TDS'!D:I,6,0)</f>
        <v>940.51</v>
      </c>
      <c r="Y424" s="27">
        <f t="shared" si="22"/>
        <v>-46079.49</v>
      </c>
      <c r="Z424" t="s">
        <v>915</v>
      </c>
      <c r="AA424">
        <f>VLOOKUP(D424,'Ascendus DATA'!$F:$J,5,0)</f>
        <v>46946.19</v>
      </c>
      <c r="AB424" s="27">
        <f t="shared" si="24"/>
        <v>-73.809999999997672</v>
      </c>
    </row>
    <row r="425" spans="1:28" hidden="1" x14ac:dyDescent="0.35">
      <c r="A425" t="s">
        <v>910</v>
      </c>
      <c r="B425" t="s">
        <v>910</v>
      </c>
      <c r="C425" t="s">
        <v>438</v>
      </c>
      <c r="D425" s="4">
        <v>256779417200</v>
      </c>
      <c r="E425" s="3">
        <v>45904</v>
      </c>
      <c r="F425" t="s">
        <v>11</v>
      </c>
      <c r="G425">
        <v>-100.74</v>
      </c>
      <c r="H425">
        <v>100.74</v>
      </c>
      <c r="I425" s="27">
        <v>-8830.0499999999993</v>
      </c>
      <c r="K425" s="3">
        <v>45934</v>
      </c>
      <c r="L425" s="3">
        <v>45991</v>
      </c>
      <c r="M425" t="s">
        <v>912</v>
      </c>
      <c r="N425" s="2">
        <v>45931</v>
      </c>
      <c r="O425">
        <v>61263998</v>
      </c>
      <c r="P425">
        <v>1</v>
      </c>
      <c r="Q425" s="3">
        <v>45959</v>
      </c>
      <c r="R425">
        <v>210</v>
      </c>
      <c r="S425" s="85">
        <v>1.55E+16</v>
      </c>
      <c r="T425" t="s">
        <v>913</v>
      </c>
      <c r="U425">
        <v>8830.0499999999993</v>
      </c>
      <c r="W425" s="79">
        <f t="shared" si="23"/>
        <v>-1.9952321900781993E-2</v>
      </c>
      <c r="X425">
        <f>VLOOKUP(D425,'[3]Customer TDS'!D:I,6,0)</f>
        <v>176.18</v>
      </c>
      <c r="Y425" s="27">
        <f t="shared" si="22"/>
        <v>-8653.869999999999</v>
      </c>
      <c r="Z425" t="s">
        <v>915</v>
      </c>
      <c r="AA425">
        <f>VLOOKUP(D425,'Ascendus DATA'!$F:$J,5,0)</f>
        <v>8816.19</v>
      </c>
      <c r="AB425" s="27">
        <f t="shared" si="24"/>
        <v>-13.859999999998763</v>
      </c>
    </row>
    <row r="426" spans="1:28" hidden="1" x14ac:dyDescent="0.35">
      <c r="A426" t="s">
        <v>910</v>
      </c>
      <c r="B426" t="s">
        <v>910</v>
      </c>
      <c r="C426" t="s">
        <v>438</v>
      </c>
      <c r="D426" s="4">
        <v>256779417238</v>
      </c>
      <c r="E426" s="3">
        <v>45904</v>
      </c>
      <c r="F426" t="s">
        <v>11</v>
      </c>
      <c r="G426">
        <v>-608.78</v>
      </c>
      <c r="H426">
        <v>608.78</v>
      </c>
      <c r="I426" s="27">
        <v>-53360.74</v>
      </c>
      <c r="K426" s="3">
        <v>45934</v>
      </c>
      <c r="L426" s="3">
        <v>45991</v>
      </c>
      <c r="M426" t="s">
        <v>912</v>
      </c>
      <c r="N426" s="2">
        <v>45931</v>
      </c>
      <c r="O426">
        <v>61264000</v>
      </c>
      <c r="P426">
        <v>1</v>
      </c>
      <c r="Q426" s="3">
        <v>45959</v>
      </c>
      <c r="R426">
        <v>210</v>
      </c>
      <c r="S426" s="85">
        <v>1.55E+16</v>
      </c>
      <c r="T426" t="s">
        <v>913</v>
      </c>
      <c r="U426">
        <v>53360.74</v>
      </c>
      <c r="W426" s="79">
        <f t="shared" si="23"/>
        <v>-2.0007218790444061E-2</v>
      </c>
      <c r="X426">
        <f>VLOOKUP(D426,'[3]Customer TDS'!D:I,6,0)</f>
        <v>1067.5999999999999</v>
      </c>
      <c r="Y426" s="27">
        <f t="shared" si="22"/>
        <v>-52293.14</v>
      </c>
      <c r="Z426" t="s">
        <v>915</v>
      </c>
      <c r="AA426">
        <f>VLOOKUP(D426,'Ascendus DATA'!$F:$J,5,0)</f>
        <v>53276.97</v>
      </c>
      <c r="AB426" s="27">
        <f t="shared" si="24"/>
        <v>-83.769999999996799</v>
      </c>
    </row>
    <row r="427" spans="1:28" hidden="1" x14ac:dyDescent="0.35">
      <c r="A427" t="s">
        <v>910</v>
      </c>
      <c r="B427" t="s">
        <v>910</v>
      </c>
      <c r="C427" t="s">
        <v>438</v>
      </c>
      <c r="D427" s="4">
        <v>256779415012</v>
      </c>
      <c r="E427" s="3">
        <v>45842</v>
      </c>
      <c r="F427" t="s">
        <v>11</v>
      </c>
      <c r="G427">
        <v>-184</v>
      </c>
      <c r="H427">
        <v>3.68</v>
      </c>
      <c r="I427" s="27">
        <v>-15822.07</v>
      </c>
      <c r="K427" s="3">
        <v>45872</v>
      </c>
      <c r="L427" s="3">
        <v>46053</v>
      </c>
      <c r="M427" t="s">
        <v>912</v>
      </c>
      <c r="N427" s="2">
        <v>45931</v>
      </c>
      <c r="O427">
        <v>61264001</v>
      </c>
      <c r="P427">
        <v>1</v>
      </c>
      <c r="Q427" s="3">
        <v>45959</v>
      </c>
      <c r="R427">
        <v>210</v>
      </c>
      <c r="S427" s="85">
        <v>1.55E+16</v>
      </c>
      <c r="T427" t="s">
        <v>913</v>
      </c>
      <c r="U427">
        <v>-700.78</v>
      </c>
      <c r="W427" s="79">
        <f t="shared" si="23"/>
        <v>-1.9999911516002646E-2</v>
      </c>
      <c r="X427">
        <f>VLOOKUP(D427,'[3]Customer TDS'!D:I,6,0)</f>
        <v>316.44</v>
      </c>
      <c r="Y427" s="27">
        <f t="shared" si="22"/>
        <v>-15505.63</v>
      </c>
      <c r="Z427" t="s">
        <v>915</v>
      </c>
      <c r="AA427">
        <f>VLOOKUP(D427,'Ascendus DATA'!$F:$J,5,0)</f>
        <v>15849.92</v>
      </c>
      <c r="AB427" s="27">
        <f t="shared" si="24"/>
        <v>27.850000000000364</v>
      </c>
    </row>
    <row r="428" spans="1:28" hidden="1" x14ac:dyDescent="0.35">
      <c r="A428" t="s">
        <v>910</v>
      </c>
      <c r="B428" t="s">
        <v>910</v>
      </c>
      <c r="C428" t="s">
        <v>438</v>
      </c>
      <c r="D428" s="4">
        <v>256779417137</v>
      </c>
      <c r="E428" s="3">
        <v>45904</v>
      </c>
      <c r="F428" t="s">
        <v>11</v>
      </c>
      <c r="G428">
        <v>-409.79</v>
      </c>
      <c r="H428">
        <v>409.79</v>
      </c>
      <c r="I428" s="27">
        <v>-35918.879999999997</v>
      </c>
      <c r="K428" s="3">
        <v>45934</v>
      </c>
      <c r="L428" s="3">
        <v>45991</v>
      </c>
      <c r="M428" t="s">
        <v>912</v>
      </c>
      <c r="N428" s="2">
        <v>45931</v>
      </c>
      <c r="O428">
        <v>61264002</v>
      </c>
      <c r="P428">
        <v>1</v>
      </c>
      <c r="Q428" s="3">
        <v>45959</v>
      </c>
      <c r="R428">
        <v>210</v>
      </c>
      <c r="S428" s="85">
        <v>1.55E+16</v>
      </c>
      <c r="T428" t="s">
        <v>913</v>
      </c>
      <c r="U428">
        <v>35918.879999999997</v>
      </c>
      <c r="W428" s="79">
        <f t="shared" si="23"/>
        <v>-2.001036780656858E-2</v>
      </c>
      <c r="X428">
        <f>VLOOKUP(D428,'[3]Customer TDS'!D:I,6,0)</f>
        <v>718.75</v>
      </c>
      <c r="Y428" s="27">
        <f t="shared" si="22"/>
        <v>-35200.129999999997</v>
      </c>
      <c r="Z428" t="s">
        <v>915</v>
      </c>
      <c r="AA428">
        <f>VLOOKUP(D428,'Ascendus DATA'!$F:$J,5,0)</f>
        <v>35862.5</v>
      </c>
      <c r="AB428" s="27">
        <f t="shared" si="24"/>
        <v>-56.379999999997381</v>
      </c>
    </row>
    <row r="429" spans="1:28" hidden="1" x14ac:dyDescent="0.35">
      <c r="A429" t="s">
        <v>910</v>
      </c>
      <c r="B429" t="s">
        <v>910</v>
      </c>
      <c r="C429" t="s">
        <v>438</v>
      </c>
      <c r="D429" s="4">
        <v>256779417801</v>
      </c>
      <c r="E429" s="3">
        <v>45922</v>
      </c>
      <c r="F429" t="s">
        <v>11</v>
      </c>
      <c r="G429" s="27">
        <v>-4755.47</v>
      </c>
      <c r="H429" s="27">
        <v>4755.47</v>
      </c>
      <c r="I429" s="27">
        <v>-416826.08</v>
      </c>
      <c r="K429" s="3">
        <v>45952</v>
      </c>
      <c r="L429" s="3">
        <v>45991</v>
      </c>
      <c r="M429" t="s">
        <v>912</v>
      </c>
      <c r="N429" s="2">
        <v>45931</v>
      </c>
      <c r="O429">
        <v>61264003</v>
      </c>
      <c r="P429">
        <v>1</v>
      </c>
      <c r="Q429" s="3">
        <v>45959</v>
      </c>
      <c r="R429">
        <v>210</v>
      </c>
      <c r="S429" s="85">
        <v>1.55E+16</v>
      </c>
      <c r="T429" t="s">
        <v>913</v>
      </c>
      <c r="U429">
        <v>416826.08</v>
      </c>
      <c r="W429" s="79">
        <f t="shared" si="23"/>
        <v>-2.0000116115575107E-2</v>
      </c>
      <c r="X429">
        <f>VLOOKUP(D429,'[3]Customer TDS'!D:I,6,0)</f>
        <v>8336.57</v>
      </c>
      <c r="Y429" s="27">
        <f t="shared" si="22"/>
        <v>-408489.51</v>
      </c>
      <c r="Z429" t="s">
        <v>915</v>
      </c>
      <c r="AA429">
        <f>VLOOKUP(D429,'Ascendus DATA'!$F:$J,5,0)</f>
        <v>416171.77</v>
      </c>
      <c r="AB429" s="27">
        <f t="shared" si="24"/>
        <v>-654.30999999999767</v>
      </c>
    </row>
    <row r="430" spans="1:28" hidden="1" x14ac:dyDescent="0.35">
      <c r="A430" t="s">
        <v>910</v>
      </c>
      <c r="B430" t="s">
        <v>910</v>
      </c>
      <c r="C430" t="s">
        <v>438</v>
      </c>
      <c r="D430" s="4">
        <v>256779415442</v>
      </c>
      <c r="E430" s="3">
        <v>45856</v>
      </c>
      <c r="F430" t="s">
        <v>11</v>
      </c>
      <c r="G430">
        <v>-1.59</v>
      </c>
      <c r="H430">
        <v>1.59</v>
      </c>
      <c r="I430">
        <v>-136.72</v>
      </c>
      <c r="K430" s="3">
        <v>45886</v>
      </c>
      <c r="L430" s="3">
        <v>45991</v>
      </c>
      <c r="M430" t="s">
        <v>912</v>
      </c>
      <c r="N430" s="2">
        <v>45931</v>
      </c>
      <c r="O430">
        <v>61264004</v>
      </c>
      <c r="P430">
        <v>1</v>
      </c>
      <c r="Q430" s="3">
        <v>45959</v>
      </c>
      <c r="R430">
        <v>210</v>
      </c>
      <c r="S430" s="85">
        <v>1.55E+16</v>
      </c>
      <c r="T430" t="s">
        <v>913</v>
      </c>
      <c r="U430">
        <v>136.72</v>
      </c>
      <c r="W430" s="79">
        <f t="shared" si="23"/>
        <v>-1.8870684610883558E-2</v>
      </c>
      <c r="X430">
        <f>VLOOKUP(D430,'[3]Customer TDS'!D:I,6,0)</f>
        <v>2.58</v>
      </c>
      <c r="Y430" s="27">
        <f t="shared" si="22"/>
        <v>-134.13999999999999</v>
      </c>
      <c r="Z430" t="s">
        <v>915</v>
      </c>
      <c r="AA430">
        <f>VLOOKUP(D430,'Ascendus DATA'!$F:$J,5,0)</f>
        <v>136.74</v>
      </c>
      <c r="AB430" s="27">
        <f t="shared" si="24"/>
        <v>2.0000000000010232E-2</v>
      </c>
    </row>
    <row r="431" spans="1:28" hidden="1" x14ac:dyDescent="0.35">
      <c r="A431" t="s">
        <v>910</v>
      </c>
      <c r="B431" t="s">
        <v>910</v>
      </c>
      <c r="C431" t="s">
        <v>438</v>
      </c>
      <c r="D431" s="4">
        <v>256779417597</v>
      </c>
      <c r="E431" s="3">
        <v>45918</v>
      </c>
      <c r="F431" t="s">
        <v>11</v>
      </c>
      <c r="G431" s="27">
        <v>-1055.04</v>
      </c>
      <c r="H431" s="27">
        <v>1055.04</v>
      </c>
      <c r="I431" s="27">
        <v>-92476.28</v>
      </c>
      <c r="K431" s="3">
        <v>45948</v>
      </c>
      <c r="L431" s="3">
        <v>45991</v>
      </c>
      <c r="M431" t="s">
        <v>912</v>
      </c>
      <c r="N431" s="2">
        <v>45931</v>
      </c>
      <c r="O431">
        <v>61264005</v>
      </c>
      <c r="P431">
        <v>1</v>
      </c>
      <c r="Q431" s="3">
        <v>45959</v>
      </c>
      <c r="R431">
        <v>210</v>
      </c>
      <c r="S431" s="85">
        <v>1.55E+16</v>
      </c>
      <c r="T431" t="s">
        <v>913</v>
      </c>
      <c r="U431">
        <v>92476.28</v>
      </c>
      <c r="W431" s="79">
        <f t="shared" si="23"/>
        <v>-1.9999290628905056E-2</v>
      </c>
      <c r="X431">
        <f>VLOOKUP(D431,'[3]Customer TDS'!D:I,6,0)</f>
        <v>1849.46</v>
      </c>
      <c r="Y431" s="27">
        <f t="shared" si="22"/>
        <v>-90626.819999999992</v>
      </c>
      <c r="Z431" t="s">
        <v>915</v>
      </c>
      <c r="AA431">
        <f>VLOOKUP(D431,'Ascendus DATA'!$F:$J,5,0)</f>
        <v>92331.12</v>
      </c>
      <c r="AB431" s="27">
        <f t="shared" si="24"/>
        <v>-145.16000000000349</v>
      </c>
    </row>
    <row r="432" spans="1:28" hidden="1" x14ac:dyDescent="0.35">
      <c r="A432" t="s">
        <v>910</v>
      </c>
      <c r="B432" t="s">
        <v>910</v>
      </c>
      <c r="C432" t="s">
        <v>438</v>
      </c>
      <c r="D432" s="4">
        <v>256779415426</v>
      </c>
      <c r="E432" s="3">
        <v>45856</v>
      </c>
      <c r="F432" t="s">
        <v>11</v>
      </c>
      <c r="G432">
        <v>-464.73</v>
      </c>
      <c r="H432">
        <v>464.73</v>
      </c>
      <c r="I432" s="27">
        <v>-39961.910000000003</v>
      </c>
      <c r="K432" s="3">
        <v>45886</v>
      </c>
      <c r="L432" s="3">
        <v>45991</v>
      </c>
      <c r="M432" t="s">
        <v>912</v>
      </c>
      <c r="N432" s="2">
        <v>45931</v>
      </c>
      <c r="O432">
        <v>61264006</v>
      </c>
      <c r="P432">
        <v>1</v>
      </c>
      <c r="Q432" s="3">
        <v>45959</v>
      </c>
      <c r="R432">
        <v>210</v>
      </c>
      <c r="S432" s="85">
        <v>1.55E+16</v>
      </c>
      <c r="T432" t="s">
        <v>913</v>
      </c>
      <c r="U432">
        <v>39961.910000000003</v>
      </c>
      <c r="W432" s="79">
        <f t="shared" si="23"/>
        <v>-1.9990035511315649E-2</v>
      </c>
      <c r="X432">
        <f>VLOOKUP(D432,'[3]Customer TDS'!D:I,6,0)</f>
        <v>798.84</v>
      </c>
      <c r="Y432" s="27">
        <f t="shared" si="22"/>
        <v>-39163.070000000007</v>
      </c>
      <c r="Z432" t="s">
        <v>915</v>
      </c>
      <c r="AA432">
        <f>VLOOKUP(D432,'Ascendus DATA'!$F:$J,5,0)</f>
        <v>39967.089999999997</v>
      </c>
      <c r="AB432" s="27">
        <f t="shared" si="24"/>
        <v>5.1799999999930151</v>
      </c>
    </row>
    <row r="433" spans="1:28" hidden="1" x14ac:dyDescent="0.35">
      <c r="A433" t="s">
        <v>910</v>
      </c>
      <c r="B433" t="s">
        <v>910</v>
      </c>
      <c r="C433" t="s">
        <v>438</v>
      </c>
      <c r="D433" s="4">
        <v>256779415517</v>
      </c>
      <c r="E433" s="3">
        <v>45856</v>
      </c>
      <c r="F433" t="s">
        <v>11</v>
      </c>
      <c r="G433">
        <v>-116.74</v>
      </c>
      <c r="H433">
        <v>116.74</v>
      </c>
      <c r="I433" s="27">
        <v>-10038.42</v>
      </c>
      <c r="K433" s="3">
        <v>45886</v>
      </c>
      <c r="L433" s="3">
        <v>45991</v>
      </c>
      <c r="M433" t="s">
        <v>912</v>
      </c>
      <c r="N433" s="2">
        <v>45931</v>
      </c>
      <c r="O433">
        <v>61264007</v>
      </c>
      <c r="P433">
        <v>1</v>
      </c>
      <c r="Q433" s="3">
        <v>45959</v>
      </c>
      <c r="R433">
        <v>210</v>
      </c>
      <c r="S433" s="85">
        <v>1.55E+16</v>
      </c>
      <c r="T433" t="s">
        <v>913</v>
      </c>
      <c r="U433">
        <v>10038.42</v>
      </c>
      <c r="W433" s="79">
        <f t="shared" si="23"/>
        <v>-1.9959316306749471E-2</v>
      </c>
      <c r="X433">
        <f>VLOOKUP(D433,'[3]Customer TDS'!D:I,6,0)</f>
        <v>200.36</v>
      </c>
      <c r="Y433" s="27">
        <f t="shared" si="22"/>
        <v>-9838.06</v>
      </c>
      <c r="Z433" t="s">
        <v>915</v>
      </c>
      <c r="AA433">
        <f>VLOOKUP(D433,'Ascendus DATA'!$F:$J,5,0)</f>
        <v>10039.719999999999</v>
      </c>
      <c r="AB433" s="27">
        <f t="shared" si="24"/>
        <v>1.2999999999992724</v>
      </c>
    </row>
    <row r="434" spans="1:28" hidden="1" x14ac:dyDescent="0.35">
      <c r="A434" t="s">
        <v>910</v>
      </c>
      <c r="B434" t="s">
        <v>910</v>
      </c>
      <c r="C434" t="s">
        <v>438</v>
      </c>
      <c r="D434" s="4">
        <v>256779415453</v>
      </c>
      <c r="E434" s="3">
        <v>45856</v>
      </c>
      <c r="F434" t="s">
        <v>11</v>
      </c>
      <c r="G434">
        <v>-293.45999999999998</v>
      </c>
      <c r="H434">
        <v>293.45999999999998</v>
      </c>
      <c r="I434" s="27">
        <v>-25234.48</v>
      </c>
      <c r="K434" s="3">
        <v>45886</v>
      </c>
      <c r="L434" s="3">
        <v>45991</v>
      </c>
      <c r="M434" t="s">
        <v>912</v>
      </c>
      <c r="N434" s="2">
        <v>45931</v>
      </c>
      <c r="O434">
        <v>61264008</v>
      </c>
      <c r="P434">
        <v>1</v>
      </c>
      <c r="Q434" s="3">
        <v>45959</v>
      </c>
      <c r="R434">
        <v>210</v>
      </c>
      <c r="S434" s="85">
        <v>1.55E+16</v>
      </c>
      <c r="T434" t="s">
        <v>913</v>
      </c>
      <c r="U434">
        <v>25234.48</v>
      </c>
      <c r="W434" s="79">
        <f t="shared" si="23"/>
        <v>-2.0002789833592768E-2</v>
      </c>
      <c r="X434">
        <f>VLOOKUP(D434,'[3]Customer TDS'!D:I,6,0)</f>
        <v>504.76</v>
      </c>
      <c r="Y434" s="27">
        <f t="shared" si="22"/>
        <v>-24729.72</v>
      </c>
      <c r="Z434" t="s">
        <v>915</v>
      </c>
      <c r="AA434">
        <f>VLOOKUP(D434,'Ascendus DATA'!$F:$J,5,0)</f>
        <v>25237.759999999998</v>
      </c>
      <c r="AB434" s="27">
        <f t="shared" si="24"/>
        <v>3.2799999999988358</v>
      </c>
    </row>
    <row r="435" spans="1:28" hidden="1" x14ac:dyDescent="0.35">
      <c r="A435" t="s">
        <v>910</v>
      </c>
      <c r="B435" t="s">
        <v>910</v>
      </c>
      <c r="C435" t="s">
        <v>438</v>
      </c>
      <c r="D435" s="4">
        <v>256779415474</v>
      </c>
      <c r="E435" s="3">
        <v>45856</v>
      </c>
      <c r="F435" t="s">
        <v>11</v>
      </c>
      <c r="G435">
        <v>-608.41</v>
      </c>
      <c r="H435">
        <v>608.41</v>
      </c>
      <c r="I435" s="27">
        <v>-52316.88</v>
      </c>
      <c r="K435" s="3">
        <v>45886</v>
      </c>
      <c r="L435" s="3">
        <v>45991</v>
      </c>
      <c r="M435" t="s">
        <v>912</v>
      </c>
      <c r="N435" s="2">
        <v>45931</v>
      </c>
      <c r="O435">
        <v>61264009</v>
      </c>
      <c r="P435">
        <v>1</v>
      </c>
      <c r="Q435" s="3">
        <v>45959</v>
      </c>
      <c r="R435">
        <v>210</v>
      </c>
      <c r="S435" s="85">
        <v>1.55E+16</v>
      </c>
      <c r="T435" t="s">
        <v>913</v>
      </c>
      <c r="U435">
        <v>52316.88</v>
      </c>
      <c r="W435" s="79">
        <f t="shared" si="23"/>
        <v>-2.0002913017748765E-2</v>
      </c>
      <c r="X435">
        <f>VLOOKUP(D435,'[3]Customer TDS'!D:I,6,0)</f>
        <v>1046.49</v>
      </c>
      <c r="Y435" s="27">
        <f t="shared" si="22"/>
        <v>-51270.39</v>
      </c>
      <c r="Z435" t="s">
        <v>915</v>
      </c>
      <c r="AA435">
        <f>VLOOKUP(D435,'Ascendus DATA'!$F:$J,5,0)</f>
        <v>52323.67</v>
      </c>
      <c r="AB435" s="27">
        <f t="shared" si="24"/>
        <v>6.7900000000008731</v>
      </c>
    </row>
    <row r="436" spans="1:28" hidden="1" x14ac:dyDescent="0.35">
      <c r="A436" t="s">
        <v>910</v>
      </c>
      <c r="B436" t="s">
        <v>910</v>
      </c>
      <c r="C436" t="s">
        <v>438</v>
      </c>
      <c r="D436" s="4">
        <v>256779415261</v>
      </c>
      <c r="E436" s="3">
        <v>45842</v>
      </c>
      <c r="F436" t="s">
        <v>11</v>
      </c>
      <c r="G436">
        <v>-292.26</v>
      </c>
      <c r="H436">
        <v>5.85</v>
      </c>
      <c r="I436" s="27">
        <v>-25131.29</v>
      </c>
      <c r="K436" s="3">
        <v>45872</v>
      </c>
      <c r="L436" s="3">
        <v>46053</v>
      </c>
      <c r="M436" t="s">
        <v>912</v>
      </c>
      <c r="N436" s="2">
        <v>45931</v>
      </c>
      <c r="O436">
        <v>61264010</v>
      </c>
      <c r="P436">
        <v>1</v>
      </c>
      <c r="Q436" s="3">
        <v>45959</v>
      </c>
      <c r="R436">
        <v>210</v>
      </c>
      <c r="S436" s="85">
        <v>1.55E+16</v>
      </c>
      <c r="T436" t="s">
        <v>913</v>
      </c>
      <c r="U436">
        <v>-1112.67</v>
      </c>
      <c r="W436" s="79">
        <f t="shared" si="23"/>
        <v>-2.0016481446037987E-2</v>
      </c>
      <c r="X436">
        <f>VLOOKUP(D436,'[3]Customer TDS'!D:I,6,0)</f>
        <v>503.04</v>
      </c>
      <c r="Y436" s="27">
        <f t="shared" si="22"/>
        <v>-24628.25</v>
      </c>
      <c r="Z436" t="s">
        <v>915</v>
      </c>
      <c r="AA436">
        <f>VLOOKUP(D436,'Ascendus DATA'!$F:$J,5,0)</f>
        <v>25194.76</v>
      </c>
      <c r="AB436" s="27">
        <f t="shared" si="24"/>
        <v>63.469999999997526</v>
      </c>
    </row>
    <row r="437" spans="1:28" hidden="1" x14ac:dyDescent="0.35">
      <c r="A437" t="s">
        <v>910</v>
      </c>
      <c r="B437" t="s">
        <v>910</v>
      </c>
      <c r="C437" t="s">
        <v>438</v>
      </c>
      <c r="D437" s="4">
        <v>256779415387</v>
      </c>
      <c r="E437" s="3">
        <v>45848</v>
      </c>
      <c r="F437" t="s">
        <v>11</v>
      </c>
      <c r="G437">
        <v>-70.900000000000006</v>
      </c>
      <c r="H437">
        <v>70.900000000000006</v>
      </c>
      <c r="I437" s="27">
        <v>-6096.66</v>
      </c>
      <c r="K437" s="3">
        <v>45878</v>
      </c>
      <c r="L437" s="3">
        <v>45991</v>
      </c>
      <c r="M437" t="s">
        <v>912</v>
      </c>
      <c r="N437" s="2">
        <v>45931</v>
      </c>
      <c r="O437">
        <v>61264011</v>
      </c>
      <c r="P437">
        <v>1</v>
      </c>
      <c r="Q437" s="3">
        <v>45959</v>
      </c>
      <c r="R437">
        <v>210</v>
      </c>
      <c r="S437" s="85">
        <v>1.55E+16</v>
      </c>
      <c r="T437" t="s">
        <v>913</v>
      </c>
      <c r="U437">
        <v>6096.66</v>
      </c>
      <c r="W437" s="79">
        <f t="shared" si="23"/>
        <v>-2.0028999484963898E-2</v>
      </c>
      <c r="X437">
        <f>VLOOKUP(D437,'[3]Customer TDS'!D:I,6,0)</f>
        <v>122.11</v>
      </c>
      <c r="Y437" s="27">
        <f t="shared" si="22"/>
        <v>-5974.55</v>
      </c>
      <c r="Z437" t="s">
        <v>915</v>
      </c>
      <c r="AA437">
        <f>VLOOKUP(D437,'Ascendus DATA'!$F:$J,5,0)</f>
        <v>6097.45</v>
      </c>
      <c r="AB437" s="27">
        <f t="shared" si="24"/>
        <v>0.78999999999996362</v>
      </c>
    </row>
    <row r="438" spans="1:28" hidden="1" x14ac:dyDescent="0.35">
      <c r="A438" t="s">
        <v>910</v>
      </c>
      <c r="B438" t="s">
        <v>910</v>
      </c>
      <c r="C438" t="s">
        <v>438</v>
      </c>
      <c r="D438" s="4">
        <v>256779415989</v>
      </c>
      <c r="E438" s="3">
        <v>45863</v>
      </c>
      <c r="F438" t="s">
        <v>11</v>
      </c>
      <c r="G438">
        <v>-299.83999999999997</v>
      </c>
      <c r="H438">
        <v>299.83999999999997</v>
      </c>
      <c r="I438" s="27">
        <v>-25783.09</v>
      </c>
      <c r="K438" s="3">
        <v>45893</v>
      </c>
      <c r="L438" s="3">
        <v>45991</v>
      </c>
      <c r="M438" t="s">
        <v>912</v>
      </c>
      <c r="N438" s="2">
        <v>45931</v>
      </c>
      <c r="O438">
        <v>61264012</v>
      </c>
      <c r="P438">
        <v>1</v>
      </c>
      <c r="Q438" s="3">
        <v>45959</v>
      </c>
      <c r="R438">
        <v>210</v>
      </c>
      <c r="S438" s="85">
        <v>1.55E+16</v>
      </c>
      <c r="T438" t="s">
        <v>913</v>
      </c>
      <c r="U438">
        <v>25783.09</v>
      </c>
      <c r="W438" s="79">
        <f t="shared" si="23"/>
        <v>-2.0010790017798489E-2</v>
      </c>
      <c r="X438">
        <f>VLOOKUP(D438,'[3]Customer TDS'!D:I,6,0)</f>
        <v>515.94000000000005</v>
      </c>
      <c r="Y438" s="27">
        <f t="shared" si="22"/>
        <v>-25267.15</v>
      </c>
      <c r="Z438" t="s">
        <v>915</v>
      </c>
      <c r="AA438">
        <f>VLOOKUP(D438,'Ascendus DATA'!$F:$J,5,0)</f>
        <v>25786.44</v>
      </c>
      <c r="AB438" s="27">
        <f t="shared" si="24"/>
        <v>3.3499999999985448</v>
      </c>
    </row>
    <row r="439" spans="1:28" hidden="1" x14ac:dyDescent="0.35">
      <c r="A439" t="s">
        <v>910</v>
      </c>
      <c r="B439" t="s">
        <v>910</v>
      </c>
      <c r="C439" t="s">
        <v>438</v>
      </c>
      <c r="D439" s="4">
        <v>256779416007</v>
      </c>
      <c r="E439" s="3">
        <v>45863</v>
      </c>
      <c r="F439" t="s">
        <v>11</v>
      </c>
      <c r="G439">
        <v>-421.15</v>
      </c>
      <c r="H439">
        <v>421.15</v>
      </c>
      <c r="I439" s="27">
        <v>-36214.480000000003</v>
      </c>
      <c r="K439" s="3">
        <v>45893</v>
      </c>
      <c r="L439" s="3">
        <v>45991</v>
      </c>
      <c r="M439" t="s">
        <v>912</v>
      </c>
      <c r="N439" s="2">
        <v>45931</v>
      </c>
      <c r="O439">
        <v>61264015</v>
      </c>
      <c r="P439">
        <v>1</v>
      </c>
      <c r="Q439" s="3">
        <v>45959</v>
      </c>
      <c r="R439">
        <v>210</v>
      </c>
      <c r="S439" s="85">
        <v>1.55E+16</v>
      </c>
      <c r="T439" t="s">
        <v>913</v>
      </c>
      <c r="U439">
        <v>36214.480000000003</v>
      </c>
      <c r="W439" s="79">
        <f t="shared" si="23"/>
        <v>-1.9992831596643109E-2</v>
      </c>
      <c r="X439">
        <f>VLOOKUP(D439,'[3]Customer TDS'!D:I,6,0)</f>
        <v>724.03</v>
      </c>
      <c r="Y439" s="27">
        <f t="shared" si="22"/>
        <v>-35490.450000000004</v>
      </c>
      <c r="Z439" t="s">
        <v>915</v>
      </c>
      <c r="AA439">
        <f>VLOOKUP(D439,'Ascendus DATA'!$F:$J,5,0)</f>
        <v>36219.18</v>
      </c>
      <c r="AB439" s="27">
        <f t="shared" si="24"/>
        <v>4.6999999999970896</v>
      </c>
    </row>
    <row r="440" spans="1:28" hidden="1" x14ac:dyDescent="0.35">
      <c r="A440" t="s">
        <v>910</v>
      </c>
      <c r="B440" t="s">
        <v>910</v>
      </c>
      <c r="C440" t="s">
        <v>438</v>
      </c>
      <c r="D440" s="4">
        <v>256779415313</v>
      </c>
      <c r="E440" s="3">
        <v>45848</v>
      </c>
      <c r="F440" t="s">
        <v>11</v>
      </c>
      <c r="G440">
        <v>-60</v>
      </c>
      <c r="H440">
        <v>60</v>
      </c>
      <c r="I440" s="27">
        <v>-5308.2</v>
      </c>
      <c r="K440" s="3">
        <v>45878</v>
      </c>
      <c r="L440" s="3">
        <v>45991</v>
      </c>
      <c r="M440" t="s">
        <v>912</v>
      </c>
      <c r="N440" s="2">
        <v>45931</v>
      </c>
      <c r="O440">
        <v>61264312</v>
      </c>
      <c r="P440">
        <v>1</v>
      </c>
      <c r="Q440" s="3">
        <v>45959</v>
      </c>
      <c r="R440">
        <v>210</v>
      </c>
      <c r="S440" s="85">
        <v>1.55E+16</v>
      </c>
      <c r="T440" t="s">
        <v>913</v>
      </c>
      <c r="U440">
        <v>5308.2</v>
      </c>
      <c r="W440" s="79">
        <f t="shared" si="23"/>
        <v>-1.9999246448890395E-2</v>
      </c>
      <c r="X440">
        <f>VLOOKUP(D440,'[3]Customer TDS'!D:I,6,0)</f>
        <v>106.16</v>
      </c>
      <c r="Y440" s="27">
        <f t="shared" si="22"/>
        <v>-5202.04</v>
      </c>
      <c r="Z440" t="s">
        <v>915</v>
      </c>
      <c r="AA440">
        <f>VLOOKUP(D440,'Ascendus DATA'!$F:$J,5,0)</f>
        <v>5160.04</v>
      </c>
      <c r="AB440" s="27">
        <f t="shared" si="24"/>
        <v>-148.15999999999985</v>
      </c>
    </row>
    <row r="441" spans="1:28" hidden="1" x14ac:dyDescent="0.35">
      <c r="A441" t="s">
        <v>910</v>
      </c>
      <c r="B441" t="s">
        <v>910</v>
      </c>
      <c r="C441" t="s">
        <v>438</v>
      </c>
      <c r="D441" s="4">
        <v>256779415323</v>
      </c>
      <c r="E441" s="3">
        <v>45848</v>
      </c>
      <c r="F441" t="s">
        <v>11</v>
      </c>
      <c r="G441">
        <v>-211.75</v>
      </c>
      <c r="H441">
        <v>211.75</v>
      </c>
      <c r="I441" s="27">
        <v>-18733.52</v>
      </c>
      <c r="K441" s="3">
        <v>45878</v>
      </c>
      <c r="L441" s="3">
        <v>45991</v>
      </c>
      <c r="M441" t="s">
        <v>912</v>
      </c>
      <c r="N441" s="2">
        <v>45931</v>
      </c>
      <c r="O441">
        <v>61264315</v>
      </c>
      <c r="P441">
        <v>1</v>
      </c>
      <c r="Q441" s="3">
        <v>45959</v>
      </c>
      <c r="R441">
        <v>210</v>
      </c>
      <c r="S441" s="85">
        <v>1.55E+16</v>
      </c>
      <c r="T441" t="s">
        <v>913</v>
      </c>
      <c r="U441">
        <v>18733.52</v>
      </c>
      <c r="W441" s="79">
        <f t="shared" si="23"/>
        <v>-2.0023465958346323E-2</v>
      </c>
      <c r="X441">
        <f>VLOOKUP(D441,'[3]Customer TDS'!D:I,6,0)</f>
        <v>375.11</v>
      </c>
      <c r="Y441" s="27">
        <f t="shared" si="22"/>
        <v>-18358.41</v>
      </c>
      <c r="Z441" t="s">
        <v>915</v>
      </c>
      <c r="AA441">
        <f>VLOOKUP(D441,'Ascendus DATA'!$F:$J,5,0)</f>
        <v>18210.64</v>
      </c>
      <c r="AB441" s="27">
        <f t="shared" si="24"/>
        <v>-522.88000000000102</v>
      </c>
    </row>
    <row r="442" spans="1:28" hidden="1" x14ac:dyDescent="0.35">
      <c r="A442" t="s">
        <v>910</v>
      </c>
      <c r="B442" t="s">
        <v>910</v>
      </c>
      <c r="C442" t="s">
        <v>438</v>
      </c>
      <c r="D442" s="4">
        <v>256779415309</v>
      </c>
      <c r="E442" s="3">
        <v>45848</v>
      </c>
      <c r="F442" t="s">
        <v>11</v>
      </c>
      <c r="G442">
        <v>-30</v>
      </c>
      <c r="H442">
        <v>30</v>
      </c>
      <c r="I442" s="27">
        <v>-2654.1</v>
      </c>
      <c r="K442" s="3">
        <v>45878</v>
      </c>
      <c r="L442" s="3">
        <v>45991</v>
      </c>
      <c r="M442" t="s">
        <v>912</v>
      </c>
      <c r="N442" s="2">
        <v>45931</v>
      </c>
      <c r="O442">
        <v>61264316</v>
      </c>
      <c r="P442">
        <v>1</v>
      </c>
      <c r="Q442" s="3">
        <v>45959</v>
      </c>
      <c r="R442">
        <v>210</v>
      </c>
      <c r="S442" s="85">
        <v>1.55E+16</v>
      </c>
      <c r="T442" t="s">
        <v>913</v>
      </c>
      <c r="U442">
        <v>2654.1</v>
      </c>
      <c r="W442" s="79">
        <f t="shared" si="23"/>
        <v>-1.9999246448890395E-2</v>
      </c>
      <c r="X442">
        <f>VLOOKUP(D442,'[3]Customer TDS'!D:I,6,0)</f>
        <v>53.08</v>
      </c>
      <c r="Y442" s="27">
        <f t="shared" si="22"/>
        <v>-2601.02</v>
      </c>
      <c r="Z442" t="s">
        <v>915</v>
      </c>
      <c r="AA442">
        <f>VLOOKUP(D442,'Ascendus DATA'!$F:$J,5,0)</f>
        <v>2580.02</v>
      </c>
      <c r="AB442" s="27">
        <f t="shared" si="24"/>
        <v>-74.079999999999927</v>
      </c>
    </row>
    <row r="443" spans="1:28" hidden="1" x14ac:dyDescent="0.35">
      <c r="A443" t="s">
        <v>910</v>
      </c>
      <c r="B443" t="s">
        <v>910</v>
      </c>
      <c r="C443" t="s">
        <v>438</v>
      </c>
      <c r="D443" s="4">
        <v>256779415302</v>
      </c>
      <c r="E443" s="3">
        <v>45848</v>
      </c>
      <c r="F443" t="s">
        <v>11</v>
      </c>
      <c r="G443">
        <v>-30</v>
      </c>
      <c r="H443">
        <v>30</v>
      </c>
      <c r="I443" s="27">
        <v>-2654.1</v>
      </c>
      <c r="K443" s="3">
        <v>45878</v>
      </c>
      <c r="L443" s="3">
        <v>45991</v>
      </c>
      <c r="M443" t="s">
        <v>912</v>
      </c>
      <c r="N443" s="2">
        <v>45931</v>
      </c>
      <c r="O443">
        <v>61264318</v>
      </c>
      <c r="P443">
        <v>1</v>
      </c>
      <c r="Q443" s="3">
        <v>45959</v>
      </c>
      <c r="R443">
        <v>210</v>
      </c>
      <c r="S443" s="85">
        <v>1.55E+16</v>
      </c>
      <c r="T443" t="s">
        <v>913</v>
      </c>
      <c r="U443">
        <v>2654.1</v>
      </c>
      <c r="W443" s="79">
        <f t="shared" si="23"/>
        <v>-1.9999246448890395E-2</v>
      </c>
      <c r="X443">
        <f>VLOOKUP(D443,'[3]Customer TDS'!D:I,6,0)</f>
        <v>53.08</v>
      </c>
      <c r="Y443" s="27">
        <f t="shared" si="22"/>
        <v>-2601.02</v>
      </c>
      <c r="Z443" t="s">
        <v>915</v>
      </c>
      <c r="AA443">
        <f>VLOOKUP(D443,'Ascendus DATA'!$F:$J,5,0)</f>
        <v>2580.02</v>
      </c>
      <c r="AB443" s="27">
        <f t="shared" si="24"/>
        <v>-74.079999999999927</v>
      </c>
    </row>
    <row r="444" spans="1:28" hidden="1" x14ac:dyDescent="0.35">
      <c r="A444" t="s">
        <v>910</v>
      </c>
      <c r="B444" t="s">
        <v>910</v>
      </c>
      <c r="C444" t="s">
        <v>438</v>
      </c>
      <c r="D444" s="4">
        <v>256779415289</v>
      </c>
      <c r="E444" s="3">
        <v>45848</v>
      </c>
      <c r="F444" t="s">
        <v>11</v>
      </c>
      <c r="G444">
        <v>-250</v>
      </c>
      <c r="H444">
        <v>250</v>
      </c>
      <c r="I444" s="27">
        <v>-22117.5</v>
      </c>
      <c r="K444" s="3">
        <v>45878</v>
      </c>
      <c r="L444" s="3">
        <v>45991</v>
      </c>
      <c r="M444" t="s">
        <v>912</v>
      </c>
      <c r="N444" s="2">
        <v>45931</v>
      </c>
      <c r="O444">
        <v>61264319</v>
      </c>
      <c r="P444">
        <v>1</v>
      </c>
      <c r="Q444" s="3">
        <v>45959</v>
      </c>
      <c r="R444">
        <v>210</v>
      </c>
      <c r="S444" s="85">
        <v>1.55E+16</v>
      </c>
      <c r="T444" t="s">
        <v>913</v>
      </c>
      <c r="U444">
        <v>22117.5</v>
      </c>
      <c r="W444" s="79">
        <f t="shared" si="23"/>
        <v>-0.02</v>
      </c>
      <c r="X444">
        <f>VLOOKUP(D444,'[3]Customer TDS'!D:I,6,0)</f>
        <v>442.35</v>
      </c>
      <c r="Y444" s="27">
        <f t="shared" si="22"/>
        <v>-21675.15</v>
      </c>
      <c r="Z444" t="s">
        <v>915</v>
      </c>
      <c r="AA444">
        <f>VLOOKUP(D444,'Ascendus DATA'!$F:$J,5,0)</f>
        <v>21500.17</v>
      </c>
      <c r="AB444" s="27">
        <f t="shared" si="24"/>
        <v>-617.33000000000175</v>
      </c>
    </row>
    <row r="445" spans="1:28" hidden="1" x14ac:dyDescent="0.35">
      <c r="A445" t="s">
        <v>910</v>
      </c>
      <c r="B445" t="s">
        <v>910</v>
      </c>
      <c r="C445" t="s">
        <v>438</v>
      </c>
      <c r="D445" s="4">
        <v>256779415325</v>
      </c>
      <c r="E445" s="3">
        <v>45848</v>
      </c>
      <c r="F445" t="s">
        <v>11</v>
      </c>
      <c r="G445">
        <v>-192</v>
      </c>
      <c r="H445">
        <v>192</v>
      </c>
      <c r="I445" s="27">
        <v>-16986.240000000002</v>
      </c>
      <c r="K445" s="3">
        <v>45878</v>
      </c>
      <c r="L445" s="3">
        <v>45991</v>
      </c>
      <c r="M445" t="s">
        <v>912</v>
      </c>
      <c r="N445" s="2">
        <v>45931</v>
      </c>
      <c r="O445">
        <v>61264320</v>
      </c>
      <c r="P445">
        <v>1</v>
      </c>
      <c r="Q445" s="3">
        <v>45959</v>
      </c>
      <c r="R445">
        <v>210</v>
      </c>
      <c r="S445" s="85">
        <v>1.55E+16</v>
      </c>
      <c r="T445" t="s">
        <v>913</v>
      </c>
      <c r="U445">
        <v>16986.240000000002</v>
      </c>
      <c r="W445" s="79">
        <f t="shared" si="23"/>
        <v>-1.9999717418333899E-2</v>
      </c>
      <c r="X445">
        <f>VLOOKUP(D445,'[3]Customer TDS'!D:I,6,0)</f>
        <v>339.72</v>
      </c>
      <c r="Y445" s="27">
        <f t="shared" si="22"/>
        <v>-16646.52</v>
      </c>
      <c r="Z445" t="s">
        <v>915</v>
      </c>
      <c r="AA445">
        <f>VLOOKUP(D445,'Ascendus DATA'!$F:$J,5,0)</f>
        <v>16512.13</v>
      </c>
      <c r="AB445" s="27">
        <f t="shared" si="24"/>
        <v>-474.11000000000058</v>
      </c>
    </row>
    <row r="446" spans="1:28" hidden="1" x14ac:dyDescent="0.35">
      <c r="A446" t="s">
        <v>910</v>
      </c>
      <c r="B446" t="s">
        <v>910</v>
      </c>
      <c r="C446" t="s">
        <v>438</v>
      </c>
      <c r="D446" s="4">
        <v>256779415331</v>
      </c>
      <c r="E446" s="3">
        <v>45848</v>
      </c>
      <c r="F446" t="s">
        <v>11</v>
      </c>
      <c r="G446">
        <v>-22.5</v>
      </c>
      <c r="H446">
        <v>22.5</v>
      </c>
      <c r="I446" s="27">
        <v>-1990.58</v>
      </c>
      <c r="K446" s="3">
        <v>45878</v>
      </c>
      <c r="L446" s="3">
        <v>45991</v>
      </c>
      <c r="M446" t="s">
        <v>912</v>
      </c>
      <c r="N446" s="2">
        <v>45931</v>
      </c>
      <c r="O446">
        <v>61265043</v>
      </c>
      <c r="P446">
        <v>1</v>
      </c>
      <c r="Q446" s="3">
        <v>45959</v>
      </c>
      <c r="R446">
        <v>210</v>
      </c>
      <c r="S446" s="85">
        <v>1.55E+16</v>
      </c>
      <c r="T446" t="s">
        <v>913</v>
      </c>
      <c r="U446">
        <v>1990.58</v>
      </c>
      <c r="W446" s="79">
        <f t="shared" si="23"/>
        <v>-1.9999196214168735E-2</v>
      </c>
      <c r="X446">
        <f>VLOOKUP(D446,'[3]Customer TDS'!D:I,6,0)</f>
        <v>39.81</v>
      </c>
      <c r="Y446" s="27">
        <f t="shared" si="22"/>
        <v>-1950.77</v>
      </c>
      <c r="Z446" t="s">
        <v>915</v>
      </c>
      <c r="AA446">
        <f>VLOOKUP(D446,'Ascendus DATA'!$F:$J,5,0)</f>
        <v>1935.02</v>
      </c>
      <c r="AB446" s="27">
        <f t="shared" si="24"/>
        <v>-55.559999999999945</v>
      </c>
    </row>
    <row r="447" spans="1:28" hidden="1" x14ac:dyDescent="0.35">
      <c r="A447" t="s">
        <v>910</v>
      </c>
      <c r="B447" t="s">
        <v>910</v>
      </c>
      <c r="C447" t="s">
        <v>438</v>
      </c>
      <c r="D447" s="4">
        <v>256779415290</v>
      </c>
      <c r="E447" s="3">
        <v>45848</v>
      </c>
      <c r="F447" t="s">
        <v>11</v>
      </c>
      <c r="G447">
        <v>-24</v>
      </c>
      <c r="H447">
        <v>24</v>
      </c>
      <c r="I447" s="27">
        <v>-2123.2800000000002</v>
      </c>
      <c r="K447" s="3">
        <v>45878</v>
      </c>
      <c r="L447" s="3">
        <v>45991</v>
      </c>
      <c r="M447" t="s">
        <v>912</v>
      </c>
      <c r="N447" s="2">
        <v>45931</v>
      </c>
      <c r="O447">
        <v>61265739</v>
      </c>
      <c r="P447">
        <v>1</v>
      </c>
      <c r="Q447" s="3">
        <v>45959</v>
      </c>
      <c r="R447">
        <v>210</v>
      </c>
      <c r="S447" s="85">
        <v>1.55E+16</v>
      </c>
      <c r="T447" t="s">
        <v>913</v>
      </c>
      <c r="U447">
        <v>2123.2800000000002</v>
      </c>
      <c r="W447" s="79">
        <f t="shared" si="23"/>
        <v>-2.000207226555141E-2</v>
      </c>
      <c r="X447">
        <f>VLOOKUP(D447,'[3]Customer TDS'!D:I,6,0)</f>
        <v>42.47</v>
      </c>
      <c r="Y447" s="27">
        <f t="shared" si="22"/>
        <v>-2080.8100000000004</v>
      </c>
      <c r="Z447" t="s">
        <v>915</v>
      </c>
      <c r="AA447">
        <f>VLOOKUP(D447,'Ascendus DATA'!$F:$J,5,0)</f>
        <v>2064.02</v>
      </c>
      <c r="AB447" s="27">
        <f t="shared" si="24"/>
        <v>-59.260000000000218</v>
      </c>
    </row>
    <row r="448" spans="1:28" hidden="1" x14ac:dyDescent="0.35">
      <c r="A448" t="s">
        <v>910</v>
      </c>
      <c r="B448" t="s">
        <v>910</v>
      </c>
      <c r="C448" t="s">
        <v>438</v>
      </c>
      <c r="D448" s="4">
        <v>256779416255</v>
      </c>
      <c r="E448" s="3">
        <v>45877</v>
      </c>
      <c r="F448" t="s">
        <v>11</v>
      </c>
      <c r="G448">
        <v>-392</v>
      </c>
      <c r="H448">
        <v>7.84</v>
      </c>
      <c r="I448" s="27">
        <v>-33959.32</v>
      </c>
      <c r="K448" s="3">
        <v>45907</v>
      </c>
      <c r="L448" s="3">
        <v>46053</v>
      </c>
      <c r="M448" t="s">
        <v>912</v>
      </c>
      <c r="N448" s="2">
        <v>45931</v>
      </c>
      <c r="O448">
        <v>61489521</v>
      </c>
      <c r="P448">
        <v>1</v>
      </c>
      <c r="Q448" s="3">
        <v>45961</v>
      </c>
      <c r="R448">
        <v>210</v>
      </c>
      <c r="S448" s="85">
        <v>1.55E+16</v>
      </c>
      <c r="T448" t="s">
        <v>913</v>
      </c>
      <c r="U448">
        <v>-1241.54</v>
      </c>
      <c r="W448" s="79">
        <f t="shared" si="23"/>
        <v>-2.0000106009189819E-2</v>
      </c>
      <c r="X448">
        <f>VLOOKUP(D448,'[3]Customer TDS'!D:I,6,0)</f>
        <v>679.19</v>
      </c>
      <c r="Y448" s="27">
        <f t="shared" si="22"/>
        <v>-33280.129999999997</v>
      </c>
      <c r="Z448" t="s">
        <v>915</v>
      </c>
      <c r="AA448">
        <f>VLOOKUP(D448,'Ascendus DATA'!$F:$J,5,0)</f>
        <v>33747.9</v>
      </c>
      <c r="AB448" s="27">
        <f t="shared" si="24"/>
        <v>-211.41999999999825</v>
      </c>
    </row>
    <row r="449" spans="1:28" hidden="1" x14ac:dyDescent="0.35">
      <c r="A449" t="s">
        <v>910</v>
      </c>
      <c r="B449" t="s">
        <v>910</v>
      </c>
      <c r="C449" t="s">
        <v>438</v>
      </c>
      <c r="D449" s="4">
        <v>256779416169</v>
      </c>
      <c r="E449" s="3">
        <v>45877</v>
      </c>
      <c r="F449" t="s">
        <v>11</v>
      </c>
      <c r="G449">
        <v>-257</v>
      </c>
      <c r="H449">
        <v>5.14</v>
      </c>
      <c r="I449" s="27">
        <v>-22264.14</v>
      </c>
      <c r="K449" s="3">
        <v>45907</v>
      </c>
      <c r="L449" s="3">
        <v>46053</v>
      </c>
      <c r="M449" t="s">
        <v>912</v>
      </c>
      <c r="N449" s="2">
        <v>45931</v>
      </c>
      <c r="O449">
        <v>61489522</v>
      </c>
      <c r="P449">
        <v>1</v>
      </c>
      <c r="Q449" s="3">
        <v>45961</v>
      </c>
      <c r="R449">
        <v>210</v>
      </c>
      <c r="S449" s="85">
        <v>1.55E+16</v>
      </c>
      <c r="T449" t="s">
        <v>913</v>
      </c>
      <c r="U449">
        <v>-813.98</v>
      </c>
      <c r="W449" s="79">
        <f t="shared" si="23"/>
        <v>-1.9999874237226319E-2</v>
      </c>
      <c r="X449">
        <f>VLOOKUP(D449,'[3]Customer TDS'!D:I,6,0)</f>
        <v>445.28</v>
      </c>
      <c r="Y449" s="27">
        <f t="shared" si="22"/>
        <v>-21818.86</v>
      </c>
      <c r="Z449" t="s">
        <v>915</v>
      </c>
      <c r="AA449">
        <f>VLOOKUP(D449,'Ascendus DATA'!$F:$J,5,0)</f>
        <v>22107.16</v>
      </c>
      <c r="AB449" s="27">
        <f t="shared" si="24"/>
        <v>-156.97999999999956</v>
      </c>
    </row>
    <row r="450" spans="1:28" hidden="1" x14ac:dyDescent="0.35">
      <c r="A450" t="s">
        <v>910</v>
      </c>
      <c r="B450" t="s">
        <v>910</v>
      </c>
      <c r="C450" t="s">
        <v>438</v>
      </c>
      <c r="D450" s="4">
        <v>256779416442</v>
      </c>
      <c r="E450" s="3">
        <v>45877</v>
      </c>
      <c r="F450" t="s">
        <v>11</v>
      </c>
      <c r="G450" s="27">
        <v>-1053</v>
      </c>
      <c r="H450">
        <v>21.06</v>
      </c>
      <c r="I450" s="27">
        <v>-91222.35</v>
      </c>
      <c r="K450" s="3">
        <v>45907</v>
      </c>
      <c r="L450" s="3">
        <v>46053</v>
      </c>
      <c r="M450" t="s">
        <v>912</v>
      </c>
      <c r="N450" s="2">
        <v>45931</v>
      </c>
      <c r="O450">
        <v>61489529</v>
      </c>
      <c r="P450">
        <v>1</v>
      </c>
      <c r="Q450" s="3">
        <v>45961</v>
      </c>
      <c r="R450">
        <v>210</v>
      </c>
      <c r="S450" s="85">
        <v>1.55E+16</v>
      </c>
      <c r="T450" t="s">
        <v>913</v>
      </c>
      <c r="U450">
        <v>-3335.07</v>
      </c>
      <c r="W450" s="79">
        <f t="shared" si="23"/>
        <v>-2.0000032886677441E-2</v>
      </c>
      <c r="X450">
        <f>VLOOKUP(D450,'[3]Customer TDS'!D:I,6,0)</f>
        <v>1824.45</v>
      </c>
      <c r="Y450" s="27">
        <f t="shared" si="22"/>
        <v>-89397.900000000009</v>
      </c>
      <c r="Z450" t="s">
        <v>915</v>
      </c>
      <c r="AA450">
        <f>VLOOKUP(D450,'Ascendus DATA'!$F:$J,5,0)</f>
        <v>90618.97</v>
      </c>
      <c r="AB450" s="27">
        <f t="shared" si="24"/>
        <v>-603.38000000000466</v>
      </c>
    </row>
    <row r="451" spans="1:28" hidden="1" x14ac:dyDescent="0.35">
      <c r="A451" t="s">
        <v>910</v>
      </c>
      <c r="B451" t="s">
        <v>910</v>
      </c>
      <c r="C451" t="s">
        <v>438</v>
      </c>
      <c r="D451" s="4">
        <v>256779416214</v>
      </c>
      <c r="E451" s="3">
        <v>45877</v>
      </c>
      <c r="F451" t="s">
        <v>11</v>
      </c>
      <c r="G451">
        <v>-212</v>
      </c>
      <c r="H451">
        <v>4.24</v>
      </c>
      <c r="I451" s="27">
        <v>-18365.75</v>
      </c>
      <c r="K451" s="3">
        <v>45907</v>
      </c>
      <c r="L451" s="3">
        <v>46053</v>
      </c>
      <c r="M451" t="s">
        <v>912</v>
      </c>
      <c r="N451" s="2">
        <v>45931</v>
      </c>
      <c r="O451">
        <v>61489530</v>
      </c>
      <c r="P451">
        <v>1</v>
      </c>
      <c r="Q451" s="3">
        <v>45961</v>
      </c>
      <c r="R451">
        <v>210</v>
      </c>
      <c r="S451" s="85">
        <v>1.55E+16</v>
      </c>
      <c r="T451" t="s">
        <v>913</v>
      </c>
      <c r="U451">
        <v>-671.45</v>
      </c>
      <c r="W451" s="79">
        <f t="shared" si="23"/>
        <v>-1.9999727754107511E-2</v>
      </c>
      <c r="X451">
        <f>VLOOKUP(D451,'[3]Customer TDS'!D:I,6,0)</f>
        <v>367.31</v>
      </c>
      <c r="Y451" s="27">
        <f t="shared" si="22"/>
        <v>-17998.439999999999</v>
      </c>
      <c r="Z451" t="s">
        <v>915</v>
      </c>
      <c r="AA451">
        <f>VLOOKUP(D451,'Ascendus DATA'!$F:$J,5,0)</f>
        <v>18267.64</v>
      </c>
      <c r="AB451" s="27">
        <f t="shared" si="24"/>
        <v>-98.110000000000582</v>
      </c>
    </row>
    <row r="452" spans="1:28" hidden="1" x14ac:dyDescent="0.35">
      <c r="A452" t="s">
        <v>910</v>
      </c>
      <c r="B452" t="s">
        <v>910</v>
      </c>
      <c r="C452" t="s">
        <v>438</v>
      </c>
      <c r="D452" s="4">
        <v>256779416454</v>
      </c>
      <c r="E452" s="3">
        <v>45877</v>
      </c>
      <c r="F452" t="s">
        <v>11</v>
      </c>
      <c r="G452">
        <v>-411</v>
      </c>
      <c r="H452">
        <v>8.2200000000000006</v>
      </c>
      <c r="I452" s="27">
        <v>-35605.300000000003</v>
      </c>
      <c r="K452" s="3">
        <v>45907</v>
      </c>
      <c r="L452" s="3">
        <v>46053</v>
      </c>
      <c r="M452" t="s">
        <v>912</v>
      </c>
      <c r="N452" s="2">
        <v>45931</v>
      </c>
      <c r="O452">
        <v>61489534</v>
      </c>
      <c r="P452">
        <v>1</v>
      </c>
      <c r="Q452" s="3">
        <v>45961</v>
      </c>
      <c r="R452">
        <v>210</v>
      </c>
      <c r="S452" s="85">
        <v>1.55E+16</v>
      </c>
      <c r="T452" t="s">
        <v>913</v>
      </c>
      <c r="U452">
        <v>-1301.73</v>
      </c>
      <c r="W452" s="79">
        <f t="shared" si="23"/>
        <v>-2.0000112342825366E-2</v>
      </c>
      <c r="X452">
        <f>VLOOKUP(D452,'[3]Customer TDS'!D:I,6,0)</f>
        <v>712.11</v>
      </c>
      <c r="Y452" s="27">
        <f t="shared" ref="Y452:Y515" si="25">I452+X452</f>
        <v>-34893.19</v>
      </c>
      <c r="Z452" t="s">
        <v>915</v>
      </c>
      <c r="AA452">
        <f>VLOOKUP(D452,'Ascendus DATA'!$F:$J,5,0)</f>
        <v>35374.730000000003</v>
      </c>
      <c r="AB452" s="27">
        <f t="shared" si="24"/>
        <v>-230.56999999999971</v>
      </c>
    </row>
    <row r="453" spans="1:28" hidden="1" x14ac:dyDescent="0.35">
      <c r="A453" t="s">
        <v>910</v>
      </c>
      <c r="B453" t="s">
        <v>910</v>
      </c>
      <c r="C453" t="s">
        <v>438</v>
      </c>
      <c r="D453" s="4">
        <v>256779416096</v>
      </c>
      <c r="E453" s="3">
        <v>45877</v>
      </c>
      <c r="F453" t="s">
        <v>11</v>
      </c>
      <c r="G453" s="27">
        <v>-7386.34</v>
      </c>
      <c r="H453" s="27">
        <v>7386.34</v>
      </c>
      <c r="I453" s="27">
        <v>-639885.32999999996</v>
      </c>
      <c r="K453" s="3">
        <v>45907</v>
      </c>
      <c r="L453" s="3">
        <v>45991</v>
      </c>
      <c r="M453" t="s">
        <v>912</v>
      </c>
      <c r="N453" s="2">
        <v>45931</v>
      </c>
      <c r="O453">
        <v>61491899</v>
      </c>
      <c r="P453">
        <v>1</v>
      </c>
      <c r="Q453" s="3">
        <v>45961</v>
      </c>
      <c r="R453">
        <v>210</v>
      </c>
      <c r="S453" s="85">
        <v>1.55E+16</v>
      </c>
      <c r="T453" t="s">
        <v>913</v>
      </c>
      <c r="U453">
        <v>639885.32999999996</v>
      </c>
      <c r="W453" s="79">
        <f t="shared" si="23"/>
        <v>-2.0000427264053704E-2</v>
      </c>
      <c r="X453">
        <f>VLOOKUP(D453,'[3]Customer TDS'!D:I,6,0)</f>
        <v>12797.98</v>
      </c>
      <c r="Y453" s="27">
        <f t="shared" si="25"/>
        <v>-627087.35</v>
      </c>
      <c r="Z453" t="s">
        <v>915</v>
      </c>
      <c r="AA453">
        <f>VLOOKUP(D453,'Ascendus DATA'!$F:$J,5,0)</f>
        <v>635447.72</v>
      </c>
      <c r="AB453" s="27">
        <f t="shared" si="24"/>
        <v>-4437.609999999986</v>
      </c>
    </row>
    <row r="454" spans="1:28" x14ac:dyDescent="0.35">
      <c r="A454" t="s">
        <v>910</v>
      </c>
      <c r="B454" t="s">
        <v>910</v>
      </c>
      <c r="C454" t="s">
        <v>453</v>
      </c>
      <c r="D454" s="4">
        <v>2667796</v>
      </c>
      <c r="E454" s="3">
        <v>45954</v>
      </c>
      <c r="F454" t="s">
        <v>56</v>
      </c>
      <c r="G454" t="s">
        <v>911</v>
      </c>
      <c r="H454" t="s">
        <v>911</v>
      </c>
      <c r="I454" s="27">
        <v>1721315.82</v>
      </c>
      <c r="J454" t="s">
        <v>459</v>
      </c>
      <c r="K454" s="3">
        <v>45954</v>
      </c>
      <c r="L454" s="3">
        <v>46053</v>
      </c>
      <c r="M454" t="s">
        <v>912</v>
      </c>
      <c r="N454" s="2">
        <v>45931</v>
      </c>
      <c r="O454">
        <v>61574185</v>
      </c>
      <c r="P454">
        <v>1</v>
      </c>
      <c r="Q454" s="3">
        <v>45954</v>
      </c>
      <c r="R454">
        <v>400</v>
      </c>
      <c r="S454" t="s">
        <v>916</v>
      </c>
      <c r="T454" t="s">
        <v>913</v>
      </c>
      <c r="U454">
        <v>-1721315.82</v>
      </c>
      <c r="Y454" s="27">
        <f t="shared" si="25"/>
        <v>1721315.82</v>
      </c>
    </row>
    <row r="455" spans="1:28" hidden="1" x14ac:dyDescent="0.35">
      <c r="A455" t="s">
        <v>910</v>
      </c>
      <c r="B455" t="s">
        <v>910</v>
      </c>
      <c r="C455" t="s">
        <v>438</v>
      </c>
      <c r="D455" s="4">
        <v>256779411867</v>
      </c>
      <c r="E455" s="3">
        <v>45763</v>
      </c>
      <c r="F455" t="s">
        <v>11</v>
      </c>
      <c r="G455" t="s">
        <v>911</v>
      </c>
      <c r="H455" t="s">
        <v>911</v>
      </c>
      <c r="I455">
        <v>117.64</v>
      </c>
      <c r="J455" t="s">
        <v>15</v>
      </c>
      <c r="K455" s="3">
        <v>45793</v>
      </c>
      <c r="M455" t="s">
        <v>912</v>
      </c>
      <c r="N455" s="2">
        <v>45931</v>
      </c>
      <c r="O455">
        <v>61655169</v>
      </c>
      <c r="P455">
        <v>2</v>
      </c>
      <c r="Q455" s="3">
        <v>45961</v>
      </c>
      <c r="R455">
        <v>271</v>
      </c>
      <c r="T455" t="s">
        <v>913</v>
      </c>
      <c r="U455">
        <v>0</v>
      </c>
      <c r="Y455" s="27">
        <f t="shared" si="25"/>
        <v>117.64</v>
      </c>
      <c r="Z455" t="s">
        <v>894</v>
      </c>
    </row>
    <row r="456" spans="1:28" hidden="1" x14ac:dyDescent="0.35">
      <c r="A456" t="s">
        <v>910</v>
      </c>
      <c r="B456" t="s">
        <v>910</v>
      </c>
      <c r="C456" t="s">
        <v>438</v>
      </c>
      <c r="D456" s="4">
        <v>256779415303</v>
      </c>
      <c r="E456" s="3">
        <v>45848</v>
      </c>
      <c r="F456" t="s">
        <v>11</v>
      </c>
      <c r="G456" t="s">
        <v>911</v>
      </c>
      <c r="H456" t="s">
        <v>911</v>
      </c>
      <c r="I456">
        <v>39.880000000000003</v>
      </c>
      <c r="J456" t="s">
        <v>15</v>
      </c>
      <c r="K456" s="3">
        <v>45878</v>
      </c>
      <c r="M456" t="s">
        <v>912</v>
      </c>
      <c r="N456" s="2">
        <v>45931</v>
      </c>
      <c r="O456">
        <v>61655169</v>
      </c>
      <c r="P456">
        <v>4</v>
      </c>
      <c r="Q456" s="3">
        <v>45961</v>
      </c>
      <c r="R456">
        <v>271</v>
      </c>
      <c r="T456" t="s">
        <v>913</v>
      </c>
      <c r="U456">
        <v>0</v>
      </c>
      <c r="Y456" s="27">
        <f t="shared" si="25"/>
        <v>39.880000000000003</v>
      </c>
      <c r="Z456" t="s">
        <v>894</v>
      </c>
    </row>
    <row r="457" spans="1:28" hidden="1" x14ac:dyDescent="0.35">
      <c r="A457" t="s">
        <v>910</v>
      </c>
      <c r="B457" t="s">
        <v>910</v>
      </c>
      <c r="C457" t="s">
        <v>438</v>
      </c>
      <c r="D457" s="4">
        <v>256779415304</v>
      </c>
      <c r="E457" s="3">
        <v>45848</v>
      </c>
      <c r="F457" t="s">
        <v>11</v>
      </c>
      <c r="G457" t="s">
        <v>911</v>
      </c>
      <c r="H457" t="s">
        <v>911</v>
      </c>
      <c r="I457">
        <v>11.96</v>
      </c>
      <c r="J457" t="s">
        <v>15</v>
      </c>
      <c r="K457" s="3">
        <v>45878</v>
      </c>
      <c r="M457" t="s">
        <v>912</v>
      </c>
      <c r="N457" s="2">
        <v>45931</v>
      </c>
      <c r="O457">
        <v>61655169</v>
      </c>
      <c r="P457">
        <v>6</v>
      </c>
      <c r="Q457" s="3">
        <v>45961</v>
      </c>
      <c r="R457">
        <v>271</v>
      </c>
      <c r="T457" t="s">
        <v>913</v>
      </c>
      <c r="U457">
        <v>0</v>
      </c>
      <c r="Y457" s="27">
        <f t="shared" si="25"/>
        <v>11.96</v>
      </c>
      <c r="Z457" t="s">
        <v>894</v>
      </c>
    </row>
    <row r="458" spans="1:28" hidden="1" x14ac:dyDescent="0.35">
      <c r="A458" t="s">
        <v>910</v>
      </c>
      <c r="B458" t="s">
        <v>910</v>
      </c>
      <c r="C458" t="s">
        <v>438</v>
      </c>
      <c r="D458" s="4">
        <v>256779415339</v>
      </c>
      <c r="E458" s="3">
        <v>45848</v>
      </c>
      <c r="F458" t="s">
        <v>11</v>
      </c>
      <c r="G458" t="s">
        <v>911</v>
      </c>
      <c r="H458" t="s">
        <v>911</v>
      </c>
      <c r="I458">
        <v>10.92</v>
      </c>
      <c r="J458" t="s">
        <v>15</v>
      </c>
      <c r="K458" s="3">
        <v>45878</v>
      </c>
      <c r="M458" t="s">
        <v>912</v>
      </c>
      <c r="N458" s="2">
        <v>45931</v>
      </c>
      <c r="O458">
        <v>61655169</v>
      </c>
      <c r="P458">
        <v>8</v>
      </c>
      <c r="Q458" s="3">
        <v>45961</v>
      </c>
      <c r="R458">
        <v>271</v>
      </c>
      <c r="T458" t="s">
        <v>913</v>
      </c>
      <c r="U458">
        <v>0</v>
      </c>
      <c r="Y458" s="27">
        <f t="shared" si="25"/>
        <v>10.92</v>
      </c>
      <c r="Z458" t="s">
        <v>894</v>
      </c>
    </row>
    <row r="459" spans="1:28" hidden="1" x14ac:dyDescent="0.35">
      <c r="A459" t="s">
        <v>910</v>
      </c>
      <c r="B459" t="s">
        <v>910</v>
      </c>
      <c r="C459" t="s">
        <v>438</v>
      </c>
      <c r="D459" s="4">
        <v>256779411467</v>
      </c>
      <c r="E459" s="3">
        <v>45762</v>
      </c>
      <c r="F459" t="s">
        <v>11</v>
      </c>
      <c r="G459" t="s">
        <v>911</v>
      </c>
      <c r="H459" t="s">
        <v>911</v>
      </c>
      <c r="I459">
        <v>14.12</v>
      </c>
      <c r="J459" t="s">
        <v>15</v>
      </c>
      <c r="K459" s="3">
        <v>45792</v>
      </c>
      <c r="M459" t="s">
        <v>912</v>
      </c>
      <c r="N459" s="2">
        <v>45931</v>
      </c>
      <c r="O459">
        <v>61655169</v>
      </c>
      <c r="P459">
        <v>10</v>
      </c>
      <c r="Q459" s="3">
        <v>45961</v>
      </c>
      <c r="R459">
        <v>271</v>
      </c>
      <c r="T459" t="s">
        <v>913</v>
      </c>
      <c r="U459">
        <v>0</v>
      </c>
      <c r="Y459" s="27">
        <f t="shared" si="25"/>
        <v>14.12</v>
      </c>
      <c r="Z459" t="s">
        <v>894</v>
      </c>
    </row>
    <row r="460" spans="1:28" hidden="1" x14ac:dyDescent="0.35">
      <c r="A460" t="s">
        <v>910</v>
      </c>
      <c r="B460" t="s">
        <v>910</v>
      </c>
      <c r="C460" t="s">
        <v>438</v>
      </c>
      <c r="D460" s="4">
        <v>256779415308</v>
      </c>
      <c r="E460" s="3">
        <v>45848</v>
      </c>
      <c r="F460" t="s">
        <v>11</v>
      </c>
      <c r="G460" t="s">
        <v>911</v>
      </c>
      <c r="H460" t="s">
        <v>911</v>
      </c>
      <c r="I460">
        <v>11.96</v>
      </c>
      <c r="J460" t="s">
        <v>15</v>
      </c>
      <c r="K460" s="3">
        <v>45878</v>
      </c>
      <c r="M460" t="s">
        <v>912</v>
      </c>
      <c r="N460" s="2">
        <v>45931</v>
      </c>
      <c r="O460">
        <v>61655169</v>
      </c>
      <c r="P460">
        <v>12</v>
      </c>
      <c r="Q460" s="3">
        <v>45961</v>
      </c>
      <c r="R460">
        <v>271</v>
      </c>
      <c r="T460" t="s">
        <v>913</v>
      </c>
      <c r="U460">
        <v>0</v>
      </c>
      <c r="Y460" s="27">
        <f t="shared" si="25"/>
        <v>11.96</v>
      </c>
      <c r="Z460" t="s">
        <v>894</v>
      </c>
    </row>
    <row r="461" spans="1:28" hidden="1" x14ac:dyDescent="0.35">
      <c r="A461" t="s">
        <v>910</v>
      </c>
      <c r="B461" t="s">
        <v>910</v>
      </c>
      <c r="C461" t="s">
        <v>438</v>
      </c>
      <c r="D461" s="4">
        <v>256779415305</v>
      </c>
      <c r="E461" s="3">
        <v>45848</v>
      </c>
      <c r="F461" t="s">
        <v>11</v>
      </c>
      <c r="G461" t="s">
        <v>911</v>
      </c>
      <c r="H461" t="s">
        <v>911</v>
      </c>
      <c r="I461">
        <v>11.96</v>
      </c>
      <c r="J461" t="s">
        <v>15</v>
      </c>
      <c r="K461" s="3">
        <v>45878</v>
      </c>
      <c r="M461" t="s">
        <v>912</v>
      </c>
      <c r="N461" s="2">
        <v>45931</v>
      </c>
      <c r="O461">
        <v>61655169</v>
      </c>
      <c r="P461">
        <v>14</v>
      </c>
      <c r="Q461" s="3">
        <v>45961</v>
      </c>
      <c r="R461">
        <v>271</v>
      </c>
      <c r="T461" t="s">
        <v>913</v>
      </c>
      <c r="U461">
        <v>0</v>
      </c>
      <c r="Y461" s="27">
        <f t="shared" si="25"/>
        <v>11.96</v>
      </c>
      <c r="Z461" t="s">
        <v>894</v>
      </c>
    </row>
    <row r="462" spans="1:28" hidden="1" x14ac:dyDescent="0.35">
      <c r="A462" t="s">
        <v>910</v>
      </c>
      <c r="B462" t="s">
        <v>910</v>
      </c>
      <c r="C462" t="s">
        <v>438</v>
      </c>
      <c r="D462" s="4">
        <v>256779415306</v>
      </c>
      <c r="E462" s="3">
        <v>45848</v>
      </c>
      <c r="F462" t="s">
        <v>11</v>
      </c>
      <c r="G462" t="s">
        <v>911</v>
      </c>
      <c r="H462" t="s">
        <v>911</v>
      </c>
      <c r="I462">
        <v>11.96</v>
      </c>
      <c r="J462" t="s">
        <v>15</v>
      </c>
      <c r="K462" s="3">
        <v>45878</v>
      </c>
      <c r="M462" t="s">
        <v>912</v>
      </c>
      <c r="N462" s="2">
        <v>45931</v>
      </c>
      <c r="O462">
        <v>61655169</v>
      </c>
      <c r="P462">
        <v>16</v>
      </c>
      <c r="Q462" s="3">
        <v>45961</v>
      </c>
      <c r="R462">
        <v>271</v>
      </c>
      <c r="T462" t="s">
        <v>913</v>
      </c>
      <c r="U462">
        <v>0</v>
      </c>
      <c r="Y462" s="27">
        <f t="shared" si="25"/>
        <v>11.96</v>
      </c>
      <c r="Z462" t="s">
        <v>894</v>
      </c>
    </row>
    <row r="463" spans="1:28" hidden="1" x14ac:dyDescent="0.35">
      <c r="A463" t="s">
        <v>910</v>
      </c>
      <c r="B463" t="s">
        <v>910</v>
      </c>
      <c r="C463" t="s">
        <v>438</v>
      </c>
      <c r="D463" s="4">
        <v>256779415307</v>
      </c>
      <c r="E463" s="3">
        <v>45848</v>
      </c>
      <c r="F463" t="s">
        <v>11</v>
      </c>
      <c r="G463" t="s">
        <v>911</v>
      </c>
      <c r="H463" t="s">
        <v>911</v>
      </c>
      <c r="I463">
        <v>11.96</v>
      </c>
      <c r="J463" t="s">
        <v>15</v>
      </c>
      <c r="K463" s="3">
        <v>45878</v>
      </c>
      <c r="M463" t="s">
        <v>912</v>
      </c>
      <c r="N463" s="2">
        <v>45931</v>
      </c>
      <c r="O463">
        <v>61655169</v>
      </c>
      <c r="P463">
        <v>18</v>
      </c>
      <c r="Q463" s="3">
        <v>45961</v>
      </c>
      <c r="R463">
        <v>271</v>
      </c>
      <c r="T463" t="s">
        <v>913</v>
      </c>
      <c r="U463">
        <v>0</v>
      </c>
      <c r="Y463" s="27">
        <f t="shared" si="25"/>
        <v>11.96</v>
      </c>
      <c r="Z463" t="s">
        <v>894</v>
      </c>
    </row>
    <row r="464" spans="1:28" hidden="1" x14ac:dyDescent="0.35">
      <c r="A464" t="s">
        <v>910</v>
      </c>
      <c r="B464" t="s">
        <v>910</v>
      </c>
      <c r="C464" t="s">
        <v>438</v>
      </c>
      <c r="D464" s="4">
        <v>256779415312</v>
      </c>
      <c r="E464" s="3">
        <v>45848</v>
      </c>
      <c r="F464" t="s">
        <v>11</v>
      </c>
      <c r="G464" t="s">
        <v>911</v>
      </c>
      <c r="H464" t="s">
        <v>911</v>
      </c>
      <c r="I464">
        <v>42.62</v>
      </c>
      <c r="J464" t="s">
        <v>15</v>
      </c>
      <c r="K464" s="3">
        <v>45878</v>
      </c>
      <c r="M464" t="s">
        <v>912</v>
      </c>
      <c r="N464" s="2">
        <v>45931</v>
      </c>
      <c r="O464">
        <v>61655169</v>
      </c>
      <c r="P464">
        <v>20</v>
      </c>
      <c r="Q464" s="3">
        <v>45961</v>
      </c>
      <c r="R464">
        <v>271</v>
      </c>
      <c r="T464" t="s">
        <v>913</v>
      </c>
      <c r="U464">
        <v>0</v>
      </c>
      <c r="Y464" s="27">
        <f t="shared" si="25"/>
        <v>42.62</v>
      </c>
      <c r="Z464" t="s">
        <v>894</v>
      </c>
    </row>
    <row r="465" spans="1:26" hidden="1" x14ac:dyDescent="0.35">
      <c r="A465" t="s">
        <v>910</v>
      </c>
      <c r="B465" t="s">
        <v>910</v>
      </c>
      <c r="C465" t="s">
        <v>438</v>
      </c>
      <c r="D465" s="4">
        <v>256779411970</v>
      </c>
      <c r="E465" s="3">
        <v>45763</v>
      </c>
      <c r="F465" t="s">
        <v>11</v>
      </c>
      <c r="G465" t="s">
        <v>911</v>
      </c>
      <c r="H465" t="s">
        <v>911</v>
      </c>
      <c r="I465">
        <v>-21.43</v>
      </c>
      <c r="J465" t="s">
        <v>15</v>
      </c>
      <c r="K465" s="3">
        <v>45793</v>
      </c>
      <c r="M465" t="s">
        <v>912</v>
      </c>
      <c r="N465" s="2">
        <v>45931</v>
      </c>
      <c r="O465">
        <v>61655169</v>
      </c>
      <c r="P465">
        <v>22</v>
      </c>
      <c r="Q465" s="3">
        <v>45961</v>
      </c>
      <c r="R465">
        <v>271</v>
      </c>
      <c r="T465" t="s">
        <v>913</v>
      </c>
      <c r="U465">
        <v>0</v>
      </c>
      <c r="Y465" s="27">
        <f t="shared" si="25"/>
        <v>-21.43</v>
      </c>
      <c r="Z465" t="s">
        <v>894</v>
      </c>
    </row>
    <row r="466" spans="1:26" hidden="1" x14ac:dyDescent="0.35">
      <c r="A466" t="s">
        <v>910</v>
      </c>
      <c r="B466" t="s">
        <v>910</v>
      </c>
      <c r="C466" t="s">
        <v>438</v>
      </c>
      <c r="D466" s="4">
        <v>256779415327</v>
      </c>
      <c r="E466" s="3">
        <v>45848</v>
      </c>
      <c r="F466" t="s">
        <v>11</v>
      </c>
      <c r="G466" t="s">
        <v>911</v>
      </c>
      <c r="H466" t="s">
        <v>911</v>
      </c>
      <c r="I466">
        <v>4.26</v>
      </c>
      <c r="J466" t="s">
        <v>15</v>
      </c>
      <c r="K466" s="3">
        <v>45878</v>
      </c>
      <c r="M466" t="s">
        <v>912</v>
      </c>
      <c r="N466" s="2">
        <v>45931</v>
      </c>
      <c r="O466">
        <v>61655169</v>
      </c>
      <c r="P466">
        <v>24</v>
      </c>
      <c r="Q466" s="3">
        <v>45961</v>
      </c>
      <c r="R466">
        <v>271</v>
      </c>
      <c r="T466" t="s">
        <v>913</v>
      </c>
      <c r="U466">
        <v>0</v>
      </c>
      <c r="Y466" s="27">
        <f t="shared" si="25"/>
        <v>4.26</v>
      </c>
      <c r="Z466" t="s">
        <v>894</v>
      </c>
    </row>
    <row r="467" spans="1:26" hidden="1" x14ac:dyDescent="0.35">
      <c r="A467" t="s">
        <v>910</v>
      </c>
      <c r="B467" t="s">
        <v>910</v>
      </c>
      <c r="C467" t="s">
        <v>438</v>
      </c>
      <c r="D467" s="4">
        <v>256779415351</v>
      </c>
      <c r="E467" s="3">
        <v>45848</v>
      </c>
      <c r="F467" t="s">
        <v>11</v>
      </c>
      <c r="G467" t="s">
        <v>911</v>
      </c>
      <c r="H467" t="s">
        <v>911</v>
      </c>
      <c r="I467">
        <v>-37.78</v>
      </c>
      <c r="J467" t="s">
        <v>15</v>
      </c>
      <c r="K467" s="3">
        <v>45878</v>
      </c>
      <c r="M467" t="s">
        <v>912</v>
      </c>
      <c r="N467" s="2">
        <v>45931</v>
      </c>
      <c r="O467">
        <v>61655169</v>
      </c>
      <c r="P467">
        <v>26</v>
      </c>
      <c r="Q467" s="3">
        <v>45961</v>
      </c>
      <c r="R467">
        <v>271</v>
      </c>
      <c r="T467" t="s">
        <v>913</v>
      </c>
      <c r="U467">
        <v>0</v>
      </c>
      <c r="Y467" s="27">
        <f t="shared" si="25"/>
        <v>-37.78</v>
      </c>
      <c r="Z467" t="s">
        <v>894</v>
      </c>
    </row>
    <row r="468" spans="1:26" hidden="1" x14ac:dyDescent="0.35">
      <c r="A468" t="s">
        <v>910</v>
      </c>
      <c r="B468" t="s">
        <v>910</v>
      </c>
      <c r="C468" t="s">
        <v>438</v>
      </c>
      <c r="D468" s="4">
        <v>256779415324</v>
      </c>
      <c r="E468" s="3">
        <v>45848</v>
      </c>
      <c r="F468" t="s">
        <v>11</v>
      </c>
      <c r="G468" t="s">
        <v>911</v>
      </c>
      <c r="H468" t="s">
        <v>911</v>
      </c>
      <c r="I468">
        <v>31.25</v>
      </c>
      <c r="J468" t="s">
        <v>15</v>
      </c>
      <c r="K468" s="3">
        <v>45878</v>
      </c>
      <c r="M468" t="s">
        <v>912</v>
      </c>
      <c r="N468" s="2">
        <v>45931</v>
      </c>
      <c r="O468">
        <v>61655169</v>
      </c>
      <c r="P468">
        <v>28</v>
      </c>
      <c r="Q468" s="3">
        <v>45961</v>
      </c>
      <c r="R468">
        <v>271</v>
      </c>
      <c r="T468" t="s">
        <v>913</v>
      </c>
      <c r="U468">
        <v>0</v>
      </c>
      <c r="Y468" s="27">
        <f t="shared" si="25"/>
        <v>31.25</v>
      </c>
      <c r="Z468" t="s">
        <v>894</v>
      </c>
    </row>
    <row r="469" spans="1:26" hidden="1" x14ac:dyDescent="0.35">
      <c r="A469" t="s">
        <v>910</v>
      </c>
      <c r="B469" t="s">
        <v>910</v>
      </c>
      <c r="C469" t="s">
        <v>438</v>
      </c>
      <c r="D469" s="4">
        <v>256779415322</v>
      </c>
      <c r="E469" s="3">
        <v>45848</v>
      </c>
      <c r="F469" t="s">
        <v>11</v>
      </c>
      <c r="G469" t="s">
        <v>911</v>
      </c>
      <c r="H469" t="s">
        <v>911</v>
      </c>
      <c r="I469">
        <v>40.92</v>
      </c>
      <c r="J469" t="s">
        <v>15</v>
      </c>
      <c r="K469" s="3">
        <v>45878</v>
      </c>
      <c r="M469" t="s">
        <v>912</v>
      </c>
      <c r="N469" s="2">
        <v>45931</v>
      </c>
      <c r="O469">
        <v>61655169</v>
      </c>
      <c r="P469">
        <v>30</v>
      </c>
      <c r="Q469" s="3">
        <v>45961</v>
      </c>
      <c r="R469">
        <v>271</v>
      </c>
      <c r="T469" t="s">
        <v>913</v>
      </c>
      <c r="U469">
        <v>0</v>
      </c>
      <c r="Y469" s="27">
        <f t="shared" si="25"/>
        <v>40.92</v>
      </c>
      <c r="Z469" t="s">
        <v>894</v>
      </c>
    </row>
    <row r="470" spans="1:26" hidden="1" x14ac:dyDescent="0.35">
      <c r="A470" t="s">
        <v>910</v>
      </c>
      <c r="B470" t="s">
        <v>910</v>
      </c>
      <c r="C470" t="s">
        <v>438</v>
      </c>
      <c r="D470" s="4">
        <v>256779415366</v>
      </c>
      <c r="E470" s="3">
        <v>45848</v>
      </c>
      <c r="F470" t="s">
        <v>11</v>
      </c>
      <c r="G470" t="s">
        <v>911</v>
      </c>
      <c r="H470" t="s">
        <v>911</v>
      </c>
      <c r="I470">
        <v>40.92</v>
      </c>
      <c r="J470" t="s">
        <v>15</v>
      </c>
      <c r="K470" s="3">
        <v>45878</v>
      </c>
      <c r="M470" t="s">
        <v>912</v>
      </c>
      <c r="N470" s="2">
        <v>45931</v>
      </c>
      <c r="O470">
        <v>61655169</v>
      </c>
      <c r="P470">
        <v>32</v>
      </c>
      <c r="Q470" s="3">
        <v>45961</v>
      </c>
      <c r="R470">
        <v>271</v>
      </c>
      <c r="T470" t="s">
        <v>913</v>
      </c>
      <c r="U470">
        <v>0</v>
      </c>
      <c r="Y470" s="27">
        <f t="shared" si="25"/>
        <v>40.92</v>
      </c>
      <c r="Z470" t="s">
        <v>894</v>
      </c>
    </row>
    <row r="471" spans="1:26" hidden="1" x14ac:dyDescent="0.35">
      <c r="A471" t="s">
        <v>910</v>
      </c>
      <c r="B471" t="s">
        <v>910</v>
      </c>
      <c r="C471" t="s">
        <v>438</v>
      </c>
      <c r="D471" s="4">
        <v>256779415365</v>
      </c>
      <c r="E471" s="3">
        <v>45848</v>
      </c>
      <c r="F471" t="s">
        <v>11</v>
      </c>
      <c r="G471" t="s">
        <v>911</v>
      </c>
      <c r="H471" t="s">
        <v>911</v>
      </c>
      <c r="I471">
        <v>66.7</v>
      </c>
      <c r="J471" t="s">
        <v>15</v>
      </c>
      <c r="K471" s="3">
        <v>45878</v>
      </c>
      <c r="M471" t="s">
        <v>912</v>
      </c>
      <c r="N471" s="2">
        <v>45931</v>
      </c>
      <c r="O471">
        <v>61655169</v>
      </c>
      <c r="P471">
        <v>34</v>
      </c>
      <c r="Q471" s="3">
        <v>45961</v>
      </c>
      <c r="R471">
        <v>271</v>
      </c>
      <c r="T471" t="s">
        <v>913</v>
      </c>
      <c r="U471">
        <v>0</v>
      </c>
      <c r="Y471" s="27">
        <f t="shared" si="25"/>
        <v>66.7</v>
      </c>
      <c r="Z471" t="s">
        <v>894</v>
      </c>
    </row>
    <row r="472" spans="1:26" hidden="1" x14ac:dyDescent="0.35">
      <c r="A472" t="s">
        <v>910</v>
      </c>
      <c r="B472" t="s">
        <v>910</v>
      </c>
      <c r="C472" t="s">
        <v>438</v>
      </c>
      <c r="D472" s="4">
        <v>256779415311</v>
      </c>
      <c r="E472" s="3">
        <v>45848</v>
      </c>
      <c r="F472" t="s">
        <v>11</v>
      </c>
      <c r="G472" t="s">
        <v>911</v>
      </c>
      <c r="H472" t="s">
        <v>911</v>
      </c>
      <c r="I472">
        <v>16.510000000000002</v>
      </c>
      <c r="J472" t="s">
        <v>15</v>
      </c>
      <c r="K472" s="3">
        <v>45878</v>
      </c>
      <c r="M472" t="s">
        <v>912</v>
      </c>
      <c r="N472" s="2">
        <v>45931</v>
      </c>
      <c r="O472">
        <v>61655169</v>
      </c>
      <c r="P472">
        <v>36</v>
      </c>
      <c r="Q472" s="3">
        <v>45961</v>
      </c>
      <c r="R472">
        <v>271</v>
      </c>
      <c r="T472" t="s">
        <v>913</v>
      </c>
      <c r="U472">
        <v>0</v>
      </c>
      <c r="Y472" s="27">
        <f t="shared" si="25"/>
        <v>16.510000000000002</v>
      </c>
      <c r="Z472" t="s">
        <v>894</v>
      </c>
    </row>
    <row r="473" spans="1:26" hidden="1" x14ac:dyDescent="0.35">
      <c r="A473" t="s">
        <v>910</v>
      </c>
      <c r="B473" t="s">
        <v>910</v>
      </c>
      <c r="C473" t="s">
        <v>438</v>
      </c>
      <c r="D473" s="4">
        <v>256779415368</v>
      </c>
      <c r="E473" s="3">
        <v>45848</v>
      </c>
      <c r="F473" t="s">
        <v>11</v>
      </c>
      <c r="G473" t="s">
        <v>911</v>
      </c>
      <c r="H473" t="s">
        <v>911</v>
      </c>
      <c r="I473">
        <v>12.79</v>
      </c>
      <c r="J473" t="s">
        <v>15</v>
      </c>
      <c r="K473" s="3">
        <v>45878</v>
      </c>
      <c r="M473" t="s">
        <v>912</v>
      </c>
      <c r="N473" s="2">
        <v>45931</v>
      </c>
      <c r="O473">
        <v>61655169</v>
      </c>
      <c r="P473">
        <v>38</v>
      </c>
      <c r="Q473" s="3">
        <v>45961</v>
      </c>
      <c r="R473">
        <v>271</v>
      </c>
      <c r="T473" t="s">
        <v>913</v>
      </c>
      <c r="U473">
        <v>0</v>
      </c>
      <c r="Y473" s="27">
        <f t="shared" si="25"/>
        <v>12.79</v>
      </c>
      <c r="Z473" t="s">
        <v>894</v>
      </c>
    </row>
    <row r="474" spans="1:26" hidden="1" x14ac:dyDescent="0.35">
      <c r="A474" t="s">
        <v>910</v>
      </c>
      <c r="B474" t="s">
        <v>910</v>
      </c>
      <c r="C474" t="s">
        <v>438</v>
      </c>
      <c r="D474" s="4">
        <v>256779415320</v>
      </c>
      <c r="E474" s="3">
        <v>45848</v>
      </c>
      <c r="F474" t="s">
        <v>11</v>
      </c>
      <c r="G474" t="s">
        <v>911</v>
      </c>
      <c r="H474" t="s">
        <v>911</v>
      </c>
      <c r="I474">
        <v>2.67</v>
      </c>
      <c r="J474" t="s">
        <v>15</v>
      </c>
      <c r="K474" s="3">
        <v>45878</v>
      </c>
      <c r="M474" t="s">
        <v>912</v>
      </c>
      <c r="N474" s="2">
        <v>45931</v>
      </c>
      <c r="O474">
        <v>61655169</v>
      </c>
      <c r="P474">
        <v>40</v>
      </c>
      <c r="Q474" s="3">
        <v>45961</v>
      </c>
      <c r="R474">
        <v>271</v>
      </c>
      <c r="T474" t="s">
        <v>913</v>
      </c>
      <c r="U474">
        <v>0</v>
      </c>
      <c r="Y474" s="27">
        <f t="shared" si="25"/>
        <v>2.67</v>
      </c>
      <c r="Z474" t="s">
        <v>894</v>
      </c>
    </row>
    <row r="475" spans="1:26" hidden="1" x14ac:dyDescent="0.35">
      <c r="A475" t="s">
        <v>910</v>
      </c>
      <c r="B475" t="s">
        <v>910</v>
      </c>
      <c r="C475" t="s">
        <v>438</v>
      </c>
      <c r="D475" s="4">
        <v>256779415301</v>
      </c>
      <c r="E475" s="3">
        <v>45848</v>
      </c>
      <c r="F475" t="s">
        <v>11</v>
      </c>
      <c r="G475" t="s">
        <v>911</v>
      </c>
      <c r="H475" t="s">
        <v>911</v>
      </c>
      <c r="I475">
        <v>6.39</v>
      </c>
      <c r="J475" t="s">
        <v>15</v>
      </c>
      <c r="K475" s="3">
        <v>45878</v>
      </c>
      <c r="M475" t="s">
        <v>912</v>
      </c>
      <c r="N475" s="2">
        <v>45931</v>
      </c>
      <c r="O475">
        <v>61655169</v>
      </c>
      <c r="P475">
        <v>42</v>
      </c>
      <c r="Q475" s="3">
        <v>45961</v>
      </c>
      <c r="R475">
        <v>271</v>
      </c>
      <c r="T475" t="s">
        <v>913</v>
      </c>
      <c r="U475">
        <v>0</v>
      </c>
      <c r="Y475" s="27">
        <f t="shared" si="25"/>
        <v>6.39</v>
      </c>
      <c r="Z475" t="s">
        <v>894</v>
      </c>
    </row>
    <row r="476" spans="1:26" hidden="1" x14ac:dyDescent="0.35">
      <c r="A476" t="s">
        <v>910</v>
      </c>
      <c r="B476" t="s">
        <v>910</v>
      </c>
      <c r="C476" t="s">
        <v>438</v>
      </c>
      <c r="D476" s="4">
        <v>256779415329</v>
      </c>
      <c r="E476" s="3">
        <v>45848</v>
      </c>
      <c r="F476" t="s">
        <v>11</v>
      </c>
      <c r="G476" t="s">
        <v>911</v>
      </c>
      <c r="H476" t="s">
        <v>911</v>
      </c>
      <c r="I476">
        <v>5.86</v>
      </c>
      <c r="J476" t="s">
        <v>15</v>
      </c>
      <c r="K476" s="3">
        <v>45878</v>
      </c>
      <c r="M476" t="s">
        <v>912</v>
      </c>
      <c r="N476" s="2">
        <v>45931</v>
      </c>
      <c r="O476">
        <v>61655169</v>
      </c>
      <c r="P476">
        <v>44</v>
      </c>
      <c r="Q476" s="3">
        <v>45961</v>
      </c>
      <c r="R476">
        <v>271</v>
      </c>
      <c r="T476" t="s">
        <v>913</v>
      </c>
      <c r="U476">
        <v>0</v>
      </c>
      <c r="Y476" s="27">
        <f t="shared" si="25"/>
        <v>5.86</v>
      </c>
      <c r="Z476" t="s">
        <v>894</v>
      </c>
    </row>
    <row r="477" spans="1:26" hidden="1" x14ac:dyDescent="0.35">
      <c r="A477" t="s">
        <v>910</v>
      </c>
      <c r="B477" t="s">
        <v>910</v>
      </c>
      <c r="C477" t="s">
        <v>438</v>
      </c>
      <c r="D477" s="4">
        <v>256779415367</v>
      </c>
      <c r="E477" s="3">
        <v>45848</v>
      </c>
      <c r="F477" t="s">
        <v>11</v>
      </c>
      <c r="G477" t="s">
        <v>911</v>
      </c>
      <c r="H477" t="s">
        <v>911</v>
      </c>
      <c r="I477">
        <v>42.62</v>
      </c>
      <c r="J477" t="s">
        <v>15</v>
      </c>
      <c r="K477" s="3">
        <v>45878</v>
      </c>
      <c r="M477" t="s">
        <v>912</v>
      </c>
      <c r="N477" s="2">
        <v>45931</v>
      </c>
      <c r="O477">
        <v>61655169</v>
      </c>
      <c r="P477">
        <v>46</v>
      </c>
      <c r="Q477" s="3">
        <v>45961</v>
      </c>
      <c r="R477">
        <v>271</v>
      </c>
      <c r="T477" t="s">
        <v>913</v>
      </c>
      <c r="U477">
        <v>0</v>
      </c>
      <c r="Y477" s="27">
        <f t="shared" si="25"/>
        <v>42.62</v>
      </c>
      <c r="Z477" t="s">
        <v>894</v>
      </c>
    </row>
    <row r="478" spans="1:26" hidden="1" x14ac:dyDescent="0.35">
      <c r="A478" t="s">
        <v>910</v>
      </c>
      <c r="B478" t="s">
        <v>910</v>
      </c>
      <c r="C478" t="s">
        <v>438</v>
      </c>
      <c r="D478" s="4">
        <v>256779415353</v>
      </c>
      <c r="E478" s="3">
        <v>45848</v>
      </c>
      <c r="F478" t="s">
        <v>11</v>
      </c>
      <c r="G478" t="s">
        <v>911</v>
      </c>
      <c r="H478" t="s">
        <v>911</v>
      </c>
      <c r="I478">
        <v>42.62</v>
      </c>
      <c r="J478" t="s">
        <v>15</v>
      </c>
      <c r="K478" s="3">
        <v>45878</v>
      </c>
      <c r="M478" t="s">
        <v>912</v>
      </c>
      <c r="N478" s="2">
        <v>45931</v>
      </c>
      <c r="O478">
        <v>61655169</v>
      </c>
      <c r="P478">
        <v>48</v>
      </c>
      <c r="Q478" s="3">
        <v>45961</v>
      </c>
      <c r="R478">
        <v>271</v>
      </c>
      <c r="T478" t="s">
        <v>913</v>
      </c>
      <c r="U478">
        <v>0</v>
      </c>
      <c r="Y478" s="27">
        <f t="shared" si="25"/>
        <v>42.62</v>
      </c>
      <c r="Z478" t="s">
        <v>894</v>
      </c>
    </row>
    <row r="479" spans="1:26" hidden="1" x14ac:dyDescent="0.35">
      <c r="A479" t="s">
        <v>910</v>
      </c>
      <c r="B479" t="s">
        <v>910</v>
      </c>
      <c r="C479" t="s">
        <v>438</v>
      </c>
      <c r="D479" s="4">
        <v>256779415330</v>
      </c>
      <c r="E479" s="3">
        <v>45848</v>
      </c>
      <c r="F479" t="s">
        <v>11</v>
      </c>
      <c r="G479" t="s">
        <v>911</v>
      </c>
      <c r="H479" t="s">
        <v>911</v>
      </c>
      <c r="I479">
        <v>4.8</v>
      </c>
      <c r="J479" t="s">
        <v>15</v>
      </c>
      <c r="K479" s="3">
        <v>45878</v>
      </c>
      <c r="M479" t="s">
        <v>912</v>
      </c>
      <c r="N479" s="2">
        <v>45931</v>
      </c>
      <c r="O479">
        <v>61655169</v>
      </c>
      <c r="P479">
        <v>50</v>
      </c>
      <c r="Q479" s="3">
        <v>45961</v>
      </c>
      <c r="R479">
        <v>271</v>
      </c>
      <c r="T479" t="s">
        <v>913</v>
      </c>
      <c r="U479">
        <v>0</v>
      </c>
      <c r="Y479" s="27">
        <f t="shared" si="25"/>
        <v>4.8</v>
      </c>
      <c r="Z479" t="s">
        <v>894</v>
      </c>
    </row>
    <row r="480" spans="1:26" hidden="1" x14ac:dyDescent="0.35">
      <c r="A480" t="s">
        <v>910</v>
      </c>
      <c r="B480" t="s">
        <v>910</v>
      </c>
      <c r="C480" t="s">
        <v>438</v>
      </c>
      <c r="D480" s="4">
        <v>256779415354</v>
      </c>
      <c r="E480" s="3">
        <v>45848</v>
      </c>
      <c r="F480" t="s">
        <v>11</v>
      </c>
      <c r="G480" t="s">
        <v>911</v>
      </c>
      <c r="H480" t="s">
        <v>911</v>
      </c>
      <c r="I480">
        <v>12.79</v>
      </c>
      <c r="J480" t="s">
        <v>15</v>
      </c>
      <c r="K480" s="3">
        <v>45878</v>
      </c>
      <c r="M480" t="s">
        <v>912</v>
      </c>
      <c r="N480" s="2">
        <v>45931</v>
      </c>
      <c r="O480">
        <v>61655169</v>
      </c>
      <c r="P480">
        <v>52</v>
      </c>
      <c r="Q480" s="3">
        <v>45961</v>
      </c>
      <c r="R480">
        <v>271</v>
      </c>
      <c r="T480" t="s">
        <v>913</v>
      </c>
      <c r="U480">
        <v>0</v>
      </c>
      <c r="Y480" s="27">
        <f t="shared" si="25"/>
        <v>12.79</v>
      </c>
      <c r="Z480" t="s">
        <v>894</v>
      </c>
    </row>
    <row r="481" spans="1:26" hidden="1" x14ac:dyDescent="0.35">
      <c r="A481" t="s">
        <v>910</v>
      </c>
      <c r="B481" t="s">
        <v>910</v>
      </c>
      <c r="C481" t="s">
        <v>438</v>
      </c>
      <c r="D481" s="4">
        <v>256779417134</v>
      </c>
      <c r="E481" s="3">
        <v>45904</v>
      </c>
      <c r="F481" t="s">
        <v>11</v>
      </c>
      <c r="G481" t="s">
        <v>911</v>
      </c>
      <c r="H481" t="s">
        <v>911</v>
      </c>
      <c r="I481">
        <v>-315.77</v>
      </c>
      <c r="J481" t="s">
        <v>15</v>
      </c>
      <c r="K481" s="3">
        <v>45934</v>
      </c>
      <c r="M481" t="s">
        <v>912</v>
      </c>
      <c r="N481" s="2">
        <v>45931</v>
      </c>
      <c r="O481">
        <v>61655169</v>
      </c>
      <c r="P481">
        <v>54</v>
      </c>
      <c r="Q481" s="3">
        <v>45961</v>
      </c>
      <c r="R481">
        <v>271</v>
      </c>
      <c r="T481" t="s">
        <v>913</v>
      </c>
      <c r="U481">
        <v>0</v>
      </c>
      <c r="Y481" s="27">
        <f t="shared" si="25"/>
        <v>-315.77</v>
      </c>
      <c r="Z481" t="s">
        <v>894</v>
      </c>
    </row>
    <row r="482" spans="1:26" hidden="1" x14ac:dyDescent="0.35">
      <c r="A482" t="s">
        <v>910</v>
      </c>
      <c r="B482" t="s">
        <v>910</v>
      </c>
      <c r="C482" t="s">
        <v>438</v>
      </c>
      <c r="D482" s="4">
        <v>256779417200</v>
      </c>
      <c r="E482" s="3">
        <v>45904</v>
      </c>
      <c r="F482" t="s">
        <v>11</v>
      </c>
      <c r="G482" t="s">
        <v>911</v>
      </c>
      <c r="H482" t="s">
        <v>911</v>
      </c>
      <c r="I482">
        <v>-59.31</v>
      </c>
      <c r="J482" t="s">
        <v>15</v>
      </c>
      <c r="K482" s="3">
        <v>45934</v>
      </c>
      <c r="M482" t="s">
        <v>912</v>
      </c>
      <c r="N482" s="2">
        <v>45931</v>
      </c>
      <c r="O482">
        <v>61655169</v>
      </c>
      <c r="P482">
        <v>56</v>
      </c>
      <c r="Q482" s="3">
        <v>45961</v>
      </c>
      <c r="R482">
        <v>271</v>
      </c>
      <c r="T482" t="s">
        <v>913</v>
      </c>
      <c r="U482">
        <v>0</v>
      </c>
      <c r="Y482" s="27">
        <f t="shared" si="25"/>
        <v>-59.31</v>
      </c>
      <c r="Z482" t="s">
        <v>894</v>
      </c>
    </row>
    <row r="483" spans="1:26" hidden="1" x14ac:dyDescent="0.35">
      <c r="A483" t="s">
        <v>910</v>
      </c>
      <c r="B483" t="s">
        <v>910</v>
      </c>
      <c r="C483" t="s">
        <v>438</v>
      </c>
      <c r="D483" s="4">
        <v>256779417238</v>
      </c>
      <c r="E483" s="3">
        <v>45904</v>
      </c>
      <c r="F483" t="s">
        <v>11</v>
      </c>
      <c r="G483" t="s">
        <v>911</v>
      </c>
      <c r="H483" t="s">
        <v>911</v>
      </c>
      <c r="I483">
        <v>-358.34</v>
      </c>
      <c r="J483" t="s">
        <v>15</v>
      </c>
      <c r="K483" s="3">
        <v>45934</v>
      </c>
      <c r="M483" t="s">
        <v>912</v>
      </c>
      <c r="N483" s="2">
        <v>45931</v>
      </c>
      <c r="O483">
        <v>61655169</v>
      </c>
      <c r="P483">
        <v>58</v>
      </c>
      <c r="Q483" s="3">
        <v>45961</v>
      </c>
      <c r="R483">
        <v>271</v>
      </c>
      <c r="T483" t="s">
        <v>913</v>
      </c>
      <c r="U483">
        <v>0</v>
      </c>
      <c r="Y483" s="27">
        <f t="shared" si="25"/>
        <v>-358.34</v>
      </c>
      <c r="Z483" t="s">
        <v>894</v>
      </c>
    </row>
    <row r="484" spans="1:26" hidden="1" x14ac:dyDescent="0.35">
      <c r="A484" t="s">
        <v>910</v>
      </c>
      <c r="B484" t="s">
        <v>910</v>
      </c>
      <c r="C484" t="s">
        <v>438</v>
      </c>
      <c r="D484" s="4">
        <v>256779415012</v>
      </c>
      <c r="E484" s="3">
        <v>45842</v>
      </c>
      <c r="F484" t="s">
        <v>11</v>
      </c>
      <c r="G484" t="s">
        <v>911</v>
      </c>
      <c r="H484" t="s">
        <v>911</v>
      </c>
      <c r="I484">
        <v>-408.07</v>
      </c>
      <c r="J484" t="s">
        <v>15</v>
      </c>
      <c r="K484" s="3">
        <v>45872</v>
      </c>
      <c r="M484" t="s">
        <v>912</v>
      </c>
      <c r="N484" s="2">
        <v>45931</v>
      </c>
      <c r="O484">
        <v>61655169</v>
      </c>
      <c r="P484">
        <v>60</v>
      </c>
      <c r="Q484" s="3">
        <v>45961</v>
      </c>
      <c r="R484">
        <v>271</v>
      </c>
      <c r="T484" t="s">
        <v>913</v>
      </c>
      <c r="U484">
        <v>0</v>
      </c>
      <c r="Y484" s="27">
        <f t="shared" si="25"/>
        <v>-408.07</v>
      </c>
      <c r="Z484" t="s">
        <v>894</v>
      </c>
    </row>
    <row r="485" spans="1:26" hidden="1" x14ac:dyDescent="0.35">
      <c r="A485" t="s">
        <v>910</v>
      </c>
      <c r="B485" t="s">
        <v>910</v>
      </c>
      <c r="C485" t="s">
        <v>438</v>
      </c>
      <c r="D485" s="4">
        <v>256779417137</v>
      </c>
      <c r="E485" s="3">
        <v>45904</v>
      </c>
      <c r="F485" t="s">
        <v>11</v>
      </c>
      <c r="G485" t="s">
        <v>911</v>
      </c>
      <c r="H485" t="s">
        <v>911</v>
      </c>
      <c r="I485">
        <v>-241.22</v>
      </c>
      <c r="J485" t="s">
        <v>15</v>
      </c>
      <c r="K485" s="3">
        <v>45934</v>
      </c>
      <c r="M485" t="s">
        <v>912</v>
      </c>
      <c r="N485" s="2">
        <v>45931</v>
      </c>
      <c r="O485">
        <v>61655169</v>
      </c>
      <c r="P485">
        <v>62</v>
      </c>
      <c r="Q485" s="3">
        <v>45961</v>
      </c>
      <c r="R485">
        <v>271</v>
      </c>
      <c r="T485" t="s">
        <v>913</v>
      </c>
      <c r="U485">
        <v>0</v>
      </c>
      <c r="Y485" s="27">
        <f t="shared" si="25"/>
        <v>-241.22</v>
      </c>
      <c r="Z485" t="s">
        <v>894</v>
      </c>
    </row>
    <row r="486" spans="1:26" hidden="1" x14ac:dyDescent="0.35">
      <c r="A486" t="s">
        <v>910</v>
      </c>
      <c r="B486" t="s">
        <v>910</v>
      </c>
      <c r="C486" t="s">
        <v>438</v>
      </c>
      <c r="D486" s="4">
        <v>256779417801</v>
      </c>
      <c r="E486" s="3">
        <v>45922</v>
      </c>
      <c r="F486" t="s">
        <v>11</v>
      </c>
      <c r="G486" t="s">
        <v>911</v>
      </c>
      <c r="H486" t="s">
        <v>911</v>
      </c>
      <c r="I486" s="27">
        <v>-2799.24</v>
      </c>
      <c r="J486" t="s">
        <v>15</v>
      </c>
      <c r="K486" s="3">
        <v>45952</v>
      </c>
      <c r="M486" t="s">
        <v>912</v>
      </c>
      <c r="N486" s="2">
        <v>45931</v>
      </c>
      <c r="O486">
        <v>61655169</v>
      </c>
      <c r="P486">
        <v>64</v>
      </c>
      <c r="Q486" s="3">
        <v>45961</v>
      </c>
      <c r="R486">
        <v>271</v>
      </c>
      <c r="T486" t="s">
        <v>913</v>
      </c>
      <c r="U486">
        <v>0</v>
      </c>
      <c r="Y486" s="27">
        <f t="shared" si="25"/>
        <v>-2799.24</v>
      </c>
      <c r="Z486" t="s">
        <v>894</v>
      </c>
    </row>
    <row r="487" spans="1:26" hidden="1" x14ac:dyDescent="0.35">
      <c r="A487" t="s">
        <v>910</v>
      </c>
      <c r="B487" t="s">
        <v>910</v>
      </c>
      <c r="C487" t="s">
        <v>438</v>
      </c>
      <c r="D487" s="4">
        <v>256779415442</v>
      </c>
      <c r="E487" s="3">
        <v>45856</v>
      </c>
      <c r="F487" t="s">
        <v>11</v>
      </c>
      <c r="G487" t="s">
        <v>911</v>
      </c>
      <c r="H487" t="s">
        <v>911</v>
      </c>
      <c r="I487">
        <v>-3.53</v>
      </c>
      <c r="J487" t="s">
        <v>15</v>
      </c>
      <c r="K487" s="3">
        <v>45886</v>
      </c>
      <c r="M487" t="s">
        <v>912</v>
      </c>
      <c r="N487" s="2">
        <v>45931</v>
      </c>
      <c r="O487">
        <v>61655169</v>
      </c>
      <c r="P487">
        <v>66</v>
      </c>
      <c r="Q487" s="3">
        <v>45961</v>
      </c>
      <c r="R487">
        <v>271</v>
      </c>
      <c r="T487" t="s">
        <v>913</v>
      </c>
      <c r="U487">
        <v>0</v>
      </c>
      <c r="Y487" s="27">
        <f t="shared" si="25"/>
        <v>-3.53</v>
      </c>
      <c r="Z487" t="s">
        <v>894</v>
      </c>
    </row>
    <row r="488" spans="1:26" hidden="1" x14ac:dyDescent="0.35">
      <c r="A488" t="s">
        <v>910</v>
      </c>
      <c r="B488" t="s">
        <v>910</v>
      </c>
      <c r="C488" t="s">
        <v>438</v>
      </c>
      <c r="D488" s="4">
        <v>256779417597</v>
      </c>
      <c r="E488" s="3">
        <v>45918</v>
      </c>
      <c r="F488" t="s">
        <v>11</v>
      </c>
      <c r="G488" t="s">
        <v>911</v>
      </c>
      <c r="H488" t="s">
        <v>911</v>
      </c>
      <c r="I488">
        <v>-621.04</v>
      </c>
      <c r="J488" t="s">
        <v>15</v>
      </c>
      <c r="K488" s="3">
        <v>45948</v>
      </c>
      <c r="M488" t="s">
        <v>912</v>
      </c>
      <c r="N488" s="2">
        <v>45931</v>
      </c>
      <c r="O488">
        <v>61655169</v>
      </c>
      <c r="P488">
        <v>68</v>
      </c>
      <c r="Q488" s="3">
        <v>45961</v>
      </c>
      <c r="R488">
        <v>271</v>
      </c>
      <c r="T488" t="s">
        <v>913</v>
      </c>
      <c r="U488">
        <v>0</v>
      </c>
      <c r="Y488" s="27">
        <f t="shared" si="25"/>
        <v>-621.04</v>
      </c>
      <c r="Z488" t="s">
        <v>894</v>
      </c>
    </row>
    <row r="489" spans="1:26" hidden="1" x14ac:dyDescent="0.35">
      <c r="A489" t="s">
        <v>910</v>
      </c>
      <c r="B489" t="s">
        <v>910</v>
      </c>
      <c r="C489" t="s">
        <v>438</v>
      </c>
      <c r="D489" s="4">
        <v>256779415426</v>
      </c>
      <c r="E489" s="3">
        <v>45856</v>
      </c>
      <c r="F489" t="s">
        <v>11</v>
      </c>
      <c r="G489" t="s">
        <v>911</v>
      </c>
      <c r="H489" t="s">
        <v>911</v>
      </c>
      <c r="I489" s="27">
        <v>-1030.68</v>
      </c>
      <c r="J489" t="s">
        <v>15</v>
      </c>
      <c r="K489" s="3">
        <v>45886</v>
      </c>
      <c r="M489" t="s">
        <v>912</v>
      </c>
      <c r="N489" s="2">
        <v>45931</v>
      </c>
      <c r="O489">
        <v>61655169</v>
      </c>
      <c r="P489">
        <v>70</v>
      </c>
      <c r="Q489" s="3">
        <v>45961</v>
      </c>
      <c r="R489">
        <v>271</v>
      </c>
      <c r="T489" t="s">
        <v>913</v>
      </c>
      <c r="U489">
        <v>0</v>
      </c>
      <c r="Y489" s="27">
        <f t="shared" si="25"/>
        <v>-1030.68</v>
      </c>
      <c r="Z489" t="s">
        <v>894</v>
      </c>
    </row>
    <row r="490" spans="1:26" hidden="1" x14ac:dyDescent="0.35">
      <c r="A490" t="s">
        <v>910</v>
      </c>
      <c r="B490" t="s">
        <v>910</v>
      </c>
      <c r="C490" t="s">
        <v>438</v>
      </c>
      <c r="D490" s="4">
        <v>256779415517</v>
      </c>
      <c r="E490" s="3">
        <v>45856</v>
      </c>
      <c r="F490" t="s">
        <v>11</v>
      </c>
      <c r="G490" t="s">
        <v>911</v>
      </c>
      <c r="H490" t="s">
        <v>911</v>
      </c>
      <c r="I490">
        <v>-258.92</v>
      </c>
      <c r="J490" t="s">
        <v>15</v>
      </c>
      <c r="K490" s="3">
        <v>45886</v>
      </c>
      <c r="M490" t="s">
        <v>912</v>
      </c>
      <c r="N490" s="2">
        <v>45931</v>
      </c>
      <c r="O490">
        <v>61655169</v>
      </c>
      <c r="P490">
        <v>72</v>
      </c>
      <c r="Q490" s="3">
        <v>45961</v>
      </c>
      <c r="R490">
        <v>271</v>
      </c>
      <c r="T490" t="s">
        <v>913</v>
      </c>
      <c r="U490">
        <v>0</v>
      </c>
      <c r="Y490" s="27">
        <f t="shared" si="25"/>
        <v>-258.92</v>
      </c>
      <c r="Z490" t="s">
        <v>894</v>
      </c>
    </row>
    <row r="491" spans="1:26" hidden="1" x14ac:dyDescent="0.35">
      <c r="A491" t="s">
        <v>910</v>
      </c>
      <c r="B491" t="s">
        <v>910</v>
      </c>
      <c r="C491" t="s">
        <v>438</v>
      </c>
      <c r="D491" s="4">
        <v>256779415453</v>
      </c>
      <c r="E491" s="3">
        <v>45856</v>
      </c>
      <c r="F491" t="s">
        <v>11</v>
      </c>
      <c r="G491" t="s">
        <v>911</v>
      </c>
      <c r="H491" t="s">
        <v>911</v>
      </c>
      <c r="I491">
        <v>-650.84</v>
      </c>
      <c r="J491" t="s">
        <v>15</v>
      </c>
      <c r="K491" s="3">
        <v>45886</v>
      </c>
      <c r="M491" t="s">
        <v>912</v>
      </c>
      <c r="N491" s="2">
        <v>45931</v>
      </c>
      <c r="O491">
        <v>61655169</v>
      </c>
      <c r="P491">
        <v>74</v>
      </c>
      <c r="Q491" s="3">
        <v>45961</v>
      </c>
      <c r="R491">
        <v>271</v>
      </c>
      <c r="T491" t="s">
        <v>913</v>
      </c>
      <c r="U491">
        <v>0</v>
      </c>
      <c r="Y491" s="27">
        <f t="shared" si="25"/>
        <v>-650.84</v>
      </c>
      <c r="Z491" t="s">
        <v>894</v>
      </c>
    </row>
    <row r="492" spans="1:26" hidden="1" x14ac:dyDescent="0.35">
      <c r="A492" t="s">
        <v>910</v>
      </c>
      <c r="B492" t="s">
        <v>910</v>
      </c>
      <c r="C492" t="s">
        <v>438</v>
      </c>
      <c r="D492" s="4">
        <v>256779415474</v>
      </c>
      <c r="E492" s="3">
        <v>45856</v>
      </c>
      <c r="F492" t="s">
        <v>11</v>
      </c>
      <c r="G492" t="s">
        <v>911</v>
      </c>
      <c r="H492" t="s">
        <v>911</v>
      </c>
      <c r="I492" s="27">
        <v>-1349.32</v>
      </c>
      <c r="J492" t="s">
        <v>15</v>
      </c>
      <c r="K492" s="3">
        <v>45886</v>
      </c>
      <c r="M492" t="s">
        <v>912</v>
      </c>
      <c r="N492" s="2">
        <v>45931</v>
      </c>
      <c r="O492">
        <v>61655169</v>
      </c>
      <c r="P492">
        <v>76</v>
      </c>
      <c r="Q492" s="3">
        <v>45961</v>
      </c>
      <c r="R492">
        <v>271</v>
      </c>
      <c r="T492" t="s">
        <v>913</v>
      </c>
      <c r="U492">
        <v>0</v>
      </c>
      <c r="Y492" s="27">
        <f t="shared" si="25"/>
        <v>-1349.32</v>
      </c>
      <c r="Z492" t="s">
        <v>894</v>
      </c>
    </row>
    <row r="493" spans="1:26" hidden="1" x14ac:dyDescent="0.35">
      <c r="A493" t="s">
        <v>910</v>
      </c>
      <c r="B493" t="s">
        <v>910</v>
      </c>
      <c r="C493" t="s">
        <v>438</v>
      </c>
      <c r="D493" s="4">
        <v>256779415261</v>
      </c>
      <c r="E493" s="3">
        <v>45842</v>
      </c>
      <c r="F493" t="s">
        <v>11</v>
      </c>
      <c r="G493" t="s">
        <v>911</v>
      </c>
      <c r="H493" t="s">
        <v>911</v>
      </c>
      <c r="I493">
        <v>-648.16999999999996</v>
      </c>
      <c r="J493" t="s">
        <v>15</v>
      </c>
      <c r="K493" s="3">
        <v>45872</v>
      </c>
      <c r="M493" t="s">
        <v>912</v>
      </c>
      <c r="N493" s="2">
        <v>45931</v>
      </c>
      <c r="O493">
        <v>61655169</v>
      </c>
      <c r="P493">
        <v>78</v>
      </c>
      <c r="Q493" s="3">
        <v>45961</v>
      </c>
      <c r="R493">
        <v>271</v>
      </c>
      <c r="T493" t="s">
        <v>913</v>
      </c>
      <c r="U493">
        <v>0</v>
      </c>
      <c r="Y493" s="27">
        <f t="shared" si="25"/>
        <v>-648.16999999999996</v>
      </c>
      <c r="Z493" t="s">
        <v>894</v>
      </c>
    </row>
    <row r="494" spans="1:26" hidden="1" x14ac:dyDescent="0.35">
      <c r="A494" t="s">
        <v>910</v>
      </c>
      <c r="B494" t="s">
        <v>910</v>
      </c>
      <c r="C494" t="s">
        <v>438</v>
      </c>
      <c r="D494" s="4">
        <v>256779415387</v>
      </c>
      <c r="E494" s="3">
        <v>45848</v>
      </c>
      <c r="F494" t="s">
        <v>11</v>
      </c>
      <c r="G494" t="s">
        <v>911</v>
      </c>
      <c r="H494" t="s">
        <v>911</v>
      </c>
      <c r="I494">
        <v>-157.24</v>
      </c>
      <c r="J494" t="s">
        <v>15</v>
      </c>
      <c r="K494" s="3">
        <v>45878</v>
      </c>
      <c r="M494" t="s">
        <v>912</v>
      </c>
      <c r="N494" s="2">
        <v>45931</v>
      </c>
      <c r="O494">
        <v>61655169</v>
      </c>
      <c r="P494">
        <v>80</v>
      </c>
      <c r="Q494" s="3">
        <v>45961</v>
      </c>
      <c r="R494">
        <v>271</v>
      </c>
      <c r="T494" t="s">
        <v>913</v>
      </c>
      <c r="U494">
        <v>0</v>
      </c>
      <c r="Y494" s="27">
        <f t="shared" si="25"/>
        <v>-157.24</v>
      </c>
      <c r="Z494" t="s">
        <v>894</v>
      </c>
    </row>
    <row r="495" spans="1:26" hidden="1" x14ac:dyDescent="0.35">
      <c r="A495" t="s">
        <v>910</v>
      </c>
      <c r="B495" t="s">
        <v>910</v>
      </c>
      <c r="C495" t="s">
        <v>438</v>
      </c>
      <c r="D495" s="4">
        <v>256779415989</v>
      </c>
      <c r="E495" s="3">
        <v>45863</v>
      </c>
      <c r="F495" t="s">
        <v>11</v>
      </c>
      <c r="G495" t="s">
        <v>911</v>
      </c>
      <c r="H495" t="s">
        <v>911</v>
      </c>
      <c r="I495">
        <v>-664.99</v>
      </c>
      <c r="J495" t="s">
        <v>15</v>
      </c>
      <c r="K495" s="3">
        <v>45893</v>
      </c>
      <c r="M495" t="s">
        <v>912</v>
      </c>
      <c r="N495" s="2">
        <v>45931</v>
      </c>
      <c r="O495">
        <v>61655169</v>
      </c>
      <c r="P495">
        <v>82</v>
      </c>
      <c r="Q495" s="3">
        <v>45961</v>
      </c>
      <c r="R495">
        <v>271</v>
      </c>
      <c r="T495" t="s">
        <v>913</v>
      </c>
      <c r="U495">
        <v>0</v>
      </c>
      <c r="Y495" s="27">
        <f t="shared" si="25"/>
        <v>-664.99</v>
      </c>
      <c r="Z495" t="s">
        <v>894</v>
      </c>
    </row>
    <row r="496" spans="1:26" hidden="1" x14ac:dyDescent="0.35">
      <c r="A496" t="s">
        <v>910</v>
      </c>
      <c r="B496" t="s">
        <v>910</v>
      </c>
      <c r="C496" t="s">
        <v>438</v>
      </c>
      <c r="D496" s="4">
        <v>256779416007</v>
      </c>
      <c r="E496" s="3">
        <v>45863</v>
      </c>
      <c r="F496" t="s">
        <v>11</v>
      </c>
      <c r="G496" t="s">
        <v>911</v>
      </c>
      <c r="H496" t="s">
        <v>911</v>
      </c>
      <c r="I496">
        <v>-934.03</v>
      </c>
      <c r="J496" t="s">
        <v>15</v>
      </c>
      <c r="K496" s="3">
        <v>45893</v>
      </c>
      <c r="M496" t="s">
        <v>912</v>
      </c>
      <c r="N496" s="2">
        <v>45931</v>
      </c>
      <c r="O496">
        <v>61655169</v>
      </c>
      <c r="P496">
        <v>84</v>
      </c>
      <c r="Q496" s="3">
        <v>45961</v>
      </c>
      <c r="R496">
        <v>271</v>
      </c>
      <c r="T496" t="s">
        <v>913</v>
      </c>
      <c r="U496">
        <v>0</v>
      </c>
      <c r="Y496" s="27">
        <f t="shared" si="25"/>
        <v>-934.03</v>
      </c>
      <c r="Z496" t="s">
        <v>894</v>
      </c>
    </row>
    <row r="497" spans="1:28" hidden="1" x14ac:dyDescent="0.35">
      <c r="A497" t="s">
        <v>910</v>
      </c>
      <c r="B497" t="s">
        <v>910</v>
      </c>
      <c r="C497" t="s">
        <v>438</v>
      </c>
      <c r="D497" s="4">
        <v>256779415313</v>
      </c>
      <c r="E497" s="3">
        <v>45848</v>
      </c>
      <c r="F497" t="s">
        <v>11</v>
      </c>
      <c r="G497" t="s">
        <v>911</v>
      </c>
      <c r="H497" t="s">
        <v>911</v>
      </c>
      <c r="I497">
        <v>12.79</v>
      </c>
      <c r="J497" t="s">
        <v>15</v>
      </c>
      <c r="K497" s="3">
        <v>45878</v>
      </c>
      <c r="M497" t="s">
        <v>912</v>
      </c>
      <c r="N497" s="2">
        <v>45931</v>
      </c>
      <c r="O497">
        <v>61655169</v>
      </c>
      <c r="P497">
        <v>86</v>
      </c>
      <c r="Q497" s="3">
        <v>45961</v>
      </c>
      <c r="R497">
        <v>271</v>
      </c>
      <c r="T497" t="s">
        <v>913</v>
      </c>
      <c r="U497">
        <v>0</v>
      </c>
      <c r="Y497" s="27">
        <f t="shared" si="25"/>
        <v>12.79</v>
      </c>
      <c r="Z497" t="s">
        <v>894</v>
      </c>
    </row>
    <row r="498" spans="1:28" hidden="1" x14ac:dyDescent="0.35">
      <c r="A498" t="s">
        <v>910</v>
      </c>
      <c r="B498" t="s">
        <v>910</v>
      </c>
      <c r="C498" t="s">
        <v>438</v>
      </c>
      <c r="D498" s="4">
        <v>256779415323</v>
      </c>
      <c r="E498" s="3">
        <v>45848</v>
      </c>
      <c r="F498" t="s">
        <v>11</v>
      </c>
      <c r="G498" t="s">
        <v>911</v>
      </c>
      <c r="H498" t="s">
        <v>911</v>
      </c>
      <c r="I498">
        <v>45.12</v>
      </c>
      <c r="J498" t="s">
        <v>15</v>
      </c>
      <c r="K498" s="3">
        <v>45878</v>
      </c>
      <c r="M498" t="s">
        <v>912</v>
      </c>
      <c r="N498" s="2">
        <v>45931</v>
      </c>
      <c r="O498">
        <v>61655169</v>
      </c>
      <c r="P498">
        <v>88</v>
      </c>
      <c r="Q498" s="3">
        <v>45961</v>
      </c>
      <c r="R498">
        <v>271</v>
      </c>
      <c r="T498" t="s">
        <v>913</v>
      </c>
      <c r="U498">
        <v>0</v>
      </c>
      <c r="Y498" s="27">
        <f t="shared" si="25"/>
        <v>45.12</v>
      </c>
      <c r="Z498" t="s">
        <v>894</v>
      </c>
    </row>
    <row r="499" spans="1:28" hidden="1" x14ac:dyDescent="0.35">
      <c r="A499" t="s">
        <v>910</v>
      </c>
      <c r="B499" t="s">
        <v>910</v>
      </c>
      <c r="C499" t="s">
        <v>438</v>
      </c>
      <c r="D499" s="4">
        <v>256779415309</v>
      </c>
      <c r="E499" s="3">
        <v>45848</v>
      </c>
      <c r="F499" t="s">
        <v>11</v>
      </c>
      <c r="G499" t="s">
        <v>911</v>
      </c>
      <c r="H499" t="s">
        <v>911</v>
      </c>
      <c r="I499">
        <v>6.39</v>
      </c>
      <c r="J499" t="s">
        <v>15</v>
      </c>
      <c r="K499" s="3">
        <v>45878</v>
      </c>
      <c r="M499" t="s">
        <v>912</v>
      </c>
      <c r="N499" s="2">
        <v>45931</v>
      </c>
      <c r="O499">
        <v>61655169</v>
      </c>
      <c r="P499">
        <v>90</v>
      </c>
      <c r="Q499" s="3">
        <v>45961</v>
      </c>
      <c r="R499">
        <v>271</v>
      </c>
      <c r="T499" t="s">
        <v>913</v>
      </c>
      <c r="U499">
        <v>0</v>
      </c>
      <c r="Y499" s="27">
        <f t="shared" si="25"/>
        <v>6.39</v>
      </c>
      <c r="Z499" t="s">
        <v>894</v>
      </c>
    </row>
    <row r="500" spans="1:28" hidden="1" x14ac:dyDescent="0.35">
      <c r="A500" t="s">
        <v>910</v>
      </c>
      <c r="B500" t="s">
        <v>910</v>
      </c>
      <c r="C500" t="s">
        <v>438</v>
      </c>
      <c r="D500" s="4">
        <v>256779415302</v>
      </c>
      <c r="E500" s="3">
        <v>45848</v>
      </c>
      <c r="F500" t="s">
        <v>11</v>
      </c>
      <c r="G500" t="s">
        <v>911</v>
      </c>
      <c r="H500" t="s">
        <v>911</v>
      </c>
      <c r="I500">
        <v>6.39</v>
      </c>
      <c r="J500" t="s">
        <v>15</v>
      </c>
      <c r="K500" s="3">
        <v>45878</v>
      </c>
      <c r="M500" t="s">
        <v>912</v>
      </c>
      <c r="N500" s="2">
        <v>45931</v>
      </c>
      <c r="O500">
        <v>61655169</v>
      </c>
      <c r="P500">
        <v>92</v>
      </c>
      <c r="Q500" s="3">
        <v>45961</v>
      </c>
      <c r="R500">
        <v>271</v>
      </c>
      <c r="T500" t="s">
        <v>913</v>
      </c>
      <c r="U500">
        <v>0</v>
      </c>
      <c r="Y500" s="27">
        <f t="shared" si="25"/>
        <v>6.39</v>
      </c>
      <c r="Z500" t="s">
        <v>894</v>
      </c>
    </row>
    <row r="501" spans="1:28" hidden="1" x14ac:dyDescent="0.35">
      <c r="A501" t="s">
        <v>910</v>
      </c>
      <c r="B501" t="s">
        <v>910</v>
      </c>
      <c r="C501" t="s">
        <v>438</v>
      </c>
      <c r="D501" s="4">
        <v>256779415289</v>
      </c>
      <c r="E501" s="3">
        <v>45848</v>
      </c>
      <c r="F501" t="s">
        <v>11</v>
      </c>
      <c r="G501" t="s">
        <v>911</v>
      </c>
      <c r="H501" t="s">
        <v>911</v>
      </c>
      <c r="I501">
        <v>53.27</v>
      </c>
      <c r="J501" t="s">
        <v>15</v>
      </c>
      <c r="K501" s="3">
        <v>45878</v>
      </c>
      <c r="M501" t="s">
        <v>912</v>
      </c>
      <c r="N501" s="2">
        <v>45931</v>
      </c>
      <c r="O501">
        <v>61655169</v>
      </c>
      <c r="P501">
        <v>94</v>
      </c>
      <c r="Q501" s="3">
        <v>45961</v>
      </c>
      <c r="R501">
        <v>271</v>
      </c>
      <c r="T501" t="s">
        <v>913</v>
      </c>
      <c r="U501">
        <v>0</v>
      </c>
      <c r="Y501" s="27">
        <f t="shared" si="25"/>
        <v>53.27</v>
      </c>
      <c r="Z501" t="s">
        <v>894</v>
      </c>
    </row>
    <row r="502" spans="1:28" hidden="1" x14ac:dyDescent="0.35">
      <c r="A502" t="s">
        <v>910</v>
      </c>
      <c r="B502" t="s">
        <v>910</v>
      </c>
      <c r="C502" t="s">
        <v>438</v>
      </c>
      <c r="D502" s="4">
        <v>256779415325</v>
      </c>
      <c r="E502" s="3">
        <v>45848</v>
      </c>
      <c r="F502" t="s">
        <v>11</v>
      </c>
      <c r="G502" t="s">
        <v>911</v>
      </c>
      <c r="H502" t="s">
        <v>911</v>
      </c>
      <c r="I502">
        <v>40.92</v>
      </c>
      <c r="J502" t="s">
        <v>15</v>
      </c>
      <c r="K502" s="3">
        <v>45878</v>
      </c>
      <c r="M502" t="s">
        <v>912</v>
      </c>
      <c r="N502" s="2">
        <v>45931</v>
      </c>
      <c r="O502">
        <v>61655169</v>
      </c>
      <c r="P502">
        <v>96</v>
      </c>
      <c r="Q502" s="3">
        <v>45961</v>
      </c>
      <c r="R502">
        <v>271</v>
      </c>
      <c r="T502" t="s">
        <v>913</v>
      </c>
      <c r="U502">
        <v>0</v>
      </c>
      <c r="Y502" s="27">
        <f t="shared" si="25"/>
        <v>40.92</v>
      </c>
      <c r="Z502" t="s">
        <v>894</v>
      </c>
    </row>
    <row r="503" spans="1:28" hidden="1" x14ac:dyDescent="0.35">
      <c r="A503" t="s">
        <v>910</v>
      </c>
      <c r="B503" t="s">
        <v>910</v>
      </c>
      <c r="C503" t="s">
        <v>438</v>
      </c>
      <c r="D503" s="4">
        <v>256779415331</v>
      </c>
      <c r="E503" s="3">
        <v>45848</v>
      </c>
      <c r="F503" t="s">
        <v>11</v>
      </c>
      <c r="G503" t="s">
        <v>911</v>
      </c>
      <c r="H503" t="s">
        <v>911</v>
      </c>
      <c r="I503">
        <v>4.8</v>
      </c>
      <c r="J503" t="s">
        <v>15</v>
      </c>
      <c r="K503" s="3">
        <v>45878</v>
      </c>
      <c r="M503" t="s">
        <v>912</v>
      </c>
      <c r="N503" s="2">
        <v>45931</v>
      </c>
      <c r="O503">
        <v>61655169</v>
      </c>
      <c r="P503">
        <v>98</v>
      </c>
      <c r="Q503" s="3">
        <v>45961</v>
      </c>
      <c r="R503">
        <v>271</v>
      </c>
      <c r="T503" t="s">
        <v>913</v>
      </c>
      <c r="U503">
        <v>0</v>
      </c>
      <c r="Y503" s="27">
        <f t="shared" si="25"/>
        <v>4.8</v>
      </c>
      <c r="Z503" t="s">
        <v>894</v>
      </c>
    </row>
    <row r="504" spans="1:28" hidden="1" x14ac:dyDescent="0.35">
      <c r="A504" t="s">
        <v>910</v>
      </c>
      <c r="B504" t="s">
        <v>910</v>
      </c>
      <c r="C504" t="s">
        <v>438</v>
      </c>
      <c r="D504" s="4">
        <v>256779415290</v>
      </c>
      <c r="E504" s="3">
        <v>45848</v>
      </c>
      <c r="F504" t="s">
        <v>11</v>
      </c>
      <c r="G504" t="s">
        <v>911</v>
      </c>
      <c r="H504" t="s">
        <v>911</v>
      </c>
      <c r="I504">
        <v>5.1100000000000003</v>
      </c>
      <c r="J504" t="s">
        <v>15</v>
      </c>
      <c r="K504" s="3">
        <v>45878</v>
      </c>
      <c r="M504" t="s">
        <v>912</v>
      </c>
      <c r="N504" s="2">
        <v>45931</v>
      </c>
      <c r="O504">
        <v>61655169</v>
      </c>
      <c r="P504">
        <v>100</v>
      </c>
      <c r="Q504" s="3">
        <v>45961</v>
      </c>
      <c r="R504">
        <v>271</v>
      </c>
      <c r="T504" t="s">
        <v>913</v>
      </c>
      <c r="U504">
        <v>0</v>
      </c>
      <c r="Y504" s="27">
        <f t="shared" si="25"/>
        <v>5.1100000000000003</v>
      </c>
      <c r="Z504" t="s">
        <v>894</v>
      </c>
    </row>
    <row r="505" spans="1:28" hidden="1" x14ac:dyDescent="0.35">
      <c r="A505" t="s">
        <v>910</v>
      </c>
      <c r="B505" t="s">
        <v>910</v>
      </c>
      <c r="C505" t="s">
        <v>438</v>
      </c>
      <c r="D505" s="4">
        <v>256779416255</v>
      </c>
      <c r="E505" s="3">
        <v>45877</v>
      </c>
      <c r="F505" t="s">
        <v>11</v>
      </c>
      <c r="G505" t="s">
        <v>911</v>
      </c>
      <c r="H505" t="s">
        <v>911</v>
      </c>
      <c r="I505">
        <v>-622.98</v>
      </c>
      <c r="J505" t="s">
        <v>15</v>
      </c>
      <c r="K505" s="3">
        <v>45907</v>
      </c>
      <c r="M505" t="s">
        <v>912</v>
      </c>
      <c r="N505" s="2">
        <v>45931</v>
      </c>
      <c r="O505">
        <v>61655169</v>
      </c>
      <c r="P505">
        <v>102</v>
      </c>
      <c r="Q505" s="3">
        <v>45961</v>
      </c>
      <c r="R505">
        <v>271</v>
      </c>
      <c r="T505" t="s">
        <v>913</v>
      </c>
      <c r="U505">
        <v>0</v>
      </c>
      <c r="Y505" s="27">
        <f t="shared" si="25"/>
        <v>-622.98</v>
      </c>
      <c r="Z505" t="s">
        <v>894</v>
      </c>
    </row>
    <row r="506" spans="1:28" hidden="1" x14ac:dyDescent="0.35">
      <c r="A506" t="s">
        <v>910</v>
      </c>
      <c r="B506" t="s">
        <v>910</v>
      </c>
      <c r="C506" t="s">
        <v>438</v>
      </c>
      <c r="D506" s="4">
        <v>256779416169</v>
      </c>
      <c r="E506" s="3">
        <v>45877</v>
      </c>
      <c r="F506" t="s">
        <v>11</v>
      </c>
      <c r="G506" t="s">
        <v>911</v>
      </c>
      <c r="H506" t="s">
        <v>911</v>
      </c>
      <c r="I506">
        <v>-408.43</v>
      </c>
      <c r="J506" t="s">
        <v>15</v>
      </c>
      <c r="K506" s="3">
        <v>45907</v>
      </c>
      <c r="M506" t="s">
        <v>912</v>
      </c>
      <c r="N506" s="2">
        <v>45931</v>
      </c>
      <c r="O506">
        <v>61655169</v>
      </c>
      <c r="P506">
        <v>104</v>
      </c>
      <c r="Q506" s="3">
        <v>45961</v>
      </c>
      <c r="R506">
        <v>271</v>
      </c>
      <c r="T506" t="s">
        <v>913</v>
      </c>
      <c r="U506">
        <v>0</v>
      </c>
      <c r="Y506" s="27">
        <f t="shared" si="25"/>
        <v>-408.43</v>
      </c>
      <c r="Z506" t="s">
        <v>894</v>
      </c>
    </row>
    <row r="507" spans="1:28" hidden="1" x14ac:dyDescent="0.35">
      <c r="A507" t="s">
        <v>910</v>
      </c>
      <c r="B507" t="s">
        <v>910</v>
      </c>
      <c r="C507" t="s">
        <v>438</v>
      </c>
      <c r="D507" s="4">
        <v>256779416442</v>
      </c>
      <c r="E507" s="3">
        <v>45877</v>
      </c>
      <c r="F507" t="s">
        <v>11</v>
      </c>
      <c r="G507" t="s">
        <v>911</v>
      </c>
      <c r="H507" t="s">
        <v>911</v>
      </c>
      <c r="I507" s="27">
        <v>-1673.46</v>
      </c>
      <c r="J507" t="s">
        <v>15</v>
      </c>
      <c r="K507" s="3">
        <v>45907</v>
      </c>
      <c r="M507" t="s">
        <v>912</v>
      </c>
      <c r="N507" s="2">
        <v>45931</v>
      </c>
      <c r="O507">
        <v>61655169</v>
      </c>
      <c r="P507">
        <v>106</v>
      </c>
      <c r="Q507" s="3">
        <v>45961</v>
      </c>
      <c r="R507">
        <v>271</v>
      </c>
      <c r="T507" t="s">
        <v>913</v>
      </c>
      <c r="U507">
        <v>0</v>
      </c>
      <c r="Y507" s="27">
        <f t="shared" si="25"/>
        <v>-1673.46</v>
      </c>
      <c r="Z507" t="s">
        <v>894</v>
      </c>
    </row>
    <row r="508" spans="1:28" hidden="1" x14ac:dyDescent="0.35">
      <c r="A508" t="s">
        <v>910</v>
      </c>
      <c r="B508" t="s">
        <v>910</v>
      </c>
      <c r="C508" t="s">
        <v>438</v>
      </c>
      <c r="D508" s="4">
        <v>256779416214</v>
      </c>
      <c r="E508" s="3">
        <v>45877</v>
      </c>
      <c r="F508" t="s">
        <v>11</v>
      </c>
      <c r="G508" t="s">
        <v>911</v>
      </c>
      <c r="H508" t="s">
        <v>911</v>
      </c>
      <c r="I508">
        <v>-336.91</v>
      </c>
      <c r="J508" t="s">
        <v>15</v>
      </c>
      <c r="K508" s="3">
        <v>45907</v>
      </c>
      <c r="M508" t="s">
        <v>912</v>
      </c>
      <c r="N508" s="2">
        <v>45931</v>
      </c>
      <c r="O508">
        <v>61655169</v>
      </c>
      <c r="P508">
        <v>108</v>
      </c>
      <c r="Q508" s="3">
        <v>45961</v>
      </c>
      <c r="R508">
        <v>271</v>
      </c>
      <c r="T508" t="s">
        <v>913</v>
      </c>
      <c r="U508">
        <v>0</v>
      </c>
      <c r="Y508" s="27">
        <f t="shared" si="25"/>
        <v>-336.91</v>
      </c>
      <c r="Z508" t="s">
        <v>894</v>
      </c>
    </row>
    <row r="509" spans="1:28" hidden="1" x14ac:dyDescent="0.35">
      <c r="A509" t="s">
        <v>910</v>
      </c>
      <c r="B509" t="s">
        <v>910</v>
      </c>
      <c r="C509" t="s">
        <v>438</v>
      </c>
      <c r="D509" s="4">
        <v>256779416454</v>
      </c>
      <c r="E509" s="3">
        <v>45877</v>
      </c>
      <c r="F509" t="s">
        <v>11</v>
      </c>
      <c r="G509" t="s">
        <v>911</v>
      </c>
      <c r="H509" t="s">
        <v>911</v>
      </c>
      <c r="I509">
        <v>-653.17999999999995</v>
      </c>
      <c r="J509" t="s">
        <v>15</v>
      </c>
      <c r="K509" s="3">
        <v>45907</v>
      </c>
      <c r="M509" t="s">
        <v>912</v>
      </c>
      <c r="N509" s="2">
        <v>45931</v>
      </c>
      <c r="O509">
        <v>61655169</v>
      </c>
      <c r="P509">
        <v>110</v>
      </c>
      <c r="Q509" s="3">
        <v>45961</v>
      </c>
      <c r="R509">
        <v>271</v>
      </c>
      <c r="T509" t="s">
        <v>913</v>
      </c>
      <c r="U509">
        <v>0</v>
      </c>
      <c r="Y509" s="27">
        <f t="shared" si="25"/>
        <v>-653.17999999999995</v>
      </c>
      <c r="Z509" t="s">
        <v>894</v>
      </c>
    </row>
    <row r="510" spans="1:28" hidden="1" x14ac:dyDescent="0.35">
      <c r="A510" t="s">
        <v>910</v>
      </c>
      <c r="B510" t="s">
        <v>910</v>
      </c>
      <c r="C510" t="s">
        <v>438</v>
      </c>
      <c r="D510" s="4">
        <v>256779416096</v>
      </c>
      <c r="E510" s="3">
        <v>45877</v>
      </c>
      <c r="F510" t="s">
        <v>11</v>
      </c>
      <c r="G510" t="s">
        <v>911</v>
      </c>
      <c r="H510" t="s">
        <v>911</v>
      </c>
      <c r="I510" s="27">
        <v>-11738.6</v>
      </c>
      <c r="J510" t="s">
        <v>15</v>
      </c>
      <c r="K510" s="3">
        <v>45907</v>
      </c>
      <c r="M510" t="s">
        <v>912</v>
      </c>
      <c r="N510" s="2">
        <v>45931</v>
      </c>
      <c r="O510">
        <v>61655169</v>
      </c>
      <c r="P510">
        <v>112</v>
      </c>
      <c r="Q510" s="3">
        <v>45961</v>
      </c>
      <c r="R510">
        <v>271</v>
      </c>
      <c r="T510" t="s">
        <v>913</v>
      </c>
      <c r="U510">
        <v>0</v>
      </c>
      <c r="Y510" s="27">
        <f t="shared" si="25"/>
        <v>-11738.6</v>
      </c>
      <c r="Z510" t="s">
        <v>894</v>
      </c>
    </row>
    <row r="511" spans="1:28" hidden="1" x14ac:dyDescent="0.35">
      <c r="A511" t="s">
        <v>910</v>
      </c>
      <c r="B511" t="s">
        <v>910</v>
      </c>
      <c r="C511" t="s">
        <v>438</v>
      </c>
      <c r="D511" s="4">
        <v>256779417349</v>
      </c>
      <c r="E511" s="3">
        <v>45904</v>
      </c>
      <c r="F511" t="s">
        <v>11</v>
      </c>
      <c r="G511">
        <v>-91.41</v>
      </c>
      <c r="H511">
        <v>91.41</v>
      </c>
      <c r="I511" s="27">
        <v>-8012.26</v>
      </c>
      <c r="K511" s="3">
        <v>45934</v>
      </c>
      <c r="L511" s="3">
        <v>46053</v>
      </c>
      <c r="M511" t="s">
        <v>912</v>
      </c>
      <c r="N511" s="2">
        <v>45962</v>
      </c>
      <c r="O511">
        <v>62194540</v>
      </c>
      <c r="P511">
        <v>1</v>
      </c>
      <c r="Q511" s="3">
        <v>45972</v>
      </c>
      <c r="R511">
        <v>210</v>
      </c>
      <c r="S511" s="85">
        <v>1.55E+16</v>
      </c>
      <c r="T511" t="s">
        <v>913</v>
      </c>
      <c r="U511">
        <v>8012.26</v>
      </c>
      <c r="W511" s="79">
        <f t="shared" ref="W511:W521" si="26">X511/I511</f>
        <v>-2.0019320391500027E-2</v>
      </c>
      <c r="X511">
        <f>VLOOKUP(D511,'[3]Customer TDS'!D:I,6,0)</f>
        <v>160.4</v>
      </c>
      <c r="Y511" s="27">
        <f t="shared" si="25"/>
        <v>-7851.8600000000006</v>
      </c>
      <c r="Z511" t="s">
        <v>915</v>
      </c>
      <c r="AA511">
        <f>VLOOKUP(D511,'Ascendus DATA'!$F:$J,5,0)</f>
        <v>8000</v>
      </c>
      <c r="AB511" s="27">
        <f t="shared" ref="AB511:AB521" si="27">I511+AA511</f>
        <v>-12.260000000000218</v>
      </c>
    </row>
    <row r="512" spans="1:28" hidden="1" x14ac:dyDescent="0.35">
      <c r="A512" t="s">
        <v>910</v>
      </c>
      <c r="B512" t="s">
        <v>910</v>
      </c>
      <c r="C512" t="s">
        <v>438</v>
      </c>
      <c r="D512" s="4">
        <v>256779417158</v>
      </c>
      <c r="E512" s="3">
        <v>45904</v>
      </c>
      <c r="F512" t="s">
        <v>11</v>
      </c>
      <c r="G512">
        <v>-110</v>
      </c>
      <c r="H512">
        <v>110</v>
      </c>
      <c r="I512" s="27">
        <v>-9641.7099999999991</v>
      </c>
      <c r="K512" s="3">
        <v>45934</v>
      </c>
      <c r="L512" s="3">
        <v>45991</v>
      </c>
      <c r="M512" t="s">
        <v>912</v>
      </c>
      <c r="N512" s="2">
        <v>45962</v>
      </c>
      <c r="O512">
        <v>62194546</v>
      </c>
      <c r="P512">
        <v>1</v>
      </c>
      <c r="Q512" s="3">
        <v>45972</v>
      </c>
      <c r="R512">
        <v>210</v>
      </c>
      <c r="S512" s="85">
        <v>1.55E+16</v>
      </c>
      <c r="T512" t="s">
        <v>913</v>
      </c>
      <c r="U512">
        <v>9641.7099999999991</v>
      </c>
      <c r="W512" s="79">
        <f t="shared" si="26"/>
        <v>-1.9999564392623303E-2</v>
      </c>
      <c r="X512">
        <f>VLOOKUP(D512,'[3]Customer TDS'!D:I,6,0)</f>
        <v>192.83</v>
      </c>
      <c r="Y512" s="27">
        <f t="shared" si="25"/>
        <v>-9448.8799999999992</v>
      </c>
      <c r="Z512" t="s">
        <v>915</v>
      </c>
      <c r="AA512">
        <f>VLOOKUP(D512,'Ascendus DATA'!$F:$J,5,0)</f>
        <v>9626.58</v>
      </c>
      <c r="AB512" s="27">
        <f t="shared" si="27"/>
        <v>-15.1299999999992</v>
      </c>
    </row>
    <row r="513" spans="1:28" hidden="1" x14ac:dyDescent="0.35">
      <c r="A513" t="s">
        <v>910</v>
      </c>
      <c r="B513" t="s">
        <v>910</v>
      </c>
      <c r="C513" t="s">
        <v>438</v>
      </c>
      <c r="D513" s="4">
        <v>256779417350</v>
      </c>
      <c r="E513" s="3">
        <v>45904</v>
      </c>
      <c r="F513" t="s">
        <v>11</v>
      </c>
      <c r="G513">
        <v>-50</v>
      </c>
      <c r="H513">
        <v>1</v>
      </c>
      <c r="I513" s="27">
        <v>-4382.6000000000004</v>
      </c>
      <c r="K513" s="3">
        <v>45934</v>
      </c>
      <c r="L513" s="3">
        <v>46053</v>
      </c>
      <c r="M513" t="s">
        <v>912</v>
      </c>
      <c r="N513" s="2">
        <v>45962</v>
      </c>
      <c r="O513">
        <v>62194548</v>
      </c>
      <c r="P513">
        <v>1</v>
      </c>
      <c r="Q513" s="3">
        <v>45972</v>
      </c>
      <c r="R513">
        <v>210</v>
      </c>
      <c r="S513" s="85">
        <v>1.55E+16</v>
      </c>
      <c r="T513" t="s">
        <v>913</v>
      </c>
      <c r="U513">
        <v>-107.31</v>
      </c>
      <c r="W513" s="79">
        <f t="shared" si="26"/>
        <v>-1.9999543649888193E-2</v>
      </c>
      <c r="X513">
        <f>VLOOKUP(D513,'[3]Customer TDS'!D:I,6,0)</f>
        <v>87.65</v>
      </c>
      <c r="Y513" s="27">
        <f t="shared" si="25"/>
        <v>-4294.9500000000007</v>
      </c>
      <c r="Z513" t="s">
        <v>915</v>
      </c>
      <c r="AA513">
        <f>VLOOKUP(D513,'Ascendus DATA'!$F:$J,5,0)</f>
        <v>4400</v>
      </c>
      <c r="AB513" s="27">
        <f t="shared" si="27"/>
        <v>17.399999999999636</v>
      </c>
    </row>
    <row r="514" spans="1:28" hidden="1" x14ac:dyDescent="0.35">
      <c r="A514" t="s">
        <v>910</v>
      </c>
      <c r="B514" t="s">
        <v>910</v>
      </c>
      <c r="C514" t="s">
        <v>438</v>
      </c>
      <c r="D514" s="4">
        <v>256779417257</v>
      </c>
      <c r="E514" s="3">
        <v>45904</v>
      </c>
      <c r="F514" t="s">
        <v>11</v>
      </c>
      <c r="G514">
        <v>-22.77</v>
      </c>
      <c r="H514">
        <v>22.77</v>
      </c>
      <c r="I514" s="27">
        <v>-1995.83</v>
      </c>
      <c r="K514" s="3">
        <v>45934</v>
      </c>
      <c r="L514" s="3">
        <v>45991</v>
      </c>
      <c r="M514" t="s">
        <v>912</v>
      </c>
      <c r="N514" s="2">
        <v>45962</v>
      </c>
      <c r="O514">
        <v>62194552</v>
      </c>
      <c r="P514">
        <v>1</v>
      </c>
      <c r="Q514" s="3">
        <v>45972</v>
      </c>
      <c r="R514">
        <v>210</v>
      </c>
      <c r="S514" s="85">
        <v>1.55E+16</v>
      </c>
      <c r="T514" t="s">
        <v>913</v>
      </c>
      <c r="U514">
        <v>1995.83</v>
      </c>
      <c r="W514" s="79">
        <f t="shared" si="26"/>
        <v>-2.0202121423167303E-2</v>
      </c>
      <c r="X514">
        <f>VLOOKUP(D514,'[3]Customer TDS'!D:I,6,0)</f>
        <v>40.32</v>
      </c>
      <c r="Y514" s="27">
        <f t="shared" si="25"/>
        <v>-1955.51</v>
      </c>
      <c r="Z514" t="s">
        <v>915</v>
      </c>
      <c r="AA514">
        <f>VLOOKUP(D514,'Ascendus DATA'!$F:$J,5,0)</f>
        <v>1992.7</v>
      </c>
      <c r="AB514" s="27">
        <f t="shared" si="27"/>
        <v>-3.1299999999998818</v>
      </c>
    </row>
    <row r="515" spans="1:28" hidden="1" x14ac:dyDescent="0.35">
      <c r="A515" t="s">
        <v>910</v>
      </c>
      <c r="B515" t="s">
        <v>910</v>
      </c>
      <c r="C515" t="s">
        <v>438</v>
      </c>
      <c r="D515" s="4">
        <v>256779417744</v>
      </c>
      <c r="E515" s="3">
        <v>45922</v>
      </c>
      <c r="F515" t="s">
        <v>11</v>
      </c>
      <c r="G515">
        <v>-870</v>
      </c>
      <c r="H515">
        <v>870</v>
      </c>
      <c r="I515" s="27">
        <v>-76257.17</v>
      </c>
      <c r="K515" s="3">
        <v>45952</v>
      </c>
      <c r="L515" s="3">
        <v>45991</v>
      </c>
      <c r="M515" t="s">
        <v>912</v>
      </c>
      <c r="N515" s="2">
        <v>45962</v>
      </c>
      <c r="O515">
        <v>62194555</v>
      </c>
      <c r="P515">
        <v>1</v>
      </c>
      <c r="Q515" s="3">
        <v>45972</v>
      </c>
      <c r="R515">
        <v>210</v>
      </c>
      <c r="S515" s="85">
        <v>1.55E+16</v>
      </c>
      <c r="T515" t="s">
        <v>913</v>
      </c>
      <c r="U515">
        <v>76257.17</v>
      </c>
      <c r="W515" s="79">
        <f t="shared" si="26"/>
        <v>-1.999995541402861E-2</v>
      </c>
      <c r="X515">
        <f>VLOOKUP(D515,'[3]Customer TDS'!D:I,6,0)</f>
        <v>1525.14</v>
      </c>
      <c r="Y515" s="27">
        <f t="shared" si="25"/>
        <v>-74732.03</v>
      </c>
      <c r="Z515" t="s">
        <v>915</v>
      </c>
      <c r="AA515">
        <f>VLOOKUP(D515,'Ascendus DATA'!$F:$J,5,0)</f>
        <v>76137.47</v>
      </c>
      <c r="AB515" s="27">
        <f t="shared" si="27"/>
        <v>-119.69999999999709</v>
      </c>
    </row>
    <row r="516" spans="1:28" hidden="1" x14ac:dyDescent="0.35">
      <c r="A516" t="s">
        <v>910</v>
      </c>
      <c r="B516" t="s">
        <v>910</v>
      </c>
      <c r="C516" t="s">
        <v>438</v>
      </c>
      <c r="D516" s="4">
        <v>256779417348</v>
      </c>
      <c r="E516" s="3">
        <v>45904</v>
      </c>
      <c r="F516" t="s">
        <v>11</v>
      </c>
      <c r="G516" s="27">
        <v>-2285.34</v>
      </c>
      <c r="H516" s="27">
        <v>2285.34</v>
      </c>
      <c r="I516" s="27">
        <v>-200314.44</v>
      </c>
      <c r="K516" s="3">
        <v>45934</v>
      </c>
      <c r="L516" s="3">
        <v>46053</v>
      </c>
      <c r="M516" t="s">
        <v>912</v>
      </c>
      <c r="N516" s="2">
        <v>45962</v>
      </c>
      <c r="O516">
        <v>62194563</v>
      </c>
      <c r="P516">
        <v>1</v>
      </c>
      <c r="Q516" s="3">
        <v>45972</v>
      </c>
      <c r="R516">
        <v>210</v>
      </c>
      <c r="S516" s="85">
        <v>1.55E+16</v>
      </c>
      <c r="T516" t="s">
        <v>913</v>
      </c>
      <c r="U516">
        <v>200314.44</v>
      </c>
      <c r="W516" s="79">
        <f t="shared" si="26"/>
        <v>-2.0001403792956715E-2</v>
      </c>
      <c r="X516">
        <f>VLOOKUP(D516,'[3]Customer TDS'!D:I,6,0)</f>
        <v>4006.57</v>
      </c>
      <c r="Y516" s="27">
        <f t="shared" ref="Y516:Y579" si="28">I516+X516</f>
        <v>-196307.87</v>
      </c>
      <c r="Z516" t="s">
        <v>915</v>
      </c>
      <c r="AA516">
        <f>VLOOKUP(D516,'Ascendus DATA'!$F:$J,5,0)</f>
        <v>200000</v>
      </c>
      <c r="AB516" s="27">
        <f t="shared" si="27"/>
        <v>-314.44000000000233</v>
      </c>
    </row>
    <row r="517" spans="1:28" hidden="1" x14ac:dyDescent="0.35">
      <c r="A517" t="s">
        <v>910</v>
      </c>
      <c r="B517" t="s">
        <v>910</v>
      </c>
      <c r="C517" t="s">
        <v>438</v>
      </c>
      <c r="D517" s="4">
        <v>256779417557</v>
      </c>
      <c r="E517" s="3">
        <v>45918</v>
      </c>
      <c r="F517" t="s">
        <v>11</v>
      </c>
      <c r="G517">
        <v>-725.96</v>
      </c>
      <c r="H517">
        <v>725.96</v>
      </c>
      <c r="I517" s="27">
        <v>-63631.79</v>
      </c>
      <c r="K517" s="3">
        <v>45948</v>
      </c>
      <c r="L517" s="3">
        <v>45991</v>
      </c>
      <c r="M517" t="s">
        <v>912</v>
      </c>
      <c r="N517" s="2">
        <v>45962</v>
      </c>
      <c r="O517">
        <v>62194566</v>
      </c>
      <c r="P517">
        <v>1</v>
      </c>
      <c r="Q517" s="3">
        <v>45972</v>
      </c>
      <c r="R517">
        <v>210</v>
      </c>
      <c r="S517" s="85">
        <v>1.55E+16</v>
      </c>
      <c r="T517" t="s">
        <v>913</v>
      </c>
      <c r="U517">
        <v>63631.79</v>
      </c>
      <c r="W517" s="79">
        <f t="shared" si="26"/>
        <v>-2.0001166083808111E-2</v>
      </c>
      <c r="X517">
        <f>VLOOKUP(D517,'[3]Customer TDS'!D:I,6,0)</f>
        <v>1272.71</v>
      </c>
      <c r="Y517" s="27">
        <f t="shared" si="28"/>
        <v>-62359.08</v>
      </c>
      <c r="Z517" t="s">
        <v>915</v>
      </c>
      <c r="AA517">
        <f>VLOOKUP(D517,'Ascendus DATA'!$F:$J,5,0)</f>
        <v>63531.9</v>
      </c>
      <c r="AB517" s="27">
        <f t="shared" si="27"/>
        <v>-99.889999999999418</v>
      </c>
    </row>
    <row r="518" spans="1:28" hidden="1" x14ac:dyDescent="0.35">
      <c r="A518" t="s">
        <v>910</v>
      </c>
      <c r="B518" t="s">
        <v>910</v>
      </c>
      <c r="C518" t="s">
        <v>438</v>
      </c>
      <c r="D518" s="4">
        <v>256779417517</v>
      </c>
      <c r="E518" s="3">
        <v>45918</v>
      </c>
      <c r="F518" t="s">
        <v>11</v>
      </c>
      <c r="G518">
        <v>-4.68</v>
      </c>
      <c r="H518">
        <v>4.68</v>
      </c>
      <c r="I518">
        <v>-410.21</v>
      </c>
      <c r="K518" s="3">
        <v>45948</v>
      </c>
      <c r="L518" s="3">
        <v>45991</v>
      </c>
      <c r="M518" t="s">
        <v>912</v>
      </c>
      <c r="N518" s="2">
        <v>45962</v>
      </c>
      <c r="O518">
        <v>62194569</v>
      </c>
      <c r="P518">
        <v>1</v>
      </c>
      <c r="Q518" s="3">
        <v>45972</v>
      </c>
      <c r="R518">
        <v>210</v>
      </c>
      <c r="S518" s="85">
        <v>1.55E+16</v>
      </c>
      <c r="T518" t="s">
        <v>913</v>
      </c>
      <c r="U518">
        <v>410.21</v>
      </c>
      <c r="W518" s="79">
        <f t="shared" si="26"/>
        <v>-1.9234050852002634E-2</v>
      </c>
      <c r="X518">
        <f>VLOOKUP(D518,'[3]Customer TDS'!D:I,6,0)</f>
        <v>7.89</v>
      </c>
      <c r="Y518" s="27">
        <f t="shared" si="28"/>
        <v>-402.32</v>
      </c>
      <c r="Z518" t="s">
        <v>915</v>
      </c>
      <c r="AA518">
        <f>VLOOKUP(D518,'Ascendus DATA'!$F:$J,5,0)</f>
        <v>409.57</v>
      </c>
      <c r="AB518" s="27">
        <f t="shared" si="27"/>
        <v>-0.63999999999998636</v>
      </c>
    </row>
    <row r="519" spans="1:28" hidden="1" x14ac:dyDescent="0.35">
      <c r="A519" t="s">
        <v>910</v>
      </c>
      <c r="B519" t="s">
        <v>910</v>
      </c>
      <c r="C519" t="s">
        <v>438</v>
      </c>
      <c r="D519" s="4">
        <v>256779414859</v>
      </c>
      <c r="E519" s="3">
        <v>45842</v>
      </c>
      <c r="F519" t="s">
        <v>11</v>
      </c>
      <c r="G519">
        <v>-318.47000000000003</v>
      </c>
      <c r="H519">
        <v>318.47000000000003</v>
      </c>
      <c r="I519" s="27">
        <v>-27385.08</v>
      </c>
      <c r="K519" s="3">
        <v>45872</v>
      </c>
      <c r="L519" s="3">
        <v>45991</v>
      </c>
      <c r="M519" t="s">
        <v>912</v>
      </c>
      <c r="N519" s="2">
        <v>45962</v>
      </c>
      <c r="O519">
        <v>62194572</v>
      </c>
      <c r="P519">
        <v>1</v>
      </c>
      <c r="Q519" s="3">
        <v>45972</v>
      </c>
      <c r="R519">
        <v>210</v>
      </c>
      <c r="S519" s="85">
        <v>1.55E+16</v>
      </c>
      <c r="T519" t="s">
        <v>913</v>
      </c>
      <c r="U519">
        <v>27385.08</v>
      </c>
      <c r="W519" s="79">
        <f t="shared" si="26"/>
        <v>-2.0001767385744353E-2</v>
      </c>
      <c r="X519">
        <f>VLOOKUP(D519,'[3]Customer TDS'!D:I,6,0)</f>
        <v>547.75</v>
      </c>
      <c r="Y519" s="27">
        <f t="shared" si="28"/>
        <v>-26837.33</v>
      </c>
      <c r="Z519" t="s">
        <v>915</v>
      </c>
      <c r="AA519">
        <f>VLOOKUP(D519,'Ascendus DATA'!$F:$J,5,0)</f>
        <v>27388.63</v>
      </c>
      <c r="AB519" s="27">
        <f t="shared" si="27"/>
        <v>3.5499999999992724</v>
      </c>
    </row>
    <row r="520" spans="1:28" hidden="1" x14ac:dyDescent="0.35">
      <c r="A520" t="s">
        <v>910</v>
      </c>
      <c r="B520" t="s">
        <v>910</v>
      </c>
      <c r="C520" t="s">
        <v>438</v>
      </c>
      <c r="D520" s="4">
        <v>256779415319</v>
      </c>
      <c r="E520" s="3">
        <v>45848</v>
      </c>
      <c r="F520" t="s">
        <v>11</v>
      </c>
      <c r="G520">
        <v>-140.16999999999999</v>
      </c>
      <c r="H520">
        <v>140.16999999999999</v>
      </c>
      <c r="I520" s="27">
        <v>-12400.84</v>
      </c>
      <c r="K520" s="3">
        <v>45878</v>
      </c>
      <c r="L520" s="3">
        <v>46022</v>
      </c>
      <c r="M520" t="s">
        <v>912</v>
      </c>
      <c r="N520" s="2">
        <v>45962</v>
      </c>
      <c r="O520">
        <v>62446851</v>
      </c>
      <c r="P520">
        <v>1</v>
      </c>
      <c r="Q520" s="3">
        <v>45975</v>
      </c>
      <c r="R520">
        <v>210</v>
      </c>
      <c r="S520" s="85">
        <v>1.55E+16</v>
      </c>
      <c r="T520" t="s">
        <v>913</v>
      </c>
      <c r="U520">
        <v>12400.84</v>
      </c>
      <c r="W520" s="79">
        <f t="shared" si="26"/>
        <v>-1.9976066137455204E-2</v>
      </c>
      <c r="X520">
        <f>VLOOKUP(D520,'[3]Customer TDS'!D:I,6,0)</f>
        <v>247.72</v>
      </c>
      <c r="Y520" s="27">
        <f t="shared" si="28"/>
        <v>-12153.12</v>
      </c>
      <c r="Z520" t="s">
        <v>915</v>
      </c>
      <c r="AA520">
        <f>VLOOKUP(D520,'Ascendus DATA'!$F:$J,5,0)</f>
        <v>12054.71</v>
      </c>
      <c r="AB520" s="27">
        <f t="shared" si="27"/>
        <v>-346.13000000000102</v>
      </c>
    </row>
    <row r="521" spans="1:28" hidden="1" x14ac:dyDescent="0.35">
      <c r="A521" t="s">
        <v>910</v>
      </c>
      <c r="B521" t="s">
        <v>910</v>
      </c>
      <c r="C521" t="s">
        <v>438</v>
      </c>
      <c r="D521" s="4">
        <v>256779416137</v>
      </c>
      <c r="E521" s="3">
        <v>45877</v>
      </c>
      <c r="F521" t="s">
        <v>11</v>
      </c>
      <c r="G521">
        <v>-55</v>
      </c>
      <c r="H521">
        <v>1.1000000000000001</v>
      </c>
      <c r="I521" s="27">
        <v>-4764.7</v>
      </c>
      <c r="J521" t="s">
        <v>363</v>
      </c>
      <c r="K521" s="3">
        <v>45907</v>
      </c>
      <c r="L521" s="3">
        <v>46053</v>
      </c>
      <c r="M521" t="s">
        <v>912</v>
      </c>
      <c r="N521" s="2">
        <v>45962</v>
      </c>
      <c r="O521">
        <v>63135206</v>
      </c>
      <c r="P521">
        <v>1</v>
      </c>
      <c r="Q521" s="3">
        <v>45985</v>
      </c>
      <c r="R521">
        <v>210</v>
      </c>
      <c r="S521" s="85">
        <v>1.55E+16</v>
      </c>
      <c r="T521" t="s">
        <v>913</v>
      </c>
      <c r="U521">
        <v>-174.2</v>
      </c>
      <c r="W521" s="79">
        <f t="shared" si="26"/>
        <v>-1.9999160492790734E-2</v>
      </c>
      <c r="X521">
        <f>VLOOKUP(D521,'[3]Customer TDS'!D:I,6,0)</f>
        <v>95.29</v>
      </c>
      <c r="Y521" s="27">
        <f t="shared" si="28"/>
        <v>-4669.41</v>
      </c>
      <c r="Z521" t="s">
        <v>915</v>
      </c>
      <c r="AA521">
        <f>VLOOKUP(D521,'Ascendus DATA'!$F:$J,5,0)</f>
        <v>4755.75</v>
      </c>
      <c r="AB521" s="27">
        <f t="shared" si="27"/>
        <v>-8.9499999999998181</v>
      </c>
    </row>
    <row r="522" spans="1:28" x14ac:dyDescent="0.35">
      <c r="A522" t="s">
        <v>910</v>
      </c>
      <c r="B522" t="s">
        <v>910</v>
      </c>
      <c r="C522" t="s">
        <v>453</v>
      </c>
      <c r="D522" s="4">
        <v>2717597</v>
      </c>
      <c r="E522" s="3">
        <v>45982</v>
      </c>
      <c r="F522" t="s">
        <v>56</v>
      </c>
      <c r="G522" t="s">
        <v>911</v>
      </c>
      <c r="H522" t="s">
        <v>911</v>
      </c>
      <c r="I522" s="27">
        <v>1899719.56</v>
      </c>
      <c r="J522" t="s">
        <v>460</v>
      </c>
      <c r="K522" s="3">
        <v>45982</v>
      </c>
      <c r="L522" s="3">
        <v>46053</v>
      </c>
      <c r="M522" t="s">
        <v>912</v>
      </c>
      <c r="N522" s="2">
        <v>45962</v>
      </c>
      <c r="O522">
        <v>63769663</v>
      </c>
      <c r="P522">
        <v>1</v>
      </c>
      <c r="Q522" s="3">
        <v>45982</v>
      </c>
      <c r="R522">
        <v>400</v>
      </c>
      <c r="S522" t="s">
        <v>918</v>
      </c>
      <c r="T522" t="s">
        <v>913</v>
      </c>
      <c r="U522">
        <v>-1899719.56</v>
      </c>
      <c r="Y522" s="27">
        <f t="shared" si="28"/>
        <v>1899719.56</v>
      </c>
    </row>
    <row r="523" spans="1:28" hidden="1" x14ac:dyDescent="0.35">
      <c r="A523" t="s">
        <v>910</v>
      </c>
      <c r="B523" t="s">
        <v>910</v>
      </c>
      <c r="C523" t="s">
        <v>438</v>
      </c>
      <c r="D523" s="4">
        <v>246779411730</v>
      </c>
      <c r="E523" s="3">
        <v>45733</v>
      </c>
      <c r="F523" t="s">
        <v>11</v>
      </c>
      <c r="G523">
        <v>-11.42</v>
      </c>
      <c r="H523">
        <v>11.42</v>
      </c>
      <c r="I523">
        <v>-994.02</v>
      </c>
      <c r="K523" s="3">
        <v>45763</v>
      </c>
      <c r="L523" s="3">
        <v>46022</v>
      </c>
      <c r="M523" t="s">
        <v>912</v>
      </c>
      <c r="N523" s="2">
        <v>45962</v>
      </c>
      <c r="O523">
        <v>63776209</v>
      </c>
      <c r="P523">
        <v>1</v>
      </c>
      <c r="Q523" s="3">
        <v>45991</v>
      </c>
      <c r="R523">
        <v>210</v>
      </c>
      <c r="S523" s="85">
        <v>1.55E+16</v>
      </c>
      <c r="T523" t="s">
        <v>913</v>
      </c>
      <c r="U523">
        <v>994.02</v>
      </c>
      <c r="W523" s="79">
        <f t="shared" ref="W523:W534" si="29">X523/I523</f>
        <v>-2.0140439830184504E-2</v>
      </c>
      <c r="X523">
        <f>VLOOKUP(D523,'[3]Customer TDS'!D:I,6,0)</f>
        <v>20.02</v>
      </c>
      <c r="Y523" s="27">
        <f t="shared" si="28"/>
        <v>-974</v>
      </c>
      <c r="Z523" t="s">
        <v>915</v>
      </c>
      <c r="AA523">
        <f>VLOOKUP(D523,'Ascendus DATA'!$F:$J,5,0)</f>
        <v>990.01</v>
      </c>
      <c r="AB523" s="27">
        <f t="shared" ref="AB523:AB532" si="30">I523+AA523</f>
        <v>-4.0099999999999909</v>
      </c>
    </row>
    <row r="524" spans="1:28" hidden="1" x14ac:dyDescent="0.35">
      <c r="A524" t="s">
        <v>910</v>
      </c>
      <c r="B524" t="s">
        <v>910</v>
      </c>
      <c r="C524" t="s">
        <v>438</v>
      </c>
      <c r="D524" s="4">
        <v>246779411789</v>
      </c>
      <c r="E524" s="3">
        <v>45733</v>
      </c>
      <c r="F524" t="s">
        <v>11</v>
      </c>
      <c r="G524">
        <v>-428.11</v>
      </c>
      <c r="H524">
        <v>428.11</v>
      </c>
      <c r="I524" s="27">
        <v>-37263.730000000003</v>
      </c>
      <c r="K524" s="3">
        <v>45763</v>
      </c>
      <c r="L524" s="3">
        <v>46022</v>
      </c>
      <c r="M524" t="s">
        <v>912</v>
      </c>
      <c r="N524" s="2">
        <v>45962</v>
      </c>
      <c r="O524">
        <v>63776214</v>
      </c>
      <c r="P524">
        <v>1</v>
      </c>
      <c r="Q524" s="3">
        <v>45991</v>
      </c>
      <c r="R524">
        <v>210</v>
      </c>
      <c r="S524" s="85">
        <v>1.55E+16</v>
      </c>
      <c r="T524" t="s">
        <v>913</v>
      </c>
      <c r="U524">
        <v>37263.730000000003</v>
      </c>
      <c r="W524" s="79">
        <f t="shared" si="29"/>
        <v>-1.9994777763793371E-2</v>
      </c>
      <c r="X524">
        <f>VLOOKUP(D524,'[3]Customer TDS'!D:I,6,0)</f>
        <v>745.08</v>
      </c>
      <c r="Y524" s="27">
        <f t="shared" si="28"/>
        <v>-36518.65</v>
      </c>
      <c r="Z524" t="s">
        <v>915</v>
      </c>
      <c r="AA524">
        <f>VLOOKUP(D524,'Ascendus DATA'!$F:$J,5,0)</f>
        <v>37113.4</v>
      </c>
      <c r="AB524" s="27">
        <f t="shared" si="30"/>
        <v>-150.33000000000175</v>
      </c>
    </row>
    <row r="525" spans="1:28" hidden="1" x14ac:dyDescent="0.35">
      <c r="A525" t="s">
        <v>910</v>
      </c>
      <c r="B525" t="s">
        <v>910</v>
      </c>
      <c r="C525" t="s">
        <v>438</v>
      </c>
      <c r="D525" s="4">
        <v>256779413240</v>
      </c>
      <c r="E525" s="3">
        <v>45787</v>
      </c>
      <c r="F525" t="s">
        <v>11</v>
      </c>
      <c r="G525">
        <v>-424.03</v>
      </c>
      <c r="H525">
        <v>424.03</v>
      </c>
      <c r="I525" s="27">
        <v>-36201.339999999997</v>
      </c>
      <c r="K525" s="3">
        <v>45817</v>
      </c>
      <c r="L525" s="3">
        <v>46022</v>
      </c>
      <c r="M525" t="s">
        <v>912</v>
      </c>
      <c r="N525" s="2">
        <v>45962</v>
      </c>
      <c r="O525">
        <v>63776215</v>
      </c>
      <c r="P525">
        <v>1</v>
      </c>
      <c r="Q525" s="3">
        <v>45991</v>
      </c>
      <c r="R525">
        <v>210</v>
      </c>
      <c r="S525" s="85">
        <v>1.55E+16</v>
      </c>
      <c r="T525" t="s">
        <v>913</v>
      </c>
      <c r="U525">
        <v>36201.339999999997</v>
      </c>
      <c r="W525" s="79">
        <f t="shared" si="29"/>
        <v>-1.9998707230174356E-2</v>
      </c>
      <c r="X525">
        <f>VLOOKUP(D525,'[3]Customer TDS'!D:I,6,0)</f>
        <v>723.98</v>
      </c>
      <c r="Y525" s="27">
        <f t="shared" si="28"/>
        <v>-35477.359999999993</v>
      </c>
      <c r="Z525" t="s">
        <v>915</v>
      </c>
      <c r="AA525">
        <f>VLOOKUP(D525,'Ascendus DATA'!$F:$J,5,0)</f>
        <v>36459.67</v>
      </c>
      <c r="AB525" s="27">
        <f t="shared" si="30"/>
        <v>258.33000000000175</v>
      </c>
    </row>
    <row r="526" spans="1:28" hidden="1" x14ac:dyDescent="0.35">
      <c r="A526" t="s">
        <v>910</v>
      </c>
      <c r="B526" t="s">
        <v>910</v>
      </c>
      <c r="C526" t="s">
        <v>438</v>
      </c>
      <c r="D526" s="4">
        <v>256779412776</v>
      </c>
      <c r="E526" s="3">
        <v>45771</v>
      </c>
      <c r="F526" t="s">
        <v>11</v>
      </c>
      <c r="G526">
        <v>-632.46</v>
      </c>
      <c r="H526">
        <v>632.46</v>
      </c>
      <c r="I526" s="27">
        <v>-54218.879999999997</v>
      </c>
      <c r="K526" s="3">
        <v>45801</v>
      </c>
      <c r="L526" s="3">
        <v>46022</v>
      </c>
      <c r="M526" t="s">
        <v>912</v>
      </c>
      <c r="N526" s="2">
        <v>45962</v>
      </c>
      <c r="O526">
        <v>63776217</v>
      </c>
      <c r="P526">
        <v>1</v>
      </c>
      <c r="Q526" s="3">
        <v>45991</v>
      </c>
      <c r="R526">
        <v>210</v>
      </c>
      <c r="S526" s="85">
        <v>1.55E+16</v>
      </c>
      <c r="T526" t="s">
        <v>913</v>
      </c>
      <c r="U526">
        <v>54218.879999999997</v>
      </c>
      <c r="W526" s="79">
        <f t="shared" si="29"/>
        <v>-2.0001335328210395E-2</v>
      </c>
      <c r="X526">
        <f>VLOOKUP(D526,'[3]Customer TDS'!D:I,6,0)</f>
        <v>1084.45</v>
      </c>
      <c r="Y526" s="27">
        <f t="shared" si="28"/>
        <v>-53134.43</v>
      </c>
      <c r="Z526" t="s">
        <v>915</v>
      </c>
      <c r="AA526">
        <f>VLOOKUP(D526,'Ascendus DATA'!$F:$J,5,0)</f>
        <v>54974.57</v>
      </c>
      <c r="AB526" s="27">
        <f t="shared" si="30"/>
        <v>755.69000000000233</v>
      </c>
    </row>
    <row r="527" spans="1:28" hidden="1" x14ac:dyDescent="0.35">
      <c r="A527" t="s">
        <v>910</v>
      </c>
      <c r="B527" t="s">
        <v>910</v>
      </c>
      <c r="C527" t="s">
        <v>438</v>
      </c>
      <c r="D527" s="4">
        <v>256779414431</v>
      </c>
      <c r="E527" s="3">
        <v>45826</v>
      </c>
      <c r="F527" t="s">
        <v>11</v>
      </c>
      <c r="G527">
        <v>-52.38</v>
      </c>
      <c r="H527">
        <v>52.38</v>
      </c>
      <c r="I527" s="27">
        <v>-4455.66</v>
      </c>
      <c r="K527" s="3">
        <v>45856</v>
      </c>
      <c r="L527" s="3">
        <v>46022</v>
      </c>
      <c r="M527" t="s">
        <v>912</v>
      </c>
      <c r="N527" s="2">
        <v>45962</v>
      </c>
      <c r="O527">
        <v>63776220</v>
      </c>
      <c r="P527">
        <v>1</v>
      </c>
      <c r="Q527" s="3">
        <v>45991</v>
      </c>
      <c r="R527">
        <v>210</v>
      </c>
      <c r="S527" s="85">
        <v>1.55E+16</v>
      </c>
      <c r="T527" t="s">
        <v>913</v>
      </c>
      <c r="U527">
        <v>4455.66</v>
      </c>
      <c r="W527" s="79">
        <f t="shared" si="29"/>
        <v>-2.0046412877104625E-2</v>
      </c>
      <c r="X527">
        <f>VLOOKUP(D527,'[3]Customer TDS'!D:I,6,0)</f>
        <v>89.32</v>
      </c>
      <c r="Y527" s="27">
        <f t="shared" si="28"/>
        <v>-4366.34</v>
      </c>
      <c r="Z527" t="s">
        <v>915</v>
      </c>
      <c r="AA527">
        <f>VLOOKUP(D527,'Ascendus DATA'!$F:$J,5,0)</f>
        <v>4478.01</v>
      </c>
      <c r="AB527" s="27">
        <f t="shared" si="30"/>
        <v>22.350000000000364</v>
      </c>
    </row>
    <row r="528" spans="1:28" hidden="1" x14ac:dyDescent="0.35">
      <c r="A528" t="s">
        <v>910</v>
      </c>
      <c r="B528" t="s">
        <v>910</v>
      </c>
      <c r="C528" t="s">
        <v>438</v>
      </c>
      <c r="D528" s="4">
        <v>256779413146</v>
      </c>
      <c r="E528" s="3">
        <v>45787</v>
      </c>
      <c r="F528" t="s">
        <v>56</v>
      </c>
      <c r="G528" t="s">
        <v>911</v>
      </c>
      <c r="H528" t="s">
        <v>911</v>
      </c>
      <c r="I528" s="27">
        <v>-200000</v>
      </c>
      <c r="K528" s="3">
        <v>45817</v>
      </c>
      <c r="L528" s="3">
        <v>45991</v>
      </c>
      <c r="M528" t="s">
        <v>912</v>
      </c>
      <c r="N528" s="2">
        <v>45962</v>
      </c>
      <c r="O528">
        <v>63776221</v>
      </c>
      <c r="P528">
        <v>1</v>
      </c>
      <c r="Q528" s="3">
        <v>45991</v>
      </c>
      <c r="R528">
        <v>210</v>
      </c>
      <c r="S528" s="85">
        <v>1.55E+16</v>
      </c>
      <c r="T528" t="s">
        <v>913</v>
      </c>
      <c r="U528">
        <v>4000</v>
      </c>
      <c r="W528" s="79">
        <f t="shared" si="29"/>
        <v>-0.02</v>
      </c>
      <c r="X528">
        <f>VLOOKUP(D528,'[3]Customer TDS'!D:I,6,0)</f>
        <v>4000</v>
      </c>
      <c r="Y528" s="27">
        <f t="shared" si="28"/>
        <v>-196000</v>
      </c>
      <c r="Z528" t="s">
        <v>915</v>
      </c>
      <c r="AA528">
        <f>VLOOKUP(D528,'Ascendus DATA'!$F:$J,5,0)</f>
        <v>200000</v>
      </c>
      <c r="AB528">
        <f t="shared" si="30"/>
        <v>0</v>
      </c>
    </row>
    <row r="529" spans="1:28" hidden="1" x14ac:dyDescent="0.35">
      <c r="A529" t="s">
        <v>910</v>
      </c>
      <c r="B529" t="s">
        <v>910</v>
      </c>
      <c r="C529" t="s">
        <v>438</v>
      </c>
      <c r="D529" s="4">
        <v>256779413148</v>
      </c>
      <c r="E529" s="3">
        <v>45787</v>
      </c>
      <c r="F529" t="s">
        <v>56</v>
      </c>
      <c r="G529" t="s">
        <v>911</v>
      </c>
      <c r="H529" t="s">
        <v>911</v>
      </c>
      <c r="I529" s="27">
        <v>-4400</v>
      </c>
      <c r="K529" s="3">
        <v>45817</v>
      </c>
      <c r="L529" s="3">
        <v>45991</v>
      </c>
      <c r="M529" t="s">
        <v>912</v>
      </c>
      <c r="N529" s="2">
        <v>45962</v>
      </c>
      <c r="O529">
        <v>63776224</v>
      </c>
      <c r="P529">
        <v>1</v>
      </c>
      <c r="Q529" s="3">
        <v>45991</v>
      </c>
      <c r="R529">
        <v>210</v>
      </c>
      <c r="S529" s="85">
        <v>1.55E+16</v>
      </c>
      <c r="T529" t="s">
        <v>913</v>
      </c>
      <c r="U529">
        <v>88</v>
      </c>
      <c r="W529" s="79">
        <f t="shared" si="29"/>
        <v>-0.02</v>
      </c>
      <c r="X529">
        <f>VLOOKUP(D529,'[3]Customer TDS'!D:I,6,0)</f>
        <v>88</v>
      </c>
      <c r="Y529" s="27">
        <f t="shared" si="28"/>
        <v>-4312</v>
      </c>
      <c r="Z529" t="s">
        <v>915</v>
      </c>
      <c r="AA529">
        <f>VLOOKUP(D529,'Ascendus DATA'!$F:$J,5,0)</f>
        <v>4400</v>
      </c>
      <c r="AB529">
        <f t="shared" si="30"/>
        <v>0</v>
      </c>
    </row>
    <row r="530" spans="1:28" hidden="1" x14ac:dyDescent="0.35">
      <c r="A530" t="s">
        <v>910</v>
      </c>
      <c r="B530" t="s">
        <v>910</v>
      </c>
      <c r="C530" t="s">
        <v>438</v>
      </c>
      <c r="D530" s="4">
        <v>256779413147</v>
      </c>
      <c r="E530" s="3">
        <v>45787</v>
      </c>
      <c r="F530" t="s">
        <v>56</v>
      </c>
      <c r="G530" t="s">
        <v>911</v>
      </c>
      <c r="H530" t="s">
        <v>911</v>
      </c>
      <c r="I530" s="27">
        <v>-8000</v>
      </c>
      <c r="K530" s="3">
        <v>45817</v>
      </c>
      <c r="L530" s="3">
        <v>45991</v>
      </c>
      <c r="M530" t="s">
        <v>912</v>
      </c>
      <c r="N530" s="2">
        <v>45962</v>
      </c>
      <c r="O530">
        <v>63776225</v>
      </c>
      <c r="P530">
        <v>1</v>
      </c>
      <c r="Q530" s="3">
        <v>45991</v>
      </c>
      <c r="R530">
        <v>210</v>
      </c>
      <c r="S530" s="85">
        <v>1.55E+16</v>
      </c>
      <c r="T530" t="s">
        <v>913</v>
      </c>
      <c r="U530">
        <v>160</v>
      </c>
      <c r="W530" s="79">
        <f t="shared" si="29"/>
        <v>-0.02</v>
      </c>
      <c r="X530">
        <f>VLOOKUP(D530,'[3]Customer TDS'!D:I,6,0)</f>
        <v>160</v>
      </c>
      <c r="Y530" s="27">
        <f t="shared" si="28"/>
        <v>-7840</v>
      </c>
      <c r="Z530" t="s">
        <v>915</v>
      </c>
      <c r="AA530">
        <f>VLOOKUP(D530,'Ascendus DATA'!$F:$J,5,0)</f>
        <v>8000</v>
      </c>
      <c r="AB530">
        <f t="shared" si="30"/>
        <v>0</v>
      </c>
    </row>
    <row r="531" spans="1:28" hidden="1" x14ac:dyDescent="0.35">
      <c r="A531" t="s">
        <v>910</v>
      </c>
      <c r="B531" t="s">
        <v>910</v>
      </c>
      <c r="C531" t="s">
        <v>438</v>
      </c>
      <c r="D531" s="4">
        <v>256779413931</v>
      </c>
      <c r="E531" s="3">
        <v>45810</v>
      </c>
      <c r="F531" t="s">
        <v>11</v>
      </c>
      <c r="G531">
        <v>-395.23</v>
      </c>
      <c r="H531">
        <v>395.23</v>
      </c>
      <c r="I531" s="27">
        <v>-33619.879999999997</v>
      </c>
      <c r="K531" s="3">
        <v>45840</v>
      </c>
      <c r="L531" s="3">
        <v>46022</v>
      </c>
      <c r="M531" t="s">
        <v>912</v>
      </c>
      <c r="N531" s="2">
        <v>45962</v>
      </c>
      <c r="O531">
        <v>63776226</v>
      </c>
      <c r="P531">
        <v>1</v>
      </c>
      <c r="Q531" s="3">
        <v>45991</v>
      </c>
      <c r="R531">
        <v>210</v>
      </c>
      <c r="S531" s="85">
        <v>1.55E+16</v>
      </c>
      <c r="T531" t="s">
        <v>913</v>
      </c>
      <c r="U531">
        <v>33619.879999999997</v>
      </c>
      <c r="W531" s="79">
        <f t="shared" si="29"/>
        <v>-1.9988471106975991E-2</v>
      </c>
      <c r="X531">
        <f>VLOOKUP(D531,'[3]Customer TDS'!D:I,6,0)</f>
        <v>672.01</v>
      </c>
      <c r="Y531" s="27">
        <f t="shared" si="28"/>
        <v>-32947.869999999995</v>
      </c>
      <c r="Z531" t="s">
        <v>915</v>
      </c>
      <c r="AA531">
        <f>VLOOKUP(D531,'Ascendus DATA'!$F:$J,5,0)</f>
        <v>33788.519999999997</v>
      </c>
      <c r="AB531" s="27">
        <f t="shared" si="30"/>
        <v>168.63999999999942</v>
      </c>
    </row>
    <row r="532" spans="1:28" hidden="1" x14ac:dyDescent="0.35">
      <c r="A532" t="s">
        <v>910</v>
      </c>
      <c r="B532" t="s">
        <v>910</v>
      </c>
      <c r="C532" t="s">
        <v>438</v>
      </c>
      <c r="D532" s="4">
        <v>256779413250</v>
      </c>
      <c r="E532" s="3">
        <v>45787</v>
      </c>
      <c r="F532" t="s">
        <v>11</v>
      </c>
      <c r="G532">
        <v>-423.28</v>
      </c>
      <c r="H532">
        <v>423.28</v>
      </c>
      <c r="I532" s="27">
        <v>-36137.300000000003</v>
      </c>
      <c r="K532" s="3">
        <v>45817</v>
      </c>
      <c r="L532" s="3">
        <v>46022</v>
      </c>
      <c r="M532" t="s">
        <v>912</v>
      </c>
      <c r="N532" s="2">
        <v>45962</v>
      </c>
      <c r="O532">
        <v>63776227</v>
      </c>
      <c r="P532">
        <v>1</v>
      </c>
      <c r="Q532" s="3">
        <v>45991</v>
      </c>
      <c r="R532">
        <v>210</v>
      </c>
      <c r="S532" s="85">
        <v>1.55E+16</v>
      </c>
      <c r="T532" t="s">
        <v>913</v>
      </c>
      <c r="U532">
        <v>36137.300000000003</v>
      </c>
      <c r="W532" s="79">
        <f t="shared" si="29"/>
        <v>-2.0010349417361007E-2</v>
      </c>
      <c r="X532">
        <f>VLOOKUP(D532,'[3]Customer TDS'!D:I,6,0)</f>
        <v>723.12</v>
      </c>
      <c r="Y532" s="27">
        <f t="shared" si="28"/>
        <v>-35414.18</v>
      </c>
      <c r="Z532" t="s">
        <v>915</v>
      </c>
      <c r="AA532">
        <f>VLOOKUP(D532,'Ascendus DATA'!$F:$J,5,0)</f>
        <v>36395.18</v>
      </c>
      <c r="AB532" s="27">
        <f t="shared" si="30"/>
        <v>257.87999999999738</v>
      </c>
    </row>
    <row r="533" spans="1:28" hidden="1" x14ac:dyDescent="0.35">
      <c r="A533" t="s">
        <v>910</v>
      </c>
      <c r="B533" t="s">
        <v>910</v>
      </c>
      <c r="C533" t="s">
        <v>438</v>
      </c>
      <c r="D533" s="4">
        <v>256779413972</v>
      </c>
      <c r="E533" s="3">
        <v>45810</v>
      </c>
      <c r="F533" t="s">
        <v>56</v>
      </c>
      <c r="G533" t="s">
        <v>911</v>
      </c>
      <c r="H533" t="s">
        <v>911</v>
      </c>
      <c r="I533">
        <v>-262</v>
      </c>
      <c r="K533" s="3">
        <v>45840</v>
      </c>
      <c r="L533" s="3">
        <v>45991</v>
      </c>
      <c r="M533" t="s">
        <v>912</v>
      </c>
      <c r="N533" s="2">
        <v>45962</v>
      </c>
      <c r="O533">
        <v>63776228</v>
      </c>
      <c r="P533">
        <v>1</v>
      </c>
      <c r="Q533" s="3">
        <v>45991</v>
      </c>
      <c r="R533">
        <v>210</v>
      </c>
      <c r="S533" s="85">
        <v>1.55E+16</v>
      </c>
      <c r="T533" t="s">
        <v>913</v>
      </c>
      <c r="U533">
        <v>6</v>
      </c>
      <c r="W533" s="79">
        <f t="shared" si="29"/>
        <v>-2.2900763358778626E-2</v>
      </c>
      <c r="X533">
        <f>VLOOKUP(D533,'[3]Customer TDS'!D:I,6,0)</f>
        <v>6</v>
      </c>
      <c r="Y533" s="27">
        <f t="shared" si="28"/>
        <v>-256</v>
      </c>
      <c r="Z533" t="s">
        <v>915</v>
      </c>
      <c r="AA533">
        <f>VLOOKUP(D533,'Ascendus DATA'!$F:$J,5,0)</f>
        <v>262.20999999999998</v>
      </c>
      <c r="AB533">
        <f>I533+AA533</f>
        <v>0.20999999999997954</v>
      </c>
    </row>
    <row r="534" spans="1:28" hidden="1" x14ac:dyDescent="0.35">
      <c r="A534" t="s">
        <v>910</v>
      </c>
      <c r="B534" t="s">
        <v>910</v>
      </c>
      <c r="C534" t="s">
        <v>438</v>
      </c>
      <c r="D534" s="4">
        <v>256779413908</v>
      </c>
      <c r="E534" s="3">
        <v>45805</v>
      </c>
      <c r="F534" t="s">
        <v>11</v>
      </c>
      <c r="G534" s="27">
        <v>-3200.83</v>
      </c>
      <c r="H534" s="27">
        <v>3200.83</v>
      </c>
      <c r="I534" s="27">
        <v>-273269.15999999997</v>
      </c>
      <c r="K534" s="3">
        <v>45835</v>
      </c>
      <c r="L534" s="3">
        <v>46022</v>
      </c>
      <c r="M534" t="s">
        <v>912</v>
      </c>
      <c r="N534" s="2">
        <v>45962</v>
      </c>
      <c r="O534">
        <v>63776470</v>
      </c>
      <c r="P534">
        <v>1</v>
      </c>
      <c r="Q534" s="3">
        <v>45991</v>
      </c>
      <c r="R534">
        <v>210</v>
      </c>
      <c r="S534" s="85">
        <v>1.55E+16</v>
      </c>
      <c r="T534" t="s">
        <v>913</v>
      </c>
      <c r="U534">
        <v>273269.15999999997</v>
      </c>
      <c r="W534" s="79">
        <f t="shared" si="29"/>
        <v>-2.0001049514698256E-2</v>
      </c>
      <c r="X534">
        <f>VLOOKUP(D534,'[3]Customer TDS'!D:I,6,0)</f>
        <v>5465.67</v>
      </c>
      <c r="Y534" s="27">
        <f t="shared" si="28"/>
        <v>-267803.49</v>
      </c>
      <c r="Z534" t="s">
        <v>915</v>
      </c>
      <c r="AA534">
        <f>VLOOKUP(D534,'Ascendus DATA'!$F:$J,5,0)</f>
        <v>275219.21000000002</v>
      </c>
      <c r="AB534" s="27">
        <f>I534+AA534</f>
        <v>1950.0500000000466</v>
      </c>
    </row>
    <row r="535" spans="1:28" hidden="1" x14ac:dyDescent="0.35">
      <c r="A535" t="s">
        <v>910</v>
      </c>
      <c r="B535" t="s">
        <v>910</v>
      </c>
      <c r="C535" t="s">
        <v>438</v>
      </c>
      <c r="D535" s="4">
        <v>256779411867</v>
      </c>
      <c r="E535" s="3">
        <v>45763</v>
      </c>
      <c r="F535" t="s">
        <v>11</v>
      </c>
      <c r="G535" t="s">
        <v>911</v>
      </c>
      <c r="H535" t="s">
        <v>911</v>
      </c>
      <c r="I535">
        <v>-260.83</v>
      </c>
      <c r="J535" t="s">
        <v>15</v>
      </c>
      <c r="K535" s="3">
        <v>45793</v>
      </c>
      <c r="M535" t="s">
        <v>912</v>
      </c>
      <c r="N535" s="2">
        <v>45962</v>
      </c>
      <c r="O535">
        <v>63955365</v>
      </c>
      <c r="P535">
        <v>2</v>
      </c>
      <c r="Q535" s="3">
        <v>45991</v>
      </c>
      <c r="R535">
        <v>271</v>
      </c>
      <c r="T535" t="s">
        <v>913</v>
      </c>
      <c r="U535">
        <v>0</v>
      </c>
      <c r="Y535" s="27">
        <f t="shared" si="28"/>
        <v>-260.83</v>
      </c>
      <c r="Z535" t="s">
        <v>894</v>
      </c>
    </row>
    <row r="536" spans="1:28" hidden="1" x14ac:dyDescent="0.35">
      <c r="A536" t="s">
        <v>910</v>
      </c>
      <c r="B536" t="s">
        <v>910</v>
      </c>
      <c r="C536" t="s">
        <v>438</v>
      </c>
      <c r="D536" s="4">
        <v>256779415303</v>
      </c>
      <c r="E536" s="3">
        <v>45848</v>
      </c>
      <c r="F536" t="s">
        <v>11</v>
      </c>
      <c r="G536" t="s">
        <v>911</v>
      </c>
      <c r="H536" t="s">
        <v>911</v>
      </c>
      <c r="I536">
        <v>-88.42</v>
      </c>
      <c r="J536" t="s">
        <v>15</v>
      </c>
      <c r="K536" s="3">
        <v>45878</v>
      </c>
      <c r="M536" t="s">
        <v>912</v>
      </c>
      <c r="N536" s="2">
        <v>45962</v>
      </c>
      <c r="O536">
        <v>63955365</v>
      </c>
      <c r="P536">
        <v>4</v>
      </c>
      <c r="Q536" s="3">
        <v>45991</v>
      </c>
      <c r="R536">
        <v>271</v>
      </c>
      <c r="T536" t="s">
        <v>913</v>
      </c>
      <c r="U536">
        <v>0</v>
      </c>
      <c r="Y536" s="27">
        <f t="shared" si="28"/>
        <v>-88.42</v>
      </c>
      <c r="Z536" t="s">
        <v>894</v>
      </c>
    </row>
    <row r="537" spans="1:28" hidden="1" x14ac:dyDescent="0.35">
      <c r="A537" t="s">
        <v>910</v>
      </c>
      <c r="B537" t="s">
        <v>910</v>
      </c>
      <c r="C537" t="s">
        <v>438</v>
      </c>
      <c r="D537" s="4">
        <v>256779415304</v>
      </c>
      <c r="E537" s="3">
        <v>45848</v>
      </c>
      <c r="F537" t="s">
        <v>11</v>
      </c>
      <c r="G537" t="s">
        <v>911</v>
      </c>
      <c r="H537" t="s">
        <v>911</v>
      </c>
      <c r="I537">
        <v>-26.52</v>
      </c>
      <c r="J537" t="s">
        <v>15</v>
      </c>
      <c r="K537" s="3">
        <v>45878</v>
      </c>
      <c r="M537" t="s">
        <v>912</v>
      </c>
      <c r="N537" s="2">
        <v>45962</v>
      </c>
      <c r="O537">
        <v>63955365</v>
      </c>
      <c r="P537">
        <v>6</v>
      </c>
      <c r="Q537" s="3">
        <v>45991</v>
      </c>
      <c r="R537">
        <v>271</v>
      </c>
      <c r="T537" t="s">
        <v>913</v>
      </c>
      <c r="U537">
        <v>0</v>
      </c>
      <c r="Y537" s="27">
        <f t="shared" si="28"/>
        <v>-26.52</v>
      </c>
      <c r="Z537" t="s">
        <v>894</v>
      </c>
    </row>
    <row r="538" spans="1:28" hidden="1" x14ac:dyDescent="0.35">
      <c r="A538" t="s">
        <v>910</v>
      </c>
      <c r="B538" t="s">
        <v>910</v>
      </c>
      <c r="C538" t="s">
        <v>438</v>
      </c>
      <c r="D538" s="4">
        <v>256779415385</v>
      </c>
      <c r="E538" s="3">
        <v>45848</v>
      </c>
      <c r="F538" t="s">
        <v>11</v>
      </c>
      <c r="G538" t="s">
        <v>911</v>
      </c>
      <c r="H538" t="s">
        <v>911</v>
      </c>
      <c r="I538">
        <v>-0.32</v>
      </c>
      <c r="J538" t="s">
        <v>15</v>
      </c>
      <c r="K538" s="3">
        <v>45878</v>
      </c>
      <c r="M538" t="s">
        <v>912</v>
      </c>
      <c r="N538" s="2">
        <v>45962</v>
      </c>
      <c r="O538">
        <v>63955365</v>
      </c>
      <c r="P538">
        <v>8</v>
      </c>
      <c r="Q538" s="3">
        <v>45991</v>
      </c>
      <c r="R538">
        <v>271</v>
      </c>
      <c r="T538" t="s">
        <v>913</v>
      </c>
      <c r="U538">
        <v>0</v>
      </c>
      <c r="Y538" s="27">
        <f t="shared" si="28"/>
        <v>-0.32</v>
      </c>
      <c r="Z538" t="s">
        <v>894</v>
      </c>
    </row>
    <row r="539" spans="1:28" hidden="1" x14ac:dyDescent="0.35">
      <c r="A539" t="s">
        <v>910</v>
      </c>
      <c r="B539" t="s">
        <v>910</v>
      </c>
      <c r="C539" t="s">
        <v>438</v>
      </c>
      <c r="D539" s="4">
        <v>256779415293</v>
      </c>
      <c r="E539" s="3">
        <v>45848</v>
      </c>
      <c r="F539" t="s">
        <v>11</v>
      </c>
      <c r="G539" t="s">
        <v>911</v>
      </c>
      <c r="H539" t="s">
        <v>911</v>
      </c>
      <c r="I539">
        <v>-0.32</v>
      </c>
      <c r="J539" t="s">
        <v>15</v>
      </c>
      <c r="K539" s="3">
        <v>45878</v>
      </c>
      <c r="M539" t="s">
        <v>912</v>
      </c>
      <c r="N539" s="2">
        <v>45962</v>
      </c>
      <c r="O539">
        <v>63955365</v>
      </c>
      <c r="P539">
        <v>10</v>
      </c>
      <c r="Q539" s="3">
        <v>45991</v>
      </c>
      <c r="R539">
        <v>271</v>
      </c>
      <c r="T539" t="s">
        <v>913</v>
      </c>
      <c r="U539">
        <v>0</v>
      </c>
      <c r="Y539" s="27">
        <f t="shared" si="28"/>
        <v>-0.32</v>
      </c>
      <c r="Z539" t="s">
        <v>894</v>
      </c>
    </row>
    <row r="540" spans="1:28" hidden="1" x14ac:dyDescent="0.35">
      <c r="A540" t="s">
        <v>910</v>
      </c>
      <c r="B540" t="s">
        <v>910</v>
      </c>
      <c r="C540" t="s">
        <v>438</v>
      </c>
      <c r="D540" s="4">
        <v>256779415374</v>
      </c>
      <c r="E540" s="3">
        <v>45848</v>
      </c>
      <c r="F540" t="s">
        <v>11</v>
      </c>
      <c r="G540" t="s">
        <v>911</v>
      </c>
      <c r="H540" t="s">
        <v>911</v>
      </c>
      <c r="I540">
        <v>-6.43</v>
      </c>
      <c r="J540" t="s">
        <v>15</v>
      </c>
      <c r="K540" s="3">
        <v>45878</v>
      </c>
      <c r="M540" t="s">
        <v>912</v>
      </c>
      <c r="N540" s="2">
        <v>45962</v>
      </c>
      <c r="O540">
        <v>63955365</v>
      </c>
      <c r="P540">
        <v>12</v>
      </c>
      <c r="Q540" s="3">
        <v>45991</v>
      </c>
      <c r="R540">
        <v>271</v>
      </c>
      <c r="T540" t="s">
        <v>913</v>
      </c>
      <c r="U540">
        <v>0</v>
      </c>
      <c r="Y540" s="27">
        <f t="shared" si="28"/>
        <v>-6.43</v>
      </c>
      <c r="Z540" t="s">
        <v>894</v>
      </c>
    </row>
    <row r="541" spans="1:28" hidden="1" x14ac:dyDescent="0.35">
      <c r="A541" t="s">
        <v>910</v>
      </c>
      <c r="B541" t="s">
        <v>910</v>
      </c>
      <c r="C541" t="s">
        <v>438</v>
      </c>
      <c r="D541" s="4">
        <v>256779415339</v>
      </c>
      <c r="E541" s="3">
        <v>45848</v>
      </c>
      <c r="F541" t="s">
        <v>11</v>
      </c>
      <c r="G541" t="s">
        <v>911</v>
      </c>
      <c r="H541" t="s">
        <v>911</v>
      </c>
      <c r="I541">
        <v>-24.21</v>
      </c>
      <c r="J541" t="s">
        <v>15</v>
      </c>
      <c r="K541" s="3">
        <v>45878</v>
      </c>
      <c r="M541" t="s">
        <v>912</v>
      </c>
      <c r="N541" s="2">
        <v>45962</v>
      </c>
      <c r="O541">
        <v>63955365</v>
      </c>
      <c r="P541">
        <v>14</v>
      </c>
      <c r="Q541" s="3">
        <v>45991</v>
      </c>
      <c r="R541">
        <v>271</v>
      </c>
      <c r="T541" t="s">
        <v>913</v>
      </c>
      <c r="U541">
        <v>0</v>
      </c>
      <c r="Y541" s="27">
        <f t="shared" si="28"/>
        <v>-24.21</v>
      </c>
      <c r="Z541" t="s">
        <v>894</v>
      </c>
    </row>
    <row r="542" spans="1:28" hidden="1" x14ac:dyDescent="0.35">
      <c r="A542" t="s">
        <v>910</v>
      </c>
      <c r="B542" t="s">
        <v>910</v>
      </c>
      <c r="C542" t="s">
        <v>438</v>
      </c>
      <c r="D542" s="4">
        <v>256779411467</v>
      </c>
      <c r="E542" s="3">
        <v>45762</v>
      </c>
      <c r="F542" t="s">
        <v>11</v>
      </c>
      <c r="G542" t="s">
        <v>911</v>
      </c>
      <c r="H542" t="s">
        <v>911</v>
      </c>
      <c r="I542">
        <v>-31.3</v>
      </c>
      <c r="J542" t="s">
        <v>15</v>
      </c>
      <c r="K542" s="3">
        <v>45792</v>
      </c>
      <c r="M542" t="s">
        <v>912</v>
      </c>
      <c r="N542" s="2">
        <v>45962</v>
      </c>
      <c r="O542">
        <v>63955365</v>
      </c>
      <c r="P542">
        <v>16</v>
      </c>
      <c r="Q542" s="3">
        <v>45991</v>
      </c>
      <c r="R542">
        <v>271</v>
      </c>
      <c r="T542" t="s">
        <v>913</v>
      </c>
      <c r="U542">
        <v>0</v>
      </c>
      <c r="Y542" s="27">
        <f t="shared" si="28"/>
        <v>-31.3</v>
      </c>
      <c r="Z542" t="s">
        <v>894</v>
      </c>
    </row>
    <row r="543" spans="1:28" hidden="1" x14ac:dyDescent="0.35">
      <c r="A543" t="s">
        <v>910</v>
      </c>
      <c r="B543" t="s">
        <v>910</v>
      </c>
      <c r="C543" t="s">
        <v>438</v>
      </c>
      <c r="D543" s="4">
        <v>256779415308</v>
      </c>
      <c r="E543" s="3">
        <v>45848</v>
      </c>
      <c r="F543" t="s">
        <v>11</v>
      </c>
      <c r="G543" t="s">
        <v>911</v>
      </c>
      <c r="H543" t="s">
        <v>911</v>
      </c>
      <c r="I543">
        <v>-26.52</v>
      </c>
      <c r="J543" t="s">
        <v>15</v>
      </c>
      <c r="K543" s="3">
        <v>45878</v>
      </c>
      <c r="M543" t="s">
        <v>912</v>
      </c>
      <c r="N543" s="2">
        <v>45962</v>
      </c>
      <c r="O543">
        <v>63955365</v>
      </c>
      <c r="P543">
        <v>18</v>
      </c>
      <c r="Q543" s="3">
        <v>45991</v>
      </c>
      <c r="R543">
        <v>271</v>
      </c>
      <c r="T543" t="s">
        <v>913</v>
      </c>
      <c r="U543">
        <v>0</v>
      </c>
      <c r="Y543" s="27">
        <f t="shared" si="28"/>
        <v>-26.52</v>
      </c>
      <c r="Z543" t="s">
        <v>894</v>
      </c>
    </row>
    <row r="544" spans="1:28" hidden="1" x14ac:dyDescent="0.35">
      <c r="A544" t="s">
        <v>910</v>
      </c>
      <c r="B544" t="s">
        <v>910</v>
      </c>
      <c r="C544" t="s">
        <v>438</v>
      </c>
      <c r="D544" s="4">
        <v>256779415305</v>
      </c>
      <c r="E544" s="3">
        <v>45848</v>
      </c>
      <c r="F544" t="s">
        <v>11</v>
      </c>
      <c r="G544" t="s">
        <v>911</v>
      </c>
      <c r="H544" t="s">
        <v>911</v>
      </c>
      <c r="I544">
        <v>-26.52</v>
      </c>
      <c r="J544" t="s">
        <v>15</v>
      </c>
      <c r="K544" s="3">
        <v>45878</v>
      </c>
      <c r="M544" t="s">
        <v>912</v>
      </c>
      <c r="N544" s="2">
        <v>45962</v>
      </c>
      <c r="O544">
        <v>63955365</v>
      </c>
      <c r="P544">
        <v>20</v>
      </c>
      <c r="Q544" s="3">
        <v>45991</v>
      </c>
      <c r="R544">
        <v>271</v>
      </c>
      <c r="T544" t="s">
        <v>913</v>
      </c>
      <c r="U544">
        <v>0</v>
      </c>
      <c r="Y544" s="27">
        <f t="shared" si="28"/>
        <v>-26.52</v>
      </c>
      <c r="Z544" t="s">
        <v>894</v>
      </c>
    </row>
    <row r="545" spans="1:26" hidden="1" x14ac:dyDescent="0.35">
      <c r="A545" t="s">
        <v>910</v>
      </c>
      <c r="B545" t="s">
        <v>910</v>
      </c>
      <c r="C545" t="s">
        <v>438</v>
      </c>
      <c r="D545" s="4">
        <v>256779415306</v>
      </c>
      <c r="E545" s="3">
        <v>45848</v>
      </c>
      <c r="F545" t="s">
        <v>11</v>
      </c>
      <c r="G545" t="s">
        <v>911</v>
      </c>
      <c r="H545" t="s">
        <v>911</v>
      </c>
      <c r="I545">
        <v>-26.52</v>
      </c>
      <c r="J545" t="s">
        <v>15</v>
      </c>
      <c r="K545" s="3">
        <v>45878</v>
      </c>
      <c r="M545" t="s">
        <v>912</v>
      </c>
      <c r="N545" s="2">
        <v>45962</v>
      </c>
      <c r="O545">
        <v>63955365</v>
      </c>
      <c r="P545">
        <v>22</v>
      </c>
      <c r="Q545" s="3">
        <v>45991</v>
      </c>
      <c r="R545">
        <v>271</v>
      </c>
      <c r="T545" t="s">
        <v>913</v>
      </c>
      <c r="U545">
        <v>0</v>
      </c>
      <c r="Y545" s="27">
        <f t="shared" si="28"/>
        <v>-26.52</v>
      </c>
      <c r="Z545" t="s">
        <v>894</v>
      </c>
    </row>
    <row r="546" spans="1:26" hidden="1" x14ac:dyDescent="0.35">
      <c r="A546" t="s">
        <v>910</v>
      </c>
      <c r="B546" t="s">
        <v>910</v>
      </c>
      <c r="C546" t="s">
        <v>438</v>
      </c>
      <c r="D546" s="4">
        <v>256779415307</v>
      </c>
      <c r="E546" s="3">
        <v>45848</v>
      </c>
      <c r="F546" t="s">
        <v>11</v>
      </c>
      <c r="G546" t="s">
        <v>911</v>
      </c>
      <c r="H546" t="s">
        <v>911</v>
      </c>
      <c r="I546">
        <v>-26.52</v>
      </c>
      <c r="J546" t="s">
        <v>15</v>
      </c>
      <c r="K546" s="3">
        <v>45878</v>
      </c>
      <c r="M546" t="s">
        <v>912</v>
      </c>
      <c r="N546" s="2">
        <v>45962</v>
      </c>
      <c r="O546">
        <v>63955365</v>
      </c>
      <c r="P546">
        <v>24</v>
      </c>
      <c r="Q546" s="3">
        <v>45991</v>
      </c>
      <c r="R546">
        <v>271</v>
      </c>
      <c r="T546" t="s">
        <v>913</v>
      </c>
      <c r="U546">
        <v>0</v>
      </c>
      <c r="Y546" s="27">
        <f t="shared" si="28"/>
        <v>-26.52</v>
      </c>
      <c r="Z546" t="s">
        <v>894</v>
      </c>
    </row>
    <row r="547" spans="1:26" hidden="1" x14ac:dyDescent="0.35">
      <c r="A547" t="s">
        <v>910</v>
      </c>
      <c r="B547" t="s">
        <v>910</v>
      </c>
      <c r="C547" t="s">
        <v>438</v>
      </c>
      <c r="D547" s="4">
        <v>256779415291</v>
      </c>
      <c r="E547" s="3">
        <v>45848</v>
      </c>
      <c r="F547" t="s">
        <v>11</v>
      </c>
      <c r="G547" t="s">
        <v>911</v>
      </c>
      <c r="H547" t="s">
        <v>911</v>
      </c>
      <c r="I547">
        <v>-0.32</v>
      </c>
      <c r="J547" t="s">
        <v>15</v>
      </c>
      <c r="K547" s="3">
        <v>45878</v>
      </c>
      <c r="M547" t="s">
        <v>912</v>
      </c>
      <c r="N547" s="2">
        <v>45962</v>
      </c>
      <c r="O547">
        <v>63955365</v>
      </c>
      <c r="P547">
        <v>26</v>
      </c>
      <c r="Q547" s="3">
        <v>45991</v>
      </c>
      <c r="R547">
        <v>271</v>
      </c>
      <c r="T547" t="s">
        <v>913</v>
      </c>
      <c r="U547">
        <v>0</v>
      </c>
      <c r="Y547" s="27">
        <f t="shared" si="28"/>
        <v>-0.32</v>
      </c>
      <c r="Z547" t="s">
        <v>894</v>
      </c>
    </row>
    <row r="548" spans="1:26" hidden="1" x14ac:dyDescent="0.35">
      <c r="A548" t="s">
        <v>910</v>
      </c>
      <c r="B548" t="s">
        <v>910</v>
      </c>
      <c r="C548" t="s">
        <v>438</v>
      </c>
      <c r="D548" s="4">
        <v>256779415012</v>
      </c>
      <c r="E548" s="3">
        <v>45842</v>
      </c>
      <c r="F548" t="s">
        <v>11</v>
      </c>
      <c r="G548" t="s">
        <v>911</v>
      </c>
      <c r="H548" t="s">
        <v>911</v>
      </c>
      <c r="I548">
        <v>-162.69</v>
      </c>
      <c r="J548" t="s">
        <v>15</v>
      </c>
      <c r="K548" s="3">
        <v>45872</v>
      </c>
      <c r="M548" t="s">
        <v>912</v>
      </c>
      <c r="N548" s="2">
        <v>45962</v>
      </c>
      <c r="O548">
        <v>63955365</v>
      </c>
      <c r="P548">
        <v>28</v>
      </c>
      <c r="Q548" s="3">
        <v>45991</v>
      </c>
      <c r="R548">
        <v>271</v>
      </c>
      <c r="T548" t="s">
        <v>913</v>
      </c>
      <c r="U548">
        <v>0</v>
      </c>
      <c r="Y548" s="27">
        <f t="shared" si="28"/>
        <v>-162.69</v>
      </c>
      <c r="Z548" t="s">
        <v>894</v>
      </c>
    </row>
    <row r="549" spans="1:26" hidden="1" x14ac:dyDescent="0.35">
      <c r="A549" t="s">
        <v>910</v>
      </c>
      <c r="B549" t="s">
        <v>910</v>
      </c>
      <c r="C549" t="s">
        <v>438</v>
      </c>
      <c r="D549" s="4">
        <v>256779415261</v>
      </c>
      <c r="E549" s="3">
        <v>45842</v>
      </c>
      <c r="F549" t="s">
        <v>11</v>
      </c>
      <c r="G549" t="s">
        <v>911</v>
      </c>
      <c r="H549" t="s">
        <v>911</v>
      </c>
      <c r="I549">
        <v>-258.39999999999998</v>
      </c>
      <c r="J549" t="s">
        <v>15</v>
      </c>
      <c r="K549" s="3">
        <v>45872</v>
      </c>
      <c r="M549" t="s">
        <v>912</v>
      </c>
      <c r="N549" s="2">
        <v>45962</v>
      </c>
      <c r="O549">
        <v>63955365</v>
      </c>
      <c r="P549">
        <v>30</v>
      </c>
      <c r="Q549" s="3">
        <v>45991</v>
      </c>
      <c r="R549">
        <v>271</v>
      </c>
      <c r="T549" t="s">
        <v>913</v>
      </c>
      <c r="U549">
        <v>0</v>
      </c>
      <c r="Y549" s="27">
        <f t="shared" si="28"/>
        <v>-258.39999999999998</v>
      </c>
      <c r="Z549" t="s">
        <v>894</v>
      </c>
    </row>
    <row r="550" spans="1:26" hidden="1" x14ac:dyDescent="0.35">
      <c r="A550" t="s">
        <v>910</v>
      </c>
      <c r="B550" t="s">
        <v>910</v>
      </c>
      <c r="C550" t="s">
        <v>438</v>
      </c>
      <c r="D550" s="4">
        <v>256779416255</v>
      </c>
      <c r="E550" s="3">
        <v>45877</v>
      </c>
      <c r="F550" t="s">
        <v>11</v>
      </c>
      <c r="G550" t="s">
        <v>911</v>
      </c>
      <c r="H550" t="s">
        <v>911</v>
      </c>
      <c r="I550">
        <v>-346.59</v>
      </c>
      <c r="J550" t="s">
        <v>15</v>
      </c>
      <c r="K550" s="3">
        <v>45907</v>
      </c>
      <c r="M550" t="s">
        <v>912</v>
      </c>
      <c r="N550" s="2">
        <v>45962</v>
      </c>
      <c r="O550">
        <v>63955365</v>
      </c>
      <c r="P550">
        <v>32</v>
      </c>
      <c r="Q550" s="3">
        <v>45991</v>
      </c>
      <c r="R550">
        <v>271</v>
      </c>
      <c r="T550" t="s">
        <v>913</v>
      </c>
      <c r="U550">
        <v>0</v>
      </c>
      <c r="Y550" s="27">
        <f t="shared" si="28"/>
        <v>-346.59</v>
      </c>
      <c r="Z550" t="s">
        <v>894</v>
      </c>
    </row>
    <row r="551" spans="1:26" hidden="1" x14ac:dyDescent="0.35">
      <c r="A551" t="s">
        <v>910</v>
      </c>
      <c r="B551" t="s">
        <v>910</v>
      </c>
      <c r="C551" t="s">
        <v>438</v>
      </c>
      <c r="D551" s="4">
        <v>256779416169</v>
      </c>
      <c r="E551" s="3">
        <v>45877</v>
      </c>
      <c r="F551" t="s">
        <v>11</v>
      </c>
      <c r="G551" t="s">
        <v>911</v>
      </c>
      <c r="H551" t="s">
        <v>911</v>
      </c>
      <c r="I551">
        <v>-227.23</v>
      </c>
      <c r="J551" t="s">
        <v>15</v>
      </c>
      <c r="K551" s="3">
        <v>45907</v>
      </c>
      <c r="M551" t="s">
        <v>912</v>
      </c>
      <c r="N551" s="2">
        <v>45962</v>
      </c>
      <c r="O551">
        <v>63955365</v>
      </c>
      <c r="P551">
        <v>34</v>
      </c>
      <c r="Q551" s="3">
        <v>45991</v>
      </c>
      <c r="R551">
        <v>271</v>
      </c>
      <c r="T551" t="s">
        <v>913</v>
      </c>
      <c r="U551">
        <v>0</v>
      </c>
      <c r="Y551" s="27">
        <f t="shared" si="28"/>
        <v>-227.23</v>
      </c>
      <c r="Z551" t="s">
        <v>894</v>
      </c>
    </row>
    <row r="552" spans="1:26" hidden="1" x14ac:dyDescent="0.35">
      <c r="A552" t="s">
        <v>910</v>
      </c>
      <c r="B552" t="s">
        <v>910</v>
      </c>
      <c r="C552" t="s">
        <v>438</v>
      </c>
      <c r="D552" s="4">
        <v>256779416442</v>
      </c>
      <c r="E552" s="3">
        <v>45877</v>
      </c>
      <c r="F552" t="s">
        <v>11</v>
      </c>
      <c r="G552" t="s">
        <v>911</v>
      </c>
      <c r="H552" t="s">
        <v>911</v>
      </c>
      <c r="I552">
        <v>-931.02</v>
      </c>
      <c r="J552" t="s">
        <v>15</v>
      </c>
      <c r="K552" s="3">
        <v>45907</v>
      </c>
      <c r="M552" t="s">
        <v>912</v>
      </c>
      <c r="N552" s="2">
        <v>45962</v>
      </c>
      <c r="O552">
        <v>63955365</v>
      </c>
      <c r="P552">
        <v>36</v>
      </c>
      <c r="Q552" s="3">
        <v>45991</v>
      </c>
      <c r="R552">
        <v>271</v>
      </c>
      <c r="T552" t="s">
        <v>913</v>
      </c>
      <c r="U552">
        <v>0</v>
      </c>
      <c r="Y552" s="27">
        <f t="shared" si="28"/>
        <v>-931.02</v>
      </c>
      <c r="Z552" t="s">
        <v>894</v>
      </c>
    </row>
    <row r="553" spans="1:26" hidden="1" x14ac:dyDescent="0.35">
      <c r="A553" t="s">
        <v>910</v>
      </c>
      <c r="B553" t="s">
        <v>910</v>
      </c>
      <c r="C553" t="s">
        <v>438</v>
      </c>
      <c r="D553" s="4">
        <v>256779416214</v>
      </c>
      <c r="E553" s="3">
        <v>45877</v>
      </c>
      <c r="F553" t="s">
        <v>11</v>
      </c>
      <c r="G553" t="s">
        <v>911</v>
      </c>
      <c r="H553" t="s">
        <v>911</v>
      </c>
      <c r="I553">
        <v>-187.45</v>
      </c>
      <c r="J553" t="s">
        <v>15</v>
      </c>
      <c r="K553" s="3">
        <v>45907</v>
      </c>
      <c r="M553" t="s">
        <v>912</v>
      </c>
      <c r="N553" s="2">
        <v>45962</v>
      </c>
      <c r="O553">
        <v>63955365</v>
      </c>
      <c r="P553">
        <v>38</v>
      </c>
      <c r="Q553" s="3">
        <v>45991</v>
      </c>
      <c r="R553">
        <v>271</v>
      </c>
      <c r="T553" t="s">
        <v>913</v>
      </c>
      <c r="U553">
        <v>0</v>
      </c>
      <c r="Y553" s="27">
        <f t="shared" si="28"/>
        <v>-187.45</v>
      </c>
      <c r="Z553" t="s">
        <v>894</v>
      </c>
    </row>
    <row r="554" spans="1:26" hidden="1" x14ac:dyDescent="0.35">
      <c r="A554" t="s">
        <v>910</v>
      </c>
      <c r="B554" t="s">
        <v>910</v>
      </c>
      <c r="C554" t="s">
        <v>438</v>
      </c>
      <c r="D554" s="4">
        <v>256779416454</v>
      </c>
      <c r="E554" s="3">
        <v>45877</v>
      </c>
      <c r="F554" t="s">
        <v>11</v>
      </c>
      <c r="G554" t="s">
        <v>911</v>
      </c>
      <c r="H554" t="s">
        <v>911</v>
      </c>
      <c r="I554">
        <v>-363.39</v>
      </c>
      <c r="J554" t="s">
        <v>15</v>
      </c>
      <c r="K554" s="3">
        <v>45907</v>
      </c>
      <c r="M554" t="s">
        <v>912</v>
      </c>
      <c r="N554" s="2">
        <v>45962</v>
      </c>
      <c r="O554">
        <v>63955365</v>
      </c>
      <c r="P554">
        <v>40</v>
      </c>
      <c r="Q554" s="3">
        <v>45991</v>
      </c>
      <c r="R554">
        <v>271</v>
      </c>
      <c r="T554" t="s">
        <v>913</v>
      </c>
      <c r="U554">
        <v>0</v>
      </c>
      <c r="Y554" s="27">
        <f t="shared" si="28"/>
        <v>-363.39</v>
      </c>
      <c r="Z554" t="s">
        <v>894</v>
      </c>
    </row>
    <row r="555" spans="1:26" hidden="1" x14ac:dyDescent="0.35">
      <c r="A555" t="s">
        <v>910</v>
      </c>
      <c r="B555" t="s">
        <v>910</v>
      </c>
      <c r="C555" t="s">
        <v>438</v>
      </c>
      <c r="D555" s="4">
        <v>256779417349</v>
      </c>
      <c r="E555" s="3">
        <v>45904</v>
      </c>
      <c r="F555" t="s">
        <v>11</v>
      </c>
      <c r="G555" t="s">
        <v>911</v>
      </c>
      <c r="H555" t="s">
        <v>911</v>
      </c>
      <c r="I555">
        <v>-134.63</v>
      </c>
      <c r="J555" t="s">
        <v>15</v>
      </c>
      <c r="K555" s="3">
        <v>45934</v>
      </c>
      <c r="M555" t="s">
        <v>912</v>
      </c>
      <c r="N555" s="2">
        <v>45962</v>
      </c>
      <c r="O555">
        <v>63955365</v>
      </c>
      <c r="P555">
        <v>42</v>
      </c>
      <c r="Q555" s="3">
        <v>45991</v>
      </c>
      <c r="R555">
        <v>271</v>
      </c>
      <c r="T555" t="s">
        <v>913</v>
      </c>
      <c r="U555">
        <v>0</v>
      </c>
      <c r="Y555" s="27">
        <f t="shared" si="28"/>
        <v>-134.63</v>
      </c>
      <c r="Z555" t="s">
        <v>894</v>
      </c>
    </row>
    <row r="556" spans="1:26" hidden="1" x14ac:dyDescent="0.35">
      <c r="A556" t="s">
        <v>910</v>
      </c>
      <c r="B556" t="s">
        <v>910</v>
      </c>
      <c r="C556" t="s">
        <v>438</v>
      </c>
      <c r="D556" s="4">
        <v>256779417350</v>
      </c>
      <c r="E556" s="3">
        <v>45904</v>
      </c>
      <c r="F556" t="s">
        <v>11</v>
      </c>
      <c r="G556" t="s">
        <v>911</v>
      </c>
      <c r="H556" t="s">
        <v>911</v>
      </c>
      <c r="I556">
        <v>-73.63</v>
      </c>
      <c r="J556" t="s">
        <v>15</v>
      </c>
      <c r="K556" s="3">
        <v>45934</v>
      </c>
      <c r="M556" t="s">
        <v>912</v>
      </c>
      <c r="N556" s="2">
        <v>45962</v>
      </c>
      <c r="O556">
        <v>63955365</v>
      </c>
      <c r="P556">
        <v>44</v>
      </c>
      <c r="Q556" s="3">
        <v>45991</v>
      </c>
      <c r="R556">
        <v>271</v>
      </c>
      <c r="T556" t="s">
        <v>913</v>
      </c>
      <c r="U556">
        <v>0</v>
      </c>
      <c r="Y556" s="27">
        <f t="shared" si="28"/>
        <v>-73.63</v>
      </c>
      <c r="Z556" t="s">
        <v>894</v>
      </c>
    </row>
    <row r="557" spans="1:26" hidden="1" x14ac:dyDescent="0.35">
      <c r="A557" t="s">
        <v>910</v>
      </c>
      <c r="B557" t="s">
        <v>910</v>
      </c>
      <c r="C557" t="s">
        <v>438</v>
      </c>
      <c r="D557" s="4">
        <v>256779417348</v>
      </c>
      <c r="E557" s="3">
        <v>45904</v>
      </c>
      <c r="F557" t="s">
        <v>11</v>
      </c>
      <c r="G557" t="s">
        <v>911</v>
      </c>
      <c r="H557" t="s">
        <v>911</v>
      </c>
      <c r="I557" s="27">
        <v>-3365.85</v>
      </c>
      <c r="J557" t="s">
        <v>15</v>
      </c>
      <c r="K557" s="3">
        <v>45934</v>
      </c>
      <c r="M557" t="s">
        <v>912</v>
      </c>
      <c r="N557" s="2">
        <v>45962</v>
      </c>
      <c r="O557">
        <v>63955365</v>
      </c>
      <c r="P557">
        <v>46</v>
      </c>
      <c r="Q557" s="3">
        <v>45991</v>
      </c>
      <c r="R557">
        <v>271</v>
      </c>
      <c r="T557" t="s">
        <v>913</v>
      </c>
      <c r="U557">
        <v>0</v>
      </c>
      <c r="Y557" s="27">
        <f t="shared" si="28"/>
        <v>-3365.85</v>
      </c>
      <c r="Z557" t="s">
        <v>894</v>
      </c>
    </row>
    <row r="558" spans="1:26" hidden="1" x14ac:dyDescent="0.35">
      <c r="A558" t="s">
        <v>910</v>
      </c>
      <c r="B558" t="s">
        <v>910</v>
      </c>
      <c r="C558" t="s">
        <v>438</v>
      </c>
      <c r="D558" s="4">
        <v>256779415319</v>
      </c>
      <c r="E558" s="3">
        <v>45848</v>
      </c>
      <c r="F558" t="s">
        <v>11</v>
      </c>
      <c r="G558" t="s">
        <v>911</v>
      </c>
      <c r="H558" t="s">
        <v>911</v>
      </c>
      <c r="I558">
        <v>-94.07</v>
      </c>
      <c r="J558" t="s">
        <v>15</v>
      </c>
      <c r="K558" s="3">
        <v>45878</v>
      </c>
      <c r="M558" t="s">
        <v>912</v>
      </c>
      <c r="N558" s="2">
        <v>45962</v>
      </c>
      <c r="O558">
        <v>63955365</v>
      </c>
      <c r="P558">
        <v>48</v>
      </c>
      <c r="Q558" s="3">
        <v>45991</v>
      </c>
      <c r="R558">
        <v>271</v>
      </c>
      <c r="T558" t="s">
        <v>913</v>
      </c>
      <c r="U558">
        <v>0</v>
      </c>
      <c r="Y558" s="27">
        <f t="shared" si="28"/>
        <v>-94.07</v>
      </c>
      <c r="Z558" t="s">
        <v>894</v>
      </c>
    </row>
    <row r="559" spans="1:26" hidden="1" x14ac:dyDescent="0.35">
      <c r="A559" t="s">
        <v>910</v>
      </c>
      <c r="B559" t="s">
        <v>910</v>
      </c>
      <c r="C559" t="s">
        <v>438</v>
      </c>
      <c r="D559" s="4">
        <v>256779416137</v>
      </c>
      <c r="E559" s="3">
        <v>45877</v>
      </c>
      <c r="F559" t="s">
        <v>11</v>
      </c>
      <c r="G559" t="s">
        <v>911</v>
      </c>
      <c r="H559" t="s">
        <v>911</v>
      </c>
      <c r="I559">
        <v>-136.03</v>
      </c>
      <c r="J559" t="s">
        <v>15</v>
      </c>
      <c r="K559" s="3">
        <v>45907</v>
      </c>
      <c r="M559" t="s">
        <v>912</v>
      </c>
      <c r="N559" s="2">
        <v>45962</v>
      </c>
      <c r="O559">
        <v>63955365</v>
      </c>
      <c r="P559">
        <v>50</v>
      </c>
      <c r="Q559" s="3">
        <v>45991</v>
      </c>
      <c r="R559">
        <v>271</v>
      </c>
      <c r="T559" t="s">
        <v>913</v>
      </c>
      <c r="U559">
        <v>0</v>
      </c>
      <c r="Y559" s="27">
        <f t="shared" si="28"/>
        <v>-136.03</v>
      </c>
      <c r="Z559" t="s">
        <v>894</v>
      </c>
    </row>
    <row r="560" spans="1:26" hidden="1" x14ac:dyDescent="0.35">
      <c r="A560" t="s">
        <v>910</v>
      </c>
      <c r="B560" t="s">
        <v>910</v>
      </c>
      <c r="C560" t="s">
        <v>438</v>
      </c>
      <c r="D560" s="4">
        <v>246779411730</v>
      </c>
      <c r="E560" s="3">
        <v>45733</v>
      </c>
      <c r="F560" t="s">
        <v>11</v>
      </c>
      <c r="G560" t="s">
        <v>911</v>
      </c>
      <c r="H560" t="s">
        <v>911</v>
      </c>
      <c r="I560">
        <v>-23.64</v>
      </c>
      <c r="J560" t="s">
        <v>15</v>
      </c>
      <c r="K560" s="3">
        <v>45763</v>
      </c>
      <c r="M560" t="s">
        <v>912</v>
      </c>
      <c r="N560" s="2">
        <v>45962</v>
      </c>
      <c r="O560">
        <v>63955365</v>
      </c>
      <c r="P560">
        <v>52</v>
      </c>
      <c r="Q560" s="3">
        <v>45991</v>
      </c>
      <c r="R560">
        <v>271</v>
      </c>
      <c r="T560" t="s">
        <v>913</v>
      </c>
      <c r="U560">
        <v>0</v>
      </c>
      <c r="Y560" s="27">
        <f t="shared" si="28"/>
        <v>-23.64</v>
      </c>
      <c r="Z560" t="s">
        <v>894</v>
      </c>
    </row>
    <row r="561" spans="1:28" hidden="1" x14ac:dyDescent="0.35">
      <c r="A561" t="s">
        <v>910</v>
      </c>
      <c r="B561" t="s">
        <v>910</v>
      </c>
      <c r="C561" t="s">
        <v>438</v>
      </c>
      <c r="D561" s="4">
        <v>246779411789</v>
      </c>
      <c r="E561" s="3">
        <v>45733</v>
      </c>
      <c r="F561" t="s">
        <v>11</v>
      </c>
      <c r="G561" t="s">
        <v>911</v>
      </c>
      <c r="H561" t="s">
        <v>911</v>
      </c>
      <c r="I561">
        <v>-886.24</v>
      </c>
      <c r="J561" t="s">
        <v>15</v>
      </c>
      <c r="K561" s="3">
        <v>45763</v>
      </c>
      <c r="M561" t="s">
        <v>912</v>
      </c>
      <c r="N561" s="2">
        <v>45962</v>
      </c>
      <c r="O561">
        <v>63955365</v>
      </c>
      <c r="P561">
        <v>54</v>
      </c>
      <c r="Q561" s="3">
        <v>45991</v>
      </c>
      <c r="R561">
        <v>271</v>
      </c>
      <c r="T561" t="s">
        <v>913</v>
      </c>
      <c r="U561">
        <v>0</v>
      </c>
      <c r="Y561" s="27">
        <f t="shared" si="28"/>
        <v>-886.24</v>
      </c>
      <c r="Z561" t="s">
        <v>894</v>
      </c>
    </row>
    <row r="562" spans="1:28" hidden="1" x14ac:dyDescent="0.35">
      <c r="A562" t="s">
        <v>910</v>
      </c>
      <c r="B562" t="s">
        <v>910</v>
      </c>
      <c r="C562" t="s">
        <v>438</v>
      </c>
      <c r="D562" s="4">
        <v>256779413240</v>
      </c>
      <c r="E562" s="3">
        <v>45787</v>
      </c>
      <c r="F562" t="s">
        <v>11</v>
      </c>
      <c r="G562" t="s">
        <v>911</v>
      </c>
      <c r="H562" t="s">
        <v>911</v>
      </c>
      <c r="I562" s="27">
        <v>-1570.91</v>
      </c>
      <c r="J562" t="s">
        <v>15</v>
      </c>
      <c r="K562" s="3">
        <v>45817</v>
      </c>
      <c r="M562" t="s">
        <v>912</v>
      </c>
      <c r="N562" s="2">
        <v>45962</v>
      </c>
      <c r="O562">
        <v>63955365</v>
      </c>
      <c r="P562">
        <v>56</v>
      </c>
      <c r="Q562" s="3">
        <v>45991</v>
      </c>
      <c r="R562">
        <v>271</v>
      </c>
      <c r="T562" t="s">
        <v>913</v>
      </c>
      <c r="U562">
        <v>0</v>
      </c>
      <c r="Y562" s="27">
        <f t="shared" si="28"/>
        <v>-1570.91</v>
      </c>
      <c r="Z562" t="s">
        <v>894</v>
      </c>
    </row>
    <row r="563" spans="1:28" hidden="1" x14ac:dyDescent="0.35">
      <c r="A563" t="s">
        <v>910</v>
      </c>
      <c r="B563" t="s">
        <v>910</v>
      </c>
      <c r="C563" t="s">
        <v>438</v>
      </c>
      <c r="D563" s="4">
        <v>256779412776</v>
      </c>
      <c r="E563" s="3">
        <v>45771</v>
      </c>
      <c r="F563" t="s">
        <v>11</v>
      </c>
      <c r="G563" t="s">
        <v>911</v>
      </c>
      <c r="H563" t="s">
        <v>911</v>
      </c>
      <c r="I563" s="27">
        <v>-2124.59</v>
      </c>
      <c r="J563" t="s">
        <v>15</v>
      </c>
      <c r="K563" s="3">
        <v>45801</v>
      </c>
      <c r="M563" t="s">
        <v>912</v>
      </c>
      <c r="N563" s="2">
        <v>45962</v>
      </c>
      <c r="O563">
        <v>63955365</v>
      </c>
      <c r="P563">
        <v>58</v>
      </c>
      <c r="Q563" s="3">
        <v>45991</v>
      </c>
      <c r="R563">
        <v>271</v>
      </c>
      <c r="T563" t="s">
        <v>913</v>
      </c>
      <c r="U563">
        <v>0</v>
      </c>
      <c r="Y563" s="27">
        <f t="shared" si="28"/>
        <v>-2124.59</v>
      </c>
      <c r="Z563" t="s">
        <v>894</v>
      </c>
    </row>
    <row r="564" spans="1:28" hidden="1" x14ac:dyDescent="0.35">
      <c r="A564" t="s">
        <v>910</v>
      </c>
      <c r="B564" t="s">
        <v>910</v>
      </c>
      <c r="C564" t="s">
        <v>438</v>
      </c>
      <c r="D564" s="4">
        <v>256779414431</v>
      </c>
      <c r="E564" s="3">
        <v>45826</v>
      </c>
      <c r="F564" t="s">
        <v>11</v>
      </c>
      <c r="G564" t="s">
        <v>911</v>
      </c>
      <c r="H564" t="s">
        <v>911</v>
      </c>
      <c r="I564">
        <v>-209.97</v>
      </c>
      <c r="J564" t="s">
        <v>15</v>
      </c>
      <c r="K564" s="3">
        <v>45856</v>
      </c>
      <c r="M564" t="s">
        <v>912</v>
      </c>
      <c r="N564" s="2">
        <v>45962</v>
      </c>
      <c r="O564">
        <v>63955365</v>
      </c>
      <c r="P564">
        <v>60</v>
      </c>
      <c r="Q564" s="3">
        <v>45991</v>
      </c>
      <c r="R564">
        <v>271</v>
      </c>
      <c r="T564" t="s">
        <v>913</v>
      </c>
      <c r="U564">
        <v>0</v>
      </c>
      <c r="Y564" s="27">
        <f t="shared" si="28"/>
        <v>-209.97</v>
      </c>
      <c r="Z564" t="s">
        <v>894</v>
      </c>
    </row>
    <row r="565" spans="1:28" hidden="1" x14ac:dyDescent="0.35">
      <c r="A565" t="s">
        <v>910</v>
      </c>
      <c r="B565" t="s">
        <v>910</v>
      </c>
      <c r="C565" t="s">
        <v>438</v>
      </c>
      <c r="D565" s="4">
        <v>256779413931</v>
      </c>
      <c r="E565" s="3">
        <v>45810</v>
      </c>
      <c r="F565" t="s">
        <v>11</v>
      </c>
      <c r="G565" t="s">
        <v>911</v>
      </c>
      <c r="H565" t="s">
        <v>911</v>
      </c>
      <c r="I565" s="27">
        <v>-1584.45</v>
      </c>
      <c r="J565" t="s">
        <v>15</v>
      </c>
      <c r="K565" s="3">
        <v>45840</v>
      </c>
      <c r="M565" t="s">
        <v>912</v>
      </c>
      <c r="N565" s="2">
        <v>45962</v>
      </c>
      <c r="O565">
        <v>63955365</v>
      </c>
      <c r="P565">
        <v>62</v>
      </c>
      <c r="Q565" s="3">
        <v>45991</v>
      </c>
      <c r="R565">
        <v>271</v>
      </c>
      <c r="T565" t="s">
        <v>913</v>
      </c>
      <c r="U565">
        <v>0</v>
      </c>
      <c r="Y565" s="27">
        <f t="shared" si="28"/>
        <v>-1584.45</v>
      </c>
      <c r="Z565" t="s">
        <v>894</v>
      </c>
    </row>
    <row r="566" spans="1:28" hidden="1" x14ac:dyDescent="0.35">
      <c r="A566" t="s">
        <v>910</v>
      </c>
      <c r="B566" t="s">
        <v>910</v>
      </c>
      <c r="C566" t="s">
        <v>438</v>
      </c>
      <c r="D566" s="4">
        <v>256779413250</v>
      </c>
      <c r="E566" s="3">
        <v>45787</v>
      </c>
      <c r="F566" t="s">
        <v>11</v>
      </c>
      <c r="G566" t="s">
        <v>911</v>
      </c>
      <c r="H566" t="s">
        <v>911</v>
      </c>
      <c r="I566" s="27">
        <v>-1568.11</v>
      </c>
      <c r="J566" t="s">
        <v>15</v>
      </c>
      <c r="K566" s="3">
        <v>45817</v>
      </c>
      <c r="M566" t="s">
        <v>912</v>
      </c>
      <c r="N566" s="2">
        <v>45962</v>
      </c>
      <c r="O566">
        <v>63955365</v>
      </c>
      <c r="P566">
        <v>64</v>
      </c>
      <c r="Q566" s="3">
        <v>45991</v>
      </c>
      <c r="R566">
        <v>271</v>
      </c>
      <c r="T566" t="s">
        <v>913</v>
      </c>
      <c r="U566">
        <v>0</v>
      </c>
      <c r="Y566" s="27">
        <f t="shared" si="28"/>
        <v>-1568.11</v>
      </c>
      <c r="Z566" t="s">
        <v>894</v>
      </c>
    </row>
    <row r="567" spans="1:28" hidden="1" x14ac:dyDescent="0.35">
      <c r="A567" t="s">
        <v>910</v>
      </c>
      <c r="B567" t="s">
        <v>910</v>
      </c>
      <c r="C567" t="s">
        <v>438</v>
      </c>
      <c r="D567" s="4">
        <v>256779413908</v>
      </c>
      <c r="E567" s="3">
        <v>45805</v>
      </c>
      <c r="F567" t="s">
        <v>11</v>
      </c>
      <c r="G567" t="s">
        <v>911</v>
      </c>
      <c r="H567" t="s">
        <v>911</v>
      </c>
      <c r="I567" s="27">
        <v>-11858.12</v>
      </c>
      <c r="J567" t="s">
        <v>15</v>
      </c>
      <c r="K567" s="3">
        <v>45835</v>
      </c>
      <c r="M567" t="s">
        <v>912</v>
      </c>
      <c r="N567" s="2">
        <v>45962</v>
      </c>
      <c r="O567">
        <v>63955365</v>
      </c>
      <c r="P567">
        <v>66</v>
      </c>
      <c r="Q567" s="3">
        <v>45991</v>
      </c>
      <c r="R567">
        <v>271</v>
      </c>
      <c r="T567" t="s">
        <v>913</v>
      </c>
      <c r="U567">
        <v>0</v>
      </c>
      <c r="Y567" s="27">
        <f t="shared" si="28"/>
        <v>-11858.12</v>
      </c>
      <c r="Z567" t="s">
        <v>894</v>
      </c>
    </row>
    <row r="568" spans="1:28" hidden="1" x14ac:dyDescent="0.35">
      <c r="A568" t="s">
        <v>910</v>
      </c>
      <c r="B568" t="s">
        <v>910</v>
      </c>
      <c r="C568" t="s">
        <v>438</v>
      </c>
      <c r="D568" s="4">
        <v>256779417971</v>
      </c>
      <c r="E568" s="3">
        <v>45935</v>
      </c>
      <c r="F568" t="s">
        <v>11</v>
      </c>
      <c r="G568">
        <v>-94.81</v>
      </c>
      <c r="H568">
        <v>94.81</v>
      </c>
      <c r="I568" s="27">
        <v>-8405.81</v>
      </c>
      <c r="J568" t="s">
        <v>42</v>
      </c>
      <c r="K568" s="3">
        <v>45965</v>
      </c>
      <c r="L568" s="3">
        <v>46022</v>
      </c>
      <c r="M568" t="s">
        <v>912</v>
      </c>
      <c r="N568" s="2">
        <v>45992</v>
      </c>
      <c r="O568">
        <v>64689955</v>
      </c>
      <c r="P568">
        <v>1</v>
      </c>
      <c r="Q568" s="3">
        <v>46005</v>
      </c>
      <c r="R568">
        <v>210</v>
      </c>
      <c r="S568" s="85">
        <v>1.55E+16</v>
      </c>
      <c r="T568" t="s">
        <v>913</v>
      </c>
      <c r="U568">
        <v>8405.81</v>
      </c>
      <c r="W568" s="79">
        <f t="shared" ref="W568:W592" si="31">X568/I568</f>
        <v>-2.0039710628719898E-2</v>
      </c>
      <c r="X568">
        <f>VLOOKUP(D568,'[3]Customer TDS'!D:I,6,0)</f>
        <v>168.45</v>
      </c>
      <c r="Y568" s="27">
        <f t="shared" si="28"/>
        <v>-8237.3599999999988</v>
      </c>
      <c r="Z568" t="s">
        <v>915</v>
      </c>
      <c r="AA568">
        <f>VLOOKUP(D568,'Ascendus DATA'!$F:$J,5,0)</f>
        <v>8361.3700000000008</v>
      </c>
      <c r="AB568" s="27">
        <f t="shared" ref="AB568:AB592" si="32">I568+AA568</f>
        <v>-44.43999999999869</v>
      </c>
    </row>
    <row r="569" spans="1:28" hidden="1" x14ac:dyDescent="0.35">
      <c r="A569" t="s">
        <v>910</v>
      </c>
      <c r="B569" t="s">
        <v>910</v>
      </c>
      <c r="C569" t="s">
        <v>438</v>
      </c>
      <c r="D569" s="4">
        <v>256779411466</v>
      </c>
      <c r="E569" s="3">
        <v>45762</v>
      </c>
      <c r="F569" t="s">
        <v>11</v>
      </c>
      <c r="G569">
        <v>-35.4</v>
      </c>
      <c r="H569">
        <v>0.71</v>
      </c>
      <c r="I569" s="27">
        <v>-3034.73</v>
      </c>
      <c r="K569" s="3">
        <v>45792</v>
      </c>
      <c r="L569" s="3">
        <v>46053</v>
      </c>
      <c r="M569" t="s">
        <v>912</v>
      </c>
      <c r="N569" s="2">
        <v>45992</v>
      </c>
      <c r="O569">
        <v>64788226</v>
      </c>
      <c r="P569">
        <v>1</v>
      </c>
      <c r="Q569" s="3">
        <v>46006</v>
      </c>
      <c r="R569">
        <v>210</v>
      </c>
      <c r="S569" s="85">
        <v>1.55E+16</v>
      </c>
      <c r="T569" t="s">
        <v>913</v>
      </c>
      <c r="U569">
        <v>-143.94</v>
      </c>
      <c r="W569" s="79">
        <f t="shared" si="31"/>
        <v>-2.0057797563539426E-2</v>
      </c>
      <c r="X569">
        <f>VLOOKUP(D569,'[3]Customer TDS'!D:I,6,0)</f>
        <v>60.87</v>
      </c>
      <c r="Y569" s="27">
        <f t="shared" si="28"/>
        <v>-2973.86</v>
      </c>
      <c r="Z569" t="s">
        <v>915</v>
      </c>
      <c r="AA569">
        <f>VLOOKUP(D569,'Ascendus DATA'!$F:$J,5,0)</f>
        <v>3077.03</v>
      </c>
      <c r="AB569" s="27">
        <f t="shared" si="32"/>
        <v>42.300000000000182</v>
      </c>
    </row>
    <row r="570" spans="1:28" hidden="1" x14ac:dyDescent="0.35">
      <c r="A570" t="s">
        <v>910</v>
      </c>
      <c r="B570" t="s">
        <v>910</v>
      </c>
      <c r="C570" t="s">
        <v>438</v>
      </c>
      <c r="D570" s="4">
        <v>256779411465</v>
      </c>
      <c r="E570" s="3">
        <v>45762</v>
      </c>
      <c r="F570" t="s">
        <v>11</v>
      </c>
      <c r="G570">
        <v>-32.450000000000003</v>
      </c>
      <c r="H570">
        <v>0.65</v>
      </c>
      <c r="I570" s="27">
        <v>-2781.84</v>
      </c>
      <c r="K570" s="3">
        <v>45792</v>
      </c>
      <c r="L570" s="3">
        <v>46053</v>
      </c>
      <c r="M570" t="s">
        <v>912</v>
      </c>
      <c r="N570" s="2">
        <v>45992</v>
      </c>
      <c r="O570">
        <v>64788232</v>
      </c>
      <c r="P570">
        <v>1</v>
      </c>
      <c r="Q570" s="3">
        <v>46006</v>
      </c>
      <c r="R570">
        <v>210</v>
      </c>
      <c r="S570" s="85">
        <v>1.55E+16</v>
      </c>
      <c r="T570" t="s">
        <v>913</v>
      </c>
      <c r="U570">
        <v>-132.02000000000001</v>
      </c>
      <c r="W570" s="79">
        <f t="shared" si="31"/>
        <v>-2.002990826215742E-2</v>
      </c>
      <c r="X570">
        <f>VLOOKUP(D570,'[3]Customer TDS'!D:I,6,0)</f>
        <v>55.72</v>
      </c>
      <c r="Y570" s="27">
        <f t="shared" si="28"/>
        <v>-2726.1200000000003</v>
      </c>
      <c r="Z570" t="s">
        <v>915</v>
      </c>
      <c r="AA570">
        <f>VLOOKUP(D570,'Ascendus DATA'!$F:$J,5,0)</f>
        <v>2820.61</v>
      </c>
      <c r="AB570" s="27">
        <f t="shared" si="32"/>
        <v>38.769999999999982</v>
      </c>
    </row>
    <row r="571" spans="1:28" hidden="1" x14ac:dyDescent="0.35">
      <c r="A571" t="s">
        <v>910</v>
      </c>
      <c r="B571" t="s">
        <v>910</v>
      </c>
      <c r="C571" t="s">
        <v>438</v>
      </c>
      <c r="D571" s="4">
        <v>256779417317</v>
      </c>
      <c r="E571" s="3">
        <v>45904</v>
      </c>
      <c r="F571" t="s">
        <v>11</v>
      </c>
      <c r="G571">
        <v>-170.85</v>
      </c>
      <c r="H571">
        <v>170.85</v>
      </c>
      <c r="I571" s="27">
        <v>-14975.33</v>
      </c>
      <c r="K571" s="3">
        <v>45934</v>
      </c>
      <c r="L571" s="3">
        <v>46022</v>
      </c>
      <c r="M571" t="s">
        <v>912</v>
      </c>
      <c r="N571" s="2">
        <v>45992</v>
      </c>
      <c r="O571">
        <v>64788237</v>
      </c>
      <c r="P571">
        <v>1</v>
      </c>
      <c r="Q571" s="3">
        <v>46006</v>
      </c>
      <c r="R571">
        <v>210</v>
      </c>
      <c r="S571" s="85">
        <v>1.55E+16</v>
      </c>
      <c r="T571" t="s">
        <v>913</v>
      </c>
      <c r="U571">
        <v>14975.33</v>
      </c>
      <c r="W571" s="79">
        <f t="shared" si="31"/>
        <v>-2.0017588927923456E-2</v>
      </c>
      <c r="X571">
        <f>VLOOKUP(D571,'[3]Customer TDS'!D:I,6,0)</f>
        <v>299.77</v>
      </c>
      <c r="Y571" s="27">
        <f t="shared" si="28"/>
        <v>-14675.56</v>
      </c>
      <c r="Z571" t="s">
        <v>915</v>
      </c>
      <c r="AA571">
        <f>VLOOKUP(D571,'Ascendus DATA'!$F:$J,5,0)</f>
        <v>14951.82</v>
      </c>
      <c r="AB571" s="27">
        <f t="shared" si="32"/>
        <v>-23.510000000000218</v>
      </c>
    </row>
    <row r="572" spans="1:28" hidden="1" x14ac:dyDescent="0.35">
      <c r="A572" t="s">
        <v>910</v>
      </c>
      <c r="B572" t="s">
        <v>910</v>
      </c>
      <c r="C572" t="s">
        <v>438</v>
      </c>
      <c r="D572" s="4">
        <v>256779419542</v>
      </c>
      <c r="E572" s="3">
        <v>45981</v>
      </c>
      <c r="F572" t="s">
        <v>11</v>
      </c>
      <c r="G572">
        <v>-409.4</v>
      </c>
      <c r="H572">
        <v>409.4</v>
      </c>
      <c r="I572" s="27">
        <v>-36130.6</v>
      </c>
      <c r="J572" t="s">
        <v>61</v>
      </c>
      <c r="K572" s="3">
        <v>46011</v>
      </c>
      <c r="L572" s="3">
        <v>46022</v>
      </c>
      <c r="M572" t="s">
        <v>912</v>
      </c>
      <c r="N572" s="2">
        <v>45992</v>
      </c>
      <c r="O572">
        <v>64788740</v>
      </c>
      <c r="P572">
        <v>1</v>
      </c>
      <c r="Q572" s="3">
        <v>46006</v>
      </c>
      <c r="R572">
        <v>210</v>
      </c>
      <c r="S572" s="85">
        <v>1.55E+16</v>
      </c>
      <c r="T572" t="s">
        <v>913</v>
      </c>
      <c r="U572">
        <v>36130.6</v>
      </c>
      <c r="W572" s="79">
        <f t="shared" si="31"/>
        <v>-2.0004926571936255E-2</v>
      </c>
      <c r="X572">
        <f>VLOOKUP(D572,'[3]Customer TDS'!D:I,6,0)</f>
        <v>722.79</v>
      </c>
      <c r="Y572" s="27">
        <f t="shared" si="28"/>
        <v>-35407.81</v>
      </c>
      <c r="Z572" t="s">
        <v>915</v>
      </c>
      <c r="AA572">
        <f>VLOOKUP(D572,'Ascendus DATA'!$F:$J,5,0)</f>
        <v>36028.589999999997</v>
      </c>
      <c r="AB572" s="27">
        <f t="shared" si="32"/>
        <v>-102.01000000000204</v>
      </c>
    </row>
    <row r="573" spans="1:28" hidden="1" x14ac:dyDescent="0.35">
      <c r="A573" t="s">
        <v>910</v>
      </c>
      <c r="B573" t="s">
        <v>910</v>
      </c>
      <c r="C573" t="s">
        <v>438</v>
      </c>
      <c r="D573" s="4">
        <v>256779416028</v>
      </c>
      <c r="E573" s="3">
        <v>45870</v>
      </c>
      <c r="F573" t="s">
        <v>11</v>
      </c>
      <c r="G573" s="27">
        <v>-2324.77</v>
      </c>
      <c r="H573" s="27">
        <v>2324.77</v>
      </c>
      <c r="I573" s="27">
        <v>-201396.93</v>
      </c>
      <c r="J573" t="s">
        <v>42</v>
      </c>
      <c r="K573" s="3">
        <v>45900</v>
      </c>
      <c r="L573" s="3">
        <v>46053</v>
      </c>
      <c r="M573" t="s">
        <v>912</v>
      </c>
      <c r="N573" s="2">
        <v>45992</v>
      </c>
      <c r="O573">
        <v>64788819</v>
      </c>
      <c r="P573">
        <v>1</v>
      </c>
      <c r="Q573" s="3">
        <v>46006</v>
      </c>
      <c r="R573">
        <v>210</v>
      </c>
      <c r="S573" s="85">
        <v>1.55E+16</v>
      </c>
      <c r="T573" t="s">
        <v>913</v>
      </c>
      <c r="U573">
        <v>201396.93</v>
      </c>
      <c r="W573" s="79">
        <f t="shared" si="31"/>
        <v>-2.0001993079040482E-2</v>
      </c>
      <c r="X573">
        <f>VLOOKUP(D573,'[3]Customer TDS'!D:I,6,0)</f>
        <v>4028.34</v>
      </c>
      <c r="Y573" s="27">
        <f t="shared" si="28"/>
        <v>-197368.59</v>
      </c>
      <c r="Z573" t="s">
        <v>915</v>
      </c>
      <c r="AA573">
        <f>VLOOKUP(D573,'Ascendus DATA'!$F:$J,5,0)</f>
        <v>200000</v>
      </c>
      <c r="AB573" s="27">
        <f t="shared" si="32"/>
        <v>-1396.929999999993</v>
      </c>
    </row>
    <row r="574" spans="1:28" hidden="1" x14ac:dyDescent="0.35">
      <c r="A574" t="s">
        <v>910</v>
      </c>
      <c r="B574" t="s">
        <v>910</v>
      </c>
      <c r="C574" t="s">
        <v>438</v>
      </c>
      <c r="D574" s="4">
        <v>256779416029</v>
      </c>
      <c r="E574" s="3">
        <v>45870</v>
      </c>
      <c r="F574" t="s">
        <v>11</v>
      </c>
      <c r="G574">
        <v>-92.99</v>
      </c>
      <c r="H574">
        <v>92.99</v>
      </c>
      <c r="I574" s="27">
        <v>-8055.81</v>
      </c>
      <c r="J574" t="s">
        <v>42</v>
      </c>
      <c r="K574" s="3">
        <v>45900</v>
      </c>
      <c r="L574" s="3">
        <v>46053</v>
      </c>
      <c r="M574" t="s">
        <v>912</v>
      </c>
      <c r="N574" s="2">
        <v>45992</v>
      </c>
      <c r="O574">
        <v>64788876</v>
      </c>
      <c r="P574">
        <v>1</v>
      </c>
      <c r="Q574" s="3">
        <v>46006</v>
      </c>
      <c r="R574">
        <v>210</v>
      </c>
      <c r="S574" s="85">
        <v>1.55E+16</v>
      </c>
      <c r="T574" t="s">
        <v>913</v>
      </c>
      <c r="U574">
        <v>8055.81</v>
      </c>
      <c r="W574" s="79">
        <f t="shared" si="31"/>
        <v>-2.0001713049339544E-2</v>
      </c>
      <c r="X574">
        <f>VLOOKUP(D574,'[3]Customer TDS'!D:I,6,0)</f>
        <v>161.13</v>
      </c>
      <c r="Y574" s="27">
        <f t="shared" si="28"/>
        <v>-7894.68</v>
      </c>
      <c r="Z574" t="s">
        <v>915</v>
      </c>
      <c r="AA574">
        <f>VLOOKUP(D574,'Ascendus DATA'!$F:$J,5,0)</f>
        <v>8000</v>
      </c>
      <c r="AB574" s="27">
        <f t="shared" si="32"/>
        <v>-55.8100000000004</v>
      </c>
    </row>
    <row r="575" spans="1:28" hidden="1" x14ac:dyDescent="0.35">
      <c r="A575" t="s">
        <v>910</v>
      </c>
      <c r="B575" t="s">
        <v>910</v>
      </c>
      <c r="C575" t="s">
        <v>438</v>
      </c>
      <c r="D575" s="4">
        <v>256779416030</v>
      </c>
      <c r="E575" s="3">
        <v>45870</v>
      </c>
      <c r="F575" t="s">
        <v>11</v>
      </c>
      <c r="G575">
        <v>-51.14</v>
      </c>
      <c r="H575">
        <v>51.14</v>
      </c>
      <c r="I575" s="27">
        <v>-4430.3</v>
      </c>
      <c r="J575" t="s">
        <v>42</v>
      </c>
      <c r="K575" s="3">
        <v>45900</v>
      </c>
      <c r="L575" s="3">
        <v>46053</v>
      </c>
      <c r="M575" t="s">
        <v>912</v>
      </c>
      <c r="N575" s="2">
        <v>45992</v>
      </c>
      <c r="O575">
        <v>64788932</v>
      </c>
      <c r="P575">
        <v>1</v>
      </c>
      <c r="Q575" s="3">
        <v>46006</v>
      </c>
      <c r="R575">
        <v>210</v>
      </c>
      <c r="S575" s="85">
        <v>1.55E+16</v>
      </c>
      <c r="T575" t="s">
        <v>913</v>
      </c>
      <c r="U575">
        <v>4430.3</v>
      </c>
      <c r="W575" s="79">
        <f t="shared" si="31"/>
        <v>-1.9944473286233437E-2</v>
      </c>
      <c r="X575">
        <f>VLOOKUP(D575,'[3]Customer TDS'!D:I,6,0)</f>
        <v>88.36</v>
      </c>
      <c r="Y575" s="27">
        <f t="shared" si="28"/>
        <v>-4341.9400000000005</v>
      </c>
      <c r="Z575" t="s">
        <v>915</v>
      </c>
      <c r="AA575">
        <f>VLOOKUP(D575,'Ascendus DATA'!$F:$J,5,0)</f>
        <v>4400</v>
      </c>
      <c r="AB575" s="27">
        <f t="shared" si="32"/>
        <v>-30.300000000000182</v>
      </c>
    </row>
    <row r="576" spans="1:28" hidden="1" x14ac:dyDescent="0.35">
      <c r="A576" t="s">
        <v>910</v>
      </c>
      <c r="B576" t="s">
        <v>910</v>
      </c>
      <c r="C576" t="s">
        <v>438</v>
      </c>
      <c r="D576" s="4">
        <v>256779417875</v>
      </c>
      <c r="E576" s="3">
        <v>45935</v>
      </c>
      <c r="F576" t="s">
        <v>11</v>
      </c>
      <c r="G576" s="27">
        <v>-2267.81</v>
      </c>
      <c r="H576" s="27">
        <v>2267.81</v>
      </c>
      <c r="I576" s="27">
        <v>-201062.89</v>
      </c>
      <c r="J576" t="s">
        <v>42</v>
      </c>
      <c r="K576" s="3">
        <v>45965</v>
      </c>
      <c r="L576" s="3">
        <v>46053</v>
      </c>
      <c r="M576" t="s">
        <v>912</v>
      </c>
      <c r="N576" s="2">
        <v>45992</v>
      </c>
      <c r="O576">
        <v>64788991</v>
      </c>
      <c r="P576">
        <v>1</v>
      </c>
      <c r="Q576" s="3">
        <v>46006</v>
      </c>
      <c r="R576">
        <v>210</v>
      </c>
      <c r="S576" s="85">
        <v>1.55E+16</v>
      </c>
      <c r="T576" t="s">
        <v>913</v>
      </c>
      <c r="U576">
        <v>201062.89</v>
      </c>
      <c r="W576" s="79">
        <f t="shared" si="31"/>
        <v>-2.0001652219362807E-2</v>
      </c>
      <c r="X576">
        <f>VLOOKUP(D576,'[3]Customer TDS'!D:I,6,0)</f>
        <v>4021.59</v>
      </c>
      <c r="Y576" s="27">
        <f t="shared" si="28"/>
        <v>-197041.30000000002</v>
      </c>
      <c r="Z576" t="s">
        <v>915</v>
      </c>
      <c r="AA576">
        <f>VLOOKUP(D576,'Ascendus DATA'!$F:$J,5,0)</f>
        <v>200000</v>
      </c>
      <c r="AB576" s="27">
        <f t="shared" si="32"/>
        <v>-1062.890000000014</v>
      </c>
    </row>
    <row r="577" spans="1:28" hidden="1" x14ac:dyDescent="0.35">
      <c r="A577" t="s">
        <v>910</v>
      </c>
      <c r="B577" t="s">
        <v>910</v>
      </c>
      <c r="C577" t="s">
        <v>438</v>
      </c>
      <c r="D577" s="4">
        <v>256779417876</v>
      </c>
      <c r="E577" s="3">
        <v>45935</v>
      </c>
      <c r="F577" t="s">
        <v>11</v>
      </c>
      <c r="G577">
        <v>-90.71</v>
      </c>
      <c r="H577">
        <v>90.71</v>
      </c>
      <c r="I577" s="27">
        <v>-8042.3</v>
      </c>
      <c r="J577" t="s">
        <v>42</v>
      </c>
      <c r="K577" s="3">
        <v>45965</v>
      </c>
      <c r="L577" s="3">
        <v>46053</v>
      </c>
      <c r="M577" t="s">
        <v>912</v>
      </c>
      <c r="N577" s="2">
        <v>45992</v>
      </c>
      <c r="O577">
        <v>64789041</v>
      </c>
      <c r="P577">
        <v>1</v>
      </c>
      <c r="Q577" s="3">
        <v>46006</v>
      </c>
      <c r="R577">
        <v>210</v>
      </c>
      <c r="S577" s="85">
        <v>1.55E+16</v>
      </c>
      <c r="T577" t="s">
        <v>913</v>
      </c>
      <c r="U577">
        <v>8042.3</v>
      </c>
      <c r="W577" s="79">
        <f t="shared" si="31"/>
        <v>-1.9953247205401439E-2</v>
      </c>
      <c r="X577">
        <f>VLOOKUP(D577,'[3]Customer TDS'!D:I,6,0)</f>
        <v>160.47</v>
      </c>
      <c r="Y577" s="27">
        <f t="shared" si="28"/>
        <v>-7881.83</v>
      </c>
      <c r="Z577" t="s">
        <v>915</v>
      </c>
      <c r="AA577">
        <f>VLOOKUP(D577,'Ascendus DATA'!$F:$J,5,0)</f>
        <v>8000</v>
      </c>
      <c r="AB577" s="27">
        <f t="shared" si="32"/>
        <v>-42.300000000000182</v>
      </c>
    </row>
    <row r="578" spans="1:28" hidden="1" x14ac:dyDescent="0.35">
      <c r="A578" t="s">
        <v>910</v>
      </c>
      <c r="B578" t="s">
        <v>910</v>
      </c>
      <c r="C578" t="s">
        <v>438</v>
      </c>
      <c r="D578" s="4">
        <v>256779417877</v>
      </c>
      <c r="E578" s="3">
        <v>45935</v>
      </c>
      <c r="F578" t="s">
        <v>11</v>
      </c>
      <c r="G578">
        <v>-49.89</v>
      </c>
      <c r="H578">
        <v>49.89</v>
      </c>
      <c r="I578" s="27">
        <v>-4423.22</v>
      </c>
      <c r="J578" t="s">
        <v>42</v>
      </c>
      <c r="K578" s="3">
        <v>45965</v>
      </c>
      <c r="L578" s="3">
        <v>46053</v>
      </c>
      <c r="M578" t="s">
        <v>912</v>
      </c>
      <c r="N578" s="2">
        <v>45992</v>
      </c>
      <c r="O578">
        <v>64789060</v>
      </c>
      <c r="P578">
        <v>1</v>
      </c>
      <c r="Q578" s="3">
        <v>46006</v>
      </c>
      <c r="R578">
        <v>210</v>
      </c>
      <c r="S578" s="85">
        <v>1.55E+16</v>
      </c>
      <c r="T578" t="s">
        <v>913</v>
      </c>
      <c r="U578">
        <v>4423.22</v>
      </c>
      <c r="W578" s="79">
        <f t="shared" si="31"/>
        <v>-2.0044221178236666E-2</v>
      </c>
      <c r="X578">
        <f>VLOOKUP(D578,'[3]Customer TDS'!D:I,6,0)</f>
        <v>88.66</v>
      </c>
      <c r="Y578" s="27">
        <f t="shared" si="28"/>
        <v>-4334.5600000000004</v>
      </c>
      <c r="Z578" t="s">
        <v>915</v>
      </c>
      <c r="AA578">
        <f>VLOOKUP(D578,'Ascendus DATA'!$F:$J,5,0)</f>
        <v>4400</v>
      </c>
      <c r="AB578" s="27">
        <f t="shared" si="32"/>
        <v>-23.220000000000255</v>
      </c>
    </row>
    <row r="579" spans="1:28" hidden="1" x14ac:dyDescent="0.35">
      <c r="A579" t="s">
        <v>910</v>
      </c>
      <c r="B579" t="s">
        <v>910</v>
      </c>
      <c r="C579" t="s">
        <v>438</v>
      </c>
      <c r="D579" s="4">
        <v>256779418391</v>
      </c>
      <c r="E579" s="3">
        <v>45935</v>
      </c>
      <c r="F579" t="s">
        <v>11</v>
      </c>
      <c r="G579">
        <v>-38.51</v>
      </c>
      <c r="H579">
        <v>38.51</v>
      </c>
      <c r="I579" s="27">
        <v>-3414.28</v>
      </c>
      <c r="J579" t="s">
        <v>42</v>
      </c>
      <c r="K579" s="3">
        <v>45965</v>
      </c>
      <c r="L579" s="3">
        <v>46022</v>
      </c>
      <c r="M579" t="s">
        <v>912</v>
      </c>
      <c r="N579" s="2">
        <v>45992</v>
      </c>
      <c r="O579">
        <v>64789063</v>
      </c>
      <c r="P579">
        <v>1</v>
      </c>
      <c r="Q579" s="3">
        <v>46006</v>
      </c>
      <c r="R579">
        <v>210</v>
      </c>
      <c r="S579" s="85">
        <v>1.55E+16</v>
      </c>
      <c r="T579" t="s">
        <v>913</v>
      </c>
      <c r="U579">
        <v>3414.28</v>
      </c>
      <c r="W579" s="79">
        <f t="shared" si="31"/>
        <v>-1.9995430954696157E-2</v>
      </c>
      <c r="X579">
        <f>VLOOKUP(D579,'[3]Customer TDS'!D:I,6,0)</f>
        <v>68.27</v>
      </c>
      <c r="Y579" s="27">
        <f t="shared" si="28"/>
        <v>-3346.01</v>
      </c>
      <c r="Z579" t="s">
        <v>915</v>
      </c>
      <c r="AA579">
        <f>VLOOKUP(D579,'Ascendus DATA'!$F:$J,5,0)</f>
        <v>3396.23</v>
      </c>
      <c r="AB579" s="27">
        <f t="shared" si="32"/>
        <v>-18.050000000000182</v>
      </c>
    </row>
    <row r="580" spans="1:28" hidden="1" x14ac:dyDescent="0.35">
      <c r="A580" t="s">
        <v>910</v>
      </c>
      <c r="B580" t="s">
        <v>910</v>
      </c>
      <c r="C580" t="s">
        <v>438</v>
      </c>
      <c r="D580" s="4">
        <v>256779418424</v>
      </c>
      <c r="E580" s="3">
        <v>45948</v>
      </c>
      <c r="F580" t="s">
        <v>11</v>
      </c>
      <c r="G580" s="27">
        <v>-1334.62</v>
      </c>
      <c r="H580" s="27">
        <v>1334.62</v>
      </c>
      <c r="I580" s="27">
        <v>-118326.74</v>
      </c>
      <c r="J580" t="s">
        <v>42</v>
      </c>
      <c r="K580" s="3">
        <v>45978</v>
      </c>
      <c r="L580" s="3">
        <v>46022</v>
      </c>
      <c r="M580" t="s">
        <v>912</v>
      </c>
      <c r="N580" s="2">
        <v>45992</v>
      </c>
      <c r="O580">
        <v>64789064</v>
      </c>
      <c r="P580">
        <v>1</v>
      </c>
      <c r="Q580" s="3">
        <v>46006</v>
      </c>
      <c r="R580">
        <v>210</v>
      </c>
      <c r="S580" s="85">
        <v>1.55E+16</v>
      </c>
      <c r="T580" t="s">
        <v>913</v>
      </c>
      <c r="U580">
        <v>118326.74</v>
      </c>
      <c r="W580" s="79">
        <f t="shared" si="31"/>
        <v>-1.9998184687586254E-2</v>
      </c>
      <c r="X580">
        <f>VLOOKUP(D580,'[3]Customer TDS'!D:I,6,0)</f>
        <v>2366.3200000000002</v>
      </c>
      <c r="Y580" s="27">
        <f t="shared" ref="Y580:Y640" si="33">I580+X580</f>
        <v>-115960.42</v>
      </c>
      <c r="Z580" t="s">
        <v>915</v>
      </c>
      <c r="AA580">
        <f>VLOOKUP(D580,'Ascendus DATA'!$F:$J,5,0)</f>
        <v>117701.17</v>
      </c>
      <c r="AB580" s="27">
        <f t="shared" si="32"/>
        <v>-625.57000000000698</v>
      </c>
    </row>
    <row r="581" spans="1:28" hidden="1" x14ac:dyDescent="0.35">
      <c r="A581" t="s">
        <v>910</v>
      </c>
      <c r="B581" t="s">
        <v>910</v>
      </c>
      <c r="C581" t="s">
        <v>438</v>
      </c>
      <c r="D581" s="4">
        <v>256779418433</v>
      </c>
      <c r="E581" s="3">
        <v>45948</v>
      </c>
      <c r="F581" t="s">
        <v>11</v>
      </c>
      <c r="G581">
        <v>-351.43</v>
      </c>
      <c r="H581">
        <v>351.43</v>
      </c>
      <c r="I581" s="27">
        <v>-31157.61</v>
      </c>
      <c r="J581" t="s">
        <v>42</v>
      </c>
      <c r="K581" s="3">
        <v>45978</v>
      </c>
      <c r="L581" s="3">
        <v>46022</v>
      </c>
      <c r="M581" t="s">
        <v>912</v>
      </c>
      <c r="N581" s="2">
        <v>45992</v>
      </c>
      <c r="O581">
        <v>64789066</v>
      </c>
      <c r="P581">
        <v>1</v>
      </c>
      <c r="Q581" s="3">
        <v>46006</v>
      </c>
      <c r="R581">
        <v>210</v>
      </c>
      <c r="S581" s="85">
        <v>1.55E+16</v>
      </c>
      <c r="T581" t="s">
        <v>913</v>
      </c>
      <c r="U581">
        <v>31157.61</v>
      </c>
      <c r="W581" s="79">
        <f t="shared" si="31"/>
        <v>-2.0004101726672871E-2</v>
      </c>
      <c r="X581">
        <f>VLOOKUP(D581,'[3]Customer TDS'!D:I,6,0)</f>
        <v>623.28</v>
      </c>
      <c r="Y581" s="27">
        <f t="shared" si="33"/>
        <v>-30534.33</v>
      </c>
      <c r="Z581" t="s">
        <v>915</v>
      </c>
      <c r="AA581">
        <f>VLOOKUP(D581,'Ascendus DATA'!$F:$J,5,0)</f>
        <v>30992.880000000001</v>
      </c>
      <c r="AB581" s="27">
        <f t="shared" si="32"/>
        <v>-164.72999999999956</v>
      </c>
    </row>
    <row r="582" spans="1:28" hidden="1" x14ac:dyDescent="0.35">
      <c r="A582" t="s">
        <v>910</v>
      </c>
      <c r="B582" t="s">
        <v>910</v>
      </c>
      <c r="C582" t="s">
        <v>438</v>
      </c>
      <c r="D582" s="4">
        <v>256779417931</v>
      </c>
      <c r="E582" s="3">
        <v>45935</v>
      </c>
      <c r="F582" t="s">
        <v>11</v>
      </c>
      <c r="G582">
        <v>-288.83999999999997</v>
      </c>
      <c r="H582">
        <v>288.83999999999997</v>
      </c>
      <c r="I582" s="27">
        <v>-25608.41</v>
      </c>
      <c r="J582" t="s">
        <v>42</v>
      </c>
      <c r="K582" s="3">
        <v>45965</v>
      </c>
      <c r="L582" s="3">
        <v>46022</v>
      </c>
      <c r="M582" t="s">
        <v>912</v>
      </c>
      <c r="N582" s="2">
        <v>45992</v>
      </c>
      <c r="O582">
        <v>64789067</v>
      </c>
      <c r="P582">
        <v>1</v>
      </c>
      <c r="Q582" s="3">
        <v>46006</v>
      </c>
      <c r="R582">
        <v>210</v>
      </c>
      <c r="S582" s="85">
        <v>1.55E+16</v>
      </c>
      <c r="T582" t="s">
        <v>913</v>
      </c>
      <c r="U582">
        <v>25608.41</v>
      </c>
      <c r="W582" s="79">
        <f t="shared" si="31"/>
        <v>-2.0011004197449198E-2</v>
      </c>
      <c r="X582">
        <f>VLOOKUP(D582,'[3]Customer TDS'!D:I,6,0)</f>
        <v>512.45000000000005</v>
      </c>
      <c r="Y582" s="27">
        <f t="shared" si="33"/>
        <v>-25095.96</v>
      </c>
      <c r="Z582" t="s">
        <v>915</v>
      </c>
      <c r="AA582">
        <f>VLOOKUP(D582,'Ascendus DATA'!$F:$J,5,0)</f>
        <v>25473.02</v>
      </c>
      <c r="AB582" s="27">
        <f t="shared" si="32"/>
        <v>-135.38999999999942</v>
      </c>
    </row>
    <row r="583" spans="1:28" hidden="1" x14ac:dyDescent="0.35">
      <c r="A583" t="s">
        <v>910</v>
      </c>
      <c r="B583" t="s">
        <v>910</v>
      </c>
      <c r="C583" t="s">
        <v>438</v>
      </c>
      <c r="D583" s="4">
        <v>256779419211</v>
      </c>
      <c r="E583" s="3">
        <v>45966</v>
      </c>
      <c r="F583" t="s">
        <v>11</v>
      </c>
      <c r="G583">
        <v>-28.18</v>
      </c>
      <c r="H583">
        <v>28.18</v>
      </c>
      <c r="I583" s="27">
        <v>-2486.96</v>
      </c>
      <c r="J583" t="s">
        <v>42</v>
      </c>
      <c r="K583" s="3">
        <v>45996</v>
      </c>
      <c r="L583" s="3">
        <v>46022</v>
      </c>
      <c r="M583" t="s">
        <v>912</v>
      </c>
      <c r="N583" s="2">
        <v>45992</v>
      </c>
      <c r="O583">
        <v>64789071</v>
      </c>
      <c r="P583">
        <v>1</v>
      </c>
      <c r="Q583" s="3">
        <v>46006</v>
      </c>
      <c r="R583">
        <v>210</v>
      </c>
      <c r="S583" s="85">
        <v>1.55E+16</v>
      </c>
      <c r="T583" t="s">
        <v>913</v>
      </c>
      <c r="U583">
        <v>2486.96</v>
      </c>
      <c r="W583" s="79">
        <f t="shared" si="31"/>
        <v>-1.9871650529160099E-2</v>
      </c>
      <c r="X583">
        <f>VLOOKUP(D583,'[3]Customer TDS'!D:I,6,0)</f>
        <v>49.42</v>
      </c>
      <c r="Y583" s="27">
        <f t="shared" si="33"/>
        <v>-2437.54</v>
      </c>
      <c r="Z583" t="s">
        <v>915</v>
      </c>
      <c r="AA583">
        <f>VLOOKUP(D583,'Ascendus DATA'!$F:$J,5,0)</f>
        <v>2479.94</v>
      </c>
      <c r="AB583" s="27">
        <f t="shared" si="32"/>
        <v>-7.0199999999999818</v>
      </c>
    </row>
    <row r="584" spans="1:28" hidden="1" x14ac:dyDescent="0.35">
      <c r="A584" t="s">
        <v>910</v>
      </c>
      <c r="B584" t="s">
        <v>910</v>
      </c>
      <c r="C584" t="s">
        <v>438</v>
      </c>
      <c r="D584" s="4">
        <v>256779417280</v>
      </c>
      <c r="E584" s="3">
        <v>45904</v>
      </c>
      <c r="F584" t="s">
        <v>11</v>
      </c>
      <c r="G584">
        <v>-249.98</v>
      </c>
      <c r="H584">
        <v>249.98</v>
      </c>
      <c r="I584" s="27">
        <v>-21911.23</v>
      </c>
      <c r="K584" s="3">
        <v>45934</v>
      </c>
      <c r="L584" s="3">
        <v>46022</v>
      </c>
      <c r="M584" t="s">
        <v>912</v>
      </c>
      <c r="N584" s="2">
        <v>45992</v>
      </c>
      <c r="O584">
        <v>64791057</v>
      </c>
      <c r="P584">
        <v>1</v>
      </c>
      <c r="Q584" s="3">
        <v>46006</v>
      </c>
      <c r="R584">
        <v>210</v>
      </c>
      <c r="S584" s="85">
        <v>1.55E+16</v>
      </c>
      <c r="T584" t="s">
        <v>913</v>
      </c>
      <c r="U584">
        <v>21911.23</v>
      </c>
      <c r="W584" s="79">
        <f t="shared" si="31"/>
        <v>-2.0001615609895017E-2</v>
      </c>
      <c r="X584">
        <f>VLOOKUP(D584,'[3]Customer TDS'!D:I,6,0)</f>
        <v>438.26</v>
      </c>
      <c r="Y584" s="27">
        <f t="shared" si="33"/>
        <v>-21472.97</v>
      </c>
      <c r="Z584" t="s">
        <v>915</v>
      </c>
      <c r="AA584">
        <f>VLOOKUP(D584,'Ascendus DATA'!$F:$J,5,0)</f>
        <v>21876.83</v>
      </c>
      <c r="AB584" s="27">
        <f t="shared" si="32"/>
        <v>-34.399999999997817</v>
      </c>
    </row>
    <row r="585" spans="1:28" hidden="1" x14ac:dyDescent="0.35">
      <c r="A585" t="s">
        <v>910</v>
      </c>
      <c r="B585" t="s">
        <v>910</v>
      </c>
      <c r="C585" t="s">
        <v>438</v>
      </c>
      <c r="D585" s="4">
        <v>256779411463</v>
      </c>
      <c r="E585" s="3">
        <v>45762</v>
      </c>
      <c r="F585" t="s">
        <v>11</v>
      </c>
      <c r="G585">
        <v>-23.6</v>
      </c>
      <c r="H585">
        <v>0.47</v>
      </c>
      <c r="I585" s="27">
        <v>-2023.16</v>
      </c>
      <c r="K585" s="3">
        <v>45792</v>
      </c>
      <c r="L585" s="3">
        <v>46053</v>
      </c>
      <c r="M585" t="s">
        <v>912</v>
      </c>
      <c r="N585" s="2">
        <v>45992</v>
      </c>
      <c r="O585">
        <v>64791058</v>
      </c>
      <c r="P585">
        <v>1</v>
      </c>
      <c r="Q585" s="3">
        <v>46006</v>
      </c>
      <c r="R585">
        <v>210</v>
      </c>
      <c r="S585" s="85">
        <v>1.55E+16</v>
      </c>
      <c r="T585" t="s">
        <v>913</v>
      </c>
      <c r="U585">
        <v>-96.26</v>
      </c>
      <c r="W585" s="79">
        <f t="shared" si="31"/>
        <v>-1.9914391348187982E-2</v>
      </c>
      <c r="X585">
        <f>VLOOKUP(D585,'[3]Customer TDS'!D:I,6,0)</f>
        <v>40.29</v>
      </c>
      <c r="Y585" s="27">
        <f t="shared" si="33"/>
        <v>-1982.8700000000001</v>
      </c>
      <c r="Z585" t="s">
        <v>915</v>
      </c>
      <c r="AA585">
        <f>VLOOKUP(D585,'Ascendus DATA'!$F:$J,5,0)</f>
        <v>2051.35</v>
      </c>
      <c r="AB585" s="27">
        <f t="shared" si="32"/>
        <v>28.189999999999827</v>
      </c>
    </row>
    <row r="586" spans="1:28" hidden="1" x14ac:dyDescent="0.35">
      <c r="A586" t="s">
        <v>910</v>
      </c>
      <c r="B586" t="s">
        <v>910</v>
      </c>
      <c r="C586" t="s">
        <v>438</v>
      </c>
      <c r="D586" s="4">
        <v>256779417892</v>
      </c>
      <c r="E586" s="3">
        <v>45935</v>
      </c>
      <c r="F586" t="s">
        <v>11</v>
      </c>
      <c r="G586">
        <v>-58.45</v>
      </c>
      <c r="H586">
        <v>58.45</v>
      </c>
      <c r="I586" s="27">
        <v>-5182.1499999999996</v>
      </c>
      <c r="J586" t="s">
        <v>42</v>
      </c>
      <c r="K586" s="3">
        <v>45965</v>
      </c>
      <c r="L586" s="3">
        <v>46022</v>
      </c>
      <c r="M586" t="s">
        <v>912</v>
      </c>
      <c r="N586" s="2">
        <v>45992</v>
      </c>
      <c r="O586">
        <v>64791978</v>
      </c>
      <c r="P586">
        <v>1</v>
      </c>
      <c r="Q586" s="3">
        <v>46006</v>
      </c>
      <c r="R586">
        <v>210</v>
      </c>
      <c r="S586" s="85">
        <v>1.55E+16</v>
      </c>
      <c r="T586" t="s">
        <v>913</v>
      </c>
      <c r="U586">
        <v>5182.1499999999996</v>
      </c>
      <c r="W586" s="79">
        <f t="shared" si="31"/>
        <v>-2.0016788398637634E-2</v>
      </c>
      <c r="X586">
        <f>VLOOKUP(D586,'[3]Customer TDS'!D:I,6,0)</f>
        <v>103.73</v>
      </c>
      <c r="Y586" s="27">
        <f t="shared" si="33"/>
        <v>-5078.42</v>
      </c>
      <c r="Z586" t="s">
        <v>915</v>
      </c>
      <c r="AA586">
        <f>VLOOKUP(D586,'Ascendus DATA'!$F:$J,5,0)</f>
        <v>5154.75</v>
      </c>
      <c r="AB586" s="27">
        <f t="shared" si="32"/>
        <v>-27.399999999999636</v>
      </c>
    </row>
    <row r="587" spans="1:28" hidden="1" x14ac:dyDescent="0.35">
      <c r="A587" t="s">
        <v>910</v>
      </c>
      <c r="B587" t="s">
        <v>910</v>
      </c>
      <c r="C587" t="s">
        <v>438</v>
      </c>
      <c r="D587" s="4">
        <v>256779418480</v>
      </c>
      <c r="E587" s="3">
        <v>45951</v>
      </c>
      <c r="F587" t="s">
        <v>11</v>
      </c>
      <c r="G587">
        <v>-13.59</v>
      </c>
      <c r="H587">
        <v>13.59</v>
      </c>
      <c r="I587" s="27">
        <v>-1204.8800000000001</v>
      </c>
      <c r="J587" t="s">
        <v>42</v>
      </c>
      <c r="K587" s="3">
        <v>45981</v>
      </c>
      <c r="L587" s="3">
        <v>46022</v>
      </c>
      <c r="M587" t="s">
        <v>912</v>
      </c>
      <c r="N587" s="2">
        <v>45992</v>
      </c>
      <c r="O587">
        <v>64791981</v>
      </c>
      <c r="P587">
        <v>1</v>
      </c>
      <c r="Q587" s="3">
        <v>46006</v>
      </c>
      <c r="R587">
        <v>210</v>
      </c>
      <c r="S587" s="85">
        <v>1.55E+16</v>
      </c>
      <c r="T587" t="s">
        <v>913</v>
      </c>
      <c r="U587">
        <v>1204.8800000000001</v>
      </c>
      <c r="W587" s="79">
        <f t="shared" si="31"/>
        <v>-1.9869198592390943E-2</v>
      </c>
      <c r="X587">
        <f>VLOOKUP(D587,'[3]Customer TDS'!D:I,6,0)</f>
        <v>23.94</v>
      </c>
      <c r="Y587" s="27">
        <f t="shared" si="33"/>
        <v>-1180.94</v>
      </c>
      <c r="Z587" t="s">
        <v>915</v>
      </c>
      <c r="AA587">
        <f>VLOOKUP(D587,'Ascendus DATA'!$F:$J,5,0)</f>
        <v>1198.51</v>
      </c>
      <c r="AB587" s="27">
        <f t="shared" si="32"/>
        <v>-6.3700000000001182</v>
      </c>
    </row>
    <row r="588" spans="1:28" hidden="1" x14ac:dyDescent="0.35">
      <c r="A588" t="s">
        <v>910</v>
      </c>
      <c r="B588" t="s">
        <v>910</v>
      </c>
      <c r="C588" t="s">
        <v>438</v>
      </c>
      <c r="D588" s="4">
        <v>256779419165</v>
      </c>
      <c r="E588" s="3">
        <v>45966</v>
      </c>
      <c r="F588" t="s">
        <v>11</v>
      </c>
      <c r="G588">
        <v>-191.57</v>
      </c>
      <c r="H588">
        <v>191.57</v>
      </c>
      <c r="I588" s="27">
        <v>-16906.55</v>
      </c>
      <c r="J588" t="s">
        <v>42</v>
      </c>
      <c r="K588" s="3">
        <v>45996</v>
      </c>
      <c r="L588" s="3">
        <v>46053</v>
      </c>
      <c r="M588" t="s">
        <v>912</v>
      </c>
      <c r="N588" s="2">
        <v>45992</v>
      </c>
      <c r="O588">
        <v>65153059</v>
      </c>
      <c r="P588">
        <v>1</v>
      </c>
      <c r="Q588" s="3">
        <v>46010</v>
      </c>
      <c r="R588">
        <v>210</v>
      </c>
      <c r="S588" s="85">
        <v>1.55E+16</v>
      </c>
      <c r="T588" t="s">
        <v>913</v>
      </c>
      <c r="U588">
        <v>16906.55</v>
      </c>
      <c r="W588" s="79">
        <f t="shared" si="31"/>
        <v>-1.9992843010549165E-2</v>
      </c>
      <c r="X588">
        <f>VLOOKUP(D588,'[3]Customer TDS'!D:I,6,0)</f>
        <v>338.01</v>
      </c>
      <c r="Y588" s="27">
        <f t="shared" si="33"/>
        <v>-16568.54</v>
      </c>
      <c r="Z588" t="s">
        <v>915</v>
      </c>
      <c r="AA588">
        <f>VLOOKUP(D588,'Ascendus DATA'!$F:$J,5,0)</f>
        <v>16858.810000000001</v>
      </c>
      <c r="AB588" s="27">
        <f t="shared" si="32"/>
        <v>-47.739999999997963</v>
      </c>
    </row>
    <row r="589" spans="1:28" hidden="1" x14ac:dyDescent="0.35">
      <c r="A589" t="s">
        <v>910</v>
      </c>
      <c r="B589" t="s">
        <v>910</v>
      </c>
      <c r="C589" t="s">
        <v>438</v>
      </c>
      <c r="D589" s="4">
        <v>256779419192</v>
      </c>
      <c r="E589" s="3">
        <v>45966</v>
      </c>
      <c r="F589" t="s">
        <v>11</v>
      </c>
      <c r="G589">
        <v>-171.87</v>
      </c>
      <c r="H589">
        <v>171.87</v>
      </c>
      <c r="I589" s="27">
        <v>-15167.97</v>
      </c>
      <c r="J589" t="s">
        <v>42</v>
      </c>
      <c r="K589" s="3">
        <v>45996</v>
      </c>
      <c r="L589" s="3">
        <v>46053</v>
      </c>
      <c r="M589" t="s">
        <v>912</v>
      </c>
      <c r="N589" s="2">
        <v>45992</v>
      </c>
      <c r="O589">
        <v>65153085</v>
      </c>
      <c r="P589">
        <v>1</v>
      </c>
      <c r="Q589" s="3">
        <v>46010</v>
      </c>
      <c r="R589">
        <v>210</v>
      </c>
      <c r="S589" s="85">
        <v>1.55E+16</v>
      </c>
      <c r="T589" t="s">
        <v>913</v>
      </c>
      <c r="U589">
        <v>15167.97</v>
      </c>
      <c r="W589" s="79">
        <f t="shared" si="31"/>
        <v>-2.0015203089141131E-2</v>
      </c>
      <c r="X589">
        <f>VLOOKUP(D589,'[3]Customer TDS'!D:I,6,0)</f>
        <v>303.58999999999997</v>
      </c>
      <c r="Y589" s="27">
        <f t="shared" si="33"/>
        <v>-14864.38</v>
      </c>
      <c r="Z589" t="s">
        <v>915</v>
      </c>
      <c r="AA589">
        <f>VLOOKUP(D589,'Ascendus DATA'!$F:$J,5,0)</f>
        <v>15125.14</v>
      </c>
      <c r="AB589" s="27">
        <f t="shared" si="32"/>
        <v>-42.829999999999927</v>
      </c>
    </row>
    <row r="590" spans="1:28" hidden="1" x14ac:dyDescent="0.35">
      <c r="A590" t="s">
        <v>910</v>
      </c>
      <c r="B590" t="s">
        <v>910</v>
      </c>
      <c r="C590" t="s">
        <v>438</v>
      </c>
      <c r="D590" s="4">
        <v>256779418777</v>
      </c>
      <c r="E590" s="3">
        <v>45966</v>
      </c>
      <c r="F590" t="s">
        <v>11</v>
      </c>
      <c r="G590" s="27">
        <v>-2272.64</v>
      </c>
      <c r="H590" s="27">
        <v>2272.64</v>
      </c>
      <c r="I590" s="27">
        <v>-200566.32</v>
      </c>
      <c r="J590" t="s">
        <v>42</v>
      </c>
      <c r="K590" s="3">
        <v>45996</v>
      </c>
      <c r="L590" s="3">
        <v>46053</v>
      </c>
      <c r="M590" t="s">
        <v>912</v>
      </c>
      <c r="N590" s="2">
        <v>45992</v>
      </c>
      <c r="O590">
        <v>65153123</v>
      </c>
      <c r="P590">
        <v>1</v>
      </c>
      <c r="Q590" s="3">
        <v>46010</v>
      </c>
      <c r="R590">
        <v>210</v>
      </c>
      <c r="S590" s="85">
        <v>1.55E+16</v>
      </c>
      <c r="T590" t="s">
        <v>913</v>
      </c>
      <c r="U590">
        <v>200566.32</v>
      </c>
      <c r="W590" s="79">
        <f t="shared" si="31"/>
        <v>-1.9998771478680965E-2</v>
      </c>
      <c r="X590">
        <f>VLOOKUP(D590,'[3]Customer TDS'!D:I,6,0)</f>
        <v>4011.08</v>
      </c>
      <c r="Y590" s="27">
        <f t="shared" si="33"/>
        <v>-196555.24000000002</v>
      </c>
      <c r="Z590" t="s">
        <v>915</v>
      </c>
      <c r="AA590">
        <f>VLOOKUP(D590,'Ascendus DATA'!$F:$J,5,0)</f>
        <v>200000</v>
      </c>
      <c r="AB590" s="27">
        <f t="shared" si="32"/>
        <v>-566.32000000000698</v>
      </c>
    </row>
    <row r="591" spans="1:28" hidden="1" x14ac:dyDescent="0.35">
      <c r="A591" t="s">
        <v>910</v>
      </c>
      <c r="B591" t="s">
        <v>910</v>
      </c>
      <c r="C591" t="s">
        <v>438</v>
      </c>
      <c r="D591" s="4">
        <v>256779418779</v>
      </c>
      <c r="E591" s="3">
        <v>45966</v>
      </c>
      <c r="F591" t="s">
        <v>11</v>
      </c>
      <c r="G591">
        <v>-50</v>
      </c>
      <c r="H591">
        <v>50</v>
      </c>
      <c r="I591" s="27">
        <v>-4412.63</v>
      </c>
      <c r="J591" t="s">
        <v>42</v>
      </c>
      <c r="K591" s="3">
        <v>45996</v>
      </c>
      <c r="L591" s="3">
        <v>46053</v>
      </c>
      <c r="M591" t="s">
        <v>912</v>
      </c>
      <c r="N591" s="2">
        <v>45992</v>
      </c>
      <c r="O591">
        <v>65153125</v>
      </c>
      <c r="P591">
        <v>1</v>
      </c>
      <c r="Q591" s="3">
        <v>46010</v>
      </c>
      <c r="R591">
        <v>210</v>
      </c>
      <c r="S591" s="85">
        <v>1.55E+16</v>
      </c>
      <c r="T591" t="s">
        <v>913</v>
      </c>
      <c r="U591">
        <v>4412.63</v>
      </c>
      <c r="W591" s="79">
        <f t="shared" si="31"/>
        <v>-1.999941078223191E-2</v>
      </c>
      <c r="X591">
        <f>VLOOKUP(D591,'[3]Customer TDS'!D:I,6,0)</f>
        <v>88.25</v>
      </c>
      <c r="Y591" s="27">
        <f t="shared" si="33"/>
        <v>-4324.38</v>
      </c>
      <c r="Z591" t="s">
        <v>915</v>
      </c>
      <c r="AA591">
        <f>VLOOKUP(D591,'Ascendus DATA'!$F:$J,5,0)</f>
        <v>4400</v>
      </c>
      <c r="AB591" s="27">
        <f t="shared" si="32"/>
        <v>-12.630000000000109</v>
      </c>
    </row>
    <row r="592" spans="1:28" hidden="1" x14ac:dyDescent="0.35">
      <c r="A592" t="s">
        <v>910</v>
      </c>
      <c r="B592" t="s">
        <v>910</v>
      </c>
      <c r="C592" t="s">
        <v>438</v>
      </c>
      <c r="D592" s="4">
        <v>256779419122</v>
      </c>
      <c r="E592" s="3">
        <v>45964</v>
      </c>
      <c r="F592" t="s">
        <v>11</v>
      </c>
      <c r="G592">
        <v>-670.42</v>
      </c>
      <c r="H592">
        <v>670.42</v>
      </c>
      <c r="I592" s="27">
        <v>-59439.1</v>
      </c>
      <c r="J592" t="s">
        <v>42</v>
      </c>
      <c r="K592" s="3">
        <v>45994</v>
      </c>
      <c r="L592" s="3">
        <v>46053</v>
      </c>
      <c r="M592" t="s">
        <v>912</v>
      </c>
      <c r="N592" s="2">
        <v>45992</v>
      </c>
      <c r="O592">
        <v>65153127</v>
      </c>
      <c r="P592">
        <v>1</v>
      </c>
      <c r="Q592" s="3">
        <v>46010</v>
      </c>
      <c r="R592">
        <v>210</v>
      </c>
      <c r="S592" s="85">
        <v>1.55E+16</v>
      </c>
      <c r="T592" t="s">
        <v>913</v>
      </c>
      <c r="U592">
        <v>59439.1</v>
      </c>
      <c r="W592" s="79">
        <f t="shared" si="31"/>
        <v>-2.0002321704063488E-2</v>
      </c>
      <c r="X592">
        <f>VLOOKUP(D592,'[3]Customer TDS'!D:I,6,0)</f>
        <v>1188.92</v>
      </c>
      <c r="Y592" s="27">
        <f t="shared" si="33"/>
        <v>-58250.18</v>
      </c>
      <c r="Z592" t="s">
        <v>915</v>
      </c>
      <c r="AA592">
        <f>VLOOKUP(D592,'Ascendus DATA'!$F:$J,5,0)</f>
        <v>58999.23</v>
      </c>
      <c r="AB592" s="27">
        <f t="shared" si="32"/>
        <v>-439.86999999999534</v>
      </c>
    </row>
    <row r="593" spans="1:28" x14ac:dyDescent="0.35">
      <c r="A593" t="s">
        <v>910</v>
      </c>
      <c r="B593" t="s">
        <v>910</v>
      </c>
      <c r="C593" t="s">
        <v>453</v>
      </c>
      <c r="D593" s="4">
        <v>2771552</v>
      </c>
      <c r="E593" s="3">
        <v>46014</v>
      </c>
      <c r="F593" t="s">
        <v>56</v>
      </c>
      <c r="G593" t="s">
        <v>911</v>
      </c>
      <c r="H593" t="s">
        <v>911</v>
      </c>
      <c r="I593" s="27">
        <v>715665.04</v>
      </c>
      <c r="J593" t="s">
        <v>461</v>
      </c>
      <c r="K593" s="3">
        <v>46014</v>
      </c>
      <c r="L593" s="3">
        <v>46053</v>
      </c>
      <c r="M593" t="s">
        <v>912</v>
      </c>
      <c r="N593" s="2">
        <v>45992</v>
      </c>
      <c r="O593">
        <v>66083232</v>
      </c>
      <c r="P593">
        <v>1</v>
      </c>
      <c r="Q593" s="3">
        <v>46014</v>
      </c>
      <c r="R593">
        <v>400</v>
      </c>
      <c r="S593" t="s">
        <v>916</v>
      </c>
      <c r="T593" t="s">
        <v>913</v>
      </c>
      <c r="U593">
        <v>-683428.76</v>
      </c>
      <c r="Y593" s="27">
        <f t="shared" si="33"/>
        <v>715665.04</v>
      </c>
    </row>
    <row r="594" spans="1:28" hidden="1" x14ac:dyDescent="0.35">
      <c r="A594" t="s">
        <v>910</v>
      </c>
      <c r="B594" t="s">
        <v>910</v>
      </c>
      <c r="C594" t="s">
        <v>438</v>
      </c>
      <c r="D594" s="4">
        <v>256779415332</v>
      </c>
      <c r="E594" s="3">
        <v>45848</v>
      </c>
      <c r="F594" t="s">
        <v>11</v>
      </c>
      <c r="G594">
        <v>-2.5</v>
      </c>
      <c r="H594">
        <v>2.5</v>
      </c>
      <c r="I594">
        <v>-221.18</v>
      </c>
      <c r="K594" s="3">
        <v>45878</v>
      </c>
      <c r="L594" s="3">
        <v>46053</v>
      </c>
      <c r="M594" t="s">
        <v>912</v>
      </c>
      <c r="N594" s="2">
        <v>45992</v>
      </c>
      <c r="O594">
        <v>66151236</v>
      </c>
      <c r="P594">
        <v>1</v>
      </c>
      <c r="Q594" s="3">
        <v>46022</v>
      </c>
      <c r="R594">
        <v>210</v>
      </c>
      <c r="S594" s="85">
        <v>1.55E+16</v>
      </c>
      <c r="T594" t="s">
        <v>913</v>
      </c>
      <c r="U594">
        <v>221.18</v>
      </c>
      <c r="W594" s="79">
        <f t="shared" ref="W594:W598" si="34">X594/I594</f>
        <v>-1.9983723663984085E-2</v>
      </c>
      <c r="X594">
        <f>VLOOKUP(D594,'[3]Customer TDS'!D:I,6,0)</f>
        <v>4.42</v>
      </c>
      <c r="Y594" s="27">
        <f t="shared" si="33"/>
        <v>-216.76000000000002</v>
      </c>
      <c r="Z594" t="s">
        <v>915</v>
      </c>
      <c r="AA594">
        <f>VLOOKUP(D594,'Ascendus DATA'!$F:$J,5,0)</f>
        <v>215</v>
      </c>
      <c r="AB594" s="27">
        <f t="shared" ref="AB594:AB598" si="35">I594+AA594</f>
        <v>-6.1800000000000068</v>
      </c>
    </row>
    <row r="595" spans="1:28" hidden="1" x14ac:dyDescent="0.35">
      <c r="A595" t="s">
        <v>910</v>
      </c>
      <c r="B595" t="s">
        <v>910</v>
      </c>
      <c r="C595" t="s">
        <v>438</v>
      </c>
      <c r="D595" s="4">
        <v>256779415328</v>
      </c>
      <c r="E595" s="3">
        <v>45848</v>
      </c>
      <c r="F595" t="s">
        <v>11</v>
      </c>
      <c r="G595">
        <v>-22.5</v>
      </c>
      <c r="H595">
        <v>22.5</v>
      </c>
      <c r="I595" s="27">
        <v>-1990.58</v>
      </c>
      <c r="K595" s="3">
        <v>45878</v>
      </c>
      <c r="L595" s="3">
        <v>46053</v>
      </c>
      <c r="M595" t="s">
        <v>912</v>
      </c>
      <c r="N595" s="2">
        <v>45992</v>
      </c>
      <c r="O595">
        <v>66205091</v>
      </c>
      <c r="P595">
        <v>1</v>
      </c>
      <c r="Q595" s="3">
        <v>46022</v>
      </c>
      <c r="R595">
        <v>210</v>
      </c>
      <c r="S595" s="85">
        <v>1.55E+16</v>
      </c>
      <c r="T595" t="s">
        <v>913</v>
      </c>
      <c r="U595">
        <v>1990.58</v>
      </c>
      <c r="W595" s="79">
        <f t="shared" si="34"/>
        <v>-1.9999196214168735E-2</v>
      </c>
      <c r="X595">
        <f>VLOOKUP(D595,'[3]Customer TDS'!D:I,6,0)</f>
        <v>39.81</v>
      </c>
      <c r="Y595" s="27">
        <f t="shared" si="33"/>
        <v>-1950.77</v>
      </c>
      <c r="Z595" t="s">
        <v>915</v>
      </c>
      <c r="AA595">
        <f>VLOOKUP(D595,'Ascendus DATA'!$F:$J,5,0)</f>
        <v>1935.02</v>
      </c>
      <c r="AB595" s="27">
        <f t="shared" si="35"/>
        <v>-55.559999999999945</v>
      </c>
    </row>
    <row r="596" spans="1:28" hidden="1" x14ac:dyDescent="0.35">
      <c r="A596" t="s">
        <v>910</v>
      </c>
      <c r="B596" t="s">
        <v>910</v>
      </c>
      <c r="C596" t="s">
        <v>438</v>
      </c>
      <c r="D596" s="4">
        <v>246779410665</v>
      </c>
      <c r="E596" s="3">
        <v>45720</v>
      </c>
      <c r="F596" t="s">
        <v>11</v>
      </c>
      <c r="G596">
        <v>-3.54</v>
      </c>
      <c r="H596">
        <v>7.0000000000000007E-2</v>
      </c>
      <c r="I596">
        <v>-308.13</v>
      </c>
      <c r="J596" t="s">
        <v>88</v>
      </c>
      <c r="K596" s="3">
        <v>45750</v>
      </c>
      <c r="L596" s="3">
        <v>46053</v>
      </c>
      <c r="M596" t="s">
        <v>912</v>
      </c>
      <c r="N596" s="2">
        <v>45992</v>
      </c>
      <c r="O596">
        <v>66205092</v>
      </c>
      <c r="P596">
        <v>1</v>
      </c>
      <c r="Q596" s="3">
        <v>46022</v>
      </c>
      <c r="R596">
        <v>210</v>
      </c>
      <c r="S596" s="85">
        <v>1.55E+16</v>
      </c>
      <c r="T596" t="s">
        <v>913</v>
      </c>
      <c r="U596">
        <v>-9.83</v>
      </c>
      <c r="W596" s="79">
        <f t="shared" si="34"/>
        <v>-1.9764385162106903E-2</v>
      </c>
      <c r="X596">
        <f>VLOOKUP(D596,'[3]Customer TDS'!D:I,6,0)</f>
        <v>6.09</v>
      </c>
      <c r="Y596" s="27">
        <f t="shared" si="33"/>
        <v>-302.04000000000002</v>
      </c>
      <c r="Z596" t="s">
        <v>915</v>
      </c>
      <c r="AA596">
        <f>VLOOKUP(D596,'Ascendus DATA'!$F:$J,5,0)</f>
        <v>306.89</v>
      </c>
      <c r="AB596" s="27">
        <f t="shared" si="35"/>
        <v>-1.2400000000000091</v>
      </c>
    </row>
    <row r="597" spans="1:28" hidden="1" x14ac:dyDescent="0.35">
      <c r="A597" t="s">
        <v>910</v>
      </c>
      <c r="B597" t="s">
        <v>910</v>
      </c>
      <c r="C597" t="s">
        <v>438</v>
      </c>
      <c r="D597" s="4">
        <v>256779416909</v>
      </c>
      <c r="E597" s="3">
        <v>45934</v>
      </c>
      <c r="F597" t="s">
        <v>11</v>
      </c>
      <c r="G597">
        <v>-989.55</v>
      </c>
      <c r="H597">
        <v>989.55</v>
      </c>
      <c r="I597" s="27">
        <v>-87733</v>
      </c>
      <c r="K597" s="3">
        <v>45964</v>
      </c>
      <c r="L597" s="3">
        <v>46053</v>
      </c>
      <c r="M597" t="s">
        <v>912</v>
      </c>
      <c r="N597" s="2">
        <v>45992</v>
      </c>
      <c r="O597">
        <v>66205094</v>
      </c>
      <c r="P597">
        <v>1</v>
      </c>
      <c r="Q597" s="3">
        <v>46022</v>
      </c>
      <c r="R597">
        <v>210</v>
      </c>
      <c r="S597" s="85">
        <v>1.55E+16</v>
      </c>
      <c r="T597" t="s">
        <v>913</v>
      </c>
      <c r="U597">
        <v>87733</v>
      </c>
      <c r="W597" s="79">
        <f t="shared" si="34"/>
        <v>-1.9998974160236171E-2</v>
      </c>
      <c r="X597">
        <f>VLOOKUP(D597,'[3]Customer TDS'!D:I,6,0)</f>
        <v>1754.57</v>
      </c>
      <c r="Y597" s="27">
        <f t="shared" si="33"/>
        <v>-85978.43</v>
      </c>
      <c r="Z597" t="s">
        <v>915</v>
      </c>
      <c r="AA597">
        <f>VLOOKUP(D597,'Ascendus DATA'!$F:$J,5,0)</f>
        <v>86599.81</v>
      </c>
      <c r="AB597" s="27">
        <f t="shared" si="35"/>
        <v>-1133.1900000000023</v>
      </c>
    </row>
    <row r="598" spans="1:28" hidden="1" x14ac:dyDescent="0.35">
      <c r="A598" t="s">
        <v>910</v>
      </c>
      <c r="B598" t="s">
        <v>910</v>
      </c>
      <c r="C598" t="s">
        <v>438</v>
      </c>
      <c r="D598" s="4">
        <v>256779414741</v>
      </c>
      <c r="E598" s="3">
        <v>45827</v>
      </c>
      <c r="F598" t="s">
        <v>11</v>
      </c>
      <c r="G598">
        <v>-579.79</v>
      </c>
      <c r="H598">
        <v>579.79</v>
      </c>
      <c r="I598" s="27">
        <v>-49319.31</v>
      </c>
      <c r="J598" t="s">
        <v>105</v>
      </c>
      <c r="K598" s="3">
        <v>45857</v>
      </c>
      <c r="L598" s="3">
        <v>46053</v>
      </c>
      <c r="M598" t="s">
        <v>912</v>
      </c>
      <c r="N598" s="2">
        <v>45992</v>
      </c>
      <c r="O598">
        <v>66205097</v>
      </c>
      <c r="P598">
        <v>1</v>
      </c>
      <c r="Q598" s="3">
        <v>46022</v>
      </c>
      <c r="R598">
        <v>210</v>
      </c>
      <c r="S598" s="85">
        <v>1.55E+16</v>
      </c>
      <c r="T598" t="s">
        <v>913</v>
      </c>
      <c r="U598">
        <v>49319.31</v>
      </c>
      <c r="W598" s="79">
        <f t="shared" si="34"/>
        <v>-2.0007173660783171E-2</v>
      </c>
      <c r="X598">
        <f>VLOOKUP(D598,'[3]Customer TDS'!D:I,6,0)</f>
        <v>986.74</v>
      </c>
      <c r="Y598" s="27">
        <f t="shared" si="33"/>
        <v>-48332.57</v>
      </c>
      <c r="Z598" t="s">
        <v>915</v>
      </c>
      <c r="AA598">
        <f>VLOOKUP(D598,'Ascendus DATA'!$F:$J,5,0)</f>
        <v>49566.7</v>
      </c>
      <c r="AB598" s="27">
        <f t="shared" si="35"/>
        <v>247.38999999999942</v>
      </c>
    </row>
    <row r="599" spans="1:28" hidden="1" x14ac:dyDescent="0.35">
      <c r="A599" t="s">
        <v>910</v>
      </c>
      <c r="B599" t="s">
        <v>910</v>
      </c>
      <c r="C599" t="s">
        <v>438</v>
      </c>
      <c r="D599" s="4">
        <v>256779411867</v>
      </c>
      <c r="E599" s="3">
        <v>45763</v>
      </c>
      <c r="F599" t="s">
        <v>11</v>
      </c>
      <c r="G599" t="s">
        <v>911</v>
      </c>
      <c r="H599" t="s">
        <v>911</v>
      </c>
      <c r="I599">
        <v>-212.77</v>
      </c>
      <c r="J599" t="s">
        <v>15</v>
      </c>
      <c r="K599" s="3">
        <v>45793</v>
      </c>
      <c r="M599" t="s">
        <v>912</v>
      </c>
      <c r="N599" s="2">
        <v>45992</v>
      </c>
      <c r="O599">
        <v>66424764</v>
      </c>
      <c r="P599">
        <v>2</v>
      </c>
      <c r="Q599" s="3">
        <v>46022</v>
      </c>
      <c r="R599">
        <v>271</v>
      </c>
      <c r="T599" t="s">
        <v>913</v>
      </c>
      <c r="U599">
        <v>0</v>
      </c>
      <c r="Y599" s="27">
        <f t="shared" si="33"/>
        <v>-212.77</v>
      </c>
      <c r="Z599" t="s">
        <v>894</v>
      </c>
    </row>
    <row r="600" spans="1:28" hidden="1" x14ac:dyDescent="0.35">
      <c r="A600" t="s">
        <v>910</v>
      </c>
      <c r="B600" t="s">
        <v>910</v>
      </c>
      <c r="C600" t="s">
        <v>438</v>
      </c>
      <c r="D600" s="4">
        <v>256779415303</v>
      </c>
      <c r="E600" s="3">
        <v>45848</v>
      </c>
      <c r="F600" t="s">
        <v>11</v>
      </c>
      <c r="G600" t="s">
        <v>911</v>
      </c>
      <c r="H600" t="s">
        <v>911</v>
      </c>
      <c r="I600">
        <v>-72.12</v>
      </c>
      <c r="J600" t="s">
        <v>15</v>
      </c>
      <c r="K600" s="3">
        <v>45878</v>
      </c>
      <c r="M600" t="s">
        <v>912</v>
      </c>
      <c r="N600" s="2">
        <v>45992</v>
      </c>
      <c r="O600">
        <v>66424764</v>
      </c>
      <c r="P600">
        <v>4</v>
      </c>
      <c r="Q600" s="3">
        <v>46022</v>
      </c>
      <c r="R600">
        <v>271</v>
      </c>
      <c r="T600" t="s">
        <v>913</v>
      </c>
      <c r="U600">
        <v>0</v>
      </c>
      <c r="Y600" s="27">
        <f t="shared" si="33"/>
        <v>-72.12</v>
      </c>
      <c r="Z600" t="s">
        <v>894</v>
      </c>
    </row>
    <row r="601" spans="1:28" hidden="1" x14ac:dyDescent="0.35">
      <c r="A601" t="s">
        <v>910</v>
      </c>
      <c r="B601" t="s">
        <v>910</v>
      </c>
      <c r="C601" t="s">
        <v>438</v>
      </c>
      <c r="D601" s="4">
        <v>256779415304</v>
      </c>
      <c r="E601" s="3">
        <v>45848</v>
      </c>
      <c r="F601" t="s">
        <v>11</v>
      </c>
      <c r="G601" t="s">
        <v>911</v>
      </c>
      <c r="H601" t="s">
        <v>911</v>
      </c>
      <c r="I601">
        <v>-21.64</v>
      </c>
      <c r="J601" t="s">
        <v>15</v>
      </c>
      <c r="K601" s="3">
        <v>45878</v>
      </c>
      <c r="M601" t="s">
        <v>912</v>
      </c>
      <c r="N601" s="2">
        <v>45992</v>
      </c>
      <c r="O601">
        <v>66424764</v>
      </c>
      <c r="P601">
        <v>6</v>
      </c>
      <c r="Q601" s="3">
        <v>46022</v>
      </c>
      <c r="R601">
        <v>271</v>
      </c>
      <c r="T601" t="s">
        <v>913</v>
      </c>
      <c r="U601">
        <v>0</v>
      </c>
      <c r="Y601" s="27">
        <f t="shared" si="33"/>
        <v>-21.64</v>
      </c>
      <c r="Z601" t="s">
        <v>894</v>
      </c>
    </row>
    <row r="602" spans="1:28" hidden="1" x14ac:dyDescent="0.35">
      <c r="A602" t="s">
        <v>910</v>
      </c>
      <c r="B602" t="s">
        <v>910</v>
      </c>
      <c r="C602" t="s">
        <v>438</v>
      </c>
      <c r="D602" s="4">
        <v>256779415385</v>
      </c>
      <c r="E602" s="3">
        <v>45848</v>
      </c>
      <c r="F602" t="s">
        <v>11</v>
      </c>
      <c r="G602" t="s">
        <v>911</v>
      </c>
      <c r="H602" t="s">
        <v>911</v>
      </c>
      <c r="I602">
        <v>-0.36</v>
      </c>
      <c r="J602" t="s">
        <v>15</v>
      </c>
      <c r="K602" s="3">
        <v>45878</v>
      </c>
      <c r="M602" t="s">
        <v>912</v>
      </c>
      <c r="N602" s="2">
        <v>45992</v>
      </c>
      <c r="O602">
        <v>66424764</v>
      </c>
      <c r="P602">
        <v>8</v>
      </c>
      <c r="Q602" s="3">
        <v>46022</v>
      </c>
      <c r="R602">
        <v>271</v>
      </c>
      <c r="T602" t="s">
        <v>913</v>
      </c>
      <c r="U602">
        <v>0</v>
      </c>
      <c r="Y602" s="27">
        <f t="shared" si="33"/>
        <v>-0.36</v>
      </c>
      <c r="Z602" t="s">
        <v>894</v>
      </c>
    </row>
    <row r="603" spans="1:28" hidden="1" x14ac:dyDescent="0.35">
      <c r="A603" t="s">
        <v>910</v>
      </c>
      <c r="B603" t="s">
        <v>910</v>
      </c>
      <c r="C603" t="s">
        <v>438</v>
      </c>
      <c r="D603" s="4">
        <v>256779415293</v>
      </c>
      <c r="E603" s="3">
        <v>45848</v>
      </c>
      <c r="F603" t="s">
        <v>11</v>
      </c>
      <c r="G603" t="s">
        <v>911</v>
      </c>
      <c r="H603" t="s">
        <v>911</v>
      </c>
      <c r="I603">
        <v>-0.36</v>
      </c>
      <c r="J603" t="s">
        <v>15</v>
      </c>
      <c r="K603" s="3">
        <v>45878</v>
      </c>
      <c r="M603" t="s">
        <v>912</v>
      </c>
      <c r="N603" s="2">
        <v>45992</v>
      </c>
      <c r="O603">
        <v>66424764</v>
      </c>
      <c r="P603">
        <v>10</v>
      </c>
      <c r="Q603" s="3">
        <v>46022</v>
      </c>
      <c r="R603">
        <v>271</v>
      </c>
      <c r="T603" t="s">
        <v>913</v>
      </c>
      <c r="U603">
        <v>0</v>
      </c>
      <c r="Y603" s="27">
        <f t="shared" si="33"/>
        <v>-0.36</v>
      </c>
      <c r="Z603" t="s">
        <v>894</v>
      </c>
    </row>
    <row r="604" spans="1:28" hidden="1" x14ac:dyDescent="0.35">
      <c r="A604" t="s">
        <v>910</v>
      </c>
      <c r="B604" t="s">
        <v>910</v>
      </c>
      <c r="C604" t="s">
        <v>438</v>
      </c>
      <c r="D604" s="4">
        <v>256779415374</v>
      </c>
      <c r="E604" s="3">
        <v>45848</v>
      </c>
      <c r="F604" t="s">
        <v>11</v>
      </c>
      <c r="G604" t="s">
        <v>911</v>
      </c>
      <c r="H604" t="s">
        <v>911</v>
      </c>
      <c r="I604">
        <v>-6.91</v>
      </c>
      <c r="J604" t="s">
        <v>15</v>
      </c>
      <c r="K604" s="3">
        <v>45878</v>
      </c>
      <c r="M604" t="s">
        <v>912</v>
      </c>
      <c r="N604" s="2">
        <v>45992</v>
      </c>
      <c r="O604">
        <v>66424764</v>
      </c>
      <c r="P604">
        <v>12</v>
      </c>
      <c r="Q604" s="3">
        <v>46022</v>
      </c>
      <c r="R604">
        <v>271</v>
      </c>
      <c r="T604" t="s">
        <v>913</v>
      </c>
      <c r="U604">
        <v>0</v>
      </c>
      <c r="Y604" s="27">
        <f t="shared" si="33"/>
        <v>-6.91</v>
      </c>
      <c r="Z604" t="s">
        <v>894</v>
      </c>
    </row>
    <row r="605" spans="1:28" hidden="1" x14ac:dyDescent="0.35">
      <c r="A605" t="s">
        <v>910</v>
      </c>
      <c r="B605" t="s">
        <v>910</v>
      </c>
      <c r="C605" t="s">
        <v>438</v>
      </c>
      <c r="D605" s="4">
        <v>256779415339</v>
      </c>
      <c r="E605" s="3">
        <v>45848</v>
      </c>
      <c r="F605" t="s">
        <v>11</v>
      </c>
      <c r="G605" t="s">
        <v>911</v>
      </c>
      <c r="H605" t="s">
        <v>911</v>
      </c>
      <c r="I605">
        <v>-19.760000000000002</v>
      </c>
      <c r="J605" t="s">
        <v>15</v>
      </c>
      <c r="K605" s="3">
        <v>45878</v>
      </c>
      <c r="M605" t="s">
        <v>912</v>
      </c>
      <c r="N605" s="2">
        <v>45992</v>
      </c>
      <c r="O605">
        <v>66424764</v>
      </c>
      <c r="P605">
        <v>14</v>
      </c>
      <c r="Q605" s="3">
        <v>46022</v>
      </c>
      <c r="R605">
        <v>271</v>
      </c>
      <c r="T605" t="s">
        <v>913</v>
      </c>
      <c r="U605">
        <v>0</v>
      </c>
      <c r="Y605" s="27">
        <f t="shared" si="33"/>
        <v>-19.760000000000002</v>
      </c>
      <c r="Z605" t="s">
        <v>894</v>
      </c>
    </row>
    <row r="606" spans="1:28" hidden="1" x14ac:dyDescent="0.35">
      <c r="A606" t="s">
        <v>910</v>
      </c>
      <c r="B606" t="s">
        <v>910</v>
      </c>
      <c r="C606" t="s">
        <v>438</v>
      </c>
      <c r="D606" s="4">
        <v>256779411467</v>
      </c>
      <c r="E606" s="3">
        <v>45762</v>
      </c>
      <c r="F606" t="s">
        <v>11</v>
      </c>
      <c r="G606" t="s">
        <v>911</v>
      </c>
      <c r="H606" t="s">
        <v>911</v>
      </c>
      <c r="I606">
        <v>-25.53</v>
      </c>
      <c r="J606" t="s">
        <v>15</v>
      </c>
      <c r="K606" s="3">
        <v>45792</v>
      </c>
      <c r="M606" t="s">
        <v>912</v>
      </c>
      <c r="N606" s="2">
        <v>45992</v>
      </c>
      <c r="O606">
        <v>66424764</v>
      </c>
      <c r="P606">
        <v>16</v>
      </c>
      <c r="Q606" s="3">
        <v>46022</v>
      </c>
      <c r="R606">
        <v>271</v>
      </c>
      <c r="T606" t="s">
        <v>913</v>
      </c>
      <c r="U606">
        <v>0</v>
      </c>
      <c r="Y606" s="27">
        <f t="shared" si="33"/>
        <v>-25.53</v>
      </c>
      <c r="Z606" t="s">
        <v>894</v>
      </c>
    </row>
    <row r="607" spans="1:28" hidden="1" x14ac:dyDescent="0.35">
      <c r="A607" t="s">
        <v>910</v>
      </c>
      <c r="B607" t="s">
        <v>910</v>
      </c>
      <c r="C607" t="s">
        <v>438</v>
      </c>
      <c r="D607" s="4">
        <v>256779415308</v>
      </c>
      <c r="E607" s="3">
        <v>45848</v>
      </c>
      <c r="F607" t="s">
        <v>11</v>
      </c>
      <c r="G607" t="s">
        <v>911</v>
      </c>
      <c r="H607" t="s">
        <v>911</v>
      </c>
      <c r="I607">
        <v>-21.64</v>
      </c>
      <c r="J607" t="s">
        <v>15</v>
      </c>
      <c r="K607" s="3">
        <v>45878</v>
      </c>
      <c r="M607" t="s">
        <v>912</v>
      </c>
      <c r="N607" s="2">
        <v>45992</v>
      </c>
      <c r="O607">
        <v>66424764</v>
      </c>
      <c r="P607">
        <v>18</v>
      </c>
      <c r="Q607" s="3">
        <v>46022</v>
      </c>
      <c r="R607">
        <v>271</v>
      </c>
      <c r="T607" t="s">
        <v>913</v>
      </c>
      <c r="U607">
        <v>0</v>
      </c>
      <c r="Y607" s="27">
        <f t="shared" si="33"/>
        <v>-21.64</v>
      </c>
      <c r="Z607" t="s">
        <v>894</v>
      </c>
    </row>
    <row r="608" spans="1:28" hidden="1" x14ac:dyDescent="0.35">
      <c r="A608" t="s">
        <v>910</v>
      </c>
      <c r="B608" t="s">
        <v>910</v>
      </c>
      <c r="C608" t="s">
        <v>438</v>
      </c>
      <c r="D608" s="4">
        <v>256779415305</v>
      </c>
      <c r="E608" s="3">
        <v>45848</v>
      </c>
      <c r="F608" t="s">
        <v>11</v>
      </c>
      <c r="G608" t="s">
        <v>911</v>
      </c>
      <c r="H608" t="s">
        <v>911</v>
      </c>
      <c r="I608">
        <v>-21.64</v>
      </c>
      <c r="J608" t="s">
        <v>15</v>
      </c>
      <c r="K608" s="3">
        <v>45878</v>
      </c>
      <c r="M608" t="s">
        <v>912</v>
      </c>
      <c r="N608" s="2">
        <v>45992</v>
      </c>
      <c r="O608">
        <v>66424764</v>
      </c>
      <c r="P608">
        <v>20</v>
      </c>
      <c r="Q608" s="3">
        <v>46022</v>
      </c>
      <c r="R608">
        <v>271</v>
      </c>
      <c r="T608" t="s">
        <v>913</v>
      </c>
      <c r="U608">
        <v>0</v>
      </c>
      <c r="Y608" s="27">
        <f t="shared" si="33"/>
        <v>-21.64</v>
      </c>
      <c r="Z608" t="s">
        <v>894</v>
      </c>
    </row>
    <row r="609" spans="1:26" hidden="1" x14ac:dyDescent="0.35">
      <c r="A609" t="s">
        <v>910</v>
      </c>
      <c r="B609" t="s">
        <v>910</v>
      </c>
      <c r="C609" t="s">
        <v>438</v>
      </c>
      <c r="D609" s="4">
        <v>256779415306</v>
      </c>
      <c r="E609" s="3">
        <v>45848</v>
      </c>
      <c r="F609" t="s">
        <v>11</v>
      </c>
      <c r="G609" t="s">
        <v>911</v>
      </c>
      <c r="H609" t="s">
        <v>911</v>
      </c>
      <c r="I609">
        <v>-21.64</v>
      </c>
      <c r="J609" t="s">
        <v>15</v>
      </c>
      <c r="K609" s="3">
        <v>45878</v>
      </c>
      <c r="M609" t="s">
        <v>912</v>
      </c>
      <c r="N609" s="2">
        <v>45992</v>
      </c>
      <c r="O609">
        <v>66424764</v>
      </c>
      <c r="P609">
        <v>22</v>
      </c>
      <c r="Q609" s="3">
        <v>46022</v>
      </c>
      <c r="R609">
        <v>271</v>
      </c>
      <c r="T609" t="s">
        <v>913</v>
      </c>
      <c r="U609">
        <v>0</v>
      </c>
      <c r="Y609" s="27">
        <f t="shared" si="33"/>
        <v>-21.64</v>
      </c>
      <c r="Z609" t="s">
        <v>894</v>
      </c>
    </row>
    <row r="610" spans="1:26" hidden="1" x14ac:dyDescent="0.35">
      <c r="A610" t="s">
        <v>910</v>
      </c>
      <c r="B610" t="s">
        <v>910</v>
      </c>
      <c r="C610" t="s">
        <v>438</v>
      </c>
      <c r="D610" s="4">
        <v>256779415307</v>
      </c>
      <c r="E610" s="3">
        <v>45848</v>
      </c>
      <c r="F610" t="s">
        <v>11</v>
      </c>
      <c r="G610" t="s">
        <v>911</v>
      </c>
      <c r="H610" t="s">
        <v>911</v>
      </c>
      <c r="I610">
        <v>-21.64</v>
      </c>
      <c r="J610" t="s">
        <v>15</v>
      </c>
      <c r="K610" s="3">
        <v>45878</v>
      </c>
      <c r="M610" t="s">
        <v>912</v>
      </c>
      <c r="N610" s="2">
        <v>45992</v>
      </c>
      <c r="O610">
        <v>66424764</v>
      </c>
      <c r="P610">
        <v>24</v>
      </c>
      <c r="Q610" s="3">
        <v>46022</v>
      </c>
      <c r="R610">
        <v>271</v>
      </c>
      <c r="T610" t="s">
        <v>913</v>
      </c>
      <c r="U610">
        <v>0</v>
      </c>
      <c r="Y610" s="27">
        <f t="shared" si="33"/>
        <v>-21.64</v>
      </c>
      <c r="Z610" t="s">
        <v>894</v>
      </c>
    </row>
    <row r="611" spans="1:26" hidden="1" x14ac:dyDescent="0.35">
      <c r="A611" t="s">
        <v>910</v>
      </c>
      <c r="B611" t="s">
        <v>910</v>
      </c>
      <c r="C611" t="s">
        <v>438</v>
      </c>
      <c r="D611" s="4">
        <v>256779415291</v>
      </c>
      <c r="E611" s="3">
        <v>45848</v>
      </c>
      <c r="F611" t="s">
        <v>11</v>
      </c>
      <c r="G611" t="s">
        <v>911</v>
      </c>
      <c r="H611" t="s">
        <v>911</v>
      </c>
      <c r="I611">
        <v>-0.36</v>
      </c>
      <c r="J611" t="s">
        <v>15</v>
      </c>
      <c r="K611" s="3">
        <v>45878</v>
      </c>
      <c r="M611" t="s">
        <v>912</v>
      </c>
      <c r="N611" s="2">
        <v>45992</v>
      </c>
      <c r="O611">
        <v>66424764</v>
      </c>
      <c r="P611">
        <v>26</v>
      </c>
      <c r="Q611" s="3">
        <v>46022</v>
      </c>
      <c r="R611">
        <v>271</v>
      </c>
      <c r="T611" t="s">
        <v>913</v>
      </c>
      <c r="U611">
        <v>0</v>
      </c>
      <c r="Y611" s="27">
        <f t="shared" si="33"/>
        <v>-0.36</v>
      </c>
      <c r="Z611" t="s">
        <v>894</v>
      </c>
    </row>
    <row r="612" spans="1:26" hidden="1" x14ac:dyDescent="0.35">
      <c r="A612" t="s">
        <v>910</v>
      </c>
      <c r="B612" t="s">
        <v>910</v>
      </c>
      <c r="C612" t="s">
        <v>438</v>
      </c>
      <c r="D612" s="4">
        <v>256779415012</v>
      </c>
      <c r="E612" s="3">
        <v>45842</v>
      </c>
      <c r="F612" t="s">
        <v>11</v>
      </c>
      <c r="G612" t="s">
        <v>911</v>
      </c>
      <c r="H612" t="s">
        <v>911</v>
      </c>
      <c r="I612">
        <v>-132.71</v>
      </c>
      <c r="J612" t="s">
        <v>15</v>
      </c>
      <c r="K612" s="3">
        <v>45872</v>
      </c>
      <c r="M612" t="s">
        <v>912</v>
      </c>
      <c r="N612" s="2">
        <v>45992</v>
      </c>
      <c r="O612">
        <v>66424764</v>
      </c>
      <c r="P612">
        <v>28</v>
      </c>
      <c r="Q612" s="3">
        <v>46022</v>
      </c>
      <c r="R612">
        <v>271</v>
      </c>
      <c r="T612" t="s">
        <v>913</v>
      </c>
      <c r="U612">
        <v>0</v>
      </c>
      <c r="Y612" s="27">
        <f t="shared" si="33"/>
        <v>-132.71</v>
      </c>
      <c r="Z612" t="s">
        <v>894</v>
      </c>
    </row>
    <row r="613" spans="1:26" hidden="1" x14ac:dyDescent="0.35">
      <c r="A613" t="s">
        <v>910</v>
      </c>
      <c r="B613" t="s">
        <v>910</v>
      </c>
      <c r="C613" t="s">
        <v>438</v>
      </c>
      <c r="D613" s="4">
        <v>256779415261</v>
      </c>
      <c r="E613" s="3">
        <v>45842</v>
      </c>
      <c r="F613" t="s">
        <v>11</v>
      </c>
      <c r="G613" t="s">
        <v>911</v>
      </c>
      <c r="H613" t="s">
        <v>911</v>
      </c>
      <c r="I613">
        <v>-210.79</v>
      </c>
      <c r="J613" t="s">
        <v>15</v>
      </c>
      <c r="K613" s="3">
        <v>45872</v>
      </c>
      <c r="M613" t="s">
        <v>912</v>
      </c>
      <c r="N613" s="2">
        <v>45992</v>
      </c>
      <c r="O613">
        <v>66424764</v>
      </c>
      <c r="P613">
        <v>30</v>
      </c>
      <c r="Q613" s="3">
        <v>46022</v>
      </c>
      <c r="R613">
        <v>271</v>
      </c>
      <c r="T613" t="s">
        <v>913</v>
      </c>
      <c r="U613">
        <v>0</v>
      </c>
      <c r="Y613" s="27">
        <f t="shared" si="33"/>
        <v>-210.79</v>
      </c>
      <c r="Z613" t="s">
        <v>894</v>
      </c>
    </row>
    <row r="614" spans="1:26" hidden="1" x14ac:dyDescent="0.35">
      <c r="A614" t="s">
        <v>910</v>
      </c>
      <c r="B614" t="s">
        <v>910</v>
      </c>
      <c r="C614" t="s">
        <v>438</v>
      </c>
      <c r="D614" s="4">
        <v>256779416255</v>
      </c>
      <c r="E614" s="3">
        <v>45877</v>
      </c>
      <c r="F614" t="s">
        <v>11</v>
      </c>
      <c r="G614" t="s">
        <v>911</v>
      </c>
      <c r="H614" t="s">
        <v>911</v>
      </c>
      <c r="I614">
        <v>-282.73</v>
      </c>
      <c r="J614" t="s">
        <v>15</v>
      </c>
      <c r="K614" s="3">
        <v>45907</v>
      </c>
      <c r="M614" t="s">
        <v>912</v>
      </c>
      <c r="N614" s="2">
        <v>45992</v>
      </c>
      <c r="O614">
        <v>66424764</v>
      </c>
      <c r="P614">
        <v>32</v>
      </c>
      <c r="Q614" s="3">
        <v>46022</v>
      </c>
      <c r="R614">
        <v>271</v>
      </c>
      <c r="T614" t="s">
        <v>913</v>
      </c>
      <c r="U614">
        <v>0</v>
      </c>
      <c r="Y614" s="27">
        <f t="shared" si="33"/>
        <v>-282.73</v>
      </c>
      <c r="Z614" t="s">
        <v>894</v>
      </c>
    </row>
    <row r="615" spans="1:26" hidden="1" x14ac:dyDescent="0.35">
      <c r="A615" t="s">
        <v>910</v>
      </c>
      <c r="B615" t="s">
        <v>910</v>
      </c>
      <c r="C615" t="s">
        <v>438</v>
      </c>
      <c r="D615" s="4">
        <v>256779416169</v>
      </c>
      <c r="E615" s="3">
        <v>45877</v>
      </c>
      <c r="F615" t="s">
        <v>11</v>
      </c>
      <c r="G615" t="s">
        <v>911</v>
      </c>
      <c r="H615" t="s">
        <v>911</v>
      </c>
      <c r="I615">
        <v>-185.36</v>
      </c>
      <c r="J615" t="s">
        <v>15</v>
      </c>
      <c r="K615" s="3">
        <v>45907</v>
      </c>
      <c r="M615" t="s">
        <v>912</v>
      </c>
      <c r="N615" s="2">
        <v>45992</v>
      </c>
      <c r="O615">
        <v>66424764</v>
      </c>
      <c r="P615">
        <v>34</v>
      </c>
      <c r="Q615" s="3">
        <v>46022</v>
      </c>
      <c r="R615">
        <v>271</v>
      </c>
      <c r="T615" t="s">
        <v>913</v>
      </c>
      <c r="U615">
        <v>0</v>
      </c>
      <c r="Y615" s="27">
        <f t="shared" si="33"/>
        <v>-185.36</v>
      </c>
      <c r="Z615" t="s">
        <v>894</v>
      </c>
    </row>
    <row r="616" spans="1:26" hidden="1" x14ac:dyDescent="0.35">
      <c r="A616" t="s">
        <v>910</v>
      </c>
      <c r="B616" t="s">
        <v>910</v>
      </c>
      <c r="C616" t="s">
        <v>438</v>
      </c>
      <c r="D616" s="4">
        <v>256779416442</v>
      </c>
      <c r="E616" s="3">
        <v>45877</v>
      </c>
      <c r="F616" t="s">
        <v>11</v>
      </c>
      <c r="G616" t="s">
        <v>911</v>
      </c>
      <c r="H616" t="s">
        <v>911</v>
      </c>
      <c r="I616">
        <v>-759.48</v>
      </c>
      <c r="J616" t="s">
        <v>15</v>
      </c>
      <c r="K616" s="3">
        <v>45907</v>
      </c>
      <c r="M616" t="s">
        <v>912</v>
      </c>
      <c r="N616" s="2">
        <v>45992</v>
      </c>
      <c r="O616">
        <v>66424764</v>
      </c>
      <c r="P616">
        <v>36</v>
      </c>
      <c r="Q616" s="3">
        <v>46022</v>
      </c>
      <c r="R616">
        <v>271</v>
      </c>
      <c r="T616" t="s">
        <v>913</v>
      </c>
      <c r="U616">
        <v>0</v>
      </c>
      <c r="Y616" s="27">
        <f t="shared" si="33"/>
        <v>-759.48</v>
      </c>
      <c r="Z616" t="s">
        <v>894</v>
      </c>
    </row>
    <row r="617" spans="1:26" hidden="1" x14ac:dyDescent="0.35">
      <c r="A617" t="s">
        <v>910</v>
      </c>
      <c r="B617" t="s">
        <v>910</v>
      </c>
      <c r="C617" t="s">
        <v>438</v>
      </c>
      <c r="D617" s="4">
        <v>256779416214</v>
      </c>
      <c r="E617" s="3">
        <v>45877</v>
      </c>
      <c r="F617" t="s">
        <v>11</v>
      </c>
      <c r="G617" t="s">
        <v>911</v>
      </c>
      <c r="H617" t="s">
        <v>911</v>
      </c>
      <c r="I617">
        <v>-152.9</v>
      </c>
      <c r="J617" t="s">
        <v>15</v>
      </c>
      <c r="K617" s="3">
        <v>45907</v>
      </c>
      <c r="M617" t="s">
        <v>912</v>
      </c>
      <c r="N617" s="2">
        <v>45992</v>
      </c>
      <c r="O617">
        <v>66424764</v>
      </c>
      <c r="P617">
        <v>38</v>
      </c>
      <c r="Q617" s="3">
        <v>46022</v>
      </c>
      <c r="R617">
        <v>271</v>
      </c>
      <c r="T617" t="s">
        <v>913</v>
      </c>
      <c r="U617">
        <v>0</v>
      </c>
      <c r="Y617" s="27">
        <f t="shared" si="33"/>
        <v>-152.9</v>
      </c>
      <c r="Z617" t="s">
        <v>894</v>
      </c>
    </row>
    <row r="618" spans="1:26" hidden="1" x14ac:dyDescent="0.35">
      <c r="A618" t="s">
        <v>910</v>
      </c>
      <c r="B618" t="s">
        <v>910</v>
      </c>
      <c r="C618" t="s">
        <v>438</v>
      </c>
      <c r="D618" s="4">
        <v>256779416454</v>
      </c>
      <c r="E618" s="3">
        <v>45877</v>
      </c>
      <c r="F618" t="s">
        <v>11</v>
      </c>
      <c r="G618" t="s">
        <v>911</v>
      </c>
      <c r="H618" t="s">
        <v>911</v>
      </c>
      <c r="I618">
        <v>-296.44</v>
      </c>
      <c r="J618" t="s">
        <v>15</v>
      </c>
      <c r="K618" s="3">
        <v>45907</v>
      </c>
      <c r="M618" t="s">
        <v>912</v>
      </c>
      <c r="N618" s="2">
        <v>45992</v>
      </c>
      <c r="O618">
        <v>66424764</v>
      </c>
      <c r="P618">
        <v>40</v>
      </c>
      <c r="Q618" s="3">
        <v>46022</v>
      </c>
      <c r="R618">
        <v>271</v>
      </c>
      <c r="T618" t="s">
        <v>913</v>
      </c>
      <c r="U618">
        <v>0</v>
      </c>
      <c r="Y618" s="27">
        <f t="shared" si="33"/>
        <v>-296.44</v>
      </c>
      <c r="Z618" t="s">
        <v>894</v>
      </c>
    </row>
    <row r="619" spans="1:26" hidden="1" x14ac:dyDescent="0.35">
      <c r="A619" t="s">
        <v>910</v>
      </c>
      <c r="B619" t="s">
        <v>910</v>
      </c>
      <c r="C619" t="s">
        <v>438</v>
      </c>
      <c r="D619" s="4">
        <v>256779417349</v>
      </c>
      <c r="E619" s="3">
        <v>45904</v>
      </c>
      <c r="F619" t="s">
        <v>11</v>
      </c>
      <c r="G619" t="s">
        <v>911</v>
      </c>
      <c r="H619" t="s">
        <v>911</v>
      </c>
      <c r="I619">
        <v>-65.92</v>
      </c>
      <c r="J619" t="s">
        <v>15</v>
      </c>
      <c r="K619" s="3">
        <v>45934</v>
      </c>
      <c r="M619" t="s">
        <v>912</v>
      </c>
      <c r="N619" s="2">
        <v>45992</v>
      </c>
      <c r="O619">
        <v>66424764</v>
      </c>
      <c r="P619">
        <v>42</v>
      </c>
      <c r="Q619" s="3">
        <v>46022</v>
      </c>
      <c r="R619">
        <v>271</v>
      </c>
      <c r="T619" t="s">
        <v>913</v>
      </c>
      <c r="U619">
        <v>0</v>
      </c>
      <c r="Y619" s="27">
        <f t="shared" si="33"/>
        <v>-65.92</v>
      </c>
      <c r="Z619" t="s">
        <v>894</v>
      </c>
    </row>
    <row r="620" spans="1:26" hidden="1" x14ac:dyDescent="0.35">
      <c r="A620" t="s">
        <v>910</v>
      </c>
      <c r="B620" t="s">
        <v>910</v>
      </c>
      <c r="C620" t="s">
        <v>438</v>
      </c>
      <c r="D620" s="4">
        <v>256779417350</v>
      </c>
      <c r="E620" s="3">
        <v>45904</v>
      </c>
      <c r="F620" t="s">
        <v>11</v>
      </c>
      <c r="G620" t="s">
        <v>911</v>
      </c>
      <c r="H620" t="s">
        <v>911</v>
      </c>
      <c r="I620">
        <v>-36.07</v>
      </c>
      <c r="J620" t="s">
        <v>15</v>
      </c>
      <c r="K620" s="3">
        <v>45934</v>
      </c>
      <c r="M620" t="s">
        <v>912</v>
      </c>
      <c r="N620" s="2">
        <v>45992</v>
      </c>
      <c r="O620">
        <v>66424764</v>
      </c>
      <c r="P620">
        <v>44</v>
      </c>
      <c r="Q620" s="3">
        <v>46022</v>
      </c>
      <c r="R620">
        <v>271</v>
      </c>
      <c r="T620" t="s">
        <v>913</v>
      </c>
      <c r="U620">
        <v>0</v>
      </c>
      <c r="Y620" s="27">
        <f t="shared" si="33"/>
        <v>-36.07</v>
      </c>
      <c r="Z620" t="s">
        <v>894</v>
      </c>
    </row>
    <row r="621" spans="1:26" hidden="1" x14ac:dyDescent="0.35">
      <c r="A621" t="s">
        <v>910</v>
      </c>
      <c r="B621" t="s">
        <v>910</v>
      </c>
      <c r="C621" t="s">
        <v>438</v>
      </c>
      <c r="D621" s="4">
        <v>256779417348</v>
      </c>
      <c r="E621" s="3">
        <v>45904</v>
      </c>
      <c r="F621" t="s">
        <v>11</v>
      </c>
      <c r="G621" t="s">
        <v>911</v>
      </c>
      <c r="H621" t="s">
        <v>911</v>
      </c>
      <c r="I621" s="27">
        <v>-1648.3</v>
      </c>
      <c r="J621" t="s">
        <v>15</v>
      </c>
      <c r="K621" s="3">
        <v>45934</v>
      </c>
      <c r="M621" t="s">
        <v>912</v>
      </c>
      <c r="N621" s="2">
        <v>45992</v>
      </c>
      <c r="O621">
        <v>66424764</v>
      </c>
      <c r="P621">
        <v>46</v>
      </c>
      <c r="Q621" s="3">
        <v>46022</v>
      </c>
      <c r="R621">
        <v>271</v>
      </c>
      <c r="T621" t="s">
        <v>913</v>
      </c>
      <c r="U621">
        <v>0</v>
      </c>
      <c r="Y621" s="27">
        <f t="shared" si="33"/>
        <v>-1648.3</v>
      </c>
      <c r="Z621" t="s">
        <v>894</v>
      </c>
    </row>
    <row r="622" spans="1:26" hidden="1" x14ac:dyDescent="0.35">
      <c r="A622" t="s">
        <v>910</v>
      </c>
      <c r="B622" t="s">
        <v>910</v>
      </c>
      <c r="C622" t="s">
        <v>438</v>
      </c>
      <c r="D622" s="4">
        <v>256779416137</v>
      </c>
      <c r="E622" s="3">
        <v>45877</v>
      </c>
      <c r="F622" t="s">
        <v>11</v>
      </c>
      <c r="G622" t="s">
        <v>911</v>
      </c>
      <c r="H622" t="s">
        <v>911</v>
      </c>
      <c r="I622">
        <v>-39.67</v>
      </c>
      <c r="J622" t="s">
        <v>15</v>
      </c>
      <c r="K622" s="3">
        <v>45907</v>
      </c>
      <c r="M622" t="s">
        <v>912</v>
      </c>
      <c r="N622" s="2">
        <v>45992</v>
      </c>
      <c r="O622">
        <v>66424764</v>
      </c>
      <c r="P622">
        <v>48</v>
      </c>
      <c r="Q622" s="3">
        <v>46022</v>
      </c>
      <c r="R622">
        <v>271</v>
      </c>
      <c r="T622" t="s">
        <v>913</v>
      </c>
      <c r="U622">
        <v>0</v>
      </c>
      <c r="Y622" s="27">
        <f t="shared" si="33"/>
        <v>-39.67</v>
      </c>
      <c r="Z622" t="s">
        <v>894</v>
      </c>
    </row>
    <row r="623" spans="1:26" hidden="1" x14ac:dyDescent="0.35">
      <c r="A623" t="s">
        <v>910</v>
      </c>
      <c r="B623" t="s">
        <v>910</v>
      </c>
      <c r="C623" t="s">
        <v>438</v>
      </c>
      <c r="D623" s="4">
        <v>256779411466</v>
      </c>
      <c r="E623" s="3">
        <v>45762</v>
      </c>
      <c r="F623" t="s">
        <v>11</v>
      </c>
      <c r="G623" t="s">
        <v>911</v>
      </c>
      <c r="H623" t="s">
        <v>911</v>
      </c>
      <c r="I623">
        <v>-144.44999999999999</v>
      </c>
      <c r="J623" t="s">
        <v>15</v>
      </c>
      <c r="K623" s="3">
        <v>45792</v>
      </c>
      <c r="M623" t="s">
        <v>912</v>
      </c>
      <c r="N623" s="2">
        <v>45992</v>
      </c>
      <c r="O623">
        <v>66424764</v>
      </c>
      <c r="P623">
        <v>50</v>
      </c>
      <c r="Q623" s="3">
        <v>46022</v>
      </c>
      <c r="R623">
        <v>271</v>
      </c>
      <c r="T623" t="s">
        <v>913</v>
      </c>
      <c r="U623">
        <v>0</v>
      </c>
      <c r="Y623" s="27">
        <f t="shared" si="33"/>
        <v>-144.44999999999999</v>
      </c>
      <c r="Z623" t="s">
        <v>894</v>
      </c>
    </row>
    <row r="624" spans="1:26" hidden="1" x14ac:dyDescent="0.35">
      <c r="A624" t="s">
        <v>910</v>
      </c>
      <c r="B624" t="s">
        <v>910</v>
      </c>
      <c r="C624" t="s">
        <v>438</v>
      </c>
      <c r="D624" s="4">
        <v>256779411465</v>
      </c>
      <c r="E624" s="3">
        <v>45762</v>
      </c>
      <c r="F624" t="s">
        <v>11</v>
      </c>
      <c r="G624" t="s">
        <v>911</v>
      </c>
      <c r="H624" t="s">
        <v>911</v>
      </c>
      <c r="I624">
        <v>-132.41</v>
      </c>
      <c r="J624" t="s">
        <v>15</v>
      </c>
      <c r="K624" s="3">
        <v>45792</v>
      </c>
      <c r="M624" t="s">
        <v>912</v>
      </c>
      <c r="N624" s="2">
        <v>45992</v>
      </c>
      <c r="O624">
        <v>66424764</v>
      </c>
      <c r="P624">
        <v>52</v>
      </c>
      <c r="Q624" s="3">
        <v>46022</v>
      </c>
      <c r="R624">
        <v>271</v>
      </c>
      <c r="T624" t="s">
        <v>913</v>
      </c>
      <c r="U624">
        <v>0</v>
      </c>
      <c r="Y624" s="27">
        <f t="shared" si="33"/>
        <v>-132.41</v>
      </c>
      <c r="Z624" t="s">
        <v>894</v>
      </c>
    </row>
    <row r="625" spans="1:26" hidden="1" x14ac:dyDescent="0.35">
      <c r="A625" t="s">
        <v>910</v>
      </c>
      <c r="B625" t="s">
        <v>910</v>
      </c>
      <c r="C625" t="s">
        <v>438</v>
      </c>
      <c r="D625" s="4">
        <v>256779416028</v>
      </c>
      <c r="E625" s="3">
        <v>45870</v>
      </c>
      <c r="F625" t="s">
        <v>11</v>
      </c>
      <c r="G625" t="s">
        <v>911</v>
      </c>
      <c r="H625" t="s">
        <v>911</v>
      </c>
      <c r="I625" s="27">
        <v>-7426.8</v>
      </c>
      <c r="J625" t="s">
        <v>15</v>
      </c>
      <c r="K625" s="3">
        <v>45900</v>
      </c>
      <c r="M625" t="s">
        <v>912</v>
      </c>
      <c r="N625" s="2">
        <v>45992</v>
      </c>
      <c r="O625">
        <v>66424764</v>
      </c>
      <c r="P625">
        <v>54</v>
      </c>
      <c r="Q625" s="3">
        <v>46022</v>
      </c>
      <c r="R625">
        <v>271</v>
      </c>
      <c r="T625" t="s">
        <v>913</v>
      </c>
      <c r="U625">
        <v>0</v>
      </c>
      <c r="Y625" s="27">
        <f t="shared" si="33"/>
        <v>-7426.8</v>
      </c>
      <c r="Z625" t="s">
        <v>894</v>
      </c>
    </row>
    <row r="626" spans="1:26" hidden="1" x14ac:dyDescent="0.35">
      <c r="A626" t="s">
        <v>910</v>
      </c>
      <c r="B626" t="s">
        <v>910</v>
      </c>
      <c r="C626" t="s">
        <v>438</v>
      </c>
      <c r="D626" s="4">
        <v>256779416029</v>
      </c>
      <c r="E626" s="3">
        <v>45870</v>
      </c>
      <c r="F626" t="s">
        <v>11</v>
      </c>
      <c r="G626" t="s">
        <v>911</v>
      </c>
      <c r="H626" t="s">
        <v>911</v>
      </c>
      <c r="I626">
        <v>-297.06</v>
      </c>
      <c r="J626" t="s">
        <v>15</v>
      </c>
      <c r="K626" s="3">
        <v>45900</v>
      </c>
      <c r="M626" t="s">
        <v>912</v>
      </c>
      <c r="N626" s="2">
        <v>45992</v>
      </c>
      <c r="O626">
        <v>66424764</v>
      </c>
      <c r="P626">
        <v>56</v>
      </c>
      <c r="Q626" s="3">
        <v>46022</v>
      </c>
      <c r="R626">
        <v>271</v>
      </c>
      <c r="T626" t="s">
        <v>913</v>
      </c>
      <c r="U626">
        <v>0</v>
      </c>
      <c r="Y626" s="27">
        <f t="shared" si="33"/>
        <v>-297.06</v>
      </c>
      <c r="Z626" t="s">
        <v>894</v>
      </c>
    </row>
    <row r="627" spans="1:26" hidden="1" x14ac:dyDescent="0.35">
      <c r="A627" t="s">
        <v>910</v>
      </c>
      <c r="B627" t="s">
        <v>910</v>
      </c>
      <c r="C627" t="s">
        <v>438</v>
      </c>
      <c r="D627" s="4">
        <v>256779416030</v>
      </c>
      <c r="E627" s="3">
        <v>45870</v>
      </c>
      <c r="F627" t="s">
        <v>11</v>
      </c>
      <c r="G627" t="s">
        <v>911</v>
      </c>
      <c r="H627" t="s">
        <v>911</v>
      </c>
      <c r="I627">
        <v>-163.38</v>
      </c>
      <c r="J627" t="s">
        <v>15</v>
      </c>
      <c r="K627" s="3">
        <v>45900</v>
      </c>
      <c r="M627" t="s">
        <v>912</v>
      </c>
      <c r="N627" s="2">
        <v>45992</v>
      </c>
      <c r="O627">
        <v>66424764</v>
      </c>
      <c r="P627">
        <v>58</v>
      </c>
      <c r="Q627" s="3">
        <v>46022</v>
      </c>
      <c r="R627">
        <v>271</v>
      </c>
      <c r="T627" t="s">
        <v>913</v>
      </c>
      <c r="U627">
        <v>0</v>
      </c>
      <c r="Y627" s="27">
        <f t="shared" si="33"/>
        <v>-163.38</v>
      </c>
      <c r="Z627" t="s">
        <v>894</v>
      </c>
    </row>
    <row r="628" spans="1:26" hidden="1" x14ac:dyDescent="0.35">
      <c r="A628" t="s">
        <v>910</v>
      </c>
      <c r="B628" t="s">
        <v>910</v>
      </c>
      <c r="C628" t="s">
        <v>438</v>
      </c>
      <c r="D628" s="4">
        <v>256779417875</v>
      </c>
      <c r="E628" s="3">
        <v>45935</v>
      </c>
      <c r="F628" t="s">
        <v>11</v>
      </c>
      <c r="G628" t="s">
        <v>911</v>
      </c>
      <c r="H628" t="s">
        <v>911</v>
      </c>
      <c r="I628" s="27">
        <v>-2736.39</v>
      </c>
      <c r="J628" t="s">
        <v>15</v>
      </c>
      <c r="K628" s="3">
        <v>45965</v>
      </c>
      <c r="M628" t="s">
        <v>912</v>
      </c>
      <c r="N628" s="2">
        <v>45992</v>
      </c>
      <c r="O628">
        <v>66424764</v>
      </c>
      <c r="P628">
        <v>60</v>
      </c>
      <c r="Q628" s="3">
        <v>46022</v>
      </c>
      <c r="R628">
        <v>271</v>
      </c>
      <c r="T628" t="s">
        <v>913</v>
      </c>
      <c r="U628">
        <v>0</v>
      </c>
      <c r="Y628" s="27">
        <f t="shared" si="33"/>
        <v>-2736.39</v>
      </c>
      <c r="Z628" t="s">
        <v>894</v>
      </c>
    </row>
    <row r="629" spans="1:26" hidden="1" x14ac:dyDescent="0.35">
      <c r="A629" t="s">
        <v>910</v>
      </c>
      <c r="B629" t="s">
        <v>910</v>
      </c>
      <c r="C629" t="s">
        <v>438</v>
      </c>
      <c r="D629" s="4">
        <v>256779417876</v>
      </c>
      <c r="E629" s="3">
        <v>45935</v>
      </c>
      <c r="F629" t="s">
        <v>11</v>
      </c>
      <c r="G629" t="s">
        <v>911</v>
      </c>
      <c r="H629" t="s">
        <v>911</v>
      </c>
      <c r="I629">
        <v>-109.46</v>
      </c>
      <c r="J629" t="s">
        <v>15</v>
      </c>
      <c r="K629" s="3">
        <v>45965</v>
      </c>
      <c r="M629" t="s">
        <v>912</v>
      </c>
      <c r="N629" s="2">
        <v>45992</v>
      </c>
      <c r="O629">
        <v>66424764</v>
      </c>
      <c r="P629">
        <v>62</v>
      </c>
      <c r="Q629" s="3">
        <v>46022</v>
      </c>
      <c r="R629">
        <v>271</v>
      </c>
      <c r="T629" t="s">
        <v>913</v>
      </c>
      <c r="U629">
        <v>0</v>
      </c>
      <c r="Y629" s="27">
        <f t="shared" si="33"/>
        <v>-109.46</v>
      </c>
      <c r="Z629" t="s">
        <v>894</v>
      </c>
    </row>
    <row r="630" spans="1:26" hidden="1" x14ac:dyDescent="0.35">
      <c r="A630" t="s">
        <v>910</v>
      </c>
      <c r="B630" t="s">
        <v>910</v>
      </c>
      <c r="C630" t="s">
        <v>438</v>
      </c>
      <c r="D630" s="4">
        <v>256779417877</v>
      </c>
      <c r="E630" s="3">
        <v>45935</v>
      </c>
      <c r="F630" t="s">
        <v>11</v>
      </c>
      <c r="G630" t="s">
        <v>911</v>
      </c>
      <c r="H630" t="s">
        <v>911</v>
      </c>
      <c r="I630">
        <v>-60.2</v>
      </c>
      <c r="J630" t="s">
        <v>15</v>
      </c>
      <c r="K630" s="3">
        <v>45965</v>
      </c>
      <c r="M630" t="s">
        <v>912</v>
      </c>
      <c r="N630" s="2">
        <v>45992</v>
      </c>
      <c r="O630">
        <v>66424764</v>
      </c>
      <c r="P630">
        <v>64</v>
      </c>
      <c r="Q630" s="3">
        <v>46022</v>
      </c>
      <c r="R630">
        <v>271</v>
      </c>
      <c r="T630" t="s">
        <v>913</v>
      </c>
      <c r="U630">
        <v>0</v>
      </c>
      <c r="Y630" s="27">
        <f t="shared" si="33"/>
        <v>-60.2</v>
      </c>
      <c r="Z630" t="s">
        <v>894</v>
      </c>
    </row>
    <row r="631" spans="1:26" hidden="1" x14ac:dyDescent="0.35">
      <c r="A631" t="s">
        <v>910</v>
      </c>
      <c r="B631" t="s">
        <v>910</v>
      </c>
      <c r="C631" t="s">
        <v>438</v>
      </c>
      <c r="D631" s="4">
        <v>256779411463</v>
      </c>
      <c r="E631" s="3">
        <v>45762</v>
      </c>
      <c r="F631" t="s">
        <v>11</v>
      </c>
      <c r="G631" t="s">
        <v>911</v>
      </c>
      <c r="H631" t="s">
        <v>911</v>
      </c>
      <c r="I631">
        <v>-96.3</v>
      </c>
      <c r="J631" t="s">
        <v>15</v>
      </c>
      <c r="K631" s="3">
        <v>45792</v>
      </c>
      <c r="M631" t="s">
        <v>912</v>
      </c>
      <c r="N631" s="2">
        <v>45992</v>
      </c>
      <c r="O631">
        <v>66424764</v>
      </c>
      <c r="P631">
        <v>66</v>
      </c>
      <c r="Q631" s="3">
        <v>46022</v>
      </c>
      <c r="R631">
        <v>271</v>
      </c>
      <c r="T631" t="s">
        <v>913</v>
      </c>
      <c r="U631">
        <v>0</v>
      </c>
      <c r="Y631" s="27">
        <f t="shared" si="33"/>
        <v>-96.3</v>
      </c>
      <c r="Z631" t="s">
        <v>894</v>
      </c>
    </row>
    <row r="632" spans="1:26" hidden="1" x14ac:dyDescent="0.35">
      <c r="A632" t="s">
        <v>910</v>
      </c>
      <c r="B632" t="s">
        <v>910</v>
      </c>
      <c r="C632" t="s">
        <v>438</v>
      </c>
      <c r="D632" s="4">
        <v>256779419165</v>
      </c>
      <c r="E632" s="3">
        <v>45966</v>
      </c>
      <c r="F632" t="s">
        <v>11</v>
      </c>
      <c r="G632" t="s">
        <v>911</v>
      </c>
      <c r="H632" t="s">
        <v>911</v>
      </c>
      <c r="I632">
        <v>-307.55</v>
      </c>
      <c r="J632" t="s">
        <v>15</v>
      </c>
      <c r="K632" s="3">
        <v>45996</v>
      </c>
      <c r="M632" t="s">
        <v>912</v>
      </c>
      <c r="N632" s="2">
        <v>45992</v>
      </c>
      <c r="O632">
        <v>66424764</v>
      </c>
      <c r="P632">
        <v>68</v>
      </c>
      <c r="Q632" s="3">
        <v>46022</v>
      </c>
      <c r="R632">
        <v>271</v>
      </c>
      <c r="T632" t="s">
        <v>913</v>
      </c>
      <c r="U632">
        <v>0</v>
      </c>
      <c r="Y632" s="27">
        <f t="shared" si="33"/>
        <v>-307.55</v>
      </c>
      <c r="Z632" t="s">
        <v>894</v>
      </c>
    </row>
    <row r="633" spans="1:26" hidden="1" x14ac:dyDescent="0.35">
      <c r="A633" t="s">
        <v>910</v>
      </c>
      <c r="B633" t="s">
        <v>910</v>
      </c>
      <c r="C633" t="s">
        <v>438</v>
      </c>
      <c r="D633" s="4">
        <v>256779419192</v>
      </c>
      <c r="E633" s="3">
        <v>45966</v>
      </c>
      <c r="F633" t="s">
        <v>11</v>
      </c>
      <c r="G633" t="s">
        <v>911</v>
      </c>
      <c r="H633" t="s">
        <v>911</v>
      </c>
      <c r="I633">
        <v>-275.92</v>
      </c>
      <c r="J633" t="s">
        <v>15</v>
      </c>
      <c r="K633" s="3">
        <v>45996</v>
      </c>
      <c r="M633" t="s">
        <v>912</v>
      </c>
      <c r="N633" s="2">
        <v>45992</v>
      </c>
      <c r="O633">
        <v>66424764</v>
      </c>
      <c r="P633">
        <v>70</v>
      </c>
      <c r="Q633" s="3">
        <v>46022</v>
      </c>
      <c r="R633">
        <v>271</v>
      </c>
      <c r="T633" t="s">
        <v>913</v>
      </c>
      <c r="U633">
        <v>0</v>
      </c>
      <c r="Y633" s="27">
        <f t="shared" si="33"/>
        <v>-275.92</v>
      </c>
      <c r="Z633" t="s">
        <v>894</v>
      </c>
    </row>
    <row r="634" spans="1:26" hidden="1" x14ac:dyDescent="0.35">
      <c r="A634" t="s">
        <v>910</v>
      </c>
      <c r="B634" t="s">
        <v>910</v>
      </c>
      <c r="C634" t="s">
        <v>438</v>
      </c>
      <c r="D634" s="4">
        <v>256779418777</v>
      </c>
      <c r="E634" s="3">
        <v>45966</v>
      </c>
      <c r="F634" t="s">
        <v>11</v>
      </c>
      <c r="G634" t="s">
        <v>911</v>
      </c>
      <c r="H634" t="s">
        <v>911</v>
      </c>
      <c r="I634" s="27">
        <v>-3648.54</v>
      </c>
      <c r="J634" t="s">
        <v>15</v>
      </c>
      <c r="K634" s="3">
        <v>45996</v>
      </c>
      <c r="M634" t="s">
        <v>912</v>
      </c>
      <c r="N634" s="2">
        <v>45992</v>
      </c>
      <c r="O634">
        <v>66424764</v>
      </c>
      <c r="P634">
        <v>72</v>
      </c>
      <c r="Q634" s="3">
        <v>46022</v>
      </c>
      <c r="R634">
        <v>271</v>
      </c>
      <c r="T634" t="s">
        <v>913</v>
      </c>
      <c r="U634">
        <v>0</v>
      </c>
      <c r="Y634" s="27">
        <f t="shared" si="33"/>
        <v>-3648.54</v>
      </c>
      <c r="Z634" t="s">
        <v>894</v>
      </c>
    </row>
    <row r="635" spans="1:26" hidden="1" x14ac:dyDescent="0.35">
      <c r="A635" t="s">
        <v>910</v>
      </c>
      <c r="B635" t="s">
        <v>910</v>
      </c>
      <c r="C635" t="s">
        <v>438</v>
      </c>
      <c r="D635" s="4">
        <v>256779418779</v>
      </c>
      <c r="E635" s="3">
        <v>45966</v>
      </c>
      <c r="F635" t="s">
        <v>11</v>
      </c>
      <c r="G635" t="s">
        <v>911</v>
      </c>
      <c r="H635" t="s">
        <v>911</v>
      </c>
      <c r="I635">
        <v>-80.27</v>
      </c>
      <c r="J635" t="s">
        <v>15</v>
      </c>
      <c r="K635" s="3">
        <v>45996</v>
      </c>
      <c r="M635" t="s">
        <v>912</v>
      </c>
      <c r="N635" s="2">
        <v>45992</v>
      </c>
      <c r="O635">
        <v>66424764</v>
      </c>
      <c r="P635">
        <v>74</v>
      </c>
      <c r="Q635" s="3">
        <v>46022</v>
      </c>
      <c r="R635">
        <v>271</v>
      </c>
      <c r="T635" t="s">
        <v>913</v>
      </c>
      <c r="U635">
        <v>0</v>
      </c>
      <c r="Y635" s="27">
        <f t="shared" si="33"/>
        <v>-80.27</v>
      </c>
      <c r="Z635" t="s">
        <v>894</v>
      </c>
    </row>
    <row r="636" spans="1:26" hidden="1" x14ac:dyDescent="0.35">
      <c r="A636" t="s">
        <v>910</v>
      </c>
      <c r="B636" t="s">
        <v>910</v>
      </c>
      <c r="C636" t="s">
        <v>438</v>
      </c>
      <c r="D636" s="4">
        <v>256779419122</v>
      </c>
      <c r="E636" s="3">
        <v>45964</v>
      </c>
      <c r="F636" t="s">
        <v>11</v>
      </c>
      <c r="G636" t="s">
        <v>911</v>
      </c>
      <c r="H636" t="s">
        <v>911</v>
      </c>
      <c r="I636">
        <v>-808.94</v>
      </c>
      <c r="J636" t="s">
        <v>15</v>
      </c>
      <c r="K636" s="3">
        <v>45994</v>
      </c>
      <c r="M636" t="s">
        <v>912</v>
      </c>
      <c r="N636" s="2">
        <v>45992</v>
      </c>
      <c r="O636">
        <v>66424764</v>
      </c>
      <c r="P636">
        <v>76</v>
      </c>
      <c r="Q636" s="3">
        <v>46022</v>
      </c>
      <c r="R636">
        <v>271</v>
      </c>
      <c r="T636" t="s">
        <v>913</v>
      </c>
      <c r="U636">
        <v>0</v>
      </c>
      <c r="Y636" s="27">
        <f t="shared" si="33"/>
        <v>-808.94</v>
      </c>
      <c r="Z636" t="s">
        <v>894</v>
      </c>
    </row>
    <row r="637" spans="1:26" hidden="1" x14ac:dyDescent="0.35">
      <c r="A637" t="s">
        <v>910</v>
      </c>
      <c r="B637" t="s">
        <v>910</v>
      </c>
      <c r="C637" t="s">
        <v>438</v>
      </c>
      <c r="D637" s="4">
        <v>256779415332</v>
      </c>
      <c r="E637" s="3">
        <v>45848</v>
      </c>
      <c r="F637" t="s">
        <v>11</v>
      </c>
      <c r="G637" t="s">
        <v>911</v>
      </c>
      <c r="H637" t="s">
        <v>911</v>
      </c>
      <c r="I637">
        <v>-3.47</v>
      </c>
      <c r="J637" t="s">
        <v>15</v>
      </c>
      <c r="K637" s="3">
        <v>45878</v>
      </c>
      <c r="M637" t="s">
        <v>912</v>
      </c>
      <c r="N637" s="2">
        <v>45992</v>
      </c>
      <c r="O637">
        <v>66424764</v>
      </c>
      <c r="P637">
        <v>78</v>
      </c>
      <c r="Q637" s="3">
        <v>46022</v>
      </c>
      <c r="R637">
        <v>271</v>
      </c>
      <c r="T637" t="s">
        <v>913</v>
      </c>
      <c r="U637">
        <v>0</v>
      </c>
      <c r="Y637" s="27">
        <f t="shared" si="33"/>
        <v>-3.47</v>
      </c>
      <c r="Z637" t="s">
        <v>894</v>
      </c>
    </row>
    <row r="638" spans="1:26" hidden="1" x14ac:dyDescent="0.35">
      <c r="A638" t="s">
        <v>910</v>
      </c>
      <c r="B638" t="s">
        <v>910</v>
      </c>
      <c r="C638" t="s">
        <v>438</v>
      </c>
      <c r="D638" s="4">
        <v>256779415328</v>
      </c>
      <c r="E638" s="3">
        <v>45848</v>
      </c>
      <c r="F638" t="s">
        <v>11</v>
      </c>
      <c r="G638" t="s">
        <v>911</v>
      </c>
      <c r="H638" t="s">
        <v>911</v>
      </c>
      <c r="I638">
        <v>-31.32</v>
      </c>
      <c r="J638" t="s">
        <v>15</v>
      </c>
      <c r="K638" s="3">
        <v>45878</v>
      </c>
      <c r="M638" t="s">
        <v>912</v>
      </c>
      <c r="N638" s="2">
        <v>45992</v>
      </c>
      <c r="O638">
        <v>66424764</v>
      </c>
      <c r="P638">
        <v>80</v>
      </c>
      <c r="Q638" s="3">
        <v>46022</v>
      </c>
      <c r="R638">
        <v>271</v>
      </c>
      <c r="T638" t="s">
        <v>913</v>
      </c>
      <c r="U638">
        <v>0</v>
      </c>
      <c r="Y638" s="27">
        <f t="shared" si="33"/>
        <v>-31.32</v>
      </c>
      <c r="Z638" t="s">
        <v>894</v>
      </c>
    </row>
    <row r="639" spans="1:26" hidden="1" x14ac:dyDescent="0.35">
      <c r="A639" t="s">
        <v>910</v>
      </c>
      <c r="B639" t="s">
        <v>910</v>
      </c>
      <c r="C639" t="s">
        <v>438</v>
      </c>
      <c r="D639" s="4">
        <v>246779410665</v>
      </c>
      <c r="E639" s="3">
        <v>45720</v>
      </c>
      <c r="F639" t="s">
        <v>11</v>
      </c>
      <c r="G639" t="s">
        <v>911</v>
      </c>
      <c r="H639" t="s">
        <v>911</v>
      </c>
      <c r="I639">
        <v>-9.8800000000000008</v>
      </c>
      <c r="J639" t="s">
        <v>15</v>
      </c>
      <c r="K639" s="3">
        <v>45750</v>
      </c>
      <c r="M639" t="s">
        <v>912</v>
      </c>
      <c r="N639" s="2">
        <v>45992</v>
      </c>
      <c r="O639">
        <v>66424764</v>
      </c>
      <c r="P639">
        <v>82</v>
      </c>
      <c r="Q639" s="3">
        <v>46022</v>
      </c>
      <c r="R639">
        <v>271</v>
      </c>
      <c r="T639" t="s">
        <v>913</v>
      </c>
      <c r="U639">
        <v>0</v>
      </c>
      <c r="Y639" s="27">
        <f t="shared" si="33"/>
        <v>-9.8800000000000008</v>
      </c>
      <c r="Z639" t="s">
        <v>894</v>
      </c>
    </row>
    <row r="640" spans="1:26" hidden="1" x14ac:dyDescent="0.35">
      <c r="A640" t="s">
        <v>910</v>
      </c>
      <c r="B640" t="s">
        <v>910</v>
      </c>
      <c r="C640" t="s">
        <v>438</v>
      </c>
      <c r="D640" s="4">
        <v>256779416909</v>
      </c>
      <c r="E640" s="3">
        <v>45934</v>
      </c>
      <c r="F640" t="s">
        <v>11</v>
      </c>
      <c r="G640" t="s">
        <v>911</v>
      </c>
      <c r="H640" t="s">
        <v>911</v>
      </c>
      <c r="I640" s="27">
        <v>-1194.02</v>
      </c>
      <c r="J640" t="s">
        <v>15</v>
      </c>
      <c r="K640" s="3">
        <v>45964</v>
      </c>
      <c r="M640" t="s">
        <v>912</v>
      </c>
      <c r="N640" s="2">
        <v>45992</v>
      </c>
      <c r="O640">
        <v>66424764</v>
      </c>
      <c r="P640">
        <v>84</v>
      </c>
      <c r="Q640" s="3">
        <v>46022</v>
      </c>
      <c r="R640">
        <v>271</v>
      </c>
      <c r="T640" t="s">
        <v>913</v>
      </c>
      <c r="U640">
        <v>0</v>
      </c>
      <c r="Y640" s="27">
        <f t="shared" si="33"/>
        <v>-1194.02</v>
      </c>
      <c r="Z640" t="s">
        <v>894</v>
      </c>
    </row>
    <row r="641" spans="1:28" hidden="1" x14ac:dyDescent="0.35">
      <c r="A641" t="s">
        <v>910</v>
      </c>
      <c r="B641" t="s">
        <v>910</v>
      </c>
      <c r="C641" t="s">
        <v>438</v>
      </c>
      <c r="D641" s="4">
        <v>256779414741</v>
      </c>
      <c r="E641" s="3">
        <v>45827</v>
      </c>
      <c r="F641" t="s">
        <v>11</v>
      </c>
      <c r="G641" t="s">
        <v>911</v>
      </c>
      <c r="H641" t="s">
        <v>911</v>
      </c>
      <c r="I641" s="27">
        <v>-2742.45</v>
      </c>
      <c r="J641" t="s">
        <v>15</v>
      </c>
      <c r="K641" s="3">
        <v>45857</v>
      </c>
      <c r="M641" t="s">
        <v>912</v>
      </c>
      <c r="N641" s="2">
        <v>45992</v>
      </c>
      <c r="O641">
        <v>66424764</v>
      </c>
      <c r="P641">
        <v>86</v>
      </c>
      <c r="Q641" s="3">
        <v>46022</v>
      </c>
      <c r="R641">
        <v>271</v>
      </c>
      <c r="T641" t="s">
        <v>913</v>
      </c>
      <c r="U641">
        <v>0</v>
      </c>
      <c r="Y641" s="27">
        <f t="shared" ref="Y641:Y672" si="36">I641+X641</f>
        <v>-2742.45</v>
      </c>
      <c r="Z641" t="s">
        <v>894</v>
      </c>
    </row>
    <row r="642" spans="1:28" hidden="1" x14ac:dyDescent="0.35">
      <c r="A642" t="s">
        <v>910</v>
      </c>
      <c r="B642" t="s">
        <v>910</v>
      </c>
      <c r="C642" t="s">
        <v>438</v>
      </c>
      <c r="D642" s="4">
        <v>256779415769</v>
      </c>
      <c r="E642" s="3">
        <v>45857</v>
      </c>
      <c r="F642" t="s">
        <v>11</v>
      </c>
      <c r="G642">
        <v>-234.91</v>
      </c>
      <c r="H642">
        <v>234.91</v>
      </c>
      <c r="I642" s="27">
        <v>-20199.8</v>
      </c>
      <c r="J642" t="s">
        <v>42</v>
      </c>
      <c r="K642" s="3">
        <v>45887</v>
      </c>
      <c r="L642" s="3">
        <v>46053</v>
      </c>
      <c r="M642" t="s">
        <v>912</v>
      </c>
      <c r="N642" s="2">
        <v>46023</v>
      </c>
      <c r="O642">
        <v>67644025</v>
      </c>
      <c r="P642">
        <v>1</v>
      </c>
      <c r="Q642" s="3">
        <v>46045</v>
      </c>
      <c r="R642">
        <v>210</v>
      </c>
      <c r="S642" s="85">
        <v>1.55E+16</v>
      </c>
      <c r="T642" t="s">
        <v>913</v>
      </c>
      <c r="U642">
        <v>20199.8</v>
      </c>
      <c r="W642" s="79">
        <f t="shared" ref="W642:W668" si="37">X642/I642</f>
        <v>-2.000762383785978E-2</v>
      </c>
      <c r="X642">
        <f>VLOOKUP(D642,'[3]Customer TDS'!D:I,6,0)</f>
        <v>404.15</v>
      </c>
      <c r="Y642" s="27">
        <f t="shared" si="36"/>
        <v>-19795.649999999998</v>
      </c>
      <c r="Z642" t="s">
        <v>915</v>
      </c>
      <c r="AA642">
        <f>VLOOKUP(D642,'Ascendus DATA'!$F:$J,5,0)</f>
        <v>20202.419999999998</v>
      </c>
      <c r="AB642" s="27">
        <f t="shared" ref="AB642:AB669" si="38">I642+AA642</f>
        <v>2.6199999999989814</v>
      </c>
    </row>
    <row r="643" spans="1:28" hidden="1" x14ac:dyDescent="0.35">
      <c r="A643" t="s">
        <v>910</v>
      </c>
      <c r="B643" t="s">
        <v>910</v>
      </c>
      <c r="C643" t="s">
        <v>438</v>
      </c>
      <c r="D643" s="4">
        <v>256779415321</v>
      </c>
      <c r="E643" s="3">
        <v>45848</v>
      </c>
      <c r="F643" t="s">
        <v>11</v>
      </c>
      <c r="G643">
        <v>-212.5</v>
      </c>
      <c r="H643">
        <v>4.25</v>
      </c>
      <c r="I643" s="27">
        <v>-18799.88</v>
      </c>
      <c r="K643" s="3">
        <v>45878</v>
      </c>
      <c r="L643" s="3">
        <v>46053</v>
      </c>
      <c r="M643" t="s">
        <v>912</v>
      </c>
      <c r="N643" s="2">
        <v>46023</v>
      </c>
      <c r="O643">
        <v>67872413</v>
      </c>
      <c r="P643">
        <v>1</v>
      </c>
      <c r="Q643" s="3">
        <v>46049</v>
      </c>
      <c r="R643">
        <v>210</v>
      </c>
      <c r="S643" s="85">
        <v>1.55E+16</v>
      </c>
      <c r="T643" t="s">
        <v>913</v>
      </c>
      <c r="U643">
        <v>-282.22000000000003</v>
      </c>
      <c r="W643" s="79">
        <f t="shared" si="37"/>
        <v>-2.0000127660389319E-2</v>
      </c>
      <c r="X643">
        <f>VLOOKUP(D643,'[3]Customer TDS'!D:I,6,0)</f>
        <v>376</v>
      </c>
      <c r="Y643" s="27">
        <f t="shared" si="36"/>
        <v>-18423.88</v>
      </c>
      <c r="Z643" t="s">
        <v>915</v>
      </c>
      <c r="AA643">
        <f>VLOOKUP(D643,'Ascendus DATA'!$F:$J,5,0)</f>
        <v>18275.14</v>
      </c>
      <c r="AB643" s="27">
        <f t="shared" si="38"/>
        <v>-524.7400000000016</v>
      </c>
    </row>
    <row r="644" spans="1:28" hidden="1" x14ac:dyDescent="0.35">
      <c r="A644" t="s">
        <v>910</v>
      </c>
      <c r="B644" t="s">
        <v>910</v>
      </c>
      <c r="C644" t="s">
        <v>438</v>
      </c>
      <c r="D644" s="4">
        <v>256779418006</v>
      </c>
      <c r="E644" s="3">
        <v>45936</v>
      </c>
      <c r="F644" t="s">
        <v>11</v>
      </c>
      <c r="G644" s="27">
        <v>-4667.07</v>
      </c>
      <c r="H644" s="27">
        <v>4667.07</v>
      </c>
      <c r="I644" s="27">
        <v>-413780.08</v>
      </c>
      <c r="J644" t="s">
        <v>42</v>
      </c>
      <c r="K644" s="3">
        <v>45966</v>
      </c>
      <c r="L644" s="3">
        <v>46053</v>
      </c>
      <c r="M644" t="s">
        <v>912</v>
      </c>
      <c r="N644" s="2">
        <v>46023</v>
      </c>
      <c r="O644">
        <v>67872421</v>
      </c>
      <c r="P644">
        <v>1</v>
      </c>
      <c r="Q644" s="3">
        <v>46049</v>
      </c>
      <c r="R644">
        <v>210</v>
      </c>
      <c r="S644" s="85">
        <v>1.55E+16</v>
      </c>
      <c r="T644" t="s">
        <v>913</v>
      </c>
      <c r="U644">
        <v>413780.08</v>
      </c>
      <c r="W644" s="79">
        <f t="shared" si="37"/>
        <v>-1.9999706124084075E-2</v>
      </c>
      <c r="X644">
        <f>VLOOKUP(D644,'[3]Customer TDS'!D:I,6,0)</f>
        <v>8275.48</v>
      </c>
      <c r="Y644" s="27">
        <f t="shared" si="36"/>
        <v>-405504.60000000003</v>
      </c>
      <c r="Z644" t="s">
        <v>915</v>
      </c>
      <c r="AA644">
        <f>VLOOKUP(D644,'Ascendus DATA'!$F:$J,5,0)</f>
        <v>411592.5</v>
      </c>
      <c r="AB644" s="27">
        <f t="shared" si="38"/>
        <v>-2187.5800000000163</v>
      </c>
    </row>
    <row r="645" spans="1:28" hidden="1" x14ac:dyDescent="0.35">
      <c r="A645" t="s">
        <v>910</v>
      </c>
      <c r="B645" t="s">
        <v>910</v>
      </c>
      <c r="C645" t="s">
        <v>438</v>
      </c>
      <c r="D645" s="4">
        <v>256779418176</v>
      </c>
      <c r="E645" s="3">
        <v>45937</v>
      </c>
      <c r="F645" t="s">
        <v>11</v>
      </c>
      <c r="G645">
        <v>-639.04999999999995</v>
      </c>
      <c r="H645">
        <v>639.04999999999995</v>
      </c>
      <c r="I645" s="27">
        <v>-56657.85</v>
      </c>
      <c r="J645" t="s">
        <v>42</v>
      </c>
      <c r="K645" s="3">
        <v>45967</v>
      </c>
      <c r="L645" s="3">
        <v>46053</v>
      </c>
      <c r="M645" t="s">
        <v>912</v>
      </c>
      <c r="N645" s="2">
        <v>46023</v>
      </c>
      <c r="O645">
        <v>67872425</v>
      </c>
      <c r="P645">
        <v>1</v>
      </c>
      <c r="Q645" s="3">
        <v>46049</v>
      </c>
      <c r="R645">
        <v>210</v>
      </c>
      <c r="S645" s="85">
        <v>1.55E+16</v>
      </c>
      <c r="T645" t="s">
        <v>913</v>
      </c>
      <c r="U645">
        <v>56657.85</v>
      </c>
      <c r="W645" s="79">
        <f t="shared" si="37"/>
        <v>-1.9998464466971479E-2</v>
      </c>
      <c r="X645">
        <f>VLOOKUP(D645,'[3]Customer TDS'!D:I,6,0)</f>
        <v>1133.07</v>
      </c>
      <c r="Y645" s="27">
        <f t="shared" si="36"/>
        <v>-55524.78</v>
      </c>
      <c r="Z645" t="s">
        <v>915</v>
      </c>
      <c r="AA645">
        <f>VLOOKUP(D645,'Ascendus DATA'!$F:$J,5,0)</f>
        <v>56358.31</v>
      </c>
      <c r="AB645" s="27">
        <f t="shared" si="38"/>
        <v>-299.54000000000087</v>
      </c>
    </row>
    <row r="646" spans="1:28" hidden="1" x14ac:dyDescent="0.35">
      <c r="A646" t="s">
        <v>910</v>
      </c>
      <c r="B646" t="s">
        <v>910</v>
      </c>
      <c r="C646" t="s">
        <v>438</v>
      </c>
      <c r="D646" s="4">
        <v>256779418778</v>
      </c>
      <c r="E646" s="3">
        <v>45966</v>
      </c>
      <c r="F646" t="s">
        <v>11</v>
      </c>
      <c r="G646">
        <v>-90.91</v>
      </c>
      <c r="H646">
        <v>1.82</v>
      </c>
      <c r="I646" s="27">
        <v>-8023.04</v>
      </c>
      <c r="J646" t="s">
        <v>42</v>
      </c>
      <c r="K646" s="3">
        <v>45996</v>
      </c>
      <c r="L646" s="3">
        <v>46053</v>
      </c>
      <c r="M646" t="s">
        <v>912</v>
      </c>
      <c r="N646" s="2">
        <v>46023</v>
      </c>
      <c r="O646">
        <v>67887836</v>
      </c>
      <c r="P646">
        <v>1</v>
      </c>
      <c r="Q646" s="3">
        <v>46049</v>
      </c>
      <c r="R646">
        <v>210</v>
      </c>
      <c r="S646" s="85">
        <v>1.55E+16</v>
      </c>
      <c r="T646" t="s">
        <v>913</v>
      </c>
      <c r="U646">
        <v>-140.34</v>
      </c>
      <c r="W646" s="79">
        <f t="shared" si="37"/>
        <v>-2.0019842852584558E-2</v>
      </c>
      <c r="X646">
        <f>VLOOKUP(D646,'[3]Customer TDS'!D:I,6,0)</f>
        <v>160.62</v>
      </c>
      <c r="Y646" s="27">
        <f t="shared" si="36"/>
        <v>-7862.42</v>
      </c>
      <c r="Z646" t="s">
        <v>915</v>
      </c>
      <c r="AA646">
        <f>VLOOKUP(D646,'Ascendus DATA'!$F:$J,5,0)</f>
        <v>8000</v>
      </c>
      <c r="AB646" s="27">
        <f t="shared" si="38"/>
        <v>-23.039999999999964</v>
      </c>
    </row>
    <row r="647" spans="1:28" hidden="1" x14ac:dyDescent="0.35">
      <c r="A647" t="s">
        <v>910</v>
      </c>
      <c r="B647" t="s">
        <v>910</v>
      </c>
      <c r="C647" t="s">
        <v>438</v>
      </c>
      <c r="D647" s="4">
        <v>256779418892</v>
      </c>
      <c r="E647" s="3">
        <v>45966</v>
      </c>
      <c r="F647" t="s">
        <v>11</v>
      </c>
      <c r="G647" s="27">
        <v>-1683.97</v>
      </c>
      <c r="H647" s="27">
        <v>1683.97</v>
      </c>
      <c r="I647" s="27">
        <v>-148614.68</v>
      </c>
      <c r="J647" t="s">
        <v>42</v>
      </c>
      <c r="K647" s="3">
        <v>45996</v>
      </c>
      <c r="L647" s="3">
        <v>46053</v>
      </c>
      <c r="M647" t="s">
        <v>912</v>
      </c>
      <c r="N647" s="2">
        <v>46023</v>
      </c>
      <c r="O647">
        <v>67887839</v>
      </c>
      <c r="P647">
        <v>1</v>
      </c>
      <c r="Q647" s="3">
        <v>46049</v>
      </c>
      <c r="R647">
        <v>210</v>
      </c>
      <c r="S647" s="85">
        <v>1.55E+16</v>
      </c>
      <c r="T647" t="s">
        <v>913</v>
      </c>
      <c r="U647">
        <v>148614.68</v>
      </c>
      <c r="W647" s="79">
        <f t="shared" si="37"/>
        <v>-2.0000379504904898E-2</v>
      </c>
      <c r="X647">
        <f>VLOOKUP(D647,'[3]Customer TDS'!D:I,6,0)</f>
        <v>2972.35</v>
      </c>
      <c r="Y647" s="27">
        <f t="shared" si="36"/>
        <v>-145642.32999999999</v>
      </c>
      <c r="Z647" t="s">
        <v>915</v>
      </c>
      <c r="AA647">
        <f>VLOOKUP(D647,'Ascendus DATA'!$F:$J,5,0)</f>
        <v>148195.07</v>
      </c>
      <c r="AB647" s="27">
        <f t="shared" si="38"/>
        <v>-419.60999999998603</v>
      </c>
    </row>
    <row r="648" spans="1:28" hidden="1" x14ac:dyDescent="0.35">
      <c r="A648" t="s">
        <v>910</v>
      </c>
      <c r="B648" t="s">
        <v>910</v>
      </c>
      <c r="C648" t="s">
        <v>438</v>
      </c>
      <c r="D648" s="4">
        <v>256779419531</v>
      </c>
      <c r="E648" s="3">
        <v>45981</v>
      </c>
      <c r="F648" t="s">
        <v>11</v>
      </c>
      <c r="G648">
        <v>-417.77</v>
      </c>
      <c r="H648">
        <v>417.77</v>
      </c>
      <c r="I648" s="27">
        <v>-36869.279999999999</v>
      </c>
      <c r="J648" t="s">
        <v>42</v>
      </c>
      <c r="K648" s="3">
        <v>46011</v>
      </c>
      <c r="L648" s="3">
        <v>46053</v>
      </c>
      <c r="M648" t="s">
        <v>912</v>
      </c>
      <c r="N648" s="2">
        <v>46023</v>
      </c>
      <c r="O648">
        <v>67887841</v>
      </c>
      <c r="P648">
        <v>1</v>
      </c>
      <c r="Q648" s="3">
        <v>46049</v>
      </c>
      <c r="R648">
        <v>210</v>
      </c>
      <c r="S648" s="85">
        <v>1.55E+16</v>
      </c>
      <c r="T648" t="s">
        <v>913</v>
      </c>
      <c r="U648">
        <v>36869.279999999999</v>
      </c>
      <c r="W648" s="79">
        <f t="shared" si="37"/>
        <v>-2.0010968481076929E-2</v>
      </c>
      <c r="X648">
        <f>VLOOKUP(D648,'[3]Customer TDS'!D:I,6,0)</f>
        <v>737.79</v>
      </c>
      <c r="Y648" s="27">
        <f t="shared" si="36"/>
        <v>-36131.49</v>
      </c>
      <c r="Z648" t="s">
        <v>915</v>
      </c>
      <c r="AA648">
        <f>VLOOKUP(D648,'Ascendus DATA'!$F:$J,5,0)</f>
        <v>36765.18</v>
      </c>
      <c r="AB648" s="27">
        <f t="shared" si="38"/>
        <v>-104.09999999999854</v>
      </c>
    </row>
    <row r="649" spans="1:28" hidden="1" x14ac:dyDescent="0.35">
      <c r="A649" t="s">
        <v>910</v>
      </c>
      <c r="B649" t="s">
        <v>910</v>
      </c>
      <c r="C649" t="s">
        <v>438</v>
      </c>
      <c r="D649" s="4">
        <v>256779419620</v>
      </c>
      <c r="E649" s="3">
        <v>45981</v>
      </c>
      <c r="F649" t="s">
        <v>11</v>
      </c>
      <c r="G649">
        <v>-102.39</v>
      </c>
      <c r="H649">
        <v>102.39</v>
      </c>
      <c r="I649" s="27">
        <v>-9036.18</v>
      </c>
      <c r="J649" t="s">
        <v>42</v>
      </c>
      <c r="K649" s="3">
        <v>46011</v>
      </c>
      <c r="L649" s="3">
        <v>46053</v>
      </c>
      <c r="M649" t="s">
        <v>912</v>
      </c>
      <c r="N649" s="2">
        <v>46023</v>
      </c>
      <c r="O649">
        <v>67887843</v>
      </c>
      <c r="P649">
        <v>1</v>
      </c>
      <c r="Q649" s="3">
        <v>46049</v>
      </c>
      <c r="R649">
        <v>210</v>
      </c>
      <c r="S649" s="85">
        <v>1.55E+16</v>
      </c>
      <c r="T649" t="s">
        <v>913</v>
      </c>
      <c r="U649">
        <v>9036.18</v>
      </c>
      <c r="W649" s="79">
        <f t="shared" si="37"/>
        <v>-2.0021734848132727E-2</v>
      </c>
      <c r="X649">
        <f>VLOOKUP(D649,'[3]Customer TDS'!D:I,6,0)</f>
        <v>180.92</v>
      </c>
      <c r="Y649" s="27">
        <f t="shared" si="36"/>
        <v>-8855.26</v>
      </c>
      <c r="Z649" t="s">
        <v>915</v>
      </c>
      <c r="AA649">
        <f>VLOOKUP(D649,'Ascendus DATA'!$F:$J,5,0)</f>
        <v>9010.67</v>
      </c>
      <c r="AB649" s="27">
        <f t="shared" si="38"/>
        <v>-25.510000000000218</v>
      </c>
    </row>
    <row r="650" spans="1:28" hidden="1" x14ac:dyDescent="0.35">
      <c r="A650" t="s">
        <v>910</v>
      </c>
      <c r="B650" t="s">
        <v>910</v>
      </c>
      <c r="C650" t="s">
        <v>438</v>
      </c>
      <c r="D650" s="4">
        <v>256779414358</v>
      </c>
      <c r="E650" s="3">
        <v>45818</v>
      </c>
      <c r="F650" t="s">
        <v>11</v>
      </c>
      <c r="G650" s="27">
        <v>-2339.4299999999998</v>
      </c>
      <c r="H650">
        <v>46.79</v>
      </c>
      <c r="I650" s="27">
        <v>-199001.51</v>
      </c>
      <c r="J650" t="s">
        <v>346</v>
      </c>
      <c r="K650" s="3">
        <v>45848</v>
      </c>
      <c r="L650" s="3">
        <v>46053</v>
      </c>
      <c r="M650" t="s">
        <v>912</v>
      </c>
      <c r="N650" s="2">
        <v>46023</v>
      </c>
      <c r="O650">
        <v>67887844</v>
      </c>
      <c r="P650">
        <v>1</v>
      </c>
      <c r="Q650" s="3">
        <v>46049</v>
      </c>
      <c r="R650">
        <v>210</v>
      </c>
      <c r="S650" s="85">
        <v>1.55E+16</v>
      </c>
      <c r="T650" t="s">
        <v>913</v>
      </c>
      <c r="U650">
        <v>-11074.77</v>
      </c>
      <c r="W650" s="79">
        <f t="shared" si="37"/>
        <v>-2.000060200548227E-2</v>
      </c>
      <c r="X650">
        <f>VLOOKUP(D650,'[3]Customer TDS'!D:I,6,0)</f>
        <v>3980.15</v>
      </c>
      <c r="Y650" s="27">
        <f t="shared" si="36"/>
        <v>-195021.36000000002</v>
      </c>
      <c r="Z650" t="s">
        <v>915</v>
      </c>
      <c r="AA650">
        <f>VLOOKUP(D650,'Ascendus DATA'!$F:$J,5,0)</f>
        <v>200000</v>
      </c>
      <c r="AB650" s="27">
        <f t="shared" si="38"/>
        <v>998.48999999999069</v>
      </c>
    </row>
    <row r="651" spans="1:28" hidden="1" x14ac:dyDescent="0.35">
      <c r="A651" t="s">
        <v>910</v>
      </c>
      <c r="B651" t="s">
        <v>910</v>
      </c>
      <c r="C651" t="s">
        <v>438</v>
      </c>
      <c r="D651" s="4">
        <v>256779414359</v>
      </c>
      <c r="E651" s="3">
        <v>45818</v>
      </c>
      <c r="F651" t="s">
        <v>11</v>
      </c>
      <c r="G651">
        <v>-93.58</v>
      </c>
      <c r="H651">
        <v>1.87</v>
      </c>
      <c r="I651" s="27">
        <v>-7960.3</v>
      </c>
      <c r="K651" s="3">
        <v>45848</v>
      </c>
      <c r="L651" s="3">
        <v>46053</v>
      </c>
      <c r="M651" t="s">
        <v>912</v>
      </c>
      <c r="N651" s="2">
        <v>46023</v>
      </c>
      <c r="O651">
        <v>67887846</v>
      </c>
      <c r="P651">
        <v>1</v>
      </c>
      <c r="Q651" s="3">
        <v>46049</v>
      </c>
      <c r="R651">
        <v>210</v>
      </c>
      <c r="S651" s="85">
        <v>1.55E+16</v>
      </c>
      <c r="T651" t="s">
        <v>913</v>
      </c>
      <c r="U651">
        <v>-443.15</v>
      </c>
      <c r="W651" s="79">
        <f t="shared" si="37"/>
        <v>-1.9982915216763188E-2</v>
      </c>
      <c r="X651">
        <f>VLOOKUP(D651,'[3]Customer TDS'!D:I,6,0)</f>
        <v>159.07</v>
      </c>
      <c r="Y651" s="27">
        <f t="shared" si="36"/>
        <v>-7801.2300000000005</v>
      </c>
      <c r="Z651" t="s">
        <v>915</v>
      </c>
      <c r="AA651">
        <f>VLOOKUP(D651,'Ascendus DATA'!$F:$J,5,0)</f>
        <v>8000</v>
      </c>
      <c r="AB651" s="27">
        <f t="shared" si="38"/>
        <v>39.699999999999818</v>
      </c>
    </row>
    <row r="652" spans="1:28" hidden="1" x14ac:dyDescent="0.35">
      <c r="A652" t="s">
        <v>910</v>
      </c>
      <c r="B652" t="s">
        <v>910</v>
      </c>
      <c r="C652" t="s">
        <v>438</v>
      </c>
      <c r="D652" s="4">
        <v>256779414918</v>
      </c>
      <c r="E652" s="3">
        <v>45842</v>
      </c>
      <c r="F652" t="s">
        <v>11</v>
      </c>
      <c r="G652">
        <v>-51.16</v>
      </c>
      <c r="H652">
        <v>1.02</v>
      </c>
      <c r="I652" s="27">
        <v>-4399.22</v>
      </c>
      <c r="K652" s="3">
        <v>45872</v>
      </c>
      <c r="L652" s="3">
        <v>46053</v>
      </c>
      <c r="M652" t="s">
        <v>912</v>
      </c>
      <c r="N652" s="2">
        <v>46023</v>
      </c>
      <c r="O652">
        <v>67887848</v>
      </c>
      <c r="P652">
        <v>1</v>
      </c>
      <c r="Q652" s="3">
        <v>46049</v>
      </c>
      <c r="R652">
        <v>210</v>
      </c>
      <c r="S652" s="85">
        <v>1.55E+16</v>
      </c>
      <c r="T652" t="s">
        <v>913</v>
      </c>
      <c r="U652">
        <v>-195.14</v>
      </c>
      <c r="W652" s="79">
        <f t="shared" si="37"/>
        <v>-1.9937625306304298E-2</v>
      </c>
      <c r="X652">
        <f>VLOOKUP(D652,'[3]Customer TDS'!D:I,6,0)</f>
        <v>87.71</v>
      </c>
      <c r="Y652" s="27">
        <f t="shared" si="36"/>
        <v>-4311.51</v>
      </c>
      <c r="Z652" t="s">
        <v>915</v>
      </c>
      <c r="AA652">
        <f>VLOOKUP(D652,'Ascendus DATA'!$F:$J,5,0)</f>
        <v>4400</v>
      </c>
      <c r="AB652" s="27">
        <f t="shared" si="38"/>
        <v>0.77999999999974534</v>
      </c>
    </row>
    <row r="653" spans="1:28" hidden="1" x14ac:dyDescent="0.35">
      <c r="A653" t="s">
        <v>910</v>
      </c>
      <c r="B653" t="s">
        <v>910</v>
      </c>
      <c r="C653" t="s">
        <v>438</v>
      </c>
      <c r="D653" s="4">
        <v>256779414917</v>
      </c>
      <c r="E653" s="3">
        <v>45842</v>
      </c>
      <c r="F653" t="s">
        <v>11</v>
      </c>
      <c r="G653">
        <v>-93.02</v>
      </c>
      <c r="H653">
        <v>1.86</v>
      </c>
      <c r="I653" s="27">
        <v>-7998.74</v>
      </c>
      <c r="J653" t="s">
        <v>410</v>
      </c>
      <c r="K653" s="3">
        <v>45872</v>
      </c>
      <c r="L653" s="3">
        <v>46053</v>
      </c>
      <c r="M653" t="s">
        <v>912</v>
      </c>
      <c r="N653" s="2">
        <v>46023</v>
      </c>
      <c r="O653">
        <v>67887850</v>
      </c>
      <c r="P653">
        <v>1</v>
      </c>
      <c r="Q653" s="3">
        <v>46049</v>
      </c>
      <c r="R653">
        <v>210</v>
      </c>
      <c r="S653" s="85">
        <v>1.55E+16</v>
      </c>
      <c r="T653" t="s">
        <v>913</v>
      </c>
      <c r="U653">
        <v>-354.32</v>
      </c>
      <c r="W653" s="79">
        <f t="shared" si="37"/>
        <v>-1.9995649314767078E-2</v>
      </c>
      <c r="X653">
        <f>VLOOKUP(D653,'[3]Customer TDS'!D:I,6,0)</f>
        <v>159.94</v>
      </c>
      <c r="Y653" s="27">
        <f t="shared" si="36"/>
        <v>-7838.8</v>
      </c>
      <c r="Z653" t="s">
        <v>915</v>
      </c>
      <c r="AA653">
        <f>VLOOKUP(D653,'Ascendus DATA'!$F:$J,5,0)</f>
        <v>8000</v>
      </c>
      <c r="AB653" s="27">
        <f t="shared" si="38"/>
        <v>1.2600000000002183</v>
      </c>
    </row>
    <row r="654" spans="1:28" hidden="1" x14ac:dyDescent="0.35">
      <c r="A654" t="s">
        <v>910</v>
      </c>
      <c r="B654" t="s">
        <v>910</v>
      </c>
      <c r="C654" t="s">
        <v>438</v>
      </c>
      <c r="D654" s="4">
        <v>256779414360</v>
      </c>
      <c r="E654" s="3">
        <v>45818</v>
      </c>
      <c r="F654" t="s">
        <v>11</v>
      </c>
      <c r="G654">
        <v>-51.47</v>
      </c>
      <c r="H654">
        <v>1.03</v>
      </c>
      <c r="I654" s="27">
        <v>-4378.25</v>
      </c>
      <c r="J654" t="s">
        <v>346</v>
      </c>
      <c r="K654" s="3">
        <v>45848</v>
      </c>
      <c r="L654" s="3">
        <v>46053</v>
      </c>
      <c r="M654" t="s">
        <v>912</v>
      </c>
      <c r="N654" s="2">
        <v>46023</v>
      </c>
      <c r="O654">
        <v>67887851</v>
      </c>
      <c r="P654">
        <v>1</v>
      </c>
      <c r="Q654" s="3">
        <v>46049</v>
      </c>
      <c r="R654">
        <v>210</v>
      </c>
      <c r="S654" s="85">
        <v>1.55E+16</v>
      </c>
      <c r="T654" t="s">
        <v>913</v>
      </c>
      <c r="U654">
        <v>-243.6</v>
      </c>
      <c r="W654" s="79">
        <f t="shared" si="37"/>
        <v>-2.0012562096728147E-2</v>
      </c>
      <c r="X654">
        <f>VLOOKUP(D654,'[3]Customer TDS'!D:I,6,0)</f>
        <v>87.62</v>
      </c>
      <c r="Y654" s="27">
        <f t="shared" si="36"/>
        <v>-4290.63</v>
      </c>
      <c r="Z654" t="s">
        <v>915</v>
      </c>
      <c r="AA654">
        <f>VLOOKUP(D654,'Ascendus DATA'!$F:$J,5,0)</f>
        <v>4400</v>
      </c>
      <c r="AB654" s="27">
        <f t="shared" si="38"/>
        <v>21.75</v>
      </c>
    </row>
    <row r="655" spans="1:28" hidden="1" x14ac:dyDescent="0.35">
      <c r="A655" t="s">
        <v>910</v>
      </c>
      <c r="B655" t="s">
        <v>910</v>
      </c>
      <c r="C655" t="s">
        <v>438</v>
      </c>
      <c r="D655" s="4">
        <v>256779414916</v>
      </c>
      <c r="E655" s="3">
        <v>45842</v>
      </c>
      <c r="F655" t="s">
        <v>11</v>
      </c>
      <c r="G655" s="27">
        <v>-2325.56</v>
      </c>
      <c r="H655">
        <v>46.51</v>
      </c>
      <c r="I655" s="27">
        <v>-199973.77</v>
      </c>
      <c r="J655" t="s">
        <v>410</v>
      </c>
      <c r="K655" s="3">
        <v>45872</v>
      </c>
      <c r="L655" s="3">
        <v>46053</v>
      </c>
      <c r="M655" t="s">
        <v>912</v>
      </c>
      <c r="N655" s="2">
        <v>46023</v>
      </c>
      <c r="O655">
        <v>67888108</v>
      </c>
      <c r="P655">
        <v>1</v>
      </c>
      <c r="Q655" s="3">
        <v>46049</v>
      </c>
      <c r="R655">
        <v>210</v>
      </c>
      <c r="S655" s="85">
        <v>1.55E+16</v>
      </c>
      <c r="T655" t="s">
        <v>913</v>
      </c>
      <c r="U655">
        <v>-8857.25</v>
      </c>
      <c r="W655" s="79">
        <f t="shared" si="37"/>
        <v>-1.9999472930874885E-2</v>
      </c>
      <c r="X655">
        <f>VLOOKUP(D655,'[3]Customer TDS'!D:I,6,0)</f>
        <v>3999.37</v>
      </c>
      <c r="Y655" s="27">
        <f t="shared" si="36"/>
        <v>-195974.39999999999</v>
      </c>
      <c r="Z655" t="s">
        <v>915</v>
      </c>
      <c r="AA655">
        <f>VLOOKUP(D655,'Ascendus DATA'!$F:$J,5,0)</f>
        <v>200000</v>
      </c>
      <c r="AB655" s="27">
        <f t="shared" si="38"/>
        <v>26.230000000010477</v>
      </c>
    </row>
    <row r="656" spans="1:28" hidden="1" x14ac:dyDescent="0.35">
      <c r="A656" t="s">
        <v>910</v>
      </c>
      <c r="B656" t="s">
        <v>910</v>
      </c>
      <c r="C656" t="s">
        <v>438</v>
      </c>
      <c r="D656" s="4">
        <v>256779418904</v>
      </c>
      <c r="E656" s="3">
        <v>45966</v>
      </c>
      <c r="F656" t="s">
        <v>11</v>
      </c>
      <c r="G656" s="27">
        <v>-1273.92</v>
      </c>
      <c r="H656" s="27">
        <v>1273.92</v>
      </c>
      <c r="I656" s="27">
        <v>-112426.72</v>
      </c>
      <c r="J656" t="s">
        <v>42</v>
      </c>
      <c r="K656" s="3">
        <v>45996</v>
      </c>
      <c r="L656" s="3">
        <v>46053</v>
      </c>
      <c r="M656" t="s">
        <v>912</v>
      </c>
      <c r="N656" s="2">
        <v>46023</v>
      </c>
      <c r="O656">
        <v>67888109</v>
      </c>
      <c r="P656">
        <v>1</v>
      </c>
      <c r="Q656" s="3">
        <v>46049</v>
      </c>
      <c r="R656">
        <v>210</v>
      </c>
      <c r="S656" s="85">
        <v>1.55E+16</v>
      </c>
      <c r="T656" t="s">
        <v>913</v>
      </c>
      <c r="U656">
        <v>112426.72</v>
      </c>
      <c r="W656" s="79">
        <f t="shared" si="37"/>
        <v>-2.0001295065799302E-2</v>
      </c>
      <c r="X656">
        <f>VLOOKUP(D656,'[3]Customer TDS'!D:I,6,0)</f>
        <v>2248.6799999999998</v>
      </c>
      <c r="Y656" s="27">
        <f t="shared" si="36"/>
        <v>-110178.04000000001</v>
      </c>
      <c r="Z656" t="s">
        <v>915</v>
      </c>
      <c r="AA656">
        <f>VLOOKUP(D656,'Ascendus DATA'!$F:$J,5,0)</f>
        <v>112109.28</v>
      </c>
      <c r="AB656" s="27">
        <f t="shared" si="38"/>
        <v>-317.44000000000233</v>
      </c>
    </row>
    <row r="657" spans="1:28" hidden="1" x14ac:dyDescent="0.35">
      <c r="A657" t="s">
        <v>910</v>
      </c>
      <c r="B657" t="s">
        <v>910</v>
      </c>
      <c r="C657" t="s">
        <v>438</v>
      </c>
      <c r="D657" s="4">
        <v>256779419995</v>
      </c>
      <c r="E657" s="3">
        <v>46000</v>
      </c>
      <c r="F657" t="s">
        <v>11</v>
      </c>
      <c r="G657">
        <v>-187.19</v>
      </c>
      <c r="H657">
        <v>3.74</v>
      </c>
      <c r="I657" s="27">
        <v>-16688.88</v>
      </c>
      <c r="K657" s="3">
        <v>46030</v>
      </c>
      <c r="L657" s="3">
        <v>46053</v>
      </c>
      <c r="M657" t="s">
        <v>912</v>
      </c>
      <c r="N657" s="2">
        <v>46023</v>
      </c>
      <c r="O657">
        <v>68013758</v>
      </c>
      <c r="P657">
        <v>1</v>
      </c>
      <c r="Q657" s="3">
        <v>46050</v>
      </c>
      <c r="R657">
        <v>210</v>
      </c>
      <c r="S657" s="85">
        <v>1.55E+16</v>
      </c>
      <c r="T657" t="s">
        <v>913</v>
      </c>
      <c r="U657">
        <v>-120.78</v>
      </c>
      <c r="W657" s="79">
        <f t="shared" si="37"/>
        <v>-1.9979770961262827E-2</v>
      </c>
      <c r="X657">
        <f>VLOOKUP(D657,'[3]Customer TDS'!D:I,6,0)</f>
        <v>333.44</v>
      </c>
      <c r="Y657" s="27">
        <f t="shared" si="36"/>
        <v>-16355.44</v>
      </c>
      <c r="Z657" t="s">
        <v>915</v>
      </c>
      <c r="AA657">
        <f>VLOOKUP(D657,'Ascendus DATA'!$F:$J,5,0)</f>
        <v>16603.78</v>
      </c>
      <c r="AB657" s="27">
        <f t="shared" si="38"/>
        <v>-85.100000000002183</v>
      </c>
    </row>
    <row r="658" spans="1:28" hidden="1" x14ac:dyDescent="0.35">
      <c r="A658" t="s">
        <v>910</v>
      </c>
      <c r="B658" t="s">
        <v>910</v>
      </c>
      <c r="C658" t="s">
        <v>438</v>
      </c>
      <c r="D658" s="4">
        <v>256779419858</v>
      </c>
      <c r="E658" s="3">
        <v>45999</v>
      </c>
      <c r="F658" t="s">
        <v>11</v>
      </c>
      <c r="G658">
        <v>-147.37</v>
      </c>
      <c r="H658">
        <v>2.95</v>
      </c>
      <c r="I658" s="27">
        <v>-13138.74</v>
      </c>
      <c r="J658" t="s">
        <v>42</v>
      </c>
      <c r="K658" s="3">
        <v>46029</v>
      </c>
      <c r="L658" s="3">
        <v>46053</v>
      </c>
      <c r="M658" t="s">
        <v>912</v>
      </c>
      <c r="N658" s="2">
        <v>46023</v>
      </c>
      <c r="O658">
        <v>68013761</v>
      </c>
      <c r="P658">
        <v>1</v>
      </c>
      <c r="Q658" s="3">
        <v>46050</v>
      </c>
      <c r="R658">
        <v>210</v>
      </c>
      <c r="S658" s="85">
        <v>1.55E+16</v>
      </c>
      <c r="T658" t="s">
        <v>913</v>
      </c>
      <c r="U658">
        <v>-94.57</v>
      </c>
      <c r="W658" s="79">
        <f t="shared" si="37"/>
        <v>-2.0017901259938166E-2</v>
      </c>
      <c r="X658">
        <f>VLOOKUP(D658,'[3]Customer TDS'!D:I,6,0)</f>
        <v>263.01</v>
      </c>
      <c r="Y658" s="27">
        <f t="shared" si="36"/>
        <v>-12875.73</v>
      </c>
      <c r="Z658" t="s">
        <v>915</v>
      </c>
      <c r="AA658">
        <f>VLOOKUP(D658,'Ascendus DATA'!$F:$J,5,0)</f>
        <v>13071.74</v>
      </c>
      <c r="AB658" s="27">
        <f t="shared" si="38"/>
        <v>-67</v>
      </c>
    </row>
    <row r="659" spans="1:28" hidden="1" x14ac:dyDescent="0.35">
      <c r="A659" t="s">
        <v>910</v>
      </c>
      <c r="B659" t="s">
        <v>910</v>
      </c>
      <c r="C659" t="s">
        <v>438</v>
      </c>
      <c r="D659" s="4">
        <v>256779419908</v>
      </c>
      <c r="E659" s="3">
        <v>45996</v>
      </c>
      <c r="F659" t="s">
        <v>11</v>
      </c>
      <c r="G659">
        <v>-375.94</v>
      </c>
      <c r="H659">
        <v>7.52</v>
      </c>
      <c r="I659" s="27">
        <v>-33516.85</v>
      </c>
      <c r="J659" t="s">
        <v>42</v>
      </c>
      <c r="K659" s="3">
        <v>46026</v>
      </c>
      <c r="L659" s="3">
        <v>46053</v>
      </c>
      <c r="M659" t="s">
        <v>912</v>
      </c>
      <c r="N659" s="2">
        <v>46023</v>
      </c>
      <c r="O659">
        <v>68013764</v>
      </c>
      <c r="P659">
        <v>1</v>
      </c>
      <c r="Q659" s="3">
        <v>46050</v>
      </c>
      <c r="R659">
        <v>210</v>
      </c>
      <c r="S659" s="85">
        <v>1.55E+16</v>
      </c>
      <c r="T659" t="s">
        <v>913</v>
      </c>
      <c r="U659">
        <v>-241.74</v>
      </c>
      <c r="W659" s="79">
        <f t="shared" si="37"/>
        <v>-2.000307308115172E-2</v>
      </c>
      <c r="X659">
        <f>VLOOKUP(D659,'[3]Customer TDS'!D:I,6,0)</f>
        <v>670.44</v>
      </c>
      <c r="Y659" s="27">
        <f t="shared" si="36"/>
        <v>-32846.409999999996</v>
      </c>
      <c r="Z659" t="s">
        <v>915</v>
      </c>
      <c r="AA659">
        <f>VLOOKUP(D659,'Ascendus DATA'!$F:$J,5,0)</f>
        <v>33345.93</v>
      </c>
      <c r="AB659" s="27">
        <f t="shared" si="38"/>
        <v>-170.91999999999825</v>
      </c>
    </row>
    <row r="660" spans="1:28" hidden="1" x14ac:dyDescent="0.35">
      <c r="A660" t="s">
        <v>910</v>
      </c>
      <c r="B660" t="s">
        <v>910</v>
      </c>
      <c r="C660" t="s">
        <v>438</v>
      </c>
      <c r="D660" s="4">
        <v>256779418474</v>
      </c>
      <c r="E660" s="3">
        <v>45951</v>
      </c>
      <c r="F660" t="s">
        <v>11</v>
      </c>
      <c r="G660">
        <v>-562.38</v>
      </c>
      <c r="H660">
        <v>11.25</v>
      </c>
      <c r="I660" s="27">
        <v>-49860.33</v>
      </c>
      <c r="J660" t="s">
        <v>42</v>
      </c>
      <c r="K660" s="3">
        <v>45981</v>
      </c>
      <c r="L660" s="3">
        <v>46053</v>
      </c>
      <c r="M660" t="s">
        <v>912</v>
      </c>
      <c r="N660" s="2">
        <v>46023</v>
      </c>
      <c r="O660">
        <v>68013765</v>
      </c>
      <c r="P660">
        <v>1</v>
      </c>
      <c r="Q660" s="3">
        <v>46050</v>
      </c>
      <c r="R660">
        <v>210</v>
      </c>
      <c r="S660" s="85">
        <v>1.55E+16</v>
      </c>
      <c r="T660" t="s">
        <v>913</v>
      </c>
      <c r="U660">
        <v>-640.12</v>
      </c>
      <c r="W660" s="79">
        <f t="shared" si="37"/>
        <v>-2.0004279955628049E-2</v>
      </c>
      <c r="X660">
        <f>VLOOKUP(D660,'[3]Customer TDS'!D:I,6,0)</f>
        <v>997.42</v>
      </c>
      <c r="Y660" s="27">
        <f t="shared" si="36"/>
        <v>-48862.91</v>
      </c>
      <c r="Z660" t="s">
        <v>915</v>
      </c>
      <c r="AA660">
        <f>VLOOKUP(D660,'Ascendus DATA'!$F:$J,5,0)</f>
        <v>49596.73</v>
      </c>
      <c r="AB660" s="27">
        <f t="shared" si="38"/>
        <v>-263.59999999999854</v>
      </c>
    </row>
    <row r="661" spans="1:28" hidden="1" x14ac:dyDescent="0.35">
      <c r="A661" t="s">
        <v>910</v>
      </c>
      <c r="B661" t="s">
        <v>910</v>
      </c>
      <c r="C661" t="s">
        <v>438</v>
      </c>
      <c r="D661" s="4">
        <v>256779416869</v>
      </c>
      <c r="E661" s="3">
        <v>45889</v>
      </c>
      <c r="F661" t="s">
        <v>11</v>
      </c>
      <c r="G661">
        <v>-115.98</v>
      </c>
      <c r="H661">
        <v>2.3199999999999998</v>
      </c>
      <c r="I661" s="27">
        <v>-10047.450000000001</v>
      </c>
      <c r="J661" t="s">
        <v>42</v>
      </c>
      <c r="K661" s="3">
        <v>45919</v>
      </c>
      <c r="L661" s="3">
        <v>46053</v>
      </c>
      <c r="M661" t="s">
        <v>912</v>
      </c>
      <c r="N661" s="2">
        <v>46023</v>
      </c>
      <c r="O661">
        <v>68013767</v>
      </c>
      <c r="P661">
        <v>1</v>
      </c>
      <c r="Q661" s="3">
        <v>46050</v>
      </c>
      <c r="R661">
        <v>210</v>
      </c>
      <c r="S661" s="85">
        <v>1.55E+16</v>
      </c>
      <c r="T661" t="s">
        <v>913</v>
      </c>
      <c r="U661">
        <v>-367.3</v>
      </c>
      <c r="W661" s="79">
        <f t="shared" si="37"/>
        <v>-2.0003085359966956E-2</v>
      </c>
      <c r="X661">
        <f>VLOOKUP(D661,'[3]Customer TDS'!D:I,6,0)</f>
        <v>200.98</v>
      </c>
      <c r="Y661" s="27">
        <f t="shared" si="36"/>
        <v>-9846.4700000000012</v>
      </c>
      <c r="Z661" t="s">
        <v>915</v>
      </c>
      <c r="AA661">
        <f>VLOOKUP(D661,'Ascendus DATA'!$F:$J,5,0)</f>
        <v>9977.77</v>
      </c>
      <c r="AB661" s="27">
        <f t="shared" si="38"/>
        <v>-69.680000000000291</v>
      </c>
    </row>
    <row r="662" spans="1:28" hidden="1" x14ac:dyDescent="0.35">
      <c r="A662" t="s">
        <v>910</v>
      </c>
      <c r="B662" t="s">
        <v>910</v>
      </c>
      <c r="C662" t="s">
        <v>438</v>
      </c>
      <c r="D662" s="4">
        <v>256779419971</v>
      </c>
      <c r="E662" s="3">
        <v>45995</v>
      </c>
      <c r="F662" t="s">
        <v>11</v>
      </c>
      <c r="G662">
        <v>-90.19</v>
      </c>
      <c r="H662">
        <v>1.8</v>
      </c>
      <c r="I662" s="27">
        <v>-8040.87</v>
      </c>
      <c r="J662" t="s">
        <v>387</v>
      </c>
      <c r="K662" s="3">
        <v>46025</v>
      </c>
      <c r="L662" s="3">
        <v>46053</v>
      </c>
      <c r="M662" t="s">
        <v>912</v>
      </c>
      <c r="N662" s="2">
        <v>46023</v>
      </c>
      <c r="O662">
        <v>68013769</v>
      </c>
      <c r="P662">
        <v>1</v>
      </c>
      <c r="Q662" s="3">
        <v>46050</v>
      </c>
      <c r="R662">
        <v>210</v>
      </c>
      <c r="S662" s="85">
        <v>1.55E+16</v>
      </c>
      <c r="T662" t="s">
        <v>913</v>
      </c>
      <c r="U662">
        <v>-58.37</v>
      </c>
      <c r="W662" s="79">
        <f t="shared" si="37"/>
        <v>-1.995803936638697E-2</v>
      </c>
      <c r="X662">
        <f>VLOOKUP(D662,'[3]Customer TDS'!D:I,6,0)</f>
        <v>160.47999999999999</v>
      </c>
      <c r="Y662" s="27">
        <f t="shared" si="36"/>
        <v>-7880.39</v>
      </c>
      <c r="Z662" t="s">
        <v>915</v>
      </c>
      <c r="AA662">
        <f>VLOOKUP(D662,'Ascendus DATA'!$F:$J,5,0)</f>
        <v>8000</v>
      </c>
      <c r="AB662" s="27">
        <f t="shared" si="38"/>
        <v>-40.869999999999891</v>
      </c>
    </row>
    <row r="663" spans="1:28" hidden="1" x14ac:dyDescent="0.35">
      <c r="A663" t="s">
        <v>910</v>
      </c>
      <c r="B663" t="s">
        <v>910</v>
      </c>
      <c r="C663" t="s">
        <v>438</v>
      </c>
      <c r="D663" s="4">
        <v>256779416838</v>
      </c>
      <c r="E663" s="3">
        <v>45889</v>
      </c>
      <c r="F663" t="s">
        <v>11</v>
      </c>
      <c r="G663">
        <v>-685.03</v>
      </c>
      <c r="H663">
        <v>13.7</v>
      </c>
      <c r="I663" s="27">
        <v>-59344.77</v>
      </c>
      <c r="J663" t="s">
        <v>42</v>
      </c>
      <c r="K663" s="3">
        <v>45919</v>
      </c>
      <c r="L663" s="3">
        <v>46053</v>
      </c>
      <c r="M663" t="s">
        <v>912</v>
      </c>
      <c r="N663" s="2">
        <v>46023</v>
      </c>
      <c r="O663">
        <v>68013770</v>
      </c>
      <c r="P663">
        <v>1</v>
      </c>
      <c r="Q663" s="3">
        <v>46050</v>
      </c>
      <c r="R663">
        <v>210</v>
      </c>
      <c r="S663" s="85">
        <v>1.55E+16</v>
      </c>
      <c r="T663" t="s">
        <v>913</v>
      </c>
      <c r="U663">
        <v>-2169.69</v>
      </c>
      <c r="W663" s="79">
        <f t="shared" si="37"/>
        <v>-1.9999066472074962E-2</v>
      </c>
      <c r="X663">
        <f>VLOOKUP(D663,'[3]Customer TDS'!D:I,6,0)</f>
        <v>1186.8399999999999</v>
      </c>
      <c r="Y663" s="27">
        <f t="shared" si="36"/>
        <v>-58157.93</v>
      </c>
      <c r="Z663" t="s">
        <v>915</v>
      </c>
      <c r="AA663">
        <f>VLOOKUP(D663,'Ascendus DATA'!$F:$J,5,0)</f>
        <v>58933.21</v>
      </c>
      <c r="AB663" s="27">
        <f t="shared" si="38"/>
        <v>-411.55999999999767</v>
      </c>
    </row>
    <row r="664" spans="1:28" hidden="1" x14ac:dyDescent="0.35">
      <c r="A664" t="s">
        <v>910</v>
      </c>
      <c r="B664" t="s">
        <v>910</v>
      </c>
      <c r="C664" t="s">
        <v>438</v>
      </c>
      <c r="D664" s="4">
        <v>256779418653</v>
      </c>
      <c r="E664" s="3">
        <v>45950</v>
      </c>
      <c r="F664" t="s">
        <v>11</v>
      </c>
      <c r="G664">
        <v>-170.68</v>
      </c>
      <c r="H664">
        <v>3.41</v>
      </c>
      <c r="I664" s="27">
        <v>-15132.4</v>
      </c>
      <c r="J664" t="s">
        <v>42</v>
      </c>
      <c r="K664" s="3">
        <v>45980</v>
      </c>
      <c r="L664" s="3">
        <v>46053</v>
      </c>
      <c r="M664" t="s">
        <v>912</v>
      </c>
      <c r="N664" s="2">
        <v>46023</v>
      </c>
      <c r="O664">
        <v>68013774</v>
      </c>
      <c r="P664">
        <v>1</v>
      </c>
      <c r="Q664" s="3">
        <v>46050</v>
      </c>
      <c r="R664">
        <v>210</v>
      </c>
      <c r="S664" s="85">
        <v>1.55E+16</v>
      </c>
      <c r="T664" t="s">
        <v>913</v>
      </c>
      <c r="U664">
        <v>-194.67</v>
      </c>
      <c r="W664" s="79">
        <f t="shared" si="37"/>
        <v>-1.9978985488091777E-2</v>
      </c>
      <c r="X664">
        <f>VLOOKUP(D664,'[3]Customer TDS'!D:I,6,0)</f>
        <v>302.33</v>
      </c>
      <c r="Y664" s="27">
        <f t="shared" si="36"/>
        <v>-14830.07</v>
      </c>
      <c r="Z664" t="s">
        <v>915</v>
      </c>
      <c r="AA664">
        <f>VLOOKUP(D664,'Ascendus DATA'!$F:$J,5,0)</f>
        <v>15052.4</v>
      </c>
      <c r="AB664" s="27">
        <f t="shared" si="38"/>
        <v>-80</v>
      </c>
    </row>
    <row r="665" spans="1:28" hidden="1" x14ac:dyDescent="0.35">
      <c r="A665" t="s">
        <v>910</v>
      </c>
      <c r="B665" t="s">
        <v>910</v>
      </c>
      <c r="C665" t="s">
        <v>438</v>
      </c>
      <c r="D665" s="4">
        <v>256779419808</v>
      </c>
      <c r="E665" s="3">
        <v>45996</v>
      </c>
      <c r="F665" t="s">
        <v>11</v>
      </c>
      <c r="G665">
        <v>-27.95</v>
      </c>
      <c r="H665">
        <v>0.56000000000000005</v>
      </c>
      <c r="I665" s="27">
        <v>-2491.88</v>
      </c>
      <c r="K665" s="3">
        <v>46026</v>
      </c>
      <c r="L665" s="3">
        <v>46053</v>
      </c>
      <c r="M665" t="s">
        <v>912</v>
      </c>
      <c r="N665" s="2">
        <v>46023</v>
      </c>
      <c r="O665">
        <v>68013779</v>
      </c>
      <c r="P665">
        <v>1</v>
      </c>
      <c r="Q665" s="3">
        <v>46050</v>
      </c>
      <c r="R665">
        <v>210</v>
      </c>
      <c r="S665" s="85">
        <v>1.55E+16</v>
      </c>
      <c r="T665" t="s">
        <v>913</v>
      </c>
      <c r="U665">
        <v>-17.89</v>
      </c>
      <c r="W665" s="79">
        <f t="shared" si="37"/>
        <v>-2.003708043726022E-2</v>
      </c>
      <c r="X665">
        <f>VLOOKUP(D665,'[3]Customer TDS'!D:I,6,0)</f>
        <v>49.93</v>
      </c>
      <c r="Y665" s="27">
        <f t="shared" si="36"/>
        <v>-2441.9500000000003</v>
      </c>
      <c r="Z665" t="s">
        <v>915</v>
      </c>
      <c r="AA665">
        <f>VLOOKUP(D665,'Ascendus DATA'!$F:$J,5,0)</f>
        <v>2479.17</v>
      </c>
      <c r="AB665" s="27">
        <f t="shared" si="38"/>
        <v>-12.710000000000036</v>
      </c>
    </row>
    <row r="666" spans="1:28" hidden="1" x14ac:dyDescent="0.35">
      <c r="A666" t="s">
        <v>910</v>
      </c>
      <c r="B666" t="s">
        <v>910</v>
      </c>
      <c r="C666" t="s">
        <v>438</v>
      </c>
      <c r="D666" s="4">
        <v>256779419972</v>
      </c>
      <c r="E666" s="3">
        <v>45995</v>
      </c>
      <c r="F666" t="s">
        <v>11</v>
      </c>
      <c r="G666">
        <v>-49.61</v>
      </c>
      <c r="H666">
        <v>0.99</v>
      </c>
      <c r="I666" s="27">
        <v>-4422.97</v>
      </c>
      <c r="K666" s="3">
        <v>46025</v>
      </c>
      <c r="L666" s="3">
        <v>46053</v>
      </c>
      <c r="M666" t="s">
        <v>912</v>
      </c>
      <c r="N666" s="2">
        <v>46023</v>
      </c>
      <c r="O666">
        <v>68013782</v>
      </c>
      <c r="P666">
        <v>1</v>
      </c>
      <c r="Q666" s="3">
        <v>46050</v>
      </c>
      <c r="R666">
        <v>210</v>
      </c>
      <c r="S666" s="85">
        <v>1.55E+16</v>
      </c>
      <c r="T666" t="s">
        <v>913</v>
      </c>
      <c r="U666">
        <v>-32.119999999999997</v>
      </c>
      <c r="W666" s="79">
        <f t="shared" si="37"/>
        <v>-1.9954917171041177E-2</v>
      </c>
      <c r="X666">
        <f>VLOOKUP(D666,'[3]Customer TDS'!D:I,6,0)</f>
        <v>88.26</v>
      </c>
      <c r="Y666" s="27">
        <f t="shared" si="36"/>
        <v>-4334.71</v>
      </c>
      <c r="Z666" t="s">
        <v>915</v>
      </c>
      <c r="AA666">
        <f>VLOOKUP(D666,'Ascendus DATA'!$F:$J,5,0)</f>
        <v>4400</v>
      </c>
      <c r="AB666" s="27">
        <f t="shared" si="38"/>
        <v>-22.970000000000255</v>
      </c>
    </row>
    <row r="667" spans="1:28" hidden="1" x14ac:dyDescent="0.35">
      <c r="A667" t="s">
        <v>910</v>
      </c>
      <c r="B667" t="s">
        <v>910</v>
      </c>
      <c r="C667" t="s">
        <v>438</v>
      </c>
      <c r="D667" s="4">
        <v>256779419983</v>
      </c>
      <c r="E667" s="3">
        <v>45997</v>
      </c>
      <c r="F667" t="s">
        <v>11</v>
      </c>
      <c r="G667">
        <v>-55.63</v>
      </c>
      <c r="H667">
        <v>1.1100000000000001</v>
      </c>
      <c r="I667" s="27">
        <v>-4959.68</v>
      </c>
      <c r="J667" t="s">
        <v>42</v>
      </c>
      <c r="K667" s="3">
        <v>46027</v>
      </c>
      <c r="L667" s="3">
        <v>46053</v>
      </c>
      <c r="M667" t="s">
        <v>912</v>
      </c>
      <c r="N667" s="2">
        <v>46023</v>
      </c>
      <c r="O667">
        <v>68013785</v>
      </c>
      <c r="P667">
        <v>1</v>
      </c>
      <c r="Q667" s="3">
        <v>46050</v>
      </c>
      <c r="R667">
        <v>210</v>
      </c>
      <c r="S667" s="85">
        <v>1.55E+16</v>
      </c>
      <c r="T667" t="s">
        <v>913</v>
      </c>
      <c r="U667">
        <v>-36.03</v>
      </c>
      <c r="W667" s="79">
        <f t="shared" si="37"/>
        <v>-1.9952900187108845E-2</v>
      </c>
      <c r="X667">
        <f>VLOOKUP(D667,'[3]Customer TDS'!D:I,6,0)</f>
        <v>98.96</v>
      </c>
      <c r="Y667" s="27">
        <f t="shared" si="36"/>
        <v>-4860.72</v>
      </c>
      <c r="Z667" t="s">
        <v>915</v>
      </c>
      <c r="AA667">
        <f>VLOOKUP(D667,'Ascendus DATA'!$F:$J,5,0)</f>
        <v>4934.3900000000003</v>
      </c>
      <c r="AB667" s="27">
        <f t="shared" si="38"/>
        <v>-25.289999999999964</v>
      </c>
    </row>
    <row r="668" spans="1:28" hidden="1" x14ac:dyDescent="0.35">
      <c r="A668" t="s">
        <v>910</v>
      </c>
      <c r="B668" t="s">
        <v>910</v>
      </c>
      <c r="C668" t="s">
        <v>438</v>
      </c>
      <c r="D668" s="4">
        <v>256779419970</v>
      </c>
      <c r="E668" s="3">
        <v>45995</v>
      </c>
      <c r="F668" t="s">
        <v>11</v>
      </c>
      <c r="G668" s="27">
        <v>-2254.79</v>
      </c>
      <c r="H668">
        <v>45.1</v>
      </c>
      <c r="I668" s="27">
        <v>-201025.31</v>
      </c>
      <c r="J668" t="s">
        <v>42</v>
      </c>
      <c r="K668" s="3">
        <v>46025</v>
      </c>
      <c r="L668" s="3">
        <v>46053</v>
      </c>
      <c r="M668" t="s">
        <v>912</v>
      </c>
      <c r="N668" s="2">
        <v>46023</v>
      </c>
      <c r="O668">
        <v>68013788</v>
      </c>
      <c r="P668">
        <v>1</v>
      </c>
      <c r="Q668" s="3">
        <v>46050</v>
      </c>
      <c r="R668">
        <v>210</v>
      </c>
      <c r="S668" s="85">
        <v>1.55E+16</v>
      </c>
      <c r="T668" t="s">
        <v>913</v>
      </c>
      <c r="U668">
        <v>-1450.2</v>
      </c>
      <c r="W668" s="79">
        <f t="shared" si="37"/>
        <v>-2.0001859467347671E-2</v>
      </c>
      <c r="X668">
        <f>VLOOKUP(D668,'[3]Customer TDS'!D:I,6,0)</f>
        <v>4020.88</v>
      </c>
      <c r="Y668" s="27">
        <f t="shared" si="36"/>
        <v>-197004.43</v>
      </c>
      <c r="Z668" t="s">
        <v>915</v>
      </c>
      <c r="AA668">
        <f>VLOOKUP(D668,'Ascendus DATA'!$F:$J,5,0)</f>
        <v>200000</v>
      </c>
      <c r="AB668" s="27">
        <f t="shared" si="38"/>
        <v>-1025.3099999999977</v>
      </c>
    </row>
    <row r="669" spans="1:28" hidden="1" x14ac:dyDescent="0.35">
      <c r="A669" t="s">
        <v>910</v>
      </c>
      <c r="B669" t="s">
        <v>910</v>
      </c>
      <c r="C669" t="s">
        <v>438</v>
      </c>
      <c r="D669" s="4" t="s">
        <v>439</v>
      </c>
      <c r="E669" s="3">
        <v>45918</v>
      </c>
      <c r="F669" t="s">
        <v>11</v>
      </c>
      <c r="G669">
        <v>-184.38</v>
      </c>
      <c r="H669">
        <v>3.69</v>
      </c>
      <c r="I669" s="27">
        <v>-16161.26</v>
      </c>
      <c r="J669" t="s">
        <v>122</v>
      </c>
      <c r="K669" s="3">
        <v>45948</v>
      </c>
      <c r="L669" s="3">
        <v>46053</v>
      </c>
      <c r="M669" t="s">
        <v>912</v>
      </c>
      <c r="N669" s="2">
        <v>46023</v>
      </c>
      <c r="O669">
        <v>68341792</v>
      </c>
      <c r="P669">
        <v>1</v>
      </c>
      <c r="Q669" s="3">
        <v>46053</v>
      </c>
      <c r="R669">
        <v>210</v>
      </c>
      <c r="S669" s="85">
        <v>1.55E+16</v>
      </c>
      <c r="T669" t="s">
        <v>913</v>
      </c>
      <c r="U669">
        <v>-395.5</v>
      </c>
      <c r="W669" s="79">
        <f>X669/I669</f>
        <v>-2.0013291042901359E-2</v>
      </c>
      <c r="X669">
        <f>VLOOKUP(D669,'[3]Customer TDS'!D:I,6,0)</f>
        <v>323.44</v>
      </c>
      <c r="Y669" s="27">
        <f t="shared" si="36"/>
        <v>-15837.82</v>
      </c>
      <c r="Z669" t="s">
        <v>915</v>
      </c>
      <c r="AA669">
        <v>16135.89</v>
      </c>
      <c r="AB669" s="27">
        <f t="shared" si="38"/>
        <v>-25.3700000000008</v>
      </c>
    </row>
    <row r="670" spans="1:28" x14ac:dyDescent="0.35">
      <c r="A670" t="s">
        <v>910</v>
      </c>
      <c r="B670" t="s">
        <v>910</v>
      </c>
      <c r="C670" t="s">
        <v>453</v>
      </c>
      <c r="D670" s="4">
        <v>2829968</v>
      </c>
      <c r="E670" s="3">
        <v>46052</v>
      </c>
      <c r="F670" t="s">
        <v>56</v>
      </c>
      <c r="G670" t="s">
        <v>911</v>
      </c>
      <c r="H670" t="s">
        <v>911</v>
      </c>
      <c r="I670" s="27">
        <v>1869680.81</v>
      </c>
      <c r="J670" t="s">
        <v>463</v>
      </c>
      <c r="K670" s="3">
        <v>46052</v>
      </c>
      <c r="L670" s="3">
        <v>46053</v>
      </c>
      <c r="M670" t="s">
        <v>912</v>
      </c>
      <c r="N670" s="2">
        <v>46023</v>
      </c>
      <c r="O670">
        <v>68345876</v>
      </c>
      <c r="P670">
        <v>1</v>
      </c>
      <c r="Q670" s="3">
        <v>46052</v>
      </c>
      <c r="R670">
        <v>400</v>
      </c>
      <c r="S670" t="s">
        <v>916</v>
      </c>
      <c r="T670" t="s">
        <v>913</v>
      </c>
      <c r="U670">
        <v>-1856796.5</v>
      </c>
      <c r="Y670" s="27">
        <f t="shared" si="36"/>
        <v>1869680.81</v>
      </c>
    </row>
    <row r="671" spans="1:28" hidden="1" x14ac:dyDescent="0.35">
      <c r="A671" t="s">
        <v>910</v>
      </c>
      <c r="B671" t="s">
        <v>910</v>
      </c>
      <c r="C671" t="s">
        <v>464</v>
      </c>
      <c r="D671" s="4">
        <v>2830735</v>
      </c>
      <c r="E671" s="3">
        <v>46053</v>
      </c>
      <c r="F671" t="s">
        <v>56</v>
      </c>
      <c r="G671" t="s">
        <v>911</v>
      </c>
      <c r="H671" t="s">
        <v>911</v>
      </c>
      <c r="I671" s="27">
        <v>-7756</v>
      </c>
      <c r="J671" t="s">
        <v>465</v>
      </c>
      <c r="K671" s="3">
        <v>46083</v>
      </c>
      <c r="L671" s="3">
        <v>46053</v>
      </c>
      <c r="M671" t="s">
        <v>912</v>
      </c>
      <c r="N671" s="2">
        <v>46023</v>
      </c>
      <c r="O671">
        <v>68369723</v>
      </c>
      <c r="P671">
        <v>2</v>
      </c>
      <c r="Q671" s="3">
        <v>46053</v>
      </c>
      <c r="R671">
        <v>400</v>
      </c>
      <c r="S671" t="s">
        <v>919</v>
      </c>
      <c r="T671" t="s">
        <v>913</v>
      </c>
      <c r="U671">
        <v>7756</v>
      </c>
      <c r="Y671" s="27">
        <f t="shared" si="36"/>
        <v>-7756</v>
      </c>
    </row>
    <row r="672" spans="1:28" hidden="1" x14ac:dyDescent="0.35">
      <c r="A672" t="s">
        <v>910</v>
      </c>
      <c r="B672" t="s">
        <v>910</v>
      </c>
      <c r="C672" t="s">
        <v>464</v>
      </c>
      <c r="D672" s="4">
        <v>2830736</v>
      </c>
      <c r="E672" s="3">
        <v>46053</v>
      </c>
      <c r="F672" t="s">
        <v>56</v>
      </c>
      <c r="G672" t="s">
        <v>911</v>
      </c>
      <c r="H672" t="s">
        <v>911</v>
      </c>
      <c r="I672" s="27">
        <v>-15004</v>
      </c>
      <c r="J672" t="s">
        <v>466</v>
      </c>
      <c r="K672" s="3">
        <v>46083</v>
      </c>
      <c r="L672" s="3">
        <v>46053</v>
      </c>
      <c r="M672" t="s">
        <v>912</v>
      </c>
      <c r="N672" s="2">
        <v>46023</v>
      </c>
      <c r="O672">
        <v>68369723</v>
      </c>
      <c r="P672">
        <v>4</v>
      </c>
      <c r="Q672" s="3">
        <v>46053</v>
      </c>
      <c r="R672">
        <v>400</v>
      </c>
      <c r="S672" t="s">
        <v>919</v>
      </c>
      <c r="T672" t="s">
        <v>913</v>
      </c>
      <c r="U672">
        <v>15004</v>
      </c>
      <c r="Y672" s="27">
        <f t="shared" si="36"/>
        <v>-15004</v>
      </c>
    </row>
    <row r="673" spans="1:26" x14ac:dyDescent="0.35">
      <c r="A673" t="s">
        <v>910</v>
      </c>
      <c r="B673" t="s">
        <v>910</v>
      </c>
      <c r="C673" t="s">
        <v>453</v>
      </c>
      <c r="D673" s="4">
        <v>2830737</v>
      </c>
      <c r="E673" s="3">
        <v>46053</v>
      </c>
      <c r="F673" t="s">
        <v>56</v>
      </c>
      <c r="G673" t="s">
        <v>911</v>
      </c>
      <c r="H673" t="s">
        <v>911</v>
      </c>
      <c r="I673" s="27">
        <v>8452</v>
      </c>
      <c r="J673" t="s">
        <v>467</v>
      </c>
      <c r="K673" s="3">
        <v>46053</v>
      </c>
      <c r="L673" s="3">
        <v>46053</v>
      </c>
      <c r="M673" t="s">
        <v>912</v>
      </c>
      <c r="N673" s="2">
        <v>46023</v>
      </c>
      <c r="O673">
        <v>68369723</v>
      </c>
      <c r="P673">
        <v>6</v>
      </c>
      <c r="Q673" s="3">
        <v>46053</v>
      </c>
      <c r="R673">
        <v>400</v>
      </c>
      <c r="S673" t="s">
        <v>919</v>
      </c>
      <c r="T673" t="s">
        <v>913</v>
      </c>
      <c r="U673">
        <v>-8452</v>
      </c>
      <c r="Y673" s="27">
        <f t="shared" ref="Y673:Y704" si="39">I673+X673</f>
        <v>8452</v>
      </c>
    </row>
    <row r="674" spans="1:26" hidden="1" x14ac:dyDescent="0.35">
      <c r="A674" t="s">
        <v>910</v>
      </c>
      <c r="B674" t="s">
        <v>910</v>
      </c>
      <c r="C674" t="s">
        <v>464</v>
      </c>
      <c r="D674" s="4">
        <v>2830738</v>
      </c>
      <c r="E674" s="3">
        <v>46053</v>
      </c>
      <c r="F674" t="s">
        <v>56</v>
      </c>
      <c r="G674" t="s">
        <v>911</v>
      </c>
      <c r="H674" t="s">
        <v>911</v>
      </c>
      <c r="I674" s="27">
        <v>-17437</v>
      </c>
      <c r="J674" t="s">
        <v>468</v>
      </c>
      <c r="K674" s="3">
        <v>46083</v>
      </c>
      <c r="L674" s="3">
        <v>46053</v>
      </c>
      <c r="M674" t="s">
        <v>912</v>
      </c>
      <c r="N674" s="2">
        <v>46023</v>
      </c>
      <c r="O674">
        <v>68369723</v>
      </c>
      <c r="P674">
        <v>8</v>
      </c>
      <c r="Q674" s="3">
        <v>46053</v>
      </c>
      <c r="R674">
        <v>400</v>
      </c>
      <c r="S674" t="s">
        <v>919</v>
      </c>
      <c r="T674" t="s">
        <v>913</v>
      </c>
      <c r="U674">
        <v>17437</v>
      </c>
      <c r="Y674" s="27">
        <f t="shared" si="39"/>
        <v>-17437</v>
      </c>
    </row>
    <row r="675" spans="1:26" hidden="1" x14ac:dyDescent="0.35">
      <c r="A675" t="s">
        <v>910</v>
      </c>
      <c r="B675" t="s">
        <v>910</v>
      </c>
      <c r="C675" t="s">
        <v>464</v>
      </c>
      <c r="D675" s="4">
        <v>2830739</v>
      </c>
      <c r="E675" s="3">
        <v>46053</v>
      </c>
      <c r="F675" t="s">
        <v>56</v>
      </c>
      <c r="G675" t="s">
        <v>911</v>
      </c>
      <c r="H675" t="s">
        <v>911</v>
      </c>
      <c r="I675" s="27">
        <v>-5206</v>
      </c>
      <c r="J675" t="s">
        <v>469</v>
      </c>
      <c r="K675" s="3">
        <v>46083</v>
      </c>
      <c r="L675" s="3">
        <v>46053</v>
      </c>
      <c r="M675" t="s">
        <v>912</v>
      </c>
      <c r="N675" s="2">
        <v>46023</v>
      </c>
      <c r="O675">
        <v>68369723</v>
      </c>
      <c r="P675">
        <v>10</v>
      </c>
      <c r="Q675" s="3">
        <v>46053</v>
      </c>
      <c r="R675">
        <v>400</v>
      </c>
      <c r="S675" t="s">
        <v>919</v>
      </c>
      <c r="T675" t="s">
        <v>913</v>
      </c>
      <c r="U675">
        <v>5206</v>
      </c>
      <c r="Y675" s="27">
        <f t="shared" si="39"/>
        <v>-5206</v>
      </c>
    </row>
    <row r="676" spans="1:26" hidden="1" x14ac:dyDescent="0.35">
      <c r="A676" t="s">
        <v>910</v>
      </c>
      <c r="B676" t="s">
        <v>910</v>
      </c>
      <c r="C676" t="s">
        <v>438</v>
      </c>
      <c r="D676" s="4">
        <v>256779411867</v>
      </c>
      <c r="E676" s="3">
        <v>45763</v>
      </c>
      <c r="F676" t="s">
        <v>11</v>
      </c>
      <c r="G676" t="s">
        <v>911</v>
      </c>
      <c r="H676" t="s">
        <v>911</v>
      </c>
      <c r="I676">
        <v>-503.02</v>
      </c>
      <c r="J676" t="s">
        <v>15</v>
      </c>
      <c r="K676" s="3">
        <v>45793</v>
      </c>
      <c r="M676" t="s">
        <v>912</v>
      </c>
      <c r="N676" s="2">
        <v>46023</v>
      </c>
      <c r="O676">
        <v>68459189</v>
      </c>
      <c r="P676">
        <v>2</v>
      </c>
      <c r="Q676" s="3">
        <v>46053</v>
      </c>
      <c r="R676">
        <v>271</v>
      </c>
      <c r="T676" t="s">
        <v>913</v>
      </c>
      <c r="U676">
        <v>0</v>
      </c>
      <c r="Y676" s="27">
        <f t="shared" si="39"/>
        <v>-503.02</v>
      </c>
      <c r="Z676" t="s">
        <v>894</v>
      </c>
    </row>
    <row r="677" spans="1:26" hidden="1" x14ac:dyDescent="0.35">
      <c r="A677" t="s">
        <v>910</v>
      </c>
      <c r="B677" t="s">
        <v>910</v>
      </c>
      <c r="C677" t="s">
        <v>438</v>
      </c>
      <c r="D677" s="4">
        <v>256779415303</v>
      </c>
      <c r="E677" s="3">
        <v>45848</v>
      </c>
      <c r="F677" t="s">
        <v>11</v>
      </c>
      <c r="G677" t="s">
        <v>911</v>
      </c>
      <c r="H677" t="s">
        <v>911</v>
      </c>
      <c r="I677">
        <v>-170.52</v>
      </c>
      <c r="J677" t="s">
        <v>15</v>
      </c>
      <c r="K677" s="3">
        <v>45878</v>
      </c>
      <c r="M677" t="s">
        <v>912</v>
      </c>
      <c r="N677" s="2">
        <v>46023</v>
      </c>
      <c r="O677">
        <v>68459189</v>
      </c>
      <c r="P677">
        <v>4</v>
      </c>
      <c r="Q677" s="3">
        <v>46053</v>
      </c>
      <c r="R677">
        <v>271</v>
      </c>
      <c r="T677" t="s">
        <v>913</v>
      </c>
      <c r="U677">
        <v>0</v>
      </c>
      <c r="Y677" s="27">
        <f t="shared" si="39"/>
        <v>-170.52</v>
      </c>
      <c r="Z677" t="s">
        <v>894</v>
      </c>
    </row>
    <row r="678" spans="1:26" hidden="1" x14ac:dyDescent="0.35">
      <c r="A678" t="s">
        <v>910</v>
      </c>
      <c r="B678" t="s">
        <v>910</v>
      </c>
      <c r="C678" t="s">
        <v>438</v>
      </c>
      <c r="D678" s="4">
        <v>256779415304</v>
      </c>
      <c r="E678" s="3">
        <v>45848</v>
      </c>
      <c r="F678" t="s">
        <v>11</v>
      </c>
      <c r="G678" t="s">
        <v>911</v>
      </c>
      <c r="H678" t="s">
        <v>911</v>
      </c>
      <c r="I678">
        <v>-51.15</v>
      </c>
      <c r="J678" t="s">
        <v>15</v>
      </c>
      <c r="K678" s="3">
        <v>45878</v>
      </c>
      <c r="M678" t="s">
        <v>912</v>
      </c>
      <c r="N678" s="2">
        <v>46023</v>
      </c>
      <c r="O678">
        <v>68459189</v>
      </c>
      <c r="P678">
        <v>6</v>
      </c>
      <c r="Q678" s="3">
        <v>46053</v>
      </c>
      <c r="R678">
        <v>271</v>
      </c>
      <c r="T678" t="s">
        <v>913</v>
      </c>
      <c r="U678">
        <v>0</v>
      </c>
      <c r="Y678" s="27">
        <f t="shared" si="39"/>
        <v>-51.15</v>
      </c>
      <c r="Z678" t="s">
        <v>894</v>
      </c>
    </row>
    <row r="679" spans="1:26" hidden="1" x14ac:dyDescent="0.35">
      <c r="A679" t="s">
        <v>910</v>
      </c>
      <c r="B679" t="s">
        <v>910</v>
      </c>
      <c r="C679" t="s">
        <v>438</v>
      </c>
      <c r="D679" s="4">
        <v>256779415385</v>
      </c>
      <c r="E679" s="3">
        <v>45848</v>
      </c>
      <c r="F679" t="s">
        <v>11</v>
      </c>
      <c r="G679" t="s">
        <v>911</v>
      </c>
      <c r="H679" t="s">
        <v>911</v>
      </c>
      <c r="I679">
        <v>-0.83</v>
      </c>
      <c r="J679" t="s">
        <v>15</v>
      </c>
      <c r="K679" s="3">
        <v>45878</v>
      </c>
      <c r="M679" t="s">
        <v>912</v>
      </c>
      <c r="N679" s="2">
        <v>46023</v>
      </c>
      <c r="O679">
        <v>68459189</v>
      </c>
      <c r="P679">
        <v>8</v>
      </c>
      <c r="Q679" s="3">
        <v>46053</v>
      </c>
      <c r="R679">
        <v>271</v>
      </c>
      <c r="T679" t="s">
        <v>913</v>
      </c>
      <c r="U679">
        <v>0</v>
      </c>
      <c r="Y679" s="27">
        <f t="shared" si="39"/>
        <v>-0.83</v>
      </c>
      <c r="Z679" t="s">
        <v>894</v>
      </c>
    </row>
    <row r="680" spans="1:26" hidden="1" x14ac:dyDescent="0.35">
      <c r="A680" t="s">
        <v>910</v>
      </c>
      <c r="B680" t="s">
        <v>910</v>
      </c>
      <c r="C680" t="s">
        <v>438</v>
      </c>
      <c r="D680" s="4">
        <v>256779415293</v>
      </c>
      <c r="E680" s="3">
        <v>45848</v>
      </c>
      <c r="F680" t="s">
        <v>11</v>
      </c>
      <c r="G680" t="s">
        <v>911</v>
      </c>
      <c r="H680" t="s">
        <v>911</v>
      </c>
      <c r="I680">
        <v>-0.83</v>
      </c>
      <c r="J680" t="s">
        <v>15</v>
      </c>
      <c r="K680" s="3">
        <v>45878</v>
      </c>
      <c r="M680" t="s">
        <v>912</v>
      </c>
      <c r="N680" s="2">
        <v>46023</v>
      </c>
      <c r="O680">
        <v>68459189</v>
      </c>
      <c r="P680">
        <v>10</v>
      </c>
      <c r="Q680" s="3">
        <v>46053</v>
      </c>
      <c r="R680">
        <v>271</v>
      </c>
      <c r="T680" t="s">
        <v>913</v>
      </c>
      <c r="U680">
        <v>0</v>
      </c>
      <c r="Y680" s="27">
        <f t="shared" si="39"/>
        <v>-0.83</v>
      </c>
      <c r="Z680" t="s">
        <v>894</v>
      </c>
    </row>
    <row r="681" spans="1:26" hidden="1" x14ac:dyDescent="0.35">
      <c r="A681" t="s">
        <v>910</v>
      </c>
      <c r="B681" t="s">
        <v>910</v>
      </c>
      <c r="C681" t="s">
        <v>438</v>
      </c>
      <c r="D681" s="4">
        <v>256779415374</v>
      </c>
      <c r="E681" s="3">
        <v>45848</v>
      </c>
      <c r="F681" t="s">
        <v>11</v>
      </c>
      <c r="G681" t="s">
        <v>911</v>
      </c>
      <c r="H681" t="s">
        <v>911</v>
      </c>
      <c r="I681">
        <v>-16.34</v>
      </c>
      <c r="J681" t="s">
        <v>15</v>
      </c>
      <c r="K681" s="3">
        <v>45878</v>
      </c>
      <c r="M681" t="s">
        <v>912</v>
      </c>
      <c r="N681" s="2">
        <v>46023</v>
      </c>
      <c r="O681">
        <v>68459189</v>
      </c>
      <c r="P681">
        <v>12</v>
      </c>
      <c r="Q681" s="3">
        <v>46053</v>
      </c>
      <c r="R681">
        <v>271</v>
      </c>
      <c r="T681" t="s">
        <v>913</v>
      </c>
      <c r="U681">
        <v>0</v>
      </c>
      <c r="Y681" s="27">
        <f t="shared" si="39"/>
        <v>-16.34</v>
      </c>
      <c r="Z681" t="s">
        <v>894</v>
      </c>
    </row>
    <row r="682" spans="1:26" hidden="1" x14ac:dyDescent="0.35">
      <c r="A682" t="s">
        <v>910</v>
      </c>
      <c r="B682" t="s">
        <v>910</v>
      </c>
      <c r="C682" t="s">
        <v>438</v>
      </c>
      <c r="D682" s="4">
        <v>256779415339</v>
      </c>
      <c r="E682" s="3">
        <v>45848</v>
      </c>
      <c r="F682" t="s">
        <v>11</v>
      </c>
      <c r="G682" t="s">
        <v>911</v>
      </c>
      <c r="H682" t="s">
        <v>911</v>
      </c>
      <c r="I682">
        <v>-46.7</v>
      </c>
      <c r="J682" t="s">
        <v>15</v>
      </c>
      <c r="K682" s="3">
        <v>45878</v>
      </c>
      <c r="M682" t="s">
        <v>912</v>
      </c>
      <c r="N682" s="2">
        <v>46023</v>
      </c>
      <c r="O682">
        <v>68459189</v>
      </c>
      <c r="P682">
        <v>14</v>
      </c>
      <c r="Q682" s="3">
        <v>46053</v>
      </c>
      <c r="R682">
        <v>271</v>
      </c>
      <c r="T682" t="s">
        <v>913</v>
      </c>
      <c r="U682">
        <v>0</v>
      </c>
      <c r="Y682" s="27">
        <f t="shared" si="39"/>
        <v>-46.7</v>
      </c>
      <c r="Z682" t="s">
        <v>894</v>
      </c>
    </row>
    <row r="683" spans="1:26" hidden="1" x14ac:dyDescent="0.35">
      <c r="A683" t="s">
        <v>910</v>
      </c>
      <c r="B683" t="s">
        <v>910</v>
      </c>
      <c r="C683" t="s">
        <v>438</v>
      </c>
      <c r="D683" s="4">
        <v>256779411467</v>
      </c>
      <c r="E683" s="3">
        <v>45762</v>
      </c>
      <c r="F683" t="s">
        <v>11</v>
      </c>
      <c r="G683" t="s">
        <v>911</v>
      </c>
      <c r="H683" t="s">
        <v>911</v>
      </c>
      <c r="I683">
        <v>-60.36</v>
      </c>
      <c r="J683" t="s">
        <v>15</v>
      </c>
      <c r="K683" s="3">
        <v>45792</v>
      </c>
      <c r="M683" t="s">
        <v>912</v>
      </c>
      <c r="N683" s="2">
        <v>46023</v>
      </c>
      <c r="O683">
        <v>68459189</v>
      </c>
      <c r="P683">
        <v>16</v>
      </c>
      <c r="Q683" s="3">
        <v>46053</v>
      </c>
      <c r="R683">
        <v>271</v>
      </c>
      <c r="T683" t="s">
        <v>913</v>
      </c>
      <c r="U683">
        <v>0</v>
      </c>
      <c r="Y683" s="27">
        <f t="shared" si="39"/>
        <v>-60.36</v>
      </c>
      <c r="Z683" t="s">
        <v>894</v>
      </c>
    </row>
    <row r="684" spans="1:26" hidden="1" x14ac:dyDescent="0.35">
      <c r="A684" t="s">
        <v>910</v>
      </c>
      <c r="B684" t="s">
        <v>910</v>
      </c>
      <c r="C684" t="s">
        <v>438</v>
      </c>
      <c r="D684" s="4">
        <v>256779415308</v>
      </c>
      <c r="E684" s="3">
        <v>45848</v>
      </c>
      <c r="F684" t="s">
        <v>11</v>
      </c>
      <c r="G684" t="s">
        <v>911</v>
      </c>
      <c r="H684" t="s">
        <v>911</v>
      </c>
      <c r="I684">
        <v>-51.15</v>
      </c>
      <c r="J684" t="s">
        <v>15</v>
      </c>
      <c r="K684" s="3">
        <v>45878</v>
      </c>
      <c r="M684" t="s">
        <v>912</v>
      </c>
      <c r="N684" s="2">
        <v>46023</v>
      </c>
      <c r="O684">
        <v>68459189</v>
      </c>
      <c r="P684">
        <v>18</v>
      </c>
      <c r="Q684" s="3">
        <v>46053</v>
      </c>
      <c r="R684">
        <v>271</v>
      </c>
      <c r="T684" t="s">
        <v>913</v>
      </c>
      <c r="U684">
        <v>0</v>
      </c>
      <c r="Y684" s="27">
        <f t="shared" si="39"/>
        <v>-51.15</v>
      </c>
      <c r="Z684" t="s">
        <v>894</v>
      </c>
    </row>
    <row r="685" spans="1:26" hidden="1" x14ac:dyDescent="0.35">
      <c r="A685" t="s">
        <v>910</v>
      </c>
      <c r="B685" t="s">
        <v>910</v>
      </c>
      <c r="C685" t="s">
        <v>438</v>
      </c>
      <c r="D685" s="4">
        <v>256779415305</v>
      </c>
      <c r="E685" s="3">
        <v>45848</v>
      </c>
      <c r="F685" t="s">
        <v>11</v>
      </c>
      <c r="G685" t="s">
        <v>911</v>
      </c>
      <c r="H685" t="s">
        <v>911</v>
      </c>
      <c r="I685">
        <v>-51.15</v>
      </c>
      <c r="J685" t="s">
        <v>15</v>
      </c>
      <c r="K685" s="3">
        <v>45878</v>
      </c>
      <c r="M685" t="s">
        <v>912</v>
      </c>
      <c r="N685" s="2">
        <v>46023</v>
      </c>
      <c r="O685">
        <v>68459189</v>
      </c>
      <c r="P685">
        <v>20</v>
      </c>
      <c r="Q685" s="3">
        <v>46053</v>
      </c>
      <c r="R685">
        <v>271</v>
      </c>
      <c r="T685" t="s">
        <v>913</v>
      </c>
      <c r="U685">
        <v>0</v>
      </c>
      <c r="Y685" s="27">
        <f t="shared" si="39"/>
        <v>-51.15</v>
      </c>
      <c r="Z685" t="s">
        <v>894</v>
      </c>
    </row>
    <row r="686" spans="1:26" hidden="1" x14ac:dyDescent="0.35">
      <c r="A686" t="s">
        <v>910</v>
      </c>
      <c r="B686" t="s">
        <v>910</v>
      </c>
      <c r="C686" t="s">
        <v>438</v>
      </c>
      <c r="D686" s="4">
        <v>256779415306</v>
      </c>
      <c r="E686" s="3">
        <v>45848</v>
      </c>
      <c r="F686" t="s">
        <v>11</v>
      </c>
      <c r="G686" t="s">
        <v>911</v>
      </c>
      <c r="H686" t="s">
        <v>911</v>
      </c>
      <c r="I686">
        <v>-51.15</v>
      </c>
      <c r="J686" t="s">
        <v>15</v>
      </c>
      <c r="K686" s="3">
        <v>45878</v>
      </c>
      <c r="M686" t="s">
        <v>912</v>
      </c>
      <c r="N686" s="2">
        <v>46023</v>
      </c>
      <c r="O686">
        <v>68459189</v>
      </c>
      <c r="P686">
        <v>22</v>
      </c>
      <c r="Q686" s="3">
        <v>46053</v>
      </c>
      <c r="R686">
        <v>271</v>
      </c>
      <c r="T686" t="s">
        <v>913</v>
      </c>
      <c r="U686">
        <v>0</v>
      </c>
      <c r="Y686" s="27">
        <f t="shared" si="39"/>
        <v>-51.15</v>
      </c>
      <c r="Z686" t="s">
        <v>894</v>
      </c>
    </row>
    <row r="687" spans="1:26" hidden="1" x14ac:dyDescent="0.35">
      <c r="A687" t="s">
        <v>910</v>
      </c>
      <c r="B687" t="s">
        <v>910</v>
      </c>
      <c r="C687" t="s">
        <v>438</v>
      </c>
      <c r="D687" s="4">
        <v>256779415307</v>
      </c>
      <c r="E687" s="3">
        <v>45848</v>
      </c>
      <c r="F687" t="s">
        <v>11</v>
      </c>
      <c r="G687" t="s">
        <v>911</v>
      </c>
      <c r="H687" t="s">
        <v>911</v>
      </c>
      <c r="I687">
        <v>-51.15</v>
      </c>
      <c r="J687" t="s">
        <v>15</v>
      </c>
      <c r="K687" s="3">
        <v>45878</v>
      </c>
      <c r="M687" t="s">
        <v>912</v>
      </c>
      <c r="N687" s="2">
        <v>46023</v>
      </c>
      <c r="O687">
        <v>68459189</v>
      </c>
      <c r="P687">
        <v>24</v>
      </c>
      <c r="Q687" s="3">
        <v>46053</v>
      </c>
      <c r="R687">
        <v>271</v>
      </c>
      <c r="T687" t="s">
        <v>913</v>
      </c>
      <c r="U687">
        <v>0</v>
      </c>
      <c r="Y687" s="27">
        <f t="shared" si="39"/>
        <v>-51.15</v>
      </c>
      <c r="Z687" t="s">
        <v>894</v>
      </c>
    </row>
    <row r="688" spans="1:26" hidden="1" x14ac:dyDescent="0.35">
      <c r="A688" t="s">
        <v>910</v>
      </c>
      <c r="B688" t="s">
        <v>910</v>
      </c>
      <c r="C688" t="s">
        <v>438</v>
      </c>
      <c r="D688" s="4">
        <v>256779415291</v>
      </c>
      <c r="E688" s="3">
        <v>45848</v>
      </c>
      <c r="F688" t="s">
        <v>11</v>
      </c>
      <c r="G688" t="s">
        <v>911</v>
      </c>
      <c r="H688" t="s">
        <v>911</v>
      </c>
      <c r="I688">
        <v>-0.83</v>
      </c>
      <c r="J688" t="s">
        <v>15</v>
      </c>
      <c r="K688" s="3">
        <v>45878</v>
      </c>
      <c r="M688" t="s">
        <v>912</v>
      </c>
      <c r="N688" s="2">
        <v>46023</v>
      </c>
      <c r="O688">
        <v>68459189</v>
      </c>
      <c r="P688">
        <v>26</v>
      </c>
      <c r="Q688" s="3">
        <v>46053</v>
      </c>
      <c r="R688">
        <v>271</v>
      </c>
      <c r="T688" t="s">
        <v>913</v>
      </c>
      <c r="U688">
        <v>0</v>
      </c>
      <c r="Y688" s="27">
        <f t="shared" si="39"/>
        <v>-0.83</v>
      </c>
      <c r="Z688" t="s">
        <v>894</v>
      </c>
    </row>
    <row r="689" spans="1:26" hidden="1" x14ac:dyDescent="0.35">
      <c r="A689" t="s">
        <v>910</v>
      </c>
      <c r="B689" t="s">
        <v>910</v>
      </c>
      <c r="C689" t="s">
        <v>438</v>
      </c>
      <c r="D689" s="4">
        <v>256779415012</v>
      </c>
      <c r="E689" s="3">
        <v>45842</v>
      </c>
      <c r="F689" t="s">
        <v>11</v>
      </c>
      <c r="G689" t="s">
        <v>911</v>
      </c>
      <c r="H689" t="s">
        <v>911</v>
      </c>
      <c r="I689">
        <v>-313.75</v>
      </c>
      <c r="J689" t="s">
        <v>15</v>
      </c>
      <c r="K689" s="3">
        <v>45872</v>
      </c>
      <c r="M689" t="s">
        <v>912</v>
      </c>
      <c r="N689" s="2">
        <v>46023</v>
      </c>
      <c r="O689">
        <v>68459189</v>
      </c>
      <c r="P689">
        <v>28</v>
      </c>
      <c r="Q689" s="3">
        <v>46053</v>
      </c>
      <c r="R689">
        <v>271</v>
      </c>
      <c r="T689" t="s">
        <v>913</v>
      </c>
      <c r="U689">
        <v>0</v>
      </c>
      <c r="Y689" s="27">
        <f t="shared" si="39"/>
        <v>-313.75</v>
      </c>
      <c r="Z689" t="s">
        <v>894</v>
      </c>
    </row>
    <row r="690" spans="1:26" hidden="1" x14ac:dyDescent="0.35">
      <c r="A690" t="s">
        <v>910</v>
      </c>
      <c r="B690" t="s">
        <v>910</v>
      </c>
      <c r="C690" t="s">
        <v>438</v>
      </c>
      <c r="D690" s="4">
        <v>256779415261</v>
      </c>
      <c r="E690" s="3">
        <v>45842</v>
      </c>
      <c r="F690" t="s">
        <v>11</v>
      </c>
      <c r="G690" t="s">
        <v>911</v>
      </c>
      <c r="H690" t="s">
        <v>911</v>
      </c>
      <c r="I690">
        <v>-498.35</v>
      </c>
      <c r="J690" t="s">
        <v>15</v>
      </c>
      <c r="K690" s="3">
        <v>45872</v>
      </c>
      <c r="M690" t="s">
        <v>912</v>
      </c>
      <c r="N690" s="2">
        <v>46023</v>
      </c>
      <c r="O690">
        <v>68459189</v>
      </c>
      <c r="P690">
        <v>30</v>
      </c>
      <c r="Q690" s="3">
        <v>46053</v>
      </c>
      <c r="R690">
        <v>271</v>
      </c>
      <c r="T690" t="s">
        <v>913</v>
      </c>
      <c r="U690">
        <v>0</v>
      </c>
      <c r="Y690" s="27">
        <f t="shared" si="39"/>
        <v>-498.35</v>
      </c>
      <c r="Z690" t="s">
        <v>894</v>
      </c>
    </row>
    <row r="691" spans="1:26" hidden="1" x14ac:dyDescent="0.35">
      <c r="A691" t="s">
        <v>910</v>
      </c>
      <c r="B691" t="s">
        <v>910</v>
      </c>
      <c r="C691" t="s">
        <v>438</v>
      </c>
      <c r="D691" s="4">
        <v>256779416255</v>
      </c>
      <c r="E691" s="3">
        <v>45877</v>
      </c>
      <c r="F691" t="s">
        <v>11</v>
      </c>
      <c r="G691" t="s">
        <v>911</v>
      </c>
      <c r="H691" t="s">
        <v>911</v>
      </c>
      <c r="I691">
        <v>-668.43</v>
      </c>
      <c r="J691" t="s">
        <v>15</v>
      </c>
      <c r="K691" s="3">
        <v>45907</v>
      </c>
      <c r="M691" t="s">
        <v>912</v>
      </c>
      <c r="N691" s="2">
        <v>46023</v>
      </c>
      <c r="O691">
        <v>68459189</v>
      </c>
      <c r="P691">
        <v>32</v>
      </c>
      <c r="Q691" s="3">
        <v>46053</v>
      </c>
      <c r="R691">
        <v>271</v>
      </c>
      <c r="T691" t="s">
        <v>913</v>
      </c>
      <c r="U691">
        <v>0</v>
      </c>
      <c r="Y691" s="27">
        <f t="shared" si="39"/>
        <v>-668.43</v>
      </c>
      <c r="Z691" t="s">
        <v>894</v>
      </c>
    </row>
    <row r="692" spans="1:26" hidden="1" x14ac:dyDescent="0.35">
      <c r="A692" t="s">
        <v>910</v>
      </c>
      <c r="B692" t="s">
        <v>910</v>
      </c>
      <c r="C692" t="s">
        <v>438</v>
      </c>
      <c r="D692" s="4">
        <v>256779416169</v>
      </c>
      <c r="E692" s="3">
        <v>45877</v>
      </c>
      <c r="F692" t="s">
        <v>11</v>
      </c>
      <c r="G692" t="s">
        <v>911</v>
      </c>
      <c r="H692" t="s">
        <v>911</v>
      </c>
      <c r="I692">
        <v>-438.24</v>
      </c>
      <c r="J692" t="s">
        <v>15</v>
      </c>
      <c r="K692" s="3">
        <v>45907</v>
      </c>
      <c r="M692" t="s">
        <v>912</v>
      </c>
      <c r="N692" s="2">
        <v>46023</v>
      </c>
      <c r="O692">
        <v>68459189</v>
      </c>
      <c r="P692">
        <v>34</v>
      </c>
      <c r="Q692" s="3">
        <v>46053</v>
      </c>
      <c r="R692">
        <v>271</v>
      </c>
      <c r="T692" t="s">
        <v>913</v>
      </c>
      <c r="U692">
        <v>0</v>
      </c>
      <c r="Y692" s="27">
        <f t="shared" si="39"/>
        <v>-438.24</v>
      </c>
      <c r="Z692" t="s">
        <v>894</v>
      </c>
    </row>
    <row r="693" spans="1:26" hidden="1" x14ac:dyDescent="0.35">
      <c r="A693" t="s">
        <v>910</v>
      </c>
      <c r="B693" t="s">
        <v>910</v>
      </c>
      <c r="C693" t="s">
        <v>438</v>
      </c>
      <c r="D693" s="4">
        <v>256779416442</v>
      </c>
      <c r="E693" s="3">
        <v>45877</v>
      </c>
      <c r="F693" t="s">
        <v>11</v>
      </c>
      <c r="G693" t="s">
        <v>911</v>
      </c>
      <c r="H693" t="s">
        <v>911</v>
      </c>
      <c r="I693" s="27">
        <v>-1795.56</v>
      </c>
      <c r="J693" t="s">
        <v>15</v>
      </c>
      <c r="K693" s="3">
        <v>45907</v>
      </c>
      <c r="M693" t="s">
        <v>912</v>
      </c>
      <c r="N693" s="2">
        <v>46023</v>
      </c>
      <c r="O693">
        <v>68459189</v>
      </c>
      <c r="P693">
        <v>36</v>
      </c>
      <c r="Q693" s="3">
        <v>46053</v>
      </c>
      <c r="R693">
        <v>271</v>
      </c>
      <c r="T693" t="s">
        <v>913</v>
      </c>
      <c r="U693">
        <v>0</v>
      </c>
      <c r="Y693" s="27">
        <f t="shared" si="39"/>
        <v>-1795.56</v>
      </c>
      <c r="Z693" t="s">
        <v>894</v>
      </c>
    </row>
    <row r="694" spans="1:26" hidden="1" x14ac:dyDescent="0.35">
      <c r="A694" t="s">
        <v>910</v>
      </c>
      <c r="B694" t="s">
        <v>910</v>
      </c>
      <c r="C694" t="s">
        <v>438</v>
      </c>
      <c r="D694" s="4">
        <v>256779416214</v>
      </c>
      <c r="E694" s="3">
        <v>45877</v>
      </c>
      <c r="F694" t="s">
        <v>11</v>
      </c>
      <c r="G694" t="s">
        <v>911</v>
      </c>
      <c r="H694" t="s">
        <v>911</v>
      </c>
      <c r="I694">
        <v>-361.5</v>
      </c>
      <c r="J694" t="s">
        <v>15</v>
      </c>
      <c r="K694" s="3">
        <v>45907</v>
      </c>
      <c r="M694" t="s">
        <v>912</v>
      </c>
      <c r="N694" s="2">
        <v>46023</v>
      </c>
      <c r="O694">
        <v>68459189</v>
      </c>
      <c r="P694">
        <v>38</v>
      </c>
      <c r="Q694" s="3">
        <v>46053</v>
      </c>
      <c r="R694">
        <v>271</v>
      </c>
      <c r="T694" t="s">
        <v>913</v>
      </c>
      <c r="U694">
        <v>0</v>
      </c>
      <c r="Y694" s="27">
        <f t="shared" si="39"/>
        <v>-361.5</v>
      </c>
      <c r="Z694" t="s">
        <v>894</v>
      </c>
    </row>
    <row r="695" spans="1:26" hidden="1" x14ac:dyDescent="0.35">
      <c r="A695" t="s">
        <v>910</v>
      </c>
      <c r="B695" t="s">
        <v>910</v>
      </c>
      <c r="C695" t="s">
        <v>438</v>
      </c>
      <c r="D695" s="4">
        <v>256779416454</v>
      </c>
      <c r="E695" s="3">
        <v>45877</v>
      </c>
      <c r="F695" t="s">
        <v>11</v>
      </c>
      <c r="G695" t="s">
        <v>911</v>
      </c>
      <c r="H695" t="s">
        <v>911</v>
      </c>
      <c r="I695">
        <v>-700.83</v>
      </c>
      <c r="J695" t="s">
        <v>15</v>
      </c>
      <c r="K695" s="3">
        <v>45907</v>
      </c>
      <c r="M695" t="s">
        <v>912</v>
      </c>
      <c r="N695" s="2">
        <v>46023</v>
      </c>
      <c r="O695">
        <v>68459189</v>
      </c>
      <c r="P695">
        <v>40</v>
      </c>
      <c r="Q695" s="3">
        <v>46053</v>
      </c>
      <c r="R695">
        <v>271</v>
      </c>
      <c r="T695" t="s">
        <v>913</v>
      </c>
      <c r="U695">
        <v>0</v>
      </c>
      <c r="Y695" s="27">
        <f t="shared" si="39"/>
        <v>-700.83</v>
      </c>
      <c r="Z695" t="s">
        <v>894</v>
      </c>
    </row>
    <row r="696" spans="1:26" hidden="1" x14ac:dyDescent="0.35">
      <c r="A696" t="s">
        <v>910</v>
      </c>
      <c r="B696" t="s">
        <v>910</v>
      </c>
      <c r="C696" t="s">
        <v>438</v>
      </c>
      <c r="D696" s="4">
        <v>256779417350</v>
      </c>
      <c r="E696" s="3">
        <v>45904</v>
      </c>
      <c r="F696" t="s">
        <v>11</v>
      </c>
      <c r="G696" t="s">
        <v>911</v>
      </c>
      <c r="H696" t="s">
        <v>911</v>
      </c>
      <c r="I696">
        <v>-85.26</v>
      </c>
      <c r="J696" t="s">
        <v>15</v>
      </c>
      <c r="K696" s="3">
        <v>45934</v>
      </c>
      <c r="M696" t="s">
        <v>912</v>
      </c>
      <c r="N696" s="2">
        <v>46023</v>
      </c>
      <c r="O696">
        <v>68459189</v>
      </c>
      <c r="P696">
        <v>42</v>
      </c>
      <c r="Q696" s="3">
        <v>46053</v>
      </c>
      <c r="R696">
        <v>271</v>
      </c>
      <c r="T696" t="s">
        <v>913</v>
      </c>
      <c r="U696">
        <v>0</v>
      </c>
      <c r="Y696" s="27">
        <f t="shared" si="39"/>
        <v>-85.26</v>
      </c>
      <c r="Z696" t="s">
        <v>894</v>
      </c>
    </row>
    <row r="697" spans="1:26" hidden="1" x14ac:dyDescent="0.35">
      <c r="A697" t="s">
        <v>910</v>
      </c>
      <c r="B697" t="s">
        <v>910</v>
      </c>
      <c r="C697" t="s">
        <v>438</v>
      </c>
      <c r="D697" s="4">
        <v>256779416137</v>
      </c>
      <c r="E697" s="3">
        <v>45877</v>
      </c>
      <c r="F697" t="s">
        <v>11</v>
      </c>
      <c r="G697" t="s">
        <v>911</v>
      </c>
      <c r="H697" t="s">
        <v>911</v>
      </c>
      <c r="I697">
        <v>-93.79</v>
      </c>
      <c r="J697" t="s">
        <v>15</v>
      </c>
      <c r="K697" s="3">
        <v>45907</v>
      </c>
      <c r="M697" t="s">
        <v>912</v>
      </c>
      <c r="N697" s="2">
        <v>46023</v>
      </c>
      <c r="O697">
        <v>68459189</v>
      </c>
      <c r="P697">
        <v>44</v>
      </c>
      <c r="Q697" s="3">
        <v>46053</v>
      </c>
      <c r="R697">
        <v>271</v>
      </c>
      <c r="T697" t="s">
        <v>913</v>
      </c>
      <c r="U697">
        <v>0</v>
      </c>
      <c r="Y697" s="27">
        <f t="shared" si="39"/>
        <v>-93.79</v>
      </c>
      <c r="Z697" t="s">
        <v>894</v>
      </c>
    </row>
    <row r="698" spans="1:26" hidden="1" x14ac:dyDescent="0.35">
      <c r="A698" t="s">
        <v>910</v>
      </c>
      <c r="B698" t="s">
        <v>910</v>
      </c>
      <c r="C698" t="s">
        <v>438</v>
      </c>
      <c r="D698" s="4">
        <v>256779411466</v>
      </c>
      <c r="E698" s="3">
        <v>45762</v>
      </c>
      <c r="F698" t="s">
        <v>11</v>
      </c>
      <c r="G698" t="s">
        <v>911</v>
      </c>
      <c r="H698" t="s">
        <v>911</v>
      </c>
      <c r="I698">
        <v>-60.36</v>
      </c>
      <c r="J698" t="s">
        <v>15</v>
      </c>
      <c r="K698" s="3">
        <v>45792</v>
      </c>
      <c r="M698" t="s">
        <v>912</v>
      </c>
      <c r="N698" s="2">
        <v>46023</v>
      </c>
      <c r="O698">
        <v>68459189</v>
      </c>
      <c r="P698">
        <v>46</v>
      </c>
      <c r="Q698" s="3">
        <v>46053</v>
      </c>
      <c r="R698">
        <v>271</v>
      </c>
      <c r="T698" t="s">
        <v>913</v>
      </c>
      <c r="U698">
        <v>0</v>
      </c>
      <c r="Y698" s="27">
        <f t="shared" si="39"/>
        <v>-60.36</v>
      </c>
      <c r="Z698" t="s">
        <v>894</v>
      </c>
    </row>
    <row r="699" spans="1:26" hidden="1" x14ac:dyDescent="0.35">
      <c r="A699" t="s">
        <v>910</v>
      </c>
      <c r="B699" t="s">
        <v>910</v>
      </c>
      <c r="C699" t="s">
        <v>438</v>
      </c>
      <c r="D699" s="4">
        <v>256779411465</v>
      </c>
      <c r="E699" s="3">
        <v>45762</v>
      </c>
      <c r="F699" t="s">
        <v>11</v>
      </c>
      <c r="G699" t="s">
        <v>911</v>
      </c>
      <c r="H699" t="s">
        <v>911</v>
      </c>
      <c r="I699">
        <v>-55.33</v>
      </c>
      <c r="J699" t="s">
        <v>15</v>
      </c>
      <c r="K699" s="3">
        <v>45792</v>
      </c>
      <c r="M699" t="s">
        <v>912</v>
      </c>
      <c r="N699" s="2">
        <v>46023</v>
      </c>
      <c r="O699">
        <v>68459189</v>
      </c>
      <c r="P699">
        <v>48</v>
      </c>
      <c r="Q699" s="3">
        <v>46053</v>
      </c>
      <c r="R699">
        <v>271</v>
      </c>
      <c r="T699" t="s">
        <v>913</v>
      </c>
      <c r="U699">
        <v>0</v>
      </c>
      <c r="Y699" s="27">
        <f t="shared" si="39"/>
        <v>-55.33</v>
      </c>
      <c r="Z699" t="s">
        <v>894</v>
      </c>
    </row>
    <row r="700" spans="1:26" hidden="1" x14ac:dyDescent="0.35">
      <c r="A700" t="s">
        <v>910</v>
      </c>
      <c r="B700" t="s">
        <v>910</v>
      </c>
      <c r="C700" t="s">
        <v>438</v>
      </c>
      <c r="D700" s="4">
        <v>256779411463</v>
      </c>
      <c r="E700" s="3">
        <v>45762</v>
      </c>
      <c r="F700" t="s">
        <v>11</v>
      </c>
      <c r="G700" t="s">
        <v>911</v>
      </c>
      <c r="H700" t="s">
        <v>911</v>
      </c>
      <c r="I700">
        <v>-40.25</v>
      </c>
      <c r="J700" t="s">
        <v>15</v>
      </c>
      <c r="K700" s="3">
        <v>45792</v>
      </c>
      <c r="M700" t="s">
        <v>912</v>
      </c>
      <c r="N700" s="2">
        <v>46023</v>
      </c>
      <c r="O700">
        <v>68459189</v>
      </c>
      <c r="P700">
        <v>50</v>
      </c>
      <c r="Q700" s="3">
        <v>46053</v>
      </c>
      <c r="R700">
        <v>271</v>
      </c>
      <c r="T700" t="s">
        <v>913</v>
      </c>
      <c r="U700">
        <v>0</v>
      </c>
      <c r="Y700" s="27">
        <f t="shared" si="39"/>
        <v>-40.25</v>
      </c>
      <c r="Z700" t="s">
        <v>894</v>
      </c>
    </row>
    <row r="701" spans="1:26" hidden="1" x14ac:dyDescent="0.35">
      <c r="A701" t="s">
        <v>910</v>
      </c>
      <c r="B701" t="s">
        <v>910</v>
      </c>
      <c r="C701" t="s">
        <v>438</v>
      </c>
      <c r="D701" s="4">
        <v>246779410665</v>
      </c>
      <c r="E701" s="3">
        <v>45720</v>
      </c>
      <c r="F701" t="s">
        <v>11</v>
      </c>
      <c r="G701" t="s">
        <v>911</v>
      </c>
      <c r="H701" t="s">
        <v>911</v>
      </c>
      <c r="I701">
        <v>-6.04</v>
      </c>
      <c r="J701" t="s">
        <v>15</v>
      </c>
      <c r="K701" s="3">
        <v>45750</v>
      </c>
      <c r="M701" t="s">
        <v>912</v>
      </c>
      <c r="N701" s="2">
        <v>46023</v>
      </c>
      <c r="O701">
        <v>68459189</v>
      </c>
      <c r="P701">
        <v>52</v>
      </c>
      <c r="Q701" s="3">
        <v>46053</v>
      </c>
      <c r="R701">
        <v>271</v>
      </c>
      <c r="T701" t="s">
        <v>913</v>
      </c>
      <c r="U701">
        <v>0</v>
      </c>
      <c r="Y701" s="27">
        <f t="shared" si="39"/>
        <v>-6.04</v>
      </c>
      <c r="Z701" t="s">
        <v>894</v>
      </c>
    </row>
    <row r="702" spans="1:26" hidden="1" x14ac:dyDescent="0.35">
      <c r="A702" t="s">
        <v>910</v>
      </c>
      <c r="B702" t="s">
        <v>910</v>
      </c>
      <c r="C702" t="s">
        <v>438</v>
      </c>
      <c r="D702" s="4">
        <v>256779415321</v>
      </c>
      <c r="E702" s="3">
        <v>45848</v>
      </c>
      <c r="F702" t="s">
        <v>11</v>
      </c>
      <c r="G702" t="s">
        <v>911</v>
      </c>
      <c r="H702" t="s">
        <v>911</v>
      </c>
      <c r="I702">
        <v>-658.22</v>
      </c>
      <c r="J702" t="s">
        <v>15</v>
      </c>
      <c r="K702" s="3">
        <v>45878</v>
      </c>
      <c r="M702" t="s">
        <v>912</v>
      </c>
      <c r="N702" s="2">
        <v>46023</v>
      </c>
      <c r="O702">
        <v>68459189</v>
      </c>
      <c r="P702">
        <v>54</v>
      </c>
      <c r="Q702" s="3">
        <v>46053</v>
      </c>
      <c r="R702">
        <v>271</v>
      </c>
      <c r="T702" t="s">
        <v>913</v>
      </c>
      <c r="U702">
        <v>0</v>
      </c>
      <c r="Y702" s="27">
        <f t="shared" si="39"/>
        <v>-658.22</v>
      </c>
      <c r="Z702" t="s">
        <v>894</v>
      </c>
    </row>
    <row r="703" spans="1:26" hidden="1" x14ac:dyDescent="0.35">
      <c r="A703" t="s">
        <v>910</v>
      </c>
      <c r="B703" t="s">
        <v>910</v>
      </c>
      <c r="C703" t="s">
        <v>438</v>
      </c>
      <c r="D703" s="4">
        <v>256779418778</v>
      </c>
      <c r="E703" s="3">
        <v>45966</v>
      </c>
      <c r="F703" t="s">
        <v>11</v>
      </c>
      <c r="G703" t="s">
        <v>911</v>
      </c>
      <c r="H703" t="s">
        <v>911</v>
      </c>
      <c r="I703">
        <v>-300.95999999999998</v>
      </c>
      <c r="J703" t="s">
        <v>15</v>
      </c>
      <c r="K703" s="3">
        <v>45996</v>
      </c>
      <c r="M703" t="s">
        <v>912</v>
      </c>
      <c r="N703" s="2">
        <v>46023</v>
      </c>
      <c r="O703">
        <v>68459189</v>
      </c>
      <c r="P703">
        <v>56</v>
      </c>
      <c r="Q703" s="3">
        <v>46053</v>
      </c>
      <c r="R703">
        <v>271</v>
      </c>
      <c r="T703" t="s">
        <v>913</v>
      </c>
      <c r="U703">
        <v>0</v>
      </c>
      <c r="Y703" s="27">
        <f t="shared" ref="Y703:Y751" si="40">I703+X703</f>
        <v>-300.95999999999998</v>
      </c>
      <c r="Z703" t="s">
        <v>894</v>
      </c>
    </row>
    <row r="704" spans="1:26" hidden="1" x14ac:dyDescent="0.35">
      <c r="A704" t="s">
        <v>910</v>
      </c>
      <c r="B704" t="s">
        <v>910</v>
      </c>
      <c r="C704" t="s">
        <v>438</v>
      </c>
      <c r="D704" s="4">
        <v>256779414358</v>
      </c>
      <c r="E704" s="3">
        <v>45818</v>
      </c>
      <c r="F704" t="s">
        <v>11</v>
      </c>
      <c r="G704" t="s">
        <v>911</v>
      </c>
      <c r="H704" t="s">
        <v>911</v>
      </c>
      <c r="I704" s="27">
        <v>-15054.92</v>
      </c>
      <c r="J704" t="s">
        <v>15</v>
      </c>
      <c r="K704" s="3">
        <v>45848</v>
      </c>
      <c r="M704" t="s">
        <v>912</v>
      </c>
      <c r="N704" s="2">
        <v>46023</v>
      </c>
      <c r="O704">
        <v>68459189</v>
      </c>
      <c r="P704">
        <v>58</v>
      </c>
      <c r="Q704" s="3">
        <v>46053</v>
      </c>
      <c r="R704">
        <v>271</v>
      </c>
      <c r="T704" t="s">
        <v>913</v>
      </c>
      <c r="U704">
        <v>0</v>
      </c>
      <c r="Y704" s="27">
        <f t="shared" si="40"/>
        <v>-15054.92</v>
      </c>
      <c r="Z704" t="s">
        <v>894</v>
      </c>
    </row>
    <row r="705" spans="1:26" hidden="1" x14ac:dyDescent="0.35">
      <c r="A705" t="s">
        <v>910</v>
      </c>
      <c r="B705" t="s">
        <v>910</v>
      </c>
      <c r="C705" t="s">
        <v>438</v>
      </c>
      <c r="D705" s="4">
        <v>256779414359</v>
      </c>
      <c r="E705" s="3">
        <v>45818</v>
      </c>
      <c r="F705" t="s">
        <v>11</v>
      </c>
      <c r="G705" t="s">
        <v>911</v>
      </c>
      <c r="H705" t="s">
        <v>911</v>
      </c>
      <c r="I705">
        <v>-602.22</v>
      </c>
      <c r="J705" t="s">
        <v>15</v>
      </c>
      <c r="K705" s="3">
        <v>45848</v>
      </c>
      <c r="M705" t="s">
        <v>912</v>
      </c>
      <c r="N705" s="2">
        <v>46023</v>
      </c>
      <c r="O705">
        <v>68459189</v>
      </c>
      <c r="P705">
        <v>60</v>
      </c>
      <c r="Q705" s="3">
        <v>46053</v>
      </c>
      <c r="R705">
        <v>271</v>
      </c>
      <c r="T705" t="s">
        <v>913</v>
      </c>
      <c r="U705">
        <v>0</v>
      </c>
      <c r="Y705" s="27">
        <f t="shared" si="40"/>
        <v>-602.22</v>
      </c>
      <c r="Z705" t="s">
        <v>894</v>
      </c>
    </row>
    <row r="706" spans="1:26" hidden="1" x14ac:dyDescent="0.35">
      <c r="A706" t="s">
        <v>910</v>
      </c>
      <c r="B706" t="s">
        <v>910</v>
      </c>
      <c r="C706" t="s">
        <v>438</v>
      </c>
      <c r="D706" s="4">
        <v>256779414918</v>
      </c>
      <c r="E706" s="3">
        <v>45842</v>
      </c>
      <c r="F706" t="s">
        <v>11</v>
      </c>
      <c r="G706" t="s">
        <v>911</v>
      </c>
      <c r="H706" t="s">
        <v>911</v>
      </c>
      <c r="I706">
        <v>-282.85000000000002</v>
      </c>
      <c r="J706" t="s">
        <v>15</v>
      </c>
      <c r="K706" s="3">
        <v>45872</v>
      </c>
      <c r="M706" t="s">
        <v>912</v>
      </c>
      <c r="N706" s="2">
        <v>46023</v>
      </c>
      <c r="O706">
        <v>68459189</v>
      </c>
      <c r="P706">
        <v>62</v>
      </c>
      <c r="Q706" s="3">
        <v>46053</v>
      </c>
      <c r="R706">
        <v>271</v>
      </c>
      <c r="T706" t="s">
        <v>913</v>
      </c>
      <c r="U706">
        <v>0</v>
      </c>
      <c r="Y706" s="27">
        <f t="shared" si="40"/>
        <v>-282.85000000000002</v>
      </c>
      <c r="Z706" t="s">
        <v>894</v>
      </c>
    </row>
    <row r="707" spans="1:26" hidden="1" x14ac:dyDescent="0.35">
      <c r="A707" t="s">
        <v>910</v>
      </c>
      <c r="B707" t="s">
        <v>910</v>
      </c>
      <c r="C707" t="s">
        <v>438</v>
      </c>
      <c r="D707" s="4">
        <v>256779414917</v>
      </c>
      <c r="E707" s="3">
        <v>45842</v>
      </c>
      <c r="F707" t="s">
        <v>11</v>
      </c>
      <c r="G707" t="s">
        <v>911</v>
      </c>
      <c r="H707" t="s">
        <v>911</v>
      </c>
      <c r="I707">
        <v>-514.26</v>
      </c>
      <c r="J707" t="s">
        <v>15</v>
      </c>
      <c r="K707" s="3">
        <v>45872</v>
      </c>
      <c r="M707" t="s">
        <v>912</v>
      </c>
      <c r="N707" s="2">
        <v>46023</v>
      </c>
      <c r="O707">
        <v>68459189</v>
      </c>
      <c r="P707">
        <v>64</v>
      </c>
      <c r="Q707" s="3">
        <v>46053</v>
      </c>
      <c r="R707">
        <v>271</v>
      </c>
      <c r="T707" t="s">
        <v>913</v>
      </c>
      <c r="U707">
        <v>0</v>
      </c>
      <c r="Y707" s="27">
        <f t="shared" si="40"/>
        <v>-514.26</v>
      </c>
      <c r="Z707" t="s">
        <v>894</v>
      </c>
    </row>
    <row r="708" spans="1:26" hidden="1" x14ac:dyDescent="0.35">
      <c r="A708" t="s">
        <v>910</v>
      </c>
      <c r="B708" t="s">
        <v>910</v>
      </c>
      <c r="C708" t="s">
        <v>438</v>
      </c>
      <c r="D708" s="4">
        <v>256779414360</v>
      </c>
      <c r="E708" s="3">
        <v>45818</v>
      </c>
      <c r="F708" t="s">
        <v>11</v>
      </c>
      <c r="G708" t="s">
        <v>911</v>
      </c>
      <c r="H708" t="s">
        <v>911</v>
      </c>
      <c r="I708">
        <v>-331.22</v>
      </c>
      <c r="J708" t="s">
        <v>15</v>
      </c>
      <c r="K708" s="3">
        <v>45848</v>
      </c>
      <c r="M708" t="s">
        <v>912</v>
      </c>
      <c r="N708" s="2">
        <v>46023</v>
      </c>
      <c r="O708">
        <v>68459189</v>
      </c>
      <c r="P708">
        <v>66</v>
      </c>
      <c r="Q708" s="3">
        <v>46053</v>
      </c>
      <c r="R708">
        <v>271</v>
      </c>
      <c r="T708" t="s">
        <v>913</v>
      </c>
      <c r="U708">
        <v>0</v>
      </c>
      <c r="Y708" s="27">
        <f t="shared" si="40"/>
        <v>-331.22</v>
      </c>
      <c r="Z708" t="s">
        <v>894</v>
      </c>
    </row>
    <row r="709" spans="1:26" hidden="1" x14ac:dyDescent="0.35">
      <c r="A709" t="s">
        <v>910</v>
      </c>
      <c r="B709" t="s">
        <v>910</v>
      </c>
      <c r="C709" t="s">
        <v>438</v>
      </c>
      <c r="D709" s="4">
        <v>256779414916</v>
      </c>
      <c r="E709" s="3">
        <v>45842</v>
      </c>
      <c r="F709" t="s">
        <v>11</v>
      </c>
      <c r="G709" t="s">
        <v>911</v>
      </c>
      <c r="H709" t="s">
        <v>911</v>
      </c>
      <c r="I709" s="27">
        <v>-12856.62</v>
      </c>
      <c r="J709" t="s">
        <v>15</v>
      </c>
      <c r="K709" s="3">
        <v>45872</v>
      </c>
      <c r="M709" t="s">
        <v>912</v>
      </c>
      <c r="N709" s="2">
        <v>46023</v>
      </c>
      <c r="O709">
        <v>68459189</v>
      </c>
      <c r="P709">
        <v>68</v>
      </c>
      <c r="Q709" s="3">
        <v>46053</v>
      </c>
      <c r="R709">
        <v>271</v>
      </c>
      <c r="T709" t="s">
        <v>913</v>
      </c>
      <c r="U709">
        <v>0</v>
      </c>
      <c r="Y709" s="27">
        <f t="shared" si="40"/>
        <v>-12856.62</v>
      </c>
      <c r="Z709" t="s">
        <v>894</v>
      </c>
    </row>
    <row r="710" spans="1:26" hidden="1" x14ac:dyDescent="0.35">
      <c r="A710" t="s">
        <v>910</v>
      </c>
      <c r="B710" t="s">
        <v>910</v>
      </c>
      <c r="C710" t="s">
        <v>438</v>
      </c>
      <c r="D710" s="4">
        <v>256779419995</v>
      </c>
      <c r="E710" s="3">
        <v>46000</v>
      </c>
      <c r="F710" t="s">
        <v>11</v>
      </c>
      <c r="G710" t="s">
        <v>911</v>
      </c>
      <c r="H710" t="s">
        <v>911</v>
      </c>
      <c r="I710">
        <v>-454.22</v>
      </c>
      <c r="J710" t="s">
        <v>15</v>
      </c>
      <c r="K710" s="3">
        <v>46030</v>
      </c>
      <c r="M710" t="s">
        <v>912</v>
      </c>
      <c r="N710" s="2">
        <v>46023</v>
      </c>
      <c r="O710">
        <v>68459189</v>
      </c>
      <c r="P710">
        <v>70</v>
      </c>
      <c r="Q710" s="3">
        <v>46053</v>
      </c>
      <c r="R710">
        <v>271</v>
      </c>
      <c r="T710" t="s">
        <v>913</v>
      </c>
      <c r="U710">
        <v>0</v>
      </c>
      <c r="Y710" s="27">
        <f t="shared" si="40"/>
        <v>-454.22</v>
      </c>
      <c r="Z710" t="s">
        <v>894</v>
      </c>
    </row>
    <row r="711" spans="1:26" hidden="1" x14ac:dyDescent="0.35">
      <c r="A711" t="s">
        <v>910</v>
      </c>
      <c r="B711" t="s">
        <v>910</v>
      </c>
      <c r="C711" t="s">
        <v>438</v>
      </c>
      <c r="D711" s="4">
        <v>256779419858</v>
      </c>
      <c r="E711" s="3">
        <v>45999</v>
      </c>
      <c r="F711" t="s">
        <v>11</v>
      </c>
      <c r="G711" t="s">
        <v>911</v>
      </c>
      <c r="H711" t="s">
        <v>911</v>
      </c>
      <c r="I711">
        <v>-290.25</v>
      </c>
      <c r="J711" t="s">
        <v>15</v>
      </c>
      <c r="K711" s="3">
        <v>46029</v>
      </c>
      <c r="M711" t="s">
        <v>912</v>
      </c>
      <c r="N711" s="2">
        <v>46023</v>
      </c>
      <c r="O711">
        <v>68459189</v>
      </c>
      <c r="P711">
        <v>72</v>
      </c>
      <c r="Q711" s="3">
        <v>46053</v>
      </c>
      <c r="R711">
        <v>271</v>
      </c>
      <c r="T711" t="s">
        <v>913</v>
      </c>
      <c r="U711">
        <v>0</v>
      </c>
      <c r="Y711" s="27">
        <f t="shared" si="40"/>
        <v>-290.25</v>
      </c>
      <c r="Z711" t="s">
        <v>894</v>
      </c>
    </row>
    <row r="712" spans="1:26" hidden="1" x14ac:dyDescent="0.35">
      <c r="A712" t="s">
        <v>910</v>
      </c>
      <c r="B712" t="s">
        <v>910</v>
      </c>
      <c r="C712" t="s">
        <v>438</v>
      </c>
      <c r="D712" s="4">
        <v>256779419858</v>
      </c>
      <c r="E712" s="3">
        <v>45999</v>
      </c>
      <c r="F712" t="s">
        <v>11</v>
      </c>
      <c r="G712" t="s">
        <v>911</v>
      </c>
      <c r="H712" t="s">
        <v>911</v>
      </c>
      <c r="I712">
        <v>-67.33</v>
      </c>
      <c r="J712" t="s">
        <v>15</v>
      </c>
      <c r="K712" s="3">
        <v>46029</v>
      </c>
      <c r="M712" t="s">
        <v>912</v>
      </c>
      <c r="N712" s="2">
        <v>46023</v>
      </c>
      <c r="O712">
        <v>68459189</v>
      </c>
      <c r="P712">
        <v>74</v>
      </c>
      <c r="Q712" s="3">
        <v>46053</v>
      </c>
      <c r="R712">
        <v>271</v>
      </c>
      <c r="T712" t="s">
        <v>913</v>
      </c>
      <c r="U712">
        <v>0</v>
      </c>
      <c r="Y712" s="27">
        <f t="shared" si="40"/>
        <v>-67.33</v>
      </c>
      <c r="Z712" t="s">
        <v>894</v>
      </c>
    </row>
    <row r="713" spans="1:26" hidden="1" x14ac:dyDescent="0.35">
      <c r="A713" t="s">
        <v>910</v>
      </c>
      <c r="B713" t="s">
        <v>910</v>
      </c>
      <c r="C713" t="s">
        <v>438</v>
      </c>
      <c r="D713" s="4">
        <v>256779419908</v>
      </c>
      <c r="E713" s="3">
        <v>45996</v>
      </c>
      <c r="F713" t="s">
        <v>11</v>
      </c>
      <c r="G713" t="s">
        <v>911</v>
      </c>
      <c r="H713" t="s">
        <v>911</v>
      </c>
      <c r="I713">
        <v>-912.18</v>
      </c>
      <c r="J713" t="s">
        <v>15</v>
      </c>
      <c r="K713" s="3">
        <v>46026</v>
      </c>
      <c r="M713" t="s">
        <v>912</v>
      </c>
      <c r="N713" s="2">
        <v>46023</v>
      </c>
      <c r="O713">
        <v>68459189</v>
      </c>
      <c r="P713">
        <v>76</v>
      </c>
      <c r="Q713" s="3">
        <v>46053</v>
      </c>
      <c r="R713">
        <v>271</v>
      </c>
      <c r="T713" t="s">
        <v>913</v>
      </c>
      <c r="U713">
        <v>0</v>
      </c>
      <c r="Y713" s="27">
        <f t="shared" si="40"/>
        <v>-912.18</v>
      </c>
      <c r="Z713" t="s">
        <v>894</v>
      </c>
    </row>
    <row r="714" spans="1:26" hidden="1" x14ac:dyDescent="0.35">
      <c r="A714" t="s">
        <v>910</v>
      </c>
      <c r="B714" t="s">
        <v>910</v>
      </c>
      <c r="C714" t="s">
        <v>438</v>
      </c>
      <c r="D714" s="4">
        <v>256779418474</v>
      </c>
      <c r="E714" s="3">
        <v>45951</v>
      </c>
      <c r="F714" t="s">
        <v>11</v>
      </c>
      <c r="G714" t="s">
        <v>911</v>
      </c>
      <c r="H714" t="s">
        <v>911</v>
      </c>
      <c r="I714" s="27">
        <v>-1591.62</v>
      </c>
      <c r="J714" t="s">
        <v>15</v>
      </c>
      <c r="K714" s="3">
        <v>45981</v>
      </c>
      <c r="M714" t="s">
        <v>912</v>
      </c>
      <c r="N714" s="2">
        <v>46023</v>
      </c>
      <c r="O714">
        <v>68459189</v>
      </c>
      <c r="P714">
        <v>78</v>
      </c>
      <c r="Q714" s="3">
        <v>46053</v>
      </c>
      <c r="R714">
        <v>271</v>
      </c>
      <c r="T714" t="s">
        <v>913</v>
      </c>
      <c r="U714">
        <v>0</v>
      </c>
      <c r="Y714" s="27">
        <f t="shared" si="40"/>
        <v>-1591.62</v>
      </c>
      <c r="Z714" t="s">
        <v>894</v>
      </c>
    </row>
    <row r="715" spans="1:26" hidden="1" x14ac:dyDescent="0.35">
      <c r="A715" t="s">
        <v>910</v>
      </c>
      <c r="B715" t="s">
        <v>910</v>
      </c>
      <c r="C715" t="s">
        <v>438</v>
      </c>
      <c r="D715" s="4">
        <v>256779418474</v>
      </c>
      <c r="E715" s="3">
        <v>45951</v>
      </c>
      <c r="F715" t="s">
        <v>11</v>
      </c>
      <c r="G715" t="s">
        <v>911</v>
      </c>
      <c r="H715" t="s">
        <v>911</v>
      </c>
      <c r="I715">
        <v>-14.27</v>
      </c>
      <c r="J715" t="s">
        <v>15</v>
      </c>
      <c r="K715" s="3">
        <v>45981</v>
      </c>
      <c r="M715" t="s">
        <v>912</v>
      </c>
      <c r="N715" s="2">
        <v>46023</v>
      </c>
      <c r="O715">
        <v>68459189</v>
      </c>
      <c r="P715">
        <v>80</v>
      </c>
      <c r="Q715" s="3">
        <v>46053</v>
      </c>
      <c r="R715">
        <v>271</v>
      </c>
      <c r="T715" t="s">
        <v>913</v>
      </c>
      <c r="U715">
        <v>0</v>
      </c>
      <c r="Y715" s="27">
        <f t="shared" si="40"/>
        <v>-14.27</v>
      </c>
      <c r="Z715" t="s">
        <v>894</v>
      </c>
    </row>
    <row r="716" spans="1:26" hidden="1" x14ac:dyDescent="0.35">
      <c r="A716" t="s">
        <v>910</v>
      </c>
      <c r="B716" t="s">
        <v>910</v>
      </c>
      <c r="C716" t="s">
        <v>438</v>
      </c>
      <c r="D716" s="4">
        <v>256779418474</v>
      </c>
      <c r="E716" s="3">
        <v>45951</v>
      </c>
      <c r="F716" t="s">
        <v>11</v>
      </c>
      <c r="G716" t="s">
        <v>911</v>
      </c>
      <c r="H716" t="s">
        <v>911</v>
      </c>
      <c r="I716">
        <v>-31.65</v>
      </c>
      <c r="J716" t="s">
        <v>15</v>
      </c>
      <c r="K716" s="3">
        <v>45981</v>
      </c>
      <c r="M716" t="s">
        <v>912</v>
      </c>
      <c r="N716" s="2">
        <v>46023</v>
      </c>
      <c r="O716">
        <v>68459189</v>
      </c>
      <c r="P716">
        <v>82</v>
      </c>
      <c r="Q716" s="3">
        <v>46053</v>
      </c>
      <c r="R716">
        <v>271</v>
      </c>
      <c r="T716" t="s">
        <v>913</v>
      </c>
      <c r="U716">
        <v>0</v>
      </c>
      <c r="Y716" s="27">
        <f t="shared" si="40"/>
        <v>-31.65</v>
      </c>
      <c r="Z716" t="s">
        <v>894</v>
      </c>
    </row>
    <row r="717" spans="1:26" hidden="1" x14ac:dyDescent="0.35">
      <c r="A717" t="s">
        <v>910</v>
      </c>
      <c r="B717" t="s">
        <v>910</v>
      </c>
      <c r="C717" t="s">
        <v>438</v>
      </c>
      <c r="D717" s="4">
        <v>256779416869</v>
      </c>
      <c r="E717" s="3">
        <v>45889</v>
      </c>
      <c r="F717" t="s">
        <v>11</v>
      </c>
      <c r="G717" t="s">
        <v>911</v>
      </c>
      <c r="H717" t="s">
        <v>911</v>
      </c>
      <c r="I717">
        <v>-568.28</v>
      </c>
      <c r="J717" t="s">
        <v>15</v>
      </c>
      <c r="K717" s="3">
        <v>45919</v>
      </c>
      <c r="M717" t="s">
        <v>912</v>
      </c>
      <c r="N717" s="2">
        <v>46023</v>
      </c>
      <c r="O717">
        <v>68459189</v>
      </c>
      <c r="P717">
        <v>84</v>
      </c>
      <c r="Q717" s="3">
        <v>46053</v>
      </c>
      <c r="R717">
        <v>271</v>
      </c>
      <c r="T717" t="s">
        <v>913</v>
      </c>
      <c r="U717">
        <v>0</v>
      </c>
      <c r="Y717" s="27">
        <f t="shared" si="40"/>
        <v>-568.28</v>
      </c>
      <c r="Z717" t="s">
        <v>894</v>
      </c>
    </row>
    <row r="718" spans="1:26" hidden="1" x14ac:dyDescent="0.35">
      <c r="A718" t="s">
        <v>910</v>
      </c>
      <c r="B718" t="s">
        <v>910</v>
      </c>
      <c r="C718" t="s">
        <v>438</v>
      </c>
      <c r="D718" s="4">
        <v>256779419971</v>
      </c>
      <c r="E718" s="3">
        <v>45995</v>
      </c>
      <c r="F718" t="s">
        <v>11</v>
      </c>
      <c r="G718" t="s">
        <v>911</v>
      </c>
      <c r="H718" t="s">
        <v>911</v>
      </c>
      <c r="I718">
        <v>-218.85</v>
      </c>
      <c r="J718" t="s">
        <v>15</v>
      </c>
      <c r="K718" s="3">
        <v>46025</v>
      </c>
      <c r="M718" t="s">
        <v>912</v>
      </c>
      <c r="N718" s="2">
        <v>46023</v>
      </c>
      <c r="O718">
        <v>68459189</v>
      </c>
      <c r="P718">
        <v>86</v>
      </c>
      <c r="Q718" s="3">
        <v>46053</v>
      </c>
      <c r="R718">
        <v>271</v>
      </c>
      <c r="T718" t="s">
        <v>913</v>
      </c>
      <c r="U718">
        <v>0</v>
      </c>
      <c r="Y718" s="27">
        <f t="shared" si="40"/>
        <v>-218.85</v>
      </c>
      <c r="Z718" t="s">
        <v>894</v>
      </c>
    </row>
    <row r="719" spans="1:26" hidden="1" x14ac:dyDescent="0.35">
      <c r="A719" t="s">
        <v>910</v>
      </c>
      <c r="B719" t="s">
        <v>910</v>
      </c>
      <c r="C719" t="s">
        <v>438</v>
      </c>
      <c r="D719" s="4">
        <v>256779416838</v>
      </c>
      <c r="E719" s="3">
        <v>45889</v>
      </c>
      <c r="F719" t="s">
        <v>11</v>
      </c>
      <c r="G719" t="s">
        <v>911</v>
      </c>
      <c r="H719" t="s">
        <v>911</v>
      </c>
      <c r="I719" s="27">
        <v>-3356.53</v>
      </c>
      <c r="J719" t="s">
        <v>15</v>
      </c>
      <c r="K719" s="3">
        <v>45919</v>
      </c>
      <c r="M719" t="s">
        <v>912</v>
      </c>
      <c r="N719" s="2">
        <v>46023</v>
      </c>
      <c r="O719">
        <v>68459189</v>
      </c>
      <c r="P719">
        <v>88</v>
      </c>
      <c r="Q719" s="3">
        <v>46053</v>
      </c>
      <c r="R719">
        <v>271</v>
      </c>
      <c r="T719" t="s">
        <v>913</v>
      </c>
      <c r="U719">
        <v>0</v>
      </c>
      <c r="Y719" s="27">
        <f t="shared" si="40"/>
        <v>-3356.53</v>
      </c>
      <c r="Z719" t="s">
        <v>894</v>
      </c>
    </row>
    <row r="720" spans="1:26" hidden="1" x14ac:dyDescent="0.35">
      <c r="A720" t="s">
        <v>910</v>
      </c>
      <c r="B720" t="s">
        <v>910</v>
      </c>
      <c r="C720" t="s">
        <v>438</v>
      </c>
      <c r="D720" s="4">
        <v>256779418653</v>
      </c>
      <c r="E720" s="3">
        <v>45950</v>
      </c>
      <c r="F720" t="s">
        <v>11</v>
      </c>
      <c r="G720" t="s">
        <v>911</v>
      </c>
      <c r="H720" t="s">
        <v>911</v>
      </c>
      <c r="I720">
        <v>-166.44</v>
      </c>
      <c r="J720" t="s">
        <v>15</v>
      </c>
      <c r="K720" s="3">
        <v>45980</v>
      </c>
      <c r="M720" t="s">
        <v>912</v>
      </c>
      <c r="N720" s="2">
        <v>46023</v>
      </c>
      <c r="O720">
        <v>68459189</v>
      </c>
      <c r="P720">
        <v>90</v>
      </c>
      <c r="Q720" s="3">
        <v>46053</v>
      </c>
      <c r="R720">
        <v>271</v>
      </c>
      <c r="T720" t="s">
        <v>913</v>
      </c>
      <c r="U720">
        <v>0</v>
      </c>
      <c r="Y720" s="27">
        <f t="shared" si="40"/>
        <v>-166.44</v>
      </c>
      <c r="Z720" t="s">
        <v>894</v>
      </c>
    </row>
    <row r="721" spans="1:28" hidden="1" x14ac:dyDescent="0.35">
      <c r="A721" t="s">
        <v>910</v>
      </c>
      <c r="B721" t="s">
        <v>910</v>
      </c>
      <c r="C721" t="s">
        <v>438</v>
      </c>
      <c r="D721" s="4">
        <v>256779418653</v>
      </c>
      <c r="E721" s="3">
        <v>45950</v>
      </c>
      <c r="F721" t="s">
        <v>11</v>
      </c>
      <c r="G721" t="s">
        <v>911</v>
      </c>
      <c r="H721" t="s">
        <v>911</v>
      </c>
      <c r="I721">
        <v>-330.56</v>
      </c>
      <c r="J721" t="s">
        <v>15</v>
      </c>
      <c r="K721" s="3">
        <v>45980</v>
      </c>
      <c r="M721" t="s">
        <v>912</v>
      </c>
      <c r="N721" s="2">
        <v>46023</v>
      </c>
      <c r="O721">
        <v>68459189</v>
      </c>
      <c r="P721">
        <v>92</v>
      </c>
      <c r="Q721" s="3">
        <v>46053</v>
      </c>
      <c r="R721">
        <v>271</v>
      </c>
      <c r="T721" t="s">
        <v>913</v>
      </c>
      <c r="U721">
        <v>0</v>
      </c>
      <c r="Y721" s="27">
        <f t="shared" si="40"/>
        <v>-330.56</v>
      </c>
      <c r="Z721" t="s">
        <v>894</v>
      </c>
    </row>
    <row r="722" spans="1:28" hidden="1" x14ac:dyDescent="0.35">
      <c r="A722" t="s">
        <v>910</v>
      </c>
      <c r="B722" t="s">
        <v>910</v>
      </c>
      <c r="C722" t="s">
        <v>438</v>
      </c>
      <c r="D722" s="4">
        <v>256779419808</v>
      </c>
      <c r="E722" s="3">
        <v>45996</v>
      </c>
      <c r="F722" t="s">
        <v>11</v>
      </c>
      <c r="G722" t="s">
        <v>911</v>
      </c>
      <c r="H722" t="s">
        <v>911</v>
      </c>
      <c r="I722">
        <v>-67.819999999999993</v>
      </c>
      <c r="J722" t="s">
        <v>15</v>
      </c>
      <c r="K722" s="3">
        <v>46026</v>
      </c>
      <c r="M722" t="s">
        <v>912</v>
      </c>
      <c r="N722" s="2">
        <v>46023</v>
      </c>
      <c r="O722">
        <v>68459189</v>
      </c>
      <c r="P722">
        <v>94</v>
      </c>
      <c r="Q722" s="3">
        <v>46053</v>
      </c>
      <c r="R722">
        <v>271</v>
      </c>
      <c r="T722" t="s">
        <v>913</v>
      </c>
      <c r="U722">
        <v>0</v>
      </c>
      <c r="Y722" s="27">
        <f t="shared" si="40"/>
        <v>-67.819999999999993</v>
      </c>
      <c r="Z722" t="s">
        <v>894</v>
      </c>
    </row>
    <row r="723" spans="1:28" hidden="1" x14ac:dyDescent="0.35">
      <c r="A723" t="s">
        <v>910</v>
      </c>
      <c r="B723" t="s">
        <v>910</v>
      </c>
      <c r="C723" t="s">
        <v>438</v>
      </c>
      <c r="D723" s="4">
        <v>256779419972</v>
      </c>
      <c r="E723" s="3">
        <v>45995</v>
      </c>
      <c r="F723" t="s">
        <v>11</v>
      </c>
      <c r="G723" t="s">
        <v>911</v>
      </c>
      <c r="H723" t="s">
        <v>911</v>
      </c>
      <c r="I723">
        <v>-120.38</v>
      </c>
      <c r="J723" t="s">
        <v>15</v>
      </c>
      <c r="K723" s="3">
        <v>46025</v>
      </c>
      <c r="M723" t="s">
        <v>912</v>
      </c>
      <c r="N723" s="2">
        <v>46023</v>
      </c>
      <c r="O723">
        <v>68459189</v>
      </c>
      <c r="P723">
        <v>96</v>
      </c>
      <c r="Q723" s="3">
        <v>46053</v>
      </c>
      <c r="R723">
        <v>271</v>
      </c>
      <c r="T723" t="s">
        <v>913</v>
      </c>
      <c r="U723">
        <v>0</v>
      </c>
      <c r="Y723" s="27">
        <f t="shared" si="40"/>
        <v>-120.38</v>
      </c>
      <c r="Z723" t="s">
        <v>894</v>
      </c>
    </row>
    <row r="724" spans="1:28" hidden="1" x14ac:dyDescent="0.35">
      <c r="A724" t="s">
        <v>910</v>
      </c>
      <c r="B724" t="s">
        <v>910</v>
      </c>
      <c r="C724" t="s">
        <v>438</v>
      </c>
      <c r="D724" s="4">
        <v>256779419983</v>
      </c>
      <c r="E724" s="3">
        <v>45997</v>
      </c>
      <c r="F724" t="s">
        <v>11</v>
      </c>
      <c r="G724" t="s">
        <v>911</v>
      </c>
      <c r="H724" t="s">
        <v>911</v>
      </c>
      <c r="I724">
        <v>-134.99</v>
      </c>
      <c r="J724" t="s">
        <v>15</v>
      </c>
      <c r="K724" s="3">
        <v>46027</v>
      </c>
      <c r="M724" t="s">
        <v>912</v>
      </c>
      <c r="N724" s="2">
        <v>46023</v>
      </c>
      <c r="O724">
        <v>68459189</v>
      </c>
      <c r="P724">
        <v>98</v>
      </c>
      <c r="Q724" s="3">
        <v>46053</v>
      </c>
      <c r="R724">
        <v>271</v>
      </c>
      <c r="T724" t="s">
        <v>913</v>
      </c>
      <c r="U724">
        <v>0</v>
      </c>
      <c r="Y724" s="27">
        <f t="shared" si="40"/>
        <v>-134.99</v>
      </c>
      <c r="Z724" t="s">
        <v>894</v>
      </c>
    </row>
    <row r="725" spans="1:28" hidden="1" x14ac:dyDescent="0.35">
      <c r="A725" t="s">
        <v>910</v>
      </c>
      <c r="B725" t="s">
        <v>910</v>
      </c>
      <c r="C725" t="s">
        <v>438</v>
      </c>
      <c r="D725" s="4">
        <v>256779419970</v>
      </c>
      <c r="E725" s="3">
        <v>45995</v>
      </c>
      <c r="F725" t="s">
        <v>11</v>
      </c>
      <c r="G725" t="s">
        <v>911</v>
      </c>
      <c r="H725" t="s">
        <v>911</v>
      </c>
      <c r="I725" s="27">
        <v>-5471.08</v>
      </c>
      <c r="J725" t="s">
        <v>15</v>
      </c>
      <c r="K725" s="3">
        <v>46025</v>
      </c>
      <c r="M725" t="s">
        <v>912</v>
      </c>
      <c r="N725" s="2">
        <v>46023</v>
      </c>
      <c r="O725">
        <v>68459189</v>
      </c>
      <c r="P725">
        <v>100</v>
      </c>
      <c r="Q725" s="3">
        <v>46053</v>
      </c>
      <c r="R725">
        <v>271</v>
      </c>
      <c r="T725" t="s">
        <v>913</v>
      </c>
      <c r="U725">
        <v>0</v>
      </c>
      <c r="Y725" s="27">
        <f t="shared" si="40"/>
        <v>-5471.08</v>
      </c>
      <c r="Z725" t="s">
        <v>894</v>
      </c>
    </row>
    <row r="726" spans="1:28" hidden="1" x14ac:dyDescent="0.35">
      <c r="A726" t="s">
        <v>910</v>
      </c>
      <c r="B726" t="s">
        <v>910</v>
      </c>
      <c r="C726" t="s">
        <v>455</v>
      </c>
      <c r="D726" s="4" t="s">
        <v>462</v>
      </c>
      <c r="E726" s="3">
        <v>45918</v>
      </c>
      <c r="F726" t="s">
        <v>11</v>
      </c>
      <c r="G726" t="s">
        <v>911</v>
      </c>
      <c r="H726" t="s">
        <v>911</v>
      </c>
      <c r="I726" s="27">
        <v>16376.07</v>
      </c>
      <c r="J726" t="s">
        <v>15</v>
      </c>
      <c r="K726" s="3">
        <v>45948</v>
      </c>
      <c r="M726" t="s">
        <v>912</v>
      </c>
      <c r="N726" s="2">
        <v>46023</v>
      </c>
      <c r="O726">
        <v>68459189</v>
      </c>
      <c r="P726">
        <v>102</v>
      </c>
      <c r="Q726" s="3">
        <v>46053</v>
      </c>
      <c r="R726">
        <v>271</v>
      </c>
      <c r="T726" t="s">
        <v>913</v>
      </c>
      <c r="U726">
        <v>0</v>
      </c>
      <c r="Y726" s="27">
        <f t="shared" si="40"/>
        <v>16376.07</v>
      </c>
      <c r="Z726" t="s">
        <v>894</v>
      </c>
    </row>
    <row r="727" spans="1:28" hidden="1" x14ac:dyDescent="0.35">
      <c r="A727" t="s">
        <v>910</v>
      </c>
      <c r="B727" t="s">
        <v>910</v>
      </c>
      <c r="C727" t="s">
        <v>438</v>
      </c>
      <c r="D727" s="4" t="s">
        <v>439</v>
      </c>
      <c r="E727" s="3">
        <v>45918</v>
      </c>
      <c r="F727" t="s">
        <v>11</v>
      </c>
      <c r="G727" t="s">
        <v>911</v>
      </c>
      <c r="H727" t="s">
        <v>911</v>
      </c>
      <c r="I727">
        <v>-718.94</v>
      </c>
      <c r="J727" t="s">
        <v>15</v>
      </c>
      <c r="K727" s="3">
        <v>45948</v>
      </c>
      <c r="M727" t="s">
        <v>912</v>
      </c>
      <c r="N727" s="2">
        <v>46023</v>
      </c>
      <c r="O727">
        <v>68459189</v>
      </c>
      <c r="P727">
        <v>104</v>
      </c>
      <c r="Q727" s="3">
        <v>46053</v>
      </c>
      <c r="R727">
        <v>271</v>
      </c>
      <c r="T727" t="s">
        <v>913</v>
      </c>
      <c r="U727">
        <v>0</v>
      </c>
      <c r="Y727" s="27">
        <f t="shared" si="40"/>
        <v>-718.94</v>
      </c>
      <c r="Z727" t="s">
        <v>894</v>
      </c>
    </row>
    <row r="728" spans="1:28" hidden="1" x14ac:dyDescent="0.35">
      <c r="A728" t="s">
        <v>910</v>
      </c>
      <c r="B728" t="s">
        <v>910</v>
      </c>
      <c r="C728" t="s">
        <v>438</v>
      </c>
      <c r="D728" s="4">
        <v>256779418357</v>
      </c>
      <c r="E728" s="3">
        <v>45935</v>
      </c>
      <c r="F728" t="s">
        <v>11</v>
      </c>
      <c r="G728">
        <v>-394.19</v>
      </c>
      <c r="H728">
        <v>7.88</v>
      </c>
      <c r="I728" s="27">
        <v>-34948.69</v>
      </c>
      <c r="J728" t="s">
        <v>42</v>
      </c>
      <c r="K728" s="3">
        <v>45965</v>
      </c>
      <c r="L728" s="3">
        <v>46066</v>
      </c>
      <c r="M728" t="s">
        <v>912</v>
      </c>
      <c r="N728" s="2">
        <v>46054</v>
      </c>
      <c r="O728">
        <v>69237255</v>
      </c>
      <c r="P728">
        <v>1</v>
      </c>
      <c r="Q728" s="3">
        <v>46066</v>
      </c>
      <c r="R728">
        <v>210</v>
      </c>
      <c r="S728" s="85">
        <v>1.55E+16</v>
      </c>
      <c r="T728" t="s">
        <v>913</v>
      </c>
      <c r="U728">
        <v>698.64</v>
      </c>
      <c r="W728" s="79">
        <f t="shared" ref="W728:W751" si="41">X728/I728</f>
        <v>-1.9990448855164527E-2</v>
      </c>
      <c r="X728">
        <f>VLOOKUP(D728,'[3]Customer TDS'!D:I,6,0)</f>
        <v>698.64</v>
      </c>
      <c r="Y728" s="27">
        <f t="shared" si="40"/>
        <v>-34250.050000000003</v>
      </c>
      <c r="Z728" t="s">
        <v>915</v>
      </c>
      <c r="AA728">
        <f>VLOOKUP(D728,'Ascendus DATA'!$F:$J,5,0)</f>
        <v>34763.919999999998</v>
      </c>
      <c r="AB728" s="27">
        <f t="shared" ref="AB728:AB751" si="42">I728+AA728</f>
        <v>-184.77000000000407</v>
      </c>
    </row>
    <row r="729" spans="1:28" hidden="1" x14ac:dyDescent="0.35">
      <c r="A729" t="s">
        <v>910</v>
      </c>
      <c r="B729" t="s">
        <v>910</v>
      </c>
      <c r="C729" t="s">
        <v>438</v>
      </c>
      <c r="D729" s="4">
        <v>256779419222</v>
      </c>
      <c r="E729" s="3">
        <v>45966</v>
      </c>
      <c r="F729" t="s">
        <v>11</v>
      </c>
      <c r="G729" s="27">
        <v>-3537</v>
      </c>
      <c r="H729">
        <v>70.739999999999995</v>
      </c>
      <c r="I729" s="27">
        <v>-312149.34000000003</v>
      </c>
      <c r="J729" t="s">
        <v>42</v>
      </c>
      <c r="K729" s="3">
        <v>45996</v>
      </c>
      <c r="L729" s="3">
        <v>46066</v>
      </c>
      <c r="M729" t="s">
        <v>912</v>
      </c>
      <c r="N729" s="2">
        <v>46054</v>
      </c>
      <c r="O729">
        <v>69237257</v>
      </c>
      <c r="P729">
        <v>1</v>
      </c>
      <c r="Q729" s="3">
        <v>46066</v>
      </c>
      <c r="R729">
        <v>210</v>
      </c>
      <c r="S729" s="85">
        <v>1.55E+16</v>
      </c>
      <c r="T729" t="s">
        <v>913</v>
      </c>
      <c r="U729">
        <v>6242.99</v>
      </c>
      <c r="W729" s="79">
        <f t="shared" si="41"/>
        <v>-2.0000010251503334E-2</v>
      </c>
      <c r="X729">
        <f>VLOOKUP(D729,'[3]Customer TDS'!D:I,6,0)</f>
        <v>6242.99</v>
      </c>
      <c r="Y729" s="27">
        <f t="shared" si="40"/>
        <v>-305906.35000000003</v>
      </c>
      <c r="Z729" t="s">
        <v>915</v>
      </c>
      <c r="AA729">
        <f>VLOOKUP(D729,'Ascendus DATA'!$F:$J,5,0)</f>
        <v>311267.99</v>
      </c>
      <c r="AB729" s="27">
        <f t="shared" si="42"/>
        <v>-881.35000000003492</v>
      </c>
    </row>
    <row r="730" spans="1:28" hidden="1" x14ac:dyDescent="0.35">
      <c r="A730" t="s">
        <v>910</v>
      </c>
      <c r="B730" t="s">
        <v>910</v>
      </c>
      <c r="C730" t="s">
        <v>438</v>
      </c>
      <c r="D730" s="4">
        <v>256779419581</v>
      </c>
      <c r="E730" s="3">
        <v>45981</v>
      </c>
      <c r="F730" t="s">
        <v>11</v>
      </c>
      <c r="G730">
        <v>-156.19999999999999</v>
      </c>
      <c r="H730">
        <v>3.12</v>
      </c>
      <c r="I730" s="27">
        <v>-13785.05</v>
      </c>
      <c r="J730" t="s">
        <v>42</v>
      </c>
      <c r="K730" s="3">
        <v>46011</v>
      </c>
      <c r="L730" s="3">
        <v>46066</v>
      </c>
      <c r="M730" t="s">
        <v>912</v>
      </c>
      <c r="N730" s="2">
        <v>46054</v>
      </c>
      <c r="O730">
        <v>69237269</v>
      </c>
      <c r="P730">
        <v>1</v>
      </c>
      <c r="Q730" s="3">
        <v>46066</v>
      </c>
      <c r="R730">
        <v>210</v>
      </c>
      <c r="S730" s="85">
        <v>1.55E+16</v>
      </c>
      <c r="T730" t="s">
        <v>913</v>
      </c>
      <c r="U730">
        <v>275.35000000000002</v>
      </c>
      <c r="W730" s="79">
        <f t="shared" si="41"/>
        <v>-1.9974537633160563E-2</v>
      </c>
      <c r="X730">
        <f>VLOOKUP(D730,'[3]Customer TDS'!D:I,6,0)</f>
        <v>275.35000000000002</v>
      </c>
      <c r="Y730" s="27">
        <f t="shared" si="40"/>
        <v>-13509.699999999999</v>
      </c>
      <c r="Z730" t="s">
        <v>915</v>
      </c>
      <c r="AA730">
        <f>VLOOKUP(D730,'Ascendus DATA'!$F:$J,5,0)</f>
        <v>13746.13</v>
      </c>
      <c r="AB730" s="27">
        <f t="shared" si="42"/>
        <v>-38.920000000000073</v>
      </c>
    </row>
    <row r="731" spans="1:28" hidden="1" x14ac:dyDescent="0.35">
      <c r="A731" t="s">
        <v>910</v>
      </c>
      <c r="B731" t="s">
        <v>910</v>
      </c>
      <c r="C731" t="s">
        <v>438</v>
      </c>
      <c r="D731" s="4">
        <v>256779418872</v>
      </c>
      <c r="E731" s="3">
        <v>45966</v>
      </c>
      <c r="F731" t="s">
        <v>11</v>
      </c>
      <c r="G731" s="27">
        <v>-5939.04</v>
      </c>
      <c r="H731">
        <v>118.78</v>
      </c>
      <c r="I731" s="27">
        <v>-524135.55</v>
      </c>
      <c r="J731" t="s">
        <v>42</v>
      </c>
      <c r="K731" s="3">
        <v>45996</v>
      </c>
      <c r="L731" s="3">
        <v>46066</v>
      </c>
      <c r="M731" t="s">
        <v>912</v>
      </c>
      <c r="N731" s="2">
        <v>46054</v>
      </c>
      <c r="O731">
        <v>69239527</v>
      </c>
      <c r="P731">
        <v>1</v>
      </c>
      <c r="Q731" s="3">
        <v>46066</v>
      </c>
      <c r="R731">
        <v>210</v>
      </c>
      <c r="S731" s="85">
        <v>1.55E+16</v>
      </c>
      <c r="T731" t="s">
        <v>913</v>
      </c>
      <c r="U731">
        <v>10482.64</v>
      </c>
      <c r="W731" s="79">
        <f t="shared" si="41"/>
        <v>-1.9999864538858315E-2</v>
      </c>
      <c r="X731">
        <f>VLOOKUP(D731,'[3]Customer TDS'!D:I,6,0)</f>
        <v>10482.64</v>
      </c>
      <c r="Y731" s="27">
        <f t="shared" si="40"/>
        <v>-513652.91</v>
      </c>
      <c r="Z731" t="s">
        <v>915</v>
      </c>
      <c r="AA731">
        <f>VLOOKUP(D731,'Ascendus DATA'!$F:$J,5,0)</f>
        <v>522655.65</v>
      </c>
      <c r="AB731" s="27">
        <f t="shared" si="42"/>
        <v>-1479.8999999999651</v>
      </c>
    </row>
    <row r="732" spans="1:28" hidden="1" x14ac:dyDescent="0.35">
      <c r="A732" t="s">
        <v>910</v>
      </c>
      <c r="B732" t="s">
        <v>910</v>
      </c>
      <c r="C732" t="s">
        <v>438</v>
      </c>
      <c r="D732" s="4">
        <v>256779416600</v>
      </c>
      <c r="E732" s="3">
        <v>45889</v>
      </c>
      <c r="F732" t="s">
        <v>11</v>
      </c>
      <c r="G732">
        <v>-737.41</v>
      </c>
      <c r="H732">
        <v>14.75</v>
      </c>
      <c r="I732" s="27">
        <v>-63882.5</v>
      </c>
      <c r="J732" t="s">
        <v>42</v>
      </c>
      <c r="K732" s="3">
        <v>45919</v>
      </c>
      <c r="L732" s="3">
        <v>46071</v>
      </c>
      <c r="M732" t="s">
        <v>912</v>
      </c>
      <c r="N732" s="2">
        <v>46054</v>
      </c>
      <c r="O732">
        <v>69414408</v>
      </c>
      <c r="P732">
        <v>1</v>
      </c>
      <c r="Q732" s="3">
        <v>46071</v>
      </c>
      <c r="R732">
        <v>210</v>
      </c>
      <c r="S732" s="85">
        <v>1.55E+16</v>
      </c>
      <c r="T732" t="s">
        <v>913</v>
      </c>
      <c r="U732">
        <v>1277.81</v>
      </c>
      <c r="W732" s="79">
        <f t="shared" si="41"/>
        <v>-2.0002504598285915E-2</v>
      </c>
      <c r="X732">
        <f>VLOOKUP(D732,'[3]Customer TDS'!D:I,6,0)</f>
        <v>1277.81</v>
      </c>
      <c r="Y732" s="27">
        <f t="shared" si="40"/>
        <v>-62604.69</v>
      </c>
      <c r="Z732" t="s">
        <v>915</v>
      </c>
      <c r="AA732">
        <f>VLOOKUP(D732,'Ascendus DATA'!$F:$J,5,0)</f>
        <v>63439.47</v>
      </c>
      <c r="AB732" s="27">
        <f t="shared" si="42"/>
        <v>-443.02999999999884</v>
      </c>
    </row>
    <row r="733" spans="1:28" hidden="1" x14ac:dyDescent="0.35">
      <c r="A733" t="s">
        <v>910</v>
      </c>
      <c r="B733" t="s">
        <v>910</v>
      </c>
      <c r="C733" t="s">
        <v>438</v>
      </c>
      <c r="D733" s="4">
        <v>256779415296</v>
      </c>
      <c r="E733" s="3">
        <v>45848</v>
      </c>
      <c r="F733" t="s">
        <v>11</v>
      </c>
      <c r="G733">
        <v>-24</v>
      </c>
      <c r="H733">
        <v>0.48</v>
      </c>
      <c r="I733" s="27">
        <v>-2123.2800000000002</v>
      </c>
      <c r="K733" s="3">
        <v>45878</v>
      </c>
      <c r="L733" s="3">
        <v>46071</v>
      </c>
      <c r="M733" t="s">
        <v>912</v>
      </c>
      <c r="N733" s="2">
        <v>46054</v>
      </c>
      <c r="O733">
        <v>69414444</v>
      </c>
      <c r="P733">
        <v>1</v>
      </c>
      <c r="Q733" s="3">
        <v>46071</v>
      </c>
      <c r="R733">
        <v>210</v>
      </c>
      <c r="S733" s="85">
        <v>1.55E+16</v>
      </c>
      <c r="T733" t="s">
        <v>913</v>
      </c>
      <c r="U733">
        <v>42.47</v>
      </c>
      <c r="W733" s="79">
        <f t="shared" si="41"/>
        <v>-2.000207226555141E-2</v>
      </c>
      <c r="X733">
        <f>VLOOKUP(D733,'[3]Customer TDS'!D:I,6,0)</f>
        <v>42.47</v>
      </c>
      <c r="Y733" s="27">
        <f t="shared" si="40"/>
        <v>-2080.8100000000004</v>
      </c>
      <c r="Z733" t="s">
        <v>915</v>
      </c>
      <c r="AA733">
        <f>VLOOKUP(D733,'Ascendus DATA'!$F:$J,5,0)</f>
        <v>2064.02</v>
      </c>
      <c r="AB733" s="27">
        <f t="shared" si="42"/>
        <v>-59.260000000000218</v>
      </c>
    </row>
    <row r="734" spans="1:28" hidden="1" x14ac:dyDescent="0.35">
      <c r="A734" t="s">
        <v>910</v>
      </c>
      <c r="B734" t="s">
        <v>910</v>
      </c>
      <c r="C734" t="s">
        <v>438</v>
      </c>
      <c r="D734" s="4">
        <v>256779418692</v>
      </c>
      <c r="E734" s="3">
        <v>45950</v>
      </c>
      <c r="F734" t="s">
        <v>11</v>
      </c>
      <c r="G734">
        <v>-531.26</v>
      </c>
      <c r="H734">
        <v>10.63</v>
      </c>
      <c r="I734" s="27">
        <v>-47101.24</v>
      </c>
      <c r="J734" t="s">
        <v>42</v>
      </c>
      <c r="K734" s="3">
        <v>45980</v>
      </c>
      <c r="L734" s="3">
        <v>46071</v>
      </c>
      <c r="M734" t="s">
        <v>912</v>
      </c>
      <c r="N734" s="2">
        <v>46054</v>
      </c>
      <c r="O734">
        <v>69414445</v>
      </c>
      <c r="P734">
        <v>1</v>
      </c>
      <c r="Q734" s="3">
        <v>46071</v>
      </c>
      <c r="R734">
        <v>210</v>
      </c>
      <c r="S734" s="85">
        <v>1.55E+16</v>
      </c>
      <c r="T734" t="s">
        <v>913</v>
      </c>
      <c r="U734">
        <v>942.45</v>
      </c>
      <c r="W734" s="79">
        <f t="shared" si="41"/>
        <v>-2.0009027363186195E-2</v>
      </c>
      <c r="X734">
        <f>VLOOKUP(D734,'[3]Customer TDS'!D:I,6,0)</f>
        <v>942.45</v>
      </c>
      <c r="Y734" s="27">
        <f t="shared" si="40"/>
        <v>-46158.79</v>
      </c>
      <c r="Z734" t="s">
        <v>915</v>
      </c>
      <c r="AA734">
        <f>VLOOKUP(D734,'Ascendus DATA'!$F:$J,5,0)</f>
        <v>46852.23</v>
      </c>
      <c r="AB734" s="27">
        <f t="shared" si="42"/>
        <v>-249.00999999999476</v>
      </c>
    </row>
    <row r="735" spans="1:28" hidden="1" x14ac:dyDescent="0.35">
      <c r="A735" t="s">
        <v>910</v>
      </c>
      <c r="B735" t="s">
        <v>910</v>
      </c>
      <c r="C735" t="s">
        <v>438</v>
      </c>
      <c r="D735" s="4">
        <v>256779417250</v>
      </c>
      <c r="E735" s="3">
        <v>45904</v>
      </c>
      <c r="F735" t="s">
        <v>11</v>
      </c>
      <c r="G735">
        <v>-50</v>
      </c>
      <c r="H735">
        <v>1</v>
      </c>
      <c r="I735" s="27">
        <v>-4382.6000000000004</v>
      </c>
      <c r="J735" t="s">
        <v>42</v>
      </c>
      <c r="K735" s="3">
        <v>45934</v>
      </c>
      <c r="L735" s="3">
        <v>46075</v>
      </c>
      <c r="M735" t="s">
        <v>912</v>
      </c>
      <c r="N735" s="2">
        <v>46054</v>
      </c>
      <c r="O735">
        <v>69540059</v>
      </c>
      <c r="P735">
        <v>1</v>
      </c>
      <c r="Q735" s="3">
        <v>46075</v>
      </c>
      <c r="R735">
        <v>210</v>
      </c>
      <c r="S735" s="85">
        <v>1.55E+16</v>
      </c>
      <c r="T735" t="s">
        <v>913</v>
      </c>
      <c r="U735">
        <v>87.65</v>
      </c>
      <c r="W735" s="79">
        <f t="shared" si="41"/>
        <v>-1.9999543649888193E-2</v>
      </c>
      <c r="X735">
        <f>VLOOKUP(D735,'[3]Customer TDS'!D:I,6,0)</f>
        <v>87.65</v>
      </c>
      <c r="Y735" s="27">
        <f t="shared" si="40"/>
        <v>-4294.9500000000007</v>
      </c>
      <c r="Z735" t="s">
        <v>915</v>
      </c>
      <c r="AA735">
        <f>VLOOKUP(D735,'Ascendus DATA'!$F:$J,5,0)</f>
        <v>4375.72</v>
      </c>
      <c r="AB735" s="27">
        <f t="shared" si="42"/>
        <v>-6.8800000000001091</v>
      </c>
    </row>
    <row r="736" spans="1:28" hidden="1" x14ac:dyDescent="0.35">
      <c r="A736" t="s">
        <v>910</v>
      </c>
      <c r="B736" t="s">
        <v>910</v>
      </c>
      <c r="C736" t="s">
        <v>438</v>
      </c>
      <c r="D736" s="4">
        <v>256779440067</v>
      </c>
      <c r="E736" s="3">
        <v>46027</v>
      </c>
      <c r="F736" t="s">
        <v>11</v>
      </c>
      <c r="G736">
        <v>-100.07</v>
      </c>
      <c r="H736">
        <v>2</v>
      </c>
      <c r="I736" s="27">
        <v>-8995.3700000000008</v>
      </c>
      <c r="K736" s="3">
        <v>46057</v>
      </c>
      <c r="L736" s="3">
        <v>46075</v>
      </c>
      <c r="M736" t="s">
        <v>912</v>
      </c>
      <c r="N736" s="2">
        <v>46054</v>
      </c>
      <c r="O736">
        <v>69540070</v>
      </c>
      <c r="P736">
        <v>1</v>
      </c>
      <c r="Q736" s="3">
        <v>46075</v>
      </c>
      <c r="R736">
        <v>210</v>
      </c>
      <c r="S736" s="85">
        <v>1.55E+16</v>
      </c>
      <c r="T736" t="s">
        <v>913</v>
      </c>
      <c r="U736">
        <v>179.78</v>
      </c>
      <c r="W736" s="79">
        <f t="shared" si="41"/>
        <v>-1.9985837158449288E-2</v>
      </c>
      <c r="X736">
        <f>VLOOKUP(D736,'[3]Customer TDS'!D:I,6,0)</f>
        <v>179.78</v>
      </c>
      <c r="Y736" s="27">
        <f t="shared" si="40"/>
        <v>-8815.59</v>
      </c>
      <c r="Z736" t="s">
        <v>915</v>
      </c>
      <c r="AA736">
        <f>VLOOKUP(D736,'Ascendus DATA'!$F:$J,5,0)</f>
        <v>9080.67</v>
      </c>
      <c r="AB736" s="27">
        <f t="shared" si="42"/>
        <v>85.299999999999272</v>
      </c>
    </row>
    <row r="737" spans="1:28" hidden="1" x14ac:dyDescent="0.35">
      <c r="A737" t="s">
        <v>910</v>
      </c>
      <c r="B737" t="s">
        <v>910</v>
      </c>
      <c r="C737" t="s">
        <v>438</v>
      </c>
      <c r="D737" s="4">
        <v>256779440116</v>
      </c>
      <c r="E737" s="3">
        <v>46027</v>
      </c>
      <c r="F737" t="s">
        <v>11</v>
      </c>
      <c r="G737">
        <v>-498.28</v>
      </c>
      <c r="H737">
        <v>9.9700000000000006</v>
      </c>
      <c r="I737" s="27">
        <v>-44790.76</v>
      </c>
      <c r="K737" s="3">
        <v>46057</v>
      </c>
      <c r="L737" s="3">
        <v>46075</v>
      </c>
      <c r="M737" t="s">
        <v>912</v>
      </c>
      <c r="N737" s="2">
        <v>46054</v>
      </c>
      <c r="O737">
        <v>69540073</v>
      </c>
      <c r="P737">
        <v>1</v>
      </c>
      <c r="Q737" s="3">
        <v>46075</v>
      </c>
      <c r="R737">
        <v>210</v>
      </c>
      <c r="S737" s="85">
        <v>1.55E+16</v>
      </c>
      <c r="T737" t="s">
        <v>913</v>
      </c>
      <c r="U737">
        <v>896.21</v>
      </c>
      <c r="W737" s="79">
        <f t="shared" si="41"/>
        <v>-2.0008814317953077E-2</v>
      </c>
      <c r="X737">
        <f>VLOOKUP(D737,'[3]Customer TDS'!D:I,6,0)</f>
        <v>896.21</v>
      </c>
      <c r="Y737" s="27">
        <f t="shared" si="40"/>
        <v>-43894.55</v>
      </c>
      <c r="Z737" t="s">
        <v>915</v>
      </c>
      <c r="AA737">
        <f>VLOOKUP(D737,'Ascendus DATA'!$F:$J,5,0)</f>
        <v>45215.49</v>
      </c>
      <c r="AB737" s="27">
        <f t="shared" si="42"/>
        <v>424.72999999999593</v>
      </c>
    </row>
    <row r="738" spans="1:28" hidden="1" x14ac:dyDescent="0.35">
      <c r="A738" t="s">
        <v>910</v>
      </c>
      <c r="B738" t="s">
        <v>910</v>
      </c>
      <c r="C738" t="s">
        <v>438</v>
      </c>
      <c r="D738" s="4">
        <v>256779440126</v>
      </c>
      <c r="E738" s="3">
        <v>46031</v>
      </c>
      <c r="F738" t="s">
        <v>11</v>
      </c>
      <c r="G738">
        <v>-122.48</v>
      </c>
      <c r="H738">
        <v>2.4500000000000002</v>
      </c>
      <c r="I738" s="27">
        <v>-11009.82</v>
      </c>
      <c r="K738" s="3">
        <v>46061</v>
      </c>
      <c r="L738" s="3">
        <v>46075</v>
      </c>
      <c r="M738" t="s">
        <v>912</v>
      </c>
      <c r="N738" s="2">
        <v>46054</v>
      </c>
      <c r="O738">
        <v>69540075</v>
      </c>
      <c r="P738">
        <v>1</v>
      </c>
      <c r="Q738" s="3">
        <v>46075</v>
      </c>
      <c r="R738">
        <v>210</v>
      </c>
      <c r="S738" s="85">
        <v>1.55E+16</v>
      </c>
      <c r="T738" t="s">
        <v>913</v>
      </c>
      <c r="U738">
        <v>220.23</v>
      </c>
      <c r="W738" s="79">
        <f t="shared" si="41"/>
        <v>-2.0003051821010698E-2</v>
      </c>
      <c r="X738">
        <f>VLOOKUP(D738,'[3]Customer TDS'!D:I,6,0)</f>
        <v>220.23</v>
      </c>
      <c r="Y738" s="27">
        <f t="shared" si="40"/>
        <v>-10789.59</v>
      </c>
      <c r="Z738" t="s">
        <v>915</v>
      </c>
      <c r="AA738">
        <f>VLOOKUP(D738,'Ascendus DATA'!$F:$J,5,0)</f>
        <v>11114.22</v>
      </c>
      <c r="AB738" s="27">
        <f t="shared" si="42"/>
        <v>104.39999999999964</v>
      </c>
    </row>
    <row r="739" spans="1:28" hidden="1" x14ac:dyDescent="0.35">
      <c r="A739" t="s">
        <v>910</v>
      </c>
      <c r="B739" t="s">
        <v>910</v>
      </c>
      <c r="C739" t="s">
        <v>438</v>
      </c>
      <c r="D739" s="4">
        <v>256779440007</v>
      </c>
      <c r="E739" s="3">
        <v>46024</v>
      </c>
      <c r="F739" t="s">
        <v>11</v>
      </c>
      <c r="G739" s="27">
        <v>-1332.49</v>
      </c>
      <c r="H739">
        <v>26.65</v>
      </c>
      <c r="I739" s="27">
        <v>-119778.52</v>
      </c>
      <c r="J739" t="s">
        <v>42</v>
      </c>
      <c r="K739" s="3">
        <v>46054</v>
      </c>
      <c r="L739" s="3">
        <v>46075</v>
      </c>
      <c r="M739" t="s">
        <v>912</v>
      </c>
      <c r="N739" s="2">
        <v>46054</v>
      </c>
      <c r="O739">
        <v>69540078</v>
      </c>
      <c r="P739">
        <v>1</v>
      </c>
      <c r="Q739" s="3">
        <v>46075</v>
      </c>
      <c r="R739">
        <v>210</v>
      </c>
      <c r="S739" s="85">
        <v>1.55E+16</v>
      </c>
      <c r="T739" t="s">
        <v>913</v>
      </c>
      <c r="U739">
        <v>2395.59</v>
      </c>
      <c r="W739" s="79">
        <f t="shared" si="41"/>
        <v>-2.0000163635349646E-2</v>
      </c>
      <c r="X739">
        <f>VLOOKUP(D739,'[3]Customer TDS'!D:I,6,0)</f>
        <v>2395.59</v>
      </c>
      <c r="Y739" s="27">
        <f t="shared" si="40"/>
        <v>-117382.93000000001</v>
      </c>
      <c r="Z739" t="s">
        <v>915</v>
      </c>
      <c r="AA739">
        <f>VLOOKUP(D739,'Ascendus DATA'!$F:$J,5,0)</f>
        <v>120914.33</v>
      </c>
      <c r="AB739" s="27">
        <f t="shared" si="42"/>
        <v>1135.8099999999977</v>
      </c>
    </row>
    <row r="740" spans="1:28" hidden="1" x14ac:dyDescent="0.35">
      <c r="A740" t="s">
        <v>910</v>
      </c>
      <c r="B740" t="s">
        <v>910</v>
      </c>
      <c r="C740" t="s">
        <v>438</v>
      </c>
      <c r="D740" s="4">
        <v>256779440208</v>
      </c>
      <c r="E740" s="3">
        <v>46028</v>
      </c>
      <c r="F740" t="s">
        <v>11</v>
      </c>
      <c r="G740">
        <v>-650.12</v>
      </c>
      <c r="H740">
        <v>13</v>
      </c>
      <c r="I740" s="27">
        <v>-58439.77</v>
      </c>
      <c r="J740" t="s">
        <v>42</v>
      </c>
      <c r="K740" s="3">
        <v>46058</v>
      </c>
      <c r="L740" s="3">
        <v>46075</v>
      </c>
      <c r="M740" t="s">
        <v>912</v>
      </c>
      <c r="N740" s="2">
        <v>46054</v>
      </c>
      <c r="O740">
        <v>69540079</v>
      </c>
      <c r="P740">
        <v>1</v>
      </c>
      <c r="Q740" s="3">
        <v>46075</v>
      </c>
      <c r="R740">
        <v>210</v>
      </c>
      <c r="S740" s="85">
        <v>1.55E+16</v>
      </c>
      <c r="T740" t="s">
        <v>913</v>
      </c>
      <c r="U740">
        <v>1168.58</v>
      </c>
      <c r="W740" s="79">
        <f t="shared" si="41"/>
        <v>-1.9996314153871583E-2</v>
      </c>
      <c r="X740">
        <f>VLOOKUP(D740,'[3]Customer TDS'!D:I,6,0)</f>
        <v>1168.58</v>
      </c>
      <c r="Y740" s="27">
        <f t="shared" si="40"/>
        <v>-57271.189999999995</v>
      </c>
      <c r="Z740" t="s">
        <v>915</v>
      </c>
      <c r="AA740">
        <f>VLOOKUP(D740,'Ascendus DATA'!$F:$J,5,0)</f>
        <v>58993.93</v>
      </c>
      <c r="AB740" s="27">
        <f t="shared" si="42"/>
        <v>554.16000000000349</v>
      </c>
    </row>
    <row r="741" spans="1:28" hidden="1" x14ac:dyDescent="0.35">
      <c r="A741" t="s">
        <v>910</v>
      </c>
      <c r="B741" t="s">
        <v>910</v>
      </c>
      <c r="C741" t="s">
        <v>438</v>
      </c>
      <c r="D741" s="4">
        <v>256779440285</v>
      </c>
      <c r="E741" s="3">
        <v>46034</v>
      </c>
      <c r="F741" t="s">
        <v>11</v>
      </c>
      <c r="G741">
        <v>-535.29</v>
      </c>
      <c r="H741">
        <v>10.71</v>
      </c>
      <c r="I741" s="27">
        <v>-48117.62</v>
      </c>
      <c r="J741" t="s">
        <v>42</v>
      </c>
      <c r="K741" s="3">
        <v>46064</v>
      </c>
      <c r="L741" s="3">
        <v>46075</v>
      </c>
      <c r="M741" t="s">
        <v>912</v>
      </c>
      <c r="N741" s="2">
        <v>46054</v>
      </c>
      <c r="O741">
        <v>69540081</v>
      </c>
      <c r="P741">
        <v>1</v>
      </c>
      <c r="Q741" s="3">
        <v>46075</v>
      </c>
      <c r="R741">
        <v>210</v>
      </c>
      <c r="S741" s="85">
        <v>1.55E+16</v>
      </c>
      <c r="T741" t="s">
        <v>913</v>
      </c>
      <c r="U741">
        <v>962.73</v>
      </c>
      <c r="W741" s="79">
        <f t="shared" si="41"/>
        <v>-2.0007847437175819E-2</v>
      </c>
      <c r="X741">
        <f>VLOOKUP(D741,'[3]Customer TDS'!D:I,6,0)</f>
        <v>962.73</v>
      </c>
      <c r="Y741" s="27">
        <f t="shared" si="40"/>
        <v>-47154.89</v>
      </c>
      <c r="Z741" t="s">
        <v>915</v>
      </c>
      <c r="AA741">
        <f>VLOOKUP(D741,'Ascendus DATA'!$F:$J,5,0)</f>
        <v>48573.9</v>
      </c>
      <c r="AB741" s="27">
        <f t="shared" si="42"/>
        <v>456.27999999999884</v>
      </c>
    </row>
    <row r="742" spans="1:28" hidden="1" x14ac:dyDescent="0.35">
      <c r="A742" t="s">
        <v>910</v>
      </c>
      <c r="B742" t="s">
        <v>910</v>
      </c>
      <c r="C742" t="s">
        <v>438</v>
      </c>
      <c r="D742" s="4">
        <v>256779440159</v>
      </c>
      <c r="E742" s="3">
        <v>46028</v>
      </c>
      <c r="F742" t="s">
        <v>11</v>
      </c>
      <c r="G742">
        <v>-160.22</v>
      </c>
      <c r="H742">
        <v>3.2</v>
      </c>
      <c r="I742" s="27">
        <v>-14402.3</v>
      </c>
      <c r="J742" t="s">
        <v>42</v>
      </c>
      <c r="K742" s="3">
        <v>46058</v>
      </c>
      <c r="L742" s="3">
        <v>46075</v>
      </c>
      <c r="M742" t="s">
        <v>912</v>
      </c>
      <c r="N742" s="2">
        <v>46054</v>
      </c>
      <c r="O742">
        <v>69540083</v>
      </c>
      <c r="P742">
        <v>1</v>
      </c>
      <c r="Q742" s="3">
        <v>46075</v>
      </c>
      <c r="R742">
        <v>210</v>
      </c>
      <c r="S742" s="85">
        <v>1.55E+16</v>
      </c>
      <c r="T742" t="s">
        <v>913</v>
      </c>
      <c r="U742">
        <v>287.64999999999998</v>
      </c>
      <c r="W742" s="79">
        <f t="shared" si="41"/>
        <v>-1.9972504391659665E-2</v>
      </c>
      <c r="X742">
        <f>VLOOKUP(D742,'[3]Customer TDS'!D:I,6,0)</f>
        <v>287.64999999999998</v>
      </c>
      <c r="Y742" s="27">
        <f t="shared" si="40"/>
        <v>-14114.65</v>
      </c>
      <c r="Z742" t="s">
        <v>915</v>
      </c>
      <c r="AA742">
        <f>VLOOKUP(D742,'Ascendus DATA'!$F:$J,5,0)</f>
        <v>14538.87</v>
      </c>
      <c r="AB742" s="27">
        <f t="shared" si="42"/>
        <v>136.57000000000153</v>
      </c>
    </row>
    <row r="743" spans="1:28" hidden="1" x14ac:dyDescent="0.35">
      <c r="A743" t="s">
        <v>910</v>
      </c>
      <c r="B743" t="s">
        <v>910</v>
      </c>
      <c r="C743" t="s">
        <v>438</v>
      </c>
      <c r="D743" s="4">
        <v>256779440238</v>
      </c>
      <c r="E743" s="3">
        <v>46028</v>
      </c>
      <c r="F743" t="s">
        <v>11</v>
      </c>
      <c r="G743" s="27">
        <v>-1083.58</v>
      </c>
      <c r="H743">
        <v>21.67</v>
      </c>
      <c r="I743" s="27">
        <v>-97403.82</v>
      </c>
      <c r="K743" s="3">
        <v>46058</v>
      </c>
      <c r="L743" s="3">
        <v>46075</v>
      </c>
      <c r="M743" t="s">
        <v>912</v>
      </c>
      <c r="N743" s="2">
        <v>46054</v>
      </c>
      <c r="O743">
        <v>69540087</v>
      </c>
      <c r="P743">
        <v>1</v>
      </c>
      <c r="Q743" s="3">
        <v>46075</v>
      </c>
      <c r="R743">
        <v>210</v>
      </c>
      <c r="S743" s="85">
        <v>1.55E+16</v>
      </c>
      <c r="T743" t="s">
        <v>913</v>
      </c>
      <c r="U743">
        <v>1947.93</v>
      </c>
      <c r="W743" s="79">
        <f t="shared" si="41"/>
        <v>-1.999849697886592E-2</v>
      </c>
      <c r="X743">
        <f>VLOOKUP(D743,'[3]Customer TDS'!D:I,6,0)</f>
        <v>1947.93</v>
      </c>
      <c r="Y743" s="27">
        <f t="shared" si="40"/>
        <v>-95455.890000000014</v>
      </c>
      <c r="Z743" t="s">
        <v>915</v>
      </c>
      <c r="AA743">
        <f>VLOOKUP(D743,'Ascendus DATA'!$F:$J,5,0)</f>
        <v>98327.45</v>
      </c>
      <c r="AB743" s="27">
        <f t="shared" si="42"/>
        <v>923.6299999999901</v>
      </c>
    </row>
    <row r="744" spans="1:28" hidden="1" x14ac:dyDescent="0.35">
      <c r="A744" t="s">
        <v>910</v>
      </c>
      <c r="B744" t="s">
        <v>910</v>
      </c>
      <c r="C744" t="s">
        <v>438</v>
      </c>
      <c r="D744" s="4">
        <v>256779440363</v>
      </c>
      <c r="E744" s="3">
        <v>46035</v>
      </c>
      <c r="F744" t="s">
        <v>11</v>
      </c>
      <c r="G744">
        <v>-937.45</v>
      </c>
      <c r="H744">
        <v>18.75</v>
      </c>
      <c r="I744" s="27">
        <v>-84268.08</v>
      </c>
      <c r="K744" s="3">
        <v>46065</v>
      </c>
      <c r="L744" s="3">
        <v>46075</v>
      </c>
      <c r="M744" t="s">
        <v>912</v>
      </c>
      <c r="N744" s="2">
        <v>46054</v>
      </c>
      <c r="O744">
        <v>69540089</v>
      </c>
      <c r="P744">
        <v>1</v>
      </c>
      <c r="Q744" s="3">
        <v>46075</v>
      </c>
      <c r="R744">
        <v>210</v>
      </c>
      <c r="S744" s="85">
        <v>1.55E+16</v>
      </c>
      <c r="T744" t="s">
        <v>913</v>
      </c>
      <c r="U744">
        <v>1685.45</v>
      </c>
      <c r="W744" s="79">
        <f t="shared" si="41"/>
        <v>-2.0001049033038371E-2</v>
      </c>
      <c r="X744">
        <f>VLOOKUP(D744,'[3]Customer TDS'!D:I,6,0)</f>
        <v>1685.45</v>
      </c>
      <c r="Y744" s="27">
        <f t="shared" si="40"/>
        <v>-82582.63</v>
      </c>
      <c r="Z744" t="s">
        <v>915</v>
      </c>
      <c r="AA744">
        <f>VLOOKUP(D744,'Ascendus DATA'!$F:$J,5,0)</f>
        <v>85067.16</v>
      </c>
      <c r="AB744" s="27">
        <f t="shared" si="42"/>
        <v>799.08000000000175</v>
      </c>
    </row>
    <row r="745" spans="1:28" hidden="1" x14ac:dyDescent="0.35">
      <c r="A745" t="s">
        <v>910</v>
      </c>
      <c r="B745" t="s">
        <v>910</v>
      </c>
      <c r="C745" t="s">
        <v>438</v>
      </c>
      <c r="D745" s="4">
        <v>256779440309</v>
      </c>
      <c r="E745" s="3">
        <v>46028</v>
      </c>
      <c r="F745" t="s">
        <v>11</v>
      </c>
      <c r="G745" s="27">
        <v>-2204.02</v>
      </c>
      <c r="H745">
        <v>44.08</v>
      </c>
      <c r="I745" s="27">
        <v>-198121.01</v>
      </c>
      <c r="J745" t="s">
        <v>42</v>
      </c>
      <c r="K745" s="3">
        <v>46058</v>
      </c>
      <c r="L745" s="3">
        <v>46075</v>
      </c>
      <c r="M745" t="s">
        <v>912</v>
      </c>
      <c r="N745" s="2">
        <v>46054</v>
      </c>
      <c r="O745">
        <v>69540091</v>
      </c>
      <c r="P745">
        <v>1</v>
      </c>
      <c r="Q745" s="3">
        <v>46075</v>
      </c>
      <c r="R745">
        <v>210</v>
      </c>
      <c r="S745" s="85">
        <v>1.55E+16</v>
      </c>
      <c r="T745" t="s">
        <v>913</v>
      </c>
      <c r="U745">
        <v>3962.38</v>
      </c>
      <c r="W745" s="79">
        <f t="shared" si="41"/>
        <v>-1.9999797093705508E-2</v>
      </c>
      <c r="X745">
        <f>VLOOKUP(D745,'[3]Customer TDS'!D:I,6,0)</f>
        <v>3962.38</v>
      </c>
      <c r="Y745" s="27">
        <f t="shared" si="40"/>
        <v>-194158.63</v>
      </c>
      <c r="Z745" t="s">
        <v>915</v>
      </c>
      <c r="AA745">
        <f>VLOOKUP(D745,'Ascendus DATA'!$F:$J,5,0)</f>
        <v>200000</v>
      </c>
      <c r="AB745" s="27">
        <f t="shared" si="42"/>
        <v>1878.9899999999907</v>
      </c>
    </row>
    <row r="746" spans="1:28" hidden="1" x14ac:dyDescent="0.35">
      <c r="A746" t="s">
        <v>910</v>
      </c>
      <c r="B746" t="s">
        <v>910</v>
      </c>
      <c r="C746" t="s">
        <v>438</v>
      </c>
      <c r="D746" s="4">
        <v>256779440060</v>
      </c>
      <c r="E746" s="3">
        <v>46027</v>
      </c>
      <c r="F746" t="s">
        <v>11</v>
      </c>
      <c r="G746">
        <v>-198.57</v>
      </c>
      <c r="H746">
        <v>3.97</v>
      </c>
      <c r="I746" s="27">
        <v>-17849.61</v>
      </c>
      <c r="K746" s="3">
        <v>46057</v>
      </c>
      <c r="L746" s="3">
        <v>46075</v>
      </c>
      <c r="M746" t="s">
        <v>912</v>
      </c>
      <c r="N746" s="2">
        <v>46054</v>
      </c>
      <c r="O746">
        <v>69540093</v>
      </c>
      <c r="P746">
        <v>1</v>
      </c>
      <c r="Q746" s="3">
        <v>46075</v>
      </c>
      <c r="R746">
        <v>210</v>
      </c>
      <c r="S746" s="85">
        <v>1.55E+16</v>
      </c>
      <c r="T746" t="s">
        <v>913</v>
      </c>
      <c r="U746">
        <v>356.87</v>
      </c>
      <c r="W746" s="79">
        <f t="shared" si="41"/>
        <v>-1.9993153912046258E-2</v>
      </c>
      <c r="X746">
        <f>VLOOKUP(D746,'[3]Customer TDS'!D:I,6,0)</f>
        <v>356.87</v>
      </c>
      <c r="Y746" s="27">
        <f t="shared" si="40"/>
        <v>-17492.740000000002</v>
      </c>
      <c r="Z746" t="s">
        <v>915</v>
      </c>
      <c r="AA746">
        <f>VLOOKUP(D746,'Ascendus DATA'!$F:$J,5,0)</f>
        <v>18018.87</v>
      </c>
      <c r="AB746" s="27">
        <f t="shared" si="42"/>
        <v>169.2599999999984</v>
      </c>
    </row>
    <row r="747" spans="1:28" hidden="1" x14ac:dyDescent="0.35">
      <c r="A747" t="s">
        <v>910</v>
      </c>
      <c r="B747" t="s">
        <v>910</v>
      </c>
      <c r="C747" t="s">
        <v>438</v>
      </c>
      <c r="D747" s="4">
        <v>256779440150</v>
      </c>
      <c r="E747" s="3">
        <v>46028</v>
      </c>
      <c r="F747" t="s">
        <v>11</v>
      </c>
      <c r="G747">
        <v>-112.85</v>
      </c>
      <c r="H747">
        <v>2.2599999999999998</v>
      </c>
      <c r="I747" s="27">
        <v>-10144.17</v>
      </c>
      <c r="J747" t="s">
        <v>42</v>
      </c>
      <c r="K747" s="3">
        <v>46058</v>
      </c>
      <c r="L747" s="3">
        <v>46075</v>
      </c>
      <c r="M747" t="s">
        <v>912</v>
      </c>
      <c r="N747" s="2">
        <v>46054</v>
      </c>
      <c r="O747">
        <v>69540094</v>
      </c>
      <c r="P747">
        <v>1</v>
      </c>
      <c r="Q747" s="3">
        <v>46075</v>
      </c>
      <c r="R747">
        <v>210</v>
      </c>
      <c r="S747" s="85">
        <v>1.55E+16</v>
      </c>
      <c r="T747" t="s">
        <v>913</v>
      </c>
      <c r="U747">
        <v>203.15</v>
      </c>
      <c r="W747" s="79">
        <f t="shared" si="41"/>
        <v>-2.002628110530482E-2</v>
      </c>
      <c r="X747">
        <f>VLOOKUP(D747,'[3]Customer TDS'!D:I,6,0)</f>
        <v>203.15</v>
      </c>
      <c r="Y747" s="27">
        <f t="shared" si="40"/>
        <v>-9941.02</v>
      </c>
      <c r="Z747" t="s">
        <v>915</v>
      </c>
      <c r="AA747">
        <f>VLOOKUP(D747,'Ascendus DATA'!$F:$J,5,0)</f>
        <v>10240.36</v>
      </c>
      <c r="AB747" s="27">
        <f t="shared" si="42"/>
        <v>96.190000000000509</v>
      </c>
    </row>
    <row r="748" spans="1:28" hidden="1" x14ac:dyDescent="0.35">
      <c r="A748" t="s">
        <v>910</v>
      </c>
      <c r="B748" t="s">
        <v>910</v>
      </c>
      <c r="C748" t="s">
        <v>438</v>
      </c>
      <c r="D748" s="4">
        <v>256779440311</v>
      </c>
      <c r="E748" s="3">
        <v>46028</v>
      </c>
      <c r="F748" t="s">
        <v>11</v>
      </c>
      <c r="G748">
        <v>-48.49</v>
      </c>
      <c r="H748">
        <v>0.97</v>
      </c>
      <c r="I748" s="27">
        <v>-4358.8</v>
      </c>
      <c r="J748" t="s">
        <v>42</v>
      </c>
      <c r="K748" s="3">
        <v>46058</v>
      </c>
      <c r="L748" s="3">
        <v>46075</v>
      </c>
      <c r="M748" t="s">
        <v>912</v>
      </c>
      <c r="N748" s="2">
        <v>46054</v>
      </c>
      <c r="O748">
        <v>69540095</v>
      </c>
      <c r="P748">
        <v>1</v>
      </c>
      <c r="Q748" s="3">
        <v>46075</v>
      </c>
      <c r="R748">
        <v>210</v>
      </c>
      <c r="S748" s="85">
        <v>1.55E+16</v>
      </c>
      <c r="T748" t="s">
        <v>913</v>
      </c>
      <c r="U748">
        <v>87.19</v>
      </c>
      <c r="W748" s="79">
        <f t="shared" si="41"/>
        <v>-2.0003211893181608E-2</v>
      </c>
      <c r="X748">
        <f>VLOOKUP(D748,'[3]Customer TDS'!D:I,6,0)</f>
        <v>87.19</v>
      </c>
      <c r="Y748" s="27">
        <f t="shared" si="40"/>
        <v>-4271.6100000000006</v>
      </c>
      <c r="Z748" t="s">
        <v>915</v>
      </c>
      <c r="AA748">
        <f>VLOOKUP(D748,'Ascendus DATA'!$F:$J,5,0)</f>
        <v>4400</v>
      </c>
      <c r="AB748" s="27">
        <f t="shared" si="42"/>
        <v>41.199999999999818</v>
      </c>
    </row>
    <row r="749" spans="1:28" hidden="1" x14ac:dyDescent="0.35">
      <c r="A749" t="s">
        <v>910</v>
      </c>
      <c r="B749" t="s">
        <v>910</v>
      </c>
      <c r="C749" t="s">
        <v>438</v>
      </c>
      <c r="D749" s="4">
        <v>256779440227</v>
      </c>
      <c r="E749" s="3">
        <v>46034</v>
      </c>
      <c r="F749" t="s">
        <v>11</v>
      </c>
      <c r="G749">
        <v>-304.07</v>
      </c>
      <c r="H749">
        <v>6.08</v>
      </c>
      <c r="I749" s="27">
        <v>-27333.08</v>
      </c>
      <c r="J749" t="s">
        <v>42</v>
      </c>
      <c r="K749" s="3">
        <v>46064</v>
      </c>
      <c r="L749" s="3">
        <v>46075</v>
      </c>
      <c r="M749" t="s">
        <v>912</v>
      </c>
      <c r="N749" s="2">
        <v>46054</v>
      </c>
      <c r="O749">
        <v>69540097</v>
      </c>
      <c r="P749">
        <v>1</v>
      </c>
      <c r="Q749" s="3">
        <v>46075</v>
      </c>
      <c r="R749">
        <v>210</v>
      </c>
      <c r="S749" s="85">
        <v>1.55E+16</v>
      </c>
      <c r="T749" t="s">
        <v>913</v>
      </c>
      <c r="U749">
        <v>546.54</v>
      </c>
      <c r="W749" s="79">
        <f t="shared" si="41"/>
        <v>-1.9995551178279211E-2</v>
      </c>
      <c r="X749">
        <f>VLOOKUP(D749,'[3]Customer TDS'!D:I,6,0)</f>
        <v>546.54</v>
      </c>
      <c r="Y749" s="27">
        <f t="shared" si="40"/>
        <v>-26786.54</v>
      </c>
      <c r="Z749" t="s">
        <v>915</v>
      </c>
      <c r="AA749">
        <f>VLOOKUP(D749,'Ascendus DATA'!$F:$J,5,0)</f>
        <v>27592.27</v>
      </c>
      <c r="AB749" s="27">
        <f t="shared" si="42"/>
        <v>259.18999999999869</v>
      </c>
    </row>
    <row r="750" spans="1:28" hidden="1" x14ac:dyDescent="0.35">
      <c r="A750" t="s">
        <v>910</v>
      </c>
      <c r="B750" t="s">
        <v>910</v>
      </c>
      <c r="C750" t="s">
        <v>438</v>
      </c>
      <c r="D750" s="4">
        <v>256779440310</v>
      </c>
      <c r="E750" s="3">
        <v>46028</v>
      </c>
      <c r="F750" t="s">
        <v>11</v>
      </c>
      <c r="G750">
        <v>-88.16</v>
      </c>
      <c r="H750">
        <v>1.76</v>
      </c>
      <c r="I750" s="27">
        <v>-7924.77</v>
      </c>
      <c r="J750" t="s">
        <v>42</v>
      </c>
      <c r="K750" s="3">
        <v>46058</v>
      </c>
      <c r="L750" s="3">
        <v>46075</v>
      </c>
      <c r="M750" t="s">
        <v>912</v>
      </c>
      <c r="N750" s="2">
        <v>46054</v>
      </c>
      <c r="O750">
        <v>69540100</v>
      </c>
      <c r="P750">
        <v>1</v>
      </c>
      <c r="Q750" s="3">
        <v>46075</v>
      </c>
      <c r="R750">
        <v>210</v>
      </c>
      <c r="S750" s="85">
        <v>1.55E+16</v>
      </c>
      <c r="T750" t="s">
        <v>913</v>
      </c>
      <c r="U750">
        <v>158.21</v>
      </c>
      <c r="W750" s="79">
        <f t="shared" si="41"/>
        <v>-1.9963986336511974E-2</v>
      </c>
      <c r="X750">
        <f>VLOOKUP(D750,'[3]Customer TDS'!D:I,6,0)</f>
        <v>158.21</v>
      </c>
      <c r="Y750" s="27">
        <f t="shared" si="40"/>
        <v>-7766.56</v>
      </c>
      <c r="Z750" t="s">
        <v>915</v>
      </c>
      <c r="AA750">
        <f>VLOOKUP(D750,'Ascendus DATA'!$F:$J,5,0)</f>
        <v>8000</v>
      </c>
      <c r="AB750" s="27">
        <f t="shared" si="42"/>
        <v>75.229999999999563</v>
      </c>
    </row>
    <row r="751" spans="1:28" hidden="1" x14ac:dyDescent="0.35">
      <c r="A751" t="s">
        <v>910</v>
      </c>
      <c r="B751" t="s">
        <v>910</v>
      </c>
      <c r="C751" t="s">
        <v>438</v>
      </c>
      <c r="D751" s="4">
        <v>256779440136</v>
      </c>
      <c r="E751" s="3">
        <v>46031</v>
      </c>
      <c r="F751" t="s">
        <v>11</v>
      </c>
      <c r="G751">
        <v>-27.81</v>
      </c>
      <c r="H751">
        <v>0.56000000000000005</v>
      </c>
      <c r="I751" s="27">
        <v>-2499.86</v>
      </c>
      <c r="K751" s="3">
        <v>46061</v>
      </c>
      <c r="L751" s="3">
        <v>46075</v>
      </c>
      <c r="M751" t="s">
        <v>912</v>
      </c>
      <c r="N751" s="2">
        <v>46054</v>
      </c>
      <c r="O751">
        <v>69540222</v>
      </c>
      <c r="P751">
        <v>1</v>
      </c>
      <c r="Q751" s="3">
        <v>46075</v>
      </c>
      <c r="R751">
        <v>210</v>
      </c>
      <c r="S751" s="85">
        <v>1.55E+16</v>
      </c>
      <c r="T751" t="s">
        <v>913</v>
      </c>
      <c r="U751">
        <v>50.34</v>
      </c>
      <c r="W751" s="79">
        <f t="shared" si="41"/>
        <v>-2.0137127679150033E-2</v>
      </c>
      <c r="X751">
        <f>VLOOKUP(D751,'[3]Customer TDS'!D:I,6,0)</f>
        <v>50.34</v>
      </c>
      <c r="Y751" s="27">
        <f t="shared" si="40"/>
        <v>-2449.52</v>
      </c>
      <c r="Z751" t="s">
        <v>915</v>
      </c>
      <c r="AA751">
        <f>VLOOKUP(D751,'Ascendus DATA'!$F:$J,5,0)</f>
        <v>2523.5700000000002</v>
      </c>
      <c r="AB751" s="27">
        <f t="shared" si="42"/>
        <v>23.710000000000036</v>
      </c>
    </row>
    <row r="753" spans="4:9" x14ac:dyDescent="0.35">
      <c r="D753" t="s">
        <v>944</v>
      </c>
      <c r="G753" s="86">
        <v>-32706</v>
      </c>
      <c r="H753" s="86">
        <v>120334</v>
      </c>
      <c r="I753" s="86">
        <v>-3109571</v>
      </c>
    </row>
  </sheetData>
  <autoFilter ref="A2:AB751" xr:uid="{F780E807-D5CF-496B-86FC-2901B897318D}">
    <filterColumn colId="2">
      <filters>
        <filter val="A"/>
      </filters>
    </filterColumn>
  </autoFilter>
  <conditionalFormatting sqref="D3:D751">
    <cfRule type="duplicateValues" dxfId="1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1F37-A914-4C23-A10D-E6DBEE316555}">
  <dimension ref="A2:X410"/>
  <sheetViews>
    <sheetView workbookViewId="0">
      <selection activeCell="A2" sqref="A2:AC410"/>
    </sheetView>
  </sheetViews>
  <sheetFormatPr defaultRowHeight="14.5" x14ac:dyDescent="0.35"/>
  <cols>
    <col min="1" max="1" width="15.36328125" bestFit="1" customWidth="1"/>
    <col min="2" max="2" width="10.54296875" bestFit="1" customWidth="1"/>
    <col min="3" max="4" width="10.81640625" bestFit="1" customWidth="1"/>
    <col min="5" max="5" width="39.81640625" bestFit="1" customWidth="1"/>
    <col min="6" max="6" width="10.54296875" bestFit="1" customWidth="1"/>
    <col min="7" max="7" width="4.453125" bestFit="1" customWidth="1"/>
    <col min="9" max="9" width="6.54296875" bestFit="1" customWidth="1"/>
    <col min="10" max="10" width="10.54296875" bestFit="1" customWidth="1"/>
    <col min="11" max="11" width="7.81640625" bestFit="1" customWidth="1"/>
    <col min="12" max="12" width="13.453125" bestFit="1" customWidth="1"/>
  </cols>
  <sheetData>
    <row r="2" spans="1:21" x14ac:dyDescent="0.35">
      <c r="A2" t="s">
        <v>899</v>
      </c>
      <c r="B2" t="s">
        <v>900</v>
      </c>
      <c r="C2" t="s">
        <v>434</v>
      </c>
      <c r="D2" t="s">
        <v>435</v>
      </c>
      <c r="E2" t="s">
        <v>436</v>
      </c>
      <c r="F2" t="s">
        <v>3</v>
      </c>
      <c r="G2" t="s">
        <v>437</v>
      </c>
      <c r="H2" t="s">
        <v>901</v>
      </c>
      <c r="I2" t="s">
        <v>0</v>
      </c>
      <c r="J2" t="s">
        <v>1</v>
      </c>
      <c r="K2" t="s">
        <v>2</v>
      </c>
      <c r="L2" t="s">
        <v>902</v>
      </c>
      <c r="M2" t="s">
        <v>903</v>
      </c>
      <c r="N2" t="s">
        <v>4</v>
      </c>
      <c r="O2" t="s">
        <v>904</v>
      </c>
      <c r="P2" t="s">
        <v>5</v>
      </c>
      <c r="Q2" t="s">
        <v>6</v>
      </c>
      <c r="R2" t="s">
        <v>7</v>
      </c>
      <c r="S2" t="s">
        <v>489</v>
      </c>
      <c r="T2" t="s">
        <v>905</v>
      </c>
      <c r="U2" t="s">
        <v>906</v>
      </c>
    </row>
    <row r="3" spans="1:21" x14ac:dyDescent="0.35">
      <c r="A3" t="s">
        <v>910</v>
      </c>
      <c r="B3" t="s">
        <v>910</v>
      </c>
      <c r="C3" t="s">
        <v>438</v>
      </c>
      <c r="D3" s="4">
        <v>246779411742</v>
      </c>
      <c r="E3" s="3">
        <v>45733</v>
      </c>
      <c r="F3" t="s">
        <v>11</v>
      </c>
      <c r="G3">
        <v>0.47</v>
      </c>
      <c r="H3" t="s">
        <v>911</v>
      </c>
      <c r="I3">
        <v>40.909999999999997</v>
      </c>
      <c r="J3" t="s">
        <v>133</v>
      </c>
      <c r="K3" s="3">
        <v>45763</v>
      </c>
      <c r="M3" t="s">
        <v>912</v>
      </c>
      <c r="N3" s="2">
        <v>45809</v>
      </c>
      <c r="O3">
        <v>51127447</v>
      </c>
      <c r="P3">
        <v>1</v>
      </c>
      <c r="Q3" s="3">
        <v>45819</v>
      </c>
      <c r="R3">
        <v>230</v>
      </c>
      <c r="T3" t="s">
        <v>913</v>
      </c>
      <c r="U3">
        <v>0</v>
      </c>
    </row>
    <row r="4" spans="1:21" x14ac:dyDescent="0.35">
      <c r="A4" t="s">
        <v>910</v>
      </c>
      <c r="B4" t="s">
        <v>910</v>
      </c>
      <c r="C4" t="s">
        <v>438</v>
      </c>
      <c r="D4" s="4">
        <v>246779411601</v>
      </c>
      <c r="E4" s="3">
        <v>45733</v>
      </c>
      <c r="F4" t="s">
        <v>11</v>
      </c>
      <c r="G4">
        <v>0.47</v>
      </c>
      <c r="H4" t="s">
        <v>911</v>
      </c>
      <c r="I4">
        <v>40.909999999999997</v>
      </c>
      <c r="J4" t="s">
        <v>135</v>
      </c>
      <c r="K4" s="3">
        <v>45763</v>
      </c>
      <c r="M4" t="s">
        <v>912</v>
      </c>
      <c r="N4" s="2">
        <v>45809</v>
      </c>
      <c r="O4">
        <v>51162689</v>
      </c>
      <c r="P4">
        <v>1</v>
      </c>
      <c r="Q4" s="3">
        <v>45820</v>
      </c>
      <c r="R4">
        <v>230</v>
      </c>
      <c r="T4" t="s">
        <v>913</v>
      </c>
      <c r="U4">
        <v>0</v>
      </c>
    </row>
    <row r="5" spans="1:21" x14ac:dyDescent="0.35">
      <c r="A5" t="s">
        <v>910</v>
      </c>
      <c r="B5" t="s">
        <v>910</v>
      </c>
      <c r="C5" t="s">
        <v>438</v>
      </c>
      <c r="D5" s="4">
        <v>246779411717</v>
      </c>
      <c r="E5" s="3">
        <v>45733</v>
      </c>
      <c r="F5" t="s">
        <v>11</v>
      </c>
      <c r="G5">
        <v>0.91</v>
      </c>
      <c r="H5" t="s">
        <v>911</v>
      </c>
      <c r="I5">
        <v>79.209999999999994</v>
      </c>
      <c r="J5" t="s">
        <v>136</v>
      </c>
      <c r="K5" s="3">
        <v>45763</v>
      </c>
      <c r="M5" t="s">
        <v>912</v>
      </c>
      <c r="N5" s="2">
        <v>45809</v>
      </c>
      <c r="O5">
        <v>51162692</v>
      </c>
      <c r="P5">
        <v>1</v>
      </c>
      <c r="Q5" s="3">
        <v>45820</v>
      </c>
      <c r="R5">
        <v>230</v>
      </c>
      <c r="T5" t="s">
        <v>913</v>
      </c>
      <c r="U5">
        <v>0</v>
      </c>
    </row>
    <row r="6" spans="1:21" x14ac:dyDescent="0.35">
      <c r="A6" t="s">
        <v>910</v>
      </c>
      <c r="B6" t="s">
        <v>910</v>
      </c>
      <c r="C6" t="s">
        <v>438</v>
      </c>
      <c r="D6" s="4">
        <v>246779411913</v>
      </c>
      <c r="E6" s="3">
        <v>45733</v>
      </c>
      <c r="F6" t="s">
        <v>11</v>
      </c>
      <c r="G6">
        <v>0.56999999999999995</v>
      </c>
      <c r="H6" t="s">
        <v>911</v>
      </c>
      <c r="I6">
        <v>49.61</v>
      </c>
      <c r="J6" t="s">
        <v>137</v>
      </c>
      <c r="K6" s="3">
        <v>45763</v>
      </c>
      <c r="M6" t="s">
        <v>912</v>
      </c>
      <c r="N6" s="2">
        <v>45809</v>
      </c>
      <c r="O6">
        <v>51162693</v>
      </c>
      <c r="P6">
        <v>1</v>
      </c>
      <c r="Q6" s="3">
        <v>45820</v>
      </c>
      <c r="R6">
        <v>230</v>
      </c>
      <c r="T6" t="s">
        <v>913</v>
      </c>
      <c r="U6">
        <v>0</v>
      </c>
    </row>
    <row r="7" spans="1:21" x14ac:dyDescent="0.35">
      <c r="A7" t="s">
        <v>910</v>
      </c>
      <c r="B7" t="s">
        <v>910</v>
      </c>
      <c r="C7" t="s">
        <v>438</v>
      </c>
      <c r="D7" s="4">
        <v>246779411740</v>
      </c>
      <c r="E7" s="3">
        <v>45733</v>
      </c>
      <c r="F7" t="s">
        <v>11</v>
      </c>
      <c r="G7">
        <v>0.46</v>
      </c>
      <c r="H7" t="s">
        <v>911</v>
      </c>
      <c r="I7">
        <v>40.04</v>
      </c>
      <c r="J7" t="s">
        <v>138</v>
      </c>
      <c r="K7" s="3">
        <v>45763</v>
      </c>
      <c r="M7" t="s">
        <v>912</v>
      </c>
      <c r="N7" s="2">
        <v>45809</v>
      </c>
      <c r="O7">
        <v>51162694</v>
      </c>
      <c r="P7">
        <v>1</v>
      </c>
      <c r="Q7" s="3">
        <v>45820</v>
      </c>
      <c r="R7">
        <v>230</v>
      </c>
      <c r="T7" t="s">
        <v>913</v>
      </c>
      <c r="U7">
        <v>0</v>
      </c>
    </row>
    <row r="8" spans="1:21" x14ac:dyDescent="0.35">
      <c r="A8" t="s">
        <v>910</v>
      </c>
      <c r="B8" t="s">
        <v>910</v>
      </c>
      <c r="C8" t="s">
        <v>438</v>
      </c>
      <c r="D8" s="4">
        <v>246779412111</v>
      </c>
      <c r="E8" s="3">
        <v>45733</v>
      </c>
      <c r="F8" t="s">
        <v>11</v>
      </c>
      <c r="G8">
        <v>8.41</v>
      </c>
      <c r="H8" t="s">
        <v>911</v>
      </c>
      <c r="I8">
        <v>732.03</v>
      </c>
      <c r="J8" t="s">
        <v>139</v>
      </c>
      <c r="K8" s="3">
        <v>45763</v>
      </c>
      <c r="M8" t="s">
        <v>912</v>
      </c>
      <c r="N8" s="2">
        <v>45809</v>
      </c>
      <c r="O8">
        <v>51162695</v>
      </c>
      <c r="P8">
        <v>1</v>
      </c>
      <c r="Q8" s="3">
        <v>45820</v>
      </c>
      <c r="R8">
        <v>230</v>
      </c>
      <c r="T8" t="s">
        <v>913</v>
      </c>
      <c r="U8">
        <v>0</v>
      </c>
    </row>
    <row r="9" spans="1:21" x14ac:dyDescent="0.35">
      <c r="A9" t="s">
        <v>910</v>
      </c>
      <c r="B9" t="s">
        <v>910</v>
      </c>
      <c r="C9" t="s">
        <v>438</v>
      </c>
      <c r="D9" s="4">
        <v>246779411722</v>
      </c>
      <c r="E9" s="3">
        <v>45733</v>
      </c>
      <c r="F9" t="s">
        <v>11</v>
      </c>
      <c r="G9">
        <v>0.8</v>
      </c>
      <c r="H9" t="s">
        <v>911</v>
      </c>
      <c r="I9">
        <v>69.63</v>
      </c>
      <c r="J9" t="s">
        <v>140</v>
      </c>
      <c r="K9" s="3">
        <v>45763</v>
      </c>
      <c r="M9" t="s">
        <v>912</v>
      </c>
      <c r="N9" s="2">
        <v>45809</v>
      </c>
      <c r="O9">
        <v>51162698</v>
      </c>
      <c r="P9">
        <v>1</v>
      </c>
      <c r="Q9" s="3">
        <v>45820</v>
      </c>
      <c r="R9">
        <v>230</v>
      </c>
      <c r="T9" t="s">
        <v>913</v>
      </c>
      <c r="U9">
        <v>0</v>
      </c>
    </row>
    <row r="10" spans="1:21" x14ac:dyDescent="0.35">
      <c r="A10" t="s">
        <v>910</v>
      </c>
      <c r="B10" t="s">
        <v>910</v>
      </c>
      <c r="C10" t="s">
        <v>438</v>
      </c>
      <c r="D10" s="4">
        <v>246779412041</v>
      </c>
      <c r="E10" s="3">
        <v>45733</v>
      </c>
      <c r="F10" t="s">
        <v>11</v>
      </c>
      <c r="G10">
        <v>0.67</v>
      </c>
      <c r="H10" t="s">
        <v>911</v>
      </c>
      <c r="I10">
        <v>58.32</v>
      </c>
      <c r="J10" t="s">
        <v>141</v>
      </c>
      <c r="K10" s="3">
        <v>45763</v>
      </c>
      <c r="M10" t="s">
        <v>912</v>
      </c>
      <c r="N10" s="2">
        <v>45809</v>
      </c>
      <c r="O10">
        <v>51162699</v>
      </c>
      <c r="P10">
        <v>1</v>
      </c>
      <c r="Q10" s="3">
        <v>45820</v>
      </c>
      <c r="R10">
        <v>230</v>
      </c>
      <c r="T10" t="s">
        <v>913</v>
      </c>
      <c r="U10">
        <v>0</v>
      </c>
    </row>
    <row r="11" spans="1:21" x14ac:dyDescent="0.35">
      <c r="A11" t="s">
        <v>910</v>
      </c>
      <c r="B11" t="s">
        <v>910</v>
      </c>
      <c r="C11" t="s">
        <v>438</v>
      </c>
      <c r="D11" s="4">
        <v>246779411898</v>
      </c>
      <c r="E11" s="3">
        <v>45733</v>
      </c>
      <c r="F11" t="s">
        <v>11</v>
      </c>
      <c r="G11">
        <v>0.14000000000000001</v>
      </c>
      <c r="H11" t="s">
        <v>911</v>
      </c>
      <c r="I11">
        <v>12.19</v>
      </c>
      <c r="J11" t="s">
        <v>142</v>
      </c>
      <c r="K11" s="3">
        <v>45763</v>
      </c>
      <c r="M11" t="s">
        <v>912</v>
      </c>
      <c r="N11" s="2">
        <v>45809</v>
      </c>
      <c r="O11">
        <v>51162700</v>
      </c>
      <c r="P11">
        <v>1</v>
      </c>
      <c r="Q11" s="3">
        <v>45820</v>
      </c>
      <c r="R11">
        <v>230</v>
      </c>
      <c r="T11" t="s">
        <v>913</v>
      </c>
      <c r="U11">
        <v>0</v>
      </c>
    </row>
    <row r="12" spans="1:21" x14ac:dyDescent="0.35">
      <c r="A12" t="s">
        <v>910</v>
      </c>
      <c r="B12" t="s">
        <v>910</v>
      </c>
      <c r="C12" t="s">
        <v>438</v>
      </c>
      <c r="D12" s="4">
        <v>246779411729</v>
      </c>
      <c r="E12" s="3">
        <v>45733</v>
      </c>
      <c r="F12" t="s">
        <v>11</v>
      </c>
      <c r="G12">
        <v>0.69</v>
      </c>
      <c r="H12" t="s">
        <v>911</v>
      </c>
      <c r="I12">
        <v>60.06</v>
      </c>
      <c r="J12" t="s">
        <v>143</v>
      </c>
      <c r="K12" s="3">
        <v>45763</v>
      </c>
      <c r="M12" t="s">
        <v>912</v>
      </c>
      <c r="N12" s="2">
        <v>45809</v>
      </c>
      <c r="O12">
        <v>51162702</v>
      </c>
      <c r="P12">
        <v>1</v>
      </c>
      <c r="Q12" s="3">
        <v>45820</v>
      </c>
      <c r="R12">
        <v>230</v>
      </c>
      <c r="T12" t="s">
        <v>913</v>
      </c>
      <c r="U12">
        <v>0</v>
      </c>
    </row>
    <row r="13" spans="1:21" x14ac:dyDescent="0.35">
      <c r="A13" t="s">
        <v>910</v>
      </c>
      <c r="B13" t="s">
        <v>910</v>
      </c>
      <c r="C13" t="s">
        <v>438</v>
      </c>
      <c r="D13" s="4">
        <v>246779411737</v>
      </c>
      <c r="E13" s="3">
        <v>45733</v>
      </c>
      <c r="F13" t="s">
        <v>11</v>
      </c>
      <c r="G13">
        <v>0.56999999999999995</v>
      </c>
      <c r="H13" t="s">
        <v>911</v>
      </c>
      <c r="I13">
        <v>49.61</v>
      </c>
      <c r="J13" t="s">
        <v>144</v>
      </c>
      <c r="K13" s="3">
        <v>45763</v>
      </c>
      <c r="M13" t="s">
        <v>912</v>
      </c>
      <c r="N13" s="2">
        <v>45809</v>
      </c>
      <c r="O13">
        <v>51162703</v>
      </c>
      <c r="P13">
        <v>1</v>
      </c>
      <c r="Q13" s="3">
        <v>45820</v>
      </c>
      <c r="R13">
        <v>230</v>
      </c>
      <c r="T13" t="s">
        <v>913</v>
      </c>
      <c r="U13">
        <v>0</v>
      </c>
    </row>
    <row r="14" spans="1:21" x14ac:dyDescent="0.35">
      <c r="A14" t="s">
        <v>910</v>
      </c>
      <c r="B14" t="s">
        <v>910</v>
      </c>
      <c r="C14" t="s">
        <v>438</v>
      </c>
      <c r="D14" s="4">
        <v>246779411595</v>
      </c>
      <c r="E14" s="3">
        <v>45733</v>
      </c>
      <c r="F14" t="s">
        <v>11</v>
      </c>
      <c r="G14">
        <v>1.03</v>
      </c>
      <c r="H14" t="s">
        <v>911</v>
      </c>
      <c r="I14">
        <v>89.65</v>
      </c>
      <c r="J14" t="s">
        <v>145</v>
      </c>
      <c r="K14" s="3">
        <v>45763</v>
      </c>
      <c r="M14" t="s">
        <v>912</v>
      </c>
      <c r="N14" s="2">
        <v>45809</v>
      </c>
      <c r="O14">
        <v>51162704</v>
      </c>
      <c r="P14">
        <v>1</v>
      </c>
      <c r="Q14" s="3">
        <v>45820</v>
      </c>
      <c r="R14">
        <v>230</v>
      </c>
      <c r="T14" t="s">
        <v>913</v>
      </c>
      <c r="U14">
        <v>0</v>
      </c>
    </row>
    <row r="15" spans="1:21" x14ac:dyDescent="0.35">
      <c r="A15" t="s">
        <v>910</v>
      </c>
      <c r="B15" t="s">
        <v>910</v>
      </c>
      <c r="C15" t="s">
        <v>438</v>
      </c>
      <c r="D15" s="4">
        <v>246779411727</v>
      </c>
      <c r="E15" s="3">
        <v>45733</v>
      </c>
      <c r="F15" t="s">
        <v>11</v>
      </c>
      <c r="G15">
        <v>0.34</v>
      </c>
      <c r="H15" t="s">
        <v>911</v>
      </c>
      <c r="I15">
        <v>29.59</v>
      </c>
      <c r="J15" t="s">
        <v>146</v>
      </c>
      <c r="K15" s="3">
        <v>45763</v>
      </c>
      <c r="M15" t="s">
        <v>912</v>
      </c>
      <c r="N15" s="2">
        <v>45809</v>
      </c>
      <c r="O15">
        <v>51162705</v>
      </c>
      <c r="P15">
        <v>1</v>
      </c>
      <c r="Q15" s="3">
        <v>45820</v>
      </c>
      <c r="R15">
        <v>230</v>
      </c>
      <c r="T15" t="s">
        <v>913</v>
      </c>
      <c r="U15">
        <v>0</v>
      </c>
    </row>
    <row r="16" spans="1:21" x14ac:dyDescent="0.35">
      <c r="A16" t="s">
        <v>910</v>
      </c>
      <c r="B16" t="s">
        <v>910</v>
      </c>
      <c r="C16" t="s">
        <v>438</v>
      </c>
      <c r="D16" s="4">
        <v>246779411736</v>
      </c>
      <c r="E16" s="3">
        <v>45733</v>
      </c>
      <c r="F16" t="s">
        <v>11</v>
      </c>
      <c r="G16">
        <v>0.46</v>
      </c>
      <c r="H16" t="s">
        <v>911</v>
      </c>
      <c r="I16">
        <v>40.04</v>
      </c>
      <c r="J16" t="s">
        <v>147</v>
      </c>
      <c r="K16" s="3">
        <v>45763</v>
      </c>
      <c r="M16" t="s">
        <v>912</v>
      </c>
      <c r="N16" s="2">
        <v>45809</v>
      </c>
      <c r="O16">
        <v>51162706</v>
      </c>
      <c r="P16">
        <v>1</v>
      </c>
      <c r="Q16" s="3">
        <v>45820</v>
      </c>
      <c r="R16">
        <v>230</v>
      </c>
      <c r="T16" t="s">
        <v>913</v>
      </c>
      <c r="U16">
        <v>0</v>
      </c>
    </row>
    <row r="17" spans="1:21" x14ac:dyDescent="0.35">
      <c r="A17" t="s">
        <v>910</v>
      </c>
      <c r="B17" t="s">
        <v>910</v>
      </c>
      <c r="C17" t="s">
        <v>438</v>
      </c>
      <c r="D17" s="4">
        <v>246779411732</v>
      </c>
      <c r="E17" s="3">
        <v>45733</v>
      </c>
      <c r="F17" t="s">
        <v>11</v>
      </c>
      <c r="G17">
        <v>0.56999999999999995</v>
      </c>
      <c r="H17" t="s">
        <v>911</v>
      </c>
      <c r="I17">
        <v>49.61</v>
      </c>
      <c r="J17" t="s">
        <v>148</v>
      </c>
      <c r="K17" s="3">
        <v>45763</v>
      </c>
      <c r="M17" t="s">
        <v>912</v>
      </c>
      <c r="N17" s="2">
        <v>45809</v>
      </c>
      <c r="O17">
        <v>51162707</v>
      </c>
      <c r="P17">
        <v>1</v>
      </c>
      <c r="Q17" s="3">
        <v>45820</v>
      </c>
      <c r="R17">
        <v>230</v>
      </c>
      <c r="T17" t="s">
        <v>913</v>
      </c>
      <c r="U17">
        <v>0</v>
      </c>
    </row>
    <row r="18" spans="1:21" x14ac:dyDescent="0.35">
      <c r="A18" t="s">
        <v>910</v>
      </c>
      <c r="B18" t="s">
        <v>910</v>
      </c>
      <c r="C18" t="s">
        <v>438</v>
      </c>
      <c r="D18" s="4">
        <v>246779414663</v>
      </c>
      <c r="E18" s="3">
        <v>45736</v>
      </c>
      <c r="F18" t="s">
        <v>11</v>
      </c>
      <c r="G18">
        <v>0.9</v>
      </c>
      <c r="H18" t="s">
        <v>911</v>
      </c>
      <c r="I18">
        <v>78.34</v>
      </c>
      <c r="J18" t="s">
        <v>71</v>
      </c>
      <c r="K18" s="3">
        <v>45766</v>
      </c>
      <c r="M18" t="s">
        <v>912</v>
      </c>
      <c r="N18" s="2">
        <v>45809</v>
      </c>
      <c r="O18">
        <v>51162709</v>
      </c>
      <c r="P18">
        <v>1</v>
      </c>
      <c r="Q18" s="3">
        <v>45820</v>
      </c>
      <c r="R18">
        <v>230</v>
      </c>
      <c r="T18" t="s">
        <v>913</v>
      </c>
      <c r="U18">
        <v>0</v>
      </c>
    </row>
    <row r="19" spans="1:21" x14ac:dyDescent="0.35">
      <c r="A19" t="s">
        <v>910</v>
      </c>
      <c r="B19" t="s">
        <v>910</v>
      </c>
      <c r="C19" t="s">
        <v>438</v>
      </c>
      <c r="D19" s="4">
        <v>246779411899</v>
      </c>
      <c r="E19" s="3">
        <v>45733</v>
      </c>
      <c r="F19" t="s">
        <v>11</v>
      </c>
      <c r="G19">
        <v>1.25</v>
      </c>
      <c r="H19" t="s">
        <v>911</v>
      </c>
      <c r="I19">
        <v>108.8</v>
      </c>
      <c r="J19" t="s">
        <v>149</v>
      </c>
      <c r="K19" s="3">
        <v>45763</v>
      </c>
      <c r="M19" t="s">
        <v>912</v>
      </c>
      <c r="N19" s="2">
        <v>45809</v>
      </c>
      <c r="O19">
        <v>51162710</v>
      </c>
      <c r="P19">
        <v>1</v>
      </c>
      <c r="Q19" s="3">
        <v>45820</v>
      </c>
      <c r="R19">
        <v>230</v>
      </c>
      <c r="T19" t="s">
        <v>913</v>
      </c>
      <c r="U19">
        <v>0</v>
      </c>
    </row>
    <row r="20" spans="1:21" x14ac:dyDescent="0.35">
      <c r="A20" t="s">
        <v>910</v>
      </c>
      <c r="B20" t="s">
        <v>910</v>
      </c>
      <c r="C20" t="s">
        <v>438</v>
      </c>
      <c r="D20" s="4">
        <v>246779411914</v>
      </c>
      <c r="E20" s="3">
        <v>45733</v>
      </c>
      <c r="F20" t="s">
        <v>11</v>
      </c>
      <c r="G20">
        <v>5.2</v>
      </c>
      <c r="H20" t="s">
        <v>911</v>
      </c>
      <c r="I20">
        <v>452.62</v>
      </c>
      <c r="J20" t="s">
        <v>150</v>
      </c>
      <c r="K20" s="3">
        <v>45763</v>
      </c>
      <c r="M20" t="s">
        <v>912</v>
      </c>
      <c r="N20" s="2">
        <v>45809</v>
      </c>
      <c r="O20">
        <v>51162713</v>
      </c>
      <c r="P20">
        <v>1</v>
      </c>
      <c r="Q20" s="3">
        <v>45820</v>
      </c>
      <c r="R20">
        <v>230</v>
      </c>
      <c r="T20" t="s">
        <v>913</v>
      </c>
      <c r="U20">
        <v>0</v>
      </c>
    </row>
    <row r="21" spans="1:21" x14ac:dyDescent="0.35">
      <c r="A21" t="s">
        <v>910</v>
      </c>
      <c r="B21" t="s">
        <v>910</v>
      </c>
      <c r="C21" t="s">
        <v>438</v>
      </c>
      <c r="D21" s="4">
        <v>246779411895</v>
      </c>
      <c r="E21" s="3">
        <v>45733</v>
      </c>
      <c r="F21" t="s">
        <v>11</v>
      </c>
      <c r="G21">
        <v>0.09</v>
      </c>
      <c r="H21" t="s">
        <v>911</v>
      </c>
      <c r="I21">
        <v>7.83</v>
      </c>
      <c r="J21" t="s">
        <v>151</v>
      </c>
      <c r="K21" s="3">
        <v>45763</v>
      </c>
      <c r="M21" t="s">
        <v>912</v>
      </c>
      <c r="N21" s="2">
        <v>45809</v>
      </c>
      <c r="O21">
        <v>51162715</v>
      </c>
      <c r="P21">
        <v>1</v>
      </c>
      <c r="Q21" s="3">
        <v>45820</v>
      </c>
      <c r="R21">
        <v>230</v>
      </c>
      <c r="T21" t="s">
        <v>913</v>
      </c>
      <c r="U21">
        <v>0</v>
      </c>
    </row>
    <row r="22" spans="1:21" x14ac:dyDescent="0.35">
      <c r="A22" t="s">
        <v>910</v>
      </c>
      <c r="B22" t="s">
        <v>910</v>
      </c>
      <c r="C22" t="s">
        <v>438</v>
      </c>
      <c r="D22" s="4">
        <v>246779411723</v>
      </c>
      <c r="E22" s="3">
        <v>45733</v>
      </c>
      <c r="F22" t="s">
        <v>11</v>
      </c>
      <c r="G22">
        <v>0.91</v>
      </c>
      <c r="H22" t="s">
        <v>911</v>
      </c>
      <c r="I22">
        <v>79.209999999999994</v>
      </c>
      <c r="J22" t="s">
        <v>152</v>
      </c>
      <c r="K22" s="3">
        <v>45763</v>
      </c>
      <c r="M22" t="s">
        <v>912</v>
      </c>
      <c r="N22" s="2">
        <v>45809</v>
      </c>
      <c r="O22">
        <v>51162716</v>
      </c>
      <c r="P22">
        <v>1</v>
      </c>
      <c r="Q22" s="3">
        <v>45820</v>
      </c>
      <c r="R22">
        <v>230</v>
      </c>
      <c r="T22" t="s">
        <v>913</v>
      </c>
      <c r="U22">
        <v>0</v>
      </c>
    </row>
    <row r="23" spans="1:21" x14ac:dyDescent="0.35">
      <c r="A23" t="s">
        <v>910</v>
      </c>
      <c r="B23" t="s">
        <v>910</v>
      </c>
      <c r="C23" t="s">
        <v>438</v>
      </c>
      <c r="D23" s="4">
        <v>246779410413</v>
      </c>
      <c r="E23" s="3">
        <v>45719</v>
      </c>
      <c r="F23" t="s">
        <v>11</v>
      </c>
      <c r="G23">
        <v>13.88</v>
      </c>
      <c r="H23" t="s">
        <v>911</v>
      </c>
      <c r="I23" s="27">
        <v>1208.1500000000001</v>
      </c>
      <c r="J23" t="s">
        <v>425</v>
      </c>
      <c r="K23" s="3">
        <v>45749</v>
      </c>
      <c r="M23" t="s">
        <v>912</v>
      </c>
      <c r="N23" s="2">
        <v>45809</v>
      </c>
      <c r="O23">
        <v>51162718</v>
      </c>
      <c r="P23">
        <v>1</v>
      </c>
      <c r="Q23" s="3">
        <v>45820</v>
      </c>
      <c r="R23">
        <v>230</v>
      </c>
      <c r="T23" t="s">
        <v>913</v>
      </c>
      <c r="U23">
        <v>0</v>
      </c>
    </row>
    <row r="24" spans="1:21" x14ac:dyDescent="0.35">
      <c r="A24" t="s">
        <v>910</v>
      </c>
      <c r="B24" t="s">
        <v>910</v>
      </c>
      <c r="C24" t="s">
        <v>438</v>
      </c>
      <c r="D24" s="4">
        <v>246779411897</v>
      </c>
      <c r="E24" s="3">
        <v>45733</v>
      </c>
      <c r="F24" t="s">
        <v>11</v>
      </c>
      <c r="G24">
        <v>0.45</v>
      </c>
      <c r="H24" t="s">
        <v>911</v>
      </c>
      <c r="I24">
        <v>39.17</v>
      </c>
      <c r="J24" t="s">
        <v>153</v>
      </c>
      <c r="K24" s="3">
        <v>45763</v>
      </c>
      <c r="M24" t="s">
        <v>912</v>
      </c>
      <c r="N24" s="2">
        <v>45809</v>
      </c>
      <c r="O24">
        <v>51162719</v>
      </c>
      <c r="P24">
        <v>1</v>
      </c>
      <c r="Q24" s="3">
        <v>45820</v>
      </c>
      <c r="R24">
        <v>230</v>
      </c>
      <c r="T24" t="s">
        <v>913</v>
      </c>
      <c r="U24">
        <v>0</v>
      </c>
    </row>
    <row r="25" spans="1:21" x14ac:dyDescent="0.35">
      <c r="A25" t="s">
        <v>910</v>
      </c>
      <c r="B25" t="s">
        <v>910</v>
      </c>
      <c r="C25" t="s">
        <v>438</v>
      </c>
      <c r="D25" s="4">
        <v>246779412038</v>
      </c>
      <c r="E25" s="3">
        <v>45733</v>
      </c>
      <c r="F25" t="s">
        <v>11</v>
      </c>
      <c r="G25">
        <v>0.67</v>
      </c>
      <c r="H25" t="s">
        <v>911</v>
      </c>
      <c r="I25">
        <v>58.32</v>
      </c>
      <c r="J25" t="s">
        <v>154</v>
      </c>
      <c r="K25" s="3">
        <v>45763</v>
      </c>
      <c r="M25" t="s">
        <v>912</v>
      </c>
      <c r="N25" s="2">
        <v>45809</v>
      </c>
      <c r="O25">
        <v>51162721</v>
      </c>
      <c r="P25">
        <v>1</v>
      </c>
      <c r="Q25" s="3">
        <v>45820</v>
      </c>
      <c r="R25">
        <v>230</v>
      </c>
      <c r="T25" t="s">
        <v>913</v>
      </c>
      <c r="U25">
        <v>0</v>
      </c>
    </row>
    <row r="26" spans="1:21" x14ac:dyDescent="0.35">
      <c r="A26" t="s">
        <v>910</v>
      </c>
      <c r="B26" t="s">
        <v>910</v>
      </c>
      <c r="C26" t="s">
        <v>438</v>
      </c>
      <c r="D26" s="4">
        <v>246779410132</v>
      </c>
      <c r="E26" s="3">
        <v>45708</v>
      </c>
      <c r="F26" t="s">
        <v>11</v>
      </c>
      <c r="G26">
        <v>1.05</v>
      </c>
      <c r="H26" t="s">
        <v>911</v>
      </c>
      <c r="I26">
        <v>90.87</v>
      </c>
      <c r="J26" t="s">
        <v>83</v>
      </c>
      <c r="K26" s="3">
        <v>45738</v>
      </c>
      <c r="M26" t="s">
        <v>912</v>
      </c>
      <c r="N26" s="2">
        <v>45809</v>
      </c>
      <c r="O26">
        <v>51162722</v>
      </c>
      <c r="P26">
        <v>1</v>
      </c>
      <c r="Q26" s="3">
        <v>45820</v>
      </c>
      <c r="R26">
        <v>230</v>
      </c>
      <c r="T26" t="s">
        <v>913</v>
      </c>
      <c r="U26">
        <v>0</v>
      </c>
    </row>
    <row r="27" spans="1:21" x14ac:dyDescent="0.35">
      <c r="A27" t="s">
        <v>910</v>
      </c>
      <c r="B27" t="s">
        <v>910</v>
      </c>
      <c r="C27" t="s">
        <v>438</v>
      </c>
      <c r="D27" s="4">
        <v>246779411909</v>
      </c>
      <c r="E27" s="3">
        <v>45733</v>
      </c>
      <c r="F27" t="s">
        <v>11</v>
      </c>
      <c r="G27">
        <v>0.56999999999999995</v>
      </c>
      <c r="H27" t="s">
        <v>911</v>
      </c>
      <c r="I27">
        <v>49.61</v>
      </c>
      <c r="J27" t="s">
        <v>155</v>
      </c>
      <c r="K27" s="3">
        <v>45763</v>
      </c>
      <c r="M27" t="s">
        <v>912</v>
      </c>
      <c r="N27" s="2">
        <v>45809</v>
      </c>
      <c r="O27">
        <v>51162724</v>
      </c>
      <c r="P27">
        <v>1</v>
      </c>
      <c r="Q27" s="3">
        <v>45820</v>
      </c>
      <c r="R27">
        <v>230</v>
      </c>
      <c r="T27" t="s">
        <v>913</v>
      </c>
      <c r="U27">
        <v>0</v>
      </c>
    </row>
    <row r="28" spans="1:21" x14ac:dyDescent="0.35">
      <c r="A28" t="s">
        <v>910</v>
      </c>
      <c r="B28" t="s">
        <v>910</v>
      </c>
      <c r="C28" t="s">
        <v>438</v>
      </c>
      <c r="D28" s="4">
        <v>246779412042</v>
      </c>
      <c r="E28" s="3">
        <v>45733</v>
      </c>
      <c r="F28" t="s">
        <v>11</v>
      </c>
      <c r="G28">
        <v>0.34</v>
      </c>
      <c r="H28" t="s">
        <v>911</v>
      </c>
      <c r="I28">
        <v>29.59</v>
      </c>
      <c r="J28" t="s">
        <v>156</v>
      </c>
      <c r="K28" s="3">
        <v>45763</v>
      </c>
      <c r="M28" t="s">
        <v>912</v>
      </c>
      <c r="N28" s="2">
        <v>45809</v>
      </c>
      <c r="O28">
        <v>51162727</v>
      </c>
      <c r="P28">
        <v>1</v>
      </c>
      <c r="Q28" s="3">
        <v>45820</v>
      </c>
      <c r="R28">
        <v>230</v>
      </c>
      <c r="T28" t="s">
        <v>913</v>
      </c>
      <c r="U28">
        <v>0</v>
      </c>
    </row>
    <row r="29" spans="1:21" x14ac:dyDescent="0.35">
      <c r="A29" t="s">
        <v>910</v>
      </c>
      <c r="B29" t="s">
        <v>910</v>
      </c>
      <c r="C29" t="s">
        <v>438</v>
      </c>
      <c r="D29" s="4">
        <v>246779411900</v>
      </c>
      <c r="E29" s="3">
        <v>45733</v>
      </c>
      <c r="F29" t="s">
        <v>11</v>
      </c>
      <c r="G29">
        <v>1.48</v>
      </c>
      <c r="H29" t="s">
        <v>911</v>
      </c>
      <c r="I29">
        <v>128.82</v>
      </c>
      <c r="J29" t="s">
        <v>157</v>
      </c>
      <c r="K29" s="3">
        <v>45763</v>
      </c>
      <c r="M29" t="s">
        <v>912</v>
      </c>
      <c r="N29" s="2">
        <v>45809</v>
      </c>
      <c r="O29">
        <v>51162729</v>
      </c>
      <c r="P29">
        <v>1</v>
      </c>
      <c r="Q29" s="3">
        <v>45820</v>
      </c>
      <c r="R29">
        <v>230</v>
      </c>
      <c r="T29" t="s">
        <v>913</v>
      </c>
      <c r="U29">
        <v>0</v>
      </c>
    </row>
    <row r="30" spans="1:21" x14ac:dyDescent="0.35">
      <c r="A30" t="s">
        <v>910</v>
      </c>
      <c r="B30" t="s">
        <v>910</v>
      </c>
      <c r="C30" t="s">
        <v>438</v>
      </c>
      <c r="D30" s="4">
        <v>246779412048</v>
      </c>
      <c r="E30" s="3">
        <v>45733</v>
      </c>
      <c r="F30" t="s">
        <v>11</v>
      </c>
      <c r="G30">
        <v>0.46</v>
      </c>
      <c r="H30" t="s">
        <v>911</v>
      </c>
      <c r="I30">
        <v>40.04</v>
      </c>
      <c r="J30" t="s">
        <v>158</v>
      </c>
      <c r="K30" s="3">
        <v>45763</v>
      </c>
      <c r="M30" t="s">
        <v>912</v>
      </c>
      <c r="N30" s="2">
        <v>45809</v>
      </c>
      <c r="O30">
        <v>51162730</v>
      </c>
      <c r="P30">
        <v>1</v>
      </c>
      <c r="Q30" s="3">
        <v>45820</v>
      </c>
      <c r="R30">
        <v>230</v>
      </c>
      <c r="T30" t="s">
        <v>913</v>
      </c>
      <c r="U30">
        <v>0</v>
      </c>
    </row>
    <row r="31" spans="1:21" x14ac:dyDescent="0.35">
      <c r="A31" t="s">
        <v>910</v>
      </c>
      <c r="B31" t="s">
        <v>910</v>
      </c>
      <c r="C31" t="s">
        <v>438</v>
      </c>
      <c r="D31" s="4">
        <v>246779412046</v>
      </c>
      <c r="E31" s="3">
        <v>45733</v>
      </c>
      <c r="F31" t="s">
        <v>11</v>
      </c>
      <c r="G31">
        <v>0.34</v>
      </c>
      <c r="H31" t="s">
        <v>911</v>
      </c>
      <c r="I31">
        <v>29.59</v>
      </c>
      <c r="J31" t="s">
        <v>159</v>
      </c>
      <c r="K31" s="3">
        <v>45763</v>
      </c>
      <c r="M31" t="s">
        <v>912</v>
      </c>
      <c r="N31" s="2">
        <v>45809</v>
      </c>
      <c r="O31">
        <v>51162731</v>
      </c>
      <c r="P31">
        <v>1</v>
      </c>
      <c r="Q31" s="3">
        <v>45820</v>
      </c>
      <c r="R31">
        <v>230</v>
      </c>
      <c r="T31" t="s">
        <v>913</v>
      </c>
      <c r="U31">
        <v>0</v>
      </c>
    </row>
    <row r="32" spans="1:21" x14ac:dyDescent="0.35">
      <c r="A32" t="s">
        <v>910</v>
      </c>
      <c r="B32" t="s">
        <v>910</v>
      </c>
      <c r="C32" t="s">
        <v>438</v>
      </c>
      <c r="D32" s="4">
        <v>246779411597</v>
      </c>
      <c r="E32" s="3">
        <v>45733</v>
      </c>
      <c r="F32" t="s">
        <v>11</v>
      </c>
      <c r="G32">
        <v>1.1499999999999999</v>
      </c>
      <c r="H32" t="s">
        <v>911</v>
      </c>
      <c r="I32">
        <v>100.1</v>
      </c>
      <c r="J32" t="s">
        <v>160</v>
      </c>
      <c r="K32" s="3">
        <v>45763</v>
      </c>
      <c r="M32" t="s">
        <v>912</v>
      </c>
      <c r="N32" s="2">
        <v>45809</v>
      </c>
      <c r="O32">
        <v>51162732</v>
      </c>
      <c r="P32">
        <v>1</v>
      </c>
      <c r="Q32" s="3">
        <v>45820</v>
      </c>
      <c r="R32">
        <v>230</v>
      </c>
      <c r="T32" t="s">
        <v>913</v>
      </c>
      <c r="U32">
        <v>0</v>
      </c>
    </row>
    <row r="33" spans="1:21" x14ac:dyDescent="0.35">
      <c r="A33" t="s">
        <v>910</v>
      </c>
      <c r="B33" t="s">
        <v>910</v>
      </c>
      <c r="C33" t="s">
        <v>438</v>
      </c>
      <c r="D33" s="4">
        <v>246779410098</v>
      </c>
      <c r="E33" s="3">
        <v>45708</v>
      </c>
      <c r="F33" t="s">
        <v>11</v>
      </c>
      <c r="G33">
        <v>47.62</v>
      </c>
      <c r="H33" t="s">
        <v>911</v>
      </c>
      <c r="I33" s="27">
        <v>4121.01</v>
      </c>
      <c r="J33" t="s">
        <v>84</v>
      </c>
      <c r="K33" s="3">
        <v>45738</v>
      </c>
      <c r="M33" t="s">
        <v>912</v>
      </c>
      <c r="N33" s="2">
        <v>45809</v>
      </c>
      <c r="O33">
        <v>51162733</v>
      </c>
      <c r="P33">
        <v>1</v>
      </c>
      <c r="Q33" s="3">
        <v>45820</v>
      </c>
      <c r="R33">
        <v>230</v>
      </c>
      <c r="T33" t="s">
        <v>913</v>
      </c>
      <c r="U33">
        <v>0</v>
      </c>
    </row>
    <row r="34" spans="1:21" x14ac:dyDescent="0.35">
      <c r="A34" t="s">
        <v>910</v>
      </c>
      <c r="B34" t="s">
        <v>910</v>
      </c>
      <c r="C34" t="s">
        <v>438</v>
      </c>
      <c r="D34" s="4">
        <v>246779411637</v>
      </c>
      <c r="E34" s="3">
        <v>45733</v>
      </c>
      <c r="F34" t="s">
        <v>11</v>
      </c>
      <c r="G34">
        <v>8.59</v>
      </c>
      <c r="H34" t="s">
        <v>911</v>
      </c>
      <c r="I34">
        <v>747.69</v>
      </c>
      <c r="J34" t="s">
        <v>161</v>
      </c>
      <c r="K34" s="3">
        <v>45763</v>
      </c>
      <c r="M34" t="s">
        <v>912</v>
      </c>
      <c r="N34" s="2">
        <v>45809</v>
      </c>
      <c r="O34">
        <v>51162734</v>
      </c>
      <c r="P34">
        <v>1</v>
      </c>
      <c r="Q34" s="3">
        <v>45820</v>
      </c>
      <c r="R34">
        <v>230</v>
      </c>
      <c r="T34" t="s">
        <v>913</v>
      </c>
      <c r="U34">
        <v>0</v>
      </c>
    </row>
    <row r="35" spans="1:21" x14ac:dyDescent="0.35">
      <c r="A35" t="s">
        <v>910</v>
      </c>
      <c r="B35" t="s">
        <v>910</v>
      </c>
      <c r="C35" t="s">
        <v>438</v>
      </c>
      <c r="D35" s="4">
        <v>246779411721</v>
      </c>
      <c r="E35" s="3">
        <v>45733</v>
      </c>
      <c r="F35" t="s">
        <v>11</v>
      </c>
      <c r="G35">
        <v>10.51</v>
      </c>
      <c r="H35" t="s">
        <v>911</v>
      </c>
      <c r="I35">
        <v>914.82</v>
      </c>
      <c r="J35" t="s">
        <v>162</v>
      </c>
      <c r="K35" s="3">
        <v>45763</v>
      </c>
      <c r="M35" t="s">
        <v>912</v>
      </c>
      <c r="N35" s="2">
        <v>45809</v>
      </c>
      <c r="O35">
        <v>51162737</v>
      </c>
      <c r="P35">
        <v>1</v>
      </c>
      <c r="Q35" s="3">
        <v>45820</v>
      </c>
      <c r="R35">
        <v>230</v>
      </c>
      <c r="T35" t="s">
        <v>913</v>
      </c>
      <c r="U35">
        <v>0</v>
      </c>
    </row>
    <row r="36" spans="1:21" x14ac:dyDescent="0.35">
      <c r="A36" t="s">
        <v>910</v>
      </c>
      <c r="B36" t="s">
        <v>910</v>
      </c>
      <c r="C36" t="s">
        <v>438</v>
      </c>
      <c r="D36" s="4">
        <v>246779411720</v>
      </c>
      <c r="E36" s="3">
        <v>45733</v>
      </c>
      <c r="F36" t="s">
        <v>11</v>
      </c>
      <c r="G36">
        <v>0.34</v>
      </c>
      <c r="H36" t="s">
        <v>911</v>
      </c>
      <c r="I36">
        <v>29.59</v>
      </c>
      <c r="J36" t="s">
        <v>163</v>
      </c>
      <c r="K36" s="3">
        <v>45763</v>
      </c>
      <c r="M36" t="s">
        <v>912</v>
      </c>
      <c r="N36" s="2">
        <v>45809</v>
      </c>
      <c r="O36">
        <v>51162739</v>
      </c>
      <c r="P36">
        <v>1</v>
      </c>
      <c r="Q36" s="3">
        <v>45820</v>
      </c>
      <c r="R36">
        <v>230</v>
      </c>
      <c r="T36" t="s">
        <v>913</v>
      </c>
      <c r="U36">
        <v>0</v>
      </c>
    </row>
    <row r="37" spans="1:21" x14ac:dyDescent="0.35">
      <c r="A37" t="s">
        <v>910</v>
      </c>
      <c r="B37" t="s">
        <v>910</v>
      </c>
      <c r="C37" t="s">
        <v>438</v>
      </c>
      <c r="D37" s="4">
        <v>246779412043</v>
      </c>
      <c r="E37" s="3">
        <v>45733</v>
      </c>
      <c r="F37" t="s">
        <v>11</v>
      </c>
      <c r="G37">
        <v>0.34</v>
      </c>
      <c r="H37" t="s">
        <v>911</v>
      </c>
      <c r="I37">
        <v>29.59</v>
      </c>
      <c r="J37" t="s">
        <v>164</v>
      </c>
      <c r="K37" s="3">
        <v>45763</v>
      </c>
      <c r="M37" t="s">
        <v>912</v>
      </c>
      <c r="N37" s="2">
        <v>45809</v>
      </c>
      <c r="O37">
        <v>51162741</v>
      </c>
      <c r="P37">
        <v>1</v>
      </c>
      <c r="Q37" s="3">
        <v>45820</v>
      </c>
      <c r="R37">
        <v>230</v>
      </c>
      <c r="T37" t="s">
        <v>913</v>
      </c>
      <c r="U37">
        <v>0</v>
      </c>
    </row>
    <row r="38" spans="1:21" x14ac:dyDescent="0.35">
      <c r="A38" t="s">
        <v>910</v>
      </c>
      <c r="B38" t="s">
        <v>910</v>
      </c>
      <c r="C38" t="s">
        <v>438</v>
      </c>
      <c r="D38" s="4">
        <v>246779411718</v>
      </c>
      <c r="E38" s="3">
        <v>45733</v>
      </c>
      <c r="F38" t="s">
        <v>11</v>
      </c>
      <c r="G38">
        <v>0.46</v>
      </c>
      <c r="H38" t="s">
        <v>911</v>
      </c>
      <c r="I38">
        <v>40.04</v>
      </c>
      <c r="J38" t="s">
        <v>165</v>
      </c>
      <c r="K38" s="3">
        <v>45763</v>
      </c>
      <c r="M38" t="s">
        <v>912</v>
      </c>
      <c r="N38" s="2">
        <v>45809</v>
      </c>
      <c r="O38">
        <v>51162743</v>
      </c>
      <c r="P38">
        <v>1</v>
      </c>
      <c r="Q38" s="3">
        <v>45820</v>
      </c>
      <c r="R38">
        <v>230</v>
      </c>
      <c r="T38" t="s">
        <v>913</v>
      </c>
      <c r="U38">
        <v>0</v>
      </c>
    </row>
    <row r="39" spans="1:21" x14ac:dyDescent="0.35">
      <c r="A39" t="s">
        <v>910</v>
      </c>
      <c r="B39" t="s">
        <v>910</v>
      </c>
      <c r="C39" t="s">
        <v>438</v>
      </c>
      <c r="D39" s="4">
        <v>246779411896</v>
      </c>
      <c r="E39" s="3">
        <v>45733</v>
      </c>
      <c r="F39" t="s">
        <v>11</v>
      </c>
      <c r="G39">
        <v>0.8</v>
      </c>
      <c r="H39" t="s">
        <v>911</v>
      </c>
      <c r="I39">
        <v>69.63</v>
      </c>
      <c r="J39" t="s">
        <v>166</v>
      </c>
      <c r="K39" s="3">
        <v>45763</v>
      </c>
      <c r="M39" t="s">
        <v>912</v>
      </c>
      <c r="N39" s="2">
        <v>45809</v>
      </c>
      <c r="O39">
        <v>51162748</v>
      </c>
      <c r="P39">
        <v>1</v>
      </c>
      <c r="Q39" s="3">
        <v>45820</v>
      </c>
      <c r="R39">
        <v>230</v>
      </c>
      <c r="T39" t="s">
        <v>913</v>
      </c>
      <c r="U39">
        <v>0</v>
      </c>
    </row>
    <row r="40" spans="1:21" x14ac:dyDescent="0.35">
      <c r="A40" t="s">
        <v>910</v>
      </c>
      <c r="B40" t="s">
        <v>910</v>
      </c>
      <c r="C40" t="s">
        <v>438</v>
      </c>
      <c r="D40" s="4">
        <v>246779411738</v>
      </c>
      <c r="E40" s="3">
        <v>45733</v>
      </c>
      <c r="F40" t="s">
        <v>11</v>
      </c>
      <c r="G40">
        <v>0.56999999999999995</v>
      </c>
      <c r="H40" t="s">
        <v>911</v>
      </c>
      <c r="I40">
        <v>49.61</v>
      </c>
      <c r="J40" t="s">
        <v>167</v>
      </c>
      <c r="K40" s="3">
        <v>45763</v>
      </c>
      <c r="M40" t="s">
        <v>912</v>
      </c>
      <c r="N40" s="2">
        <v>45809</v>
      </c>
      <c r="O40">
        <v>51162751</v>
      </c>
      <c r="P40">
        <v>1</v>
      </c>
      <c r="Q40" s="3">
        <v>45820</v>
      </c>
      <c r="R40">
        <v>230</v>
      </c>
      <c r="T40" t="s">
        <v>913</v>
      </c>
      <c r="U40">
        <v>0</v>
      </c>
    </row>
    <row r="41" spans="1:21" x14ac:dyDescent="0.35">
      <c r="A41" t="s">
        <v>910</v>
      </c>
      <c r="B41" t="s">
        <v>910</v>
      </c>
      <c r="C41" t="s">
        <v>438</v>
      </c>
      <c r="D41" s="4">
        <v>246779411598</v>
      </c>
      <c r="E41" s="3">
        <v>45733</v>
      </c>
      <c r="F41" t="s">
        <v>11</v>
      </c>
      <c r="G41">
        <v>1.83</v>
      </c>
      <c r="H41" t="s">
        <v>911</v>
      </c>
      <c r="I41">
        <v>159.29</v>
      </c>
      <c r="J41" t="s">
        <v>168</v>
      </c>
      <c r="K41" s="3">
        <v>45763</v>
      </c>
      <c r="M41" t="s">
        <v>912</v>
      </c>
      <c r="N41" s="2">
        <v>45809</v>
      </c>
      <c r="O41">
        <v>51162752</v>
      </c>
      <c r="P41">
        <v>1</v>
      </c>
      <c r="Q41" s="3">
        <v>45820</v>
      </c>
      <c r="R41">
        <v>230</v>
      </c>
      <c r="T41" t="s">
        <v>913</v>
      </c>
      <c r="U41">
        <v>0</v>
      </c>
    </row>
    <row r="42" spans="1:21" x14ac:dyDescent="0.35">
      <c r="A42" t="s">
        <v>910</v>
      </c>
      <c r="B42" t="s">
        <v>910</v>
      </c>
      <c r="C42" t="s">
        <v>438</v>
      </c>
      <c r="D42" s="4">
        <v>246779411903</v>
      </c>
      <c r="E42" s="3">
        <v>45733</v>
      </c>
      <c r="F42" t="s">
        <v>11</v>
      </c>
      <c r="G42">
        <v>7.0000000000000007E-2</v>
      </c>
      <c r="H42" t="s">
        <v>911</v>
      </c>
      <c r="I42">
        <v>6.09</v>
      </c>
      <c r="J42" t="s">
        <v>169</v>
      </c>
      <c r="K42" s="3">
        <v>45763</v>
      </c>
      <c r="M42" t="s">
        <v>912</v>
      </c>
      <c r="N42" s="2">
        <v>45809</v>
      </c>
      <c r="O42">
        <v>51162753</v>
      </c>
      <c r="P42">
        <v>1</v>
      </c>
      <c r="Q42" s="3">
        <v>45820</v>
      </c>
      <c r="R42">
        <v>230</v>
      </c>
      <c r="T42" t="s">
        <v>913</v>
      </c>
      <c r="U42">
        <v>0</v>
      </c>
    </row>
    <row r="43" spans="1:21" x14ac:dyDescent="0.35">
      <c r="A43" t="s">
        <v>910</v>
      </c>
      <c r="B43" t="s">
        <v>910</v>
      </c>
      <c r="C43" t="s">
        <v>438</v>
      </c>
      <c r="D43" s="4">
        <v>246779411593</v>
      </c>
      <c r="E43" s="3">
        <v>45733</v>
      </c>
      <c r="F43" t="s">
        <v>11</v>
      </c>
      <c r="G43">
        <v>0.8</v>
      </c>
      <c r="H43" t="s">
        <v>911</v>
      </c>
      <c r="I43">
        <v>69.63</v>
      </c>
      <c r="J43" t="s">
        <v>170</v>
      </c>
      <c r="K43" s="3">
        <v>45763</v>
      </c>
      <c r="M43" t="s">
        <v>912</v>
      </c>
      <c r="N43" s="2">
        <v>45809</v>
      </c>
      <c r="O43">
        <v>51162754</v>
      </c>
      <c r="P43">
        <v>1</v>
      </c>
      <c r="Q43" s="3">
        <v>45820</v>
      </c>
      <c r="R43">
        <v>230</v>
      </c>
      <c r="T43" t="s">
        <v>913</v>
      </c>
      <c r="U43">
        <v>0</v>
      </c>
    </row>
    <row r="44" spans="1:21" x14ac:dyDescent="0.35">
      <c r="A44" t="s">
        <v>910</v>
      </c>
      <c r="B44" t="s">
        <v>910</v>
      </c>
      <c r="C44" t="s">
        <v>438</v>
      </c>
      <c r="D44" s="4">
        <v>246779411915</v>
      </c>
      <c r="E44" s="3">
        <v>45733</v>
      </c>
      <c r="F44" t="s">
        <v>11</v>
      </c>
      <c r="G44">
        <v>0.46</v>
      </c>
      <c r="H44" t="s">
        <v>911</v>
      </c>
      <c r="I44">
        <v>40.04</v>
      </c>
      <c r="J44" t="s">
        <v>171</v>
      </c>
      <c r="K44" s="3">
        <v>45763</v>
      </c>
      <c r="M44" t="s">
        <v>912</v>
      </c>
      <c r="N44" s="2">
        <v>45809</v>
      </c>
      <c r="O44">
        <v>51162756</v>
      </c>
      <c r="P44">
        <v>1</v>
      </c>
      <c r="Q44" s="3">
        <v>45820</v>
      </c>
      <c r="R44">
        <v>230</v>
      </c>
      <c r="T44" t="s">
        <v>913</v>
      </c>
      <c r="U44">
        <v>0</v>
      </c>
    </row>
    <row r="45" spans="1:21" x14ac:dyDescent="0.35">
      <c r="A45" t="s">
        <v>910</v>
      </c>
      <c r="B45" t="s">
        <v>910</v>
      </c>
      <c r="C45" t="s">
        <v>438</v>
      </c>
      <c r="D45" s="4">
        <v>246779410131</v>
      </c>
      <c r="E45" s="3">
        <v>45708</v>
      </c>
      <c r="F45" t="s">
        <v>11</v>
      </c>
      <c r="G45">
        <v>1.9</v>
      </c>
      <c r="H45" t="s">
        <v>911</v>
      </c>
      <c r="I45">
        <v>164.43</v>
      </c>
      <c r="J45" t="s">
        <v>85</v>
      </c>
      <c r="K45" s="3">
        <v>45738</v>
      </c>
      <c r="M45" t="s">
        <v>912</v>
      </c>
      <c r="N45" s="2">
        <v>45809</v>
      </c>
      <c r="O45">
        <v>51162757</v>
      </c>
      <c r="P45">
        <v>1</v>
      </c>
      <c r="Q45" s="3">
        <v>45820</v>
      </c>
      <c r="R45">
        <v>230</v>
      </c>
      <c r="T45" t="s">
        <v>913</v>
      </c>
      <c r="U45">
        <v>0</v>
      </c>
    </row>
    <row r="46" spans="1:21" x14ac:dyDescent="0.35">
      <c r="A46" t="s">
        <v>910</v>
      </c>
      <c r="B46" t="s">
        <v>910</v>
      </c>
      <c r="C46" t="s">
        <v>438</v>
      </c>
      <c r="D46" s="4">
        <v>246779411739</v>
      </c>
      <c r="E46" s="3">
        <v>45733</v>
      </c>
      <c r="F46" t="s">
        <v>11</v>
      </c>
      <c r="G46">
        <v>0.69</v>
      </c>
      <c r="H46" t="s">
        <v>911</v>
      </c>
      <c r="I46">
        <v>60.06</v>
      </c>
      <c r="J46" t="s">
        <v>172</v>
      </c>
      <c r="K46" s="3">
        <v>45763</v>
      </c>
      <c r="M46" t="s">
        <v>912</v>
      </c>
      <c r="N46" s="2">
        <v>45809</v>
      </c>
      <c r="O46">
        <v>51162758</v>
      </c>
      <c r="P46">
        <v>1</v>
      </c>
      <c r="Q46" s="3">
        <v>45820</v>
      </c>
      <c r="R46">
        <v>230</v>
      </c>
      <c r="T46" t="s">
        <v>913</v>
      </c>
      <c r="U46">
        <v>0</v>
      </c>
    </row>
    <row r="47" spans="1:21" x14ac:dyDescent="0.35">
      <c r="A47" t="s">
        <v>910</v>
      </c>
      <c r="B47" t="s">
        <v>910</v>
      </c>
      <c r="C47" t="s">
        <v>438</v>
      </c>
      <c r="D47" s="4">
        <v>246779412040</v>
      </c>
      <c r="E47" s="3">
        <v>45733</v>
      </c>
      <c r="F47" t="s">
        <v>11</v>
      </c>
      <c r="G47">
        <v>0.34</v>
      </c>
      <c r="H47" t="s">
        <v>911</v>
      </c>
      <c r="I47">
        <v>29.59</v>
      </c>
      <c r="J47" t="s">
        <v>173</v>
      </c>
      <c r="K47" s="3">
        <v>45763</v>
      </c>
      <c r="M47" t="s">
        <v>912</v>
      </c>
      <c r="N47" s="2">
        <v>45809</v>
      </c>
      <c r="O47">
        <v>51162759</v>
      </c>
      <c r="P47">
        <v>1</v>
      </c>
      <c r="Q47" s="3">
        <v>45820</v>
      </c>
      <c r="R47">
        <v>230</v>
      </c>
      <c r="T47" t="s">
        <v>913</v>
      </c>
      <c r="U47">
        <v>0</v>
      </c>
    </row>
    <row r="48" spans="1:21" x14ac:dyDescent="0.35">
      <c r="A48" t="s">
        <v>910</v>
      </c>
      <c r="B48" t="s">
        <v>910</v>
      </c>
      <c r="C48" t="s">
        <v>438</v>
      </c>
      <c r="D48" s="4">
        <v>246779412045</v>
      </c>
      <c r="E48" s="3">
        <v>45733</v>
      </c>
      <c r="F48" t="s">
        <v>11</v>
      </c>
      <c r="G48">
        <v>4.5999999999999996</v>
      </c>
      <c r="H48" t="s">
        <v>911</v>
      </c>
      <c r="I48">
        <v>400.4</v>
      </c>
      <c r="J48" t="s">
        <v>174</v>
      </c>
      <c r="K48" s="3">
        <v>45763</v>
      </c>
      <c r="M48" t="s">
        <v>912</v>
      </c>
      <c r="N48" s="2">
        <v>45809</v>
      </c>
      <c r="O48">
        <v>51162761</v>
      </c>
      <c r="P48">
        <v>1</v>
      </c>
      <c r="Q48" s="3">
        <v>45820</v>
      </c>
      <c r="R48">
        <v>230</v>
      </c>
      <c r="T48" t="s">
        <v>913</v>
      </c>
      <c r="U48">
        <v>0</v>
      </c>
    </row>
    <row r="49" spans="1:21" x14ac:dyDescent="0.35">
      <c r="A49" t="s">
        <v>910</v>
      </c>
      <c r="B49" t="s">
        <v>910</v>
      </c>
      <c r="C49" t="s">
        <v>438</v>
      </c>
      <c r="D49" s="4">
        <v>246779411596</v>
      </c>
      <c r="E49" s="3">
        <v>45733</v>
      </c>
      <c r="F49" t="s">
        <v>11</v>
      </c>
      <c r="G49">
        <v>1.49</v>
      </c>
      <c r="H49" t="s">
        <v>911</v>
      </c>
      <c r="I49">
        <v>129.69</v>
      </c>
      <c r="J49" t="s">
        <v>175</v>
      </c>
      <c r="K49" s="3">
        <v>45763</v>
      </c>
      <c r="M49" t="s">
        <v>912</v>
      </c>
      <c r="N49" s="2">
        <v>45809</v>
      </c>
      <c r="O49">
        <v>51162762</v>
      </c>
      <c r="P49">
        <v>1</v>
      </c>
      <c r="Q49" s="3">
        <v>45820</v>
      </c>
      <c r="R49">
        <v>230</v>
      </c>
      <c r="T49" t="s">
        <v>913</v>
      </c>
      <c r="U49">
        <v>0</v>
      </c>
    </row>
    <row r="50" spans="1:21" x14ac:dyDescent="0.35">
      <c r="A50" t="s">
        <v>910</v>
      </c>
      <c r="B50" t="s">
        <v>910</v>
      </c>
      <c r="C50" t="s">
        <v>438</v>
      </c>
      <c r="D50" s="4">
        <v>246779411733</v>
      </c>
      <c r="E50" s="3">
        <v>45733</v>
      </c>
      <c r="F50" t="s">
        <v>11</v>
      </c>
      <c r="G50">
        <v>0.34</v>
      </c>
      <c r="H50" t="s">
        <v>911</v>
      </c>
      <c r="I50">
        <v>29.59</v>
      </c>
      <c r="J50" t="s">
        <v>176</v>
      </c>
      <c r="K50" s="3">
        <v>45763</v>
      </c>
      <c r="M50" t="s">
        <v>912</v>
      </c>
      <c r="N50" s="2">
        <v>45809</v>
      </c>
      <c r="O50">
        <v>51162764</v>
      </c>
      <c r="P50">
        <v>1</v>
      </c>
      <c r="Q50" s="3">
        <v>45820</v>
      </c>
      <c r="R50">
        <v>230</v>
      </c>
      <c r="T50" t="s">
        <v>913</v>
      </c>
      <c r="U50">
        <v>0</v>
      </c>
    </row>
    <row r="51" spans="1:21" x14ac:dyDescent="0.35">
      <c r="A51" t="s">
        <v>910</v>
      </c>
      <c r="B51" t="s">
        <v>910</v>
      </c>
      <c r="C51" t="s">
        <v>438</v>
      </c>
      <c r="D51" s="4">
        <v>246779411594</v>
      </c>
      <c r="E51" s="3">
        <v>45733</v>
      </c>
      <c r="F51" t="s">
        <v>11</v>
      </c>
      <c r="G51">
        <v>0.34</v>
      </c>
      <c r="H51" t="s">
        <v>911</v>
      </c>
      <c r="I51">
        <v>29.59</v>
      </c>
      <c r="J51" t="s">
        <v>177</v>
      </c>
      <c r="K51" s="3">
        <v>45763</v>
      </c>
      <c r="M51" t="s">
        <v>912</v>
      </c>
      <c r="N51" s="2">
        <v>45809</v>
      </c>
      <c r="O51">
        <v>51162765</v>
      </c>
      <c r="P51">
        <v>1</v>
      </c>
      <c r="Q51" s="3">
        <v>45820</v>
      </c>
      <c r="R51">
        <v>230</v>
      </c>
      <c r="T51" t="s">
        <v>913</v>
      </c>
      <c r="U51">
        <v>0</v>
      </c>
    </row>
    <row r="52" spans="1:21" x14ac:dyDescent="0.35">
      <c r="A52" t="s">
        <v>910</v>
      </c>
      <c r="B52" t="s">
        <v>910</v>
      </c>
      <c r="C52" t="s">
        <v>438</v>
      </c>
      <c r="D52" s="4">
        <v>246779411734</v>
      </c>
      <c r="E52" s="3">
        <v>45733</v>
      </c>
      <c r="F52" t="s">
        <v>11</v>
      </c>
      <c r="G52">
        <v>0.46</v>
      </c>
      <c r="H52" t="s">
        <v>911</v>
      </c>
      <c r="I52">
        <v>40.04</v>
      </c>
      <c r="J52" t="s">
        <v>178</v>
      </c>
      <c r="K52" s="3">
        <v>45763</v>
      </c>
      <c r="M52" t="s">
        <v>912</v>
      </c>
      <c r="N52" s="2">
        <v>45809</v>
      </c>
      <c r="O52">
        <v>51162767</v>
      </c>
      <c r="P52">
        <v>1</v>
      </c>
      <c r="Q52" s="3">
        <v>45820</v>
      </c>
      <c r="R52">
        <v>230</v>
      </c>
      <c r="T52" t="s">
        <v>913</v>
      </c>
      <c r="U52">
        <v>0</v>
      </c>
    </row>
    <row r="53" spans="1:21" x14ac:dyDescent="0.35">
      <c r="A53" t="s">
        <v>910</v>
      </c>
      <c r="B53" t="s">
        <v>910</v>
      </c>
      <c r="C53" t="s">
        <v>438</v>
      </c>
      <c r="D53" s="4">
        <v>246779410315</v>
      </c>
      <c r="E53" s="3">
        <v>45708</v>
      </c>
      <c r="F53" t="s">
        <v>11</v>
      </c>
      <c r="G53">
        <v>47.62</v>
      </c>
      <c r="H53" t="s">
        <v>911</v>
      </c>
      <c r="I53" s="27">
        <v>4144.96</v>
      </c>
      <c r="J53" t="s">
        <v>86</v>
      </c>
      <c r="K53" s="3">
        <v>45738</v>
      </c>
      <c r="M53" t="s">
        <v>912</v>
      </c>
      <c r="N53" s="2">
        <v>45809</v>
      </c>
      <c r="O53">
        <v>51162769</v>
      </c>
      <c r="P53">
        <v>1</v>
      </c>
      <c r="Q53" s="3">
        <v>45820</v>
      </c>
      <c r="R53">
        <v>230</v>
      </c>
      <c r="T53" t="s">
        <v>913</v>
      </c>
      <c r="U53">
        <v>0</v>
      </c>
    </row>
    <row r="54" spans="1:21" x14ac:dyDescent="0.35">
      <c r="A54" t="s">
        <v>910</v>
      </c>
      <c r="B54" t="s">
        <v>910</v>
      </c>
      <c r="C54" t="s">
        <v>438</v>
      </c>
      <c r="D54" s="4">
        <v>246779411741</v>
      </c>
      <c r="E54" s="3">
        <v>45733</v>
      </c>
      <c r="F54" t="s">
        <v>11</v>
      </c>
      <c r="G54">
        <v>4.8</v>
      </c>
      <c r="H54" t="s">
        <v>911</v>
      </c>
      <c r="I54">
        <v>417.8</v>
      </c>
      <c r="J54" t="s">
        <v>179</v>
      </c>
      <c r="K54" s="3">
        <v>45763</v>
      </c>
      <c r="M54" t="s">
        <v>912</v>
      </c>
      <c r="N54" s="2">
        <v>45809</v>
      </c>
      <c r="O54">
        <v>51162770</v>
      </c>
      <c r="P54">
        <v>1</v>
      </c>
      <c r="Q54" s="3">
        <v>45820</v>
      </c>
      <c r="R54">
        <v>230</v>
      </c>
      <c r="T54" t="s">
        <v>913</v>
      </c>
      <c r="U54">
        <v>0</v>
      </c>
    </row>
    <row r="55" spans="1:21" x14ac:dyDescent="0.35">
      <c r="A55" t="s">
        <v>910</v>
      </c>
      <c r="B55" t="s">
        <v>910</v>
      </c>
      <c r="C55" t="s">
        <v>438</v>
      </c>
      <c r="D55" s="4">
        <v>246779411902</v>
      </c>
      <c r="E55" s="3">
        <v>45733</v>
      </c>
      <c r="F55" t="s">
        <v>11</v>
      </c>
      <c r="G55">
        <v>0.04</v>
      </c>
      <c r="H55" t="s">
        <v>911</v>
      </c>
      <c r="I55">
        <v>3.48</v>
      </c>
      <c r="J55" t="s">
        <v>180</v>
      </c>
      <c r="K55" s="3">
        <v>45763</v>
      </c>
      <c r="M55" t="s">
        <v>912</v>
      </c>
      <c r="N55" s="2">
        <v>45809</v>
      </c>
      <c r="O55">
        <v>51162776</v>
      </c>
      <c r="P55">
        <v>1</v>
      </c>
      <c r="Q55" s="3">
        <v>45820</v>
      </c>
      <c r="R55">
        <v>230</v>
      </c>
      <c r="T55" t="s">
        <v>913</v>
      </c>
      <c r="U55">
        <v>0</v>
      </c>
    </row>
    <row r="56" spans="1:21" x14ac:dyDescent="0.35">
      <c r="A56" t="s">
        <v>910</v>
      </c>
      <c r="B56" t="s">
        <v>910</v>
      </c>
      <c r="C56" t="s">
        <v>438</v>
      </c>
      <c r="D56" s="4">
        <v>246779411910</v>
      </c>
      <c r="E56" s="3">
        <v>45733</v>
      </c>
      <c r="F56" t="s">
        <v>11</v>
      </c>
      <c r="G56">
        <v>0.56999999999999995</v>
      </c>
      <c r="H56" t="s">
        <v>911</v>
      </c>
      <c r="I56">
        <v>49.61</v>
      </c>
      <c r="J56" t="s">
        <v>181</v>
      </c>
      <c r="K56" s="3">
        <v>45763</v>
      </c>
      <c r="M56" t="s">
        <v>912</v>
      </c>
      <c r="N56" s="2">
        <v>45809</v>
      </c>
      <c r="O56">
        <v>51162778</v>
      </c>
      <c r="P56">
        <v>1</v>
      </c>
      <c r="Q56" s="3">
        <v>45820</v>
      </c>
      <c r="R56">
        <v>230</v>
      </c>
      <c r="T56" t="s">
        <v>913</v>
      </c>
      <c r="U56">
        <v>0</v>
      </c>
    </row>
    <row r="57" spans="1:21" x14ac:dyDescent="0.35">
      <c r="A57" t="s">
        <v>910</v>
      </c>
      <c r="B57" t="s">
        <v>910</v>
      </c>
      <c r="C57" t="s">
        <v>438</v>
      </c>
      <c r="D57" s="4">
        <v>246779411600</v>
      </c>
      <c r="E57" s="3">
        <v>45733</v>
      </c>
      <c r="F57" t="s">
        <v>11</v>
      </c>
      <c r="G57">
        <v>0.05</v>
      </c>
      <c r="H57" t="s">
        <v>911</v>
      </c>
      <c r="I57">
        <v>4.3499999999999996</v>
      </c>
      <c r="J57" t="s">
        <v>182</v>
      </c>
      <c r="K57" s="3">
        <v>45763</v>
      </c>
      <c r="M57" t="s">
        <v>912</v>
      </c>
      <c r="N57" s="2">
        <v>45809</v>
      </c>
      <c r="O57">
        <v>51162779</v>
      </c>
      <c r="P57">
        <v>1</v>
      </c>
      <c r="Q57" s="3">
        <v>45820</v>
      </c>
      <c r="R57">
        <v>230</v>
      </c>
      <c r="T57" t="s">
        <v>913</v>
      </c>
      <c r="U57">
        <v>0</v>
      </c>
    </row>
    <row r="58" spans="1:21" x14ac:dyDescent="0.35">
      <c r="A58" t="s">
        <v>910</v>
      </c>
      <c r="B58" t="s">
        <v>910</v>
      </c>
      <c r="C58" t="s">
        <v>438</v>
      </c>
      <c r="D58" s="4">
        <v>246779411907</v>
      </c>
      <c r="E58" s="3">
        <v>45733</v>
      </c>
      <c r="F58" t="s">
        <v>11</v>
      </c>
      <c r="G58">
        <v>0.34</v>
      </c>
      <c r="H58" t="s">
        <v>911</v>
      </c>
      <c r="I58">
        <v>29.59</v>
      </c>
      <c r="J58" t="s">
        <v>183</v>
      </c>
      <c r="K58" s="3">
        <v>45763</v>
      </c>
      <c r="M58" t="s">
        <v>912</v>
      </c>
      <c r="N58" s="2">
        <v>45809</v>
      </c>
      <c r="O58">
        <v>51162780</v>
      </c>
      <c r="P58">
        <v>1</v>
      </c>
      <c r="Q58" s="3">
        <v>45820</v>
      </c>
      <c r="R58">
        <v>230</v>
      </c>
      <c r="T58" t="s">
        <v>913</v>
      </c>
      <c r="U58">
        <v>0</v>
      </c>
    </row>
    <row r="59" spans="1:21" x14ac:dyDescent="0.35">
      <c r="A59" t="s">
        <v>910</v>
      </c>
      <c r="B59" t="s">
        <v>910</v>
      </c>
      <c r="C59" t="s">
        <v>438</v>
      </c>
      <c r="D59" s="4">
        <v>246779410436</v>
      </c>
      <c r="E59" s="3">
        <v>45719</v>
      </c>
      <c r="F59" t="s">
        <v>11</v>
      </c>
      <c r="G59">
        <v>26.65</v>
      </c>
      <c r="H59" t="s">
        <v>911</v>
      </c>
      <c r="I59" s="27">
        <v>2319.6799999999998</v>
      </c>
      <c r="J59" t="s">
        <v>426</v>
      </c>
      <c r="K59" s="3">
        <v>45749</v>
      </c>
      <c r="M59" t="s">
        <v>912</v>
      </c>
      <c r="N59" s="2">
        <v>45809</v>
      </c>
      <c r="O59">
        <v>51162782</v>
      </c>
      <c r="P59">
        <v>1</v>
      </c>
      <c r="Q59" s="3">
        <v>45820</v>
      </c>
      <c r="R59">
        <v>230</v>
      </c>
      <c r="T59" t="s">
        <v>913</v>
      </c>
      <c r="U59">
        <v>0</v>
      </c>
    </row>
    <row r="60" spans="1:21" x14ac:dyDescent="0.35">
      <c r="A60" t="s">
        <v>910</v>
      </c>
      <c r="B60" t="s">
        <v>910</v>
      </c>
      <c r="C60" t="s">
        <v>438</v>
      </c>
      <c r="D60" s="4">
        <v>246779412044</v>
      </c>
      <c r="E60" s="3">
        <v>45733</v>
      </c>
      <c r="F60" t="s">
        <v>11</v>
      </c>
      <c r="G60">
        <v>0.61</v>
      </c>
      <c r="H60" t="s">
        <v>911</v>
      </c>
      <c r="I60">
        <v>53.1</v>
      </c>
      <c r="J60" t="s">
        <v>184</v>
      </c>
      <c r="K60" s="3">
        <v>45763</v>
      </c>
      <c r="M60" t="s">
        <v>912</v>
      </c>
      <c r="N60" s="2">
        <v>45809</v>
      </c>
      <c r="O60">
        <v>51162783</v>
      </c>
      <c r="P60">
        <v>1</v>
      </c>
      <c r="Q60" s="3">
        <v>45820</v>
      </c>
      <c r="R60">
        <v>230</v>
      </c>
      <c r="T60" t="s">
        <v>913</v>
      </c>
      <c r="U60">
        <v>0</v>
      </c>
    </row>
    <row r="61" spans="1:21" x14ac:dyDescent="0.35">
      <c r="A61" t="s">
        <v>910</v>
      </c>
      <c r="B61" t="s">
        <v>910</v>
      </c>
      <c r="C61" t="s">
        <v>438</v>
      </c>
      <c r="D61" s="4">
        <v>246779411724</v>
      </c>
      <c r="E61" s="3">
        <v>45733</v>
      </c>
      <c r="F61" t="s">
        <v>11</v>
      </c>
      <c r="G61">
        <v>1.37</v>
      </c>
      <c r="H61" t="s">
        <v>911</v>
      </c>
      <c r="I61">
        <v>119.25</v>
      </c>
      <c r="J61" t="s">
        <v>185</v>
      </c>
      <c r="K61" s="3">
        <v>45763</v>
      </c>
      <c r="M61" t="s">
        <v>912</v>
      </c>
      <c r="N61" s="2">
        <v>45809</v>
      </c>
      <c r="O61">
        <v>51162785</v>
      </c>
      <c r="P61">
        <v>1</v>
      </c>
      <c r="Q61" s="3">
        <v>45820</v>
      </c>
      <c r="R61">
        <v>230</v>
      </c>
      <c r="T61" t="s">
        <v>913</v>
      </c>
      <c r="U61">
        <v>0</v>
      </c>
    </row>
    <row r="62" spans="1:21" x14ac:dyDescent="0.35">
      <c r="A62" t="s">
        <v>910</v>
      </c>
      <c r="B62" t="s">
        <v>910</v>
      </c>
      <c r="C62" t="s">
        <v>438</v>
      </c>
      <c r="D62" s="4">
        <v>246779411726</v>
      </c>
      <c r="E62" s="3">
        <v>45733</v>
      </c>
      <c r="F62" t="s">
        <v>11</v>
      </c>
      <c r="G62">
        <v>0.56999999999999995</v>
      </c>
      <c r="H62" t="s">
        <v>911</v>
      </c>
      <c r="I62">
        <v>49.61</v>
      </c>
      <c r="J62" t="s">
        <v>186</v>
      </c>
      <c r="K62" s="3">
        <v>45763</v>
      </c>
      <c r="M62" t="s">
        <v>912</v>
      </c>
      <c r="N62" s="2">
        <v>45809</v>
      </c>
      <c r="O62">
        <v>51162788</v>
      </c>
      <c r="P62">
        <v>1</v>
      </c>
      <c r="Q62" s="3">
        <v>45820</v>
      </c>
      <c r="R62">
        <v>230</v>
      </c>
      <c r="T62" t="s">
        <v>913</v>
      </c>
      <c r="U62">
        <v>0</v>
      </c>
    </row>
    <row r="63" spans="1:21" x14ac:dyDescent="0.35">
      <c r="A63" t="s">
        <v>910</v>
      </c>
      <c r="B63" t="s">
        <v>910</v>
      </c>
      <c r="C63" t="s">
        <v>438</v>
      </c>
      <c r="D63" s="4">
        <v>246779411599</v>
      </c>
      <c r="E63" s="3">
        <v>45733</v>
      </c>
      <c r="F63" t="s">
        <v>11</v>
      </c>
      <c r="G63">
        <v>0.76</v>
      </c>
      <c r="H63" t="s">
        <v>911</v>
      </c>
      <c r="I63">
        <v>66.150000000000006</v>
      </c>
      <c r="J63" t="s">
        <v>187</v>
      </c>
      <c r="K63" s="3">
        <v>45763</v>
      </c>
      <c r="M63" t="s">
        <v>912</v>
      </c>
      <c r="N63" s="2">
        <v>45809</v>
      </c>
      <c r="O63">
        <v>51162789</v>
      </c>
      <c r="P63">
        <v>1</v>
      </c>
      <c r="Q63" s="3">
        <v>45820</v>
      </c>
      <c r="R63">
        <v>230</v>
      </c>
      <c r="T63" t="s">
        <v>913</v>
      </c>
      <c r="U63">
        <v>0</v>
      </c>
    </row>
    <row r="64" spans="1:21" x14ac:dyDescent="0.35">
      <c r="A64" t="s">
        <v>910</v>
      </c>
      <c r="B64" t="s">
        <v>910</v>
      </c>
      <c r="C64" t="s">
        <v>438</v>
      </c>
      <c r="D64" s="4">
        <v>246779411735</v>
      </c>
      <c r="E64" s="3">
        <v>45733</v>
      </c>
      <c r="F64" t="s">
        <v>11</v>
      </c>
      <c r="G64">
        <v>9.59</v>
      </c>
      <c r="H64" t="s">
        <v>911</v>
      </c>
      <c r="I64">
        <v>834.74</v>
      </c>
      <c r="J64" t="s">
        <v>188</v>
      </c>
      <c r="K64" s="3">
        <v>45763</v>
      </c>
      <c r="M64" t="s">
        <v>912</v>
      </c>
      <c r="N64" s="2">
        <v>45809</v>
      </c>
      <c r="O64">
        <v>51162790</v>
      </c>
      <c r="P64">
        <v>1</v>
      </c>
      <c r="Q64" s="3">
        <v>45820</v>
      </c>
      <c r="R64">
        <v>230</v>
      </c>
      <c r="T64" t="s">
        <v>913</v>
      </c>
      <c r="U64">
        <v>0</v>
      </c>
    </row>
    <row r="65" spans="1:21" x14ac:dyDescent="0.35">
      <c r="A65" t="s">
        <v>910</v>
      </c>
      <c r="B65" t="s">
        <v>910</v>
      </c>
      <c r="C65" t="s">
        <v>438</v>
      </c>
      <c r="D65" s="4">
        <v>246779411312</v>
      </c>
      <c r="E65" s="3">
        <v>45729</v>
      </c>
      <c r="F65" t="s">
        <v>11</v>
      </c>
      <c r="G65">
        <v>0.54</v>
      </c>
      <c r="H65" t="s">
        <v>911</v>
      </c>
      <c r="I65">
        <v>47</v>
      </c>
      <c r="J65" t="s">
        <v>244</v>
      </c>
      <c r="K65" s="3">
        <v>45759</v>
      </c>
      <c r="M65" t="s">
        <v>912</v>
      </c>
      <c r="N65" s="2">
        <v>45809</v>
      </c>
      <c r="O65">
        <v>51163176</v>
      </c>
      <c r="P65">
        <v>1</v>
      </c>
      <c r="Q65" s="3">
        <v>45820</v>
      </c>
      <c r="R65">
        <v>230</v>
      </c>
      <c r="T65" t="s">
        <v>913</v>
      </c>
      <c r="U65">
        <v>0</v>
      </c>
    </row>
    <row r="66" spans="1:21" x14ac:dyDescent="0.35">
      <c r="A66" t="s">
        <v>910</v>
      </c>
      <c r="B66" t="s">
        <v>910</v>
      </c>
      <c r="C66" t="s">
        <v>438</v>
      </c>
      <c r="D66" s="4">
        <v>246779411725</v>
      </c>
      <c r="E66" s="3">
        <v>45733</v>
      </c>
      <c r="F66" t="s">
        <v>11</v>
      </c>
      <c r="G66">
        <v>0.46</v>
      </c>
      <c r="H66" t="s">
        <v>911</v>
      </c>
      <c r="I66">
        <v>40.04</v>
      </c>
      <c r="J66" t="s">
        <v>189</v>
      </c>
      <c r="K66" s="3">
        <v>45763</v>
      </c>
      <c r="M66" t="s">
        <v>912</v>
      </c>
      <c r="N66" s="2">
        <v>45809</v>
      </c>
      <c r="O66">
        <v>51163177</v>
      </c>
      <c r="P66">
        <v>1</v>
      </c>
      <c r="Q66" s="3">
        <v>45820</v>
      </c>
      <c r="R66">
        <v>230</v>
      </c>
      <c r="T66" t="s">
        <v>913</v>
      </c>
      <c r="U66">
        <v>0</v>
      </c>
    </row>
    <row r="67" spans="1:21" x14ac:dyDescent="0.35">
      <c r="A67" t="s">
        <v>910</v>
      </c>
      <c r="B67" t="s">
        <v>910</v>
      </c>
      <c r="C67" t="s">
        <v>438</v>
      </c>
      <c r="D67" s="4">
        <v>246779411911</v>
      </c>
      <c r="E67" s="3">
        <v>45733</v>
      </c>
      <c r="F67" t="s">
        <v>11</v>
      </c>
      <c r="G67">
        <v>0.6</v>
      </c>
      <c r="H67" t="s">
        <v>911</v>
      </c>
      <c r="I67">
        <v>52.23</v>
      </c>
      <c r="J67" t="s">
        <v>190</v>
      </c>
      <c r="K67" s="3">
        <v>45763</v>
      </c>
      <c r="M67" t="s">
        <v>912</v>
      </c>
      <c r="N67" s="2">
        <v>45809</v>
      </c>
      <c r="O67">
        <v>51163182</v>
      </c>
      <c r="P67">
        <v>1</v>
      </c>
      <c r="Q67" s="3">
        <v>45820</v>
      </c>
      <c r="R67">
        <v>230</v>
      </c>
      <c r="T67" t="s">
        <v>913</v>
      </c>
      <c r="U67">
        <v>0</v>
      </c>
    </row>
    <row r="68" spans="1:21" x14ac:dyDescent="0.35">
      <c r="A68" t="s">
        <v>910</v>
      </c>
      <c r="B68" t="s">
        <v>910</v>
      </c>
      <c r="C68" t="s">
        <v>438</v>
      </c>
      <c r="D68" s="4">
        <v>246779411901</v>
      </c>
      <c r="E68" s="3">
        <v>45733</v>
      </c>
      <c r="F68" t="s">
        <v>11</v>
      </c>
      <c r="G68">
        <v>0.26</v>
      </c>
      <c r="H68" t="s">
        <v>911</v>
      </c>
      <c r="I68">
        <v>22.63</v>
      </c>
      <c r="J68" t="s">
        <v>191</v>
      </c>
      <c r="K68" s="3">
        <v>45763</v>
      </c>
      <c r="M68" t="s">
        <v>912</v>
      </c>
      <c r="N68" s="2">
        <v>45809</v>
      </c>
      <c r="O68">
        <v>51163200</v>
      </c>
      <c r="P68">
        <v>1</v>
      </c>
      <c r="Q68" s="3">
        <v>45820</v>
      </c>
      <c r="R68">
        <v>230</v>
      </c>
      <c r="T68" t="s">
        <v>913</v>
      </c>
      <c r="U68">
        <v>0</v>
      </c>
    </row>
    <row r="69" spans="1:21" x14ac:dyDescent="0.35">
      <c r="A69" t="s">
        <v>910</v>
      </c>
      <c r="B69" t="s">
        <v>910</v>
      </c>
      <c r="C69" t="s">
        <v>438</v>
      </c>
      <c r="D69" s="4">
        <v>246779410312</v>
      </c>
      <c r="E69" s="3">
        <v>45708</v>
      </c>
      <c r="F69" t="s">
        <v>11</v>
      </c>
      <c r="G69">
        <v>1.05</v>
      </c>
      <c r="H69" t="s">
        <v>911</v>
      </c>
      <c r="I69">
        <v>91.39</v>
      </c>
      <c r="J69" t="s">
        <v>87</v>
      </c>
      <c r="K69" s="3">
        <v>45738</v>
      </c>
      <c r="M69" t="s">
        <v>912</v>
      </c>
      <c r="N69" s="2">
        <v>45809</v>
      </c>
      <c r="O69">
        <v>51163203</v>
      </c>
      <c r="P69">
        <v>1</v>
      </c>
      <c r="Q69" s="3">
        <v>45820</v>
      </c>
      <c r="R69">
        <v>230</v>
      </c>
      <c r="T69" t="s">
        <v>913</v>
      </c>
      <c r="U69">
        <v>0</v>
      </c>
    </row>
    <row r="70" spans="1:21" x14ac:dyDescent="0.35">
      <c r="A70" t="s">
        <v>910</v>
      </c>
      <c r="B70" t="s">
        <v>910</v>
      </c>
      <c r="C70" t="s">
        <v>438</v>
      </c>
      <c r="D70" s="4">
        <v>246779411905</v>
      </c>
      <c r="E70" s="3">
        <v>45733</v>
      </c>
      <c r="F70" t="s">
        <v>11</v>
      </c>
      <c r="G70">
        <v>0.14000000000000001</v>
      </c>
      <c r="H70" t="s">
        <v>911</v>
      </c>
      <c r="I70">
        <v>12.19</v>
      </c>
      <c r="J70" t="s">
        <v>192</v>
      </c>
      <c r="K70" s="3">
        <v>45763</v>
      </c>
      <c r="M70" t="s">
        <v>912</v>
      </c>
      <c r="N70" s="2">
        <v>45809</v>
      </c>
      <c r="O70">
        <v>51163212</v>
      </c>
      <c r="P70">
        <v>1</v>
      </c>
      <c r="Q70" s="3">
        <v>45820</v>
      </c>
      <c r="R70">
        <v>230</v>
      </c>
      <c r="T70" t="s">
        <v>913</v>
      </c>
      <c r="U70">
        <v>0</v>
      </c>
    </row>
    <row r="71" spans="1:21" x14ac:dyDescent="0.35">
      <c r="A71" t="s">
        <v>910</v>
      </c>
      <c r="B71" t="s">
        <v>910</v>
      </c>
      <c r="C71" t="s">
        <v>438</v>
      </c>
      <c r="D71" s="4">
        <v>246779411731</v>
      </c>
      <c r="E71" s="3">
        <v>45733</v>
      </c>
      <c r="F71" t="s">
        <v>11</v>
      </c>
      <c r="G71">
        <v>0.46</v>
      </c>
      <c r="H71" t="s">
        <v>911</v>
      </c>
      <c r="I71">
        <v>40.04</v>
      </c>
      <c r="J71" t="s">
        <v>193</v>
      </c>
      <c r="K71" s="3">
        <v>45763</v>
      </c>
      <c r="M71" t="s">
        <v>912</v>
      </c>
      <c r="N71" s="2">
        <v>45809</v>
      </c>
      <c r="O71">
        <v>51163214</v>
      </c>
      <c r="P71">
        <v>1</v>
      </c>
      <c r="Q71" s="3">
        <v>45820</v>
      </c>
      <c r="R71">
        <v>230</v>
      </c>
      <c r="T71" t="s">
        <v>913</v>
      </c>
      <c r="U71">
        <v>0</v>
      </c>
    </row>
    <row r="72" spans="1:21" x14ac:dyDescent="0.35">
      <c r="A72" t="s">
        <v>910</v>
      </c>
      <c r="B72" t="s">
        <v>910</v>
      </c>
      <c r="C72" t="s">
        <v>438</v>
      </c>
      <c r="D72" s="4">
        <v>246779411719</v>
      </c>
      <c r="E72" s="3">
        <v>45733</v>
      </c>
      <c r="F72" t="s">
        <v>11</v>
      </c>
      <c r="G72">
        <v>0.56999999999999995</v>
      </c>
      <c r="H72" t="s">
        <v>911</v>
      </c>
      <c r="I72">
        <v>49.61</v>
      </c>
      <c r="J72" t="s">
        <v>194</v>
      </c>
      <c r="K72" s="3">
        <v>45763</v>
      </c>
      <c r="M72" t="s">
        <v>912</v>
      </c>
      <c r="N72" s="2">
        <v>45809</v>
      </c>
      <c r="O72">
        <v>51163217</v>
      </c>
      <c r="P72">
        <v>1</v>
      </c>
      <c r="Q72" s="3">
        <v>45820</v>
      </c>
      <c r="R72">
        <v>230</v>
      </c>
      <c r="T72" t="s">
        <v>913</v>
      </c>
      <c r="U72">
        <v>0</v>
      </c>
    </row>
    <row r="73" spans="1:21" x14ac:dyDescent="0.35">
      <c r="A73" t="s">
        <v>910</v>
      </c>
      <c r="B73" t="s">
        <v>910</v>
      </c>
      <c r="C73" t="s">
        <v>438</v>
      </c>
      <c r="D73" s="4">
        <v>246779414662</v>
      </c>
      <c r="E73" s="3">
        <v>45736</v>
      </c>
      <c r="F73" t="s">
        <v>11</v>
      </c>
      <c r="G73">
        <v>5.5</v>
      </c>
      <c r="H73" t="s">
        <v>911</v>
      </c>
      <c r="I73">
        <v>478.73</v>
      </c>
      <c r="J73" t="s">
        <v>72</v>
      </c>
      <c r="K73" s="3">
        <v>45766</v>
      </c>
      <c r="M73" t="s">
        <v>912</v>
      </c>
      <c r="N73" s="2">
        <v>45809</v>
      </c>
      <c r="O73">
        <v>51163224</v>
      </c>
      <c r="P73">
        <v>1</v>
      </c>
      <c r="Q73" s="3">
        <v>45820</v>
      </c>
      <c r="R73">
        <v>230</v>
      </c>
      <c r="T73" t="s">
        <v>913</v>
      </c>
      <c r="U73">
        <v>0</v>
      </c>
    </row>
    <row r="74" spans="1:21" x14ac:dyDescent="0.35">
      <c r="A74" t="s">
        <v>910</v>
      </c>
      <c r="B74" t="s">
        <v>910</v>
      </c>
      <c r="C74" t="s">
        <v>438</v>
      </c>
      <c r="D74" s="4">
        <v>246779411906</v>
      </c>
      <c r="E74" s="3">
        <v>45733</v>
      </c>
      <c r="F74" t="s">
        <v>11</v>
      </c>
      <c r="G74">
        <v>0.68</v>
      </c>
      <c r="H74" t="s">
        <v>911</v>
      </c>
      <c r="I74">
        <v>59.19</v>
      </c>
      <c r="J74" t="s">
        <v>195</v>
      </c>
      <c r="K74" s="3">
        <v>45763</v>
      </c>
      <c r="M74" t="s">
        <v>912</v>
      </c>
      <c r="N74" s="2">
        <v>45809</v>
      </c>
      <c r="O74">
        <v>51163226</v>
      </c>
      <c r="P74">
        <v>1</v>
      </c>
      <c r="Q74" s="3">
        <v>45820</v>
      </c>
      <c r="R74">
        <v>230</v>
      </c>
      <c r="T74" t="s">
        <v>913</v>
      </c>
      <c r="U74">
        <v>0</v>
      </c>
    </row>
    <row r="75" spans="1:21" x14ac:dyDescent="0.35">
      <c r="A75" t="s">
        <v>910</v>
      </c>
      <c r="B75" t="s">
        <v>910</v>
      </c>
      <c r="C75" t="s">
        <v>438</v>
      </c>
      <c r="D75" s="4">
        <v>246779414385</v>
      </c>
      <c r="E75" s="3">
        <v>45736</v>
      </c>
      <c r="F75" t="s">
        <v>11</v>
      </c>
      <c r="G75">
        <v>4.8</v>
      </c>
      <c r="H75" t="s">
        <v>911</v>
      </c>
      <c r="I75">
        <v>417.8</v>
      </c>
      <c r="J75" t="s">
        <v>73</v>
      </c>
      <c r="K75" s="3">
        <v>45766</v>
      </c>
      <c r="M75" t="s">
        <v>912</v>
      </c>
      <c r="N75" s="2">
        <v>45809</v>
      </c>
      <c r="O75">
        <v>51163887</v>
      </c>
      <c r="P75">
        <v>1</v>
      </c>
      <c r="Q75" s="3">
        <v>45820</v>
      </c>
      <c r="R75">
        <v>230</v>
      </c>
      <c r="T75" t="s">
        <v>913</v>
      </c>
      <c r="U75">
        <v>0</v>
      </c>
    </row>
    <row r="76" spans="1:21" x14ac:dyDescent="0.35">
      <c r="A76" t="s">
        <v>910</v>
      </c>
      <c r="B76" t="s">
        <v>910</v>
      </c>
      <c r="C76" t="s">
        <v>438</v>
      </c>
      <c r="D76" s="4">
        <v>246779411728</v>
      </c>
      <c r="E76" s="3">
        <v>45733</v>
      </c>
      <c r="F76" t="s">
        <v>11</v>
      </c>
      <c r="G76">
        <v>0.23</v>
      </c>
      <c r="H76" t="s">
        <v>911</v>
      </c>
      <c r="I76">
        <v>20.02</v>
      </c>
      <c r="J76" t="s">
        <v>196</v>
      </c>
      <c r="K76" s="3">
        <v>45763</v>
      </c>
      <c r="M76" t="s">
        <v>912</v>
      </c>
      <c r="N76" s="2">
        <v>45809</v>
      </c>
      <c r="O76">
        <v>51163889</v>
      </c>
      <c r="P76">
        <v>1</v>
      </c>
      <c r="Q76" s="3">
        <v>45820</v>
      </c>
      <c r="R76">
        <v>230</v>
      </c>
      <c r="T76" t="s">
        <v>913</v>
      </c>
      <c r="U76">
        <v>0</v>
      </c>
    </row>
    <row r="77" spans="1:21" x14ac:dyDescent="0.35">
      <c r="A77" t="s">
        <v>910</v>
      </c>
      <c r="B77" t="s">
        <v>910</v>
      </c>
      <c r="C77" t="s">
        <v>438</v>
      </c>
      <c r="D77" s="4">
        <v>246779411904</v>
      </c>
      <c r="E77" s="3">
        <v>45733</v>
      </c>
      <c r="F77" t="s">
        <v>11</v>
      </c>
      <c r="G77">
        <v>1.18</v>
      </c>
      <c r="H77" t="s">
        <v>911</v>
      </c>
      <c r="I77">
        <v>102.71</v>
      </c>
      <c r="J77" t="s">
        <v>197</v>
      </c>
      <c r="K77" s="3">
        <v>45763</v>
      </c>
      <c r="M77" t="s">
        <v>912</v>
      </c>
      <c r="N77" s="2">
        <v>45809</v>
      </c>
      <c r="O77">
        <v>51165187</v>
      </c>
      <c r="P77">
        <v>1</v>
      </c>
      <c r="Q77" s="3">
        <v>45820</v>
      </c>
      <c r="R77">
        <v>230</v>
      </c>
      <c r="T77" t="s">
        <v>913</v>
      </c>
      <c r="U77">
        <v>0</v>
      </c>
    </row>
    <row r="78" spans="1:21" x14ac:dyDescent="0.35">
      <c r="A78" t="s">
        <v>910</v>
      </c>
      <c r="B78" t="s">
        <v>910</v>
      </c>
      <c r="C78" t="s">
        <v>438</v>
      </c>
      <c r="D78" s="4">
        <v>246779411912</v>
      </c>
      <c r="E78" s="3">
        <v>45733</v>
      </c>
      <c r="F78" t="s">
        <v>11</v>
      </c>
      <c r="G78">
        <v>0.23</v>
      </c>
      <c r="H78" t="s">
        <v>911</v>
      </c>
      <c r="I78">
        <v>20.02</v>
      </c>
      <c r="J78" t="s">
        <v>198</v>
      </c>
      <c r="K78" s="3">
        <v>45763</v>
      </c>
      <c r="M78" t="s">
        <v>912</v>
      </c>
      <c r="N78" s="2">
        <v>45809</v>
      </c>
      <c r="O78">
        <v>51165565</v>
      </c>
      <c r="P78">
        <v>1</v>
      </c>
      <c r="Q78" s="3">
        <v>45820</v>
      </c>
      <c r="R78">
        <v>230</v>
      </c>
      <c r="T78" t="s">
        <v>913</v>
      </c>
      <c r="U78">
        <v>0</v>
      </c>
    </row>
    <row r="79" spans="1:21" x14ac:dyDescent="0.35">
      <c r="A79" t="s">
        <v>910</v>
      </c>
      <c r="B79" t="s">
        <v>910</v>
      </c>
      <c r="C79" t="s">
        <v>438</v>
      </c>
      <c r="D79" s="4">
        <v>256779410818</v>
      </c>
      <c r="E79" s="3">
        <v>45751</v>
      </c>
      <c r="F79" t="s">
        <v>56</v>
      </c>
      <c r="G79" t="s">
        <v>911</v>
      </c>
      <c r="H79" t="s">
        <v>911</v>
      </c>
      <c r="I79">
        <v>25</v>
      </c>
      <c r="J79" t="s">
        <v>414</v>
      </c>
      <c r="K79" s="3">
        <v>45781</v>
      </c>
      <c r="M79" t="s">
        <v>912</v>
      </c>
      <c r="N79" s="2">
        <v>45809</v>
      </c>
      <c r="O79">
        <v>51174451</v>
      </c>
      <c r="P79">
        <v>1</v>
      </c>
      <c r="Q79" s="3">
        <v>45820</v>
      </c>
      <c r="R79">
        <v>230</v>
      </c>
      <c r="T79" t="s">
        <v>913</v>
      </c>
      <c r="U79">
        <v>0</v>
      </c>
    </row>
    <row r="80" spans="1:21" x14ac:dyDescent="0.35">
      <c r="A80" t="s">
        <v>910</v>
      </c>
      <c r="B80" t="s">
        <v>910</v>
      </c>
      <c r="C80" t="s">
        <v>438</v>
      </c>
      <c r="D80" s="4">
        <v>246779412032</v>
      </c>
      <c r="E80" s="3">
        <v>45733</v>
      </c>
      <c r="F80" t="s">
        <v>11</v>
      </c>
      <c r="G80">
        <v>0.67</v>
      </c>
      <c r="H80" t="s">
        <v>911</v>
      </c>
      <c r="I80">
        <v>58.32</v>
      </c>
      <c r="J80" t="s">
        <v>199</v>
      </c>
      <c r="K80" s="3">
        <v>45763</v>
      </c>
      <c r="M80" t="s">
        <v>912</v>
      </c>
      <c r="N80" s="2">
        <v>45809</v>
      </c>
      <c r="O80">
        <v>51174461</v>
      </c>
      <c r="P80">
        <v>1</v>
      </c>
      <c r="Q80" s="3">
        <v>45820</v>
      </c>
      <c r="R80">
        <v>230</v>
      </c>
      <c r="T80" t="s">
        <v>913</v>
      </c>
      <c r="U80">
        <v>0</v>
      </c>
    </row>
    <row r="81" spans="1:21" x14ac:dyDescent="0.35">
      <c r="A81" t="s">
        <v>910</v>
      </c>
      <c r="B81" t="s">
        <v>910</v>
      </c>
      <c r="C81" t="s">
        <v>438</v>
      </c>
      <c r="D81" s="4">
        <v>246779411414</v>
      </c>
      <c r="E81" s="3">
        <v>45730</v>
      </c>
      <c r="F81" t="s">
        <v>11</v>
      </c>
      <c r="G81">
        <v>0.56999999999999995</v>
      </c>
      <c r="H81" t="s">
        <v>911</v>
      </c>
      <c r="I81">
        <v>49.61</v>
      </c>
      <c r="J81" t="s">
        <v>230</v>
      </c>
      <c r="K81" s="3">
        <v>45760</v>
      </c>
      <c r="M81" t="s">
        <v>912</v>
      </c>
      <c r="N81" s="2">
        <v>45809</v>
      </c>
      <c r="O81">
        <v>51174466</v>
      </c>
      <c r="P81">
        <v>1</v>
      </c>
      <c r="Q81" s="3">
        <v>45820</v>
      </c>
      <c r="R81">
        <v>230</v>
      </c>
      <c r="T81" t="s">
        <v>913</v>
      </c>
      <c r="U81">
        <v>0</v>
      </c>
    </row>
    <row r="82" spans="1:21" x14ac:dyDescent="0.35">
      <c r="A82" t="s">
        <v>910</v>
      </c>
      <c r="B82" t="s">
        <v>910</v>
      </c>
      <c r="C82" t="s">
        <v>438</v>
      </c>
      <c r="D82" s="4">
        <v>246779410218</v>
      </c>
      <c r="E82" s="3">
        <v>45708</v>
      </c>
      <c r="F82" t="s">
        <v>11</v>
      </c>
      <c r="G82">
        <v>1.03</v>
      </c>
      <c r="H82" t="s">
        <v>911</v>
      </c>
      <c r="I82">
        <v>89.14</v>
      </c>
      <c r="J82" t="s">
        <v>89</v>
      </c>
      <c r="K82" s="3">
        <v>45738</v>
      </c>
      <c r="M82" t="s">
        <v>912</v>
      </c>
      <c r="N82" s="2">
        <v>45809</v>
      </c>
      <c r="O82">
        <v>51174468</v>
      </c>
      <c r="P82">
        <v>1</v>
      </c>
      <c r="Q82" s="3">
        <v>45820</v>
      </c>
      <c r="R82">
        <v>230</v>
      </c>
      <c r="T82" t="s">
        <v>913</v>
      </c>
      <c r="U82">
        <v>0</v>
      </c>
    </row>
    <row r="83" spans="1:21" x14ac:dyDescent="0.35">
      <c r="A83" t="s">
        <v>910</v>
      </c>
      <c r="B83" t="s">
        <v>910</v>
      </c>
      <c r="C83" t="s">
        <v>438</v>
      </c>
      <c r="D83" s="4">
        <v>246779410175</v>
      </c>
      <c r="E83" s="3">
        <v>45708</v>
      </c>
      <c r="F83" t="s">
        <v>11</v>
      </c>
      <c r="G83">
        <v>1.05</v>
      </c>
      <c r="H83" t="s">
        <v>911</v>
      </c>
      <c r="I83">
        <v>90.87</v>
      </c>
      <c r="J83" t="s">
        <v>90</v>
      </c>
      <c r="K83" s="3">
        <v>45738</v>
      </c>
      <c r="M83" t="s">
        <v>912</v>
      </c>
      <c r="N83" s="2">
        <v>45809</v>
      </c>
      <c r="O83">
        <v>51174473</v>
      </c>
      <c r="P83">
        <v>1</v>
      </c>
      <c r="Q83" s="3">
        <v>45820</v>
      </c>
      <c r="R83">
        <v>230</v>
      </c>
      <c r="T83" t="s">
        <v>913</v>
      </c>
      <c r="U83">
        <v>0</v>
      </c>
    </row>
    <row r="84" spans="1:21" x14ac:dyDescent="0.35">
      <c r="A84" t="s">
        <v>910</v>
      </c>
      <c r="B84" t="s">
        <v>910</v>
      </c>
      <c r="C84" t="s">
        <v>438</v>
      </c>
      <c r="D84" s="4">
        <v>246779411408</v>
      </c>
      <c r="E84" s="3">
        <v>45730</v>
      </c>
      <c r="F84" t="s">
        <v>11</v>
      </c>
      <c r="G84">
        <v>0.8</v>
      </c>
      <c r="H84" t="s">
        <v>911</v>
      </c>
      <c r="I84">
        <v>69.63</v>
      </c>
      <c r="J84" t="s">
        <v>231</v>
      </c>
      <c r="K84" s="3">
        <v>45760</v>
      </c>
      <c r="M84" t="s">
        <v>912</v>
      </c>
      <c r="N84" s="2">
        <v>45809</v>
      </c>
      <c r="O84">
        <v>51174475</v>
      </c>
      <c r="P84">
        <v>1</v>
      </c>
      <c r="Q84" s="3">
        <v>45820</v>
      </c>
      <c r="R84">
        <v>230</v>
      </c>
      <c r="T84" t="s">
        <v>913</v>
      </c>
      <c r="U84">
        <v>0</v>
      </c>
    </row>
    <row r="85" spans="1:21" x14ac:dyDescent="0.35">
      <c r="A85" t="s">
        <v>910</v>
      </c>
      <c r="B85" t="s">
        <v>910</v>
      </c>
      <c r="C85" t="s">
        <v>438</v>
      </c>
      <c r="D85" s="4">
        <v>246779410904</v>
      </c>
      <c r="E85" s="3">
        <v>45722</v>
      </c>
      <c r="F85" t="s">
        <v>11</v>
      </c>
      <c r="G85">
        <v>33.32</v>
      </c>
      <c r="H85" t="s">
        <v>911</v>
      </c>
      <c r="I85" s="27">
        <v>2900.25</v>
      </c>
      <c r="J85" t="s">
        <v>368</v>
      </c>
      <c r="K85" s="3">
        <v>45752</v>
      </c>
      <c r="M85" t="s">
        <v>912</v>
      </c>
      <c r="N85" s="2">
        <v>45809</v>
      </c>
      <c r="O85">
        <v>51174476</v>
      </c>
      <c r="P85">
        <v>1</v>
      </c>
      <c r="Q85" s="3">
        <v>45820</v>
      </c>
      <c r="R85">
        <v>230</v>
      </c>
      <c r="T85" t="s">
        <v>913</v>
      </c>
      <c r="U85">
        <v>0</v>
      </c>
    </row>
    <row r="86" spans="1:21" x14ac:dyDescent="0.35">
      <c r="A86" t="s">
        <v>910</v>
      </c>
      <c r="B86" t="s">
        <v>910</v>
      </c>
      <c r="C86" t="s">
        <v>438</v>
      </c>
      <c r="D86" s="4">
        <v>246779411413</v>
      </c>
      <c r="E86" s="3">
        <v>45730</v>
      </c>
      <c r="F86" t="s">
        <v>11</v>
      </c>
      <c r="G86">
        <v>0.8</v>
      </c>
      <c r="H86" t="s">
        <v>911</v>
      </c>
      <c r="I86">
        <v>69.63</v>
      </c>
      <c r="J86" t="s">
        <v>232</v>
      </c>
      <c r="K86" s="3">
        <v>45760</v>
      </c>
      <c r="M86" t="s">
        <v>912</v>
      </c>
      <c r="N86" s="2">
        <v>45809</v>
      </c>
      <c r="O86">
        <v>51174480</v>
      </c>
      <c r="P86">
        <v>1</v>
      </c>
      <c r="Q86" s="3">
        <v>45820</v>
      </c>
      <c r="R86">
        <v>230</v>
      </c>
      <c r="T86" t="s">
        <v>913</v>
      </c>
      <c r="U86">
        <v>0</v>
      </c>
    </row>
    <row r="87" spans="1:21" x14ac:dyDescent="0.35">
      <c r="A87" t="s">
        <v>910</v>
      </c>
      <c r="B87" t="s">
        <v>910</v>
      </c>
      <c r="C87" t="s">
        <v>438</v>
      </c>
      <c r="D87" s="4">
        <v>246779411410</v>
      </c>
      <c r="E87" s="3">
        <v>45730</v>
      </c>
      <c r="F87" t="s">
        <v>11</v>
      </c>
      <c r="G87">
        <v>0.8</v>
      </c>
      <c r="H87" t="s">
        <v>911</v>
      </c>
      <c r="I87">
        <v>69.63</v>
      </c>
      <c r="J87" t="s">
        <v>233</v>
      </c>
      <c r="K87" s="3">
        <v>45760</v>
      </c>
      <c r="M87" t="s">
        <v>912</v>
      </c>
      <c r="N87" s="2">
        <v>45809</v>
      </c>
      <c r="O87">
        <v>51174492</v>
      </c>
      <c r="P87">
        <v>1</v>
      </c>
      <c r="Q87" s="3">
        <v>45820</v>
      </c>
      <c r="R87">
        <v>230</v>
      </c>
      <c r="T87" t="s">
        <v>913</v>
      </c>
      <c r="U87">
        <v>0</v>
      </c>
    </row>
    <row r="88" spans="1:21" x14ac:dyDescent="0.35">
      <c r="A88" t="s">
        <v>910</v>
      </c>
      <c r="B88" t="s">
        <v>910</v>
      </c>
      <c r="C88" t="s">
        <v>438</v>
      </c>
      <c r="D88" s="4">
        <v>246779410826</v>
      </c>
      <c r="E88" s="3">
        <v>45720</v>
      </c>
      <c r="F88" t="s">
        <v>11</v>
      </c>
      <c r="G88">
        <v>0.06</v>
      </c>
      <c r="H88" t="s">
        <v>911</v>
      </c>
      <c r="I88">
        <v>5.22</v>
      </c>
      <c r="J88" t="s">
        <v>416</v>
      </c>
      <c r="K88" s="3">
        <v>45750</v>
      </c>
      <c r="M88" t="s">
        <v>912</v>
      </c>
      <c r="N88" s="2">
        <v>45809</v>
      </c>
      <c r="O88">
        <v>51174506</v>
      </c>
      <c r="P88">
        <v>1</v>
      </c>
      <c r="Q88" s="3">
        <v>45820</v>
      </c>
      <c r="R88">
        <v>230</v>
      </c>
      <c r="T88" t="s">
        <v>913</v>
      </c>
      <c r="U88">
        <v>0</v>
      </c>
    </row>
    <row r="89" spans="1:21" x14ac:dyDescent="0.35">
      <c r="A89" t="s">
        <v>910</v>
      </c>
      <c r="B89" t="s">
        <v>910</v>
      </c>
      <c r="C89" t="s">
        <v>438</v>
      </c>
      <c r="D89" s="4">
        <v>246779412037</v>
      </c>
      <c r="E89" s="3">
        <v>45733</v>
      </c>
      <c r="F89" t="s">
        <v>11</v>
      </c>
      <c r="G89">
        <v>0.9</v>
      </c>
      <c r="H89" t="s">
        <v>911</v>
      </c>
      <c r="I89">
        <v>78.34</v>
      </c>
      <c r="J89" t="s">
        <v>200</v>
      </c>
      <c r="K89" s="3">
        <v>45763</v>
      </c>
      <c r="M89" t="s">
        <v>912</v>
      </c>
      <c r="N89" s="2">
        <v>45809</v>
      </c>
      <c r="O89">
        <v>51174508</v>
      </c>
      <c r="P89">
        <v>1</v>
      </c>
      <c r="Q89" s="3">
        <v>45820</v>
      </c>
      <c r="R89">
        <v>230</v>
      </c>
      <c r="T89" t="s">
        <v>913</v>
      </c>
      <c r="U89">
        <v>0</v>
      </c>
    </row>
    <row r="90" spans="1:21" x14ac:dyDescent="0.35">
      <c r="A90" t="s">
        <v>910</v>
      </c>
      <c r="B90" t="s">
        <v>910</v>
      </c>
      <c r="C90" t="s">
        <v>438</v>
      </c>
      <c r="D90" s="4">
        <v>246779412030</v>
      </c>
      <c r="E90" s="3">
        <v>45733</v>
      </c>
      <c r="F90" t="s">
        <v>11</v>
      </c>
      <c r="G90">
        <v>0.34</v>
      </c>
      <c r="H90" t="s">
        <v>911</v>
      </c>
      <c r="I90">
        <v>29.59</v>
      </c>
      <c r="J90" t="s">
        <v>201</v>
      </c>
      <c r="K90" s="3">
        <v>45763</v>
      </c>
      <c r="M90" t="s">
        <v>912</v>
      </c>
      <c r="N90" s="2">
        <v>45809</v>
      </c>
      <c r="O90">
        <v>51174511</v>
      </c>
      <c r="P90">
        <v>1</v>
      </c>
      <c r="Q90" s="3">
        <v>45820</v>
      </c>
      <c r="R90">
        <v>230</v>
      </c>
      <c r="T90" t="s">
        <v>913</v>
      </c>
      <c r="U90">
        <v>0</v>
      </c>
    </row>
    <row r="91" spans="1:21" x14ac:dyDescent="0.35">
      <c r="A91" t="s">
        <v>910</v>
      </c>
      <c r="B91" t="s">
        <v>910</v>
      </c>
      <c r="C91" t="s">
        <v>438</v>
      </c>
      <c r="D91" s="4">
        <v>256779411468</v>
      </c>
      <c r="E91" s="3">
        <v>45762</v>
      </c>
      <c r="F91" t="s">
        <v>11</v>
      </c>
      <c r="G91">
        <v>0.53</v>
      </c>
      <c r="H91" t="s">
        <v>911</v>
      </c>
      <c r="I91">
        <v>45.44</v>
      </c>
      <c r="J91" t="s">
        <v>225</v>
      </c>
      <c r="K91" s="3">
        <v>45792</v>
      </c>
      <c r="M91" t="s">
        <v>912</v>
      </c>
      <c r="N91" s="2">
        <v>45809</v>
      </c>
      <c r="O91">
        <v>51174512</v>
      </c>
      <c r="P91">
        <v>1</v>
      </c>
      <c r="Q91" s="3">
        <v>45820</v>
      </c>
      <c r="R91">
        <v>230</v>
      </c>
      <c r="T91" t="s">
        <v>913</v>
      </c>
      <c r="U91">
        <v>0</v>
      </c>
    </row>
    <row r="92" spans="1:21" x14ac:dyDescent="0.35">
      <c r="A92" t="s">
        <v>910</v>
      </c>
      <c r="B92" t="s">
        <v>910</v>
      </c>
      <c r="C92" t="s">
        <v>438</v>
      </c>
      <c r="D92" s="4">
        <v>246779411416</v>
      </c>
      <c r="E92" s="3">
        <v>45730</v>
      </c>
      <c r="F92" t="s">
        <v>11</v>
      </c>
      <c r="G92">
        <v>2.29</v>
      </c>
      <c r="H92" t="s">
        <v>911</v>
      </c>
      <c r="I92">
        <v>199.33</v>
      </c>
      <c r="J92" t="s">
        <v>234</v>
      </c>
      <c r="K92" s="3">
        <v>45760</v>
      </c>
      <c r="M92" t="s">
        <v>912</v>
      </c>
      <c r="N92" s="2">
        <v>45809</v>
      </c>
      <c r="O92">
        <v>51174515</v>
      </c>
      <c r="P92">
        <v>1</v>
      </c>
      <c r="Q92" s="3">
        <v>45820</v>
      </c>
      <c r="R92">
        <v>230</v>
      </c>
      <c r="T92" t="s">
        <v>913</v>
      </c>
      <c r="U92">
        <v>0</v>
      </c>
    </row>
    <row r="93" spans="1:21" x14ac:dyDescent="0.35">
      <c r="A93" t="s">
        <v>910</v>
      </c>
      <c r="B93" t="s">
        <v>910</v>
      </c>
      <c r="C93" t="s">
        <v>438</v>
      </c>
      <c r="D93" s="4">
        <v>246779411409</v>
      </c>
      <c r="E93" s="3">
        <v>45730</v>
      </c>
      <c r="F93" t="s">
        <v>11</v>
      </c>
      <c r="G93">
        <v>4.99</v>
      </c>
      <c r="H93" t="s">
        <v>911</v>
      </c>
      <c r="I93">
        <v>434.34</v>
      </c>
      <c r="J93" t="s">
        <v>235</v>
      </c>
      <c r="K93" s="3">
        <v>45760</v>
      </c>
      <c r="M93" t="s">
        <v>912</v>
      </c>
      <c r="N93" s="2">
        <v>45809</v>
      </c>
      <c r="O93">
        <v>51174523</v>
      </c>
      <c r="P93">
        <v>1</v>
      </c>
      <c r="Q93" s="3">
        <v>45820</v>
      </c>
      <c r="R93">
        <v>230</v>
      </c>
      <c r="T93" t="s">
        <v>913</v>
      </c>
      <c r="U93">
        <v>0</v>
      </c>
    </row>
    <row r="94" spans="1:21" x14ac:dyDescent="0.35">
      <c r="A94" t="s">
        <v>910</v>
      </c>
      <c r="B94" t="s">
        <v>910</v>
      </c>
      <c r="C94" t="s">
        <v>438</v>
      </c>
      <c r="D94" s="4">
        <v>246779411411</v>
      </c>
      <c r="E94" s="3">
        <v>45730</v>
      </c>
      <c r="F94" t="s">
        <v>11</v>
      </c>
      <c r="G94">
        <v>0.92</v>
      </c>
      <c r="H94" t="s">
        <v>911</v>
      </c>
      <c r="I94">
        <v>80.08</v>
      </c>
      <c r="J94" t="s">
        <v>236</v>
      </c>
      <c r="K94" s="3">
        <v>45760</v>
      </c>
      <c r="M94" t="s">
        <v>912</v>
      </c>
      <c r="N94" s="2">
        <v>45809</v>
      </c>
      <c r="O94">
        <v>51174525</v>
      </c>
      <c r="P94">
        <v>1</v>
      </c>
      <c r="Q94" s="3">
        <v>45820</v>
      </c>
      <c r="R94">
        <v>230</v>
      </c>
      <c r="T94" t="s">
        <v>913</v>
      </c>
      <c r="U94">
        <v>0</v>
      </c>
    </row>
    <row r="95" spans="1:21" x14ac:dyDescent="0.35">
      <c r="A95" t="s">
        <v>910</v>
      </c>
      <c r="B95" t="s">
        <v>910</v>
      </c>
      <c r="C95" t="s">
        <v>438</v>
      </c>
      <c r="D95" s="4">
        <v>256779410262</v>
      </c>
      <c r="E95" s="3">
        <v>45750</v>
      </c>
      <c r="F95" t="s">
        <v>56</v>
      </c>
      <c r="G95" t="s">
        <v>911</v>
      </c>
      <c r="H95" t="s">
        <v>911</v>
      </c>
      <c r="I95">
        <v>2</v>
      </c>
      <c r="J95" t="s">
        <v>420</v>
      </c>
      <c r="K95" s="3">
        <v>45780</v>
      </c>
      <c r="M95" t="s">
        <v>912</v>
      </c>
      <c r="N95" s="2">
        <v>45809</v>
      </c>
      <c r="O95">
        <v>51174527</v>
      </c>
      <c r="P95">
        <v>1</v>
      </c>
      <c r="Q95" s="3">
        <v>45820</v>
      </c>
      <c r="R95">
        <v>230</v>
      </c>
      <c r="T95" t="s">
        <v>913</v>
      </c>
      <c r="U95">
        <v>0</v>
      </c>
    </row>
    <row r="96" spans="1:21" x14ac:dyDescent="0.35">
      <c r="A96" t="s">
        <v>910</v>
      </c>
      <c r="B96" t="s">
        <v>910</v>
      </c>
      <c r="C96" t="s">
        <v>438</v>
      </c>
      <c r="D96" s="4">
        <v>246779413202</v>
      </c>
      <c r="E96" s="3">
        <v>45735</v>
      </c>
      <c r="F96" t="s">
        <v>11</v>
      </c>
      <c r="G96">
        <v>0.78</v>
      </c>
      <c r="H96" t="s">
        <v>911</v>
      </c>
      <c r="I96">
        <v>67.5</v>
      </c>
      <c r="J96" t="s">
        <v>109</v>
      </c>
      <c r="K96" s="3">
        <v>45765</v>
      </c>
      <c r="M96" t="s">
        <v>912</v>
      </c>
      <c r="N96" s="2">
        <v>45809</v>
      </c>
      <c r="O96">
        <v>51174535</v>
      </c>
      <c r="P96">
        <v>1</v>
      </c>
      <c r="Q96" s="3">
        <v>45820</v>
      </c>
      <c r="R96">
        <v>230</v>
      </c>
      <c r="T96" t="s">
        <v>913</v>
      </c>
      <c r="U96">
        <v>0</v>
      </c>
    </row>
    <row r="97" spans="1:21" x14ac:dyDescent="0.35">
      <c r="A97" t="s">
        <v>910</v>
      </c>
      <c r="B97" t="s">
        <v>910</v>
      </c>
      <c r="C97" t="s">
        <v>438</v>
      </c>
      <c r="D97" s="4">
        <v>246779411418</v>
      </c>
      <c r="E97" s="3">
        <v>45730</v>
      </c>
      <c r="F97" t="s">
        <v>11</v>
      </c>
      <c r="G97">
        <v>6.25</v>
      </c>
      <c r="H97" t="s">
        <v>911</v>
      </c>
      <c r="I97">
        <v>544.02</v>
      </c>
      <c r="J97" t="s">
        <v>237</v>
      </c>
      <c r="K97" s="3">
        <v>45760</v>
      </c>
      <c r="M97" t="s">
        <v>912</v>
      </c>
      <c r="N97" s="2">
        <v>45809</v>
      </c>
      <c r="O97">
        <v>51174544</v>
      </c>
      <c r="P97">
        <v>1</v>
      </c>
      <c r="Q97" s="3">
        <v>45820</v>
      </c>
      <c r="R97">
        <v>230</v>
      </c>
      <c r="T97" t="s">
        <v>913</v>
      </c>
      <c r="U97">
        <v>0</v>
      </c>
    </row>
    <row r="98" spans="1:21" x14ac:dyDescent="0.35">
      <c r="A98" t="s">
        <v>910</v>
      </c>
      <c r="B98" t="s">
        <v>910</v>
      </c>
      <c r="C98" t="s">
        <v>438</v>
      </c>
      <c r="D98" s="4">
        <v>256779412012</v>
      </c>
      <c r="E98" s="3">
        <v>45763</v>
      </c>
      <c r="F98" t="s">
        <v>56</v>
      </c>
      <c r="G98" t="s">
        <v>911</v>
      </c>
      <c r="H98" t="s">
        <v>911</v>
      </c>
      <c r="I98">
        <v>22</v>
      </c>
      <c r="J98" t="s">
        <v>216</v>
      </c>
      <c r="K98" s="3">
        <v>45793</v>
      </c>
      <c r="M98" t="s">
        <v>912</v>
      </c>
      <c r="N98" s="2">
        <v>45809</v>
      </c>
      <c r="O98">
        <v>51174545</v>
      </c>
      <c r="P98">
        <v>1</v>
      </c>
      <c r="Q98" s="3">
        <v>45820</v>
      </c>
      <c r="R98">
        <v>230</v>
      </c>
      <c r="T98" t="s">
        <v>913</v>
      </c>
      <c r="U98">
        <v>0</v>
      </c>
    </row>
    <row r="99" spans="1:21" x14ac:dyDescent="0.35">
      <c r="A99" t="s">
        <v>910</v>
      </c>
      <c r="B99" t="s">
        <v>910</v>
      </c>
      <c r="C99" t="s">
        <v>438</v>
      </c>
      <c r="D99" s="4">
        <v>246779412034</v>
      </c>
      <c r="E99" s="3">
        <v>45733</v>
      </c>
      <c r="F99" t="s">
        <v>11</v>
      </c>
      <c r="G99">
        <v>0.67</v>
      </c>
      <c r="H99" t="s">
        <v>911</v>
      </c>
      <c r="I99">
        <v>58.32</v>
      </c>
      <c r="J99" t="s">
        <v>202</v>
      </c>
      <c r="K99" s="3">
        <v>45763</v>
      </c>
      <c r="M99" t="s">
        <v>912</v>
      </c>
      <c r="N99" s="2">
        <v>45809</v>
      </c>
      <c r="O99">
        <v>51174548</v>
      </c>
      <c r="P99">
        <v>1</v>
      </c>
      <c r="Q99" s="3">
        <v>45820</v>
      </c>
      <c r="R99">
        <v>230</v>
      </c>
      <c r="T99" t="s">
        <v>913</v>
      </c>
      <c r="U99">
        <v>0</v>
      </c>
    </row>
    <row r="100" spans="1:21" x14ac:dyDescent="0.35">
      <c r="A100" t="s">
        <v>910</v>
      </c>
      <c r="B100" t="s">
        <v>910</v>
      </c>
      <c r="C100" t="s">
        <v>438</v>
      </c>
      <c r="D100" s="4">
        <v>246779412039</v>
      </c>
      <c r="E100" s="3">
        <v>45733</v>
      </c>
      <c r="F100" t="s">
        <v>11</v>
      </c>
      <c r="G100">
        <v>1.1200000000000001</v>
      </c>
      <c r="H100" t="s">
        <v>911</v>
      </c>
      <c r="I100">
        <v>97.49</v>
      </c>
      <c r="J100" t="s">
        <v>203</v>
      </c>
      <c r="K100" s="3">
        <v>45763</v>
      </c>
      <c r="M100" t="s">
        <v>912</v>
      </c>
      <c r="N100" s="2">
        <v>45809</v>
      </c>
      <c r="O100">
        <v>51174549</v>
      </c>
      <c r="P100">
        <v>1</v>
      </c>
      <c r="Q100" s="3">
        <v>45820</v>
      </c>
      <c r="R100">
        <v>230</v>
      </c>
      <c r="T100" t="s">
        <v>913</v>
      </c>
      <c r="U100">
        <v>0</v>
      </c>
    </row>
    <row r="101" spans="1:21" x14ac:dyDescent="0.35">
      <c r="A101" t="s">
        <v>910</v>
      </c>
      <c r="B101" t="s">
        <v>910</v>
      </c>
      <c r="C101" t="s">
        <v>438</v>
      </c>
      <c r="D101" s="4">
        <v>246779413730</v>
      </c>
      <c r="E101" s="3">
        <v>45736</v>
      </c>
      <c r="F101" t="s">
        <v>11</v>
      </c>
      <c r="G101">
        <v>0.06</v>
      </c>
      <c r="H101" t="s">
        <v>911</v>
      </c>
      <c r="I101">
        <v>5.22</v>
      </c>
      <c r="J101" t="s">
        <v>74</v>
      </c>
      <c r="K101" s="3">
        <v>45766</v>
      </c>
      <c r="M101" t="s">
        <v>912</v>
      </c>
      <c r="N101" s="2">
        <v>45809</v>
      </c>
      <c r="O101">
        <v>51174564</v>
      </c>
      <c r="P101">
        <v>1</v>
      </c>
      <c r="Q101" s="3">
        <v>45820</v>
      </c>
      <c r="R101">
        <v>230</v>
      </c>
      <c r="T101" t="s">
        <v>913</v>
      </c>
      <c r="U101">
        <v>0</v>
      </c>
    </row>
    <row r="102" spans="1:21" x14ac:dyDescent="0.35">
      <c r="A102" t="s">
        <v>910</v>
      </c>
      <c r="B102" t="s">
        <v>910</v>
      </c>
      <c r="C102" t="s">
        <v>438</v>
      </c>
      <c r="D102" s="4">
        <v>246779411415</v>
      </c>
      <c r="E102" s="3">
        <v>45730</v>
      </c>
      <c r="F102" t="s">
        <v>11</v>
      </c>
      <c r="G102">
        <v>0.46</v>
      </c>
      <c r="H102" t="s">
        <v>911</v>
      </c>
      <c r="I102">
        <v>40.04</v>
      </c>
      <c r="J102" t="s">
        <v>238</v>
      </c>
      <c r="K102" s="3">
        <v>45760</v>
      </c>
      <c r="M102" t="s">
        <v>912</v>
      </c>
      <c r="N102" s="2">
        <v>45809</v>
      </c>
      <c r="O102">
        <v>51174566</v>
      </c>
      <c r="P102">
        <v>1</v>
      </c>
      <c r="Q102" s="3">
        <v>45820</v>
      </c>
      <c r="R102">
        <v>230</v>
      </c>
      <c r="T102" t="s">
        <v>913</v>
      </c>
      <c r="U102">
        <v>0</v>
      </c>
    </row>
    <row r="103" spans="1:21" x14ac:dyDescent="0.35">
      <c r="A103" t="s">
        <v>910</v>
      </c>
      <c r="B103" t="s">
        <v>910</v>
      </c>
      <c r="C103" t="s">
        <v>438</v>
      </c>
      <c r="D103" s="4">
        <v>246779410141</v>
      </c>
      <c r="E103" s="3">
        <v>45708</v>
      </c>
      <c r="F103" t="s">
        <v>11</v>
      </c>
      <c r="G103">
        <v>47.62</v>
      </c>
      <c r="H103" t="s">
        <v>911</v>
      </c>
      <c r="I103" s="27">
        <v>4121.01</v>
      </c>
      <c r="J103" t="s">
        <v>91</v>
      </c>
      <c r="K103" s="3">
        <v>45738</v>
      </c>
      <c r="M103" t="s">
        <v>912</v>
      </c>
      <c r="N103" s="2">
        <v>45809</v>
      </c>
      <c r="O103">
        <v>51174570</v>
      </c>
      <c r="P103">
        <v>1</v>
      </c>
      <c r="Q103" s="3">
        <v>45820</v>
      </c>
      <c r="R103">
        <v>230</v>
      </c>
      <c r="T103" t="s">
        <v>913</v>
      </c>
      <c r="U103">
        <v>0</v>
      </c>
    </row>
    <row r="104" spans="1:21" x14ac:dyDescent="0.35">
      <c r="A104" t="s">
        <v>910</v>
      </c>
      <c r="B104" t="s">
        <v>910</v>
      </c>
      <c r="C104" t="s">
        <v>438</v>
      </c>
      <c r="D104" s="4">
        <v>246779410184</v>
      </c>
      <c r="E104" s="3">
        <v>45708</v>
      </c>
      <c r="F104" t="s">
        <v>11</v>
      </c>
      <c r="G104">
        <v>46.66</v>
      </c>
      <c r="H104" t="s">
        <v>911</v>
      </c>
      <c r="I104" s="27">
        <v>4037.94</v>
      </c>
      <c r="J104" t="s">
        <v>92</v>
      </c>
      <c r="K104" s="3">
        <v>45738</v>
      </c>
      <c r="M104" t="s">
        <v>912</v>
      </c>
      <c r="N104" s="2">
        <v>45809</v>
      </c>
      <c r="O104">
        <v>51174572</v>
      </c>
      <c r="P104">
        <v>1</v>
      </c>
      <c r="Q104" s="3">
        <v>45820</v>
      </c>
      <c r="R104">
        <v>230</v>
      </c>
      <c r="T104" t="s">
        <v>913</v>
      </c>
      <c r="U104">
        <v>0</v>
      </c>
    </row>
    <row r="105" spans="1:21" x14ac:dyDescent="0.35">
      <c r="A105" t="s">
        <v>910</v>
      </c>
      <c r="B105" t="s">
        <v>910</v>
      </c>
      <c r="C105" t="s">
        <v>438</v>
      </c>
      <c r="D105" s="4">
        <v>246779411419</v>
      </c>
      <c r="E105" s="3">
        <v>45730</v>
      </c>
      <c r="F105" t="s">
        <v>11</v>
      </c>
      <c r="G105">
        <v>0.47</v>
      </c>
      <c r="H105" t="s">
        <v>911</v>
      </c>
      <c r="I105">
        <v>40.909999999999997</v>
      </c>
      <c r="J105" t="s">
        <v>239</v>
      </c>
      <c r="K105" s="3">
        <v>45760</v>
      </c>
      <c r="M105" t="s">
        <v>912</v>
      </c>
      <c r="N105" s="2">
        <v>45809</v>
      </c>
      <c r="O105">
        <v>51174577</v>
      </c>
      <c r="P105">
        <v>1</v>
      </c>
      <c r="Q105" s="3">
        <v>45820</v>
      </c>
      <c r="R105">
        <v>230</v>
      </c>
      <c r="T105" t="s">
        <v>913</v>
      </c>
      <c r="U105">
        <v>0</v>
      </c>
    </row>
    <row r="106" spans="1:21" x14ac:dyDescent="0.35">
      <c r="A106" t="s">
        <v>910</v>
      </c>
      <c r="B106" t="s">
        <v>910</v>
      </c>
      <c r="C106" t="s">
        <v>438</v>
      </c>
      <c r="D106" s="4">
        <v>246779410389</v>
      </c>
      <c r="E106" s="3">
        <v>45719</v>
      </c>
      <c r="F106" t="s">
        <v>11</v>
      </c>
      <c r="G106">
        <v>10.84</v>
      </c>
      <c r="H106" t="s">
        <v>911</v>
      </c>
      <c r="I106">
        <v>943.54</v>
      </c>
      <c r="J106" t="s">
        <v>427</v>
      </c>
      <c r="K106" s="3">
        <v>45749</v>
      </c>
      <c r="M106" t="s">
        <v>912</v>
      </c>
      <c r="N106" s="2">
        <v>45809</v>
      </c>
      <c r="O106">
        <v>51174586</v>
      </c>
      <c r="P106">
        <v>1</v>
      </c>
      <c r="Q106" s="3">
        <v>45820</v>
      </c>
      <c r="R106">
        <v>230</v>
      </c>
      <c r="T106" t="s">
        <v>913</v>
      </c>
      <c r="U106">
        <v>0</v>
      </c>
    </row>
    <row r="107" spans="1:21" x14ac:dyDescent="0.35">
      <c r="A107" t="s">
        <v>910</v>
      </c>
      <c r="B107" t="s">
        <v>910</v>
      </c>
      <c r="C107" t="s">
        <v>438</v>
      </c>
      <c r="D107" s="4">
        <v>246779411417</v>
      </c>
      <c r="E107" s="3">
        <v>45730</v>
      </c>
      <c r="F107" t="s">
        <v>11</v>
      </c>
      <c r="G107">
        <v>1.37</v>
      </c>
      <c r="H107" t="s">
        <v>911</v>
      </c>
      <c r="I107">
        <v>119.25</v>
      </c>
      <c r="J107" t="s">
        <v>240</v>
      </c>
      <c r="K107" s="3">
        <v>45760</v>
      </c>
      <c r="M107" t="s">
        <v>912</v>
      </c>
      <c r="N107" s="2">
        <v>45809</v>
      </c>
      <c r="O107">
        <v>51174588</v>
      </c>
      <c r="P107">
        <v>1</v>
      </c>
      <c r="Q107" s="3">
        <v>45820</v>
      </c>
      <c r="R107">
        <v>230</v>
      </c>
      <c r="T107" t="s">
        <v>913</v>
      </c>
      <c r="U107">
        <v>0</v>
      </c>
    </row>
    <row r="108" spans="1:21" x14ac:dyDescent="0.35">
      <c r="A108" t="s">
        <v>910</v>
      </c>
      <c r="B108" t="s">
        <v>910</v>
      </c>
      <c r="C108" t="s">
        <v>438</v>
      </c>
      <c r="D108" s="4">
        <v>246779411407</v>
      </c>
      <c r="E108" s="3">
        <v>45730</v>
      </c>
      <c r="F108" t="s">
        <v>11</v>
      </c>
      <c r="G108">
        <v>1.1399999999999999</v>
      </c>
      <c r="H108" t="s">
        <v>911</v>
      </c>
      <c r="I108">
        <v>99.23</v>
      </c>
      <c r="J108" t="s">
        <v>241</v>
      </c>
      <c r="K108" s="3">
        <v>45760</v>
      </c>
      <c r="M108" t="s">
        <v>912</v>
      </c>
      <c r="N108" s="2">
        <v>45809</v>
      </c>
      <c r="O108">
        <v>51174590</v>
      </c>
      <c r="P108">
        <v>1</v>
      </c>
      <c r="Q108" s="3">
        <v>45820</v>
      </c>
      <c r="R108">
        <v>230</v>
      </c>
      <c r="T108" t="s">
        <v>913</v>
      </c>
      <c r="U108">
        <v>0</v>
      </c>
    </row>
    <row r="109" spans="1:21" x14ac:dyDescent="0.35">
      <c r="A109" t="s">
        <v>910</v>
      </c>
      <c r="B109" t="s">
        <v>910</v>
      </c>
      <c r="C109" t="s">
        <v>438</v>
      </c>
      <c r="D109" s="4">
        <v>246779412036</v>
      </c>
      <c r="E109" s="3">
        <v>45733</v>
      </c>
      <c r="F109" t="s">
        <v>11</v>
      </c>
      <c r="G109">
        <v>0.56000000000000005</v>
      </c>
      <c r="H109" t="s">
        <v>911</v>
      </c>
      <c r="I109">
        <v>48.74</v>
      </c>
      <c r="J109" t="s">
        <v>204</v>
      </c>
      <c r="K109" s="3">
        <v>45763</v>
      </c>
      <c r="M109" t="s">
        <v>912</v>
      </c>
      <c r="N109" s="2">
        <v>45809</v>
      </c>
      <c r="O109">
        <v>51174595</v>
      </c>
      <c r="P109">
        <v>1</v>
      </c>
      <c r="Q109" s="3">
        <v>45820</v>
      </c>
      <c r="R109">
        <v>230</v>
      </c>
      <c r="T109" t="s">
        <v>913</v>
      </c>
      <c r="U109">
        <v>0</v>
      </c>
    </row>
    <row r="110" spans="1:21" x14ac:dyDescent="0.35">
      <c r="A110" t="s">
        <v>910</v>
      </c>
      <c r="B110" t="s">
        <v>910</v>
      </c>
      <c r="C110" t="s">
        <v>438</v>
      </c>
      <c r="D110" s="4">
        <v>246779411412</v>
      </c>
      <c r="E110" s="3">
        <v>45730</v>
      </c>
      <c r="F110" t="s">
        <v>11</v>
      </c>
      <c r="G110">
        <v>0.4</v>
      </c>
      <c r="H110" t="s">
        <v>911</v>
      </c>
      <c r="I110">
        <v>34.82</v>
      </c>
      <c r="J110" t="s">
        <v>242</v>
      </c>
      <c r="K110" s="3">
        <v>45760</v>
      </c>
      <c r="M110" t="s">
        <v>912</v>
      </c>
      <c r="N110" s="2">
        <v>45809</v>
      </c>
      <c r="O110">
        <v>51174596</v>
      </c>
      <c r="P110">
        <v>1</v>
      </c>
      <c r="Q110" s="3">
        <v>45820</v>
      </c>
      <c r="R110">
        <v>230</v>
      </c>
      <c r="T110" t="s">
        <v>913</v>
      </c>
      <c r="U110">
        <v>0</v>
      </c>
    </row>
    <row r="111" spans="1:21" x14ac:dyDescent="0.35">
      <c r="A111" t="s">
        <v>910</v>
      </c>
      <c r="B111" t="s">
        <v>910</v>
      </c>
      <c r="C111" t="s">
        <v>438</v>
      </c>
      <c r="D111" s="4">
        <v>246779412028</v>
      </c>
      <c r="E111" s="3">
        <v>45733</v>
      </c>
      <c r="F111" t="s">
        <v>11</v>
      </c>
      <c r="G111">
        <v>0.56000000000000005</v>
      </c>
      <c r="H111" t="s">
        <v>911</v>
      </c>
      <c r="I111">
        <v>48.74</v>
      </c>
      <c r="J111" t="s">
        <v>205</v>
      </c>
      <c r="K111" s="3">
        <v>45763</v>
      </c>
      <c r="M111" t="s">
        <v>912</v>
      </c>
      <c r="N111" s="2">
        <v>45809</v>
      </c>
      <c r="O111">
        <v>51174600</v>
      </c>
      <c r="P111">
        <v>1</v>
      </c>
      <c r="Q111" s="3">
        <v>45820</v>
      </c>
      <c r="R111">
        <v>230</v>
      </c>
      <c r="T111" t="s">
        <v>913</v>
      </c>
      <c r="U111">
        <v>0</v>
      </c>
    </row>
    <row r="112" spans="1:21" x14ac:dyDescent="0.35">
      <c r="A112" t="s">
        <v>910</v>
      </c>
      <c r="B112" t="s">
        <v>910</v>
      </c>
      <c r="C112" t="s">
        <v>438</v>
      </c>
      <c r="D112" s="4">
        <v>256779410263</v>
      </c>
      <c r="E112" s="3">
        <v>45750</v>
      </c>
      <c r="F112" t="s">
        <v>56</v>
      </c>
      <c r="G112" t="s">
        <v>911</v>
      </c>
      <c r="H112" t="s">
        <v>911</v>
      </c>
      <c r="I112">
        <v>2</v>
      </c>
      <c r="J112" t="s">
        <v>421</v>
      </c>
      <c r="K112" s="3">
        <v>45780</v>
      </c>
      <c r="M112" t="s">
        <v>912</v>
      </c>
      <c r="N112" s="2">
        <v>45809</v>
      </c>
      <c r="O112">
        <v>51174603</v>
      </c>
      <c r="P112">
        <v>1</v>
      </c>
      <c r="Q112" s="3">
        <v>45820</v>
      </c>
      <c r="R112">
        <v>230</v>
      </c>
      <c r="T112" t="s">
        <v>913</v>
      </c>
      <c r="U112">
        <v>0</v>
      </c>
    </row>
    <row r="113" spans="1:21" x14ac:dyDescent="0.35">
      <c r="A113" t="s">
        <v>910</v>
      </c>
      <c r="B113" t="s">
        <v>910</v>
      </c>
      <c r="C113" t="s">
        <v>438</v>
      </c>
      <c r="D113" s="4">
        <v>246779410217</v>
      </c>
      <c r="E113" s="3">
        <v>45708</v>
      </c>
      <c r="F113" t="s">
        <v>11</v>
      </c>
      <c r="G113">
        <v>1.87</v>
      </c>
      <c r="H113" t="s">
        <v>911</v>
      </c>
      <c r="I113">
        <v>161.83000000000001</v>
      </c>
      <c r="J113" t="s">
        <v>93</v>
      </c>
      <c r="K113" s="3">
        <v>45738</v>
      </c>
      <c r="M113" t="s">
        <v>912</v>
      </c>
      <c r="N113" s="2">
        <v>45809</v>
      </c>
      <c r="O113">
        <v>51174605</v>
      </c>
      <c r="P113">
        <v>1</v>
      </c>
      <c r="Q113" s="3">
        <v>45820</v>
      </c>
      <c r="R113">
        <v>230</v>
      </c>
      <c r="T113" t="s">
        <v>913</v>
      </c>
      <c r="U113">
        <v>0</v>
      </c>
    </row>
    <row r="114" spans="1:21" x14ac:dyDescent="0.35">
      <c r="A114" t="s">
        <v>910</v>
      </c>
      <c r="B114" t="s">
        <v>910</v>
      </c>
      <c r="C114" t="s">
        <v>438</v>
      </c>
      <c r="D114" s="4">
        <v>246779410174</v>
      </c>
      <c r="E114" s="3">
        <v>45708</v>
      </c>
      <c r="F114" t="s">
        <v>11</v>
      </c>
      <c r="G114">
        <v>1.9</v>
      </c>
      <c r="H114" t="s">
        <v>911</v>
      </c>
      <c r="I114">
        <v>164.43</v>
      </c>
      <c r="J114" t="s">
        <v>94</v>
      </c>
      <c r="K114" s="3">
        <v>45738</v>
      </c>
      <c r="M114" t="s">
        <v>912</v>
      </c>
      <c r="N114" s="2">
        <v>45809</v>
      </c>
      <c r="O114">
        <v>51174608</v>
      </c>
      <c r="P114">
        <v>1</v>
      </c>
      <c r="Q114" s="3">
        <v>45820</v>
      </c>
      <c r="R114">
        <v>230</v>
      </c>
      <c r="T114" t="s">
        <v>913</v>
      </c>
      <c r="U114">
        <v>0</v>
      </c>
    </row>
    <row r="115" spans="1:21" x14ac:dyDescent="0.35">
      <c r="A115" t="s">
        <v>910</v>
      </c>
      <c r="B115" t="s">
        <v>910</v>
      </c>
      <c r="C115" t="s">
        <v>438</v>
      </c>
      <c r="D115" s="4">
        <v>246779412031</v>
      </c>
      <c r="E115" s="3">
        <v>45733</v>
      </c>
      <c r="F115" t="s">
        <v>11</v>
      </c>
      <c r="G115">
        <v>0.56000000000000005</v>
      </c>
      <c r="H115" t="s">
        <v>911</v>
      </c>
      <c r="I115">
        <v>48.74</v>
      </c>
      <c r="J115" t="s">
        <v>206</v>
      </c>
      <c r="K115" s="3">
        <v>45763</v>
      </c>
      <c r="M115" t="s">
        <v>912</v>
      </c>
      <c r="N115" s="2">
        <v>45809</v>
      </c>
      <c r="O115">
        <v>51175460</v>
      </c>
      <c r="P115">
        <v>1</v>
      </c>
      <c r="Q115" s="3">
        <v>45820</v>
      </c>
      <c r="R115">
        <v>230</v>
      </c>
      <c r="T115" t="s">
        <v>913</v>
      </c>
      <c r="U115">
        <v>0</v>
      </c>
    </row>
    <row r="116" spans="1:21" x14ac:dyDescent="0.35">
      <c r="A116" t="s">
        <v>910</v>
      </c>
      <c r="B116" t="s">
        <v>910</v>
      </c>
      <c r="C116" t="s">
        <v>438</v>
      </c>
      <c r="D116" s="4">
        <v>246779412029</v>
      </c>
      <c r="E116" s="3">
        <v>45733</v>
      </c>
      <c r="F116" t="s">
        <v>11</v>
      </c>
      <c r="G116">
        <v>0.45</v>
      </c>
      <c r="H116" t="s">
        <v>911</v>
      </c>
      <c r="I116">
        <v>39.17</v>
      </c>
      <c r="J116" t="s">
        <v>207</v>
      </c>
      <c r="K116" s="3">
        <v>45763</v>
      </c>
      <c r="M116" t="s">
        <v>912</v>
      </c>
      <c r="N116" s="2">
        <v>45809</v>
      </c>
      <c r="O116">
        <v>51175471</v>
      </c>
      <c r="P116">
        <v>1</v>
      </c>
      <c r="Q116" s="3">
        <v>45820</v>
      </c>
      <c r="R116">
        <v>230</v>
      </c>
      <c r="T116" t="s">
        <v>913</v>
      </c>
      <c r="U116">
        <v>0</v>
      </c>
    </row>
    <row r="117" spans="1:21" x14ac:dyDescent="0.35">
      <c r="A117" t="s">
        <v>910</v>
      </c>
      <c r="B117" t="s">
        <v>910</v>
      </c>
      <c r="C117" t="s">
        <v>438</v>
      </c>
      <c r="D117" s="4">
        <v>246779412035</v>
      </c>
      <c r="E117" s="3">
        <v>45733</v>
      </c>
      <c r="F117" t="s">
        <v>11</v>
      </c>
      <c r="G117">
        <v>1.46</v>
      </c>
      <c r="H117" t="s">
        <v>911</v>
      </c>
      <c r="I117">
        <v>127.08</v>
      </c>
      <c r="J117" t="s">
        <v>208</v>
      </c>
      <c r="K117" s="3">
        <v>45763</v>
      </c>
      <c r="M117" t="s">
        <v>912</v>
      </c>
      <c r="N117" s="2">
        <v>45809</v>
      </c>
      <c r="O117">
        <v>51175472</v>
      </c>
      <c r="P117">
        <v>1</v>
      </c>
      <c r="Q117" s="3">
        <v>45820</v>
      </c>
      <c r="R117">
        <v>230</v>
      </c>
      <c r="T117" t="s">
        <v>913</v>
      </c>
      <c r="U117">
        <v>0</v>
      </c>
    </row>
    <row r="118" spans="1:21" x14ac:dyDescent="0.35">
      <c r="A118" t="s">
        <v>910</v>
      </c>
      <c r="B118" t="s">
        <v>910</v>
      </c>
      <c r="C118" t="s">
        <v>438</v>
      </c>
      <c r="D118" s="4">
        <v>246779410227</v>
      </c>
      <c r="E118" s="3">
        <v>45708</v>
      </c>
      <c r="F118" t="s">
        <v>11</v>
      </c>
      <c r="G118">
        <v>45.72</v>
      </c>
      <c r="H118" t="s">
        <v>911</v>
      </c>
      <c r="I118" s="27">
        <v>3956.59</v>
      </c>
      <c r="J118" t="s">
        <v>95</v>
      </c>
      <c r="K118" s="3">
        <v>45738</v>
      </c>
      <c r="M118" t="s">
        <v>912</v>
      </c>
      <c r="N118" s="2">
        <v>45809</v>
      </c>
      <c r="O118">
        <v>52235689</v>
      </c>
      <c r="P118">
        <v>1</v>
      </c>
      <c r="Q118" s="3">
        <v>45834</v>
      </c>
      <c r="R118">
        <v>230</v>
      </c>
      <c r="T118" t="s">
        <v>913</v>
      </c>
      <c r="U118">
        <v>0</v>
      </c>
    </row>
    <row r="119" spans="1:21" x14ac:dyDescent="0.35">
      <c r="A119" t="s">
        <v>910</v>
      </c>
      <c r="B119" t="s">
        <v>910</v>
      </c>
      <c r="C119" t="s">
        <v>438</v>
      </c>
      <c r="D119" s="4">
        <v>256779412053</v>
      </c>
      <c r="E119" s="3">
        <v>45763</v>
      </c>
      <c r="F119" t="s">
        <v>11</v>
      </c>
      <c r="G119">
        <v>19.72</v>
      </c>
      <c r="H119" t="s">
        <v>911</v>
      </c>
      <c r="I119" s="27">
        <v>1690.54</v>
      </c>
      <c r="J119" t="s">
        <v>217</v>
      </c>
      <c r="K119" s="3">
        <v>45793</v>
      </c>
      <c r="M119" t="s">
        <v>912</v>
      </c>
      <c r="N119" s="2">
        <v>45809</v>
      </c>
      <c r="O119">
        <v>52543946</v>
      </c>
      <c r="P119">
        <v>1</v>
      </c>
      <c r="Q119" s="3">
        <v>45838</v>
      </c>
      <c r="R119">
        <v>230</v>
      </c>
      <c r="T119" t="s">
        <v>913</v>
      </c>
      <c r="U119">
        <v>0</v>
      </c>
    </row>
    <row r="120" spans="1:21" x14ac:dyDescent="0.35">
      <c r="A120" t="s">
        <v>910</v>
      </c>
      <c r="B120" t="s">
        <v>910</v>
      </c>
      <c r="C120" t="s">
        <v>438</v>
      </c>
      <c r="D120" s="4">
        <v>246779410064</v>
      </c>
      <c r="E120" s="3">
        <v>45708</v>
      </c>
      <c r="F120" t="s">
        <v>11</v>
      </c>
      <c r="G120">
        <v>1.05</v>
      </c>
      <c r="H120" t="s">
        <v>911</v>
      </c>
      <c r="I120">
        <v>90.87</v>
      </c>
      <c r="J120" t="s">
        <v>96</v>
      </c>
      <c r="K120" s="3">
        <v>45738</v>
      </c>
      <c r="M120" t="s">
        <v>912</v>
      </c>
      <c r="N120" s="2">
        <v>45809</v>
      </c>
      <c r="O120">
        <v>52543948</v>
      </c>
      <c r="P120">
        <v>1</v>
      </c>
      <c r="Q120" s="3">
        <v>45838</v>
      </c>
      <c r="R120">
        <v>230</v>
      </c>
      <c r="T120" t="s">
        <v>913</v>
      </c>
      <c r="U120">
        <v>0</v>
      </c>
    </row>
    <row r="121" spans="1:21" x14ac:dyDescent="0.35">
      <c r="A121" t="s">
        <v>910</v>
      </c>
      <c r="B121" t="s">
        <v>910</v>
      </c>
      <c r="C121" t="s">
        <v>438</v>
      </c>
      <c r="D121" s="4">
        <v>246779410030</v>
      </c>
      <c r="E121" s="3">
        <v>45708</v>
      </c>
      <c r="F121" t="s">
        <v>11</v>
      </c>
      <c r="G121">
        <v>47.62</v>
      </c>
      <c r="H121" t="s">
        <v>911</v>
      </c>
      <c r="I121" s="27">
        <v>4121.01</v>
      </c>
      <c r="J121" t="s">
        <v>97</v>
      </c>
      <c r="K121" s="3">
        <v>45738</v>
      </c>
      <c r="M121" t="s">
        <v>912</v>
      </c>
      <c r="N121" s="2">
        <v>45809</v>
      </c>
      <c r="O121">
        <v>52543953</v>
      </c>
      <c r="P121">
        <v>1</v>
      </c>
      <c r="Q121" s="3">
        <v>45838</v>
      </c>
      <c r="R121">
        <v>230</v>
      </c>
      <c r="T121" t="s">
        <v>913</v>
      </c>
      <c r="U121">
        <v>0</v>
      </c>
    </row>
    <row r="122" spans="1:21" x14ac:dyDescent="0.35">
      <c r="A122" t="s">
        <v>910</v>
      </c>
      <c r="B122" t="s">
        <v>910</v>
      </c>
      <c r="C122" t="s">
        <v>438</v>
      </c>
      <c r="D122" s="4">
        <v>256779411969</v>
      </c>
      <c r="E122" s="3">
        <v>45763</v>
      </c>
      <c r="F122" t="s">
        <v>11</v>
      </c>
      <c r="G122">
        <v>1.58</v>
      </c>
      <c r="H122" t="s">
        <v>911</v>
      </c>
      <c r="I122">
        <v>135.44999999999999</v>
      </c>
      <c r="J122" t="s">
        <v>218</v>
      </c>
      <c r="K122" s="3">
        <v>45793</v>
      </c>
      <c r="M122" t="s">
        <v>912</v>
      </c>
      <c r="N122" s="2">
        <v>45809</v>
      </c>
      <c r="O122">
        <v>52543954</v>
      </c>
      <c r="P122">
        <v>1</v>
      </c>
      <c r="Q122" s="3">
        <v>45838</v>
      </c>
      <c r="R122">
        <v>230</v>
      </c>
      <c r="T122" t="s">
        <v>913</v>
      </c>
      <c r="U122">
        <v>0</v>
      </c>
    </row>
    <row r="123" spans="1:21" x14ac:dyDescent="0.35">
      <c r="A123" t="s">
        <v>910</v>
      </c>
      <c r="B123" t="s">
        <v>910</v>
      </c>
      <c r="C123" t="s">
        <v>438</v>
      </c>
      <c r="D123" s="4">
        <v>256779412189</v>
      </c>
      <c r="E123" s="3">
        <v>45768</v>
      </c>
      <c r="F123" t="s">
        <v>56</v>
      </c>
      <c r="G123" t="s">
        <v>911</v>
      </c>
      <c r="H123" t="s">
        <v>911</v>
      </c>
      <c r="I123">
        <v>6</v>
      </c>
      <c r="J123" t="s">
        <v>57</v>
      </c>
      <c r="K123" s="3">
        <v>45798</v>
      </c>
      <c r="M123" t="s">
        <v>912</v>
      </c>
      <c r="N123" s="2">
        <v>45809</v>
      </c>
      <c r="O123">
        <v>52543957</v>
      </c>
      <c r="P123">
        <v>1</v>
      </c>
      <c r="Q123" s="3">
        <v>45838</v>
      </c>
      <c r="R123">
        <v>230</v>
      </c>
      <c r="T123" t="s">
        <v>913</v>
      </c>
      <c r="U123">
        <v>0</v>
      </c>
    </row>
    <row r="124" spans="1:21" x14ac:dyDescent="0.35">
      <c r="A124" t="s">
        <v>910</v>
      </c>
      <c r="B124" t="s">
        <v>910</v>
      </c>
      <c r="C124" t="s">
        <v>438</v>
      </c>
      <c r="D124" s="4">
        <v>246779410063</v>
      </c>
      <c r="E124" s="3">
        <v>45708</v>
      </c>
      <c r="F124" t="s">
        <v>11</v>
      </c>
      <c r="G124">
        <v>1.9</v>
      </c>
      <c r="H124" t="s">
        <v>911</v>
      </c>
      <c r="I124">
        <v>164.43</v>
      </c>
      <c r="J124" t="s">
        <v>98</v>
      </c>
      <c r="K124" s="3">
        <v>45738</v>
      </c>
      <c r="M124" t="s">
        <v>912</v>
      </c>
      <c r="N124" s="2">
        <v>45809</v>
      </c>
      <c r="O124">
        <v>52543959</v>
      </c>
      <c r="P124">
        <v>1</v>
      </c>
      <c r="Q124" s="3">
        <v>45838</v>
      </c>
      <c r="R124">
        <v>230</v>
      </c>
      <c r="T124" t="s">
        <v>913</v>
      </c>
      <c r="U124">
        <v>0</v>
      </c>
    </row>
    <row r="125" spans="1:21" x14ac:dyDescent="0.35">
      <c r="A125" t="s">
        <v>910</v>
      </c>
      <c r="B125" t="s">
        <v>910</v>
      </c>
      <c r="C125" t="s">
        <v>438</v>
      </c>
      <c r="D125" s="4">
        <v>256779410196</v>
      </c>
      <c r="E125" s="3">
        <v>45750</v>
      </c>
      <c r="F125" t="s">
        <v>11</v>
      </c>
      <c r="G125">
        <v>4.93</v>
      </c>
      <c r="H125" t="s">
        <v>911</v>
      </c>
      <c r="I125">
        <v>422.63</v>
      </c>
      <c r="J125" t="s">
        <v>422</v>
      </c>
      <c r="K125" s="3">
        <v>45780</v>
      </c>
      <c r="M125" t="s">
        <v>912</v>
      </c>
      <c r="N125" s="2">
        <v>45809</v>
      </c>
      <c r="O125">
        <v>52543961</v>
      </c>
      <c r="P125">
        <v>1</v>
      </c>
      <c r="Q125" s="3">
        <v>45838</v>
      </c>
      <c r="R125">
        <v>230</v>
      </c>
      <c r="T125" t="s">
        <v>913</v>
      </c>
      <c r="U125">
        <v>0</v>
      </c>
    </row>
    <row r="126" spans="1:21" x14ac:dyDescent="0.35">
      <c r="A126" t="s">
        <v>910</v>
      </c>
      <c r="B126" t="s">
        <v>910</v>
      </c>
      <c r="C126" t="s">
        <v>438</v>
      </c>
      <c r="D126" s="4">
        <v>256779412185</v>
      </c>
      <c r="E126" s="3">
        <v>45768</v>
      </c>
      <c r="F126" t="s">
        <v>11</v>
      </c>
      <c r="G126">
        <v>1.03</v>
      </c>
      <c r="H126" t="s">
        <v>911</v>
      </c>
      <c r="I126">
        <v>88.3</v>
      </c>
      <c r="J126" t="s">
        <v>58</v>
      </c>
      <c r="K126" s="3">
        <v>45798</v>
      </c>
      <c r="M126" t="s">
        <v>912</v>
      </c>
      <c r="N126" s="2">
        <v>45809</v>
      </c>
      <c r="O126">
        <v>52543962</v>
      </c>
      <c r="P126">
        <v>1</v>
      </c>
      <c r="Q126" s="3">
        <v>45838</v>
      </c>
      <c r="R126">
        <v>230</v>
      </c>
      <c r="T126" t="s">
        <v>913</v>
      </c>
      <c r="U126">
        <v>0</v>
      </c>
    </row>
    <row r="127" spans="1:21" x14ac:dyDescent="0.35">
      <c r="A127" t="s">
        <v>910</v>
      </c>
      <c r="B127" t="s">
        <v>910</v>
      </c>
      <c r="C127" t="s">
        <v>438</v>
      </c>
      <c r="D127" s="4">
        <v>256779412092</v>
      </c>
      <c r="E127" s="3">
        <v>45763</v>
      </c>
      <c r="F127" t="s">
        <v>11</v>
      </c>
      <c r="G127">
        <v>5.78</v>
      </c>
      <c r="H127" t="s">
        <v>911</v>
      </c>
      <c r="I127">
        <v>495.5</v>
      </c>
      <c r="J127" t="s">
        <v>219</v>
      </c>
      <c r="K127" s="3">
        <v>45793</v>
      </c>
      <c r="M127" t="s">
        <v>912</v>
      </c>
      <c r="N127" s="2">
        <v>45809</v>
      </c>
      <c r="O127">
        <v>52543964</v>
      </c>
      <c r="P127">
        <v>1</v>
      </c>
      <c r="Q127" s="3">
        <v>45838</v>
      </c>
      <c r="R127">
        <v>230</v>
      </c>
      <c r="T127" t="s">
        <v>913</v>
      </c>
      <c r="U127">
        <v>0</v>
      </c>
    </row>
    <row r="128" spans="1:21" x14ac:dyDescent="0.35">
      <c r="A128" t="s">
        <v>910</v>
      </c>
      <c r="B128" t="s">
        <v>910</v>
      </c>
      <c r="C128" t="s">
        <v>438</v>
      </c>
      <c r="D128" s="4">
        <v>256779412577</v>
      </c>
      <c r="E128" s="3">
        <v>45769</v>
      </c>
      <c r="F128" t="s">
        <v>11</v>
      </c>
      <c r="G128">
        <v>0.92</v>
      </c>
      <c r="H128" t="s">
        <v>911</v>
      </c>
      <c r="I128">
        <v>78.87</v>
      </c>
      <c r="J128" t="s">
        <v>27</v>
      </c>
      <c r="K128" s="3">
        <v>45799</v>
      </c>
      <c r="M128" t="s">
        <v>912</v>
      </c>
      <c r="N128" s="2">
        <v>45809</v>
      </c>
      <c r="O128">
        <v>52543974</v>
      </c>
      <c r="P128">
        <v>1</v>
      </c>
      <c r="Q128" s="3">
        <v>45838</v>
      </c>
      <c r="R128">
        <v>230</v>
      </c>
      <c r="T128" t="s">
        <v>913</v>
      </c>
      <c r="U128">
        <v>0</v>
      </c>
    </row>
    <row r="129" spans="1:21" x14ac:dyDescent="0.35">
      <c r="A129" t="s">
        <v>910</v>
      </c>
      <c r="B129" t="s">
        <v>910</v>
      </c>
      <c r="C129" t="s">
        <v>438</v>
      </c>
      <c r="D129" s="4">
        <v>246779413024</v>
      </c>
      <c r="E129" s="3">
        <v>45735</v>
      </c>
      <c r="F129" t="s">
        <v>11</v>
      </c>
      <c r="G129">
        <v>1.01</v>
      </c>
      <c r="H129" t="s">
        <v>911</v>
      </c>
      <c r="I129">
        <v>87.91</v>
      </c>
      <c r="J129" t="s">
        <v>110</v>
      </c>
      <c r="K129" s="3">
        <v>45765</v>
      </c>
      <c r="M129" t="s">
        <v>912</v>
      </c>
      <c r="N129" s="2">
        <v>45809</v>
      </c>
      <c r="O129">
        <v>52543977</v>
      </c>
      <c r="P129">
        <v>1</v>
      </c>
      <c r="Q129" s="3">
        <v>45838</v>
      </c>
      <c r="R129">
        <v>230</v>
      </c>
      <c r="T129" t="s">
        <v>913</v>
      </c>
      <c r="U129">
        <v>0</v>
      </c>
    </row>
    <row r="130" spans="1:21" x14ac:dyDescent="0.35">
      <c r="A130" t="s">
        <v>910</v>
      </c>
      <c r="B130" t="s">
        <v>910</v>
      </c>
      <c r="C130" t="s">
        <v>438</v>
      </c>
      <c r="D130" s="4">
        <v>256779412564</v>
      </c>
      <c r="E130" s="3">
        <v>45769</v>
      </c>
      <c r="F130" t="s">
        <v>11</v>
      </c>
      <c r="G130">
        <v>1.1000000000000001</v>
      </c>
      <c r="H130" t="s">
        <v>911</v>
      </c>
      <c r="I130">
        <v>94.3</v>
      </c>
      <c r="J130" t="s">
        <v>28</v>
      </c>
      <c r="K130" s="3">
        <v>45799</v>
      </c>
      <c r="M130" t="s">
        <v>912</v>
      </c>
      <c r="N130" s="2">
        <v>45809</v>
      </c>
      <c r="O130">
        <v>52543978</v>
      </c>
      <c r="P130">
        <v>1</v>
      </c>
      <c r="Q130" s="3">
        <v>45838</v>
      </c>
      <c r="R130">
        <v>230</v>
      </c>
      <c r="T130" t="s">
        <v>913</v>
      </c>
      <c r="U130">
        <v>0</v>
      </c>
    </row>
    <row r="131" spans="1:21" x14ac:dyDescent="0.35">
      <c r="A131" t="s">
        <v>910</v>
      </c>
      <c r="B131" t="s">
        <v>910</v>
      </c>
      <c r="C131" t="s">
        <v>438</v>
      </c>
      <c r="D131" s="4">
        <v>246779413815</v>
      </c>
      <c r="E131" s="3">
        <v>45736</v>
      </c>
      <c r="F131" t="s">
        <v>11</v>
      </c>
      <c r="G131">
        <v>1</v>
      </c>
      <c r="H131" t="s">
        <v>911</v>
      </c>
      <c r="I131">
        <v>87.04</v>
      </c>
      <c r="J131" t="s">
        <v>75</v>
      </c>
      <c r="K131" s="3">
        <v>45766</v>
      </c>
      <c r="M131" t="s">
        <v>912</v>
      </c>
      <c r="N131" s="2">
        <v>45809</v>
      </c>
      <c r="O131">
        <v>52543983</v>
      </c>
      <c r="P131">
        <v>1</v>
      </c>
      <c r="Q131" s="3">
        <v>45838</v>
      </c>
      <c r="R131">
        <v>230</v>
      </c>
      <c r="T131" t="s">
        <v>913</v>
      </c>
      <c r="U131">
        <v>0</v>
      </c>
    </row>
    <row r="132" spans="1:21" x14ac:dyDescent="0.35">
      <c r="A132" t="s">
        <v>910</v>
      </c>
      <c r="B132" t="s">
        <v>910</v>
      </c>
      <c r="C132" t="s">
        <v>438</v>
      </c>
      <c r="D132" s="4">
        <v>246779410260</v>
      </c>
      <c r="E132" s="3">
        <v>45708</v>
      </c>
      <c r="F132" t="s">
        <v>11</v>
      </c>
      <c r="G132">
        <v>1.83</v>
      </c>
      <c r="H132" t="s">
        <v>911</v>
      </c>
      <c r="I132">
        <v>158.37</v>
      </c>
      <c r="J132" t="s">
        <v>99</v>
      </c>
      <c r="K132" s="3">
        <v>45738</v>
      </c>
      <c r="M132" t="s">
        <v>912</v>
      </c>
      <c r="N132" s="2">
        <v>45809</v>
      </c>
      <c r="O132">
        <v>52543989</v>
      </c>
      <c r="P132">
        <v>1</v>
      </c>
      <c r="Q132" s="3">
        <v>45838</v>
      </c>
      <c r="R132">
        <v>230</v>
      </c>
      <c r="T132" t="s">
        <v>913</v>
      </c>
      <c r="U132">
        <v>0</v>
      </c>
    </row>
    <row r="133" spans="1:21" x14ac:dyDescent="0.35">
      <c r="A133" t="s">
        <v>910</v>
      </c>
      <c r="B133" t="s">
        <v>910</v>
      </c>
      <c r="C133" t="s">
        <v>438</v>
      </c>
      <c r="D133" s="4">
        <v>256779412123</v>
      </c>
      <c r="E133" s="3">
        <v>45763</v>
      </c>
      <c r="F133" t="s">
        <v>11</v>
      </c>
      <c r="G133">
        <v>66.36</v>
      </c>
      <c r="H133" t="s">
        <v>911</v>
      </c>
      <c r="I133" s="27">
        <v>5688.84</v>
      </c>
      <c r="J133" t="s">
        <v>220</v>
      </c>
      <c r="K133" s="3">
        <v>45793</v>
      </c>
      <c r="M133" t="s">
        <v>912</v>
      </c>
      <c r="N133" s="2">
        <v>45809</v>
      </c>
      <c r="O133">
        <v>52543991</v>
      </c>
      <c r="P133">
        <v>1</v>
      </c>
      <c r="Q133" s="3">
        <v>45838</v>
      </c>
      <c r="R133">
        <v>230</v>
      </c>
      <c r="T133" t="s">
        <v>913</v>
      </c>
      <c r="U133">
        <v>0</v>
      </c>
    </row>
    <row r="134" spans="1:21" x14ac:dyDescent="0.35">
      <c r="A134" t="s">
        <v>910</v>
      </c>
      <c r="B134" t="s">
        <v>910</v>
      </c>
      <c r="C134" t="s">
        <v>438</v>
      </c>
      <c r="D134" s="4">
        <v>256779412529</v>
      </c>
      <c r="E134" s="3">
        <v>45769</v>
      </c>
      <c r="F134" t="s">
        <v>11</v>
      </c>
      <c r="G134">
        <v>0.59</v>
      </c>
      <c r="H134" t="s">
        <v>911</v>
      </c>
      <c r="I134">
        <v>50.58</v>
      </c>
      <c r="J134" t="s">
        <v>29</v>
      </c>
      <c r="K134" s="3">
        <v>45799</v>
      </c>
      <c r="M134" t="s">
        <v>912</v>
      </c>
      <c r="N134" s="2">
        <v>45809</v>
      </c>
      <c r="O134">
        <v>52543995</v>
      </c>
      <c r="P134">
        <v>1</v>
      </c>
      <c r="Q134" s="3">
        <v>45838</v>
      </c>
      <c r="R134">
        <v>230</v>
      </c>
      <c r="T134" t="s">
        <v>913</v>
      </c>
      <c r="U134">
        <v>0</v>
      </c>
    </row>
    <row r="135" spans="1:21" x14ac:dyDescent="0.35">
      <c r="A135" t="s">
        <v>910</v>
      </c>
      <c r="B135" t="s">
        <v>910</v>
      </c>
      <c r="C135" t="s">
        <v>438</v>
      </c>
      <c r="D135" s="4">
        <v>256779410303</v>
      </c>
      <c r="E135" s="3">
        <v>45750</v>
      </c>
      <c r="F135" t="s">
        <v>11</v>
      </c>
      <c r="G135">
        <v>1.83</v>
      </c>
      <c r="H135" t="s">
        <v>911</v>
      </c>
      <c r="I135">
        <v>156.88</v>
      </c>
      <c r="J135" t="s">
        <v>423</v>
      </c>
      <c r="K135" s="3">
        <v>45780</v>
      </c>
      <c r="M135" t="s">
        <v>912</v>
      </c>
      <c r="N135" s="2">
        <v>45809</v>
      </c>
      <c r="O135">
        <v>52543997</v>
      </c>
      <c r="P135">
        <v>1</v>
      </c>
      <c r="Q135" s="3">
        <v>45838</v>
      </c>
      <c r="R135">
        <v>230</v>
      </c>
      <c r="T135" t="s">
        <v>913</v>
      </c>
      <c r="U135">
        <v>0</v>
      </c>
    </row>
    <row r="136" spans="1:21" x14ac:dyDescent="0.35">
      <c r="A136" t="s">
        <v>910</v>
      </c>
      <c r="B136" t="s">
        <v>910</v>
      </c>
      <c r="C136" t="s">
        <v>438</v>
      </c>
      <c r="D136" s="4">
        <v>256779412563</v>
      </c>
      <c r="E136" s="3">
        <v>45769</v>
      </c>
      <c r="F136" t="s">
        <v>11</v>
      </c>
      <c r="G136">
        <v>0.54</v>
      </c>
      <c r="H136" t="s">
        <v>911</v>
      </c>
      <c r="I136">
        <v>46.29</v>
      </c>
      <c r="J136" t="s">
        <v>30</v>
      </c>
      <c r="K136" s="3">
        <v>45799</v>
      </c>
      <c r="M136" t="s">
        <v>912</v>
      </c>
      <c r="N136" s="2">
        <v>45809</v>
      </c>
      <c r="O136">
        <v>52544004</v>
      </c>
      <c r="P136">
        <v>1</v>
      </c>
      <c r="Q136" s="3">
        <v>45838</v>
      </c>
      <c r="R136">
        <v>230</v>
      </c>
      <c r="T136" t="s">
        <v>913</v>
      </c>
      <c r="U136">
        <v>0</v>
      </c>
    </row>
    <row r="137" spans="1:21" x14ac:dyDescent="0.35">
      <c r="A137" t="s">
        <v>910</v>
      </c>
      <c r="B137" t="s">
        <v>910</v>
      </c>
      <c r="C137" t="s">
        <v>438</v>
      </c>
      <c r="D137" s="4">
        <v>246779411973</v>
      </c>
      <c r="E137" s="3">
        <v>45733</v>
      </c>
      <c r="F137" t="s">
        <v>11</v>
      </c>
      <c r="G137">
        <v>8.52</v>
      </c>
      <c r="H137" t="s">
        <v>911</v>
      </c>
      <c r="I137">
        <v>741.6</v>
      </c>
      <c r="J137" t="s">
        <v>209</v>
      </c>
      <c r="K137" s="3">
        <v>45763</v>
      </c>
      <c r="M137" t="s">
        <v>912</v>
      </c>
      <c r="N137" s="2">
        <v>45809</v>
      </c>
      <c r="O137">
        <v>52544006</v>
      </c>
      <c r="P137">
        <v>1</v>
      </c>
      <c r="Q137" s="3">
        <v>45838</v>
      </c>
      <c r="R137">
        <v>230</v>
      </c>
      <c r="T137" t="s">
        <v>913</v>
      </c>
      <c r="U137">
        <v>0</v>
      </c>
    </row>
    <row r="138" spans="1:21" x14ac:dyDescent="0.35">
      <c r="A138" t="s">
        <v>910</v>
      </c>
      <c r="B138" t="s">
        <v>910</v>
      </c>
      <c r="C138" t="s">
        <v>438</v>
      </c>
      <c r="D138" s="4">
        <v>256779412570</v>
      </c>
      <c r="E138" s="3">
        <v>45769</v>
      </c>
      <c r="F138" t="s">
        <v>11</v>
      </c>
      <c r="G138">
        <v>0.87</v>
      </c>
      <c r="H138" t="s">
        <v>911</v>
      </c>
      <c r="I138">
        <v>74.58</v>
      </c>
      <c r="J138" t="s">
        <v>31</v>
      </c>
      <c r="K138" s="3">
        <v>45799</v>
      </c>
      <c r="M138" t="s">
        <v>912</v>
      </c>
      <c r="N138" s="2">
        <v>45809</v>
      </c>
      <c r="O138">
        <v>52544009</v>
      </c>
      <c r="P138">
        <v>1</v>
      </c>
      <c r="Q138" s="3">
        <v>45838</v>
      </c>
      <c r="R138">
        <v>230</v>
      </c>
      <c r="T138" t="s">
        <v>913</v>
      </c>
      <c r="U138">
        <v>0</v>
      </c>
    </row>
    <row r="139" spans="1:21" x14ac:dyDescent="0.35">
      <c r="A139" t="s">
        <v>910</v>
      </c>
      <c r="B139" t="s">
        <v>910</v>
      </c>
      <c r="C139" t="s">
        <v>438</v>
      </c>
      <c r="D139" s="4">
        <v>246779412994</v>
      </c>
      <c r="E139" s="3">
        <v>45735</v>
      </c>
      <c r="F139" t="s">
        <v>11</v>
      </c>
      <c r="G139">
        <v>45.95</v>
      </c>
      <c r="H139" t="s">
        <v>911</v>
      </c>
      <c r="I139" s="27">
        <v>3999.6</v>
      </c>
      <c r="J139" t="s">
        <v>111</v>
      </c>
      <c r="K139" s="3">
        <v>45765</v>
      </c>
      <c r="M139" t="s">
        <v>912</v>
      </c>
      <c r="N139" s="2">
        <v>45809</v>
      </c>
      <c r="O139">
        <v>52544011</v>
      </c>
      <c r="P139">
        <v>1</v>
      </c>
      <c r="Q139" s="3">
        <v>45838</v>
      </c>
      <c r="R139">
        <v>230</v>
      </c>
      <c r="T139" t="s">
        <v>913</v>
      </c>
      <c r="U139">
        <v>0</v>
      </c>
    </row>
    <row r="140" spans="1:21" x14ac:dyDescent="0.35">
      <c r="A140" t="s">
        <v>910</v>
      </c>
      <c r="B140" t="s">
        <v>910</v>
      </c>
      <c r="C140" t="s">
        <v>438</v>
      </c>
      <c r="D140" s="4">
        <v>246779413936</v>
      </c>
      <c r="E140" s="3">
        <v>45736</v>
      </c>
      <c r="F140" t="s">
        <v>11</v>
      </c>
      <c r="G140">
        <v>0.55000000000000004</v>
      </c>
      <c r="H140" t="s">
        <v>911</v>
      </c>
      <c r="I140">
        <v>47.87</v>
      </c>
      <c r="J140" t="s">
        <v>76</v>
      </c>
      <c r="K140" s="3">
        <v>45766</v>
      </c>
      <c r="M140" t="s">
        <v>912</v>
      </c>
      <c r="N140" s="2">
        <v>45809</v>
      </c>
      <c r="O140">
        <v>52544012</v>
      </c>
      <c r="P140">
        <v>1</v>
      </c>
      <c r="Q140" s="3">
        <v>45838</v>
      </c>
      <c r="R140">
        <v>230</v>
      </c>
      <c r="T140" t="s">
        <v>913</v>
      </c>
      <c r="U140">
        <v>0</v>
      </c>
    </row>
    <row r="141" spans="1:21" x14ac:dyDescent="0.35">
      <c r="A141" t="s">
        <v>910</v>
      </c>
      <c r="B141" t="s">
        <v>910</v>
      </c>
      <c r="C141" t="s">
        <v>438</v>
      </c>
      <c r="D141" s="4">
        <v>256779412184</v>
      </c>
      <c r="E141" s="3">
        <v>45768</v>
      </c>
      <c r="F141" t="s">
        <v>11</v>
      </c>
      <c r="G141">
        <v>1.86</v>
      </c>
      <c r="H141" t="s">
        <v>911</v>
      </c>
      <c r="I141">
        <v>159.44999999999999</v>
      </c>
      <c r="J141" t="s">
        <v>59</v>
      </c>
      <c r="K141" s="3">
        <v>45798</v>
      </c>
      <c r="M141" t="s">
        <v>912</v>
      </c>
      <c r="N141" s="2">
        <v>45809</v>
      </c>
      <c r="O141">
        <v>52544015</v>
      </c>
      <c r="P141">
        <v>1</v>
      </c>
      <c r="Q141" s="3">
        <v>45838</v>
      </c>
      <c r="R141">
        <v>230</v>
      </c>
      <c r="T141" t="s">
        <v>913</v>
      </c>
      <c r="U141">
        <v>0</v>
      </c>
    </row>
    <row r="142" spans="1:21" x14ac:dyDescent="0.35">
      <c r="A142" t="s">
        <v>910</v>
      </c>
      <c r="B142" t="s">
        <v>910</v>
      </c>
      <c r="C142" t="s">
        <v>438</v>
      </c>
      <c r="D142" s="4">
        <v>246779412047</v>
      </c>
      <c r="E142" s="3">
        <v>45733</v>
      </c>
      <c r="F142" t="s">
        <v>11</v>
      </c>
      <c r="G142">
        <v>0.56000000000000005</v>
      </c>
      <c r="H142" t="s">
        <v>911</v>
      </c>
      <c r="I142">
        <v>48.74</v>
      </c>
      <c r="J142" t="s">
        <v>210</v>
      </c>
      <c r="K142" s="3">
        <v>45763</v>
      </c>
      <c r="M142" t="s">
        <v>912</v>
      </c>
      <c r="N142" s="2">
        <v>45809</v>
      </c>
      <c r="O142">
        <v>52544016</v>
      </c>
      <c r="P142">
        <v>1</v>
      </c>
      <c r="Q142" s="3">
        <v>45838</v>
      </c>
      <c r="R142">
        <v>230</v>
      </c>
      <c r="T142" t="s">
        <v>913</v>
      </c>
      <c r="U142">
        <v>0</v>
      </c>
    </row>
    <row r="143" spans="1:21" x14ac:dyDescent="0.35">
      <c r="A143" t="s">
        <v>910</v>
      </c>
      <c r="B143" t="s">
        <v>910</v>
      </c>
      <c r="C143" t="s">
        <v>438</v>
      </c>
      <c r="D143" s="4">
        <v>246779410010</v>
      </c>
      <c r="E143" s="3">
        <v>45708</v>
      </c>
      <c r="F143" t="s">
        <v>11</v>
      </c>
      <c r="G143">
        <v>47.62</v>
      </c>
      <c r="H143" t="s">
        <v>911</v>
      </c>
      <c r="I143" s="27">
        <v>4121.01</v>
      </c>
      <c r="J143" t="s">
        <v>100</v>
      </c>
      <c r="K143" s="3">
        <v>45738</v>
      </c>
      <c r="M143" t="s">
        <v>912</v>
      </c>
      <c r="N143" s="2">
        <v>45809</v>
      </c>
      <c r="O143">
        <v>52544018</v>
      </c>
      <c r="P143">
        <v>1</v>
      </c>
      <c r="Q143" s="3">
        <v>45838</v>
      </c>
      <c r="R143">
        <v>230</v>
      </c>
      <c r="T143" t="s">
        <v>913</v>
      </c>
      <c r="U143">
        <v>0</v>
      </c>
    </row>
    <row r="144" spans="1:21" x14ac:dyDescent="0.35">
      <c r="A144" t="s">
        <v>910</v>
      </c>
      <c r="B144" t="s">
        <v>910</v>
      </c>
      <c r="C144" t="s">
        <v>438</v>
      </c>
      <c r="D144" s="4">
        <v>246779411908</v>
      </c>
      <c r="E144" s="3">
        <v>45733</v>
      </c>
      <c r="F144" t="s">
        <v>11</v>
      </c>
      <c r="G144">
        <v>0.56999999999999995</v>
      </c>
      <c r="H144" t="s">
        <v>911</v>
      </c>
      <c r="I144">
        <v>49.61</v>
      </c>
      <c r="J144" t="s">
        <v>211</v>
      </c>
      <c r="K144" s="3">
        <v>45763</v>
      </c>
      <c r="M144" t="s">
        <v>912</v>
      </c>
      <c r="N144" s="2">
        <v>45809</v>
      </c>
      <c r="O144">
        <v>52544019</v>
      </c>
      <c r="P144">
        <v>1</v>
      </c>
      <c r="Q144" s="3">
        <v>45838</v>
      </c>
      <c r="R144">
        <v>230</v>
      </c>
      <c r="T144" t="s">
        <v>913</v>
      </c>
      <c r="U144">
        <v>0</v>
      </c>
    </row>
    <row r="145" spans="1:21" x14ac:dyDescent="0.35">
      <c r="A145" t="s">
        <v>910</v>
      </c>
      <c r="B145" t="s">
        <v>910</v>
      </c>
      <c r="C145" t="s">
        <v>438</v>
      </c>
      <c r="D145" s="4">
        <v>246779414384</v>
      </c>
      <c r="E145" s="3">
        <v>45736</v>
      </c>
      <c r="F145" t="s">
        <v>11</v>
      </c>
      <c r="G145">
        <v>3.65</v>
      </c>
      <c r="H145" t="s">
        <v>911</v>
      </c>
      <c r="I145">
        <v>317.7</v>
      </c>
      <c r="J145" t="s">
        <v>77</v>
      </c>
      <c r="K145" s="3">
        <v>45766</v>
      </c>
      <c r="M145" t="s">
        <v>912</v>
      </c>
      <c r="N145" s="2">
        <v>45809</v>
      </c>
      <c r="O145">
        <v>52544021</v>
      </c>
      <c r="P145">
        <v>1</v>
      </c>
      <c r="Q145" s="3">
        <v>45838</v>
      </c>
      <c r="R145">
        <v>230</v>
      </c>
      <c r="T145" t="s">
        <v>913</v>
      </c>
      <c r="U145">
        <v>0</v>
      </c>
    </row>
    <row r="146" spans="1:21" x14ac:dyDescent="0.35">
      <c r="A146" t="s">
        <v>910</v>
      </c>
      <c r="B146" t="s">
        <v>910</v>
      </c>
      <c r="C146" t="s">
        <v>438</v>
      </c>
      <c r="D146" s="4">
        <v>246779410080</v>
      </c>
      <c r="E146" s="3">
        <v>45708</v>
      </c>
      <c r="F146" t="s">
        <v>11</v>
      </c>
      <c r="G146">
        <v>1.9</v>
      </c>
      <c r="H146" t="s">
        <v>911</v>
      </c>
      <c r="I146">
        <v>164.43</v>
      </c>
      <c r="J146" t="s">
        <v>101</v>
      </c>
      <c r="K146" s="3">
        <v>45738</v>
      </c>
      <c r="M146" t="s">
        <v>912</v>
      </c>
      <c r="N146" s="2">
        <v>45809</v>
      </c>
      <c r="O146">
        <v>52544023</v>
      </c>
      <c r="P146">
        <v>1</v>
      </c>
      <c r="Q146" s="3">
        <v>45838</v>
      </c>
      <c r="R146">
        <v>230</v>
      </c>
      <c r="T146" t="s">
        <v>913</v>
      </c>
      <c r="U146">
        <v>0</v>
      </c>
    </row>
    <row r="147" spans="1:21" x14ac:dyDescent="0.35">
      <c r="A147" t="s">
        <v>910</v>
      </c>
      <c r="B147" t="s">
        <v>910</v>
      </c>
      <c r="C147" t="s">
        <v>438</v>
      </c>
      <c r="D147" s="4">
        <v>256779412580</v>
      </c>
      <c r="E147" s="3">
        <v>45769</v>
      </c>
      <c r="F147" t="s">
        <v>11</v>
      </c>
      <c r="G147">
        <v>0.81</v>
      </c>
      <c r="H147" t="s">
        <v>911</v>
      </c>
      <c r="I147">
        <v>69.44</v>
      </c>
      <c r="J147" t="s">
        <v>32</v>
      </c>
      <c r="K147" s="3">
        <v>45799</v>
      </c>
      <c r="M147" t="s">
        <v>912</v>
      </c>
      <c r="N147" s="2">
        <v>45809</v>
      </c>
      <c r="O147">
        <v>52544026</v>
      </c>
      <c r="P147">
        <v>1</v>
      </c>
      <c r="Q147" s="3">
        <v>45838</v>
      </c>
      <c r="R147">
        <v>230</v>
      </c>
      <c r="T147" t="s">
        <v>913</v>
      </c>
      <c r="U147">
        <v>0</v>
      </c>
    </row>
    <row r="148" spans="1:21" x14ac:dyDescent="0.35">
      <c r="A148" t="s">
        <v>910</v>
      </c>
      <c r="B148" t="s">
        <v>910</v>
      </c>
      <c r="C148" t="s">
        <v>438</v>
      </c>
      <c r="D148" s="4">
        <v>246779413889</v>
      </c>
      <c r="E148" s="3">
        <v>45736</v>
      </c>
      <c r="F148" t="s">
        <v>11</v>
      </c>
      <c r="G148">
        <v>0.85</v>
      </c>
      <c r="H148" t="s">
        <v>911</v>
      </c>
      <c r="I148">
        <v>73.989999999999995</v>
      </c>
      <c r="J148" t="s">
        <v>78</v>
      </c>
      <c r="K148" s="3">
        <v>45766</v>
      </c>
      <c r="M148" t="s">
        <v>912</v>
      </c>
      <c r="N148" s="2">
        <v>45809</v>
      </c>
      <c r="O148">
        <v>52544028</v>
      </c>
      <c r="P148">
        <v>1</v>
      </c>
      <c r="Q148" s="3">
        <v>45838</v>
      </c>
      <c r="R148">
        <v>230</v>
      </c>
      <c r="T148" t="s">
        <v>913</v>
      </c>
      <c r="U148">
        <v>0</v>
      </c>
    </row>
    <row r="149" spans="1:21" x14ac:dyDescent="0.35">
      <c r="A149" t="s">
        <v>910</v>
      </c>
      <c r="B149" t="s">
        <v>910</v>
      </c>
      <c r="C149" t="s">
        <v>438</v>
      </c>
      <c r="D149" s="4">
        <v>256779412155</v>
      </c>
      <c r="E149" s="3">
        <v>45768</v>
      </c>
      <c r="F149" t="s">
        <v>11</v>
      </c>
      <c r="G149">
        <v>46.61</v>
      </c>
      <c r="H149" t="s">
        <v>911</v>
      </c>
      <c r="I149" s="27">
        <v>3995.73</v>
      </c>
      <c r="J149" t="s">
        <v>60</v>
      </c>
      <c r="K149" s="3">
        <v>45798</v>
      </c>
      <c r="M149" t="s">
        <v>912</v>
      </c>
      <c r="N149" s="2">
        <v>45809</v>
      </c>
      <c r="O149">
        <v>52544029</v>
      </c>
      <c r="P149">
        <v>1</v>
      </c>
      <c r="Q149" s="3">
        <v>45838</v>
      </c>
      <c r="R149">
        <v>230</v>
      </c>
      <c r="T149" t="s">
        <v>913</v>
      </c>
      <c r="U149">
        <v>0</v>
      </c>
    </row>
    <row r="150" spans="1:21" x14ac:dyDescent="0.35">
      <c r="A150" t="s">
        <v>910</v>
      </c>
      <c r="B150" t="s">
        <v>910</v>
      </c>
      <c r="C150" t="s">
        <v>438</v>
      </c>
      <c r="D150" s="4">
        <v>256779410801</v>
      </c>
      <c r="E150" s="3">
        <v>45751</v>
      </c>
      <c r="F150" t="s">
        <v>11</v>
      </c>
      <c r="G150">
        <v>56.59</v>
      </c>
      <c r="H150" t="s">
        <v>911</v>
      </c>
      <c r="I150" s="27">
        <v>4851.29</v>
      </c>
      <c r="J150" t="s">
        <v>415</v>
      </c>
      <c r="K150" s="3">
        <v>45781</v>
      </c>
      <c r="M150" t="s">
        <v>912</v>
      </c>
      <c r="N150" s="2">
        <v>45809</v>
      </c>
      <c r="O150">
        <v>52544031</v>
      </c>
      <c r="P150">
        <v>1</v>
      </c>
      <c r="Q150" s="3">
        <v>45838</v>
      </c>
      <c r="R150">
        <v>230</v>
      </c>
      <c r="T150" t="s">
        <v>913</v>
      </c>
      <c r="U150">
        <v>0</v>
      </c>
    </row>
    <row r="151" spans="1:21" x14ac:dyDescent="0.35">
      <c r="A151" t="s">
        <v>910</v>
      </c>
      <c r="B151" t="s">
        <v>910</v>
      </c>
      <c r="C151" t="s">
        <v>438</v>
      </c>
      <c r="D151" s="4">
        <v>256779412581</v>
      </c>
      <c r="E151" s="3">
        <v>45769</v>
      </c>
      <c r="F151" t="s">
        <v>11</v>
      </c>
      <c r="G151">
        <v>1.03</v>
      </c>
      <c r="H151" t="s">
        <v>911</v>
      </c>
      <c r="I151">
        <v>88.3</v>
      </c>
      <c r="J151" t="s">
        <v>33</v>
      </c>
      <c r="K151" s="3">
        <v>45799</v>
      </c>
      <c r="M151" t="s">
        <v>912</v>
      </c>
      <c r="N151" s="2">
        <v>45809</v>
      </c>
      <c r="O151">
        <v>52544032</v>
      </c>
      <c r="P151">
        <v>1</v>
      </c>
      <c r="Q151" s="3">
        <v>45838</v>
      </c>
      <c r="R151">
        <v>230</v>
      </c>
      <c r="T151" t="s">
        <v>913</v>
      </c>
      <c r="U151">
        <v>0</v>
      </c>
    </row>
    <row r="152" spans="1:21" x14ac:dyDescent="0.35">
      <c r="A152" t="s">
        <v>910</v>
      </c>
      <c r="B152" t="s">
        <v>910</v>
      </c>
      <c r="C152" t="s">
        <v>438</v>
      </c>
      <c r="D152" s="4">
        <v>246779412033</v>
      </c>
      <c r="E152" s="3">
        <v>45733</v>
      </c>
      <c r="F152" t="s">
        <v>11</v>
      </c>
      <c r="G152">
        <v>0.45</v>
      </c>
      <c r="H152" t="s">
        <v>911</v>
      </c>
      <c r="I152">
        <v>39.17</v>
      </c>
      <c r="J152" t="s">
        <v>212</v>
      </c>
      <c r="K152" s="3">
        <v>45763</v>
      </c>
      <c r="M152" t="s">
        <v>912</v>
      </c>
      <c r="N152" s="2">
        <v>45809</v>
      </c>
      <c r="O152">
        <v>52544034</v>
      </c>
      <c r="P152">
        <v>1</v>
      </c>
      <c r="Q152" s="3">
        <v>45838</v>
      </c>
      <c r="R152">
        <v>230</v>
      </c>
      <c r="T152" t="s">
        <v>913</v>
      </c>
      <c r="U152">
        <v>0</v>
      </c>
    </row>
    <row r="153" spans="1:21" x14ac:dyDescent="0.35">
      <c r="A153" t="s">
        <v>910</v>
      </c>
      <c r="B153" t="s">
        <v>910</v>
      </c>
      <c r="C153" t="s">
        <v>438</v>
      </c>
      <c r="D153" s="4">
        <v>246779410081</v>
      </c>
      <c r="E153" s="3">
        <v>45707</v>
      </c>
      <c r="F153" t="s">
        <v>11</v>
      </c>
      <c r="G153">
        <v>1.05</v>
      </c>
      <c r="H153" t="s">
        <v>911</v>
      </c>
      <c r="I153">
        <v>90.87</v>
      </c>
      <c r="J153" t="s">
        <v>114</v>
      </c>
      <c r="K153" s="3">
        <v>45737</v>
      </c>
      <c r="M153" t="s">
        <v>912</v>
      </c>
      <c r="N153" s="2">
        <v>45809</v>
      </c>
      <c r="O153">
        <v>52544038</v>
      </c>
      <c r="P153">
        <v>1</v>
      </c>
      <c r="Q153" s="3">
        <v>45838</v>
      </c>
      <c r="R153">
        <v>230</v>
      </c>
      <c r="T153" t="s">
        <v>913</v>
      </c>
      <c r="U153">
        <v>0</v>
      </c>
    </row>
    <row r="154" spans="1:21" x14ac:dyDescent="0.35">
      <c r="A154" t="s">
        <v>910</v>
      </c>
      <c r="B154" t="s">
        <v>910</v>
      </c>
      <c r="C154" t="s">
        <v>438</v>
      </c>
      <c r="D154" s="4">
        <v>246779410882</v>
      </c>
      <c r="E154" s="3">
        <v>45722</v>
      </c>
      <c r="F154" t="s">
        <v>11</v>
      </c>
      <c r="G154">
        <v>44.65</v>
      </c>
      <c r="H154" t="s">
        <v>911</v>
      </c>
      <c r="I154" s="27">
        <v>3886.44</v>
      </c>
      <c r="J154" t="s">
        <v>369</v>
      </c>
      <c r="K154" s="3">
        <v>45752</v>
      </c>
      <c r="M154" t="s">
        <v>912</v>
      </c>
      <c r="N154" s="2">
        <v>45809</v>
      </c>
      <c r="O154">
        <v>52544044</v>
      </c>
      <c r="P154">
        <v>1</v>
      </c>
      <c r="Q154" s="3">
        <v>45838</v>
      </c>
      <c r="R154">
        <v>230</v>
      </c>
      <c r="T154" t="s">
        <v>913</v>
      </c>
      <c r="U154">
        <v>0</v>
      </c>
    </row>
    <row r="155" spans="1:21" x14ac:dyDescent="0.35">
      <c r="A155" t="s">
        <v>910</v>
      </c>
      <c r="B155" t="s">
        <v>910</v>
      </c>
      <c r="C155" t="s">
        <v>438</v>
      </c>
      <c r="D155" s="4">
        <v>256779412536</v>
      </c>
      <c r="E155" s="3">
        <v>45769</v>
      </c>
      <c r="F155" t="s">
        <v>11</v>
      </c>
      <c r="G155">
        <v>0.74</v>
      </c>
      <c r="H155" t="s">
        <v>911</v>
      </c>
      <c r="I155">
        <v>63.44</v>
      </c>
      <c r="J155" t="s">
        <v>34</v>
      </c>
      <c r="K155" s="3">
        <v>45799</v>
      </c>
      <c r="M155" t="s">
        <v>912</v>
      </c>
      <c r="N155" s="2">
        <v>45809</v>
      </c>
      <c r="O155">
        <v>52544046</v>
      </c>
      <c r="P155">
        <v>1</v>
      </c>
      <c r="Q155" s="3">
        <v>45838</v>
      </c>
      <c r="R155">
        <v>230</v>
      </c>
      <c r="T155" t="s">
        <v>913</v>
      </c>
      <c r="U155">
        <v>0</v>
      </c>
    </row>
    <row r="156" spans="1:21" x14ac:dyDescent="0.35">
      <c r="A156" t="s">
        <v>910</v>
      </c>
      <c r="B156" t="s">
        <v>910</v>
      </c>
      <c r="C156" t="s">
        <v>438</v>
      </c>
      <c r="D156" s="4">
        <v>256779412576</v>
      </c>
      <c r="E156" s="3">
        <v>45769</v>
      </c>
      <c r="F156" t="s">
        <v>11</v>
      </c>
      <c r="G156">
        <v>0.92</v>
      </c>
      <c r="H156" t="s">
        <v>911</v>
      </c>
      <c r="I156">
        <v>78.87</v>
      </c>
      <c r="J156" t="s">
        <v>35</v>
      </c>
      <c r="K156" s="3">
        <v>45799</v>
      </c>
      <c r="M156" t="s">
        <v>912</v>
      </c>
      <c r="N156" s="2">
        <v>45809</v>
      </c>
      <c r="O156">
        <v>52544047</v>
      </c>
      <c r="P156">
        <v>1</v>
      </c>
      <c r="Q156" s="3">
        <v>45838</v>
      </c>
      <c r="R156">
        <v>230</v>
      </c>
      <c r="T156" t="s">
        <v>913</v>
      </c>
      <c r="U156">
        <v>0</v>
      </c>
    </row>
    <row r="157" spans="1:21" x14ac:dyDescent="0.35">
      <c r="A157" t="s">
        <v>910</v>
      </c>
      <c r="B157" t="s">
        <v>910</v>
      </c>
      <c r="C157" t="s">
        <v>438</v>
      </c>
      <c r="D157" s="4">
        <v>246779410743</v>
      </c>
      <c r="E157" s="3">
        <v>45720</v>
      </c>
      <c r="F157" t="s">
        <v>11</v>
      </c>
      <c r="G157">
        <v>0.06</v>
      </c>
      <c r="H157" t="s">
        <v>911</v>
      </c>
      <c r="I157">
        <v>5.22</v>
      </c>
      <c r="J157" t="s">
        <v>417</v>
      </c>
      <c r="K157" s="3">
        <v>45750</v>
      </c>
      <c r="M157" t="s">
        <v>912</v>
      </c>
      <c r="N157" s="2">
        <v>45809</v>
      </c>
      <c r="O157">
        <v>52544051</v>
      </c>
      <c r="P157">
        <v>1</v>
      </c>
      <c r="Q157" s="3">
        <v>45838</v>
      </c>
      <c r="R157">
        <v>230</v>
      </c>
      <c r="T157" t="s">
        <v>913</v>
      </c>
      <c r="U157">
        <v>0</v>
      </c>
    </row>
    <row r="158" spans="1:21" x14ac:dyDescent="0.35">
      <c r="A158" t="s">
        <v>910</v>
      </c>
      <c r="B158" t="s">
        <v>910</v>
      </c>
      <c r="C158" t="s">
        <v>438</v>
      </c>
      <c r="D158" s="4">
        <v>256779410304</v>
      </c>
      <c r="E158" s="3">
        <v>45750</v>
      </c>
      <c r="F158" t="s">
        <v>11</v>
      </c>
      <c r="G158">
        <v>1.01</v>
      </c>
      <c r="H158" t="s">
        <v>911</v>
      </c>
      <c r="I158">
        <v>86.58</v>
      </c>
      <c r="J158" t="s">
        <v>424</v>
      </c>
      <c r="K158" s="3">
        <v>45780</v>
      </c>
      <c r="M158" t="s">
        <v>912</v>
      </c>
      <c r="N158" s="2">
        <v>45809</v>
      </c>
      <c r="O158">
        <v>52544053</v>
      </c>
      <c r="P158">
        <v>1</v>
      </c>
      <c r="Q158" s="3">
        <v>45838</v>
      </c>
      <c r="R158">
        <v>230</v>
      </c>
      <c r="T158" t="s">
        <v>913</v>
      </c>
      <c r="U158">
        <v>0</v>
      </c>
    </row>
    <row r="159" spans="1:21" x14ac:dyDescent="0.35">
      <c r="A159" t="s">
        <v>910</v>
      </c>
      <c r="B159" t="s">
        <v>910</v>
      </c>
      <c r="C159" t="s">
        <v>438</v>
      </c>
      <c r="D159" s="4">
        <v>256779412524</v>
      </c>
      <c r="E159" s="3">
        <v>45769</v>
      </c>
      <c r="F159" t="s">
        <v>11</v>
      </c>
      <c r="G159">
        <v>0.73</v>
      </c>
      <c r="H159" t="s">
        <v>911</v>
      </c>
      <c r="I159">
        <v>62.58</v>
      </c>
      <c r="J159" t="s">
        <v>36</v>
      </c>
      <c r="K159" s="3">
        <v>45799</v>
      </c>
      <c r="M159" t="s">
        <v>912</v>
      </c>
      <c r="N159" s="2">
        <v>45809</v>
      </c>
      <c r="O159">
        <v>52544058</v>
      </c>
      <c r="P159">
        <v>1</v>
      </c>
      <c r="Q159" s="3">
        <v>45838</v>
      </c>
      <c r="R159">
        <v>230</v>
      </c>
      <c r="T159" t="s">
        <v>913</v>
      </c>
      <c r="U159">
        <v>0</v>
      </c>
    </row>
    <row r="160" spans="1:21" x14ac:dyDescent="0.35">
      <c r="A160" t="s">
        <v>910</v>
      </c>
      <c r="B160" t="s">
        <v>910</v>
      </c>
      <c r="C160" t="s">
        <v>438</v>
      </c>
      <c r="D160" s="4">
        <v>256779412537</v>
      </c>
      <c r="E160" s="3">
        <v>45769</v>
      </c>
      <c r="F160" t="s">
        <v>11</v>
      </c>
      <c r="G160">
        <v>8.15</v>
      </c>
      <c r="H160" t="s">
        <v>911</v>
      </c>
      <c r="I160">
        <v>698.67</v>
      </c>
      <c r="J160" t="s">
        <v>37</v>
      </c>
      <c r="K160" s="3">
        <v>45799</v>
      </c>
      <c r="M160" t="s">
        <v>912</v>
      </c>
      <c r="N160" s="2">
        <v>45809</v>
      </c>
      <c r="O160">
        <v>52544060</v>
      </c>
      <c r="P160">
        <v>1</v>
      </c>
      <c r="Q160" s="3">
        <v>45838</v>
      </c>
      <c r="R160">
        <v>230</v>
      </c>
      <c r="T160" t="s">
        <v>913</v>
      </c>
      <c r="U160">
        <v>0</v>
      </c>
    </row>
    <row r="161" spans="1:21" x14ac:dyDescent="0.35">
      <c r="A161" t="s">
        <v>910</v>
      </c>
      <c r="B161" t="s">
        <v>910</v>
      </c>
      <c r="C161" t="s">
        <v>438</v>
      </c>
      <c r="D161" s="4">
        <v>246779413920</v>
      </c>
      <c r="E161" s="3">
        <v>45736</v>
      </c>
      <c r="F161" t="s">
        <v>11</v>
      </c>
      <c r="G161">
        <v>0.45</v>
      </c>
      <c r="H161" t="s">
        <v>911</v>
      </c>
      <c r="I161">
        <v>39.17</v>
      </c>
      <c r="J161" t="s">
        <v>79</v>
      </c>
      <c r="K161" s="3">
        <v>45766</v>
      </c>
      <c r="M161" t="s">
        <v>912</v>
      </c>
      <c r="N161" s="2">
        <v>45809</v>
      </c>
      <c r="O161">
        <v>52544064</v>
      </c>
      <c r="P161">
        <v>1</v>
      </c>
      <c r="Q161" s="3">
        <v>45838</v>
      </c>
      <c r="R161">
        <v>230</v>
      </c>
      <c r="T161" t="s">
        <v>913</v>
      </c>
      <c r="U161">
        <v>0</v>
      </c>
    </row>
    <row r="162" spans="1:21" x14ac:dyDescent="0.35">
      <c r="A162" t="s">
        <v>910</v>
      </c>
      <c r="B162" t="s">
        <v>910</v>
      </c>
      <c r="C162" t="s">
        <v>438</v>
      </c>
      <c r="D162" s="4">
        <v>256779412585</v>
      </c>
      <c r="E162" s="3">
        <v>45769</v>
      </c>
      <c r="F162" t="s">
        <v>11</v>
      </c>
      <c r="G162">
        <v>0.98</v>
      </c>
      <c r="H162" t="s">
        <v>911</v>
      </c>
      <c r="I162">
        <v>84.01</v>
      </c>
      <c r="J162" t="s">
        <v>38</v>
      </c>
      <c r="K162" s="3">
        <v>45799</v>
      </c>
      <c r="M162" t="s">
        <v>912</v>
      </c>
      <c r="N162" s="2">
        <v>45809</v>
      </c>
      <c r="O162">
        <v>52544065</v>
      </c>
      <c r="P162">
        <v>1</v>
      </c>
      <c r="Q162" s="3">
        <v>45838</v>
      </c>
      <c r="R162">
        <v>230</v>
      </c>
      <c r="T162" t="s">
        <v>913</v>
      </c>
      <c r="U162">
        <v>0</v>
      </c>
    </row>
    <row r="163" spans="1:21" x14ac:dyDescent="0.35">
      <c r="A163" t="s">
        <v>910</v>
      </c>
      <c r="B163" t="s">
        <v>910</v>
      </c>
      <c r="C163" t="s">
        <v>438</v>
      </c>
      <c r="D163" s="4">
        <v>256779412586</v>
      </c>
      <c r="E163" s="3">
        <v>45769</v>
      </c>
      <c r="F163" t="s">
        <v>11</v>
      </c>
      <c r="G163">
        <v>1.03</v>
      </c>
      <c r="H163" t="s">
        <v>911</v>
      </c>
      <c r="I163">
        <v>88.3</v>
      </c>
      <c r="J163" t="s">
        <v>39</v>
      </c>
      <c r="K163" s="3">
        <v>45799</v>
      </c>
      <c r="M163" t="s">
        <v>912</v>
      </c>
      <c r="N163" s="2">
        <v>45809</v>
      </c>
      <c r="O163">
        <v>52544070</v>
      </c>
      <c r="P163">
        <v>1</v>
      </c>
      <c r="Q163" s="3">
        <v>45838</v>
      </c>
      <c r="R163">
        <v>230</v>
      </c>
      <c r="T163" t="s">
        <v>913</v>
      </c>
      <c r="U163">
        <v>0</v>
      </c>
    </row>
    <row r="164" spans="1:21" x14ac:dyDescent="0.35">
      <c r="A164" t="s">
        <v>910</v>
      </c>
      <c r="B164" t="s">
        <v>910</v>
      </c>
      <c r="C164" t="s">
        <v>438</v>
      </c>
      <c r="D164" s="4">
        <v>246779413023</v>
      </c>
      <c r="E164" s="3">
        <v>45735</v>
      </c>
      <c r="F164" t="s">
        <v>11</v>
      </c>
      <c r="G164">
        <v>1.84</v>
      </c>
      <c r="H164" t="s">
        <v>911</v>
      </c>
      <c r="I164">
        <v>160.16</v>
      </c>
      <c r="J164" t="s">
        <v>112</v>
      </c>
      <c r="K164" s="3">
        <v>45765</v>
      </c>
      <c r="M164" t="s">
        <v>912</v>
      </c>
      <c r="N164" s="2">
        <v>45809</v>
      </c>
      <c r="O164">
        <v>52544071</v>
      </c>
      <c r="P164">
        <v>1</v>
      </c>
      <c r="Q164" s="3">
        <v>45838</v>
      </c>
      <c r="R164">
        <v>230</v>
      </c>
      <c r="T164" t="s">
        <v>913</v>
      </c>
      <c r="U164">
        <v>0</v>
      </c>
    </row>
    <row r="165" spans="1:21" x14ac:dyDescent="0.35">
      <c r="A165" t="s">
        <v>910</v>
      </c>
      <c r="B165" t="s">
        <v>910</v>
      </c>
      <c r="C165" t="s">
        <v>438</v>
      </c>
      <c r="D165" s="4">
        <v>256779412579</v>
      </c>
      <c r="E165" s="3">
        <v>45769</v>
      </c>
      <c r="F165" t="s">
        <v>11</v>
      </c>
      <c r="G165">
        <v>1.1499999999999999</v>
      </c>
      <c r="H165" t="s">
        <v>911</v>
      </c>
      <c r="I165">
        <v>98.59</v>
      </c>
      <c r="J165" t="s">
        <v>40</v>
      </c>
      <c r="K165" s="3">
        <v>45799</v>
      </c>
      <c r="M165" t="s">
        <v>912</v>
      </c>
      <c r="N165" s="2">
        <v>45809</v>
      </c>
      <c r="O165">
        <v>52544074</v>
      </c>
      <c r="P165">
        <v>1</v>
      </c>
      <c r="Q165" s="3">
        <v>45838</v>
      </c>
      <c r="R165">
        <v>230</v>
      </c>
      <c r="T165" t="s">
        <v>913</v>
      </c>
      <c r="U165">
        <v>0</v>
      </c>
    </row>
    <row r="166" spans="1:21" x14ac:dyDescent="0.35">
      <c r="A166" t="s">
        <v>910</v>
      </c>
      <c r="B166" t="s">
        <v>910</v>
      </c>
      <c r="C166" t="s">
        <v>438</v>
      </c>
      <c r="D166" s="4">
        <v>256779412091</v>
      </c>
      <c r="E166" s="3">
        <v>45763</v>
      </c>
      <c r="F166" t="s">
        <v>11</v>
      </c>
      <c r="G166">
        <v>1.93</v>
      </c>
      <c r="H166" t="s">
        <v>911</v>
      </c>
      <c r="I166">
        <v>165.45</v>
      </c>
      <c r="J166" t="s">
        <v>221</v>
      </c>
      <c r="K166" s="3">
        <v>45793</v>
      </c>
      <c r="M166" t="s">
        <v>912</v>
      </c>
      <c r="N166" s="2">
        <v>45809</v>
      </c>
      <c r="O166">
        <v>52544077</v>
      </c>
      <c r="P166">
        <v>1</v>
      </c>
      <c r="Q166" s="3">
        <v>45838</v>
      </c>
      <c r="R166">
        <v>230</v>
      </c>
      <c r="T166" t="s">
        <v>913</v>
      </c>
      <c r="U166">
        <v>0</v>
      </c>
    </row>
    <row r="167" spans="1:21" x14ac:dyDescent="0.35">
      <c r="A167" t="s">
        <v>910</v>
      </c>
      <c r="B167" t="s">
        <v>910</v>
      </c>
      <c r="C167" t="s">
        <v>438</v>
      </c>
      <c r="D167" s="4">
        <v>256779412562</v>
      </c>
      <c r="E167" s="3">
        <v>45769</v>
      </c>
      <c r="F167" t="s">
        <v>11</v>
      </c>
      <c r="G167">
        <v>1.0900000000000001</v>
      </c>
      <c r="H167" t="s">
        <v>911</v>
      </c>
      <c r="I167">
        <v>93.44</v>
      </c>
      <c r="J167" t="s">
        <v>41</v>
      </c>
      <c r="K167" s="3">
        <v>45799</v>
      </c>
      <c r="M167" t="s">
        <v>912</v>
      </c>
      <c r="N167" s="2">
        <v>45809</v>
      </c>
      <c r="O167">
        <v>52544079</v>
      </c>
      <c r="P167">
        <v>1</v>
      </c>
      <c r="Q167" s="3">
        <v>45838</v>
      </c>
      <c r="R167">
        <v>230</v>
      </c>
      <c r="T167" t="s">
        <v>913</v>
      </c>
      <c r="U167">
        <v>0</v>
      </c>
    </row>
    <row r="168" spans="1:21" x14ac:dyDescent="0.35">
      <c r="A168" t="s">
        <v>910</v>
      </c>
      <c r="B168" t="s">
        <v>910</v>
      </c>
      <c r="C168" t="s">
        <v>438</v>
      </c>
      <c r="D168" s="4">
        <v>246779413941</v>
      </c>
      <c r="E168" s="3">
        <v>45736</v>
      </c>
      <c r="F168" t="s">
        <v>11</v>
      </c>
      <c r="G168">
        <v>0.6</v>
      </c>
      <c r="H168" t="s">
        <v>911</v>
      </c>
      <c r="I168">
        <v>52.23</v>
      </c>
      <c r="J168" t="s">
        <v>80</v>
      </c>
      <c r="K168" s="3">
        <v>45766</v>
      </c>
      <c r="M168" t="s">
        <v>912</v>
      </c>
      <c r="N168" s="2">
        <v>45809</v>
      </c>
      <c r="O168">
        <v>52544083</v>
      </c>
      <c r="P168">
        <v>1</v>
      </c>
      <c r="Q168" s="3">
        <v>45838</v>
      </c>
      <c r="R168">
        <v>230</v>
      </c>
      <c r="T168" t="s">
        <v>913</v>
      </c>
      <c r="U168">
        <v>0</v>
      </c>
    </row>
    <row r="169" spans="1:21" x14ac:dyDescent="0.35">
      <c r="A169" t="s">
        <v>910</v>
      </c>
      <c r="B169" t="s">
        <v>910</v>
      </c>
      <c r="C169" t="s">
        <v>438</v>
      </c>
      <c r="D169" s="4">
        <v>246779410261</v>
      </c>
      <c r="E169" s="3">
        <v>45708</v>
      </c>
      <c r="F169" t="s">
        <v>11</v>
      </c>
      <c r="G169">
        <v>1.01</v>
      </c>
      <c r="H169" t="s">
        <v>911</v>
      </c>
      <c r="I169">
        <v>87.4</v>
      </c>
      <c r="J169" t="s">
        <v>102</v>
      </c>
      <c r="K169" s="3">
        <v>45738</v>
      </c>
      <c r="M169" t="s">
        <v>912</v>
      </c>
      <c r="N169" s="2">
        <v>45809</v>
      </c>
      <c r="O169">
        <v>52545396</v>
      </c>
      <c r="P169">
        <v>1</v>
      </c>
      <c r="Q169" s="3">
        <v>45838</v>
      </c>
      <c r="R169">
        <v>230</v>
      </c>
      <c r="T169" t="s">
        <v>913</v>
      </c>
      <c r="U169">
        <v>0</v>
      </c>
    </row>
    <row r="170" spans="1:21" x14ac:dyDescent="0.35">
      <c r="A170" t="s">
        <v>910</v>
      </c>
      <c r="B170" t="s">
        <v>910</v>
      </c>
      <c r="C170" t="s">
        <v>438</v>
      </c>
      <c r="D170" s="4">
        <v>256779413396</v>
      </c>
      <c r="E170" s="3">
        <v>45798</v>
      </c>
      <c r="F170" t="s">
        <v>11</v>
      </c>
      <c r="G170">
        <v>4.3600000000000003</v>
      </c>
      <c r="H170" t="s">
        <v>911</v>
      </c>
      <c r="I170">
        <v>372.23</v>
      </c>
      <c r="J170" t="s">
        <v>48</v>
      </c>
      <c r="K170" s="3">
        <v>45828</v>
      </c>
      <c r="M170" t="s">
        <v>912</v>
      </c>
      <c r="N170" s="2">
        <v>45839</v>
      </c>
      <c r="O170">
        <v>53373358</v>
      </c>
      <c r="P170">
        <v>1</v>
      </c>
      <c r="Q170" s="3">
        <v>45849</v>
      </c>
      <c r="R170">
        <v>230</v>
      </c>
      <c r="T170" t="s">
        <v>913</v>
      </c>
      <c r="U170">
        <v>0</v>
      </c>
    </row>
    <row r="171" spans="1:21" x14ac:dyDescent="0.35">
      <c r="A171" t="s">
        <v>910</v>
      </c>
      <c r="B171" t="s">
        <v>910</v>
      </c>
      <c r="C171" t="s">
        <v>438</v>
      </c>
      <c r="D171" s="4">
        <v>256779413401</v>
      </c>
      <c r="E171" s="3">
        <v>45798</v>
      </c>
      <c r="F171" t="s">
        <v>11</v>
      </c>
      <c r="G171">
        <v>4.5999999999999996</v>
      </c>
      <c r="H171" t="s">
        <v>911</v>
      </c>
      <c r="I171">
        <v>392.72</v>
      </c>
      <c r="J171" t="s">
        <v>49</v>
      </c>
      <c r="K171" s="3">
        <v>45828</v>
      </c>
      <c r="M171" t="s">
        <v>912</v>
      </c>
      <c r="N171" s="2">
        <v>45839</v>
      </c>
      <c r="O171">
        <v>53373361</v>
      </c>
      <c r="P171">
        <v>1</v>
      </c>
      <c r="Q171" s="3">
        <v>45849</v>
      </c>
      <c r="R171">
        <v>230</v>
      </c>
      <c r="T171" t="s">
        <v>913</v>
      </c>
      <c r="U171">
        <v>0</v>
      </c>
    </row>
    <row r="172" spans="1:21" x14ac:dyDescent="0.35">
      <c r="A172" t="s">
        <v>910</v>
      </c>
      <c r="B172" t="s">
        <v>910</v>
      </c>
      <c r="C172" t="s">
        <v>438</v>
      </c>
      <c r="D172" s="4">
        <v>256779413395</v>
      </c>
      <c r="E172" s="3">
        <v>45798</v>
      </c>
      <c r="F172" t="s">
        <v>11</v>
      </c>
      <c r="G172">
        <v>5.3</v>
      </c>
      <c r="H172" t="s">
        <v>911</v>
      </c>
      <c r="I172">
        <v>452.48</v>
      </c>
      <c r="J172" t="s">
        <v>50</v>
      </c>
      <c r="K172" s="3">
        <v>45828</v>
      </c>
      <c r="M172" t="s">
        <v>912</v>
      </c>
      <c r="N172" s="2">
        <v>45839</v>
      </c>
      <c r="O172">
        <v>53373581</v>
      </c>
      <c r="P172">
        <v>1</v>
      </c>
      <c r="Q172" s="3">
        <v>45849</v>
      </c>
      <c r="R172">
        <v>230</v>
      </c>
      <c r="T172" t="s">
        <v>913</v>
      </c>
      <c r="U172">
        <v>0</v>
      </c>
    </row>
    <row r="173" spans="1:21" x14ac:dyDescent="0.35">
      <c r="A173" t="s">
        <v>910</v>
      </c>
      <c r="B173" t="s">
        <v>910</v>
      </c>
      <c r="C173" t="s">
        <v>438</v>
      </c>
      <c r="D173" s="4">
        <v>256779413399</v>
      </c>
      <c r="E173" s="3">
        <v>45798</v>
      </c>
      <c r="F173" t="s">
        <v>11</v>
      </c>
      <c r="G173">
        <v>4.5999999999999996</v>
      </c>
      <c r="H173" t="s">
        <v>911</v>
      </c>
      <c r="I173">
        <v>392.72</v>
      </c>
      <c r="J173" t="s">
        <v>51</v>
      </c>
      <c r="K173" s="3">
        <v>45828</v>
      </c>
      <c r="M173" t="s">
        <v>912</v>
      </c>
      <c r="N173" s="2">
        <v>45839</v>
      </c>
      <c r="O173">
        <v>53373894</v>
      </c>
      <c r="P173">
        <v>1</v>
      </c>
      <c r="Q173" s="3">
        <v>45849</v>
      </c>
      <c r="R173">
        <v>230</v>
      </c>
      <c r="T173" t="s">
        <v>913</v>
      </c>
      <c r="U173">
        <v>0</v>
      </c>
    </row>
    <row r="174" spans="1:21" x14ac:dyDescent="0.35">
      <c r="A174" t="s">
        <v>910</v>
      </c>
      <c r="B174" t="s">
        <v>910</v>
      </c>
      <c r="C174" t="s">
        <v>438</v>
      </c>
      <c r="D174" s="4" t="s">
        <v>440</v>
      </c>
      <c r="E174" s="3">
        <v>45730</v>
      </c>
      <c r="F174" t="s">
        <v>11</v>
      </c>
      <c r="G174">
        <v>4.99</v>
      </c>
      <c r="H174" t="s">
        <v>911</v>
      </c>
      <c r="I174">
        <v>434.34</v>
      </c>
      <c r="J174" t="s">
        <v>243</v>
      </c>
      <c r="K174" s="3">
        <v>45760</v>
      </c>
      <c r="M174" t="s">
        <v>912</v>
      </c>
      <c r="N174" s="2">
        <v>45839</v>
      </c>
      <c r="O174">
        <v>54042034</v>
      </c>
      <c r="P174">
        <v>1</v>
      </c>
      <c r="Q174" s="3">
        <v>45860</v>
      </c>
      <c r="R174">
        <v>230</v>
      </c>
      <c r="T174" t="s">
        <v>913</v>
      </c>
      <c r="U174">
        <v>0</v>
      </c>
    </row>
    <row r="175" spans="1:21" x14ac:dyDescent="0.35">
      <c r="A175" t="s">
        <v>910</v>
      </c>
      <c r="B175" t="s">
        <v>910</v>
      </c>
      <c r="C175" t="s">
        <v>438</v>
      </c>
      <c r="D175" s="4">
        <v>256779415317</v>
      </c>
      <c r="E175" s="3">
        <v>45848</v>
      </c>
      <c r="F175" t="s">
        <v>11</v>
      </c>
      <c r="G175">
        <v>4</v>
      </c>
      <c r="H175" t="s">
        <v>911</v>
      </c>
      <c r="I175">
        <v>353.88</v>
      </c>
      <c r="J175" t="s">
        <v>245</v>
      </c>
      <c r="K175" s="3">
        <v>45878</v>
      </c>
      <c r="M175" t="s">
        <v>912</v>
      </c>
      <c r="N175" s="2">
        <v>45901</v>
      </c>
      <c r="O175">
        <v>59299159</v>
      </c>
      <c r="P175">
        <v>1</v>
      </c>
      <c r="Q175" s="3">
        <v>45930</v>
      </c>
      <c r="R175">
        <v>230</v>
      </c>
      <c r="T175" t="s">
        <v>913</v>
      </c>
      <c r="U175">
        <v>0</v>
      </c>
    </row>
    <row r="176" spans="1:21" x14ac:dyDescent="0.35">
      <c r="A176" t="s">
        <v>910</v>
      </c>
      <c r="B176" t="s">
        <v>910</v>
      </c>
      <c r="C176" t="s">
        <v>438</v>
      </c>
      <c r="D176" s="4">
        <v>256779415346</v>
      </c>
      <c r="E176" s="3">
        <v>45848</v>
      </c>
      <c r="F176" t="s">
        <v>11</v>
      </c>
      <c r="G176">
        <v>0.35</v>
      </c>
      <c r="H176" t="s">
        <v>911</v>
      </c>
      <c r="I176">
        <v>30.96</v>
      </c>
      <c r="J176" t="s">
        <v>246</v>
      </c>
      <c r="K176" s="3">
        <v>45878</v>
      </c>
      <c r="M176" t="s">
        <v>912</v>
      </c>
      <c r="N176" s="2">
        <v>45901</v>
      </c>
      <c r="O176">
        <v>59299161</v>
      </c>
      <c r="P176">
        <v>1</v>
      </c>
      <c r="Q176" s="3">
        <v>45930</v>
      </c>
      <c r="R176">
        <v>230</v>
      </c>
      <c r="T176" t="s">
        <v>913</v>
      </c>
      <c r="U176">
        <v>0</v>
      </c>
    </row>
    <row r="177" spans="1:21" x14ac:dyDescent="0.35">
      <c r="A177" t="s">
        <v>910</v>
      </c>
      <c r="B177" t="s">
        <v>910</v>
      </c>
      <c r="C177" t="s">
        <v>438</v>
      </c>
      <c r="D177" s="4">
        <v>256779415339</v>
      </c>
      <c r="E177" s="3">
        <v>45848</v>
      </c>
      <c r="F177" t="s">
        <v>11</v>
      </c>
      <c r="G177">
        <v>0.55000000000000004</v>
      </c>
      <c r="H177" t="s">
        <v>911</v>
      </c>
      <c r="I177">
        <v>48.66</v>
      </c>
      <c r="J177" t="s">
        <v>247</v>
      </c>
      <c r="K177" s="3">
        <v>45878</v>
      </c>
      <c r="M177" t="s">
        <v>912</v>
      </c>
      <c r="N177" s="2">
        <v>45901</v>
      </c>
      <c r="O177">
        <v>59299163</v>
      </c>
      <c r="P177">
        <v>1</v>
      </c>
      <c r="Q177" s="3">
        <v>45930</v>
      </c>
      <c r="R177">
        <v>230</v>
      </c>
      <c r="T177" t="s">
        <v>913</v>
      </c>
      <c r="U177">
        <v>0</v>
      </c>
    </row>
    <row r="178" spans="1:21" x14ac:dyDescent="0.35">
      <c r="A178" t="s">
        <v>910</v>
      </c>
      <c r="B178" t="s">
        <v>910</v>
      </c>
      <c r="C178" t="s">
        <v>438</v>
      </c>
      <c r="D178" s="4">
        <v>256779415371</v>
      </c>
      <c r="E178" s="3">
        <v>45848</v>
      </c>
      <c r="F178" t="s">
        <v>11</v>
      </c>
      <c r="G178">
        <v>0.87</v>
      </c>
      <c r="H178" t="s">
        <v>911</v>
      </c>
      <c r="I178">
        <v>76.97</v>
      </c>
      <c r="J178" t="s">
        <v>248</v>
      </c>
      <c r="K178" s="3">
        <v>45878</v>
      </c>
      <c r="M178" t="s">
        <v>912</v>
      </c>
      <c r="N178" s="2">
        <v>45901</v>
      </c>
      <c r="O178">
        <v>59299165</v>
      </c>
      <c r="P178">
        <v>1</v>
      </c>
      <c r="Q178" s="3">
        <v>45930</v>
      </c>
      <c r="R178">
        <v>230</v>
      </c>
      <c r="T178" t="s">
        <v>913</v>
      </c>
      <c r="U178">
        <v>0</v>
      </c>
    </row>
    <row r="179" spans="1:21" x14ac:dyDescent="0.35">
      <c r="A179" t="s">
        <v>910</v>
      </c>
      <c r="B179" t="s">
        <v>910</v>
      </c>
      <c r="C179" t="s">
        <v>438</v>
      </c>
      <c r="D179" s="4">
        <v>256779415338</v>
      </c>
      <c r="E179" s="3">
        <v>45848</v>
      </c>
      <c r="F179" t="s">
        <v>11</v>
      </c>
      <c r="G179">
        <v>0.25</v>
      </c>
      <c r="H179" t="s">
        <v>911</v>
      </c>
      <c r="I179">
        <v>22.12</v>
      </c>
      <c r="J179" t="s">
        <v>249</v>
      </c>
      <c r="K179" s="3">
        <v>45878</v>
      </c>
      <c r="M179" t="s">
        <v>912</v>
      </c>
      <c r="N179" s="2">
        <v>45901</v>
      </c>
      <c r="O179">
        <v>59299166</v>
      </c>
      <c r="P179">
        <v>1</v>
      </c>
      <c r="Q179" s="3">
        <v>45930</v>
      </c>
      <c r="R179">
        <v>230</v>
      </c>
      <c r="T179" t="s">
        <v>913</v>
      </c>
      <c r="U179">
        <v>0</v>
      </c>
    </row>
    <row r="180" spans="1:21" x14ac:dyDescent="0.35">
      <c r="A180" t="s">
        <v>910</v>
      </c>
      <c r="B180" t="s">
        <v>910</v>
      </c>
      <c r="C180" t="s">
        <v>438</v>
      </c>
      <c r="D180" s="4">
        <v>256779413391</v>
      </c>
      <c r="E180" s="3">
        <v>45798</v>
      </c>
      <c r="F180" t="s">
        <v>11</v>
      </c>
      <c r="G180">
        <v>5.07</v>
      </c>
      <c r="H180" t="s">
        <v>911</v>
      </c>
      <c r="I180">
        <v>432.85</v>
      </c>
      <c r="J180" t="s">
        <v>53</v>
      </c>
      <c r="K180" s="3">
        <v>45828</v>
      </c>
      <c r="M180" t="s">
        <v>912</v>
      </c>
      <c r="N180" s="2">
        <v>45901</v>
      </c>
      <c r="O180">
        <v>59299168</v>
      </c>
      <c r="P180">
        <v>1</v>
      </c>
      <c r="Q180" s="3">
        <v>45930</v>
      </c>
      <c r="R180">
        <v>230</v>
      </c>
      <c r="T180" t="s">
        <v>913</v>
      </c>
      <c r="U180">
        <v>0</v>
      </c>
    </row>
    <row r="181" spans="1:21" x14ac:dyDescent="0.35">
      <c r="A181" t="s">
        <v>910</v>
      </c>
      <c r="B181" t="s">
        <v>910</v>
      </c>
      <c r="C181" t="s">
        <v>438</v>
      </c>
      <c r="D181" s="4">
        <v>256779415359</v>
      </c>
      <c r="E181" s="3">
        <v>45848</v>
      </c>
      <c r="F181" t="s">
        <v>11</v>
      </c>
      <c r="G181">
        <v>4</v>
      </c>
      <c r="H181" t="s">
        <v>911</v>
      </c>
      <c r="I181">
        <v>353.88</v>
      </c>
      <c r="J181" t="s">
        <v>250</v>
      </c>
      <c r="K181" s="3">
        <v>45878</v>
      </c>
      <c r="M181" t="s">
        <v>912</v>
      </c>
      <c r="N181" s="2">
        <v>45901</v>
      </c>
      <c r="O181">
        <v>59299170</v>
      </c>
      <c r="P181">
        <v>1</v>
      </c>
      <c r="Q181" s="3">
        <v>45930</v>
      </c>
      <c r="R181">
        <v>230</v>
      </c>
      <c r="T181" t="s">
        <v>913</v>
      </c>
      <c r="U181">
        <v>0</v>
      </c>
    </row>
    <row r="182" spans="1:21" x14ac:dyDescent="0.35">
      <c r="A182" t="s">
        <v>910</v>
      </c>
      <c r="B182" t="s">
        <v>910</v>
      </c>
      <c r="C182" t="s">
        <v>438</v>
      </c>
      <c r="D182" s="4">
        <v>256779415381</v>
      </c>
      <c r="E182" s="3">
        <v>45848</v>
      </c>
      <c r="F182" t="s">
        <v>11</v>
      </c>
      <c r="G182">
        <v>1.2</v>
      </c>
      <c r="H182" t="s">
        <v>911</v>
      </c>
      <c r="I182">
        <v>106.16</v>
      </c>
      <c r="J182" t="s">
        <v>251</v>
      </c>
      <c r="K182" s="3">
        <v>45878</v>
      </c>
      <c r="M182" t="s">
        <v>912</v>
      </c>
      <c r="N182" s="2">
        <v>45901</v>
      </c>
      <c r="O182">
        <v>59299171</v>
      </c>
      <c r="P182">
        <v>1</v>
      </c>
      <c r="Q182" s="3">
        <v>45930</v>
      </c>
      <c r="R182">
        <v>230</v>
      </c>
      <c r="T182" t="s">
        <v>913</v>
      </c>
      <c r="U182">
        <v>0</v>
      </c>
    </row>
    <row r="183" spans="1:21" x14ac:dyDescent="0.35">
      <c r="A183" t="s">
        <v>910</v>
      </c>
      <c r="B183" t="s">
        <v>910</v>
      </c>
      <c r="C183" t="s">
        <v>438</v>
      </c>
      <c r="D183" s="4">
        <v>256779415391</v>
      </c>
      <c r="E183" s="3">
        <v>45848</v>
      </c>
      <c r="F183" t="s">
        <v>11</v>
      </c>
      <c r="G183">
        <v>16.399999999999999</v>
      </c>
      <c r="H183" t="s">
        <v>911</v>
      </c>
      <c r="I183" s="27">
        <v>1450.91</v>
      </c>
      <c r="J183" t="s">
        <v>252</v>
      </c>
      <c r="K183" s="3">
        <v>45878</v>
      </c>
      <c r="M183" t="s">
        <v>912</v>
      </c>
      <c r="N183" s="2">
        <v>45901</v>
      </c>
      <c r="O183">
        <v>59299173</v>
      </c>
      <c r="P183">
        <v>1</v>
      </c>
      <c r="Q183" s="3">
        <v>45930</v>
      </c>
      <c r="R183">
        <v>230</v>
      </c>
      <c r="T183" t="s">
        <v>913</v>
      </c>
      <c r="U183">
        <v>0</v>
      </c>
    </row>
    <row r="184" spans="1:21" x14ac:dyDescent="0.35">
      <c r="A184" t="s">
        <v>910</v>
      </c>
      <c r="B184" t="s">
        <v>910</v>
      </c>
      <c r="C184" t="s">
        <v>438</v>
      </c>
      <c r="D184" s="4">
        <v>256779415358</v>
      </c>
      <c r="E184" s="3">
        <v>45848</v>
      </c>
      <c r="F184" t="s">
        <v>11</v>
      </c>
      <c r="G184">
        <v>1.92</v>
      </c>
      <c r="H184" t="s">
        <v>911</v>
      </c>
      <c r="I184">
        <v>169.86</v>
      </c>
      <c r="J184" t="s">
        <v>253</v>
      </c>
      <c r="K184" s="3">
        <v>45878</v>
      </c>
      <c r="M184" t="s">
        <v>912</v>
      </c>
      <c r="N184" s="2">
        <v>45901</v>
      </c>
      <c r="O184">
        <v>59299174</v>
      </c>
      <c r="P184">
        <v>1</v>
      </c>
      <c r="Q184" s="3">
        <v>45930</v>
      </c>
      <c r="R184">
        <v>230</v>
      </c>
      <c r="T184" t="s">
        <v>913</v>
      </c>
      <c r="U184">
        <v>0</v>
      </c>
    </row>
    <row r="185" spans="1:21" x14ac:dyDescent="0.35">
      <c r="A185" t="s">
        <v>910</v>
      </c>
      <c r="B185" t="s">
        <v>910</v>
      </c>
      <c r="C185" t="s">
        <v>438</v>
      </c>
      <c r="D185" s="4">
        <v>256779415305</v>
      </c>
      <c r="E185" s="3">
        <v>45848</v>
      </c>
      <c r="F185" t="s">
        <v>11</v>
      </c>
      <c r="G185">
        <v>0.6</v>
      </c>
      <c r="H185" t="s">
        <v>911</v>
      </c>
      <c r="I185">
        <v>53.08</v>
      </c>
      <c r="J185" t="s">
        <v>254</v>
      </c>
      <c r="K185" s="3">
        <v>45878</v>
      </c>
      <c r="M185" t="s">
        <v>912</v>
      </c>
      <c r="N185" s="2">
        <v>45901</v>
      </c>
      <c r="O185">
        <v>59299176</v>
      </c>
      <c r="P185">
        <v>1</v>
      </c>
      <c r="Q185" s="3">
        <v>45930</v>
      </c>
      <c r="R185">
        <v>230</v>
      </c>
      <c r="T185" t="s">
        <v>913</v>
      </c>
      <c r="U185">
        <v>0</v>
      </c>
    </row>
    <row r="186" spans="1:21" x14ac:dyDescent="0.35">
      <c r="A186" t="s">
        <v>910</v>
      </c>
      <c r="B186" t="s">
        <v>910</v>
      </c>
      <c r="C186" t="s">
        <v>438</v>
      </c>
      <c r="D186" s="4">
        <v>256779415345</v>
      </c>
      <c r="E186" s="3">
        <v>45848</v>
      </c>
      <c r="F186" t="s">
        <v>11</v>
      </c>
      <c r="G186">
        <v>0.5</v>
      </c>
      <c r="H186" t="s">
        <v>911</v>
      </c>
      <c r="I186">
        <v>44.24</v>
      </c>
      <c r="J186" t="s">
        <v>255</v>
      </c>
      <c r="K186" s="3">
        <v>45878</v>
      </c>
      <c r="M186" t="s">
        <v>912</v>
      </c>
      <c r="N186" s="2">
        <v>45901</v>
      </c>
      <c r="O186">
        <v>59299178</v>
      </c>
      <c r="P186">
        <v>1</v>
      </c>
      <c r="Q186" s="3">
        <v>45930</v>
      </c>
      <c r="R186">
        <v>230</v>
      </c>
      <c r="T186" t="s">
        <v>913</v>
      </c>
      <c r="U186">
        <v>0</v>
      </c>
    </row>
    <row r="187" spans="1:21" x14ac:dyDescent="0.35">
      <c r="A187" t="s">
        <v>910</v>
      </c>
      <c r="B187" t="s">
        <v>910</v>
      </c>
      <c r="C187" t="s">
        <v>438</v>
      </c>
      <c r="D187" s="4">
        <v>246779410311</v>
      </c>
      <c r="E187" s="3">
        <v>45708</v>
      </c>
      <c r="F187" t="s">
        <v>11</v>
      </c>
      <c r="G187">
        <v>1.9</v>
      </c>
      <c r="H187" t="s">
        <v>911</v>
      </c>
      <c r="I187">
        <v>164.43</v>
      </c>
      <c r="J187" t="s">
        <v>103</v>
      </c>
      <c r="K187" s="3">
        <v>45738</v>
      </c>
      <c r="M187" t="s">
        <v>912</v>
      </c>
      <c r="N187" s="2">
        <v>45901</v>
      </c>
      <c r="O187">
        <v>59299179</v>
      </c>
      <c r="P187">
        <v>1</v>
      </c>
      <c r="Q187" s="3">
        <v>45930</v>
      </c>
      <c r="R187">
        <v>230</v>
      </c>
      <c r="T187" t="s">
        <v>913</v>
      </c>
      <c r="U187">
        <v>0</v>
      </c>
    </row>
    <row r="188" spans="1:21" x14ac:dyDescent="0.35">
      <c r="A188" t="s">
        <v>910</v>
      </c>
      <c r="B188" t="s">
        <v>910</v>
      </c>
      <c r="C188" t="s">
        <v>438</v>
      </c>
      <c r="D188" s="4">
        <v>256779415300</v>
      </c>
      <c r="E188" s="3">
        <v>45848</v>
      </c>
      <c r="F188" t="s">
        <v>11</v>
      </c>
      <c r="G188">
        <v>0.48</v>
      </c>
      <c r="H188" t="s">
        <v>911</v>
      </c>
      <c r="I188">
        <v>42.47</v>
      </c>
      <c r="J188" t="s">
        <v>256</v>
      </c>
      <c r="K188" s="3">
        <v>45878</v>
      </c>
      <c r="M188" t="s">
        <v>912</v>
      </c>
      <c r="N188" s="2">
        <v>45901</v>
      </c>
      <c r="O188">
        <v>59299180</v>
      </c>
      <c r="P188">
        <v>1</v>
      </c>
      <c r="Q188" s="3">
        <v>45930</v>
      </c>
      <c r="R188">
        <v>230</v>
      </c>
      <c r="T188" t="s">
        <v>913</v>
      </c>
      <c r="U188">
        <v>0</v>
      </c>
    </row>
    <row r="189" spans="1:21" x14ac:dyDescent="0.35">
      <c r="A189" t="s">
        <v>910</v>
      </c>
      <c r="B189" t="s">
        <v>910</v>
      </c>
      <c r="C189" t="s">
        <v>438</v>
      </c>
      <c r="D189" s="4">
        <v>256779411867</v>
      </c>
      <c r="E189" s="3">
        <v>45763</v>
      </c>
      <c r="F189" t="s">
        <v>11</v>
      </c>
      <c r="G189">
        <v>5.9</v>
      </c>
      <c r="H189" t="s">
        <v>911</v>
      </c>
      <c r="I189">
        <v>505.79</v>
      </c>
      <c r="J189" t="s">
        <v>222</v>
      </c>
      <c r="K189" s="3">
        <v>45793</v>
      </c>
      <c r="M189" t="s">
        <v>912</v>
      </c>
      <c r="N189" s="2">
        <v>45901</v>
      </c>
      <c r="O189">
        <v>59299181</v>
      </c>
      <c r="P189">
        <v>1</v>
      </c>
      <c r="Q189" s="3">
        <v>45930</v>
      </c>
      <c r="R189">
        <v>230</v>
      </c>
      <c r="T189" t="s">
        <v>913</v>
      </c>
      <c r="U189">
        <v>0</v>
      </c>
    </row>
    <row r="190" spans="1:21" x14ac:dyDescent="0.35">
      <c r="A190" t="s">
        <v>910</v>
      </c>
      <c r="B190" t="s">
        <v>910</v>
      </c>
      <c r="C190" t="s">
        <v>438</v>
      </c>
      <c r="D190" s="4">
        <v>256779415270</v>
      </c>
      <c r="E190" s="3">
        <v>45842</v>
      </c>
      <c r="F190" t="s">
        <v>11</v>
      </c>
      <c r="G190">
        <v>8.42</v>
      </c>
      <c r="H190" t="s">
        <v>911</v>
      </c>
      <c r="I190">
        <v>744.92</v>
      </c>
      <c r="J190" t="s">
        <v>403</v>
      </c>
      <c r="K190" s="3">
        <v>45872</v>
      </c>
      <c r="M190" t="s">
        <v>912</v>
      </c>
      <c r="N190" s="2">
        <v>45901</v>
      </c>
      <c r="O190">
        <v>59299182</v>
      </c>
      <c r="P190">
        <v>1</v>
      </c>
      <c r="Q190" s="3">
        <v>45930</v>
      </c>
      <c r="R190">
        <v>230</v>
      </c>
      <c r="T190" t="s">
        <v>913</v>
      </c>
      <c r="U190">
        <v>0</v>
      </c>
    </row>
    <row r="191" spans="1:21" x14ac:dyDescent="0.35">
      <c r="A191" t="s">
        <v>910</v>
      </c>
      <c r="B191" t="s">
        <v>910</v>
      </c>
      <c r="C191" t="s">
        <v>438</v>
      </c>
      <c r="D191" s="4">
        <v>256779415352</v>
      </c>
      <c r="E191" s="3">
        <v>45848</v>
      </c>
      <c r="F191" t="s">
        <v>11</v>
      </c>
      <c r="G191">
        <v>3.12</v>
      </c>
      <c r="H191" t="s">
        <v>911</v>
      </c>
      <c r="I191">
        <v>276.02999999999997</v>
      </c>
      <c r="J191" t="s">
        <v>257</v>
      </c>
      <c r="K191" s="3">
        <v>45878</v>
      </c>
      <c r="M191" t="s">
        <v>912</v>
      </c>
      <c r="N191" s="2">
        <v>45901</v>
      </c>
      <c r="O191">
        <v>59299183</v>
      </c>
      <c r="P191">
        <v>1</v>
      </c>
      <c r="Q191" s="3">
        <v>45930</v>
      </c>
      <c r="R191">
        <v>230</v>
      </c>
      <c r="T191" t="s">
        <v>913</v>
      </c>
      <c r="U191">
        <v>0</v>
      </c>
    </row>
    <row r="192" spans="1:21" x14ac:dyDescent="0.35">
      <c r="A192" t="s">
        <v>910</v>
      </c>
      <c r="B192" t="s">
        <v>910</v>
      </c>
      <c r="C192" t="s">
        <v>438</v>
      </c>
      <c r="D192" s="4">
        <v>256779415304</v>
      </c>
      <c r="E192" s="3">
        <v>45848</v>
      </c>
      <c r="F192" t="s">
        <v>11</v>
      </c>
      <c r="G192">
        <v>0.6</v>
      </c>
      <c r="H192" t="s">
        <v>911</v>
      </c>
      <c r="I192">
        <v>53.08</v>
      </c>
      <c r="J192" t="s">
        <v>258</v>
      </c>
      <c r="K192" s="3">
        <v>45878</v>
      </c>
      <c r="M192" t="s">
        <v>912</v>
      </c>
      <c r="N192" s="2">
        <v>45901</v>
      </c>
      <c r="O192">
        <v>59299184</v>
      </c>
      <c r="P192">
        <v>1</v>
      </c>
      <c r="Q192" s="3">
        <v>45930</v>
      </c>
      <c r="R192">
        <v>230</v>
      </c>
      <c r="T192" t="s">
        <v>913</v>
      </c>
      <c r="U192">
        <v>0</v>
      </c>
    </row>
    <row r="193" spans="1:21" x14ac:dyDescent="0.35">
      <c r="A193" t="s">
        <v>910</v>
      </c>
      <c r="B193" t="s">
        <v>910</v>
      </c>
      <c r="C193" t="s">
        <v>438</v>
      </c>
      <c r="D193" s="4">
        <v>256779411467</v>
      </c>
      <c r="E193" s="3">
        <v>45762</v>
      </c>
      <c r="F193" t="s">
        <v>11</v>
      </c>
      <c r="G193">
        <v>0.71</v>
      </c>
      <c r="H193" t="s">
        <v>911</v>
      </c>
      <c r="I193">
        <v>60.87</v>
      </c>
      <c r="J193" t="s">
        <v>226</v>
      </c>
      <c r="K193" s="3">
        <v>45792</v>
      </c>
      <c r="M193" t="s">
        <v>912</v>
      </c>
      <c r="N193" s="2">
        <v>45901</v>
      </c>
      <c r="O193">
        <v>59299187</v>
      </c>
      <c r="P193">
        <v>1</v>
      </c>
      <c r="Q193" s="3">
        <v>45930</v>
      </c>
      <c r="R193">
        <v>230</v>
      </c>
      <c r="T193" t="s">
        <v>913</v>
      </c>
      <c r="U193">
        <v>0</v>
      </c>
    </row>
    <row r="194" spans="1:21" x14ac:dyDescent="0.35">
      <c r="A194" t="s">
        <v>910</v>
      </c>
      <c r="B194" t="s">
        <v>910</v>
      </c>
      <c r="C194" t="s">
        <v>438</v>
      </c>
      <c r="D194" s="4">
        <v>256779415209</v>
      </c>
      <c r="E194" s="3">
        <v>45842</v>
      </c>
      <c r="F194" t="s">
        <v>11</v>
      </c>
      <c r="G194">
        <v>1.27</v>
      </c>
      <c r="H194" t="s">
        <v>911</v>
      </c>
      <c r="I194">
        <v>112.36</v>
      </c>
      <c r="J194" t="s">
        <v>404</v>
      </c>
      <c r="K194" s="3">
        <v>45872</v>
      </c>
      <c r="M194" t="s">
        <v>912</v>
      </c>
      <c r="N194" s="2">
        <v>45901</v>
      </c>
      <c r="O194">
        <v>59299188</v>
      </c>
      <c r="P194">
        <v>1</v>
      </c>
      <c r="Q194" s="3">
        <v>45930</v>
      </c>
      <c r="R194">
        <v>230</v>
      </c>
      <c r="T194" t="s">
        <v>913</v>
      </c>
      <c r="U194">
        <v>0</v>
      </c>
    </row>
    <row r="195" spans="1:21" x14ac:dyDescent="0.35">
      <c r="A195" t="s">
        <v>910</v>
      </c>
      <c r="B195" t="s">
        <v>910</v>
      </c>
      <c r="C195" t="s">
        <v>438</v>
      </c>
      <c r="D195" s="4">
        <v>256779415379</v>
      </c>
      <c r="E195" s="3">
        <v>45848</v>
      </c>
      <c r="F195" t="s">
        <v>11</v>
      </c>
      <c r="G195">
        <v>4.66</v>
      </c>
      <c r="H195" t="s">
        <v>911</v>
      </c>
      <c r="I195">
        <v>412.27</v>
      </c>
      <c r="J195" t="s">
        <v>259</v>
      </c>
      <c r="K195" s="3">
        <v>45878</v>
      </c>
      <c r="M195" t="s">
        <v>912</v>
      </c>
      <c r="N195" s="2">
        <v>45901</v>
      </c>
      <c r="O195">
        <v>59299189</v>
      </c>
      <c r="P195">
        <v>1</v>
      </c>
      <c r="Q195" s="3">
        <v>45930</v>
      </c>
      <c r="R195">
        <v>230</v>
      </c>
      <c r="T195" t="s">
        <v>913</v>
      </c>
      <c r="U195">
        <v>0</v>
      </c>
    </row>
    <row r="196" spans="1:21" x14ac:dyDescent="0.35">
      <c r="A196" t="s">
        <v>910</v>
      </c>
      <c r="B196" t="s">
        <v>910</v>
      </c>
      <c r="C196" t="s">
        <v>438</v>
      </c>
      <c r="D196" s="4">
        <v>256779415303</v>
      </c>
      <c r="E196" s="3">
        <v>45848</v>
      </c>
      <c r="F196" t="s">
        <v>11</v>
      </c>
      <c r="G196">
        <v>2</v>
      </c>
      <c r="H196" t="s">
        <v>911</v>
      </c>
      <c r="I196">
        <v>176.94</v>
      </c>
      <c r="J196" t="s">
        <v>260</v>
      </c>
      <c r="K196" s="3">
        <v>45878</v>
      </c>
      <c r="M196" t="s">
        <v>912</v>
      </c>
      <c r="N196" s="2">
        <v>45901</v>
      </c>
      <c r="O196">
        <v>59299191</v>
      </c>
      <c r="P196">
        <v>1</v>
      </c>
      <c r="Q196" s="3">
        <v>45930</v>
      </c>
      <c r="R196">
        <v>230</v>
      </c>
      <c r="T196" t="s">
        <v>913</v>
      </c>
      <c r="U196">
        <v>0</v>
      </c>
    </row>
    <row r="197" spans="1:21" x14ac:dyDescent="0.35">
      <c r="A197" t="s">
        <v>910</v>
      </c>
      <c r="B197" t="s">
        <v>910</v>
      </c>
      <c r="C197" t="s">
        <v>438</v>
      </c>
      <c r="D197" s="4">
        <v>256779415208</v>
      </c>
      <c r="E197" s="3">
        <v>45842</v>
      </c>
      <c r="F197" t="s">
        <v>11</v>
      </c>
      <c r="G197">
        <v>3.67</v>
      </c>
      <c r="H197" t="s">
        <v>911</v>
      </c>
      <c r="I197">
        <v>324.68</v>
      </c>
      <c r="J197" t="s">
        <v>405</v>
      </c>
      <c r="K197" s="3">
        <v>45872</v>
      </c>
      <c r="M197" t="s">
        <v>912</v>
      </c>
      <c r="N197" s="2">
        <v>45901</v>
      </c>
      <c r="O197">
        <v>59299192</v>
      </c>
      <c r="P197">
        <v>1</v>
      </c>
      <c r="Q197" s="3">
        <v>45930</v>
      </c>
      <c r="R197">
        <v>230</v>
      </c>
      <c r="T197" t="s">
        <v>913</v>
      </c>
      <c r="U197">
        <v>0</v>
      </c>
    </row>
    <row r="198" spans="1:21" x14ac:dyDescent="0.35">
      <c r="A198" t="s">
        <v>910</v>
      </c>
      <c r="B198" t="s">
        <v>910</v>
      </c>
      <c r="C198" t="s">
        <v>438</v>
      </c>
      <c r="D198" s="4">
        <v>256779415377</v>
      </c>
      <c r="E198" s="3">
        <v>45848</v>
      </c>
      <c r="F198" t="s">
        <v>11</v>
      </c>
      <c r="G198">
        <v>1</v>
      </c>
      <c r="H198" t="s">
        <v>911</v>
      </c>
      <c r="I198">
        <v>88.47</v>
      </c>
      <c r="J198" t="s">
        <v>261</v>
      </c>
      <c r="K198" s="3">
        <v>45878</v>
      </c>
      <c r="M198" t="s">
        <v>912</v>
      </c>
      <c r="N198" s="2">
        <v>45901</v>
      </c>
      <c r="O198">
        <v>59299193</v>
      </c>
      <c r="P198">
        <v>1</v>
      </c>
      <c r="Q198" s="3">
        <v>45930</v>
      </c>
      <c r="R198">
        <v>230</v>
      </c>
      <c r="T198" t="s">
        <v>913</v>
      </c>
      <c r="U198">
        <v>0</v>
      </c>
    </row>
    <row r="199" spans="1:21" x14ac:dyDescent="0.35">
      <c r="A199" t="s">
        <v>910</v>
      </c>
      <c r="B199" t="s">
        <v>910</v>
      </c>
      <c r="C199" t="s">
        <v>438</v>
      </c>
      <c r="D199" s="4">
        <v>256779415392</v>
      </c>
      <c r="E199" s="3">
        <v>45848</v>
      </c>
      <c r="F199" t="s">
        <v>11</v>
      </c>
      <c r="G199">
        <v>4</v>
      </c>
      <c r="H199" t="s">
        <v>911</v>
      </c>
      <c r="I199">
        <v>353.88</v>
      </c>
      <c r="J199" t="s">
        <v>262</v>
      </c>
      <c r="K199" s="3">
        <v>45878</v>
      </c>
      <c r="M199" t="s">
        <v>912</v>
      </c>
      <c r="N199" s="2">
        <v>45901</v>
      </c>
      <c r="O199">
        <v>59299194</v>
      </c>
      <c r="P199">
        <v>1</v>
      </c>
      <c r="Q199" s="3">
        <v>45930</v>
      </c>
      <c r="R199">
        <v>230</v>
      </c>
      <c r="T199" t="s">
        <v>913</v>
      </c>
      <c r="U199">
        <v>0</v>
      </c>
    </row>
    <row r="200" spans="1:21" x14ac:dyDescent="0.35">
      <c r="A200" t="s">
        <v>910</v>
      </c>
      <c r="B200" t="s">
        <v>910</v>
      </c>
      <c r="C200" t="s">
        <v>438</v>
      </c>
      <c r="D200" s="4">
        <v>256779415393</v>
      </c>
      <c r="E200" s="3">
        <v>45848</v>
      </c>
      <c r="F200" t="s">
        <v>11</v>
      </c>
      <c r="G200">
        <v>1.2</v>
      </c>
      <c r="H200" t="s">
        <v>911</v>
      </c>
      <c r="I200">
        <v>106.16</v>
      </c>
      <c r="J200" t="s">
        <v>263</v>
      </c>
      <c r="K200" s="3">
        <v>45878</v>
      </c>
      <c r="M200" t="s">
        <v>912</v>
      </c>
      <c r="N200" s="2">
        <v>45901</v>
      </c>
      <c r="O200">
        <v>59299195</v>
      </c>
      <c r="P200">
        <v>1</v>
      </c>
      <c r="Q200" s="3">
        <v>45930</v>
      </c>
      <c r="R200">
        <v>230</v>
      </c>
      <c r="T200" t="s">
        <v>913</v>
      </c>
      <c r="U200">
        <v>0</v>
      </c>
    </row>
    <row r="201" spans="1:21" x14ac:dyDescent="0.35">
      <c r="A201" t="s">
        <v>910</v>
      </c>
      <c r="B201" t="s">
        <v>910</v>
      </c>
      <c r="C201" t="s">
        <v>438</v>
      </c>
      <c r="D201" s="4">
        <v>256779415362</v>
      </c>
      <c r="E201" s="3">
        <v>45848</v>
      </c>
      <c r="F201" t="s">
        <v>11</v>
      </c>
      <c r="G201">
        <v>0.06</v>
      </c>
      <c r="H201" t="s">
        <v>911</v>
      </c>
      <c r="I201">
        <v>5.31</v>
      </c>
      <c r="J201" t="s">
        <v>264</v>
      </c>
      <c r="K201" s="3">
        <v>45878</v>
      </c>
      <c r="M201" t="s">
        <v>912</v>
      </c>
      <c r="N201" s="2">
        <v>45901</v>
      </c>
      <c r="O201">
        <v>59299198</v>
      </c>
      <c r="P201">
        <v>1</v>
      </c>
      <c r="Q201" s="3">
        <v>45930</v>
      </c>
      <c r="R201">
        <v>230</v>
      </c>
      <c r="T201" t="s">
        <v>913</v>
      </c>
      <c r="U201">
        <v>0</v>
      </c>
    </row>
    <row r="202" spans="1:21" x14ac:dyDescent="0.35">
      <c r="A202" t="s">
        <v>910</v>
      </c>
      <c r="B202" t="s">
        <v>910</v>
      </c>
      <c r="C202" t="s">
        <v>438</v>
      </c>
      <c r="D202" s="4">
        <v>256779415315</v>
      </c>
      <c r="E202" s="3">
        <v>45848</v>
      </c>
      <c r="F202" t="s">
        <v>11</v>
      </c>
      <c r="G202">
        <v>2.4</v>
      </c>
      <c r="H202" t="s">
        <v>911</v>
      </c>
      <c r="I202">
        <v>212.33</v>
      </c>
      <c r="J202" t="s">
        <v>265</v>
      </c>
      <c r="K202" s="3">
        <v>45878</v>
      </c>
      <c r="M202" t="s">
        <v>912</v>
      </c>
      <c r="N202" s="2">
        <v>45901</v>
      </c>
      <c r="O202">
        <v>59299200</v>
      </c>
      <c r="P202">
        <v>1</v>
      </c>
      <c r="Q202" s="3">
        <v>45930</v>
      </c>
      <c r="R202">
        <v>230</v>
      </c>
      <c r="T202" t="s">
        <v>913</v>
      </c>
      <c r="U202">
        <v>0</v>
      </c>
    </row>
    <row r="203" spans="1:21" x14ac:dyDescent="0.35">
      <c r="A203" t="s">
        <v>910</v>
      </c>
      <c r="B203" t="s">
        <v>910</v>
      </c>
      <c r="C203" t="s">
        <v>438</v>
      </c>
      <c r="D203" s="4">
        <v>256779415378</v>
      </c>
      <c r="E203" s="3">
        <v>45848</v>
      </c>
      <c r="F203" t="s">
        <v>11</v>
      </c>
      <c r="G203">
        <v>2.4</v>
      </c>
      <c r="H203" t="s">
        <v>911</v>
      </c>
      <c r="I203">
        <v>212.33</v>
      </c>
      <c r="J203" t="s">
        <v>266</v>
      </c>
      <c r="K203" s="3">
        <v>45878</v>
      </c>
      <c r="M203" t="s">
        <v>912</v>
      </c>
      <c r="N203" s="2">
        <v>45901</v>
      </c>
      <c r="O203">
        <v>59299201</v>
      </c>
      <c r="P203">
        <v>1</v>
      </c>
      <c r="Q203" s="3">
        <v>45930</v>
      </c>
      <c r="R203">
        <v>230</v>
      </c>
      <c r="T203" t="s">
        <v>913</v>
      </c>
      <c r="U203">
        <v>0</v>
      </c>
    </row>
    <row r="204" spans="1:21" x14ac:dyDescent="0.35">
      <c r="A204" t="s">
        <v>910</v>
      </c>
      <c r="B204" t="s">
        <v>910</v>
      </c>
      <c r="C204" t="s">
        <v>438</v>
      </c>
      <c r="D204" s="4">
        <v>256779415356</v>
      </c>
      <c r="E204" s="3">
        <v>45848</v>
      </c>
      <c r="F204" t="s">
        <v>11</v>
      </c>
      <c r="G204">
        <v>1.44</v>
      </c>
      <c r="H204" t="s">
        <v>911</v>
      </c>
      <c r="I204">
        <v>127.4</v>
      </c>
      <c r="J204" t="s">
        <v>267</v>
      </c>
      <c r="K204" s="3">
        <v>45878</v>
      </c>
      <c r="M204" t="s">
        <v>912</v>
      </c>
      <c r="N204" s="2">
        <v>45901</v>
      </c>
      <c r="O204">
        <v>59299202</v>
      </c>
      <c r="P204">
        <v>1</v>
      </c>
      <c r="Q204" s="3">
        <v>45930</v>
      </c>
      <c r="R204">
        <v>230</v>
      </c>
      <c r="T204" t="s">
        <v>913</v>
      </c>
      <c r="U204">
        <v>0</v>
      </c>
    </row>
    <row r="205" spans="1:21" x14ac:dyDescent="0.35">
      <c r="A205" t="s">
        <v>910</v>
      </c>
      <c r="B205" t="s">
        <v>910</v>
      </c>
      <c r="C205" t="s">
        <v>438</v>
      </c>
      <c r="D205" s="4">
        <v>256779415383</v>
      </c>
      <c r="E205" s="3">
        <v>45848</v>
      </c>
      <c r="F205" t="s">
        <v>11</v>
      </c>
      <c r="G205">
        <v>3.12</v>
      </c>
      <c r="H205" t="s">
        <v>911</v>
      </c>
      <c r="I205">
        <v>276.02999999999997</v>
      </c>
      <c r="J205" t="s">
        <v>268</v>
      </c>
      <c r="K205" s="3">
        <v>45878</v>
      </c>
      <c r="M205" t="s">
        <v>912</v>
      </c>
      <c r="N205" s="2">
        <v>45901</v>
      </c>
      <c r="O205">
        <v>59299203</v>
      </c>
      <c r="P205">
        <v>1</v>
      </c>
      <c r="Q205" s="3">
        <v>45930</v>
      </c>
      <c r="R205">
        <v>230</v>
      </c>
      <c r="T205" t="s">
        <v>913</v>
      </c>
      <c r="U205">
        <v>0</v>
      </c>
    </row>
    <row r="206" spans="1:21" x14ac:dyDescent="0.35">
      <c r="A206" t="s">
        <v>910</v>
      </c>
      <c r="B206" t="s">
        <v>910</v>
      </c>
      <c r="C206" t="s">
        <v>438</v>
      </c>
      <c r="D206" s="4">
        <v>256779415375</v>
      </c>
      <c r="E206" s="3">
        <v>45848</v>
      </c>
      <c r="F206" t="s">
        <v>11</v>
      </c>
      <c r="G206">
        <v>7.2</v>
      </c>
      <c r="H206" t="s">
        <v>911</v>
      </c>
      <c r="I206">
        <v>636.98</v>
      </c>
      <c r="J206" t="s">
        <v>269</v>
      </c>
      <c r="K206" s="3">
        <v>45878</v>
      </c>
      <c r="M206" t="s">
        <v>912</v>
      </c>
      <c r="N206" s="2">
        <v>45901</v>
      </c>
      <c r="O206">
        <v>59299204</v>
      </c>
      <c r="P206">
        <v>1</v>
      </c>
      <c r="Q206" s="3">
        <v>45930</v>
      </c>
      <c r="R206">
        <v>230</v>
      </c>
      <c r="T206" t="s">
        <v>913</v>
      </c>
      <c r="U206">
        <v>0</v>
      </c>
    </row>
    <row r="207" spans="1:21" x14ac:dyDescent="0.35">
      <c r="A207" t="s">
        <v>910</v>
      </c>
      <c r="B207" t="s">
        <v>910</v>
      </c>
      <c r="C207" t="s">
        <v>438</v>
      </c>
      <c r="D207" s="4">
        <v>256779415373</v>
      </c>
      <c r="E207" s="3">
        <v>45848</v>
      </c>
      <c r="F207" t="s">
        <v>11</v>
      </c>
      <c r="G207">
        <v>0.05</v>
      </c>
      <c r="H207" t="s">
        <v>911</v>
      </c>
      <c r="I207">
        <v>4.42</v>
      </c>
      <c r="J207" t="s">
        <v>270</v>
      </c>
      <c r="K207" s="3">
        <v>45878</v>
      </c>
      <c r="M207" t="s">
        <v>912</v>
      </c>
      <c r="N207" s="2">
        <v>45901</v>
      </c>
      <c r="O207">
        <v>59299206</v>
      </c>
      <c r="P207">
        <v>1</v>
      </c>
      <c r="Q207" s="3">
        <v>45930</v>
      </c>
      <c r="R207">
        <v>230</v>
      </c>
      <c r="T207" t="s">
        <v>913</v>
      </c>
      <c r="U207">
        <v>0</v>
      </c>
    </row>
    <row r="208" spans="1:21" x14ac:dyDescent="0.35">
      <c r="A208" t="s">
        <v>910</v>
      </c>
      <c r="B208" t="s">
        <v>910</v>
      </c>
      <c r="C208" t="s">
        <v>438</v>
      </c>
      <c r="D208" s="4">
        <v>256779415342</v>
      </c>
      <c r="E208" s="3">
        <v>45848</v>
      </c>
      <c r="F208" t="s">
        <v>11</v>
      </c>
      <c r="G208">
        <v>0.05</v>
      </c>
      <c r="H208" t="s">
        <v>911</v>
      </c>
      <c r="I208">
        <v>4.42</v>
      </c>
      <c r="J208" t="s">
        <v>271</v>
      </c>
      <c r="K208" s="3">
        <v>45878</v>
      </c>
      <c r="M208" t="s">
        <v>912</v>
      </c>
      <c r="N208" s="2">
        <v>45901</v>
      </c>
      <c r="O208">
        <v>59299207</v>
      </c>
      <c r="P208">
        <v>1</v>
      </c>
      <c r="Q208" s="3">
        <v>45930</v>
      </c>
      <c r="R208">
        <v>230</v>
      </c>
      <c r="T208" t="s">
        <v>913</v>
      </c>
      <c r="U208">
        <v>0</v>
      </c>
    </row>
    <row r="209" spans="1:21" x14ac:dyDescent="0.35">
      <c r="A209" t="s">
        <v>910</v>
      </c>
      <c r="B209" t="s">
        <v>910</v>
      </c>
      <c r="C209" t="s">
        <v>438</v>
      </c>
      <c r="D209" s="4">
        <v>256779415372</v>
      </c>
      <c r="E209" s="3">
        <v>45848</v>
      </c>
      <c r="F209" t="s">
        <v>11</v>
      </c>
      <c r="G209">
        <v>3.11</v>
      </c>
      <c r="H209" t="s">
        <v>911</v>
      </c>
      <c r="I209">
        <v>275.14</v>
      </c>
      <c r="J209" t="s">
        <v>272</v>
      </c>
      <c r="K209" s="3">
        <v>45878</v>
      </c>
      <c r="M209" t="s">
        <v>912</v>
      </c>
      <c r="N209" s="2">
        <v>45901</v>
      </c>
      <c r="O209">
        <v>59299208</v>
      </c>
      <c r="P209">
        <v>1</v>
      </c>
      <c r="Q209" s="3">
        <v>45930</v>
      </c>
      <c r="R209">
        <v>230</v>
      </c>
      <c r="T209" t="s">
        <v>913</v>
      </c>
      <c r="U209">
        <v>0</v>
      </c>
    </row>
    <row r="210" spans="1:21" x14ac:dyDescent="0.35">
      <c r="A210" t="s">
        <v>910</v>
      </c>
      <c r="B210" t="s">
        <v>910</v>
      </c>
      <c r="C210" t="s">
        <v>438</v>
      </c>
      <c r="D210" s="4">
        <v>256779415369</v>
      </c>
      <c r="E210" s="3">
        <v>45848</v>
      </c>
      <c r="F210" t="s">
        <v>11</v>
      </c>
      <c r="G210">
        <v>0.06</v>
      </c>
      <c r="H210" t="s">
        <v>911</v>
      </c>
      <c r="I210">
        <v>5.31</v>
      </c>
      <c r="J210" t="s">
        <v>273</v>
      </c>
      <c r="K210" s="3">
        <v>45878</v>
      </c>
      <c r="M210" t="s">
        <v>912</v>
      </c>
      <c r="N210" s="2">
        <v>45901</v>
      </c>
      <c r="O210">
        <v>59299209</v>
      </c>
      <c r="P210">
        <v>1</v>
      </c>
      <c r="Q210" s="3">
        <v>45930</v>
      </c>
      <c r="R210">
        <v>230</v>
      </c>
      <c r="T210" t="s">
        <v>913</v>
      </c>
      <c r="U210">
        <v>0</v>
      </c>
    </row>
    <row r="211" spans="1:21" x14ac:dyDescent="0.35">
      <c r="A211" t="s">
        <v>910</v>
      </c>
      <c r="B211" t="s">
        <v>910</v>
      </c>
      <c r="C211" t="s">
        <v>438</v>
      </c>
      <c r="D211" s="4">
        <v>256779415361</v>
      </c>
      <c r="E211" s="3">
        <v>45848</v>
      </c>
      <c r="F211" t="s">
        <v>11</v>
      </c>
      <c r="G211">
        <v>1.35</v>
      </c>
      <c r="H211" t="s">
        <v>911</v>
      </c>
      <c r="I211">
        <v>119.43</v>
      </c>
      <c r="J211" t="s">
        <v>274</v>
      </c>
      <c r="K211" s="3">
        <v>45878</v>
      </c>
      <c r="M211" t="s">
        <v>912</v>
      </c>
      <c r="N211" s="2">
        <v>45901</v>
      </c>
      <c r="O211">
        <v>59299210</v>
      </c>
      <c r="P211">
        <v>1</v>
      </c>
      <c r="Q211" s="3">
        <v>45930</v>
      </c>
      <c r="R211">
        <v>230</v>
      </c>
      <c r="T211" t="s">
        <v>913</v>
      </c>
      <c r="U211">
        <v>0</v>
      </c>
    </row>
    <row r="212" spans="1:21" x14ac:dyDescent="0.35">
      <c r="A212" t="s">
        <v>910</v>
      </c>
      <c r="B212" t="s">
        <v>910</v>
      </c>
      <c r="C212" t="s">
        <v>438</v>
      </c>
      <c r="D212" s="4">
        <v>256779415306</v>
      </c>
      <c r="E212" s="3">
        <v>45848</v>
      </c>
      <c r="F212" t="s">
        <v>11</v>
      </c>
      <c r="G212">
        <v>0.6</v>
      </c>
      <c r="H212" t="s">
        <v>911</v>
      </c>
      <c r="I212">
        <v>53.08</v>
      </c>
      <c r="J212" t="s">
        <v>275</v>
      </c>
      <c r="K212" s="3">
        <v>45878</v>
      </c>
      <c r="M212" t="s">
        <v>912</v>
      </c>
      <c r="N212" s="2">
        <v>45901</v>
      </c>
      <c r="O212">
        <v>59299211</v>
      </c>
      <c r="P212">
        <v>1</v>
      </c>
      <c r="Q212" s="3">
        <v>45930</v>
      </c>
      <c r="R212">
        <v>230</v>
      </c>
      <c r="T212" t="s">
        <v>913</v>
      </c>
      <c r="U212">
        <v>0</v>
      </c>
    </row>
    <row r="213" spans="1:21" x14ac:dyDescent="0.35">
      <c r="A213" t="s">
        <v>910</v>
      </c>
      <c r="B213" t="s">
        <v>910</v>
      </c>
      <c r="C213" t="s">
        <v>438</v>
      </c>
      <c r="D213" s="4">
        <v>256779415333</v>
      </c>
      <c r="E213" s="3">
        <v>45848</v>
      </c>
      <c r="F213" t="s">
        <v>11</v>
      </c>
      <c r="G213">
        <v>0.45</v>
      </c>
      <c r="H213" t="s">
        <v>911</v>
      </c>
      <c r="I213">
        <v>39.81</v>
      </c>
      <c r="J213" t="s">
        <v>276</v>
      </c>
      <c r="K213" s="3">
        <v>45878</v>
      </c>
      <c r="M213" t="s">
        <v>912</v>
      </c>
      <c r="N213" s="2">
        <v>45901</v>
      </c>
      <c r="O213">
        <v>59299212</v>
      </c>
      <c r="P213">
        <v>1</v>
      </c>
      <c r="Q213" s="3">
        <v>45930</v>
      </c>
      <c r="R213">
        <v>230</v>
      </c>
      <c r="T213" t="s">
        <v>913</v>
      </c>
      <c r="U213">
        <v>0</v>
      </c>
    </row>
    <row r="214" spans="1:21" x14ac:dyDescent="0.35">
      <c r="A214" t="s">
        <v>910</v>
      </c>
      <c r="B214" t="s">
        <v>910</v>
      </c>
      <c r="C214" t="s">
        <v>438</v>
      </c>
      <c r="D214" s="4">
        <v>256779415298</v>
      </c>
      <c r="E214" s="3">
        <v>45848</v>
      </c>
      <c r="F214" t="s">
        <v>11</v>
      </c>
      <c r="G214">
        <v>0.48</v>
      </c>
      <c r="H214" t="s">
        <v>911</v>
      </c>
      <c r="I214">
        <v>42.47</v>
      </c>
      <c r="J214" t="s">
        <v>277</v>
      </c>
      <c r="K214" s="3">
        <v>45878</v>
      </c>
      <c r="M214" t="s">
        <v>912</v>
      </c>
      <c r="N214" s="2">
        <v>45901</v>
      </c>
      <c r="O214">
        <v>59299213</v>
      </c>
      <c r="P214">
        <v>1</v>
      </c>
      <c r="Q214" s="3">
        <v>45930</v>
      </c>
      <c r="R214">
        <v>230</v>
      </c>
      <c r="T214" t="s">
        <v>913</v>
      </c>
      <c r="U214">
        <v>0</v>
      </c>
    </row>
    <row r="215" spans="1:21" x14ac:dyDescent="0.35">
      <c r="A215" t="s">
        <v>910</v>
      </c>
      <c r="B215" t="s">
        <v>910</v>
      </c>
      <c r="C215" t="s">
        <v>438</v>
      </c>
      <c r="D215" s="4">
        <v>256779415386</v>
      </c>
      <c r="E215" s="3">
        <v>45848</v>
      </c>
      <c r="F215" t="s">
        <v>11</v>
      </c>
      <c r="G215">
        <v>0.15</v>
      </c>
      <c r="H215" t="s">
        <v>911</v>
      </c>
      <c r="I215">
        <v>13.27</v>
      </c>
      <c r="J215" t="s">
        <v>278</v>
      </c>
      <c r="K215" s="3">
        <v>45878</v>
      </c>
      <c r="M215" t="s">
        <v>912</v>
      </c>
      <c r="N215" s="2">
        <v>45901</v>
      </c>
      <c r="O215">
        <v>59299215</v>
      </c>
      <c r="P215">
        <v>1</v>
      </c>
      <c r="Q215" s="3">
        <v>45930</v>
      </c>
      <c r="R215">
        <v>230</v>
      </c>
      <c r="T215" t="s">
        <v>913</v>
      </c>
      <c r="U215">
        <v>0</v>
      </c>
    </row>
    <row r="216" spans="1:21" x14ac:dyDescent="0.35">
      <c r="A216" t="s">
        <v>910</v>
      </c>
      <c r="B216" t="s">
        <v>910</v>
      </c>
      <c r="C216" t="s">
        <v>438</v>
      </c>
      <c r="D216" s="4">
        <v>256779415336</v>
      </c>
      <c r="E216" s="3">
        <v>45848</v>
      </c>
      <c r="F216" t="s">
        <v>11</v>
      </c>
      <c r="G216">
        <v>0.1</v>
      </c>
      <c r="H216" t="s">
        <v>911</v>
      </c>
      <c r="I216">
        <v>8.85</v>
      </c>
      <c r="J216" t="s">
        <v>279</v>
      </c>
      <c r="K216" s="3">
        <v>45878</v>
      </c>
      <c r="M216" t="s">
        <v>912</v>
      </c>
      <c r="N216" s="2">
        <v>45901</v>
      </c>
      <c r="O216">
        <v>59299217</v>
      </c>
      <c r="P216">
        <v>1</v>
      </c>
      <c r="Q216" s="3">
        <v>45930</v>
      </c>
      <c r="R216">
        <v>230</v>
      </c>
      <c r="T216" t="s">
        <v>913</v>
      </c>
      <c r="U216">
        <v>0</v>
      </c>
    </row>
    <row r="217" spans="1:21" x14ac:dyDescent="0.35">
      <c r="A217" t="s">
        <v>910</v>
      </c>
      <c r="B217" t="s">
        <v>910</v>
      </c>
      <c r="C217" t="s">
        <v>438</v>
      </c>
      <c r="D217" s="4">
        <v>256779415341</v>
      </c>
      <c r="E217" s="3">
        <v>45848</v>
      </c>
      <c r="F217" t="s">
        <v>11</v>
      </c>
      <c r="G217">
        <v>0.3</v>
      </c>
      <c r="H217" t="s">
        <v>911</v>
      </c>
      <c r="I217">
        <v>26.54</v>
      </c>
      <c r="J217" t="s">
        <v>280</v>
      </c>
      <c r="K217" s="3">
        <v>45878</v>
      </c>
      <c r="M217" t="s">
        <v>912</v>
      </c>
      <c r="N217" s="2">
        <v>45901</v>
      </c>
      <c r="O217">
        <v>59299218</v>
      </c>
      <c r="P217">
        <v>1</v>
      </c>
      <c r="Q217" s="3">
        <v>45930</v>
      </c>
      <c r="R217">
        <v>230</v>
      </c>
      <c r="T217" t="s">
        <v>913</v>
      </c>
      <c r="U217">
        <v>0</v>
      </c>
    </row>
    <row r="218" spans="1:21" x14ac:dyDescent="0.35">
      <c r="A218" t="s">
        <v>910</v>
      </c>
      <c r="B218" t="s">
        <v>910</v>
      </c>
      <c r="C218" t="s">
        <v>438</v>
      </c>
      <c r="D218" s="4">
        <v>256779415380</v>
      </c>
      <c r="E218" s="3">
        <v>45848</v>
      </c>
      <c r="F218" t="s">
        <v>11</v>
      </c>
      <c r="G218">
        <v>4</v>
      </c>
      <c r="H218" t="s">
        <v>911</v>
      </c>
      <c r="I218">
        <v>353.88</v>
      </c>
      <c r="J218" t="s">
        <v>281</v>
      </c>
      <c r="K218" s="3">
        <v>45878</v>
      </c>
      <c r="M218" t="s">
        <v>912</v>
      </c>
      <c r="N218" s="2">
        <v>45901</v>
      </c>
      <c r="O218">
        <v>59299220</v>
      </c>
      <c r="P218">
        <v>1</v>
      </c>
      <c r="Q218" s="3">
        <v>45930</v>
      </c>
      <c r="R218">
        <v>230</v>
      </c>
      <c r="T218" t="s">
        <v>913</v>
      </c>
      <c r="U218">
        <v>0</v>
      </c>
    </row>
    <row r="219" spans="1:21" x14ac:dyDescent="0.35">
      <c r="A219" t="s">
        <v>910</v>
      </c>
      <c r="B219" t="s">
        <v>910</v>
      </c>
      <c r="C219" t="s">
        <v>438</v>
      </c>
      <c r="D219" s="4">
        <v>256779415318</v>
      </c>
      <c r="E219" s="3">
        <v>45848</v>
      </c>
      <c r="F219" t="s">
        <v>11</v>
      </c>
      <c r="G219">
        <v>5.09</v>
      </c>
      <c r="H219" t="s">
        <v>911</v>
      </c>
      <c r="I219">
        <v>450.31</v>
      </c>
      <c r="J219" t="s">
        <v>282</v>
      </c>
      <c r="K219" s="3">
        <v>45878</v>
      </c>
      <c r="M219" t="s">
        <v>912</v>
      </c>
      <c r="N219" s="2">
        <v>45901</v>
      </c>
      <c r="O219">
        <v>59299221</v>
      </c>
      <c r="P219">
        <v>1</v>
      </c>
      <c r="Q219" s="3">
        <v>45930</v>
      </c>
      <c r="R219">
        <v>230</v>
      </c>
      <c r="T219" t="s">
        <v>913</v>
      </c>
      <c r="U219">
        <v>0</v>
      </c>
    </row>
    <row r="220" spans="1:21" x14ac:dyDescent="0.35">
      <c r="A220" t="s">
        <v>910</v>
      </c>
      <c r="B220" t="s">
        <v>910</v>
      </c>
      <c r="C220" t="s">
        <v>438</v>
      </c>
      <c r="D220" s="4">
        <v>256779415384</v>
      </c>
      <c r="E220" s="3">
        <v>45848</v>
      </c>
      <c r="F220" t="s">
        <v>11</v>
      </c>
      <c r="G220">
        <v>7</v>
      </c>
      <c r="H220" t="s">
        <v>911</v>
      </c>
      <c r="I220">
        <v>619.29</v>
      </c>
      <c r="J220" t="s">
        <v>283</v>
      </c>
      <c r="K220" s="3">
        <v>45878</v>
      </c>
      <c r="M220" t="s">
        <v>912</v>
      </c>
      <c r="N220" s="2">
        <v>45901</v>
      </c>
      <c r="O220">
        <v>59299223</v>
      </c>
      <c r="P220">
        <v>1</v>
      </c>
      <c r="Q220" s="3">
        <v>45930</v>
      </c>
      <c r="R220">
        <v>230</v>
      </c>
      <c r="T220" t="s">
        <v>913</v>
      </c>
      <c r="U220">
        <v>0</v>
      </c>
    </row>
    <row r="221" spans="1:21" x14ac:dyDescent="0.35">
      <c r="A221" t="s">
        <v>910</v>
      </c>
      <c r="B221" t="s">
        <v>910</v>
      </c>
      <c r="C221" t="s">
        <v>438</v>
      </c>
      <c r="D221" s="4">
        <v>256779415344</v>
      </c>
      <c r="E221" s="3">
        <v>45848</v>
      </c>
      <c r="F221" t="s">
        <v>11</v>
      </c>
      <c r="G221">
        <v>0.5</v>
      </c>
      <c r="H221" t="s">
        <v>911</v>
      </c>
      <c r="I221">
        <v>44.24</v>
      </c>
      <c r="J221" t="s">
        <v>284</v>
      </c>
      <c r="K221" s="3">
        <v>45878</v>
      </c>
      <c r="M221" t="s">
        <v>912</v>
      </c>
      <c r="N221" s="2">
        <v>45901</v>
      </c>
      <c r="O221">
        <v>59299224</v>
      </c>
      <c r="P221">
        <v>1</v>
      </c>
      <c r="Q221" s="3">
        <v>45930</v>
      </c>
      <c r="R221">
        <v>230</v>
      </c>
      <c r="T221" t="s">
        <v>913</v>
      </c>
      <c r="U221">
        <v>0</v>
      </c>
    </row>
    <row r="222" spans="1:21" x14ac:dyDescent="0.35">
      <c r="A222" t="s">
        <v>910</v>
      </c>
      <c r="B222" t="s">
        <v>910</v>
      </c>
      <c r="C222" t="s">
        <v>438</v>
      </c>
      <c r="D222" s="4">
        <v>256779415382</v>
      </c>
      <c r="E222" s="3">
        <v>45848</v>
      </c>
      <c r="F222" t="s">
        <v>11</v>
      </c>
      <c r="G222">
        <v>2.35</v>
      </c>
      <c r="H222" t="s">
        <v>911</v>
      </c>
      <c r="I222">
        <v>207.9</v>
      </c>
      <c r="J222" t="s">
        <v>285</v>
      </c>
      <c r="K222" s="3">
        <v>45878</v>
      </c>
      <c r="M222" t="s">
        <v>912</v>
      </c>
      <c r="N222" s="2">
        <v>45901</v>
      </c>
      <c r="O222">
        <v>59299225</v>
      </c>
      <c r="P222">
        <v>1</v>
      </c>
      <c r="Q222" s="3">
        <v>45930</v>
      </c>
      <c r="R222">
        <v>230</v>
      </c>
      <c r="T222" t="s">
        <v>913</v>
      </c>
      <c r="U222">
        <v>0</v>
      </c>
    </row>
    <row r="223" spans="1:21" x14ac:dyDescent="0.35">
      <c r="A223" t="s">
        <v>910</v>
      </c>
      <c r="B223" t="s">
        <v>910</v>
      </c>
      <c r="C223" t="s">
        <v>438</v>
      </c>
      <c r="D223" s="4">
        <v>256779415314</v>
      </c>
      <c r="E223" s="3">
        <v>45848</v>
      </c>
      <c r="F223" t="s">
        <v>11</v>
      </c>
      <c r="G223">
        <v>3.58</v>
      </c>
      <c r="H223" t="s">
        <v>911</v>
      </c>
      <c r="I223">
        <v>316.72000000000003</v>
      </c>
      <c r="J223" t="s">
        <v>286</v>
      </c>
      <c r="K223" s="3">
        <v>45878</v>
      </c>
      <c r="M223" t="s">
        <v>912</v>
      </c>
      <c r="N223" s="2">
        <v>45901</v>
      </c>
      <c r="O223">
        <v>59299228</v>
      </c>
      <c r="P223">
        <v>1</v>
      </c>
      <c r="Q223" s="3">
        <v>45930</v>
      </c>
      <c r="R223">
        <v>230</v>
      </c>
      <c r="T223" t="s">
        <v>913</v>
      </c>
      <c r="U223">
        <v>0</v>
      </c>
    </row>
    <row r="224" spans="1:21" x14ac:dyDescent="0.35">
      <c r="A224" t="s">
        <v>910</v>
      </c>
      <c r="B224" t="s">
        <v>910</v>
      </c>
      <c r="C224" t="s">
        <v>438</v>
      </c>
      <c r="D224" s="4">
        <v>256779415355</v>
      </c>
      <c r="E224" s="3">
        <v>45848</v>
      </c>
      <c r="F224" t="s">
        <v>11</v>
      </c>
      <c r="G224">
        <v>0.43</v>
      </c>
      <c r="H224" t="s">
        <v>911</v>
      </c>
      <c r="I224">
        <v>38.04</v>
      </c>
      <c r="J224" t="s">
        <v>287</v>
      </c>
      <c r="K224" s="3">
        <v>45878</v>
      </c>
      <c r="M224" t="s">
        <v>912</v>
      </c>
      <c r="N224" s="2">
        <v>45901</v>
      </c>
      <c r="O224">
        <v>59299230</v>
      </c>
      <c r="P224">
        <v>1</v>
      </c>
      <c r="Q224" s="3">
        <v>45930</v>
      </c>
      <c r="R224">
        <v>230</v>
      </c>
      <c r="T224" t="s">
        <v>913</v>
      </c>
      <c r="U224">
        <v>0</v>
      </c>
    </row>
    <row r="225" spans="1:21" x14ac:dyDescent="0.35">
      <c r="A225" t="s">
        <v>910</v>
      </c>
      <c r="B225" t="s">
        <v>910</v>
      </c>
      <c r="C225" t="s">
        <v>438</v>
      </c>
      <c r="D225" s="4">
        <v>256779415376</v>
      </c>
      <c r="E225" s="3">
        <v>45848</v>
      </c>
      <c r="F225" t="s">
        <v>11</v>
      </c>
      <c r="G225">
        <v>1.2</v>
      </c>
      <c r="H225" t="s">
        <v>911</v>
      </c>
      <c r="I225">
        <v>106.16</v>
      </c>
      <c r="J225" t="s">
        <v>288</v>
      </c>
      <c r="K225" s="3">
        <v>45878</v>
      </c>
      <c r="M225" t="s">
        <v>912</v>
      </c>
      <c r="N225" s="2">
        <v>45901</v>
      </c>
      <c r="O225">
        <v>59299231</v>
      </c>
      <c r="P225">
        <v>1</v>
      </c>
      <c r="Q225" s="3">
        <v>45930</v>
      </c>
      <c r="R225">
        <v>230</v>
      </c>
      <c r="T225" t="s">
        <v>913</v>
      </c>
      <c r="U225">
        <v>0</v>
      </c>
    </row>
    <row r="226" spans="1:21" x14ac:dyDescent="0.35">
      <c r="A226" t="s">
        <v>910</v>
      </c>
      <c r="B226" t="s">
        <v>910</v>
      </c>
      <c r="C226" t="s">
        <v>438</v>
      </c>
      <c r="D226" s="4">
        <v>256779415334</v>
      </c>
      <c r="E226" s="3">
        <v>45848</v>
      </c>
      <c r="F226" t="s">
        <v>11</v>
      </c>
      <c r="G226">
        <v>0.45</v>
      </c>
      <c r="H226" t="s">
        <v>911</v>
      </c>
      <c r="I226">
        <v>39.81</v>
      </c>
      <c r="J226" t="s">
        <v>289</v>
      </c>
      <c r="K226" s="3">
        <v>45878</v>
      </c>
      <c r="M226" t="s">
        <v>912</v>
      </c>
      <c r="N226" s="2">
        <v>45901</v>
      </c>
      <c r="O226">
        <v>59299232</v>
      </c>
      <c r="P226">
        <v>1</v>
      </c>
      <c r="Q226" s="3">
        <v>45930</v>
      </c>
      <c r="R226">
        <v>230</v>
      </c>
      <c r="T226" t="s">
        <v>913</v>
      </c>
      <c r="U226">
        <v>0</v>
      </c>
    </row>
    <row r="227" spans="1:21" x14ac:dyDescent="0.35">
      <c r="A227" t="s">
        <v>910</v>
      </c>
      <c r="B227" t="s">
        <v>910</v>
      </c>
      <c r="C227" t="s">
        <v>438</v>
      </c>
      <c r="D227" s="4">
        <v>256779415337</v>
      </c>
      <c r="E227" s="3">
        <v>45848</v>
      </c>
      <c r="F227" t="s">
        <v>11</v>
      </c>
      <c r="G227">
        <v>0.35</v>
      </c>
      <c r="H227" t="s">
        <v>911</v>
      </c>
      <c r="I227">
        <v>30.96</v>
      </c>
      <c r="J227" t="s">
        <v>290</v>
      </c>
      <c r="K227" s="3">
        <v>45878</v>
      </c>
      <c r="M227" t="s">
        <v>912</v>
      </c>
      <c r="N227" s="2">
        <v>45901</v>
      </c>
      <c r="O227">
        <v>59299234</v>
      </c>
      <c r="P227">
        <v>1</v>
      </c>
      <c r="Q227" s="3">
        <v>45930</v>
      </c>
      <c r="R227">
        <v>230</v>
      </c>
      <c r="T227" t="s">
        <v>913</v>
      </c>
      <c r="U227">
        <v>0</v>
      </c>
    </row>
    <row r="228" spans="1:21" x14ac:dyDescent="0.35">
      <c r="A228" t="s">
        <v>910</v>
      </c>
      <c r="B228" t="s">
        <v>910</v>
      </c>
      <c r="C228" t="s">
        <v>438</v>
      </c>
      <c r="D228" s="4">
        <v>256779415357</v>
      </c>
      <c r="E228" s="3">
        <v>45848</v>
      </c>
      <c r="F228" t="s">
        <v>11</v>
      </c>
      <c r="G228">
        <v>4.1500000000000004</v>
      </c>
      <c r="H228" t="s">
        <v>911</v>
      </c>
      <c r="I228">
        <v>367.15</v>
      </c>
      <c r="J228" t="s">
        <v>291</v>
      </c>
      <c r="K228" s="3">
        <v>45878</v>
      </c>
      <c r="M228" t="s">
        <v>912</v>
      </c>
      <c r="N228" s="2">
        <v>45901</v>
      </c>
      <c r="O228">
        <v>59299236</v>
      </c>
      <c r="P228">
        <v>1</v>
      </c>
      <c r="Q228" s="3">
        <v>45930</v>
      </c>
      <c r="R228">
        <v>230</v>
      </c>
      <c r="T228" t="s">
        <v>913</v>
      </c>
      <c r="U228">
        <v>0</v>
      </c>
    </row>
    <row r="229" spans="1:21" x14ac:dyDescent="0.35">
      <c r="A229" t="s">
        <v>910</v>
      </c>
      <c r="B229" t="s">
        <v>910</v>
      </c>
      <c r="C229" t="s">
        <v>438</v>
      </c>
      <c r="D229" s="4">
        <v>256779415340</v>
      </c>
      <c r="E229" s="3">
        <v>45848</v>
      </c>
      <c r="F229" t="s">
        <v>11</v>
      </c>
      <c r="G229">
        <v>0.52</v>
      </c>
      <c r="H229" t="s">
        <v>911</v>
      </c>
      <c r="I229">
        <v>46</v>
      </c>
      <c r="J229" t="s">
        <v>292</v>
      </c>
      <c r="K229" s="3">
        <v>45878</v>
      </c>
      <c r="M229" t="s">
        <v>912</v>
      </c>
      <c r="N229" s="2">
        <v>45901</v>
      </c>
      <c r="O229">
        <v>59299238</v>
      </c>
      <c r="P229">
        <v>1</v>
      </c>
      <c r="Q229" s="3">
        <v>45930</v>
      </c>
      <c r="R229">
        <v>230</v>
      </c>
      <c r="T229" t="s">
        <v>913</v>
      </c>
      <c r="U229">
        <v>0</v>
      </c>
    </row>
    <row r="230" spans="1:21" x14ac:dyDescent="0.35">
      <c r="A230" t="s">
        <v>910</v>
      </c>
      <c r="B230" t="s">
        <v>910</v>
      </c>
      <c r="C230" t="s">
        <v>438</v>
      </c>
      <c r="D230" s="4">
        <v>256779415343</v>
      </c>
      <c r="E230" s="3">
        <v>45848</v>
      </c>
      <c r="F230" t="s">
        <v>11</v>
      </c>
      <c r="G230">
        <v>0.02</v>
      </c>
      <c r="H230" t="s">
        <v>911</v>
      </c>
      <c r="I230">
        <v>1.77</v>
      </c>
      <c r="J230" t="s">
        <v>293</v>
      </c>
      <c r="K230" s="3">
        <v>45878</v>
      </c>
      <c r="M230" t="s">
        <v>912</v>
      </c>
      <c r="N230" s="2">
        <v>45901</v>
      </c>
      <c r="O230">
        <v>59299239</v>
      </c>
      <c r="P230">
        <v>1</v>
      </c>
      <c r="Q230" s="3">
        <v>45930</v>
      </c>
      <c r="R230">
        <v>230</v>
      </c>
      <c r="T230" t="s">
        <v>913</v>
      </c>
      <c r="U230">
        <v>0</v>
      </c>
    </row>
    <row r="231" spans="1:21" x14ac:dyDescent="0.35">
      <c r="A231" t="s">
        <v>910</v>
      </c>
      <c r="B231" t="s">
        <v>910</v>
      </c>
      <c r="C231" t="s">
        <v>438</v>
      </c>
      <c r="D231" s="4">
        <v>246779413747</v>
      </c>
      <c r="E231" s="3">
        <v>45736</v>
      </c>
      <c r="F231" t="s">
        <v>11</v>
      </c>
      <c r="G231">
        <v>0.05</v>
      </c>
      <c r="H231" t="s">
        <v>911</v>
      </c>
      <c r="I231">
        <v>4.3499999999999996</v>
      </c>
      <c r="J231" t="s">
        <v>81</v>
      </c>
      <c r="K231" s="3">
        <v>45766</v>
      </c>
      <c r="M231" t="s">
        <v>912</v>
      </c>
      <c r="N231" s="2">
        <v>45901</v>
      </c>
      <c r="O231">
        <v>59299240</v>
      </c>
      <c r="P231">
        <v>1</v>
      </c>
      <c r="Q231" s="3">
        <v>45930</v>
      </c>
      <c r="R231">
        <v>230</v>
      </c>
      <c r="T231" t="s">
        <v>913</v>
      </c>
      <c r="U231">
        <v>0</v>
      </c>
    </row>
    <row r="232" spans="1:21" x14ac:dyDescent="0.35">
      <c r="A232" t="s">
        <v>910</v>
      </c>
      <c r="B232" t="s">
        <v>910</v>
      </c>
      <c r="C232" t="s">
        <v>438</v>
      </c>
      <c r="D232" s="4">
        <v>256779415308</v>
      </c>
      <c r="E232" s="3">
        <v>45848</v>
      </c>
      <c r="F232" t="s">
        <v>11</v>
      </c>
      <c r="G232">
        <v>0.6</v>
      </c>
      <c r="H232" t="s">
        <v>911</v>
      </c>
      <c r="I232">
        <v>53.08</v>
      </c>
      <c r="J232" t="s">
        <v>294</v>
      </c>
      <c r="K232" s="3">
        <v>45878</v>
      </c>
      <c r="M232" t="s">
        <v>912</v>
      </c>
      <c r="N232" s="2">
        <v>45901</v>
      </c>
      <c r="O232">
        <v>59299241</v>
      </c>
      <c r="P232">
        <v>1</v>
      </c>
      <c r="Q232" s="3">
        <v>45930</v>
      </c>
      <c r="R232">
        <v>230</v>
      </c>
      <c r="T232" t="s">
        <v>913</v>
      </c>
      <c r="U232">
        <v>0</v>
      </c>
    </row>
    <row r="233" spans="1:21" x14ac:dyDescent="0.35">
      <c r="A233" t="s">
        <v>910</v>
      </c>
      <c r="B233" t="s">
        <v>910</v>
      </c>
      <c r="C233" t="s">
        <v>438</v>
      </c>
      <c r="D233" s="4">
        <v>256779415210</v>
      </c>
      <c r="E233" s="3">
        <v>45842</v>
      </c>
      <c r="F233" t="s">
        <v>11</v>
      </c>
      <c r="G233">
        <v>192.59</v>
      </c>
      <c r="H233" t="s">
        <v>911</v>
      </c>
      <c r="I233" s="27">
        <v>17038.439999999999</v>
      </c>
      <c r="J233" t="s">
        <v>406</v>
      </c>
      <c r="K233" s="3">
        <v>45872</v>
      </c>
      <c r="M233" t="s">
        <v>912</v>
      </c>
      <c r="N233" s="2">
        <v>45901</v>
      </c>
      <c r="O233">
        <v>59299242</v>
      </c>
      <c r="P233">
        <v>1</v>
      </c>
      <c r="Q233" s="3">
        <v>45930</v>
      </c>
      <c r="R233">
        <v>230</v>
      </c>
      <c r="T233" t="s">
        <v>913</v>
      </c>
      <c r="U233">
        <v>0</v>
      </c>
    </row>
    <row r="234" spans="1:21" x14ac:dyDescent="0.35">
      <c r="A234" t="s">
        <v>910</v>
      </c>
      <c r="B234" t="s">
        <v>910</v>
      </c>
      <c r="C234" t="s">
        <v>438</v>
      </c>
      <c r="D234" s="4">
        <v>256779415310</v>
      </c>
      <c r="E234" s="3">
        <v>45848</v>
      </c>
      <c r="F234" t="s">
        <v>11</v>
      </c>
      <c r="G234">
        <v>0.6</v>
      </c>
      <c r="H234" t="s">
        <v>911</v>
      </c>
      <c r="I234">
        <v>53.08</v>
      </c>
      <c r="J234" t="s">
        <v>295</v>
      </c>
      <c r="K234" s="3">
        <v>45878</v>
      </c>
      <c r="M234" t="s">
        <v>912</v>
      </c>
      <c r="N234" s="2">
        <v>45901</v>
      </c>
      <c r="O234">
        <v>59299244</v>
      </c>
      <c r="P234">
        <v>1</v>
      </c>
      <c r="Q234" s="3">
        <v>45930</v>
      </c>
      <c r="R234">
        <v>230</v>
      </c>
      <c r="T234" t="s">
        <v>913</v>
      </c>
      <c r="U234">
        <v>0</v>
      </c>
    </row>
    <row r="235" spans="1:21" x14ac:dyDescent="0.35">
      <c r="A235" t="s">
        <v>910</v>
      </c>
      <c r="B235" t="s">
        <v>910</v>
      </c>
      <c r="C235" t="s">
        <v>438</v>
      </c>
      <c r="D235" s="4">
        <v>256779415349</v>
      </c>
      <c r="E235" s="3">
        <v>45848</v>
      </c>
      <c r="F235" t="s">
        <v>11</v>
      </c>
      <c r="G235">
        <v>0.55000000000000004</v>
      </c>
      <c r="H235" t="s">
        <v>911</v>
      </c>
      <c r="I235">
        <v>48.66</v>
      </c>
      <c r="J235" t="s">
        <v>296</v>
      </c>
      <c r="K235" s="3">
        <v>45878</v>
      </c>
      <c r="M235" t="s">
        <v>912</v>
      </c>
      <c r="N235" s="2">
        <v>45901</v>
      </c>
      <c r="O235">
        <v>59299245</v>
      </c>
      <c r="P235">
        <v>1</v>
      </c>
      <c r="Q235" s="3">
        <v>45930</v>
      </c>
      <c r="R235">
        <v>230</v>
      </c>
      <c r="T235" t="s">
        <v>913</v>
      </c>
      <c r="U235">
        <v>0</v>
      </c>
    </row>
    <row r="236" spans="1:21" x14ac:dyDescent="0.35">
      <c r="A236" t="s">
        <v>910</v>
      </c>
      <c r="B236" t="s">
        <v>910</v>
      </c>
      <c r="C236" t="s">
        <v>438</v>
      </c>
      <c r="D236" s="4">
        <v>256779415295</v>
      </c>
      <c r="E236" s="3">
        <v>45848</v>
      </c>
      <c r="F236" t="s">
        <v>11</v>
      </c>
      <c r="G236">
        <v>0.48</v>
      </c>
      <c r="H236" t="s">
        <v>911</v>
      </c>
      <c r="I236">
        <v>42.47</v>
      </c>
      <c r="J236" t="s">
        <v>297</v>
      </c>
      <c r="K236" s="3">
        <v>45878</v>
      </c>
      <c r="M236" t="s">
        <v>912</v>
      </c>
      <c r="N236" s="2">
        <v>45901</v>
      </c>
      <c r="O236">
        <v>59299247</v>
      </c>
      <c r="P236">
        <v>1</v>
      </c>
      <c r="Q236" s="3">
        <v>45930</v>
      </c>
      <c r="R236">
        <v>230</v>
      </c>
      <c r="T236" t="s">
        <v>913</v>
      </c>
      <c r="U236">
        <v>0</v>
      </c>
    </row>
    <row r="237" spans="1:21" x14ac:dyDescent="0.35">
      <c r="A237" t="s">
        <v>910</v>
      </c>
      <c r="B237" t="s">
        <v>910</v>
      </c>
      <c r="C237" t="s">
        <v>438</v>
      </c>
      <c r="D237" s="4">
        <v>256779415389</v>
      </c>
      <c r="E237" s="3">
        <v>45848</v>
      </c>
      <c r="F237" t="s">
        <v>11</v>
      </c>
      <c r="G237">
        <v>3.41</v>
      </c>
      <c r="H237" t="s">
        <v>911</v>
      </c>
      <c r="I237">
        <v>301.68</v>
      </c>
      <c r="J237" t="s">
        <v>298</v>
      </c>
      <c r="K237" s="3">
        <v>45878</v>
      </c>
      <c r="M237" t="s">
        <v>912</v>
      </c>
      <c r="N237" s="2">
        <v>45901</v>
      </c>
      <c r="O237">
        <v>59299248</v>
      </c>
      <c r="P237">
        <v>1</v>
      </c>
      <c r="Q237" s="3">
        <v>45930</v>
      </c>
      <c r="R237">
        <v>230</v>
      </c>
      <c r="T237" t="s">
        <v>913</v>
      </c>
      <c r="U237">
        <v>0</v>
      </c>
    </row>
    <row r="238" spans="1:21" x14ac:dyDescent="0.35">
      <c r="A238" t="s">
        <v>910</v>
      </c>
      <c r="B238" t="s">
        <v>910</v>
      </c>
      <c r="C238" t="s">
        <v>438</v>
      </c>
      <c r="D238" s="4">
        <v>256779415388</v>
      </c>
      <c r="E238" s="3">
        <v>45848</v>
      </c>
      <c r="F238" t="s">
        <v>11</v>
      </c>
      <c r="G238">
        <v>45.23</v>
      </c>
      <c r="H238" t="s">
        <v>911</v>
      </c>
      <c r="I238" s="27">
        <v>4001.5</v>
      </c>
      <c r="J238" t="s">
        <v>299</v>
      </c>
      <c r="K238" s="3">
        <v>45878</v>
      </c>
      <c r="M238" t="s">
        <v>912</v>
      </c>
      <c r="N238" s="2">
        <v>45901</v>
      </c>
      <c r="O238">
        <v>59299254</v>
      </c>
      <c r="P238">
        <v>1</v>
      </c>
      <c r="Q238" s="3">
        <v>45930</v>
      </c>
      <c r="R238">
        <v>230</v>
      </c>
      <c r="T238" t="s">
        <v>913</v>
      </c>
      <c r="U238">
        <v>0</v>
      </c>
    </row>
    <row r="239" spans="1:21" x14ac:dyDescent="0.35">
      <c r="A239" t="s">
        <v>910</v>
      </c>
      <c r="B239" t="s">
        <v>910</v>
      </c>
      <c r="C239" t="s">
        <v>438</v>
      </c>
      <c r="D239" s="4">
        <v>256779413392</v>
      </c>
      <c r="E239" s="3">
        <v>45798</v>
      </c>
      <c r="F239" t="s">
        <v>11</v>
      </c>
      <c r="G239">
        <v>4.3600000000000003</v>
      </c>
      <c r="H239" t="s">
        <v>911</v>
      </c>
      <c r="I239">
        <v>372.23</v>
      </c>
      <c r="J239" t="s">
        <v>54</v>
      </c>
      <c r="K239" s="3">
        <v>45828</v>
      </c>
      <c r="M239" t="s">
        <v>912</v>
      </c>
      <c r="N239" s="2">
        <v>45901</v>
      </c>
      <c r="O239">
        <v>59299255</v>
      </c>
      <c r="P239">
        <v>1</v>
      </c>
      <c r="Q239" s="3">
        <v>45930</v>
      </c>
      <c r="R239">
        <v>230</v>
      </c>
      <c r="T239" t="s">
        <v>913</v>
      </c>
      <c r="U239">
        <v>0</v>
      </c>
    </row>
    <row r="240" spans="1:21" x14ac:dyDescent="0.35">
      <c r="A240" t="s">
        <v>910</v>
      </c>
      <c r="B240" t="s">
        <v>910</v>
      </c>
      <c r="C240" t="s">
        <v>438</v>
      </c>
      <c r="D240" s="4">
        <v>256779415348</v>
      </c>
      <c r="E240" s="3">
        <v>45848</v>
      </c>
      <c r="F240" t="s">
        <v>11</v>
      </c>
      <c r="G240">
        <v>0.15</v>
      </c>
      <c r="H240" t="s">
        <v>911</v>
      </c>
      <c r="I240">
        <v>13.27</v>
      </c>
      <c r="J240" t="s">
        <v>300</v>
      </c>
      <c r="K240" s="3">
        <v>45878</v>
      </c>
      <c r="M240" t="s">
        <v>912</v>
      </c>
      <c r="N240" s="2">
        <v>45901</v>
      </c>
      <c r="O240">
        <v>59299256</v>
      </c>
      <c r="P240">
        <v>1</v>
      </c>
      <c r="Q240" s="3">
        <v>45930</v>
      </c>
      <c r="R240">
        <v>230</v>
      </c>
      <c r="T240" t="s">
        <v>913</v>
      </c>
      <c r="U240">
        <v>0</v>
      </c>
    </row>
    <row r="241" spans="1:21" x14ac:dyDescent="0.35">
      <c r="A241" t="s">
        <v>910</v>
      </c>
      <c r="B241" t="s">
        <v>910</v>
      </c>
      <c r="C241" t="s">
        <v>438</v>
      </c>
      <c r="D241" s="4">
        <v>256779415390</v>
      </c>
      <c r="E241" s="3">
        <v>45848</v>
      </c>
      <c r="F241" t="s">
        <v>11</v>
      </c>
      <c r="G241">
        <v>2.2200000000000002</v>
      </c>
      <c r="H241" t="s">
        <v>911</v>
      </c>
      <c r="I241">
        <v>196.4</v>
      </c>
      <c r="J241" t="s">
        <v>301</v>
      </c>
      <c r="K241" s="3">
        <v>45878</v>
      </c>
      <c r="M241" t="s">
        <v>912</v>
      </c>
      <c r="N241" s="2">
        <v>45901</v>
      </c>
      <c r="O241">
        <v>59299261</v>
      </c>
      <c r="P241">
        <v>1</v>
      </c>
      <c r="Q241" s="3">
        <v>45930</v>
      </c>
      <c r="R241">
        <v>230</v>
      </c>
      <c r="T241" t="s">
        <v>913</v>
      </c>
      <c r="U241">
        <v>0</v>
      </c>
    </row>
    <row r="242" spans="1:21" x14ac:dyDescent="0.35">
      <c r="A242" t="s">
        <v>910</v>
      </c>
      <c r="B242" t="s">
        <v>910</v>
      </c>
      <c r="C242" t="s">
        <v>438</v>
      </c>
      <c r="D242" s="4">
        <v>256779415395</v>
      </c>
      <c r="E242" s="3">
        <v>45848</v>
      </c>
      <c r="F242" t="s">
        <v>11</v>
      </c>
      <c r="G242">
        <v>4.1100000000000003</v>
      </c>
      <c r="H242" t="s">
        <v>911</v>
      </c>
      <c r="I242">
        <v>363.61</v>
      </c>
      <c r="J242" t="s">
        <v>302</v>
      </c>
      <c r="K242" s="3">
        <v>45878</v>
      </c>
      <c r="M242" t="s">
        <v>912</v>
      </c>
      <c r="N242" s="2">
        <v>45901</v>
      </c>
      <c r="O242">
        <v>59299262</v>
      </c>
      <c r="P242">
        <v>1</v>
      </c>
      <c r="Q242" s="3">
        <v>45930</v>
      </c>
      <c r="R242">
        <v>230</v>
      </c>
      <c r="T242" t="s">
        <v>913</v>
      </c>
      <c r="U242">
        <v>0</v>
      </c>
    </row>
    <row r="243" spans="1:21" x14ac:dyDescent="0.35">
      <c r="A243" t="s">
        <v>910</v>
      </c>
      <c r="B243" t="s">
        <v>910</v>
      </c>
      <c r="C243" t="s">
        <v>438</v>
      </c>
      <c r="D243" s="4">
        <v>256779415326</v>
      </c>
      <c r="E243" s="3">
        <v>45848</v>
      </c>
      <c r="F243" t="s">
        <v>11</v>
      </c>
      <c r="G243">
        <v>3.7</v>
      </c>
      <c r="H243" t="s">
        <v>911</v>
      </c>
      <c r="I243">
        <v>327.33999999999997</v>
      </c>
      <c r="J243" t="s">
        <v>303</v>
      </c>
      <c r="K243" s="3">
        <v>45878</v>
      </c>
      <c r="M243" t="s">
        <v>912</v>
      </c>
      <c r="N243" s="2">
        <v>45901</v>
      </c>
      <c r="O243">
        <v>59299263</v>
      </c>
      <c r="P243">
        <v>1</v>
      </c>
      <c r="Q243" s="3">
        <v>45930</v>
      </c>
      <c r="R243">
        <v>230</v>
      </c>
      <c r="T243" t="s">
        <v>913</v>
      </c>
      <c r="U243">
        <v>0</v>
      </c>
    </row>
    <row r="244" spans="1:21" x14ac:dyDescent="0.35">
      <c r="A244" t="s">
        <v>910</v>
      </c>
      <c r="B244" t="s">
        <v>910</v>
      </c>
      <c r="C244" t="s">
        <v>438</v>
      </c>
      <c r="D244" s="4">
        <v>256779415350</v>
      </c>
      <c r="E244" s="3">
        <v>45848</v>
      </c>
      <c r="F244" t="s">
        <v>11</v>
      </c>
      <c r="G244">
        <v>0.45</v>
      </c>
      <c r="H244" t="s">
        <v>911</v>
      </c>
      <c r="I244">
        <v>39.81</v>
      </c>
      <c r="J244" t="s">
        <v>304</v>
      </c>
      <c r="K244" s="3">
        <v>45878</v>
      </c>
      <c r="M244" t="s">
        <v>912</v>
      </c>
      <c r="N244" s="2">
        <v>45901</v>
      </c>
      <c r="O244">
        <v>59299265</v>
      </c>
      <c r="P244">
        <v>1</v>
      </c>
      <c r="Q244" s="3">
        <v>45930</v>
      </c>
      <c r="R244">
        <v>230</v>
      </c>
      <c r="T244" t="s">
        <v>913</v>
      </c>
      <c r="U244">
        <v>0</v>
      </c>
    </row>
    <row r="245" spans="1:21" x14ac:dyDescent="0.35">
      <c r="A245" t="s">
        <v>910</v>
      </c>
      <c r="B245" t="s">
        <v>910</v>
      </c>
      <c r="C245" t="s">
        <v>438</v>
      </c>
      <c r="D245" s="4">
        <v>256779415394</v>
      </c>
      <c r="E245" s="3">
        <v>45848</v>
      </c>
      <c r="F245" t="s">
        <v>11</v>
      </c>
      <c r="G245">
        <v>1.92</v>
      </c>
      <c r="H245" t="s">
        <v>911</v>
      </c>
      <c r="I245">
        <v>169.86</v>
      </c>
      <c r="J245" t="s">
        <v>305</v>
      </c>
      <c r="K245" s="3">
        <v>45878</v>
      </c>
      <c r="M245" t="s">
        <v>912</v>
      </c>
      <c r="N245" s="2">
        <v>45901</v>
      </c>
      <c r="O245">
        <v>59299270</v>
      </c>
      <c r="P245">
        <v>1</v>
      </c>
      <c r="Q245" s="3">
        <v>45930</v>
      </c>
      <c r="R245">
        <v>230</v>
      </c>
      <c r="T245" t="s">
        <v>913</v>
      </c>
      <c r="U245">
        <v>0</v>
      </c>
    </row>
    <row r="246" spans="1:21" x14ac:dyDescent="0.35">
      <c r="A246" t="s">
        <v>910</v>
      </c>
      <c r="B246" t="s">
        <v>910</v>
      </c>
      <c r="C246" t="s">
        <v>438</v>
      </c>
      <c r="D246" s="4">
        <v>256779415360</v>
      </c>
      <c r="E246" s="3">
        <v>45848</v>
      </c>
      <c r="F246" t="s">
        <v>11</v>
      </c>
      <c r="G246">
        <v>1.2</v>
      </c>
      <c r="H246" t="s">
        <v>911</v>
      </c>
      <c r="I246">
        <v>106.16</v>
      </c>
      <c r="J246" t="s">
        <v>306</v>
      </c>
      <c r="K246" s="3">
        <v>45878</v>
      </c>
      <c r="M246" t="s">
        <v>912</v>
      </c>
      <c r="N246" s="2">
        <v>45901</v>
      </c>
      <c r="O246">
        <v>59299272</v>
      </c>
      <c r="P246">
        <v>1</v>
      </c>
      <c r="Q246" s="3">
        <v>45930</v>
      </c>
      <c r="R246">
        <v>230</v>
      </c>
      <c r="T246" t="s">
        <v>913</v>
      </c>
      <c r="U246">
        <v>0</v>
      </c>
    </row>
    <row r="247" spans="1:21" x14ac:dyDescent="0.35">
      <c r="A247" t="s">
        <v>910</v>
      </c>
      <c r="B247" t="s">
        <v>910</v>
      </c>
      <c r="C247" t="s">
        <v>438</v>
      </c>
      <c r="D247" s="4">
        <v>256779415294</v>
      </c>
      <c r="E247" s="3">
        <v>45848</v>
      </c>
      <c r="F247" t="s">
        <v>11</v>
      </c>
      <c r="G247">
        <v>0.48</v>
      </c>
      <c r="H247" t="s">
        <v>911</v>
      </c>
      <c r="I247">
        <v>42.47</v>
      </c>
      <c r="J247" t="s">
        <v>307</v>
      </c>
      <c r="K247" s="3">
        <v>45878</v>
      </c>
      <c r="M247" t="s">
        <v>912</v>
      </c>
      <c r="N247" s="2">
        <v>45901</v>
      </c>
      <c r="O247">
        <v>59299351</v>
      </c>
      <c r="P247">
        <v>1</v>
      </c>
      <c r="Q247" s="3">
        <v>45930</v>
      </c>
      <c r="R247">
        <v>230</v>
      </c>
      <c r="T247" t="s">
        <v>913</v>
      </c>
      <c r="U247">
        <v>0</v>
      </c>
    </row>
    <row r="248" spans="1:21" x14ac:dyDescent="0.35">
      <c r="A248" t="s">
        <v>910</v>
      </c>
      <c r="B248" t="s">
        <v>910</v>
      </c>
      <c r="C248" t="s">
        <v>438</v>
      </c>
      <c r="D248" s="4">
        <v>256779415370</v>
      </c>
      <c r="E248" s="3">
        <v>45848</v>
      </c>
      <c r="F248" t="s">
        <v>11</v>
      </c>
      <c r="G248">
        <v>1.44</v>
      </c>
      <c r="H248" t="s">
        <v>911</v>
      </c>
      <c r="I248">
        <v>127.4</v>
      </c>
      <c r="J248" t="s">
        <v>308</v>
      </c>
      <c r="K248" s="3">
        <v>45878</v>
      </c>
      <c r="M248" t="s">
        <v>912</v>
      </c>
      <c r="N248" s="2">
        <v>45901</v>
      </c>
      <c r="O248">
        <v>59299357</v>
      </c>
      <c r="P248">
        <v>1</v>
      </c>
      <c r="Q248" s="3">
        <v>45930</v>
      </c>
      <c r="R248">
        <v>230</v>
      </c>
      <c r="T248" t="s">
        <v>913</v>
      </c>
      <c r="U248">
        <v>0</v>
      </c>
    </row>
    <row r="249" spans="1:21" x14ac:dyDescent="0.35">
      <c r="A249" t="s">
        <v>910</v>
      </c>
      <c r="B249" t="s">
        <v>910</v>
      </c>
      <c r="C249" t="s">
        <v>438</v>
      </c>
      <c r="D249" s="4">
        <v>256779415335</v>
      </c>
      <c r="E249" s="3">
        <v>45848</v>
      </c>
      <c r="F249" t="s">
        <v>11</v>
      </c>
      <c r="G249">
        <v>0.5</v>
      </c>
      <c r="H249" t="s">
        <v>911</v>
      </c>
      <c r="I249">
        <v>44.24</v>
      </c>
      <c r="J249" t="s">
        <v>309</v>
      </c>
      <c r="K249" s="3">
        <v>45878</v>
      </c>
      <c r="M249" t="s">
        <v>912</v>
      </c>
      <c r="N249" s="2">
        <v>45901</v>
      </c>
      <c r="O249">
        <v>59299358</v>
      </c>
      <c r="P249">
        <v>1</v>
      </c>
      <c r="Q249" s="3">
        <v>45930</v>
      </c>
      <c r="R249">
        <v>230</v>
      </c>
      <c r="T249" t="s">
        <v>913</v>
      </c>
      <c r="U249">
        <v>0</v>
      </c>
    </row>
    <row r="250" spans="1:21" x14ac:dyDescent="0.35">
      <c r="A250" t="s">
        <v>910</v>
      </c>
      <c r="B250" t="s">
        <v>910</v>
      </c>
      <c r="C250" t="s">
        <v>438</v>
      </c>
      <c r="D250" s="4">
        <v>256779415364</v>
      </c>
      <c r="E250" s="3">
        <v>45848</v>
      </c>
      <c r="F250" t="s">
        <v>11</v>
      </c>
      <c r="G250">
        <v>4</v>
      </c>
      <c r="H250" t="s">
        <v>911</v>
      </c>
      <c r="I250">
        <v>353.88</v>
      </c>
      <c r="J250" t="s">
        <v>310</v>
      </c>
      <c r="K250" s="3">
        <v>45878</v>
      </c>
      <c r="M250" t="s">
        <v>912</v>
      </c>
      <c r="N250" s="2">
        <v>45901</v>
      </c>
      <c r="O250">
        <v>59299359</v>
      </c>
      <c r="P250">
        <v>1</v>
      </c>
      <c r="Q250" s="3">
        <v>45930</v>
      </c>
      <c r="R250">
        <v>230</v>
      </c>
      <c r="T250" t="s">
        <v>913</v>
      </c>
      <c r="U250">
        <v>0</v>
      </c>
    </row>
    <row r="251" spans="1:21" x14ac:dyDescent="0.35">
      <c r="A251" t="s">
        <v>910</v>
      </c>
      <c r="B251" t="s">
        <v>910</v>
      </c>
      <c r="C251" t="s">
        <v>438</v>
      </c>
      <c r="D251" s="4">
        <v>256779415299</v>
      </c>
      <c r="E251" s="3">
        <v>45848</v>
      </c>
      <c r="F251" t="s">
        <v>11</v>
      </c>
      <c r="G251">
        <v>0.48</v>
      </c>
      <c r="H251" t="s">
        <v>911</v>
      </c>
      <c r="I251">
        <v>42.47</v>
      </c>
      <c r="J251" t="s">
        <v>311</v>
      </c>
      <c r="K251" s="3">
        <v>45878</v>
      </c>
      <c r="M251" t="s">
        <v>912</v>
      </c>
      <c r="N251" s="2">
        <v>45901</v>
      </c>
      <c r="O251">
        <v>59299361</v>
      </c>
      <c r="P251">
        <v>1</v>
      </c>
      <c r="Q251" s="3">
        <v>45930</v>
      </c>
      <c r="R251">
        <v>230</v>
      </c>
      <c r="T251" t="s">
        <v>913</v>
      </c>
      <c r="U251">
        <v>0</v>
      </c>
    </row>
    <row r="252" spans="1:21" x14ac:dyDescent="0.35">
      <c r="A252" t="s">
        <v>910</v>
      </c>
      <c r="B252" t="s">
        <v>910</v>
      </c>
      <c r="C252" t="s">
        <v>438</v>
      </c>
      <c r="D252" s="4">
        <v>256779415307</v>
      </c>
      <c r="E252" s="3">
        <v>45848</v>
      </c>
      <c r="F252" t="s">
        <v>11</v>
      </c>
      <c r="G252">
        <v>0.6</v>
      </c>
      <c r="H252" t="s">
        <v>911</v>
      </c>
      <c r="I252">
        <v>53.08</v>
      </c>
      <c r="J252" t="s">
        <v>312</v>
      </c>
      <c r="K252" s="3">
        <v>45878</v>
      </c>
      <c r="M252" t="s">
        <v>912</v>
      </c>
      <c r="N252" s="2">
        <v>45901</v>
      </c>
      <c r="O252">
        <v>59299616</v>
      </c>
      <c r="P252">
        <v>1</v>
      </c>
      <c r="Q252" s="3">
        <v>45930</v>
      </c>
      <c r="R252">
        <v>230</v>
      </c>
      <c r="T252" t="s">
        <v>913</v>
      </c>
      <c r="U252">
        <v>0</v>
      </c>
    </row>
    <row r="253" spans="1:21" x14ac:dyDescent="0.35">
      <c r="A253" t="s">
        <v>910</v>
      </c>
      <c r="B253" t="s">
        <v>910</v>
      </c>
      <c r="C253" t="s">
        <v>438</v>
      </c>
      <c r="D253" s="4">
        <v>256779415347</v>
      </c>
      <c r="E253" s="3">
        <v>45848</v>
      </c>
      <c r="F253" t="s">
        <v>11</v>
      </c>
      <c r="G253">
        <v>0.4</v>
      </c>
      <c r="H253" t="s">
        <v>911</v>
      </c>
      <c r="I253">
        <v>35.39</v>
      </c>
      <c r="J253" t="s">
        <v>313</v>
      </c>
      <c r="K253" s="3">
        <v>45878</v>
      </c>
      <c r="M253" t="s">
        <v>912</v>
      </c>
      <c r="N253" s="2">
        <v>45901</v>
      </c>
      <c r="O253">
        <v>59299617</v>
      </c>
      <c r="P253">
        <v>1</v>
      </c>
      <c r="Q253" s="3">
        <v>45930</v>
      </c>
      <c r="R253">
        <v>230</v>
      </c>
      <c r="T253" t="s">
        <v>913</v>
      </c>
      <c r="U253">
        <v>0</v>
      </c>
    </row>
    <row r="254" spans="1:21" x14ac:dyDescent="0.35">
      <c r="A254" t="s">
        <v>910</v>
      </c>
      <c r="B254" t="s">
        <v>910</v>
      </c>
      <c r="C254" t="s">
        <v>438</v>
      </c>
      <c r="D254" s="4">
        <v>256779415316</v>
      </c>
      <c r="E254" s="3">
        <v>45848</v>
      </c>
      <c r="F254" t="s">
        <v>11</v>
      </c>
      <c r="G254">
        <v>1.2</v>
      </c>
      <c r="H254" t="s">
        <v>911</v>
      </c>
      <c r="I254">
        <v>106.16</v>
      </c>
      <c r="J254" t="s">
        <v>314</v>
      </c>
      <c r="K254" s="3">
        <v>45878</v>
      </c>
      <c r="M254" t="s">
        <v>912</v>
      </c>
      <c r="N254" s="2">
        <v>45901</v>
      </c>
      <c r="O254">
        <v>59300614</v>
      </c>
      <c r="P254">
        <v>1</v>
      </c>
      <c r="Q254" s="3">
        <v>45930</v>
      </c>
      <c r="R254">
        <v>230</v>
      </c>
      <c r="T254" t="s">
        <v>913</v>
      </c>
      <c r="U254">
        <v>0</v>
      </c>
    </row>
    <row r="255" spans="1:21" x14ac:dyDescent="0.35">
      <c r="A255" t="s">
        <v>910</v>
      </c>
      <c r="B255" t="s">
        <v>910</v>
      </c>
      <c r="C255" t="s">
        <v>438</v>
      </c>
      <c r="D255" s="4">
        <v>256779415297</v>
      </c>
      <c r="E255" s="3">
        <v>45848</v>
      </c>
      <c r="F255" t="s">
        <v>11</v>
      </c>
      <c r="G255">
        <v>0.48</v>
      </c>
      <c r="H255" t="s">
        <v>911</v>
      </c>
      <c r="I255">
        <v>42.47</v>
      </c>
      <c r="J255" t="s">
        <v>315</v>
      </c>
      <c r="K255" s="3">
        <v>45878</v>
      </c>
      <c r="M255" t="s">
        <v>912</v>
      </c>
      <c r="N255" s="2">
        <v>45901</v>
      </c>
      <c r="O255">
        <v>59300675</v>
      </c>
      <c r="P255">
        <v>1</v>
      </c>
      <c r="Q255" s="3">
        <v>45930</v>
      </c>
      <c r="R255">
        <v>230</v>
      </c>
      <c r="T255" t="s">
        <v>913</v>
      </c>
      <c r="U255">
        <v>0</v>
      </c>
    </row>
    <row r="256" spans="1:21" x14ac:dyDescent="0.35">
      <c r="A256" t="s">
        <v>910</v>
      </c>
      <c r="B256" t="s">
        <v>910</v>
      </c>
      <c r="C256" t="s">
        <v>438</v>
      </c>
      <c r="D256" s="4">
        <v>256779415292</v>
      </c>
      <c r="E256" s="3">
        <v>45848</v>
      </c>
      <c r="F256" t="s">
        <v>11</v>
      </c>
      <c r="G256">
        <v>0.48</v>
      </c>
      <c r="H256" t="s">
        <v>911</v>
      </c>
      <c r="I256">
        <v>42.47</v>
      </c>
      <c r="J256" t="s">
        <v>316</v>
      </c>
      <c r="K256" s="3">
        <v>45878</v>
      </c>
      <c r="M256" t="s">
        <v>912</v>
      </c>
      <c r="N256" s="2">
        <v>45901</v>
      </c>
      <c r="O256">
        <v>59300722</v>
      </c>
      <c r="P256">
        <v>1</v>
      </c>
      <c r="Q256" s="3">
        <v>45930</v>
      </c>
      <c r="R256">
        <v>230</v>
      </c>
      <c r="T256" t="s">
        <v>913</v>
      </c>
      <c r="U256">
        <v>0</v>
      </c>
    </row>
    <row r="257" spans="1:21" x14ac:dyDescent="0.35">
      <c r="A257" t="s">
        <v>910</v>
      </c>
      <c r="B257" t="s">
        <v>910</v>
      </c>
      <c r="C257" t="s">
        <v>438</v>
      </c>
      <c r="D257" s="4">
        <v>256779415353</v>
      </c>
      <c r="E257" s="3">
        <v>45848</v>
      </c>
      <c r="F257" t="s">
        <v>11</v>
      </c>
      <c r="G257">
        <v>4</v>
      </c>
      <c r="H257" t="s">
        <v>911</v>
      </c>
      <c r="I257">
        <v>353.88</v>
      </c>
      <c r="J257" t="s">
        <v>317</v>
      </c>
      <c r="K257" s="3">
        <v>45878</v>
      </c>
      <c r="M257" t="s">
        <v>912</v>
      </c>
      <c r="N257" s="2">
        <v>45931</v>
      </c>
      <c r="O257">
        <v>61264365</v>
      </c>
      <c r="P257">
        <v>1</v>
      </c>
      <c r="Q257" s="3">
        <v>45959</v>
      </c>
      <c r="R257">
        <v>230</v>
      </c>
      <c r="T257" t="s">
        <v>913</v>
      </c>
      <c r="U257">
        <v>0</v>
      </c>
    </row>
    <row r="258" spans="1:21" x14ac:dyDescent="0.35">
      <c r="A258" t="s">
        <v>910</v>
      </c>
      <c r="B258" t="s">
        <v>910</v>
      </c>
      <c r="C258" t="s">
        <v>438</v>
      </c>
      <c r="D258" s="4">
        <v>256779415330</v>
      </c>
      <c r="E258" s="3">
        <v>45848</v>
      </c>
      <c r="F258" t="s">
        <v>11</v>
      </c>
      <c r="G258">
        <v>0.45</v>
      </c>
      <c r="H258" t="s">
        <v>911</v>
      </c>
      <c r="I258">
        <v>39.81</v>
      </c>
      <c r="J258" t="s">
        <v>318</v>
      </c>
      <c r="K258" s="3">
        <v>45878</v>
      </c>
      <c r="M258" t="s">
        <v>912</v>
      </c>
      <c r="N258" s="2">
        <v>45931</v>
      </c>
      <c r="O258">
        <v>61264366</v>
      </c>
      <c r="P258">
        <v>1</v>
      </c>
      <c r="Q258" s="3">
        <v>45959</v>
      </c>
      <c r="R258">
        <v>230</v>
      </c>
      <c r="T258" t="s">
        <v>913</v>
      </c>
      <c r="U258">
        <v>0</v>
      </c>
    </row>
    <row r="259" spans="1:21" x14ac:dyDescent="0.35">
      <c r="A259" t="s">
        <v>910</v>
      </c>
      <c r="B259" t="s">
        <v>910</v>
      </c>
      <c r="C259" t="s">
        <v>438</v>
      </c>
      <c r="D259" s="4">
        <v>256779415366</v>
      </c>
      <c r="E259" s="3">
        <v>45848</v>
      </c>
      <c r="F259" t="s">
        <v>11</v>
      </c>
      <c r="G259">
        <v>3.84</v>
      </c>
      <c r="H259" t="s">
        <v>911</v>
      </c>
      <c r="I259">
        <v>339.72</v>
      </c>
      <c r="J259" t="s">
        <v>319</v>
      </c>
      <c r="K259" s="3">
        <v>45878</v>
      </c>
      <c r="M259" t="s">
        <v>912</v>
      </c>
      <c r="N259" s="2">
        <v>45931</v>
      </c>
      <c r="O259">
        <v>61264367</v>
      </c>
      <c r="P259">
        <v>1</v>
      </c>
      <c r="Q259" s="3">
        <v>45959</v>
      </c>
      <c r="R259">
        <v>230</v>
      </c>
      <c r="T259" t="s">
        <v>913</v>
      </c>
      <c r="U259">
        <v>0</v>
      </c>
    </row>
    <row r="260" spans="1:21" x14ac:dyDescent="0.35">
      <c r="A260" t="s">
        <v>910</v>
      </c>
      <c r="B260" t="s">
        <v>910</v>
      </c>
      <c r="C260" t="s">
        <v>438</v>
      </c>
      <c r="D260" s="4">
        <v>256779415311</v>
      </c>
      <c r="E260" s="3">
        <v>45848</v>
      </c>
      <c r="F260" t="s">
        <v>11</v>
      </c>
      <c r="G260">
        <v>1.55</v>
      </c>
      <c r="H260" t="s">
        <v>911</v>
      </c>
      <c r="I260">
        <v>137.13</v>
      </c>
      <c r="J260" t="s">
        <v>320</v>
      </c>
      <c r="K260" s="3">
        <v>45878</v>
      </c>
      <c r="M260" t="s">
        <v>912</v>
      </c>
      <c r="N260" s="2">
        <v>45931</v>
      </c>
      <c r="O260">
        <v>61264369</v>
      </c>
      <c r="P260">
        <v>1</v>
      </c>
      <c r="Q260" s="3">
        <v>45959</v>
      </c>
      <c r="R260">
        <v>230</v>
      </c>
      <c r="T260" t="s">
        <v>913</v>
      </c>
      <c r="U260">
        <v>0</v>
      </c>
    </row>
    <row r="261" spans="1:21" x14ac:dyDescent="0.35">
      <c r="A261" t="s">
        <v>910</v>
      </c>
      <c r="B261" t="s">
        <v>910</v>
      </c>
      <c r="C261" t="s">
        <v>438</v>
      </c>
      <c r="D261" s="4">
        <v>256779415320</v>
      </c>
      <c r="E261" s="3">
        <v>45848</v>
      </c>
      <c r="F261" t="s">
        <v>11</v>
      </c>
      <c r="G261">
        <v>0.25</v>
      </c>
      <c r="H261" t="s">
        <v>911</v>
      </c>
      <c r="I261">
        <v>22.12</v>
      </c>
      <c r="J261" t="s">
        <v>321</v>
      </c>
      <c r="K261" s="3">
        <v>45878</v>
      </c>
      <c r="M261" t="s">
        <v>912</v>
      </c>
      <c r="N261" s="2">
        <v>45931</v>
      </c>
      <c r="O261">
        <v>61264370</v>
      </c>
      <c r="P261">
        <v>1</v>
      </c>
      <c r="Q261" s="3">
        <v>45959</v>
      </c>
      <c r="R261">
        <v>230</v>
      </c>
      <c r="T261" t="s">
        <v>913</v>
      </c>
      <c r="U261">
        <v>0</v>
      </c>
    </row>
    <row r="262" spans="1:21" x14ac:dyDescent="0.35">
      <c r="A262" t="s">
        <v>910</v>
      </c>
      <c r="B262" t="s">
        <v>910</v>
      </c>
      <c r="C262" t="s">
        <v>438</v>
      </c>
      <c r="D262" s="4">
        <v>256779415329</v>
      </c>
      <c r="E262" s="3">
        <v>45848</v>
      </c>
      <c r="F262" t="s">
        <v>11</v>
      </c>
      <c r="G262">
        <v>0.55000000000000004</v>
      </c>
      <c r="H262" t="s">
        <v>911</v>
      </c>
      <c r="I262">
        <v>48.66</v>
      </c>
      <c r="J262" t="s">
        <v>322</v>
      </c>
      <c r="K262" s="3">
        <v>45878</v>
      </c>
      <c r="M262" t="s">
        <v>912</v>
      </c>
      <c r="N262" s="2">
        <v>45931</v>
      </c>
      <c r="O262">
        <v>61264375</v>
      </c>
      <c r="P262">
        <v>1</v>
      </c>
      <c r="Q262" s="3">
        <v>45959</v>
      </c>
      <c r="R262">
        <v>230</v>
      </c>
      <c r="T262" t="s">
        <v>913</v>
      </c>
      <c r="U262">
        <v>0</v>
      </c>
    </row>
    <row r="263" spans="1:21" x14ac:dyDescent="0.35">
      <c r="A263" t="s">
        <v>910</v>
      </c>
      <c r="B263" t="s">
        <v>910</v>
      </c>
      <c r="C263" t="s">
        <v>438</v>
      </c>
      <c r="D263" s="4">
        <v>256779415327</v>
      </c>
      <c r="E263" s="3">
        <v>45848</v>
      </c>
      <c r="F263" t="s">
        <v>11</v>
      </c>
      <c r="G263">
        <v>0.4</v>
      </c>
      <c r="H263" t="s">
        <v>911</v>
      </c>
      <c r="I263">
        <v>35.39</v>
      </c>
      <c r="J263" t="s">
        <v>323</v>
      </c>
      <c r="K263" s="3">
        <v>45878</v>
      </c>
      <c r="M263" t="s">
        <v>912</v>
      </c>
      <c r="N263" s="2">
        <v>45931</v>
      </c>
      <c r="O263">
        <v>61264377</v>
      </c>
      <c r="P263">
        <v>1</v>
      </c>
      <c r="Q263" s="3">
        <v>45959</v>
      </c>
      <c r="R263">
        <v>230</v>
      </c>
      <c r="T263" t="s">
        <v>913</v>
      </c>
      <c r="U263">
        <v>0</v>
      </c>
    </row>
    <row r="264" spans="1:21" x14ac:dyDescent="0.35">
      <c r="A264" t="s">
        <v>910</v>
      </c>
      <c r="B264" t="s">
        <v>910</v>
      </c>
      <c r="C264" t="s">
        <v>438</v>
      </c>
      <c r="D264" s="4">
        <v>256779411970</v>
      </c>
      <c r="E264" s="3">
        <v>45763</v>
      </c>
      <c r="F264" t="s">
        <v>11</v>
      </c>
      <c r="G264">
        <v>0.17</v>
      </c>
      <c r="H264" t="s">
        <v>911</v>
      </c>
      <c r="I264">
        <v>14.57</v>
      </c>
      <c r="J264" t="s">
        <v>223</v>
      </c>
      <c r="K264" s="3">
        <v>45793</v>
      </c>
      <c r="M264" t="s">
        <v>912</v>
      </c>
      <c r="N264" s="2">
        <v>45931</v>
      </c>
      <c r="O264">
        <v>61264378</v>
      </c>
      <c r="P264">
        <v>1</v>
      </c>
      <c r="Q264" s="3">
        <v>45959</v>
      </c>
      <c r="R264">
        <v>230</v>
      </c>
      <c r="T264" t="s">
        <v>913</v>
      </c>
      <c r="U264">
        <v>0</v>
      </c>
    </row>
    <row r="265" spans="1:21" x14ac:dyDescent="0.35">
      <c r="A265" t="s">
        <v>910</v>
      </c>
      <c r="B265" t="s">
        <v>910</v>
      </c>
      <c r="C265" t="s">
        <v>438</v>
      </c>
      <c r="D265" s="4">
        <v>256779415367</v>
      </c>
      <c r="E265" s="3">
        <v>45848</v>
      </c>
      <c r="F265" t="s">
        <v>11</v>
      </c>
      <c r="G265">
        <v>4</v>
      </c>
      <c r="H265" t="s">
        <v>911</v>
      </c>
      <c r="I265">
        <v>353.88</v>
      </c>
      <c r="J265" t="s">
        <v>324</v>
      </c>
      <c r="K265" s="3">
        <v>45878</v>
      </c>
      <c r="M265" t="s">
        <v>912</v>
      </c>
      <c r="N265" s="2">
        <v>45931</v>
      </c>
      <c r="O265">
        <v>61264380</v>
      </c>
      <c r="P265">
        <v>1</v>
      </c>
      <c r="Q265" s="3">
        <v>45959</v>
      </c>
      <c r="R265">
        <v>230</v>
      </c>
      <c r="T265" t="s">
        <v>913</v>
      </c>
      <c r="U265">
        <v>0</v>
      </c>
    </row>
    <row r="266" spans="1:21" x14ac:dyDescent="0.35">
      <c r="A266" t="s">
        <v>910</v>
      </c>
      <c r="B266" t="s">
        <v>910</v>
      </c>
      <c r="C266" t="s">
        <v>438</v>
      </c>
      <c r="D266" s="4">
        <v>256779415368</v>
      </c>
      <c r="E266" s="3">
        <v>45848</v>
      </c>
      <c r="F266" t="s">
        <v>11</v>
      </c>
      <c r="G266">
        <v>1.2</v>
      </c>
      <c r="H266" t="s">
        <v>911</v>
      </c>
      <c r="I266">
        <v>106.16</v>
      </c>
      <c r="J266" t="s">
        <v>325</v>
      </c>
      <c r="K266" s="3">
        <v>45878</v>
      </c>
      <c r="M266" t="s">
        <v>912</v>
      </c>
      <c r="N266" s="2">
        <v>45931</v>
      </c>
      <c r="O266">
        <v>61264384</v>
      </c>
      <c r="P266">
        <v>1</v>
      </c>
      <c r="Q266" s="3">
        <v>45959</v>
      </c>
      <c r="R266">
        <v>230</v>
      </c>
      <c r="T266" t="s">
        <v>913</v>
      </c>
      <c r="U266">
        <v>0</v>
      </c>
    </row>
    <row r="267" spans="1:21" x14ac:dyDescent="0.35">
      <c r="A267" t="s">
        <v>910</v>
      </c>
      <c r="B267" t="s">
        <v>910</v>
      </c>
      <c r="C267" t="s">
        <v>438</v>
      </c>
      <c r="D267" s="4">
        <v>256779415312</v>
      </c>
      <c r="E267" s="3">
        <v>45848</v>
      </c>
      <c r="F267" t="s">
        <v>11</v>
      </c>
      <c r="G267">
        <v>4</v>
      </c>
      <c r="H267" t="s">
        <v>911</v>
      </c>
      <c r="I267">
        <v>353.88</v>
      </c>
      <c r="J267" t="s">
        <v>326</v>
      </c>
      <c r="K267" s="3">
        <v>45878</v>
      </c>
      <c r="M267" t="s">
        <v>912</v>
      </c>
      <c r="N267" s="2">
        <v>45931</v>
      </c>
      <c r="O267">
        <v>61264388</v>
      </c>
      <c r="P267">
        <v>1</v>
      </c>
      <c r="Q267" s="3">
        <v>45959</v>
      </c>
      <c r="R267">
        <v>230</v>
      </c>
      <c r="T267" t="s">
        <v>913</v>
      </c>
      <c r="U267">
        <v>0</v>
      </c>
    </row>
    <row r="268" spans="1:21" x14ac:dyDescent="0.35">
      <c r="A268" t="s">
        <v>910</v>
      </c>
      <c r="B268" t="s">
        <v>910</v>
      </c>
      <c r="C268" t="s">
        <v>438</v>
      </c>
      <c r="D268" s="4">
        <v>256779415301</v>
      </c>
      <c r="E268" s="3">
        <v>45848</v>
      </c>
      <c r="F268" t="s">
        <v>11</v>
      </c>
      <c r="G268">
        <v>0.6</v>
      </c>
      <c r="H268" t="s">
        <v>911</v>
      </c>
      <c r="I268">
        <v>53.08</v>
      </c>
      <c r="J268" t="s">
        <v>327</v>
      </c>
      <c r="K268" s="3">
        <v>45878</v>
      </c>
      <c r="M268" t="s">
        <v>912</v>
      </c>
      <c r="N268" s="2">
        <v>45931</v>
      </c>
      <c r="O268">
        <v>61264389</v>
      </c>
      <c r="P268">
        <v>1</v>
      </c>
      <c r="Q268" s="3">
        <v>45959</v>
      </c>
      <c r="R268">
        <v>230</v>
      </c>
      <c r="T268" t="s">
        <v>913</v>
      </c>
      <c r="U268">
        <v>0</v>
      </c>
    </row>
    <row r="269" spans="1:21" x14ac:dyDescent="0.35">
      <c r="A269" t="s">
        <v>910</v>
      </c>
      <c r="B269" t="s">
        <v>910</v>
      </c>
      <c r="C269" t="s">
        <v>438</v>
      </c>
      <c r="D269" s="4">
        <v>256779415324</v>
      </c>
      <c r="E269" s="3">
        <v>45848</v>
      </c>
      <c r="F269" t="s">
        <v>11</v>
      </c>
      <c r="G269">
        <v>2.93</v>
      </c>
      <c r="H269" t="s">
        <v>911</v>
      </c>
      <c r="I269">
        <v>259.22000000000003</v>
      </c>
      <c r="J269" t="s">
        <v>328</v>
      </c>
      <c r="K269" s="3">
        <v>45878</v>
      </c>
      <c r="M269" t="s">
        <v>912</v>
      </c>
      <c r="N269" s="2">
        <v>45931</v>
      </c>
      <c r="O269">
        <v>61264394</v>
      </c>
      <c r="P269">
        <v>1</v>
      </c>
      <c r="Q269" s="3">
        <v>45959</v>
      </c>
      <c r="R269">
        <v>230</v>
      </c>
      <c r="T269" t="s">
        <v>913</v>
      </c>
      <c r="U269">
        <v>0</v>
      </c>
    </row>
    <row r="270" spans="1:21" x14ac:dyDescent="0.35">
      <c r="A270" t="s">
        <v>910</v>
      </c>
      <c r="B270" t="s">
        <v>910</v>
      </c>
      <c r="C270" t="s">
        <v>438</v>
      </c>
      <c r="D270" s="4">
        <v>256779415322</v>
      </c>
      <c r="E270" s="3">
        <v>45848</v>
      </c>
      <c r="F270" t="s">
        <v>11</v>
      </c>
      <c r="G270">
        <v>3.84</v>
      </c>
      <c r="H270" t="s">
        <v>911</v>
      </c>
      <c r="I270">
        <v>339.72</v>
      </c>
      <c r="J270" t="s">
        <v>329</v>
      </c>
      <c r="K270" s="3">
        <v>45878</v>
      </c>
      <c r="M270" t="s">
        <v>912</v>
      </c>
      <c r="N270" s="2">
        <v>45931</v>
      </c>
      <c r="O270">
        <v>61264395</v>
      </c>
      <c r="P270">
        <v>1</v>
      </c>
      <c r="Q270" s="3">
        <v>45959</v>
      </c>
      <c r="R270">
        <v>230</v>
      </c>
      <c r="T270" t="s">
        <v>913</v>
      </c>
      <c r="U270">
        <v>0</v>
      </c>
    </row>
    <row r="271" spans="1:21" x14ac:dyDescent="0.35">
      <c r="A271" t="s">
        <v>910</v>
      </c>
      <c r="B271" t="s">
        <v>910</v>
      </c>
      <c r="C271" t="s">
        <v>438</v>
      </c>
      <c r="D271" s="4">
        <v>256779415354</v>
      </c>
      <c r="E271" s="3">
        <v>45848</v>
      </c>
      <c r="F271" t="s">
        <v>11</v>
      </c>
      <c r="G271">
        <v>1.2</v>
      </c>
      <c r="H271" t="s">
        <v>911</v>
      </c>
      <c r="I271">
        <v>106.16</v>
      </c>
      <c r="J271" t="s">
        <v>330</v>
      </c>
      <c r="K271" s="3">
        <v>45878</v>
      </c>
      <c r="M271" t="s">
        <v>912</v>
      </c>
      <c r="N271" s="2">
        <v>45931</v>
      </c>
      <c r="O271">
        <v>61264403</v>
      </c>
      <c r="P271">
        <v>1</v>
      </c>
      <c r="Q271" s="3">
        <v>45959</v>
      </c>
      <c r="R271">
        <v>230</v>
      </c>
      <c r="T271" t="s">
        <v>913</v>
      </c>
      <c r="U271">
        <v>0</v>
      </c>
    </row>
    <row r="272" spans="1:21" x14ac:dyDescent="0.35">
      <c r="A272" t="s">
        <v>910</v>
      </c>
      <c r="B272" t="s">
        <v>910</v>
      </c>
      <c r="C272" t="s">
        <v>438</v>
      </c>
      <c r="D272" s="4">
        <v>256779415351</v>
      </c>
      <c r="E272" s="3">
        <v>45848</v>
      </c>
      <c r="F272" t="s">
        <v>11</v>
      </c>
      <c r="G272">
        <v>0.34</v>
      </c>
      <c r="H272" t="s">
        <v>911</v>
      </c>
      <c r="I272">
        <v>29.24</v>
      </c>
      <c r="J272" t="s">
        <v>331</v>
      </c>
      <c r="K272" s="3">
        <v>45878</v>
      </c>
      <c r="M272" t="s">
        <v>912</v>
      </c>
      <c r="N272" s="2">
        <v>45931</v>
      </c>
      <c r="O272">
        <v>61264406</v>
      </c>
      <c r="P272">
        <v>1</v>
      </c>
      <c r="Q272" s="3">
        <v>45959</v>
      </c>
      <c r="R272">
        <v>230</v>
      </c>
      <c r="T272" t="s">
        <v>913</v>
      </c>
      <c r="U272">
        <v>0</v>
      </c>
    </row>
    <row r="273" spans="1:21" x14ac:dyDescent="0.35">
      <c r="A273" t="s">
        <v>910</v>
      </c>
      <c r="B273" t="s">
        <v>910</v>
      </c>
      <c r="C273" t="s">
        <v>438</v>
      </c>
      <c r="D273" s="4">
        <v>256779415365</v>
      </c>
      <c r="E273" s="3">
        <v>45848</v>
      </c>
      <c r="F273" t="s">
        <v>11</v>
      </c>
      <c r="G273">
        <v>6.26</v>
      </c>
      <c r="H273" t="s">
        <v>911</v>
      </c>
      <c r="I273">
        <v>553.82000000000005</v>
      </c>
      <c r="J273" t="s">
        <v>332</v>
      </c>
      <c r="K273" s="3">
        <v>45878</v>
      </c>
      <c r="M273" t="s">
        <v>912</v>
      </c>
      <c r="N273" s="2">
        <v>45931</v>
      </c>
      <c r="O273">
        <v>61264407</v>
      </c>
      <c r="P273">
        <v>1</v>
      </c>
      <c r="Q273" s="3">
        <v>45959</v>
      </c>
      <c r="R273">
        <v>230</v>
      </c>
      <c r="T273" t="s">
        <v>913</v>
      </c>
      <c r="U273">
        <v>0</v>
      </c>
    </row>
    <row r="274" spans="1:21" x14ac:dyDescent="0.35">
      <c r="A274" t="s">
        <v>910</v>
      </c>
      <c r="B274" t="s">
        <v>910</v>
      </c>
      <c r="C274" t="s">
        <v>438</v>
      </c>
      <c r="D274" s="4">
        <v>256779415474</v>
      </c>
      <c r="E274" s="3">
        <v>45856</v>
      </c>
      <c r="F274" t="s">
        <v>11</v>
      </c>
      <c r="G274">
        <v>12.17</v>
      </c>
      <c r="H274" t="s">
        <v>911</v>
      </c>
      <c r="I274" s="27">
        <v>1046.49</v>
      </c>
      <c r="J274" t="s">
        <v>125</v>
      </c>
      <c r="K274" s="3">
        <v>45886</v>
      </c>
      <c r="M274" t="s">
        <v>912</v>
      </c>
      <c r="N274" s="2">
        <v>45931</v>
      </c>
      <c r="O274">
        <v>61264456</v>
      </c>
      <c r="P274">
        <v>1</v>
      </c>
      <c r="Q274" s="3">
        <v>45959</v>
      </c>
      <c r="R274">
        <v>230</v>
      </c>
      <c r="T274" t="s">
        <v>913</v>
      </c>
      <c r="U274">
        <v>0</v>
      </c>
    </row>
    <row r="275" spans="1:21" x14ac:dyDescent="0.35">
      <c r="A275" t="s">
        <v>910</v>
      </c>
      <c r="B275" t="s">
        <v>910</v>
      </c>
      <c r="C275" t="s">
        <v>438</v>
      </c>
      <c r="D275" s="4">
        <v>256779415442</v>
      </c>
      <c r="E275" s="3">
        <v>45856</v>
      </c>
      <c r="F275" t="s">
        <v>11</v>
      </c>
      <c r="G275">
        <v>0.03</v>
      </c>
      <c r="H275" t="s">
        <v>911</v>
      </c>
      <c r="I275">
        <v>2.58</v>
      </c>
      <c r="J275" t="s">
        <v>126</v>
      </c>
      <c r="K275" s="3">
        <v>45886</v>
      </c>
      <c r="M275" t="s">
        <v>912</v>
      </c>
      <c r="N275" s="2">
        <v>45931</v>
      </c>
      <c r="O275">
        <v>61264458</v>
      </c>
      <c r="P275">
        <v>1</v>
      </c>
      <c r="Q275" s="3">
        <v>45959</v>
      </c>
      <c r="R275">
        <v>230</v>
      </c>
      <c r="T275" t="s">
        <v>913</v>
      </c>
      <c r="U275">
        <v>0</v>
      </c>
    </row>
    <row r="276" spans="1:21" x14ac:dyDescent="0.35">
      <c r="A276" t="s">
        <v>910</v>
      </c>
      <c r="B276" t="s">
        <v>910</v>
      </c>
      <c r="C276" t="s">
        <v>438</v>
      </c>
      <c r="D276" s="4">
        <v>256779415323</v>
      </c>
      <c r="E276" s="3">
        <v>45848</v>
      </c>
      <c r="F276" t="s">
        <v>11</v>
      </c>
      <c r="G276">
        <v>4.24</v>
      </c>
      <c r="H276" t="s">
        <v>911</v>
      </c>
      <c r="I276">
        <v>375.11</v>
      </c>
      <c r="J276" t="s">
        <v>333</v>
      </c>
      <c r="K276" s="3">
        <v>45878</v>
      </c>
      <c r="M276" t="s">
        <v>912</v>
      </c>
      <c r="N276" s="2">
        <v>45931</v>
      </c>
      <c r="O276">
        <v>61264466</v>
      </c>
      <c r="P276">
        <v>1</v>
      </c>
      <c r="Q276" s="3">
        <v>45959</v>
      </c>
      <c r="R276">
        <v>230</v>
      </c>
      <c r="T276" t="s">
        <v>913</v>
      </c>
      <c r="U276">
        <v>0</v>
      </c>
    </row>
    <row r="277" spans="1:21" x14ac:dyDescent="0.35">
      <c r="A277" t="s">
        <v>910</v>
      </c>
      <c r="B277" t="s">
        <v>910</v>
      </c>
      <c r="C277" t="s">
        <v>438</v>
      </c>
      <c r="D277" s="4">
        <v>256779417137</v>
      </c>
      <c r="E277" s="3">
        <v>45904</v>
      </c>
      <c r="F277" t="s">
        <v>11</v>
      </c>
      <c r="G277">
        <v>8.1999999999999993</v>
      </c>
      <c r="H277" t="s">
        <v>911</v>
      </c>
      <c r="I277">
        <v>718.75</v>
      </c>
      <c r="J277" t="s">
        <v>392</v>
      </c>
      <c r="K277" s="3">
        <v>45934</v>
      </c>
      <c r="M277" t="s">
        <v>912</v>
      </c>
      <c r="N277" s="2">
        <v>45931</v>
      </c>
      <c r="O277">
        <v>61264469</v>
      </c>
      <c r="P277">
        <v>1</v>
      </c>
      <c r="Q277" s="3">
        <v>45959</v>
      </c>
      <c r="R277">
        <v>230</v>
      </c>
      <c r="T277" t="s">
        <v>913</v>
      </c>
      <c r="U277">
        <v>0</v>
      </c>
    </row>
    <row r="278" spans="1:21" x14ac:dyDescent="0.35">
      <c r="A278" t="s">
        <v>910</v>
      </c>
      <c r="B278" t="s">
        <v>910</v>
      </c>
      <c r="C278" t="s">
        <v>438</v>
      </c>
      <c r="D278" s="4">
        <v>256779415012</v>
      </c>
      <c r="E278" s="3">
        <v>45842</v>
      </c>
      <c r="F278" t="s">
        <v>11</v>
      </c>
      <c r="G278">
        <v>3.68</v>
      </c>
      <c r="H278" t="s">
        <v>911</v>
      </c>
      <c r="I278">
        <v>316.44</v>
      </c>
      <c r="J278" t="s">
        <v>407</v>
      </c>
      <c r="K278" s="3">
        <v>45872</v>
      </c>
      <c r="M278" t="s">
        <v>912</v>
      </c>
      <c r="N278" s="2">
        <v>45931</v>
      </c>
      <c r="O278">
        <v>61264473</v>
      </c>
      <c r="P278">
        <v>1</v>
      </c>
      <c r="Q278" s="3">
        <v>45959</v>
      </c>
      <c r="R278">
        <v>230</v>
      </c>
      <c r="T278" t="s">
        <v>913</v>
      </c>
      <c r="U278">
        <v>0</v>
      </c>
    </row>
    <row r="279" spans="1:21" x14ac:dyDescent="0.35">
      <c r="A279" t="s">
        <v>910</v>
      </c>
      <c r="B279" t="s">
        <v>910</v>
      </c>
      <c r="C279" t="s">
        <v>438</v>
      </c>
      <c r="D279" s="4">
        <v>256779417597</v>
      </c>
      <c r="E279" s="3">
        <v>45918</v>
      </c>
      <c r="F279" t="s">
        <v>11</v>
      </c>
      <c r="G279">
        <v>21.1</v>
      </c>
      <c r="H279" t="s">
        <v>911</v>
      </c>
      <c r="I279" s="27">
        <v>1849.46</v>
      </c>
      <c r="J279" t="s">
        <v>118</v>
      </c>
      <c r="K279" s="3">
        <v>45948</v>
      </c>
      <c r="M279" t="s">
        <v>912</v>
      </c>
      <c r="N279" s="2">
        <v>45931</v>
      </c>
      <c r="O279">
        <v>61264475</v>
      </c>
      <c r="P279">
        <v>1</v>
      </c>
      <c r="Q279" s="3">
        <v>45959</v>
      </c>
      <c r="R279">
        <v>230</v>
      </c>
      <c r="T279" t="s">
        <v>913</v>
      </c>
      <c r="U279">
        <v>0</v>
      </c>
    </row>
    <row r="280" spans="1:21" x14ac:dyDescent="0.35">
      <c r="A280" t="s">
        <v>910</v>
      </c>
      <c r="B280" t="s">
        <v>910</v>
      </c>
      <c r="C280" t="s">
        <v>438</v>
      </c>
      <c r="D280" s="4">
        <v>256779415453</v>
      </c>
      <c r="E280" s="3">
        <v>45856</v>
      </c>
      <c r="F280" t="s">
        <v>11</v>
      </c>
      <c r="G280">
        <v>5.87</v>
      </c>
      <c r="H280" t="s">
        <v>911</v>
      </c>
      <c r="I280">
        <v>504.76</v>
      </c>
      <c r="J280" t="s">
        <v>127</v>
      </c>
      <c r="K280" s="3">
        <v>45886</v>
      </c>
      <c r="M280" t="s">
        <v>912</v>
      </c>
      <c r="N280" s="2">
        <v>45931</v>
      </c>
      <c r="O280">
        <v>61264476</v>
      </c>
      <c r="P280">
        <v>1</v>
      </c>
      <c r="Q280" s="3">
        <v>45959</v>
      </c>
      <c r="R280">
        <v>230</v>
      </c>
      <c r="T280" t="s">
        <v>913</v>
      </c>
      <c r="U280">
        <v>0</v>
      </c>
    </row>
    <row r="281" spans="1:21" x14ac:dyDescent="0.35">
      <c r="A281" t="s">
        <v>910</v>
      </c>
      <c r="B281" t="s">
        <v>910</v>
      </c>
      <c r="C281" t="s">
        <v>438</v>
      </c>
      <c r="D281" s="4">
        <v>256779415387</v>
      </c>
      <c r="E281" s="3">
        <v>45848</v>
      </c>
      <c r="F281" t="s">
        <v>11</v>
      </c>
      <c r="G281">
        <v>1.42</v>
      </c>
      <c r="H281" t="s">
        <v>911</v>
      </c>
      <c r="I281">
        <v>122.11</v>
      </c>
      <c r="J281" t="s">
        <v>334</v>
      </c>
      <c r="K281" s="3">
        <v>45878</v>
      </c>
      <c r="M281" t="s">
        <v>912</v>
      </c>
      <c r="N281" s="2">
        <v>45931</v>
      </c>
      <c r="O281">
        <v>61264478</v>
      </c>
      <c r="P281">
        <v>1</v>
      </c>
      <c r="Q281" s="3">
        <v>45959</v>
      </c>
      <c r="R281">
        <v>230</v>
      </c>
      <c r="T281" t="s">
        <v>913</v>
      </c>
      <c r="U281">
        <v>0</v>
      </c>
    </row>
    <row r="282" spans="1:21" x14ac:dyDescent="0.35">
      <c r="A282" t="s">
        <v>910</v>
      </c>
      <c r="B282" t="s">
        <v>910</v>
      </c>
      <c r="C282" t="s">
        <v>438</v>
      </c>
      <c r="D282" s="4">
        <v>256779417134</v>
      </c>
      <c r="E282" s="3">
        <v>45904</v>
      </c>
      <c r="F282" t="s">
        <v>11</v>
      </c>
      <c r="G282">
        <v>10.73</v>
      </c>
      <c r="H282" t="s">
        <v>911</v>
      </c>
      <c r="I282">
        <v>940.51</v>
      </c>
      <c r="J282" t="s">
        <v>393</v>
      </c>
      <c r="K282" s="3">
        <v>45934</v>
      </c>
      <c r="M282" t="s">
        <v>912</v>
      </c>
      <c r="N282" s="2">
        <v>45931</v>
      </c>
      <c r="O282">
        <v>61264484</v>
      </c>
      <c r="P282">
        <v>1</v>
      </c>
      <c r="Q282" s="3">
        <v>45959</v>
      </c>
      <c r="R282">
        <v>230</v>
      </c>
      <c r="T282" t="s">
        <v>913</v>
      </c>
      <c r="U282">
        <v>0</v>
      </c>
    </row>
    <row r="283" spans="1:21" x14ac:dyDescent="0.35">
      <c r="A283" t="s">
        <v>910</v>
      </c>
      <c r="B283" t="s">
        <v>910</v>
      </c>
      <c r="C283" t="s">
        <v>438</v>
      </c>
      <c r="D283" s="4">
        <v>256779415289</v>
      </c>
      <c r="E283" s="3">
        <v>45848</v>
      </c>
      <c r="F283" t="s">
        <v>11</v>
      </c>
      <c r="G283">
        <v>5</v>
      </c>
      <c r="H283" t="s">
        <v>911</v>
      </c>
      <c r="I283">
        <v>442.35</v>
      </c>
      <c r="J283" t="s">
        <v>335</v>
      </c>
      <c r="K283" s="3">
        <v>45878</v>
      </c>
      <c r="M283" t="s">
        <v>912</v>
      </c>
      <c r="N283" s="2">
        <v>45931</v>
      </c>
      <c r="O283">
        <v>61264489</v>
      </c>
      <c r="P283">
        <v>1</v>
      </c>
      <c r="Q283" s="3">
        <v>45959</v>
      </c>
      <c r="R283">
        <v>230</v>
      </c>
      <c r="T283" t="s">
        <v>913</v>
      </c>
      <c r="U283">
        <v>0</v>
      </c>
    </row>
    <row r="284" spans="1:21" x14ac:dyDescent="0.35">
      <c r="A284" t="s">
        <v>910</v>
      </c>
      <c r="B284" t="s">
        <v>910</v>
      </c>
      <c r="C284" t="s">
        <v>438</v>
      </c>
      <c r="D284" s="4">
        <v>256779415302</v>
      </c>
      <c r="E284" s="3">
        <v>45848</v>
      </c>
      <c r="F284" t="s">
        <v>11</v>
      </c>
      <c r="G284">
        <v>0.6</v>
      </c>
      <c r="H284" t="s">
        <v>911</v>
      </c>
      <c r="I284">
        <v>53.08</v>
      </c>
      <c r="J284" t="s">
        <v>336</v>
      </c>
      <c r="K284" s="3">
        <v>45878</v>
      </c>
      <c r="M284" t="s">
        <v>912</v>
      </c>
      <c r="N284" s="2">
        <v>45931</v>
      </c>
      <c r="O284">
        <v>61264492</v>
      </c>
      <c r="P284">
        <v>1</v>
      </c>
      <c r="Q284" s="3">
        <v>45959</v>
      </c>
      <c r="R284">
        <v>230</v>
      </c>
      <c r="T284" t="s">
        <v>913</v>
      </c>
      <c r="U284">
        <v>0</v>
      </c>
    </row>
    <row r="285" spans="1:21" x14ac:dyDescent="0.35">
      <c r="A285" t="s">
        <v>910</v>
      </c>
      <c r="B285" t="s">
        <v>910</v>
      </c>
      <c r="C285" t="s">
        <v>438</v>
      </c>
      <c r="D285" s="4">
        <v>256779415313</v>
      </c>
      <c r="E285" s="3">
        <v>45848</v>
      </c>
      <c r="F285" t="s">
        <v>11</v>
      </c>
      <c r="G285">
        <v>1.2</v>
      </c>
      <c r="H285" t="s">
        <v>911</v>
      </c>
      <c r="I285">
        <v>106.16</v>
      </c>
      <c r="J285" t="s">
        <v>337</v>
      </c>
      <c r="K285" s="3">
        <v>45878</v>
      </c>
      <c r="M285" t="s">
        <v>912</v>
      </c>
      <c r="N285" s="2">
        <v>45931</v>
      </c>
      <c r="O285">
        <v>61264495</v>
      </c>
      <c r="P285">
        <v>1</v>
      </c>
      <c r="Q285" s="3">
        <v>45959</v>
      </c>
      <c r="R285">
        <v>230</v>
      </c>
      <c r="T285" t="s">
        <v>913</v>
      </c>
      <c r="U285">
        <v>0</v>
      </c>
    </row>
    <row r="286" spans="1:21" x14ac:dyDescent="0.35">
      <c r="A286" t="s">
        <v>910</v>
      </c>
      <c r="B286" t="s">
        <v>910</v>
      </c>
      <c r="C286" t="s">
        <v>438</v>
      </c>
      <c r="D286" s="4">
        <v>256779415517</v>
      </c>
      <c r="E286" s="3">
        <v>45856</v>
      </c>
      <c r="F286" t="s">
        <v>11</v>
      </c>
      <c r="G286">
        <v>2.33</v>
      </c>
      <c r="H286" t="s">
        <v>911</v>
      </c>
      <c r="I286">
        <v>200.36</v>
      </c>
      <c r="J286" t="s">
        <v>128</v>
      </c>
      <c r="K286" s="3">
        <v>45886</v>
      </c>
      <c r="M286" t="s">
        <v>912</v>
      </c>
      <c r="N286" s="2">
        <v>45931</v>
      </c>
      <c r="O286">
        <v>61264496</v>
      </c>
      <c r="P286">
        <v>1</v>
      </c>
      <c r="Q286" s="3">
        <v>45959</v>
      </c>
      <c r="R286">
        <v>230</v>
      </c>
      <c r="T286" t="s">
        <v>913</v>
      </c>
      <c r="U286">
        <v>0</v>
      </c>
    </row>
    <row r="287" spans="1:21" x14ac:dyDescent="0.35">
      <c r="A287" t="s">
        <v>910</v>
      </c>
      <c r="B287" t="s">
        <v>910</v>
      </c>
      <c r="C287" t="s">
        <v>438</v>
      </c>
      <c r="D287" s="4">
        <v>256779417801</v>
      </c>
      <c r="E287" s="3">
        <v>45922</v>
      </c>
      <c r="F287" t="s">
        <v>11</v>
      </c>
      <c r="G287">
        <v>95.11</v>
      </c>
      <c r="H287" t="s">
        <v>911</v>
      </c>
      <c r="I287" s="27">
        <v>8336.57</v>
      </c>
      <c r="J287" t="s">
        <v>23</v>
      </c>
      <c r="K287" s="3">
        <v>45952</v>
      </c>
      <c r="M287" t="s">
        <v>912</v>
      </c>
      <c r="N287" s="2">
        <v>45931</v>
      </c>
      <c r="O287">
        <v>61264497</v>
      </c>
      <c r="P287">
        <v>1</v>
      </c>
      <c r="Q287" s="3">
        <v>45959</v>
      </c>
      <c r="R287">
        <v>230</v>
      </c>
      <c r="T287" t="s">
        <v>913</v>
      </c>
      <c r="U287">
        <v>0</v>
      </c>
    </row>
    <row r="288" spans="1:21" x14ac:dyDescent="0.35">
      <c r="A288" t="s">
        <v>910</v>
      </c>
      <c r="B288" t="s">
        <v>910</v>
      </c>
      <c r="C288" t="s">
        <v>438</v>
      </c>
      <c r="D288" s="4">
        <v>256779415309</v>
      </c>
      <c r="E288" s="3">
        <v>45848</v>
      </c>
      <c r="F288" t="s">
        <v>11</v>
      </c>
      <c r="G288">
        <v>0.6</v>
      </c>
      <c r="H288" t="s">
        <v>911</v>
      </c>
      <c r="I288">
        <v>53.08</v>
      </c>
      <c r="J288" t="s">
        <v>338</v>
      </c>
      <c r="K288" s="3">
        <v>45878</v>
      </c>
      <c r="M288" t="s">
        <v>912</v>
      </c>
      <c r="N288" s="2">
        <v>45931</v>
      </c>
      <c r="O288">
        <v>61264504</v>
      </c>
      <c r="P288">
        <v>1</v>
      </c>
      <c r="Q288" s="3">
        <v>45959</v>
      </c>
      <c r="R288">
        <v>230</v>
      </c>
      <c r="T288" t="s">
        <v>913</v>
      </c>
      <c r="U288">
        <v>0</v>
      </c>
    </row>
    <row r="289" spans="1:21" x14ac:dyDescent="0.35">
      <c r="A289" t="s">
        <v>910</v>
      </c>
      <c r="B289" t="s">
        <v>910</v>
      </c>
      <c r="C289" t="s">
        <v>438</v>
      </c>
      <c r="D289" s="4">
        <v>256779416007</v>
      </c>
      <c r="E289" s="3">
        <v>45863</v>
      </c>
      <c r="F289" t="s">
        <v>11</v>
      </c>
      <c r="G289">
        <v>8.42</v>
      </c>
      <c r="H289" t="s">
        <v>911</v>
      </c>
      <c r="I289">
        <v>724.03</v>
      </c>
      <c r="J289" t="s">
        <v>17</v>
      </c>
      <c r="K289" s="3">
        <v>45893</v>
      </c>
      <c r="M289" t="s">
        <v>912</v>
      </c>
      <c r="N289" s="2">
        <v>45931</v>
      </c>
      <c r="O289">
        <v>61264508</v>
      </c>
      <c r="P289">
        <v>1</v>
      </c>
      <c r="Q289" s="3">
        <v>45959</v>
      </c>
      <c r="R289">
        <v>230</v>
      </c>
      <c r="T289" t="s">
        <v>913</v>
      </c>
      <c r="U289">
        <v>0</v>
      </c>
    </row>
    <row r="290" spans="1:21" x14ac:dyDescent="0.35">
      <c r="A290" t="s">
        <v>910</v>
      </c>
      <c r="B290" t="s">
        <v>910</v>
      </c>
      <c r="C290" t="s">
        <v>438</v>
      </c>
      <c r="D290" s="4">
        <v>256779415325</v>
      </c>
      <c r="E290" s="3">
        <v>45848</v>
      </c>
      <c r="F290" t="s">
        <v>11</v>
      </c>
      <c r="G290">
        <v>3.84</v>
      </c>
      <c r="H290" t="s">
        <v>911</v>
      </c>
      <c r="I290">
        <v>339.72</v>
      </c>
      <c r="J290" t="s">
        <v>339</v>
      </c>
      <c r="K290" s="3">
        <v>45878</v>
      </c>
      <c r="M290" t="s">
        <v>912</v>
      </c>
      <c r="N290" s="2">
        <v>45931</v>
      </c>
      <c r="O290">
        <v>61264509</v>
      </c>
      <c r="P290">
        <v>1</v>
      </c>
      <c r="Q290" s="3">
        <v>45959</v>
      </c>
      <c r="R290">
        <v>230</v>
      </c>
      <c r="T290" t="s">
        <v>913</v>
      </c>
      <c r="U290">
        <v>0</v>
      </c>
    </row>
    <row r="291" spans="1:21" x14ac:dyDescent="0.35">
      <c r="A291" t="s">
        <v>910</v>
      </c>
      <c r="B291" t="s">
        <v>910</v>
      </c>
      <c r="C291" t="s">
        <v>438</v>
      </c>
      <c r="D291" s="4">
        <v>256779417200</v>
      </c>
      <c r="E291" s="3">
        <v>45904</v>
      </c>
      <c r="F291" t="s">
        <v>11</v>
      </c>
      <c r="G291">
        <v>2.0099999999999998</v>
      </c>
      <c r="H291" t="s">
        <v>911</v>
      </c>
      <c r="I291">
        <v>176.18</v>
      </c>
      <c r="J291" t="s">
        <v>394</v>
      </c>
      <c r="K291" s="3">
        <v>45934</v>
      </c>
      <c r="M291" t="s">
        <v>912</v>
      </c>
      <c r="N291" s="2">
        <v>45931</v>
      </c>
      <c r="O291">
        <v>61264511</v>
      </c>
      <c r="P291">
        <v>1</v>
      </c>
      <c r="Q291" s="3">
        <v>45959</v>
      </c>
      <c r="R291">
        <v>230</v>
      </c>
      <c r="T291" t="s">
        <v>913</v>
      </c>
      <c r="U291">
        <v>0</v>
      </c>
    </row>
    <row r="292" spans="1:21" x14ac:dyDescent="0.35">
      <c r="A292" t="s">
        <v>910</v>
      </c>
      <c r="B292" t="s">
        <v>910</v>
      </c>
      <c r="C292" t="s">
        <v>438</v>
      </c>
      <c r="D292" s="4">
        <v>256779415426</v>
      </c>
      <c r="E292" s="3">
        <v>45856</v>
      </c>
      <c r="F292" t="s">
        <v>11</v>
      </c>
      <c r="G292">
        <v>9.2899999999999991</v>
      </c>
      <c r="H292" t="s">
        <v>911</v>
      </c>
      <c r="I292">
        <v>798.84</v>
      </c>
      <c r="J292" t="s">
        <v>129</v>
      </c>
      <c r="K292" s="3">
        <v>45886</v>
      </c>
      <c r="M292" t="s">
        <v>912</v>
      </c>
      <c r="N292" s="2">
        <v>45931</v>
      </c>
      <c r="O292">
        <v>61264512</v>
      </c>
      <c r="P292">
        <v>1</v>
      </c>
      <c r="Q292" s="3">
        <v>45959</v>
      </c>
      <c r="R292">
        <v>230</v>
      </c>
      <c r="T292" t="s">
        <v>913</v>
      </c>
      <c r="U292">
        <v>0</v>
      </c>
    </row>
    <row r="293" spans="1:21" x14ac:dyDescent="0.35">
      <c r="A293" t="s">
        <v>910</v>
      </c>
      <c r="B293" t="s">
        <v>910</v>
      </c>
      <c r="C293" t="s">
        <v>438</v>
      </c>
      <c r="D293" s="4">
        <v>256779415989</v>
      </c>
      <c r="E293" s="3">
        <v>45863</v>
      </c>
      <c r="F293" t="s">
        <v>11</v>
      </c>
      <c r="G293">
        <v>6</v>
      </c>
      <c r="H293" t="s">
        <v>911</v>
      </c>
      <c r="I293">
        <v>515.94000000000005</v>
      </c>
      <c r="J293" t="s">
        <v>18</v>
      </c>
      <c r="K293" s="3">
        <v>45893</v>
      </c>
      <c r="M293" t="s">
        <v>912</v>
      </c>
      <c r="N293" s="2">
        <v>45931</v>
      </c>
      <c r="O293">
        <v>61264516</v>
      </c>
      <c r="P293">
        <v>1</v>
      </c>
      <c r="Q293" s="3">
        <v>45959</v>
      </c>
      <c r="R293">
        <v>230</v>
      </c>
      <c r="T293" t="s">
        <v>913</v>
      </c>
      <c r="U293">
        <v>0</v>
      </c>
    </row>
    <row r="294" spans="1:21" x14ac:dyDescent="0.35">
      <c r="A294" t="s">
        <v>910</v>
      </c>
      <c r="B294" t="s">
        <v>910</v>
      </c>
      <c r="C294" t="s">
        <v>438</v>
      </c>
      <c r="D294" s="4">
        <v>256779417238</v>
      </c>
      <c r="E294" s="3">
        <v>45904</v>
      </c>
      <c r="F294" t="s">
        <v>11</v>
      </c>
      <c r="G294">
        <v>12.18</v>
      </c>
      <c r="H294" t="s">
        <v>911</v>
      </c>
      <c r="I294" s="27">
        <v>1067.5999999999999</v>
      </c>
      <c r="J294" t="s">
        <v>395</v>
      </c>
      <c r="K294" s="3">
        <v>45934</v>
      </c>
      <c r="M294" t="s">
        <v>912</v>
      </c>
      <c r="N294" s="2">
        <v>45931</v>
      </c>
      <c r="O294">
        <v>61264520</v>
      </c>
      <c r="P294">
        <v>1</v>
      </c>
      <c r="Q294" s="3">
        <v>45959</v>
      </c>
      <c r="R294">
        <v>230</v>
      </c>
      <c r="T294" t="s">
        <v>913</v>
      </c>
      <c r="U294">
        <v>0</v>
      </c>
    </row>
    <row r="295" spans="1:21" x14ac:dyDescent="0.35">
      <c r="A295" t="s">
        <v>910</v>
      </c>
      <c r="B295" t="s">
        <v>910</v>
      </c>
      <c r="C295" t="s">
        <v>438</v>
      </c>
      <c r="D295" s="4">
        <v>256779415261</v>
      </c>
      <c r="E295" s="3">
        <v>45842</v>
      </c>
      <c r="F295" t="s">
        <v>11</v>
      </c>
      <c r="G295">
        <v>5.85</v>
      </c>
      <c r="H295" t="s">
        <v>911</v>
      </c>
      <c r="I295">
        <v>503.04</v>
      </c>
      <c r="J295" t="s">
        <v>408</v>
      </c>
      <c r="K295" s="3">
        <v>45872</v>
      </c>
      <c r="M295" t="s">
        <v>912</v>
      </c>
      <c r="N295" s="2">
        <v>45931</v>
      </c>
      <c r="O295">
        <v>61264523</v>
      </c>
      <c r="P295">
        <v>1</v>
      </c>
      <c r="Q295" s="3">
        <v>45959</v>
      </c>
      <c r="R295">
        <v>230</v>
      </c>
      <c r="T295" t="s">
        <v>913</v>
      </c>
      <c r="U295">
        <v>0</v>
      </c>
    </row>
    <row r="296" spans="1:21" x14ac:dyDescent="0.35">
      <c r="A296" t="s">
        <v>910</v>
      </c>
      <c r="B296" t="s">
        <v>910</v>
      </c>
      <c r="C296" t="s">
        <v>438</v>
      </c>
      <c r="D296" s="4">
        <v>256779415331</v>
      </c>
      <c r="E296" s="3">
        <v>45848</v>
      </c>
      <c r="F296" t="s">
        <v>11</v>
      </c>
      <c r="G296">
        <v>0.45</v>
      </c>
      <c r="H296" t="s">
        <v>911</v>
      </c>
      <c r="I296">
        <v>39.81</v>
      </c>
      <c r="J296" t="s">
        <v>340</v>
      </c>
      <c r="K296" s="3">
        <v>45878</v>
      </c>
      <c r="M296" t="s">
        <v>912</v>
      </c>
      <c r="N296" s="2">
        <v>45931</v>
      </c>
      <c r="O296">
        <v>61265596</v>
      </c>
      <c r="P296">
        <v>1</v>
      </c>
      <c r="Q296" s="3">
        <v>45959</v>
      </c>
      <c r="R296">
        <v>230</v>
      </c>
      <c r="T296" t="s">
        <v>913</v>
      </c>
      <c r="U296">
        <v>0</v>
      </c>
    </row>
    <row r="297" spans="1:21" x14ac:dyDescent="0.35">
      <c r="A297" t="s">
        <v>910</v>
      </c>
      <c r="B297" t="s">
        <v>910</v>
      </c>
      <c r="C297" t="s">
        <v>438</v>
      </c>
      <c r="D297" s="4">
        <v>256779415290</v>
      </c>
      <c r="E297" s="3">
        <v>45848</v>
      </c>
      <c r="F297" t="s">
        <v>11</v>
      </c>
      <c r="G297">
        <v>0.48</v>
      </c>
      <c r="H297" t="s">
        <v>911</v>
      </c>
      <c r="I297">
        <v>42.47</v>
      </c>
      <c r="J297" t="s">
        <v>341</v>
      </c>
      <c r="K297" s="3">
        <v>45878</v>
      </c>
      <c r="M297" t="s">
        <v>912</v>
      </c>
      <c r="N297" s="2">
        <v>45931</v>
      </c>
      <c r="O297">
        <v>61265846</v>
      </c>
      <c r="P297">
        <v>1</v>
      </c>
      <c r="Q297" s="3">
        <v>45959</v>
      </c>
      <c r="R297">
        <v>230</v>
      </c>
      <c r="T297" t="s">
        <v>913</v>
      </c>
      <c r="U297">
        <v>0</v>
      </c>
    </row>
    <row r="298" spans="1:21" x14ac:dyDescent="0.35">
      <c r="A298" t="s">
        <v>910</v>
      </c>
      <c r="B298" t="s">
        <v>910</v>
      </c>
      <c r="C298" t="s">
        <v>438</v>
      </c>
      <c r="D298" s="4">
        <v>256779416442</v>
      </c>
      <c r="E298" s="3">
        <v>45877</v>
      </c>
      <c r="F298" t="s">
        <v>11</v>
      </c>
      <c r="G298">
        <v>21.06</v>
      </c>
      <c r="H298" t="s">
        <v>911</v>
      </c>
      <c r="I298" s="27">
        <v>1824.45</v>
      </c>
      <c r="J298" t="s">
        <v>357</v>
      </c>
      <c r="K298" s="3">
        <v>45907</v>
      </c>
      <c r="M298" t="s">
        <v>912</v>
      </c>
      <c r="N298" s="2">
        <v>45931</v>
      </c>
      <c r="O298">
        <v>61490605</v>
      </c>
      <c r="P298">
        <v>1</v>
      </c>
      <c r="Q298" s="3">
        <v>45961</v>
      </c>
      <c r="R298">
        <v>230</v>
      </c>
      <c r="T298" t="s">
        <v>913</v>
      </c>
      <c r="U298">
        <v>0</v>
      </c>
    </row>
    <row r="299" spans="1:21" x14ac:dyDescent="0.35">
      <c r="A299" t="s">
        <v>910</v>
      </c>
      <c r="B299" t="s">
        <v>910</v>
      </c>
      <c r="C299" t="s">
        <v>438</v>
      </c>
      <c r="D299" s="4">
        <v>256779416169</v>
      </c>
      <c r="E299" s="3">
        <v>45877</v>
      </c>
      <c r="F299" t="s">
        <v>11</v>
      </c>
      <c r="G299">
        <v>5.14</v>
      </c>
      <c r="H299" t="s">
        <v>911</v>
      </c>
      <c r="I299">
        <v>445.28</v>
      </c>
      <c r="J299" t="s">
        <v>358</v>
      </c>
      <c r="K299" s="3">
        <v>45907</v>
      </c>
      <c r="M299" t="s">
        <v>912</v>
      </c>
      <c r="N299" s="2">
        <v>45931</v>
      </c>
      <c r="O299">
        <v>61490610</v>
      </c>
      <c r="P299">
        <v>1</v>
      </c>
      <c r="Q299" s="3">
        <v>45961</v>
      </c>
      <c r="R299">
        <v>230</v>
      </c>
      <c r="T299" t="s">
        <v>913</v>
      </c>
      <c r="U299">
        <v>0</v>
      </c>
    </row>
    <row r="300" spans="1:21" x14ac:dyDescent="0.35">
      <c r="A300" t="s">
        <v>910</v>
      </c>
      <c r="B300" t="s">
        <v>910</v>
      </c>
      <c r="C300" t="s">
        <v>438</v>
      </c>
      <c r="D300" s="4">
        <v>256779416214</v>
      </c>
      <c r="E300" s="3">
        <v>45877</v>
      </c>
      <c r="F300" t="s">
        <v>11</v>
      </c>
      <c r="G300">
        <v>4.24</v>
      </c>
      <c r="H300" t="s">
        <v>911</v>
      </c>
      <c r="I300">
        <v>367.31</v>
      </c>
      <c r="J300" t="s">
        <v>359</v>
      </c>
      <c r="K300" s="3">
        <v>45907</v>
      </c>
      <c r="M300" t="s">
        <v>912</v>
      </c>
      <c r="N300" s="2">
        <v>45931</v>
      </c>
      <c r="O300">
        <v>61490613</v>
      </c>
      <c r="P300">
        <v>1</v>
      </c>
      <c r="Q300" s="3">
        <v>45961</v>
      </c>
      <c r="R300">
        <v>230</v>
      </c>
      <c r="T300" t="s">
        <v>913</v>
      </c>
      <c r="U300">
        <v>0</v>
      </c>
    </row>
    <row r="301" spans="1:21" x14ac:dyDescent="0.35">
      <c r="A301" t="s">
        <v>910</v>
      </c>
      <c r="B301" t="s">
        <v>910</v>
      </c>
      <c r="C301" t="s">
        <v>438</v>
      </c>
      <c r="D301" s="4">
        <v>256779416454</v>
      </c>
      <c r="E301" s="3">
        <v>45877</v>
      </c>
      <c r="F301" t="s">
        <v>11</v>
      </c>
      <c r="G301">
        <v>8.2200000000000006</v>
      </c>
      <c r="H301" t="s">
        <v>911</v>
      </c>
      <c r="I301">
        <v>712.11</v>
      </c>
      <c r="J301" t="s">
        <v>360</v>
      </c>
      <c r="K301" s="3">
        <v>45907</v>
      </c>
      <c r="M301" t="s">
        <v>912</v>
      </c>
      <c r="N301" s="2">
        <v>45931</v>
      </c>
      <c r="O301">
        <v>61490623</v>
      </c>
      <c r="P301">
        <v>1</v>
      </c>
      <c r="Q301" s="3">
        <v>45961</v>
      </c>
      <c r="R301">
        <v>230</v>
      </c>
      <c r="T301" t="s">
        <v>913</v>
      </c>
      <c r="U301">
        <v>0</v>
      </c>
    </row>
    <row r="302" spans="1:21" x14ac:dyDescent="0.35">
      <c r="A302" t="s">
        <v>910</v>
      </c>
      <c r="B302" t="s">
        <v>910</v>
      </c>
      <c r="C302" t="s">
        <v>438</v>
      </c>
      <c r="D302" s="4">
        <v>256779416255</v>
      </c>
      <c r="E302" s="3">
        <v>45877</v>
      </c>
      <c r="F302" t="s">
        <v>11</v>
      </c>
      <c r="G302">
        <v>7.84</v>
      </c>
      <c r="H302" t="s">
        <v>911</v>
      </c>
      <c r="I302">
        <v>679.19</v>
      </c>
      <c r="J302" t="s">
        <v>361</v>
      </c>
      <c r="K302" s="3">
        <v>45907</v>
      </c>
      <c r="M302" t="s">
        <v>912</v>
      </c>
      <c r="N302" s="2">
        <v>45931</v>
      </c>
      <c r="O302">
        <v>61490638</v>
      </c>
      <c r="P302">
        <v>1</v>
      </c>
      <c r="Q302" s="3">
        <v>45961</v>
      </c>
      <c r="R302">
        <v>230</v>
      </c>
      <c r="T302" t="s">
        <v>913</v>
      </c>
      <c r="U302">
        <v>0</v>
      </c>
    </row>
    <row r="303" spans="1:21" x14ac:dyDescent="0.35">
      <c r="A303" t="s">
        <v>910</v>
      </c>
      <c r="B303" t="s">
        <v>910</v>
      </c>
      <c r="C303" t="s">
        <v>438</v>
      </c>
      <c r="D303" s="4">
        <v>256779416096</v>
      </c>
      <c r="E303" s="3">
        <v>45877</v>
      </c>
      <c r="F303" t="s">
        <v>11</v>
      </c>
      <c r="G303">
        <v>147.72999999999999</v>
      </c>
      <c r="H303" t="s">
        <v>911</v>
      </c>
      <c r="I303" s="27">
        <v>12797.98</v>
      </c>
      <c r="J303" t="s">
        <v>362</v>
      </c>
      <c r="K303" s="3">
        <v>45907</v>
      </c>
      <c r="M303" t="s">
        <v>912</v>
      </c>
      <c r="N303" s="2">
        <v>45931</v>
      </c>
      <c r="O303">
        <v>61493754</v>
      </c>
      <c r="P303">
        <v>1</v>
      </c>
      <c r="Q303" s="3">
        <v>45961</v>
      </c>
      <c r="R303">
        <v>230</v>
      </c>
      <c r="T303" t="s">
        <v>913</v>
      </c>
      <c r="U303">
        <v>0</v>
      </c>
    </row>
    <row r="304" spans="1:21" x14ac:dyDescent="0.35">
      <c r="A304" t="s">
        <v>910</v>
      </c>
      <c r="B304" t="s">
        <v>910</v>
      </c>
      <c r="C304" t="s">
        <v>438</v>
      </c>
      <c r="D304" s="4">
        <v>256779417580</v>
      </c>
      <c r="E304" s="3">
        <v>45918</v>
      </c>
      <c r="F304" t="s">
        <v>11</v>
      </c>
      <c r="G304">
        <v>3.69</v>
      </c>
      <c r="H304" t="s">
        <v>911</v>
      </c>
      <c r="I304">
        <v>3.69</v>
      </c>
      <c r="J304" t="s">
        <v>119</v>
      </c>
      <c r="K304" s="3">
        <v>45948</v>
      </c>
      <c r="M304" t="s">
        <v>912</v>
      </c>
      <c r="N304" s="2">
        <v>45962</v>
      </c>
      <c r="O304">
        <v>62204832</v>
      </c>
      <c r="P304">
        <v>1</v>
      </c>
      <c r="Q304" s="3">
        <v>45972</v>
      </c>
      <c r="R304">
        <v>230</v>
      </c>
      <c r="T304" t="s">
        <v>913</v>
      </c>
      <c r="U304">
        <v>0</v>
      </c>
    </row>
    <row r="305" spans="1:21" x14ac:dyDescent="0.35">
      <c r="A305" t="s">
        <v>910</v>
      </c>
      <c r="B305" t="s">
        <v>910</v>
      </c>
      <c r="C305" t="s">
        <v>438</v>
      </c>
      <c r="D305" s="4">
        <v>256779417744</v>
      </c>
      <c r="E305" s="3">
        <v>45922</v>
      </c>
      <c r="F305" t="s">
        <v>11</v>
      </c>
      <c r="G305">
        <v>17.399999999999999</v>
      </c>
      <c r="H305" t="s">
        <v>911</v>
      </c>
      <c r="I305" s="27">
        <v>1525.14</v>
      </c>
      <c r="J305" t="s">
        <v>24</v>
      </c>
      <c r="K305" s="3">
        <v>45952</v>
      </c>
      <c r="M305" t="s">
        <v>912</v>
      </c>
      <c r="N305" s="2">
        <v>45962</v>
      </c>
      <c r="O305">
        <v>62204837</v>
      </c>
      <c r="P305">
        <v>1</v>
      </c>
      <c r="Q305" s="3">
        <v>45972</v>
      </c>
      <c r="R305">
        <v>230</v>
      </c>
      <c r="T305" t="s">
        <v>913</v>
      </c>
      <c r="U305">
        <v>0</v>
      </c>
    </row>
    <row r="306" spans="1:21" x14ac:dyDescent="0.35">
      <c r="A306" t="s">
        <v>910</v>
      </c>
      <c r="B306" t="s">
        <v>910</v>
      </c>
      <c r="C306" t="s">
        <v>438</v>
      </c>
      <c r="D306" s="4">
        <v>256779417517</v>
      </c>
      <c r="E306" s="3">
        <v>45918</v>
      </c>
      <c r="F306" t="s">
        <v>11</v>
      </c>
      <c r="G306">
        <v>0.09</v>
      </c>
      <c r="H306" t="s">
        <v>911</v>
      </c>
      <c r="I306">
        <v>7.89</v>
      </c>
      <c r="J306" t="s">
        <v>120</v>
      </c>
      <c r="K306" s="3">
        <v>45948</v>
      </c>
      <c r="M306" t="s">
        <v>912</v>
      </c>
      <c r="N306" s="2">
        <v>45962</v>
      </c>
      <c r="O306">
        <v>62204839</v>
      </c>
      <c r="P306">
        <v>1</v>
      </c>
      <c r="Q306" s="3">
        <v>45972</v>
      </c>
      <c r="R306">
        <v>230</v>
      </c>
      <c r="T306" t="s">
        <v>913</v>
      </c>
      <c r="U306">
        <v>0</v>
      </c>
    </row>
    <row r="307" spans="1:21" x14ac:dyDescent="0.35">
      <c r="A307" t="s">
        <v>910</v>
      </c>
      <c r="B307" t="s">
        <v>910</v>
      </c>
      <c r="C307" t="s">
        <v>438</v>
      </c>
      <c r="D307" s="4">
        <v>256779417257</v>
      </c>
      <c r="E307" s="3">
        <v>45904</v>
      </c>
      <c r="F307" t="s">
        <v>11</v>
      </c>
      <c r="G307">
        <v>0.46</v>
      </c>
      <c r="H307" t="s">
        <v>911</v>
      </c>
      <c r="I307">
        <v>40.32</v>
      </c>
      <c r="J307" t="s">
        <v>396</v>
      </c>
      <c r="K307" s="3">
        <v>45934</v>
      </c>
      <c r="M307" t="s">
        <v>912</v>
      </c>
      <c r="N307" s="2">
        <v>45962</v>
      </c>
      <c r="O307">
        <v>62204847</v>
      </c>
      <c r="P307">
        <v>1</v>
      </c>
      <c r="Q307" s="3">
        <v>45972</v>
      </c>
      <c r="R307">
        <v>230</v>
      </c>
      <c r="T307" t="s">
        <v>913</v>
      </c>
      <c r="U307">
        <v>0</v>
      </c>
    </row>
    <row r="308" spans="1:21" x14ac:dyDescent="0.35">
      <c r="A308" t="s">
        <v>910</v>
      </c>
      <c r="B308" t="s">
        <v>910</v>
      </c>
      <c r="C308" t="s">
        <v>438</v>
      </c>
      <c r="D308" s="4">
        <v>256779417350</v>
      </c>
      <c r="E308" s="3">
        <v>45904</v>
      </c>
      <c r="F308" t="s">
        <v>11</v>
      </c>
      <c r="G308">
        <v>1</v>
      </c>
      <c r="H308" t="s">
        <v>911</v>
      </c>
      <c r="I308">
        <v>87.65</v>
      </c>
      <c r="J308" t="s">
        <v>397</v>
      </c>
      <c r="K308" s="3">
        <v>45934</v>
      </c>
      <c r="M308" t="s">
        <v>912</v>
      </c>
      <c r="N308" s="2">
        <v>45962</v>
      </c>
      <c r="O308">
        <v>62204860</v>
      </c>
      <c r="P308">
        <v>1</v>
      </c>
      <c r="Q308" s="3">
        <v>45972</v>
      </c>
      <c r="R308">
        <v>230</v>
      </c>
      <c r="T308" t="s">
        <v>913</v>
      </c>
      <c r="U308">
        <v>0</v>
      </c>
    </row>
    <row r="309" spans="1:21" x14ac:dyDescent="0.35">
      <c r="A309" t="s">
        <v>910</v>
      </c>
      <c r="B309" t="s">
        <v>910</v>
      </c>
      <c r="C309" t="s">
        <v>438</v>
      </c>
      <c r="D309" s="4">
        <v>256779414859</v>
      </c>
      <c r="E309" s="3">
        <v>45842</v>
      </c>
      <c r="F309" t="s">
        <v>11</v>
      </c>
      <c r="G309">
        <v>6.37</v>
      </c>
      <c r="H309" t="s">
        <v>911</v>
      </c>
      <c r="I309">
        <v>547.75</v>
      </c>
      <c r="J309" t="s">
        <v>409</v>
      </c>
      <c r="K309" s="3">
        <v>45872</v>
      </c>
      <c r="M309" t="s">
        <v>912</v>
      </c>
      <c r="N309" s="2">
        <v>45962</v>
      </c>
      <c r="O309">
        <v>62204862</v>
      </c>
      <c r="P309">
        <v>1</v>
      </c>
      <c r="Q309" s="3">
        <v>45972</v>
      </c>
      <c r="R309">
        <v>230</v>
      </c>
      <c r="T309" t="s">
        <v>913</v>
      </c>
      <c r="U309">
        <v>0</v>
      </c>
    </row>
    <row r="310" spans="1:21" x14ac:dyDescent="0.35">
      <c r="A310" t="s">
        <v>910</v>
      </c>
      <c r="B310" t="s">
        <v>910</v>
      </c>
      <c r="C310" t="s">
        <v>438</v>
      </c>
      <c r="D310" s="4">
        <v>256779417349</v>
      </c>
      <c r="E310" s="3">
        <v>45904</v>
      </c>
      <c r="F310" t="s">
        <v>11</v>
      </c>
      <c r="G310">
        <v>1.83</v>
      </c>
      <c r="H310" t="s">
        <v>911</v>
      </c>
      <c r="I310">
        <v>160.4</v>
      </c>
      <c r="J310" t="s">
        <v>398</v>
      </c>
      <c r="K310" s="3">
        <v>45934</v>
      </c>
      <c r="M310" t="s">
        <v>912</v>
      </c>
      <c r="N310" s="2">
        <v>45962</v>
      </c>
      <c r="O310">
        <v>62204864</v>
      </c>
      <c r="P310">
        <v>1</v>
      </c>
      <c r="Q310" s="3">
        <v>45972</v>
      </c>
      <c r="R310">
        <v>230</v>
      </c>
      <c r="T310" t="s">
        <v>913</v>
      </c>
      <c r="U310">
        <v>0</v>
      </c>
    </row>
    <row r="311" spans="1:21" x14ac:dyDescent="0.35">
      <c r="A311" t="s">
        <v>910</v>
      </c>
      <c r="B311" t="s">
        <v>910</v>
      </c>
      <c r="C311" t="s">
        <v>438</v>
      </c>
      <c r="D311" s="4">
        <v>256779417348</v>
      </c>
      <c r="E311" s="3">
        <v>45904</v>
      </c>
      <c r="F311" t="s">
        <v>11</v>
      </c>
      <c r="G311">
        <v>45.71</v>
      </c>
      <c r="H311" t="s">
        <v>911</v>
      </c>
      <c r="I311" s="27">
        <v>4006.57</v>
      </c>
      <c r="J311" t="s">
        <v>399</v>
      </c>
      <c r="K311" s="3">
        <v>45934</v>
      </c>
      <c r="M311" t="s">
        <v>912</v>
      </c>
      <c r="N311" s="2">
        <v>45962</v>
      </c>
      <c r="O311">
        <v>62204876</v>
      </c>
      <c r="P311">
        <v>1</v>
      </c>
      <c r="Q311" s="3">
        <v>45972</v>
      </c>
      <c r="R311">
        <v>230</v>
      </c>
      <c r="T311" t="s">
        <v>913</v>
      </c>
      <c r="U311">
        <v>0</v>
      </c>
    </row>
    <row r="312" spans="1:21" x14ac:dyDescent="0.35">
      <c r="A312" t="s">
        <v>910</v>
      </c>
      <c r="B312" t="s">
        <v>910</v>
      </c>
      <c r="C312" t="s">
        <v>438</v>
      </c>
      <c r="D312" s="4">
        <v>256779417557</v>
      </c>
      <c r="E312" s="3">
        <v>45918</v>
      </c>
      <c r="F312" t="s">
        <v>11</v>
      </c>
      <c r="G312">
        <v>14.52</v>
      </c>
      <c r="H312" t="s">
        <v>911</v>
      </c>
      <c r="I312" s="27">
        <v>1272.71</v>
      </c>
      <c r="J312" t="s">
        <v>121</v>
      </c>
      <c r="K312" s="3">
        <v>45948</v>
      </c>
      <c r="M312" t="s">
        <v>912</v>
      </c>
      <c r="N312" s="2">
        <v>45962</v>
      </c>
      <c r="O312">
        <v>62204878</v>
      </c>
      <c r="P312">
        <v>1</v>
      </c>
      <c r="Q312" s="3">
        <v>45972</v>
      </c>
      <c r="R312">
        <v>230</v>
      </c>
      <c r="T312" t="s">
        <v>913</v>
      </c>
      <c r="U312">
        <v>0</v>
      </c>
    </row>
    <row r="313" spans="1:21" x14ac:dyDescent="0.35">
      <c r="A313" t="s">
        <v>910</v>
      </c>
      <c r="B313" t="s">
        <v>910</v>
      </c>
      <c r="C313" t="s">
        <v>438</v>
      </c>
      <c r="D313" s="4">
        <v>256779417158</v>
      </c>
      <c r="E313" s="3">
        <v>45904</v>
      </c>
      <c r="F313" t="s">
        <v>11</v>
      </c>
      <c r="G313">
        <v>2.2000000000000002</v>
      </c>
      <c r="H313" t="s">
        <v>911</v>
      </c>
      <c r="I313">
        <v>192.83</v>
      </c>
      <c r="J313" t="s">
        <v>400</v>
      </c>
      <c r="K313" s="3">
        <v>45934</v>
      </c>
      <c r="M313" t="s">
        <v>912</v>
      </c>
      <c r="N313" s="2">
        <v>45962</v>
      </c>
      <c r="O313">
        <v>62204906</v>
      </c>
      <c r="P313">
        <v>1</v>
      </c>
      <c r="Q313" s="3">
        <v>45972</v>
      </c>
      <c r="R313">
        <v>230</v>
      </c>
      <c r="T313" t="s">
        <v>913</v>
      </c>
      <c r="U313">
        <v>0</v>
      </c>
    </row>
    <row r="314" spans="1:21" x14ac:dyDescent="0.35">
      <c r="A314" t="s">
        <v>910</v>
      </c>
      <c r="B314" t="s">
        <v>910</v>
      </c>
      <c r="C314" t="s">
        <v>438</v>
      </c>
      <c r="D314" s="4">
        <v>256779415319</v>
      </c>
      <c r="E314" s="3">
        <v>45848</v>
      </c>
      <c r="F314" t="s">
        <v>11</v>
      </c>
      <c r="G314">
        <v>2.8</v>
      </c>
      <c r="H314" t="s">
        <v>911</v>
      </c>
      <c r="I314">
        <v>247.72</v>
      </c>
      <c r="J314" t="s">
        <v>342</v>
      </c>
      <c r="K314" s="3">
        <v>45878</v>
      </c>
      <c r="M314" t="s">
        <v>912</v>
      </c>
      <c r="N314" s="2">
        <v>45962</v>
      </c>
      <c r="O314">
        <v>62447811</v>
      </c>
      <c r="P314">
        <v>1</v>
      </c>
      <c r="Q314" s="3">
        <v>45975</v>
      </c>
      <c r="R314">
        <v>230</v>
      </c>
      <c r="T314" t="s">
        <v>913</v>
      </c>
      <c r="U314">
        <v>0</v>
      </c>
    </row>
    <row r="315" spans="1:21" x14ac:dyDescent="0.35">
      <c r="A315" t="s">
        <v>910</v>
      </c>
      <c r="B315" t="s">
        <v>910</v>
      </c>
      <c r="C315" t="s">
        <v>438</v>
      </c>
      <c r="D315" s="4">
        <v>256779416137</v>
      </c>
      <c r="E315" s="3">
        <v>45877</v>
      </c>
      <c r="F315" t="s">
        <v>11</v>
      </c>
      <c r="G315">
        <v>1.1000000000000001</v>
      </c>
      <c r="H315" t="s">
        <v>911</v>
      </c>
      <c r="I315">
        <v>95.29</v>
      </c>
      <c r="J315" t="s">
        <v>364</v>
      </c>
      <c r="K315" s="3">
        <v>45907</v>
      </c>
      <c r="M315" t="s">
        <v>912</v>
      </c>
      <c r="N315" s="2">
        <v>45962</v>
      </c>
      <c r="O315">
        <v>63135770</v>
      </c>
      <c r="P315">
        <v>1</v>
      </c>
      <c r="Q315" s="3">
        <v>45985</v>
      </c>
      <c r="R315">
        <v>230</v>
      </c>
      <c r="T315" t="s">
        <v>913</v>
      </c>
      <c r="U315">
        <v>0</v>
      </c>
    </row>
    <row r="316" spans="1:21" x14ac:dyDescent="0.35">
      <c r="A316" t="s">
        <v>910</v>
      </c>
      <c r="B316" t="s">
        <v>910</v>
      </c>
      <c r="C316" t="s">
        <v>438</v>
      </c>
      <c r="D316" s="4">
        <v>256779413972</v>
      </c>
      <c r="E316" s="3">
        <v>45810</v>
      </c>
      <c r="F316" t="s">
        <v>56</v>
      </c>
      <c r="G316" t="s">
        <v>911</v>
      </c>
      <c r="H316" t="s">
        <v>911</v>
      </c>
      <c r="I316">
        <v>6</v>
      </c>
      <c r="J316" t="s">
        <v>428</v>
      </c>
      <c r="K316" s="3">
        <v>45840</v>
      </c>
      <c r="M316" t="s">
        <v>912</v>
      </c>
      <c r="N316" s="2">
        <v>45962</v>
      </c>
      <c r="O316">
        <v>63776333</v>
      </c>
      <c r="P316">
        <v>1</v>
      </c>
      <c r="Q316" s="3">
        <v>45991</v>
      </c>
      <c r="R316">
        <v>230</v>
      </c>
      <c r="T316" t="s">
        <v>913</v>
      </c>
      <c r="U316">
        <v>0</v>
      </c>
    </row>
    <row r="317" spans="1:21" x14ac:dyDescent="0.35">
      <c r="A317" t="s">
        <v>910</v>
      </c>
      <c r="B317" t="s">
        <v>910</v>
      </c>
      <c r="C317" t="s">
        <v>438</v>
      </c>
      <c r="D317" s="4">
        <v>256779413148</v>
      </c>
      <c r="E317" s="3">
        <v>45787</v>
      </c>
      <c r="F317" t="s">
        <v>56</v>
      </c>
      <c r="G317" t="s">
        <v>911</v>
      </c>
      <c r="H317" t="s">
        <v>911</v>
      </c>
      <c r="I317">
        <v>88</v>
      </c>
      <c r="J317" t="s">
        <v>350</v>
      </c>
      <c r="K317" s="3">
        <v>45817</v>
      </c>
      <c r="M317" t="s">
        <v>912</v>
      </c>
      <c r="N317" s="2">
        <v>45962</v>
      </c>
      <c r="O317">
        <v>63776339</v>
      </c>
      <c r="P317">
        <v>1</v>
      </c>
      <c r="Q317" s="3">
        <v>45991</v>
      </c>
      <c r="R317">
        <v>230</v>
      </c>
      <c r="T317" t="s">
        <v>913</v>
      </c>
      <c r="U317">
        <v>0</v>
      </c>
    </row>
    <row r="318" spans="1:21" x14ac:dyDescent="0.35">
      <c r="A318" t="s">
        <v>910</v>
      </c>
      <c r="B318" t="s">
        <v>910</v>
      </c>
      <c r="C318" t="s">
        <v>438</v>
      </c>
      <c r="D318" s="4">
        <v>256779413146</v>
      </c>
      <c r="E318" s="3">
        <v>45787</v>
      </c>
      <c r="F318" t="s">
        <v>56</v>
      </c>
      <c r="G318" t="s">
        <v>911</v>
      </c>
      <c r="H318" t="s">
        <v>911</v>
      </c>
      <c r="I318" s="27">
        <v>4000</v>
      </c>
      <c r="J318" t="s">
        <v>351</v>
      </c>
      <c r="K318" s="3">
        <v>45817</v>
      </c>
      <c r="M318" t="s">
        <v>912</v>
      </c>
      <c r="N318" s="2">
        <v>45962</v>
      </c>
      <c r="O318">
        <v>63776347</v>
      </c>
      <c r="P318">
        <v>1</v>
      </c>
      <c r="Q318" s="3">
        <v>45991</v>
      </c>
      <c r="R318">
        <v>230</v>
      </c>
      <c r="T318" t="s">
        <v>913</v>
      </c>
      <c r="U318">
        <v>0</v>
      </c>
    </row>
    <row r="319" spans="1:21" x14ac:dyDescent="0.35">
      <c r="A319" t="s">
        <v>910</v>
      </c>
      <c r="B319" t="s">
        <v>910</v>
      </c>
      <c r="C319" t="s">
        <v>438</v>
      </c>
      <c r="D319" s="4">
        <v>256779413147</v>
      </c>
      <c r="E319" s="3">
        <v>45787</v>
      </c>
      <c r="F319" t="s">
        <v>56</v>
      </c>
      <c r="G319" t="s">
        <v>911</v>
      </c>
      <c r="H319" t="s">
        <v>911</v>
      </c>
      <c r="I319">
        <v>160</v>
      </c>
      <c r="J319" t="s">
        <v>352</v>
      </c>
      <c r="K319" s="3">
        <v>45817</v>
      </c>
      <c r="M319" t="s">
        <v>912</v>
      </c>
      <c r="N319" s="2">
        <v>45962</v>
      </c>
      <c r="O319">
        <v>63776349</v>
      </c>
      <c r="P319">
        <v>1</v>
      </c>
      <c r="Q319" s="3">
        <v>45991</v>
      </c>
      <c r="R319">
        <v>230</v>
      </c>
      <c r="T319" t="s">
        <v>913</v>
      </c>
      <c r="U319">
        <v>0</v>
      </c>
    </row>
    <row r="320" spans="1:21" x14ac:dyDescent="0.35">
      <c r="A320" t="s">
        <v>910</v>
      </c>
      <c r="B320" t="s">
        <v>910</v>
      </c>
      <c r="C320" t="s">
        <v>438</v>
      </c>
      <c r="D320" s="4">
        <v>246779411789</v>
      </c>
      <c r="E320" s="3">
        <v>45733</v>
      </c>
      <c r="F320" t="s">
        <v>11</v>
      </c>
      <c r="G320">
        <v>8.56</v>
      </c>
      <c r="H320" t="s">
        <v>911</v>
      </c>
      <c r="I320">
        <v>745.08</v>
      </c>
      <c r="J320" t="s">
        <v>213</v>
      </c>
      <c r="K320" s="3">
        <v>45763</v>
      </c>
      <c r="M320" t="s">
        <v>912</v>
      </c>
      <c r="N320" s="2">
        <v>45962</v>
      </c>
      <c r="O320">
        <v>63776358</v>
      </c>
      <c r="P320">
        <v>1</v>
      </c>
      <c r="Q320" s="3">
        <v>45991</v>
      </c>
      <c r="R320">
        <v>230</v>
      </c>
      <c r="T320" t="s">
        <v>913</v>
      </c>
      <c r="U320">
        <v>0</v>
      </c>
    </row>
    <row r="321" spans="1:21" x14ac:dyDescent="0.35">
      <c r="A321" t="s">
        <v>910</v>
      </c>
      <c r="B321" t="s">
        <v>910</v>
      </c>
      <c r="C321" t="s">
        <v>438</v>
      </c>
      <c r="D321" s="4">
        <v>256779413250</v>
      </c>
      <c r="E321" s="3">
        <v>45787</v>
      </c>
      <c r="F321" t="s">
        <v>11</v>
      </c>
      <c r="G321">
        <v>8.4700000000000006</v>
      </c>
      <c r="H321" t="s">
        <v>911</v>
      </c>
      <c r="I321">
        <v>723.12</v>
      </c>
      <c r="J321" t="s">
        <v>353</v>
      </c>
      <c r="K321" s="3">
        <v>45817</v>
      </c>
      <c r="M321" t="s">
        <v>912</v>
      </c>
      <c r="N321" s="2">
        <v>45962</v>
      </c>
      <c r="O321">
        <v>63776370</v>
      </c>
      <c r="P321">
        <v>1</v>
      </c>
      <c r="Q321" s="3">
        <v>45991</v>
      </c>
      <c r="R321">
        <v>230</v>
      </c>
      <c r="T321" t="s">
        <v>913</v>
      </c>
      <c r="U321">
        <v>0</v>
      </c>
    </row>
    <row r="322" spans="1:21" x14ac:dyDescent="0.35">
      <c r="A322" t="s">
        <v>910</v>
      </c>
      <c r="B322" t="s">
        <v>910</v>
      </c>
      <c r="C322" t="s">
        <v>438</v>
      </c>
      <c r="D322" s="4">
        <v>256779413240</v>
      </c>
      <c r="E322" s="3">
        <v>45787</v>
      </c>
      <c r="F322" t="s">
        <v>11</v>
      </c>
      <c r="G322">
        <v>8.48</v>
      </c>
      <c r="H322" t="s">
        <v>911</v>
      </c>
      <c r="I322">
        <v>723.98</v>
      </c>
      <c r="J322" t="s">
        <v>354</v>
      </c>
      <c r="K322" s="3">
        <v>45817</v>
      </c>
      <c r="M322" t="s">
        <v>912</v>
      </c>
      <c r="N322" s="2">
        <v>45962</v>
      </c>
      <c r="O322">
        <v>63776371</v>
      </c>
      <c r="P322">
        <v>1</v>
      </c>
      <c r="Q322" s="3">
        <v>45991</v>
      </c>
      <c r="R322">
        <v>230</v>
      </c>
      <c r="T322" t="s">
        <v>913</v>
      </c>
      <c r="U322">
        <v>0</v>
      </c>
    </row>
    <row r="323" spans="1:21" x14ac:dyDescent="0.35">
      <c r="A323" t="s">
        <v>910</v>
      </c>
      <c r="B323" t="s">
        <v>910</v>
      </c>
      <c r="C323" t="s">
        <v>438</v>
      </c>
      <c r="D323" s="4">
        <v>256779412776</v>
      </c>
      <c r="E323" s="3">
        <v>45771</v>
      </c>
      <c r="F323" t="s">
        <v>11</v>
      </c>
      <c r="G323">
        <v>12.65</v>
      </c>
      <c r="H323" t="s">
        <v>911</v>
      </c>
      <c r="I323" s="27">
        <v>1084.45</v>
      </c>
      <c r="J323" t="s">
        <v>21</v>
      </c>
      <c r="K323" s="3">
        <v>45801</v>
      </c>
      <c r="M323" t="s">
        <v>912</v>
      </c>
      <c r="N323" s="2">
        <v>45962</v>
      </c>
      <c r="O323">
        <v>63776375</v>
      </c>
      <c r="P323">
        <v>1</v>
      </c>
      <c r="Q323" s="3">
        <v>45991</v>
      </c>
      <c r="R323">
        <v>230</v>
      </c>
      <c r="T323" t="s">
        <v>913</v>
      </c>
      <c r="U323">
        <v>0</v>
      </c>
    </row>
    <row r="324" spans="1:21" x14ac:dyDescent="0.35">
      <c r="A324" t="s">
        <v>910</v>
      </c>
      <c r="B324" t="s">
        <v>910</v>
      </c>
      <c r="C324" t="s">
        <v>438</v>
      </c>
      <c r="D324" s="4">
        <v>246779411730</v>
      </c>
      <c r="E324" s="3">
        <v>45733</v>
      </c>
      <c r="F324" t="s">
        <v>11</v>
      </c>
      <c r="G324">
        <v>0.23</v>
      </c>
      <c r="H324" t="s">
        <v>911</v>
      </c>
      <c r="I324">
        <v>20.02</v>
      </c>
      <c r="J324" t="s">
        <v>214</v>
      </c>
      <c r="K324" s="3">
        <v>45763</v>
      </c>
      <c r="M324" t="s">
        <v>912</v>
      </c>
      <c r="N324" s="2">
        <v>45962</v>
      </c>
      <c r="O324">
        <v>63776378</v>
      </c>
      <c r="P324">
        <v>1</v>
      </c>
      <c r="Q324" s="3">
        <v>45991</v>
      </c>
      <c r="R324">
        <v>230</v>
      </c>
      <c r="T324" t="s">
        <v>913</v>
      </c>
      <c r="U324">
        <v>0</v>
      </c>
    </row>
    <row r="325" spans="1:21" x14ac:dyDescent="0.35">
      <c r="A325" t="s">
        <v>910</v>
      </c>
      <c r="B325" t="s">
        <v>910</v>
      </c>
      <c r="C325" t="s">
        <v>438</v>
      </c>
      <c r="D325" s="4">
        <v>256779414431</v>
      </c>
      <c r="E325" s="3">
        <v>45826</v>
      </c>
      <c r="F325" t="s">
        <v>11</v>
      </c>
      <c r="G325">
        <v>1.05</v>
      </c>
      <c r="H325" t="s">
        <v>911</v>
      </c>
      <c r="I325">
        <v>89.32</v>
      </c>
      <c r="J325" t="s">
        <v>131</v>
      </c>
      <c r="K325" s="3">
        <v>45856</v>
      </c>
      <c r="M325" t="s">
        <v>912</v>
      </c>
      <c r="N325" s="2">
        <v>45962</v>
      </c>
      <c r="O325">
        <v>63776383</v>
      </c>
      <c r="P325">
        <v>1</v>
      </c>
      <c r="Q325" s="3">
        <v>45991</v>
      </c>
      <c r="R325">
        <v>230</v>
      </c>
      <c r="T325" t="s">
        <v>913</v>
      </c>
      <c r="U325">
        <v>0</v>
      </c>
    </row>
    <row r="326" spans="1:21" x14ac:dyDescent="0.35">
      <c r="A326" t="s">
        <v>910</v>
      </c>
      <c r="B326" t="s">
        <v>910</v>
      </c>
      <c r="C326" t="s">
        <v>438</v>
      </c>
      <c r="D326" s="4">
        <v>256779413931</v>
      </c>
      <c r="E326" s="3">
        <v>45810</v>
      </c>
      <c r="F326" t="s">
        <v>11</v>
      </c>
      <c r="G326">
        <v>7.9</v>
      </c>
      <c r="H326" t="s">
        <v>911</v>
      </c>
      <c r="I326">
        <v>672.01</v>
      </c>
      <c r="J326" t="s">
        <v>429</v>
      </c>
      <c r="K326" s="3">
        <v>45840</v>
      </c>
      <c r="M326" t="s">
        <v>912</v>
      </c>
      <c r="N326" s="2">
        <v>45962</v>
      </c>
      <c r="O326">
        <v>63776391</v>
      </c>
      <c r="P326">
        <v>1</v>
      </c>
      <c r="Q326" s="3">
        <v>45991</v>
      </c>
      <c r="R326">
        <v>230</v>
      </c>
      <c r="T326" t="s">
        <v>913</v>
      </c>
      <c r="U326">
        <v>0</v>
      </c>
    </row>
    <row r="327" spans="1:21" x14ac:dyDescent="0.35">
      <c r="A327" t="s">
        <v>910</v>
      </c>
      <c r="B327" t="s">
        <v>910</v>
      </c>
      <c r="C327" t="s">
        <v>438</v>
      </c>
      <c r="D327" s="4">
        <v>256779413908</v>
      </c>
      <c r="E327" s="3">
        <v>45805</v>
      </c>
      <c r="F327" t="s">
        <v>11</v>
      </c>
      <c r="G327">
        <v>64.02</v>
      </c>
      <c r="H327" t="s">
        <v>911</v>
      </c>
      <c r="I327" s="27">
        <v>5465.67</v>
      </c>
      <c r="J327" t="s">
        <v>14</v>
      </c>
      <c r="K327" s="3">
        <v>45835</v>
      </c>
      <c r="M327" t="s">
        <v>912</v>
      </c>
      <c r="N327" s="2">
        <v>45962</v>
      </c>
      <c r="O327">
        <v>63776634</v>
      </c>
      <c r="P327">
        <v>1</v>
      </c>
      <c r="Q327" s="3">
        <v>45991</v>
      </c>
      <c r="R327">
        <v>230</v>
      </c>
      <c r="T327" t="s">
        <v>913</v>
      </c>
      <c r="U327">
        <v>0</v>
      </c>
    </row>
    <row r="328" spans="1:21" x14ac:dyDescent="0.35">
      <c r="A328" t="s">
        <v>910</v>
      </c>
      <c r="B328" t="s">
        <v>910</v>
      </c>
      <c r="C328" t="s">
        <v>438</v>
      </c>
      <c r="D328" s="4">
        <v>256779417971</v>
      </c>
      <c r="E328" s="3">
        <v>45935</v>
      </c>
      <c r="F328" t="s">
        <v>11</v>
      </c>
      <c r="G328">
        <v>1.9</v>
      </c>
      <c r="H328" t="s">
        <v>911</v>
      </c>
      <c r="I328">
        <v>168.45</v>
      </c>
      <c r="J328" t="s">
        <v>380</v>
      </c>
      <c r="K328" s="3">
        <v>45965</v>
      </c>
      <c r="M328" t="s">
        <v>912</v>
      </c>
      <c r="N328" s="2">
        <v>45992</v>
      </c>
      <c r="O328">
        <v>64690005</v>
      </c>
      <c r="P328">
        <v>1</v>
      </c>
      <c r="Q328" s="3">
        <v>46005</v>
      </c>
      <c r="R328">
        <v>230</v>
      </c>
      <c r="T328" t="s">
        <v>913</v>
      </c>
      <c r="U328">
        <v>0</v>
      </c>
    </row>
    <row r="329" spans="1:21" x14ac:dyDescent="0.35">
      <c r="A329" t="s">
        <v>910</v>
      </c>
      <c r="B329" t="s">
        <v>910</v>
      </c>
      <c r="C329" t="s">
        <v>438</v>
      </c>
      <c r="D329" s="4">
        <v>256779411465</v>
      </c>
      <c r="E329" s="3">
        <v>45762</v>
      </c>
      <c r="F329" t="s">
        <v>11</v>
      </c>
      <c r="G329">
        <v>0.65</v>
      </c>
      <c r="H329" t="s">
        <v>911</v>
      </c>
      <c r="I329">
        <v>55.72</v>
      </c>
      <c r="J329" t="s">
        <v>227</v>
      </c>
      <c r="K329" s="3">
        <v>45792</v>
      </c>
      <c r="M329" t="s">
        <v>912</v>
      </c>
      <c r="N329" s="2">
        <v>45992</v>
      </c>
      <c r="O329">
        <v>64790171</v>
      </c>
      <c r="P329">
        <v>1</v>
      </c>
      <c r="Q329" s="3">
        <v>46006</v>
      </c>
      <c r="R329">
        <v>230</v>
      </c>
      <c r="T329" t="s">
        <v>913</v>
      </c>
      <c r="U329">
        <v>0</v>
      </c>
    </row>
    <row r="330" spans="1:21" x14ac:dyDescent="0.35">
      <c r="A330" t="s">
        <v>910</v>
      </c>
      <c r="B330" t="s">
        <v>910</v>
      </c>
      <c r="C330" t="s">
        <v>438</v>
      </c>
      <c r="D330" s="4">
        <v>256779417317</v>
      </c>
      <c r="E330" s="3">
        <v>45904</v>
      </c>
      <c r="F330" t="s">
        <v>11</v>
      </c>
      <c r="G330">
        <v>3.42</v>
      </c>
      <c r="H330" t="s">
        <v>911</v>
      </c>
      <c r="I330">
        <v>299.77</v>
      </c>
      <c r="J330" t="s">
        <v>401</v>
      </c>
      <c r="K330" s="3">
        <v>45934</v>
      </c>
      <c r="M330" t="s">
        <v>912</v>
      </c>
      <c r="N330" s="2">
        <v>45992</v>
      </c>
      <c r="O330">
        <v>64790190</v>
      </c>
      <c r="P330">
        <v>1</v>
      </c>
      <c r="Q330" s="3">
        <v>46006</v>
      </c>
      <c r="R330">
        <v>230</v>
      </c>
      <c r="T330" t="s">
        <v>913</v>
      </c>
      <c r="U330">
        <v>0</v>
      </c>
    </row>
    <row r="331" spans="1:21" x14ac:dyDescent="0.35">
      <c r="A331" t="s">
        <v>910</v>
      </c>
      <c r="B331" t="s">
        <v>910</v>
      </c>
      <c r="C331" t="s">
        <v>438</v>
      </c>
      <c r="D331" s="4">
        <v>256779416030</v>
      </c>
      <c r="E331" s="3">
        <v>45870</v>
      </c>
      <c r="F331" t="s">
        <v>11</v>
      </c>
      <c r="G331">
        <v>1.02</v>
      </c>
      <c r="H331" t="s">
        <v>911</v>
      </c>
      <c r="I331">
        <v>88.36</v>
      </c>
      <c r="J331" t="s">
        <v>431</v>
      </c>
      <c r="K331" s="3">
        <v>45900</v>
      </c>
      <c r="M331" t="s">
        <v>912</v>
      </c>
      <c r="N331" s="2">
        <v>45992</v>
      </c>
      <c r="O331">
        <v>64790199</v>
      </c>
      <c r="P331">
        <v>1</v>
      </c>
      <c r="Q331" s="3">
        <v>46006</v>
      </c>
      <c r="R331">
        <v>230</v>
      </c>
      <c r="T331" t="s">
        <v>913</v>
      </c>
      <c r="U331">
        <v>0</v>
      </c>
    </row>
    <row r="332" spans="1:21" x14ac:dyDescent="0.35">
      <c r="A332" t="s">
        <v>910</v>
      </c>
      <c r="B332" t="s">
        <v>910</v>
      </c>
      <c r="C332" t="s">
        <v>438</v>
      </c>
      <c r="D332" s="4">
        <v>256779411466</v>
      </c>
      <c r="E332" s="3">
        <v>45762</v>
      </c>
      <c r="F332" t="s">
        <v>11</v>
      </c>
      <c r="G332">
        <v>0.71</v>
      </c>
      <c r="H332" t="s">
        <v>911</v>
      </c>
      <c r="I332">
        <v>60.87</v>
      </c>
      <c r="J332" t="s">
        <v>228</v>
      </c>
      <c r="K332" s="3">
        <v>45792</v>
      </c>
      <c r="M332" t="s">
        <v>912</v>
      </c>
      <c r="N332" s="2">
        <v>45992</v>
      </c>
      <c r="O332">
        <v>64790203</v>
      </c>
      <c r="P332">
        <v>1</v>
      </c>
      <c r="Q332" s="3">
        <v>46006</v>
      </c>
      <c r="R332">
        <v>230</v>
      </c>
      <c r="T332" t="s">
        <v>913</v>
      </c>
      <c r="U332">
        <v>0</v>
      </c>
    </row>
    <row r="333" spans="1:21" x14ac:dyDescent="0.35">
      <c r="A333" t="s">
        <v>910</v>
      </c>
      <c r="B333" t="s">
        <v>910</v>
      </c>
      <c r="C333" t="s">
        <v>438</v>
      </c>
      <c r="D333" s="4">
        <v>256779416028</v>
      </c>
      <c r="E333" s="3">
        <v>45870</v>
      </c>
      <c r="F333" t="s">
        <v>11</v>
      </c>
      <c r="G333">
        <v>46.5</v>
      </c>
      <c r="H333" t="s">
        <v>911</v>
      </c>
      <c r="I333" s="27">
        <v>4028.34</v>
      </c>
      <c r="J333" t="s">
        <v>432</v>
      </c>
      <c r="K333" s="3">
        <v>45900</v>
      </c>
      <c r="M333" t="s">
        <v>912</v>
      </c>
      <c r="N333" s="2">
        <v>45992</v>
      </c>
      <c r="O333">
        <v>64790207</v>
      </c>
      <c r="P333">
        <v>1</v>
      </c>
      <c r="Q333" s="3">
        <v>46006</v>
      </c>
      <c r="R333">
        <v>230</v>
      </c>
      <c r="T333" t="s">
        <v>913</v>
      </c>
      <c r="U333">
        <v>0</v>
      </c>
    </row>
    <row r="334" spans="1:21" x14ac:dyDescent="0.35">
      <c r="A334" t="s">
        <v>910</v>
      </c>
      <c r="B334" t="s">
        <v>910</v>
      </c>
      <c r="C334" t="s">
        <v>438</v>
      </c>
      <c r="D334" s="4">
        <v>256779419542</v>
      </c>
      <c r="E334" s="3">
        <v>45981</v>
      </c>
      <c r="F334" t="s">
        <v>11</v>
      </c>
      <c r="G334">
        <v>8.19</v>
      </c>
      <c r="H334" t="s">
        <v>911</v>
      </c>
      <c r="I334">
        <v>722.79</v>
      </c>
      <c r="J334" t="s">
        <v>62</v>
      </c>
      <c r="K334" s="3">
        <v>46011</v>
      </c>
      <c r="M334" t="s">
        <v>912</v>
      </c>
      <c r="N334" s="2">
        <v>45992</v>
      </c>
      <c r="O334">
        <v>64790209</v>
      </c>
      <c r="P334">
        <v>1</v>
      </c>
      <c r="Q334" s="3">
        <v>46006</v>
      </c>
      <c r="R334">
        <v>230</v>
      </c>
      <c r="T334" t="s">
        <v>913</v>
      </c>
      <c r="U334">
        <v>0</v>
      </c>
    </row>
    <row r="335" spans="1:21" x14ac:dyDescent="0.35">
      <c r="A335" t="s">
        <v>910</v>
      </c>
      <c r="B335" t="s">
        <v>910</v>
      </c>
      <c r="C335" t="s">
        <v>438</v>
      </c>
      <c r="D335" s="4">
        <v>256779416029</v>
      </c>
      <c r="E335" s="3">
        <v>45870</v>
      </c>
      <c r="F335" t="s">
        <v>11</v>
      </c>
      <c r="G335">
        <v>1.86</v>
      </c>
      <c r="H335" t="s">
        <v>911</v>
      </c>
      <c r="I335">
        <v>161.13</v>
      </c>
      <c r="J335" t="s">
        <v>433</v>
      </c>
      <c r="K335" s="3">
        <v>45900</v>
      </c>
      <c r="M335" t="s">
        <v>912</v>
      </c>
      <c r="N335" s="2">
        <v>45992</v>
      </c>
      <c r="O335">
        <v>64790217</v>
      </c>
      <c r="P335">
        <v>1</v>
      </c>
      <c r="Q335" s="3">
        <v>46006</v>
      </c>
      <c r="R335">
        <v>230</v>
      </c>
      <c r="T335" t="s">
        <v>913</v>
      </c>
      <c r="U335">
        <v>0</v>
      </c>
    </row>
    <row r="336" spans="1:21" x14ac:dyDescent="0.35">
      <c r="A336" t="s">
        <v>910</v>
      </c>
      <c r="B336" t="s">
        <v>910</v>
      </c>
      <c r="C336" t="s">
        <v>438</v>
      </c>
      <c r="D336" s="4">
        <v>256779417875</v>
      </c>
      <c r="E336" s="3">
        <v>45935</v>
      </c>
      <c r="F336" t="s">
        <v>11</v>
      </c>
      <c r="G336">
        <v>45.36</v>
      </c>
      <c r="H336" t="s">
        <v>911</v>
      </c>
      <c r="I336" s="27">
        <v>4021.59</v>
      </c>
      <c r="J336" t="s">
        <v>381</v>
      </c>
      <c r="K336" s="3">
        <v>45965</v>
      </c>
      <c r="M336" t="s">
        <v>912</v>
      </c>
      <c r="N336" s="2">
        <v>45992</v>
      </c>
      <c r="O336">
        <v>64790219</v>
      </c>
      <c r="P336">
        <v>1</v>
      </c>
      <c r="Q336" s="3">
        <v>46006</v>
      </c>
      <c r="R336">
        <v>230</v>
      </c>
      <c r="T336" t="s">
        <v>913</v>
      </c>
      <c r="U336">
        <v>0</v>
      </c>
    </row>
    <row r="337" spans="1:21" x14ac:dyDescent="0.35">
      <c r="A337" t="s">
        <v>910</v>
      </c>
      <c r="B337" t="s">
        <v>910</v>
      </c>
      <c r="C337" t="s">
        <v>438</v>
      </c>
      <c r="D337" s="4">
        <v>256779417876</v>
      </c>
      <c r="E337" s="3">
        <v>45935</v>
      </c>
      <c r="F337" t="s">
        <v>11</v>
      </c>
      <c r="G337">
        <v>1.81</v>
      </c>
      <c r="H337" t="s">
        <v>911</v>
      </c>
      <c r="I337">
        <v>160.47</v>
      </c>
      <c r="J337" t="s">
        <v>382</v>
      </c>
      <c r="K337" s="3">
        <v>45965</v>
      </c>
      <c r="M337" t="s">
        <v>912</v>
      </c>
      <c r="N337" s="2">
        <v>45992</v>
      </c>
      <c r="O337">
        <v>64790865</v>
      </c>
      <c r="P337">
        <v>1</v>
      </c>
      <c r="Q337" s="3">
        <v>46006</v>
      </c>
      <c r="R337">
        <v>230</v>
      </c>
      <c r="T337" t="s">
        <v>913</v>
      </c>
      <c r="U337">
        <v>0</v>
      </c>
    </row>
    <row r="338" spans="1:21" x14ac:dyDescent="0.35">
      <c r="A338" t="s">
        <v>910</v>
      </c>
      <c r="B338" t="s">
        <v>910</v>
      </c>
      <c r="C338" t="s">
        <v>438</v>
      </c>
      <c r="D338" s="4">
        <v>256779418433</v>
      </c>
      <c r="E338" s="3">
        <v>45948</v>
      </c>
      <c r="F338" t="s">
        <v>11</v>
      </c>
      <c r="G338">
        <v>7.03</v>
      </c>
      <c r="H338" t="s">
        <v>911</v>
      </c>
      <c r="I338">
        <v>623.28</v>
      </c>
      <c r="J338" t="s">
        <v>115</v>
      </c>
      <c r="K338" s="3">
        <v>45978</v>
      </c>
      <c r="M338" t="s">
        <v>912</v>
      </c>
      <c r="N338" s="2">
        <v>45992</v>
      </c>
      <c r="O338">
        <v>64790870</v>
      </c>
      <c r="P338">
        <v>1</v>
      </c>
      <c r="Q338" s="3">
        <v>46006</v>
      </c>
      <c r="R338">
        <v>230</v>
      </c>
      <c r="T338" t="s">
        <v>913</v>
      </c>
      <c r="U338">
        <v>0</v>
      </c>
    </row>
    <row r="339" spans="1:21" x14ac:dyDescent="0.35">
      <c r="A339" t="s">
        <v>910</v>
      </c>
      <c r="B339" t="s">
        <v>910</v>
      </c>
      <c r="C339" t="s">
        <v>438</v>
      </c>
      <c r="D339" s="4">
        <v>256779419211</v>
      </c>
      <c r="E339" s="3">
        <v>45966</v>
      </c>
      <c r="F339" t="s">
        <v>11</v>
      </c>
      <c r="G339">
        <v>0.56000000000000005</v>
      </c>
      <c r="H339" t="s">
        <v>911</v>
      </c>
      <c r="I339">
        <v>49.42</v>
      </c>
      <c r="J339" t="s">
        <v>372</v>
      </c>
      <c r="K339" s="3">
        <v>45996</v>
      </c>
      <c r="M339" t="s">
        <v>912</v>
      </c>
      <c r="N339" s="2">
        <v>45992</v>
      </c>
      <c r="O339">
        <v>64790872</v>
      </c>
      <c r="P339">
        <v>1</v>
      </c>
      <c r="Q339" s="3">
        <v>46006</v>
      </c>
      <c r="R339">
        <v>230</v>
      </c>
      <c r="T339" t="s">
        <v>913</v>
      </c>
      <c r="U339">
        <v>0</v>
      </c>
    </row>
    <row r="340" spans="1:21" x14ac:dyDescent="0.35">
      <c r="A340" t="s">
        <v>910</v>
      </c>
      <c r="B340" t="s">
        <v>910</v>
      </c>
      <c r="C340" t="s">
        <v>438</v>
      </c>
      <c r="D340" s="4">
        <v>256779417931</v>
      </c>
      <c r="E340" s="3">
        <v>45935</v>
      </c>
      <c r="F340" t="s">
        <v>11</v>
      </c>
      <c r="G340">
        <v>5.78</v>
      </c>
      <c r="H340" t="s">
        <v>911</v>
      </c>
      <c r="I340">
        <v>512.45000000000005</v>
      </c>
      <c r="J340" t="s">
        <v>383</v>
      </c>
      <c r="K340" s="3">
        <v>45965</v>
      </c>
      <c r="M340" t="s">
        <v>912</v>
      </c>
      <c r="N340" s="2">
        <v>45992</v>
      </c>
      <c r="O340">
        <v>64790876</v>
      </c>
      <c r="P340">
        <v>1</v>
      </c>
      <c r="Q340" s="3">
        <v>46006</v>
      </c>
      <c r="R340">
        <v>230</v>
      </c>
      <c r="T340" t="s">
        <v>913</v>
      </c>
      <c r="U340">
        <v>0</v>
      </c>
    </row>
    <row r="341" spans="1:21" x14ac:dyDescent="0.35">
      <c r="A341" t="s">
        <v>910</v>
      </c>
      <c r="B341" t="s">
        <v>910</v>
      </c>
      <c r="C341" t="s">
        <v>438</v>
      </c>
      <c r="D341" s="4">
        <v>256779418424</v>
      </c>
      <c r="E341" s="3">
        <v>45948</v>
      </c>
      <c r="F341" t="s">
        <v>11</v>
      </c>
      <c r="G341">
        <v>26.69</v>
      </c>
      <c r="H341" t="s">
        <v>911</v>
      </c>
      <c r="I341" s="27">
        <v>2366.3200000000002</v>
      </c>
      <c r="J341" t="s">
        <v>116</v>
      </c>
      <c r="K341" s="3">
        <v>45978</v>
      </c>
      <c r="M341" t="s">
        <v>912</v>
      </c>
      <c r="N341" s="2">
        <v>45992</v>
      </c>
      <c r="O341">
        <v>64790879</v>
      </c>
      <c r="P341">
        <v>1</v>
      </c>
      <c r="Q341" s="3">
        <v>46006</v>
      </c>
      <c r="R341">
        <v>230</v>
      </c>
      <c r="T341" t="s">
        <v>913</v>
      </c>
      <c r="U341">
        <v>0</v>
      </c>
    </row>
    <row r="342" spans="1:21" x14ac:dyDescent="0.35">
      <c r="A342" t="s">
        <v>910</v>
      </c>
      <c r="B342" t="s">
        <v>910</v>
      </c>
      <c r="C342" t="s">
        <v>438</v>
      </c>
      <c r="D342" s="4">
        <v>256779418391</v>
      </c>
      <c r="E342" s="3">
        <v>45935</v>
      </c>
      <c r="F342" t="s">
        <v>11</v>
      </c>
      <c r="G342">
        <v>0.77</v>
      </c>
      <c r="H342" t="s">
        <v>911</v>
      </c>
      <c r="I342">
        <v>68.27</v>
      </c>
      <c r="J342" t="s">
        <v>384</v>
      </c>
      <c r="K342" s="3">
        <v>45965</v>
      </c>
      <c r="M342" t="s">
        <v>912</v>
      </c>
      <c r="N342" s="2">
        <v>45992</v>
      </c>
      <c r="O342">
        <v>64790882</v>
      </c>
      <c r="P342">
        <v>1</v>
      </c>
      <c r="Q342" s="3">
        <v>46006</v>
      </c>
      <c r="R342">
        <v>230</v>
      </c>
      <c r="T342" t="s">
        <v>913</v>
      </c>
      <c r="U342">
        <v>0</v>
      </c>
    </row>
    <row r="343" spans="1:21" x14ac:dyDescent="0.35">
      <c r="A343" t="s">
        <v>910</v>
      </c>
      <c r="B343" t="s">
        <v>910</v>
      </c>
      <c r="C343" t="s">
        <v>438</v>
      </c>
      <c r="D343" s="4">
        <v>256779417877</v>
      </c>
      <c r="E343" s="3">
        <v>45935</v>
      </c>
      <c r="F343" t="s">
        <v>11</v>
      </c>
      <c r="G343">
        <v>1</v>
      </c>
      <c r="H343" t="s">
        <v>911</v>
      </c>
      <c r="I343">
        <v>88.66</v>
      </c>
      <c r="J343" t="s">
        <v>385</v>
      </c>
      <c r="K343" s="3">
        <v>45965</v>
      </c>
      <c r="M343" t="s">
        <v>912</v>
      </c>
      <c r="N343" s="2">
        <v>45992</v>
      </c>
      <c r="O343">
        <v>64790887</v>
      </c>
      <c r="P343">
        <v>1</v>
      </c>
      <c r="Q343" s="3">
        <v>46006</v>
      </c>
      <c r="R343">
        <v>230</v>
      </c>
      <c r="T343" t="s">
        <v>913</v>
      </c>
      <c r="U343">
        <v>0</v>
      </c>
    </row>
    <row r="344" spans="1:21" x14ac:dyDescent="0.35">
      <c r="A344" t="s">
        <v>910</v>
      </c>
      <c r="B344" t="s">
        <v>910</v>
      </c>
      <c r="C344" t="s">
        <v>438</v>
      </c>
      <c r="D344" s="4">
        <v>256779417892</v>
      </c>
      <c r="E344" s="3">
        <v>45935</v>
      </c>
      <c r="F344" t="s">
        <v>11</v>
      </c>
      <c r="G344">
        <v>1.17</v>
      </c>
      <c r="H344" t="s">
        <v>911</v>
      </c>
      <c r="I344">
        <v>103.73</v>
      </c>
      <c r="J344" t="s">
        <v>386</v>
      </c>
      <c r="K344" s="3">
        <v>45965</v>
      </c>
      <c r="M344" t="s">
        <v>912</v>
      </c>
      <c r="N344" s="2">
        <v>45992</v>
      </c>
      <c r="O344">
        <v>64792597</v>
      </c>
      <c r="P344">
        <v>1</v>
      </c>
      <c r="Q344" s="3">
        <v>46006</v>
      </c>
      <c r="R344">
        <v>230</v>
      </c>
      <c r="T344" t="s">
        <v>913</v>
      </c>
      <c r="U344">
        <v>0</v>
      </c>
    </row>
    <row r="345" spans="1:21" x14ac:dyDescent="0.35">
      <c r="A345" t="s">
        <v>910</v>
      </c>
      <c r="B345" t="s">
        <v>910</v>
      </c>
      <c r="C345" t="s">
        <v>438</v>
      </c>
      <c r="D345" s="4">
        <v>256779418480</v>
      </c>
      <c r="E345" s="3">
        <v>45951</v>
      </c>
      <c r="F345" t="s">
        <v>11</v>
      </c>
      <c r="G345">
        <v>0.27</v>
      </c>
      <c r="H345" t="s">
        <v>911</v>
      </c>
      <c r="I345">
        <v>23.94</v>
      </c>
      <c r="J345" t="s">
        <v>44</v>
      </c>
      <c r="K345" s="3">
        <v>45981</v>
      </c>
      <c r="M345" t="s">
        <v>912</v>
      </c>
      <c r="N345" s="2">
        <v>45992</v>
      </c>
      <c r="O345">
        <v>64792606</v>
      </c>
      <c r="P345">
        <v>1</v>
      </c>
      <c r="Q345" s="3">
        <v>46006</v>
      </c>
      <c r="R345">
        <v>230</v>
      </c>
      <c r="T345" t="s">
        <v>913</v>
      </c>
      <c r="U345">
        <v>0</v>
      </c>
    </row>
    <row r="346" spans="1:21" x14ac:dyDescent="0.35">
      <c r="A346" t="s">
        <v>910</v>
      </c>
      <c r="B346" t="s">
        <v>910</v>
      </c>
      <c r="C346" t="s">
        <v>438</v>
      </c>
      <c r="D346" s="4">
        <v>256779411463</v>
      </c>
      <c r="E346" s="3">
        <v>45762</v>
      </c>
      <c r="F346" t="s">
        <v>11</v>
      </c>
      <c r="G346">
        <v>0.47</v>
      </c>
      <c r="H346" t="s">
        <v>911</v>
      </c>
      <c r="I346">
        <v>40.29</v>
      </c>
      <c r="J346" t="s">
        <v>229</v>
      </c>
      <c r="K346" s="3">
        <v>45792</v>
      </c>
      <c r="M346" t="s">
        <v>912</v>
      </c>
      <c r="N346" s="2">
        <v>45992</v>
      </c>
      <c r="O346">
        <v>64792616</v>
      </c>
      <c r="P346">
        <v>1</v>
      </c>
      <c r="Q346" s="3">
        <v>46006</v>
      </c>
      <c r="R346">
        <v>230</v>
      </c>
      <c r="T346" t="s">
        <v>913</v>
      </c>
      <c r="U346">
        <v>0</v>
      </c>
    </row>
    <row r="347" spans="1:21" x14ac:dyDescent="0.35">
      <c r="A347" t="s">
        <v>910</v>
      </c>
      <c r="B347" t="s">
        <v>910</v>
      </c>
      <c r="C347" t="s">
        <v>438</v>
      </c>
      <c r="D347" s="4">
        <v>256779417280</v>
      </c>
      <c r="E347" s="3">
        <v>45904</v>
      </c>
      <c r="F347" t="s">
        <v>11</v>
      </c>
      <c r="G347">
        <v>5</v>
      </c>
      <c r="H347" t="s">
        <v>911</v>
      </c>
      <c r="I347">
        <v>438.26</v>
      </c>
      <c r="J347" t="s">
        <v>402</v>
      </c>
      <c r="K347" s="3">
        <v>45934</v>
      </c>
      <c r="M347" t="s">
        <v>912</v>
      </c>
      <c r="N347" s="2">
        <v>45992</v>
      </c>
      <c r="O347">
        <v>64792619</v>
      </c>
      <c r="P347">
        <v>1</v>
      </c>
      <c r="Q347" s="3">
        <v>46006</v>
      </c>
      <c r="R347">
        <v>230</v>
      </c>
      <c r="T347" t="s">
        <v>913</v>
      </c>
      <c r="U347">
        <v>0</v>
      </c>
    </row>
    <row r="348" spans="1:21" x14ac:dyDescent="0.35">
      <c r="A348" t="s">
        <v>910</v>
      </c>
      <c r="B348" t="s">
        <v>910</v>
      </c>
      <c r="C348" t="s">
        <v>438</v>
      </c>
      <c r="D348" s="4">
        <v>256779419165</v>
      </c>
      <c r="E348" s="3">
        <v>45966</v>
      </c>
      <c r="F348" t="s">
        <v>11</v>
      </c>
      <c r="G348">
        <v>3.83</v>
      </c>
      <c r="H348" t="s">
        <v>911</v>
      </c>
      <c r="I348">
        <v>338.01</v>
      </c>
      <c r="J348" t="s">
        <v>373</v>
      </c>
      <c r="K348" s="3">
        <v>45996</v>
      </c>
      <c r="M348" t="s">
        <v>912</v>
      </c>
      <c r="N348" s="2">
        <v>45992</v>
      </c>
      <c r="O348">
        <v>65156305</v>
      </c>
      <c r="P348">
        <v>1</v>
      </c>
      <c r="Q348" s="3">
        <v>46010</v>
      </c>
      <c r="R348">
        <v>230</v>
      </c>
      <c r="T348" t="s">
        <v>913</v>
      </c>
      <c r="U348">
        <v>0</v>
      </c>
    </row>
    <row r="349" spans="1:21" x14ac:dyDescent="0.35">
      <c r="A349" t="s">
        <v>910</v>
      </c>
      <c r="B349" t="s">
        <v>910</v>
      </c>
      <c r="C349" t="s">
        <v>438</v>
      </c>
      <c r="D349" s="4">
        <v>256779419192</v>
      </c>
      <c r="E349" s="3">
        <v>45966</v>
      </c>
      <c r="F349" t="s">
        <v>11</v>
      </c>
      <c r="G349">
        <v>3.44</v>
      </c>
      <c r="H349" t="s">
        <v>911</v>
      </c>
      <c r="I349">
        <v>303.58999999999997</v>
      </c>
      <c r="J349" t="s">
        <v>374</v>
      </c>
      <c r="K349" s="3">
        <v>45996</v>
      </c>
      <c r="M349" t="s">
        <v>912</v>
      </c>
      <c r="N349" s="2">
        <v>45992</v>
      </c>
      <c r="O349">
        <v>65156306</v>
      </c>
      <c r="P349">
        <v>1</v>
      </c>
      <c r="Q349" s="3">
        <v>46010</v>
      </c>
      <c r="R349">
        <v>230</v>
      </c>
      <c r="T349" t="s">
        <v>913</v>
      </c>
      <c r="U349">
        <v>0</v>
      </c>
    </row>
    <row r="350" spans="1:21" x14ac:dyDescent="0.35">
      <c r="A350" t="s">
        <v>910</v>
      </c>
      <c r="B350" t="s">
        <v>910</v>
      </c>
      <c r="C350" t="s">
        <v>438</v>
      </c>
      <c r="D350" s="4">
        <v>256779418777</v>
      </c>
      <c r="E350" s="3">
        <v>45966</v>
      </c>
      <c r="F350" t="s">
        <v>11</v>
      </c>
      <c r="G350">
        <v>45.45</v>
      </c>
      <c r="H350" t="s">
        <v>911</v>
      </c>
      <c r="I350" s="27">
        <v>4011.08</v>
      </c>
      <c r="J350" t="s">
        <v>375</v>
      </c>
      <c r="K350" s="3">
        <v>45996</v>
      </c>
      <c r="M350" t="s">
        <v>912</v>
      </c>
      <c r="N350" s="2">
        <v>45992</v>
      </c>
      <c r="O350">
        <v>65156325</v>
      </c>
      <c r="P350">
        <v>1</v>
      </c>
      <c r="Q350" s="3">
        <v>46010</v>
      </c>
      <c r="R350">
        <v>230</v>
      </c>
      <c r="T350" t="s">
        <v>913</v>
      </c>
      <c r="U350">
        <v>0</v>
      </c>
    </row>
    <row r="351" spans="1:21" x14ac:dyDescent="0.35">
      <c r="A351" t="s">
        <v>910</v>
      </c>
      <c r="B351" t="s">
        <v>910</v>
      </c>
      <c r="C351" t="s">
        <v>438</v>
      </c>
      <c r="D351" s="4">
        <v>256779418779</v>
      </c>
      <c r="E351" s="3">
        <v>45966</v>
      </c>
      <c r="F351" t="s">
        <v>11</v>
      </c>
      <c r="G351">
        <v>1</v>
      </c>
      <c r="H351" t="s">
        <v>911</v>
      </c>
      <c r="I351">
        <v>88.25</v>
      </c>
      <c r="J351" t="s">
        <v>376</v>
      </c>
      <c r="K351" s="3">
        <v>45996</v>
      </c>
      <c r="M351" t="s">
        <v>912</v>
      </c>
      <c r="N351" s="2">
        <v>45992</v>
      </c>
      <c r="O351">
        <v>65156362</v>
      </c>
      <c r="P351">
        <v>1</v>
      </c>
      <c r="Q351" s="3">
        <v>46010</v>
      </c>
      <c r="R351">
        <v>230</v>
      </c>
      <c r="T351" t="s">
        <v>913</v>
      </c>
      <c r="U351">
        <v>0</v>
      </c>
    </row>
    <row r="352" spans="1:21" x14ac:dyDescent="0.35">
      <c r="A352" t="s">
        <v>910</v>
      </c>
      <c r="B352" t="s">
        <v>910</v>
      </c>
      <c r="C352" t="s">
        <v>438</v>
      </c>
      <c r="D352" s="4">
        <v>256779419122</v>
      </c>
      <c r="E352" s="3">
        <v>45964</v>
      </c>
      <c r="F352" t="s">
        <v>11</v>
      </c>
      <c r="G352">
        <v>13.41</v>
      </c>
      <c r="H352" t="s">
        <v>911</v>
      </c>
      <c r="I352" s="27">
        <v>1188.92</v>
      </c>
      <c r="J352" t="s">
        <v>419</v>
      </c>
      <c r="K352" s="3">
        <v>45994</v>
      </c>
      <c r="M352" t="s">
        <v>912</v>
      </c>
      <c r="N352" s="2">
        <v>45992</v>
      </c>
      <c r="O352">
        <v>65156366</v>
      </c>
      <c r="P352">
        <v>1</v>
      </c>
      <c r="Q352" s="3">
        <v>46010</v>
      </c>
      <c r="R352">
        <v>230</v>
      </c>
      <c r="T352" t="s">
        <v>913</v>
      </c>
      <c r="U352">
        <v>0</v>
      </c>
    </row>
    <row r="353" spans="1:21" x14ac:dyDescent="0.35">
      <c r="A353" t="s">
        <v>910</v>
      </c>
      <c r="B353" t="s">
        <v>910</v>
      </c>
      <c r="C353" t="s">
        <v>438</v>
      </c>
      <c r="D353" s="4">
        <v>256779415332</v>
      </c>
      <c r="E353" s="3">
        <v>45848</v>
      </c>
      <c r="F353" t="s">
        <v>11</v>
      </c>
      <c r="G353">
        <v>0.05</v>
      </c>
      <c r="H353" t="s">
        <v>911</v>
      </c>
      <c r="I353">
        <v>4.42</v>
      </c>
      <c r="J353" t="s">
        <v>343</v>
      </c>
      <c r="K353" s="3">
        <v>45878</v>
      </c>
      <c r="M353" t="s">
        <v>912</v>
      </c>
      <c r="N353" s="2">
        <v>45992</v>
      </c>
      <c r="O353">
        <v>66153310</v>
      </c>
      <c r="P353">
        <v>1</v>
      </c>
      <c r="Q353" s="3">
        <v>46022</v>
      </c>
      <c r="R353">
        <v>230</v>
      </c>
      <c r="T353" t="s">
        <v>913</v>
      </c>
      <c r="U353">
        <v>0</v>
      </c>
    </row>
    <row r="354" spans="1:21" x14ac:dyDescent="0.35">
      <c r="A354" t="s">
        <v>910</v>
      </c>
      <c r="B354" t="s">
        <v>910</v>
      </c>
      <c r="C354" t="s">
        <v>438</v>
      </c>
      <c r="D354" s="4">
        <v>256779415328</v>
      </c>
      <c r="E354" s="3">
        <v>45848</v>
      </c>
      <c r="F354" t="s">
        <v>11</v>
      </c>
      <c r="G354">
        <v>0.45</v>
      </c>
      <c r="H354" t="s">
        <v>911</v>
      </c>
      <c r="I354">
        <v>39.81</v>
      </c>
      <c r="J354" t="s">
        <v>344</v>
      </c>
      <c r="K354" s="3">
        <v>45878</v>
      </c>
      <c r="M354" t="s">
        <v>912</v>
      </c>
      <c r="N354" s="2">
        <v>45992</v>
      </c>
      <c r="O354">
        <v>66205135</v>
      </c>
      <c r="P354">
        <v>1</v>
      </c>
      <c r="Q354" s="3">
        <v>46022</v>
      </c>
      <c r="R354">
        <v>230</v>
      </c>
      <c r="T354" t="s">
        <v>913</v>
      </c>
      <c r="U354">
        <v>0</v>
      </c>
    </row>
    <row r="355" spans="1:21" x14ac:dyDescent="0.35">
      <c r="A355" t="s">
        <v>910</v>
      </c>
      <c r="B355" t="s">
        <v>910</v>
      </c>
      <c r="C355" t="s">
        <v>438</v>
      </c>
      <c r="D355" s="4">
        <v>256779414741</v>
      </c>
      <c r="E355" s="3">
        <v>45827</v>
      </c>
      <c r="F355" t="s">
        <v>11</v>
      </c>
      <c r="G355">
        <v>11.6</v>
      </c>
      <c r="H355" t="s">
        <v>911</v>
      </c>
      <c r="I355">
        <v>986.74</v>
      </c>
      <c r="J355" t="s">
        <v>107</v>
      </c>
      <c r="K355" s="3">
        <v>45857</v>
      </c>
      <c r="M355" t="s">
        <v>912</v>
      </c>
      <c r="N355" s="2">
        <v>45992</v>
      </c>
      <c r="O355">
        <v>66205145</v>
      </c>
      <c r="P355">
        <v>1</v>
      </c>
      <c r="Q355" s="3">
        <v>46022</v>
      </c>
      <c r="R355">
        <v>230</v>
      </c>
      <c r="T355" t="s">
        <v>913</v>
      </c>
      <c r="U355">
        <v>0</v>
      </c>
    </row>
    <row r="356" spans="1:21" x14ac:dyDescent="0.35">
      <c r="A356" t="s">
        <v>910</v>
      </c>
      <c r="B356" t="s">
        <v>910</v>
      </c>
      <c r="C356" t="s">
        <v>438</v>
      </c>
      <c r="D356" s="4">
        <v>246779410665</v>
      </c>
      <c r="E356" s="3">
        <v>45720</v>
      </c>
      <c r="F356" t="s">
        <v>11</v>
      </c>
      <c r="G356">
        <v>7.0000000000000007E-2</v>
      </c>
      <c r="H356" t="s">
        <v>911</v>
      </c>
      <c r="I356">
        <v>6.09</v>
      </c>
      <c r="J356" t="s">
        <v>418</v>
      </c>
      <c r="K356" s="3">
        <v>45750</v>
      </c>
      <c r="M356" t="s">
        <v>912</v>
      </c>
      <c r="N356" s="2">
        <v>45992</v>
      </c>
      <c r="O356">
        <v>66205148</v>
      </c>
      <c r="P356">
        <v>1</v>
      </c>
      <c r="Q356" s="3">
        <v>46022</v>
      </c>
      <c r="R356">
        <v>230</v>
      </c>
      <c r="T356" t="s">
        <v>913</v>
      </c>
      <c r="U356">
        <v>0</v>
      </c>
    </row>
    <row r="357" spans="1:21" x14ac:dyDescent="0.35">
      <c r="A357" t="s">
        <v>910</v>
      </c>
      <c r="B357" t="s">
        <v>910</v>
      </c>
      <c r="C357" t="s">
        <v>438</v>
      </c>
      <c r="D357" s="4">
        <v>256779416909</v>
      </c>
      <c r="E357" s="3">
        <v>45934</v>
      </c>
      <c r="F357" t="s">
        <v>11</v>
      </c>
      <c r="G357">
        <v>19.79</v>
      </c>
      <c r="H357" t="s">
        <v>911</v>
      </c>
      <c r="I357" s="27">
        <v>1754.57</v>
      </c>
      <c r="J357" t="s">
        <v>391</v>
      </c>
      <c r="K357" s="3">
        <v>45964</v>
      </c>
      <c r="M357" t="s">
        <v>912</v>
      </c>
      <c r="N357" s="2">
        <v>45992</v>
      </c>
      <c r="O357">
        <v>66205151</v>
      </c>
      <c r="P357">
        <v>1</v>
      </c>
      <c r="Q357" s="3">
        <v>46022</v>
      </c>
      <c r="R357">
        <v>230</v>
      </c>
      <c r="T357" t="s">
        <v>913</v>
      </c>
      <c r="U357">
        <v>0</v>
      </c>
    </row>
    <row r="358" spans="1:21" x14ac:dyDescent="0.35">
      <c r="A358" t="s">
        <v>910</v>
      </c>
      <c r="B358" t="s">
        <v>910</v>
      </c>
      <c r="C358" t="s">
        <v>438</v>
      </c>
      <c r="D358" s="4">
        <v>256779415769</v>
      </c>
      <c r="E358" s="3">
        <v>45857</v>
      </c>
      <c r="F358" t="s">
        <v>11</v>
      </c>
      <c r="G358">
        <v>4.7</v>
      </c>
      <c r="H358" t="s">
        <v>911</v>
      </c>
      <c r="I358">
        <v>404.15</v>
      </c>
      <c r="J358" t="s">
        <v>104</v>
      </c>
      <c r="K358" s="3">
        <v>45887</v>
      </c>
      <c r="M358" t="s">
        <v>912</v>
      </c>
      <c r="N358" s="2">
        <v>46023</v>
      </c>
      <c r="O358">
        <v>67644116</v>
      </c>
      <c r="P358">
        <v>1</v>
      </c>
      <c r="Q358" s="3">
        <v>46045</v>
      </c>
      <c r="R358">
        <v>230</v>
      </c>
      <c r="T358" t="s">
        <v>913</v>
      </c>
      <c r="U358">
        <v>0</v>
      </c>
    </row>
    <row r="359" spans="1:21" x14ac:dyDescent="0.35">
      <c r="A359" t="s">
        <v>910</v>
      </c>
      <c r="B359" t="s">
        <v>910</v>
      </c>
      <c r="C359" t="s">
        <v>438</v>
      </c>
      <c r="D359" s="4">
        <v>256779418176</v>
      </c>
      <c r="E359" s="3">
        <v>45937</v>
      </c>
      <c r="F359" t="s">
        <v>11</v>
      </c>
      <c r="G359">
        <v>12.78</v>
      </c>
      <c r="H359" t="s">
        <v>911</v>
      </c>
      <c r="I359" s="27">
        <v>1133.07</v>
      </c>
      <c r="J359" t="s">
        <v>365</v>
      </c>
      <c r="K359" s="3">
        <v>45967</v>
      </c>
      <c r="M359" t="s">
        <v>912</v>
      </c>
      <c r="N359" s="2">
        <v>46023</v>
      </c>
      <c r="O359">
        <v>67875301</v>
      </c>
      <c r="P359">
        <v>1</v>
      </c>
      <c r="Q359" s="3">
        <v>46049</v>
      </c>
      <c r="R359">
        <v>230</v>
      </c>
      <c r="T359" t="s">
        <v>913</v>
      </c>
      <c r="U359">
        <v>0</v>
      </c>
    </row>
    <row r="360" spans="1:21" x14ac:dyDescent="0.35">
      <c r="A360" t="s">
        <v>910</v>
      </c>
      <c r="B360" t="s">
        <v>910</v>
      </c>
      <c r="C360" t="s">
        <v>438</v>
      </c>
      <c r="D360" s="4">
        <v>256779418006</v>
      </c>
      <c r="E360" s="3">
        <v>45936</v>
      </c>
      <c r="F360" t="s">
        <v>11</v>
      </c>
      <c r="G360">
        <v>93.34</v>
      </c>
      <c r="H360" t="s">
        <v>911</v>
      </c>
      <c r="I360" s="27">
        <v>8275.48</v>
      </c>
      <c r="J360" t="s">
        <v>367</v>
      </c>
      <c r="K360" s="3">
        <v>45966</v>
      </c>
      <c r="M360" t="s">
        <v>912</v>
      </c>
      <c r="N360" s="2">
        <v>46023</v>
      </c>
      <c r="O360">
        <v>67875305</v>
      </c>
      <c r="P360">
        <v>1</v>
      </c>
      <c r="Q360" s="3">
        <v>46049</v>
      </c>
      <c r="R360">
        <v>230</v>
      </c>
      <c r="T360" t="s">
        <v>913</v>
      </c>
      <c r="U360">
        <v>0</v>
      </c>
    </row>
    <row r="361" spans="1:21" x14ac:dyDescent="0.35">
      <c r="A361" t="s">
        <v>910</v>
      </c>
      <c r="B361" t="s">
        <v>910</v>
      </c>
      <c r="C361" t="s">
        <v>438</v>
      </c>
      <c r="D361" s="4">
        <v>256779415321</v>
      </c>
      <c r="E361" s="3">
        <v>45848</v>
      </c>
      <c r="F361" t="s">
        <v>11</v>
      </c>
      <c r="G361">
        <v>4.25</v>
      </c>
      <c r="H361" t="s">
        <v>911</v>
      </c>
      <c r="I361">
        <v>376</v>
      </c>
      <c r="J361" t="s">
        <v>345</v>
      </c>
      <c r="K361" s="3">
        <v>45878</v>
      </c>
      <c r="M361" t="s">
        <v>912</v>
      </c>
      <c r="N361" s="2">
        <v>46023</v>
      </c>
      <c r="O361">
        <v>67875324</v>
      </c>
      <c r="P361">
        <v>1</v>
      </c>
      <c r="Q361" s="3">
        <v>46049</v>
      </c>
      <c r="R361">
        <v>230</v>
      </c>
      <c r="T361" t="s">
        <v>913</v>
      </c>
      <c r="U361">
        <v>0</v>
      </c>
    </row>
    <row r="362" spans="1:21" x14ac:dyDescent="0.35">
      <c r="A362" t="s">
        <v>910</v>
      </c>
      <c r="B362" t="s">
        <v>910</v>
      </c>
      <c r="C362" t="s">
        <v>438</v>
      </c>
      <c r="D362" s="4">
        <v>256779414359</v>
      </c>
      <c r="E362" s="3">
        <v>45818</v>
      </c>
      <c r="F362" t="s">
        <v>11</v>
      </c>
      <c r="G362">
        <v>1.87</v>
      </c>
      <c r="H362" t="s">
        <v>911</v>
      </c>
      <c r="I362">
        <v>159.07</v>
      </c>
      <c r="J362" t="s">
        <v>347</v>
      </c>
      <c r="K362" s="3">
        <v>45848</v>
      </c>
      <c r="M362" t="s">
        <v>912</v>
      </c>
      <c r="N362" s="2">
        <v>46023</v>
      </c>
      <c r="O362">
        <v>67887886</v>
      </c>
      <c r="P362">
        <v>1</v>
      </c>
      <c r="Q362" s="3">
        <v>46049</v>
      </c>
      <c r="R362">
        <v>230</v>
      </c>
      <c r="T362" t="s">
        <v>913</v>
      </c>
      <c r="U362">
        <v>0</v>
      </c>
    </row>
    <row r="363" spans="1:21" x14ac:dyDescent="0.35">
      <c r="A363" t="s">
        <v>910</v>
      </c>
      <c r="B363" t="s">
        <v>910</v>
      </c>
      <c r="C363" t="s">
        <v>438</v>
      </c>
      <c r="D363" s="4">
        <v>256779418778</v>
      </c>
      <c r="E363" s="3">
        <v>45966</v>
      </c>
      <c r="F363" t="s">
        <v>11</v>
      </c>
      <c r="G363">
        <v>1.82</v>
      </c>
      <c r="H363" t="s">
        <v>911</v>
      </c>
      <c r="I363">
        <v>160.62</v>
      </c>
      <c r="J363" t="s">
        <v>377</v>
      </c>
      <c r="K363" s="3">
        <v>45996</v>
      </c>
      <c r="M363" t="s">
        <v>912</v>
      </c>
      <c r="N363" s="2">
        <v>46023</v>
      </c>
      <c r="O363">
        <v>67887887</v>
      </c>
      <c r="P363">
        <v>1</v>
      </c>
      <c r="Q363" s="3">
        <v>46049</v>
      </c>
      <c r="R363">
        <v>230</v>
      </c>
      <c r="T363" t="s">
        <v>913</v>
      </c>
      <c r="U363">
        <v>0</v>
      </c>
    </row>
    <row r="364" spans="1:21" x14ac:dyDescent="0.35">
      <c r="A364" t="s">
        <v>910</v>
      </c>
      <c r="B364" t="s">
        <v>910</v>
      </c>
      <c r="C364" t="s">
        <v>438</v>
      </c>
      <c r="D364" s="4">
        <v>256779418892</v>
      </c>
      <c r="E364" s="3">
        <v>45966</v>
      </c>
      <c r="F364" t="s">
        <v>11</v>
      </c>
      <c r="G364">
        <v>33.68</v>
      </c>
      <c r="H364" t="s">
        <v>911</v>
      </c>
      <c r="I364" s="27">
        <v>2972.35</v>
      </c>
      <c r="J364" t="s">
        <v>378</v>
      </c>
      <c r="K364" s="3">
        <v>45996</v>
      </c>
      <c r="M364" t="s">
        <v>912</v>
      </c>
      <c r="N364" s="2">
        <v>46023</v>
      </c>
      <c r="O364">
        <v>67887888</v>
      </c>
      <c r="P364">
        <v>1</v>
      </c>
      <c r="Q364" s="3">
        <v>46049</v>
      </c>
      <c r="R364">
        <v>230</v>
      </c>
      <c r="T364" t="s">
        <v>913</v>
      </c>
      <c r="U364">
        <v>0</v>
      </c>
    </row>
    <row r="365" spans="1:21" x14ac:dyDescent="0.35">
      <c r="A365" t="s">
        <v>910</v>
      </c>
      <c r="B365" t="s">
        <v>910</v>
      </c>
      <c r="C365" t="s">
        <v>438</v>
      </c>
      <c r="D365" s="4">
        <v>256779414917</v>
      </c>
      <c r="E365" s="3">
        <v>45842</v>
      </c>
      <c r="F365" t="s">
        <v>11</v>
      </c>
      <c r="G365">
        <v>1.86</v>
      </c>
      <c r="H365" t="s">
        <v>911</v>
      </c>
      <c r="I365">
        <v>159.94</v>
      </c>
      <c r="J365" t="s">
        <v>411</v>
      </c>
      <c r="K365" s="3">
        <v>45872</v>
      </c>
      <c r="M365" t="s">
        <v>912</v>
      </c>
      <c r="N365" s="2">
        <v>46023</v>
      </c>
      <c r="O365">
        <v>67887889</v>
      </c>
      <c r="P365">
        <v>1</v>
      </c>
      <c r="Q365" s="3">
        <v>46049</v>
      </c>
      <c r="R365">
        <v>230</v>
      </c>
      <c r="T365" t="s">
        <v>913</v>
      </c>
      <c r="U365">
        <v>0</v>
      </c>
    </row>
    <row r="366" spans="1:21" x14ac:dyDescent="0.35">
      <c r="A366" t="s">
        <v>910</v>
      </c>
      <c r="B366" t="s">
        <v>910</v>
      </c>
      <c r="C366" t="s">
        <v>438</v>
      </c>
      <c r="D366" s="4">
        <v>256779419620</v>
      </c>
      <c r="E366" s="3">
        <v>45981</v>
      </c>
      <c r="F366" t="s">
        <v>11</v>
      </c>
      <c r="G366">
        <v>2.0499999999999998</v>
      </c>
      <c r="H366" t="s">
        <v>911</v>
      </c>
      <c r="I366">
        <v>180.92</v>
      </c>
      <c r="J366" t="s">
        <v>63</v>
      </c>
      <c r="K366" s="3">
        <v>46011</v>
      </c>
      <c r="M366" t="s">
        <v>912</v>
      </c>
      <c r="N366" s="2">
        <v>46023</v>
      </c>
      <c r="O366">
        <v>67887892</v>
      </c>
      <c r="P366">
        <v>1</v>
      </c>
      <c r="Q366" s="3">
        <v>46049</v>
      </c>
      <c r="R366">
        <v>230</v>
      </c>
      <c r="T366" t="s">
        <v>913</v>
      </c>
      <c r="U366">
        <v>0</v>
      </c>
    </row>
    <row r="367" spans="1:21" x14ac:dyDescent="0.35">
      <c r="A367" t="s">
        <v>910</v>
      </c>
      <c r="B367" t="s">
        <v>910</v>
      </c>
      <c r="C367" t="s">
        <v>438</v>
      </c>
      <c r="D367" s="4">
        <v>256779414358</v>
      </c>
      <c r="E367" s="3">
        <v>45818</v>
      </c>
      <c r="F367" t="s">
        <v>11</v>
      </c>
      <c r="G367">
        <v>46.79</v>
      </c>
      <c r="H367" t="s">
        <v>911</v>
      </c>
      <c r="I367" s="27">
        <v>3980.15</v>
      </c>
      <c r="J367" t="s">
        <v>348</v>
      </c>
      <c r="K367" s="3">
        <v>45848</v>
      </c>
      <c r="M367" t="s">
        <v>912</v>
      </c>
      <c r="N367" s="2">
        <v>46023</v>
      </c>
      <c r="O367">
        <v>67887893</v>
      </c>
      <c r="P367">
        <v>1</v>
      </c>
      <c r="Q367" s="3">
        <v>46049</v>
      </c>
      <c r="R367">
        <v>230</v>
      </c>
      <c r="T367" t="s">
        <v>913</v>
      </c>
      <c r="U367">
        <v>0</v>
      </c>
    </row>
    <row r="368" spans="1:21" x14ac:dyDescent="0.35">
      <c r="A368" t="s">
        <v>910</v>
      </c>
      <c r="B368" t="s">
        <v>910</v>
      </c>
      <c r="C368" t="s">
        <v>438</v>
      </c>
      <c r="D368" s="4">
        <v>256779414918</v>
      </c>
      <c r="E368" s="3">
        <v>45842</v>
      </c>
      <c r="F368" t="s">
        <v>11</v>
      </c>
      <c r="G368">
        <v>1.02</v>
      </c>
      <c r="H368" t="s">
        <v>911</v>
      </c>
      <c r="I368">
        <v>87.71</v>
      </c>
      <c r="J368" t="s">
        <v>412</v>
      </c>
      <c r="K368" s="3">
        <v>45872</v>
      </c>
      <c r="M368" t="s">
        <v>912</v>
      </c>
      <c r="N368" s="2">
        <v>46023</v>
      </c>
      <c r="O368">
        <v>67887894</v>
      </c>
      <c r="P368">
        <v>1</v>
      </c>
      <c r="Q368" s="3">
        <v>46049</v>
      </c>
      <c r="R368">
        <v>230</v>
      </c>
      <c r="T368" t="s">
        <v>913</v>
      </c>
      <c r="U368">
        <v>0</v>
      </c>
    </row>
    <row r="369" spans="1:21" x14ac:dyDescent="0.35">
      <c r="A369" t="s">
        <v>910</v>
      </c>
      <c r="B369" t="s">
        <v>910</v>
      </c>
      <c r="C369" t="s">
        <v>438</v>
      </c>
      <c r="D369" s="4">
        <v>256779414360</v>
      </c>
      <c r="E369" s="3">
        <v>45818</v>
      </c>
      <c r="F369" t="s">
        <v>11</v>
      </c>
      <c r="G369">
        <v>1.03</v>
      </c>
      <c r="H369" t="s">
        <v>911</v>
      </c>
      <c r="I369">
        <v>87.62</v>
      </c>
      <c r="J369" t="s">
        <v>349</v>
      </c>
      <c r="K369" s="3">
        <v>45848</v>
      </c>
      <c r="M369" t="s">
        <v>912</v>
      </c>
      <c r="N369" s="2">
        <v>46023</v>
      </c>
      <c r="O369">
        <v>67887895</v>
      </c>
      <c r="P369">
        <v>1</v>
      </c>
      <c r="Q369" s="3">
        <v>46049</v>
      </c>
      <c r="R369">
        <v>230</v>
      </c>
      <c r="T369" t="s">
        <v>913</v>
      </c>
      <c r="U369">
        <v>0</v>
      </c>
    </row>
    <row r="370" spans="1:21" x14ac:dyDescent="0.35">
      <c r="A370" t="s">
        <v>910</v>
      </c>
      <c r="B370" t="s">
        <v>910</v>
      </c>
      <c r="C370" t="s">
        <v>438</v>
      </c>
      <c r="D370" s="4">
        <v>256779419531</v>
      </c>
      <c r="E370" s="3">
        <v>45981</v>
      </c>
      <c r="F370" t="s">
        <v>11</v>
      </c>
      <c r="G370">
        <v>8.36</v>
      </c>
      <c r="H370" t="s">
        <v>911</v>
      </c>
      <c r="I370">
        <v>737.79</v>
      </c>
      <c r="J370" t="s">
        <v>64</v>
      </c>
      <c r="K370" s="3">
        <v>46011</v>
      </c>
      <c r="M370" t="s">
        <v>912</v>
      </c>
      <c r="N370" s="2">
        <v>46023</v>
      </c>
      <c r="O370">
        <v>67887896</v>
      </c>
      <c r="P370">
        <v>1</v>
      </c>
      <c r="Q370" s="3">
        <v>46049</v>
      </c>
      <c r="R370">
        <v>230</v>
      </c>
      <c r="T370" t="s">
        <v>913</v>
      </c>
      <c r="U370">
        <v>0</v>
      </c>
    </row>
    <row r="371" spans="1:21" x14ac:dyDescent="0.35">
      <c r="A371" t="s">
        <v>910</v>
      </c>
      <c r="B371" t="s">
        <v>910</v>
      </c>
      <c r="C371" t="s">
        <v>438</v>
      </c>
      <c r="D371" s="4">
        <v>256779418904</v>
      </c>
      <c r="E371" s="3">
        <v>45966</v>
      </c>
      <c r="F371" t="s">
        <v>11</v>
      </c>
      <c r="G371">
        <v>25.48</v>
      </c>
      <c r="H371" t="s">
        <v>911</v>
      </c>
      <c r="I371" s="27">
        <v>2248.6799999999998</v>
      </c>
      <c r="J371" t="s">
        <v>379</v>
      </c>
      <c r="K371" s="3">
        <v>45996</v>
      </c>
      <c r="M371" t="s">
        <v>912</v>
      </c>
      <c r="N371" s="2">
        <v>46023</v>
      </c>
      <c r="O371">
        <v>67888170</v>
      </c>
      <c r="P371">
        <v>1</v>
      </c>
      <c r="Q371" s="3">
        <v>46049</v>
      </c>
      <c r="R371">
        <v>230</v>
      </c>
      <c r="T371" t="s">
        <v>913</v>
      </c>
      <c r="U371">
        <v>0</v>
      </c>
    </row>
    <row r="372" spans="1:21" x14ac:dyDescent="0.35">
      <c r="A372" t="s">
        <v>910</v>
      </c>
      <c r="B372" t="s">
        <v>910</v>
      </c>
      <c r="C372" t="s">
        <v>438</v>
      </c>
      <c r="D372" s="4">
        <v>256779414916</v>
      </c>
      <c r="E372" s="3">
        <v>45842</v>
      </c>
      <c r="F372" t="s">
        <v>11</v>
      </c>
      <c r="G372">
        <v>46.51</v>
      </c>
      <c r="H372" t="s">
        <v>911</v>
      </c>
      <c r="I372" s="27">
        <v>3999.37</v>
      </c>
      <c r="J372" t="s">
        <v>413</v>
      </c>
      <c r="K372" s="3">
        <v>45872</v>
      </c>
      <c r="M372" t="s">
        <v>912</v>
      </c>
      <c r="N372" s="2">
        <v>46023</v>
      </c>
      <c r="O372">
        <v>67888171</v>
      </c>
      <c r="P372">
        <v>1</v>
      </c>
      <c r="Q372" s="3">
        <v>46049</v>
      </c>
      <c r="R372">
        <v>230</v>
      </c>
      <c r="T372" t="s">
        <v>913</v>
      </c>
      <c r="U372">
        <v>0</v>
      </c>
    </row>
    <row r="373" spans="1:21" x14ac:dyDescent="0.35">
      <c r="A373" t="s">
        <v>910</v>
      </c>
      <c r="B373" t="s">
        <v>910</v>
      </c>
      <c r="C373" t="s">
        <v>438</v>
      </c>
      <c r="D373" s="4">
        <v>256779419972</v>
      </c>
      <c r="E373" s="3">
        <v>45995</v>
      </c>
      <c r="F373" t="s">
        <v>11</v>
      </c>
      <c r="G373">
        <v>0.99</v>
      </c>
      <c r="H373" t="s">
        <v>911</v>
      </c>
      <c r="I373">
        <v>88.26</v>
      </c>
      <c r="J373" t="s">
        <v>388</v>
      </c>
      <c r="K373" s="3">
        <v>46025</v>
      </c>
      <c r="M373" t="s">
        <v>912</v>
      </c>
      <c r="N373" s="2">
        <v>46023</v>
      </c>
      <c r="O373">
        <v>68014071</v>
      </c>
      <c r="P373">
        <v>1</v>
      </c>
      <c r="Q373" s="3">
        <v>46050</v>
      </c>
      <c r="R373">
        <v>230</v>
      </c>
      <c r="T373" t="s">
        <v>913</v>
      </c>
      <c r="U373">
        <v>0</v>
      </c>
    </row>
    <row r="374" spans="1:21" x14ac:dyDescent="0.35">
      <c r="A374" t="s">
        <v>910</v>
      </c>
      <c r="B374" t="s">
        <v>910</v>
      </c>
      <c r="C374" t="s">
        <v>438</v>
      </c>
      <c r="D374" s="4">
        <v>256779419908</v>
      </c>
      <c r="E374" s="3">
        <v>45996</v>
      </c>
      <c r="F374" t="s">
        <v>11</v>
      </c>
      <c r="G374">
        <v>7.52</v>
      </c>
      <c r="H374" t="s">
        <v>911</v>
      </c>
      <c r="I374">
        <v>670.44</v>
      </c>
      <c r="J374" t="s">
        <v>370</v>
      </c>
      <c r="K374" s="3">
        <v>46026</v>
      </c>
      <c r="M374" t="s">
        <v>912</v>
      </c>
      <c r="N374" s="2">
        <v>46023</v>
      </c>
      <c r="O374">
        <v>68014072</v>
      </c>
      <c r="P374">
        <v>1</v>
      </c>
      <c r="Q374" s="3">
        <v>46050</v>
      </c>
      <c r="R374">
        <v>230</v>
      </c>
      <c r="T374" t="s">
        <v>913</v>
      </c>
      <c r="U374">
        <v>0</v>
      </c>
    </row>
    <row r="375" spans="1:21" x14ac:dyDescent="0.35">
      <c r="A375" t="s">
        <v>910</v>
      </c>
      <c r="B375" t="s">
        <v>910</v>
      </c>
      <c r="C375" t="s">
        <v>438</v>
      </c>
      <c r="D375" s="4">
        <v>256779419970</v>
      </c>
      <c r="E375" s="3">
        <v>45995</v>
      </c>
      <c r="F375" t="s">
        <v>11</v>
      </c>
      <c r="G375">
        <v>45.1</v>
      </c>
      <c r="H375" t="s">
        <v>911</v>
      </c>
      <c r="I375" s="27">
        <v>4020.88</v>
      </c>
      <c r="J375" t="s">
        <v>389</v>
      </c>
      <c r="K375" s="3">
        <v>46025</v>
      </c>
      <c r="M375" t="s">
        <v>912</v>
      </c>
      <c r="N375" s="2">
        <v>46023</v>
      </c>
      <c r="O375">
        <v>68014074</v>
      </c>
      <c r="P375">
        <v>1</v>
      </c>
      <c r="Q375" s="3">
        <v>46050</v>
      </c>
      <c r="R375">
        <v>230</v>
      </c>
      <c r="T375" t="s">
        <v>913</v>
      </c>
      <c r="U375">
        <v>0</v>
      </c>
    </row>
    <row r="376" spans="1:21" x14ac:dyDescent="0.35">
      <c r="A376" t="s">
        <v>910</v>
      </c>
      <c r="B376" t="s">
        <v>910</v>
      </c>
      <c r="C376" t="s">
        <v>438</v>
      </c>
      <c r="D376" s="4">
        <v>256779416838</v>
      </c>
      <c r="E376" s="3">
        <v>45889</v>
      </c>
      <c r="F376" t="s">
        <v>11</v>
      </c>
      <c r="G376">
        <v>13.7</v>
      </c>
      <c r="H376" t="s">
        <v>911</v>
      </c>
      <c r="I376" s="27">
        <v>1186.8399999999999</v>
      </c>
      <c r="J376" t="s">
        <v>68</v>
      </c>
      <c r="K376" s="3">
        <v>45919</v>
      </c>
      <c r="M376" t="s">
        <v>912</v>
      </c>
      <c r="N376" s="2">
        <v>46023</v>
      </c>
      <c r="O376">
        <v>68014076</v>
      </c>
      <c r="P376">
        <v>1</v>
      </c>
      <c r="Q376" s="3">
        <v>46050</v>
      </c>
      <c r="R376">
        <v>230</v>
      </c>
      <c r="T376" t="s">
        <v>913</v>
      </c>
      <c r="U376">
        <v>0</v>
      </c>
    </row>
    <row r="377" spans="1:21" x14ac:dyDescent="0.35">
      <c r="A377" t="s">
        <v>910</v>
      </c>
      <c r="B377" t="s">
        <v>910</v>
      </c>
      <c r="C377" t="s">
        <v>438</v>
      </c>
      <c r="D377" s="4">
        <v>256779419858</v>
      </c>
      <c r="E377" s="3">
        <v>45999</v>
      </c>
      <c r="F377" t="s">
        <v>11</v>
      </c>
      <c r="G377">
        <v>2.95</v>
      </c>
      <c r="H377" t="s">
        <v>911</v>
      </c>
      <c r="I377">
        <v>263.01</v>
      </c>
      <c r="J377" t="s">
        <v>356</v>
      </c>
      <c r="K377" s="3">
        <v>46029</v>
      </c>
      <c r="M377" t="s">
        <v>912</v>
      </c>
      <c r="N377" s="2">
        <v>46023</v>
      </c>
      <c r="O377">
        <v>68014078</v>
      </c>
      <c r="P377">
        <v>1</v>
      </c>
      <c r="Q377" s="3">
        <v>46050</v>
      </c>
      <c r="R377">
        <v>230</v>
      </c>
      <c r="T377" t="s">
        <v>913</v>
      </c>
      <c r="U377">
        <v>0</v>
      </c>
    </row>
    <row r="378" spans="1:21" x14ac:dyDescent="0.35">
      <c r="A378" t="s">
        <v>910</v>
      </c>
      <c r="B378" t="s">
        <v>910</v>
      </c>
      <c r="C378" t="s">
        <v>438</v>
      </c>
      <c r="D378" s="4">
        <v>256779419971</v>
      </c>
      <c r="E378" s="3">
        <v>45995</v>
      </c>
      <c r="F378" t="s">
        <v>11</v>
      </c>
      <c r="G378">
        <v>1.8</v>
      </c>
      <c r="H378" t="s">
        <v>911</v>
      </c>
      <c r="I378">
        <v>160.47999999999999</v>
      </c>
      <c r="J378" t="s">
        <v>390</v>
      </c>
      <c r="K378" s="3">
        <v>46025</v>
      </c>
      <c r="M378" t="s">
        <v>912</v>
      </c>
      <c r="N378" s="2">
        <v>46023</v>
      </c>
      <c r="O378">
        <v>68014082</v>
      </c>
      <c r="P378">
        <v>1</v>
      </c>
      <c r="Q378" s="3">
        <v>46050</v>
      </c>
      <c r="R378">
        <v>230</v>
      </c>
      <c r="T378" t="s">
        <v>913</v>
      </c>
      <c r="U378">
        <v>0</v>
      </c>
    </row>
    <row r="379" spans="1:21" x14ac:dyDescent="0.35">
      <c r="A379" t="s">
        <v>910</v>
      </c>
      <c r="B379" t="s">
        <v>910</v>
      </c>
      <c r="C379" t="s">
        <v>438</v>
      </c>
      <c r="D379" s="4">
        <v>256779419808</v>
      </c>
      <c r="E379" s="3">
        <v>45996</v>
      </c>
      <c r="F379" t="s">
        <v>11</v>
      </c>
      <c r="G379">
        <v>0.56000000000000005</v>
      </c>
      <c r="H379" t="s">
        <v>911</v>
      </c>
      <c r="I379">
        <v>49.93</v>
      </c>
      <c r="J379" t="s">
        <v>371</v>
      </c>
      <c r="K379" s="3">
        <v>46026</v>
      </c>
      <c r="M379" t="s">
        <v>912</v>
      </c>
      <c r="N379" s="2">
        <v>46023</v>
      </c>
      <c r="O379">
        <v>68014086</v>
      </c>
      <c r="P379">
        <v>1</v>
      </c>
      <c r="Q379" s="3">
        <v>46050</v>
      </c>
      <c r="R379">
        <v>230</v>
      </c>
      <c r="T379" t="s">
        <v>913</v>
      </c>
      <c r="U379">
        <v>0</v>
      </c>
    </row>
    <row r="380" spans="1:21" x14ac:dyDescent="0.35">
      <c r="A380" t="s">
        <v>910</v>
      </c>
      <c r="B380" t="s">
        <v>910</v>
      </c>
      <c r="C380" t="s">
        <v>438</v>
      </c>
      <c r="D380" s="4">
        <v>256779418653</v>
      </c>
      <c r="E380" s="3">
        <v>45950</v>
      </c>
      <c r="F380" t="s">
        <v>11</v>
      </c>
      <c r="G380">
        <v>3.41</v>
      </c>
      <c r="H380" t="s">
        <v>911</v>
      </c>
      <c r="I380">
        <v>302.33</v>
      </c>
      <c r="J380" t="s">
        <v>66</v>
      </c>
      <c r="K380" s="3">
        <v>45980</v>
      </c>
      <c r="M380" t="s">
        <v>912</v>
      </c>
      <c r="N380" s="2">
        <v>46023</v>
      </c>
      <c r="O380">
        <v>68014089</v>
      </c>
      <c r="P380">
        <v>1</v>
      </c>
      <c r="Q380" s="3">
        <v>46050</v>
      </c>
      <c r="R380">
        <v>230</v>
      </c>
      <c r="T380" t="s">
        <v>913</v>
      </c>
      <c r="U380">
        <v>0</v>
      </c>
    </row>
    <row r="381" spans="1:21" x14ac:dyDescent="0.35">
      <c r="A381" t="s">
        <v>910</v>
      </c>
      <c r="B381" t="s">
        <v>910</v>
      </c>
      <c r="C381" t="s">
        <v>438</v>
      </c>
      <c r="D381" s="4">
        <v>256779416869</v>
      </c>
      <c r="E381" s="3">
        <v>45889</v>
      </c>
      <c r="F381" t="s">
        <v>11</v>
      </c>
      <c r="G381">
        <v>2.3199999999999998</v>
      </c>
      <c r="H381" t="s">
        <v>911</v>
      </c>
      <c r="I381">
        <v>200.98</v>
      </c>
      <c r="J381" t="s">
        <v>69</v>
      </c>
      <c r="K381" s="3">
        <v>45919</v>
      </c>
      <c r="M381" t="s">
        <v>912</v>
      </c>
      <c r="N381" s="2">
        <v>46023</v>
      </c>
      <c r="O381">
        <v>68014092</v>
      </c>
      <c r="P381">
        <v>1</v>
      </c>
      <c r="Q381" s="3">
        <v>46050</v>
      </c>
      <c r="R381">
        <v>230</v>
      </c>
      <c r="T381" t="s">
        <v>913</v>
      </c>
      <c r="U381">
        <v>0</v>
      </c>
    </row>
    <row r="382" spans="1:21" x14ac:dyDescent="0.35">
      <c r="A382" t="s">
        <v>910</v>
      </c>
      <c r="B382" t="s">
        <v>910</v>
      </c>
      <c r="C382" t="s">
        <v>438</v>
      </c>
      <c r="D382" s="4">
        <v>256779418474</v>
      </c>
      <c r="E382" s="3">
        <v>45951</v>
      </c>
      <c r="F382" t="s">
        <v>11</v>
      </c>
      <c r="G382">
        <v>11.25</v>
      </c>
      <c r="H382" t="s">
        <v>911</v>
      </c>
      <c r="I382">
        <v>997.42</v>
      </c>
      <c r="J382" t="s">
        <v>46</v>
      </c>
      <c r="K382" s="3">
        <v>45981</v>
      </c>
      <c r="M382" t="s">
        <v>912</v>
      </c>
      <c r="N382" s="2">
        <v>46023</v>
      </c>
      <c r="O382">
        <v>68014093</v>
      </c>
      <c r="P382">
        <v>1</v>
      </c>
      <c r="Q382" s="3">
        <v>46050</v>
      </c>
      <c r="R382">
        <v>230</v>
      </c>
      <c r="T382" t="s">
        <v>913</v>
      </c>
      <c r="U382">
        <v>0</v>
      </c>
    </row>
    <row r="383" spans="1:21" x14ac:dyDescent="0.35">
      <c r="A383" t="s">
        <v>910</v>
      </c>
      <c r="B383" t="s">
        <v>910</v>
      </c>
      <c r="C383" t="s">
        <v>438</v>
      </c>
      <c r="D383" s="4">
        <v>256779419995</v>
      </c>
      <c r="E383" s="3">
        <v>46000</v>
      </c>
      <c r="F383" t="s">
        <v>11</v>
      </c>
      <c r="G383">
        <v>3.74</v>
      </c>
      <c r="H383" t="s">
        <v>911</v>
      </c>
      <c r="I383">
        <v>333.44</v>
      </c>
      <c r="J383" t="s">
        <v>355</v>
      </c>
      <c r="K383" s="3">
        <v>46030</v>
      </c>
      <c r="M383" t="s">
        <v>912</v>
      </c>
      <c r="N383" s="2">
        <v>46023</v>
      </c>
      <c r="O383">
        <v>68014095</v>
      </c>
      <c r="P383">
        <v>1</v>
      </c>
      <c r="Q383" s="3">
        <v>46050</v>
      </c>
      <c r="R383">
        <v>230</v>
      </c>
      <c r="T383" t="s">
        <v>913</v>
      </c>
      <c r="U383">
        <v>0</v>
      </c>
    </row>
    <row r="384" spans="1:21" x14ac:dyDescent="0.35">
      <c r="A384" t="s">
        <v>910</v>
      </c>
      <c r="B384" t="s">
        <v>910</v>
      </c>
      <c r="C384" t="s">
        <v>438</v>
      </c>
      <c r="D384" s="4">
        <v>256779419983</v>
      </c>
      <c r="E384" s="3">
        <v>45997</v>
      </c>
      <c r="F384" t="s">
        <v>11</v>
      </c>
      <c r="G384">
        <v>1.1100000000000001</v>
      </c>
      <c r="H384" t="s">
        <v>911</v>
      </c>
      <c r="I384">
        <v>98.96</v>
      </c>
      <c r="J384" t="s">
        <v>366</v>
      </c>
      <c r="K384" s="3">
        <v>46027</v>
      </c>
      <c r="M384" t="s">
        <v>912</v>
      </c>
      <c r="N384" s="2">
        <v>46023</v>
      </c>
      <c r="O384">
        <v>68014096</v>
      </c>
      <c r="P384">
        <v>1</v>
      </c>
      <c r="Q384" s="3">
        <v>46050</v>
      </c>
      <c r="R384">
        <v>230</v>
      </c>
      <c r="T384" t="s">
        <v>913</v>
      </c>
      <c r="U384">
        <v>0</v>
      </c>
    </row>
    <row r="385" spans="1:21" x14ac:dyDescent="0.35">
      <c r="A385" t="s">
        <v>910</v>
      </c>
      <c r="B385" t="s">
        <v>910</v>
      </c>
      <c r="C385" t="s">
        <v>438</v>
      </c>
      <c r="D385" s="4" t="s">
        <v>439</v>
      </c>
      <c r="E385" s="3">
        <v>45918</v>
      </c>
      <c r="F385" t="s">
        <v>11</v>
      </c>
      <c r="G385">
        <v>3.69</v>
      </c>
      <c r="H385" t="s">
        <v>911</v>
      </c>
      <c r="I385">
        <v>323.44</v>
      </c>
      <c r="J385" t="s">
        <v>123</v>
      </c>
      <c r="K385" s="3">
        <v>45948</v>
      </c>
      <c r="M385" t="s">
        <v>912</v>
      </c>
      <c r="N385" s="2">
        <v>46023</v>
      </c>
      <c r="O385">
        <v>68341867</v>
      </c>
      <c r="P385">
        <v>1</v>
      </c>
      <c r="Q385" s="3">
        <v>46053</v>
      </c>
      <c r="R385">
        <v>230</v>
      </c>
      <c r="T385" t="s">
        <v>913</v>
      </c>
      <c r="U385">
        <v>0</v>
      </c>
    </row>
    <row r="386" spans="1:21" x14ac:dyDescent="0.35">
      <c r="A386" t="s">
        <v>910</v>
      </c>
      <c r="B386" t="s">
        <v>910</v>
      </c>
      <c r="C386" t="s">
        <v>438</v>
      </c>
      <c r="D386" s="4">
        <v>256779418357</v>
      </c>
      <c r="E386" s="3">
        <v>45935</v>
      </c>
      <c r="F386" t="s">
        <v>11</v>
      </c>
      <c r="G386">
        <v>7.88</v>
      </c>
      <c r="H386" t="s">
        <v>911</v>
      </c>
      <c r="I386">
        <v>698.64</v>
      </c>
      <c r="J386" t="s">
        <v>920</v>
      </c>
      <c r="K386" s="3">
        <v>45965</v>
      </c>
      <c r="M386" t="s">
        <v>912</v>
      </c>
      <c r="N386" s="2">
        <v>46054</v>
      </c>
      <c r="O386">
        <v>69238789</v>
      </c>
      <c r="P386">
        <v>1</v>
      </c>
      <c r="Q386" s="3">
        <v>46066</v>
      </c>
      <c r="R386">
        <v>230</v>
      </c>
      <c r="T386" t="s">
        <v>913</v>
      </c>
      <c r="U386">
        <v>0</v>
      </c>
    </row>
    <row r="387" spans="1:21" x14ac:dyDescent="0.35">
      <c r="A387" t="s">
        <v>910</v>
      </c>
      <c r="B387" t="s">
        <v>910</v>
      </c>
      <c r="C387" t="s">
        <v>438</v>
      </c>
      <c r="D387" s="4">
        <v>256779419222</v>
      </c>
      <c r="E387" s="3">
        <v>45966</v>
      </c>
      <c r="F387" t="s">
        <v>11</v>
      </c>
      <c r="G387">
        <v>70.739999999999995</v>
      </c>
      <c r="H387" t="s">
        <v>911</v>
      </c>
      <c r="I387" s="27">
        <v>6242.99</v>
      </c>
      <c r="J387" t="s">
        <v>921</v>
      </c>
      <c r="K387" s="3">
        <v>45996</v>
      </c>
      <c r="M387" t="s">
        <v>912</v>
      </c>
      <c r="N387" s="2">
        <v>46054</v>
      </c>
      <c r="O387">
        <v>69238794</v>
      </c>
      <c r="P387">
        <v>1</v>
      </c>
      <c r="Q387" s="3">
        <v>46066</v>
      </c>
      <c r="R387">
        <v>230</v>
      </c>
      <c r="T387" t="s">
        <v>913</v>
      </c>
      <c r="U387">
        <v>0</v>
      </c>
    </row>
    <row r="388" spans="1:21" x14ac:dyDescent="0.35">
      <c r="A388" t="s">
        <v>910</v>
      </c>
      <c r="B388" t="s">
        <v>910</v>
      </c>
      <c r="C388" t="s">
        <v>438</v>
      </c>
      <c r="D388" s="4">
        <v>256779419581</v>
      </c>
      <c r="E388" s="3">
        <v>45981</v>
      </c>
      <c r="F388" t="s">
        <v>11</v>
      </c>
      <c r="G388">
        <v>3.12</v>
      </c>
      <c r="H388" t="s">
        <v>911</v>
      </c>
      <c r="I388">
        <v>275.35000000000002</v>
      </c>
      <c r="J388" t="s">
        <v>922</v>
      </c>
      <c r="K388" s="3">
        <v>46011</v>
      </c>
      <c r="M388" t="s">
        <v>912</v>
      </c>
      <c r="N388" s="2">
        <v>46054</v>
      </c>
      <c r="O388">
        <v>69238797</v>
      </c>
      <c r="P388">
        <v>1</v>
      </c>
      <c r="Q388" s="3">
        <v>46066</v>
      </c>
      <c r="R388">
        <v>230</v>
      </c>
      <c r="T388" t="s">
        <v>913</v>
      </c>
      <c r="U388">
        <v>0</v>
      </c>
    </row>
    <row r="389" spans="1:21" x14ac:dyDescent="0.35">
      <c r="A389" t="s">
        <v>910</v>
      </c>
      <c r="B389" t="s">
        <v>910</v>
      </c>
      <c r="C389" t="s">
        <v>438</v>
      </c>
      <c r="D389" s="4">
        <v>256779418872</v>
      </c>
      <c r="E389" s="3">
        <v>45966</v>
      </c>
      <c r="F389" t="s">
        <v>11</v>
      </c>
      <c r="G389">
        <v>118.78</v>
      </c>
      <c r="H389" t="s">
        <v>911</v>
      </c>
      <c r="I389" s="27">
        <v>10482.64</v>
      </c>
      <c r="J389" t="s">
        <v>923</v>
      </c>
      <c r="K389" s="3">
        <v>45996</v>
      </c>
      <c r="M389" t="s">
        <v>912</v>
      </c>
      <c r="N389" s="2">
        <v>46054</v>
      </c>
      <c r="O389">
        <v>69240301</v>
      </c>
      <c r="P389">
        <v>1</v>
      </c>
      <c r="Q389" s="3">
        <v>46066</v>
      </c>
      <c r="R389">
        <v>230</v>
      </c>
      <c r="T389" t="s">
        <v>913</v>
      </c>
      <c r="U389">
        <v>0</v>
      </c>
    </row>
    <row r="390" spans="1:21" x14ac:dyDescent="0.35">
      <c r="A390" t="s">
        <v>910</v>
      </c>
      <c r="B390" t="s">
        <v>910</v>
      </c>
      <c r="C390" t="s">
        <v>438</v>
      </c>
      <c r="D390" s="4">
        <v>256779416600</v>
      </c>
      <c r="E390" s="3">
        <v>45889</v>
      </c>
      <c r="F390" t="s">
        <v>11</v>
      </c>
      <c r="G390">
        <v>14.75</v>
      </c>
      <c r="H390" t="s">
        <v>911</v>
      </c>
      <c r="I390" s="27">
        <v>1277.81</v>
      </c>
      <c r="J390" t="s">
        <v>924</v>
      </c>
      <c r="K390" s="3">
        <v>45919</v>
      </c>
      <c r="M390" t="s">
        <v>912</v>
      </c>
      <c r="N390" s="2">
        <v>46054</v>
      </c>
      <c r="O390">
        <v>69415317</v>
      </c>
      <c r="P390">
        <v>1</v>
      </c>
      <c r="Q390" s="3">
        <v>46071</v>
      </c>
      <c r="R390">
        <v>230</v>
      </c>
      <c r="T390" t="s">
        <v>913</v>
      </c>
      <c r="U390">
        <v>0</v>
      </c>
    </row>
    <row r="391" spans="1:21" x14ac:dyDescent="0.35">
      <c r="A391" t="s">
        <v>910</v>
      </c>
      <c r="B391" t="s">
        <v>910</v>
      </c>
      <c r="C391" t="s">
        <v>438</v>
      </c>
      <c r="D391" s="4">
        <v>256779418692</v>
      </c>
      <c r="E391" s="3">
        <v>45950</v>
      </c>
      <c r="F391" t="s">
        <v>11</v>
      </c>
      <c r="G391">
        <v>10.63</v>
      </c>
      <c r="H391" t="s">
        <v>911</v>
      </c>
      <c r="I391">
        <v>942.45</v>
      </c>
      <c r="J391" t="s">
        <v>925</v>
      </c>
      <c r="K391" s="3">
        <v>45980</v>
      </c>
      <c r="M391" t="s">
        <v>912</v>
      </c>
      <c r="N391" s="2">
        <v>46054</v>
      </c>
      <c r="O391">
        <v>69415354</v>
      </c>
      <c r="P391">
        <v>1</v>
      </c>
      <c r="Q391" s="3">
        <v>46071</v>
      </c>
      <c r="R391">
        <v>230</v>
      </c>
      <c r="T391" t="s">
        <v>913</v>
      </c>
      <c r="U391">
        <v>0</v>
      </c>
    </row>
    <row r="392" spans="1:21" x14ac:dyDescent="0.35">
      <c r="A392" t="s">
        <v>910</v>
      </c>
      <c r="B392" t="s">
        <v>910</v>
      </c>
      <c r="C392" t="s">
        <v>438</v>
      </c>
      <c r="D392" s="4">
        <v>256779415296</v>
      </c>
      <c r="E392" s="3">
        <v>45848</v>
      </c>
      <c r="F392" t="s">
        <v>11</v>
      </c>
      <c r="G392">
        <v>0.48</v>
      </c>
      <c r="H392" t="s">
        <v>911</v>
      </c>
      <c r="I392">
        <v>42.47</v>
      </c>
      <c r="J392" t="s">
        <v>926</v>
      </c>
      <c r="K392" s="3">
        <v>45878</v>
      </c>
      <c r="M392" t="s">
        <v>912</v>
      </c>
      <c r="N392" s="2">
        <v>46054</v>
      </c>
      <c r="O392">
        <v>69415363</v>
      </c>
      <c r="P392">
        <v>1</v>
      </c>
      <c r="Q392" s="3">
        <v>46071</v>
      </c>
      <c r="R392">
        <v>230</v>
      </c>
      <c r="T392" t="s">
        <v>913</v>
      </c>
      <c r="U392">
        <v>0</v>
      </c>
    </row>
    <row r="393" spans="1:21" x14ac:dyDescent="0.35">
      <c r="A393" t="s">
        <v>910</v>
      </c>
      <c r="B393" t="s">
        <v>910</v>
      </c>
      <c r="C393" t="s">
        <v>438</v>
      </c>
      <c r="D393" s="4">
        <v>256779440208</v>
      </c>
      <c r="E393" s="3">
        <v>46028</v>
      </c>
      <c r="F393" t="s">
        <v>11</v>
      </c>
      <c r="G393">
        <v>13</v>
      </c>
      <c r="H393" t="s">
        <v>911</v>
      </c>
      <c r="I393" s="27">
        <v>1168.58</v>
      </c>
      <c r="J393" t="s">
        <v>927</v>
      </c>
      <c r="K393" s="3">
        <v>46058</v>
      </c>
      <c r="M393" t="s">
        <v>912</v>
      </c>
      <c r="N393" s="2">
        <v>46054</v>
      </c>
      <c r="O393">
        <v>69540151</v>
      </c>
      <c r="P393">
        <v>1</v>
      </c>
      <c r="Q393" s="3">
        <v>46075</v>
      </c>
      <c r="R393">
        <v>230</v>
      </c>
      <c r="T393" t="s">
        <v>913</v>
      </c>
      <c r="U393">
        <v>0</v>
      </c>
    </row>
    <row r="394" spans="1:21" x14ac:dyDescent="0.35">
      <c r="A394" t="s">
        <v>910</v>
      </c>
      <c r="B394" t="s">
        <v>910</v>
      </c>
      <c r="C394" t="s">
        <v>438</v>
      </c>
      <c r="D394" s="4">
        <v>256779440227</v>
      </c>
      <c r="E394" s="3">
        <v>46034</v>
      </c>
      <c r="F394" t="s">
        <v>11</v>
      </c>
      <c r="G394">
        <v>6.08</v>
      </c>
      <c r="H394" t="s">
        <v>911</v>
      </c>
      <c r="I394">
        <v>546.54</v>
      </c>
      <c r="J394" t="s">
        <v>928</v>
      </c>
      <c r="K394" s="3">
        <v>46064</v>
      </c>
      <c r="M394" t="s">
        <v>912</v>
      </c>
      <c r="N394" s="2">
        <v>46054</v>
      </c>
      <c r="O394">
        <v>69540153</v>
      </c>
      <c r="P394">
        <v>1</v>
      </c>
      <c r="Q394" s="3">
        <v>46075</v>
      </c>
      <c r="R394">
        <v>230</v>
      </c>
      <c r="T394" t="s">
        <v>913</v>
      </c>
      <c r="U394">
        <v>0</v>
      </c>
    </row>
    <row r="395" spans="1:21" x14ac:dyDescent="0.35">
      <c r="A395" t="s">
        <v>910</v>
      </c>
      <c r="B395" t="s">
        <v>910</v>
      </c>
      <c r="C395" t="s">
        <v>438</v>
      </c>
      <c r="D395" s="4">
        <v>256779440159</v>
      </c>
      <c r="E395" s="3">
        <v>46028</v>
      </c>
      <c r="F395" t="s">
        <v>11</v>
      </c>
      <c r="G395">
        <v>3.2</v>
      </c>
      <c r="H395" t="s">
        <v>911</v>
      </c>
      <c r="I395">
        <v>287.64999999999998</v>
      </c>
      <c r="J395" t="s">
        <v>929</v>
      </c>
      <c r="K395" s="3">
        <v>46058</v>
      </c>
      <c r="M395" t="s">
        <v>912</v>
      </c>
      <c r="N395" s="2">
        <v>46054</v>
      </c>
      <c r="O395">
        <v>69540157</v>
      </c>
      <c r="P395">
        <v>1</v>
      </c>
      <c r="Q395" s="3">
        <v>46075</v>
      </c>
      <c r="R395">
        <v>230</v>
      </c>
      <c r="T395" t="s">
        <v>913</v>
      </c>
      <c r="U395">
        <v>0</v>
      </c>
    </row>
    <row r="396" spans="1:21" x14ac:dyDescent="0.35">
      <c r="A396" t="s">
        <v>910</v>
      </c>
      <c r="B396" t="s">
        <v>910</v>
      </c>
      <c r="C396" t="s">
        <v>438</v>
      </c>
      <c r="D396" s="4">
        <v>256779440067</v>
      </c>
      <c r="E396" s="3">
        <v>46027</v>
      </c>
      <c r="F396" t="s">
        <v>11</v>
      </c>
      <c r="G396">
        <v>2</v>
      </c>
      <c r="H396" t="s">
        <v>911</v>
      </c>
      <c r="I396">
        <v>179.78</v>
      </c>
      <c r="J396" t="s">
        <v>930</v>
      </c>
      <c r="K396" s="3">
        <v>46057</v>
      </c>
      <c r="M396" t="s">
        <v>912</v>
      </c>
      <c r="N396" s="2">
        <v>46054</v>
      </c>
      <c r="O396">
        <v>69540158</v>
      </c>
      <c r="P396">
        <v>1</v>
      </c>
      <c r="Q396" s="3">
        <v>46075</v>
      </c>
      <c r="R396">
        <v>230</v>
      </c>
      <c r="T396" t="s">
        <v>913</v>
      </c>
      <c r="U396">
        <v>0</v>
      </c>
    </row>
    <row r="397" spans="1:21" x14ac:dyDescent="0.35">
      <c r="A397" t="s">
        <v>910</v>
      </c>
      <c r="B397" t="s">
        <v>910</v>
      </c>
      <c r="C397" t="s">
        <v>438</v>
      </c>
      <c r="D397" s="4">
        <v>256779440060</v>
      </c>
      <c r="E397" s="3">
        <v>46027</v>
      </c>
      <c r="F397" t="s">
        <v>11</v>
      </c>
      <c r="G397">
        <v>3.97</v>
      </c>
      <c r="H397" t="s">
        <v>911</v>
      </c>
      <c r="I397">
        <v>356.87</v>
      </c>
      <c r="J397" t="s">
        <v>931</v>
      </c>
      <c r="K397" s="3">
        <v>46057</v>
      </c>
      <c r="M397" t="s">
        <v>912</v>
      </c>
      <c r="N397" s="2">
        <v>46054</v>
      </c>
      <c r="O397">
        <v>69540164</v>
      </c>
      <c r="P397">
        <v>1</v>
      </c>
      <c r="Q397" s="3">
        <v>46075</v>
      </c>
      <c r="R397">
        <v>230</v>
      </c>
      <c r="T397" t="s">
        <v>913</v>
      </c>
      <c r="U397">
        <v>0</v>
      </c>
    </row>
    <row r="398" spans="1:21" x14ac:dyDescent="0.35">
      <c r="A398" t="s">
        <v>910</v>
      </c>
      <c r="B398" t="s">
        <v>910</v>
      </c>
      <c r="C398" t="s">
        <v>438</v>
      </c>
      <c r="D398" s="4">
        <v>256779440309</v>
      </c>
      <c r="E398" s="3">
        <v>46028</v>
      </c>
      <c r="F398" t="s">
        <v>11</v>
      </c>
      <c r="G398">
        <v>44.08</v>
      </c>
      <c r="H398" t="s">
        <v>911</v>
      </c>
      <c r="I398" s="27">
        <v>3962.38</v>
      </c>
      <c r="J398" t="s">
        <v>932</v>
      </c>
      <c r="K398" s="3">
        <v>46058</v>
      </c>
      <c r="M398" t="s">
        <v>912</v>
      </c>
      <c r="N398" s="2">
        <v>46054</v>
      </c>
      <c r="O398">
        <v>69540167</v>
      </c>
      <c r="P398">
        <v>1</v>
      </c>
      <c r="Q398" s="3">
        <v>46075</v>
      </c>
      <c r="R398">
        <v>230</v>
      </c>
      <c r="T398" t="s">
        <v>913</v>
      </c>
      <c r="U398">
        <v>0</v>
      </c>
    </row>
    <row r="399" spans="1:21" x14ac:dyDescent="0.35">
      <c r="A399" t="s">
        <v>910</v>
      </c>
      <c r="B399" t="s">
        <v>910</v>
      </c>
      <c r="C399" t="s">
        <v>438</v>
      </c>
      <c r="D399" s="4">
        <v>256779440310</v>
      </c>
      <c r="E399" s="3">
        <v>46028</v>
      </c>
      <c r="F399" t="s">
        <v>11</v>
      </c>
      <c r="G399">
        <v>1.76</v>
      </c>
      <c r="H399" t="s">
        <v>911</v>
      </c>
      <c r="I399">
        <v>158.21</v>
      </c>
      <c r="J399" t="s">
        <v>933</v>
      </c>
      <c r="K399" s="3">
        <v>46058</v>
      </c>
      <c r="M399" t="s">
        <v>912</v>
      </c>
      <c r="N399" s="2">
        <v>46054</v>
      </c>
      <c r="O399">
        <v>69540168</v>
      </c>
      <c r="P399">
        <v>1</v>
      </c>
      <c r="Q399" s="3">
        <v>46075</v>
      </c>
      <c r="R399">
        <v>230</v>
      </c>
      <c r="T399" t="s">
        <v>913</v>
      </c>
      <c r="U399">
        <v>0</v>
      </c>
    </row>
    <row r="400" spans="1:21" x14ac:dyDescent="0.35">
      <c r="A400" t="s">
        <v>910</v>
      </c>
      <c r="B400" t="s">
        <v>910</v>
      </c>
      <c r="C400" t="s">
        <v>438</v>
      </c>
      <c r="D400" s="4">
        <v>256779440116</v>
      </c>
      <c r="E400" s="3">
        <v>46027</v>
      </c>
      <c r="F400" t="s">
        <v>11</v>
      </c>
      <c r="G400">
        <v>9.9700000000000006</v>
      </c>
      <c r="H400" t="s">
        <v>911</v>
      </c>
      <c r="I400">
        <v>896.21</v>
      </c>
      <c r="J400" t="s">
        <v>934</v>
      </c>
      <c r="K400" s="3">
        <v>46057</v>
      </c>
      <c r="M400" t="s">
        <v>912</v>
      </c>
      <c r="N400" s="2">
        <v>46054</v>
      </c>
      <c r="O400">
        <v>69540169</v>
      </c>
      <c r="P400">
        <v>1</v>
      </c>
      <c r="Q400" s="3">
        <v>46075</v>
      </c>
      <c r="R400">
        <v>230</v>
      </c>
      <c r="T400" t="s">
        <v>913</v>
      </c>
      <c r="U400">
        <v>0</v>
      </c>
    </row>
    <row r="401" spans="1:24" x14ac:dyDescent="0.35">
      <c r="A401" t="s">
        <v>910</v>
      </c>
      <c r="B401" t="s">
        <v>910</v>
      </c>
      <c r="C401" t="s">
        <v>438</v>
      </c>
      <c r="D401" s="4">
        <v>256779440126</v>
      </c>
      <c r="E401" s="3">
        <v>46031</v>
      </c>
      <c r="F401" t="s">
        <v>11</v>
      </c>
      <c r="G401">
        <v>2.4500000000000002</v>
      </c>
      <c r="H401" t="s">
        <v>911</v>
      </c>
      <c r="I401">
        <v>220.23</v>
      </c>
      <c r="J401" t="s">
        <v>935</v>
      </c>
      <c r="K401" s="3">
        <v>46061</v>
      </c>
      <c r="M401" t="s">
        <v>912</v>
      </c>
      <c r="N401" s="2">
        <v>46054</v>
      </c>
      <c r="O401">
        <v>69540171</v>
      </c>
      <c r="P401">
        <v>1</v>
      </c>
      <c r="Q401" s="3">
        <v>46075</v>
      </c>
      <c r="R401">
        <v>230</v>
      </c>
      <c r="T401" t="s">
        <v>913</v>
      </c>
      <c r="U401">
        <v>0</v>
      </c>
    </row>
    <row r="402" spans="1:24" x14ac:dyDescent="0.35">
      <c r="A402" t="s">
        <v>910</v>
      </c>
      <c r="B402" t="s">
        <v>910</v>
      </c>
      <c r="C402" t="s">
        <v>438</v>
      </c>
      <c r="D402" s="4">
        <v>256779440311</v>
      </c>
      <c r="E402" s="3">
        <v>46028</v>
      </c>
      <c r="F402" t="s">
        <v>11</v>
      </c>
      <c r="G402">
        <v>0.97</v>
      </c>
      <c r="H402" t="s">
        <v>911</v>
      </c>
      <c r="I402">
        <v>87.19</v>
      </c>
      <c r="J402" t="s">
        <v>936</v>
      </c>
      <c r="K402" s="3">
        <v>46058</v>
      </c>
      <c r="M402" t="s">
        <v>912</v>
      </c>
      <c r="N402" s="2">
        <v>46054</v>
      </c>
      <c r="O402">
        <v>69540181</v>
      </c>
      <c r="P402">
        <v>1</v>
      </c>
      <c r="Q402" s="3">
        <v>46075</v>
      </c>
      <c r="R402">
        <v>230</v>
      </c>
      <c r="T402" t="s">
        <v>913</v>
      </c>
      <c r="U402">
        <v>0</v>
      </c>
    </row>
    <row r="403" spans="1:24" x14ac:dyDescent="0.35">
      <c r="A403" t="s">
        <v>910</v>
      </c>
      <c r="B403" t="s">
        <v>910</v>
      </c>
      <c r="C403" t="s">
        <v>438</v>
      </c>
      <c r="D403" s="4">
        <v>256779440007</v>
      </c>
      <c r="E403" s="3">
        <v>46024</v>
      </c>
      <c r="F403" t="s">
        <v>11</v>
      </c>
      <c r="G403">
        <v>26.65</v>
      </c>
      <c r="H403" t="s">
        <v>911</v>
      </c>
      <c r="I403" s="27">
        <v>2395.59</v>
      </c>
      <c r="J403" t="s">
        <v>937</v>
      </c>
      <c r="K403" s="3">
        <v>46054</v>
      </c>
      <c r="M403" t="s">
        <v>912</v>
      </c>
      <c r="N403" s="2">
        <v>46054</v>
      </c>
      <c r="O403">
        <v>69540183</v>
      </c>
      <c r="P403">
        <v>1</v>
      </c>
      <c r="Q403" s="3">
        <v>46075</v>
      </c>
      <c r="R403">
        <v>230</v>
      </c>
      <c r="T403" t="s">
        <v>913</v>
      </c>
      <c r="U403">
        <v>0</v>
      </c>
    </row>
    <row r="404" spans="1:24" x14ac:dyDescent="0.35">
      <c r="A404" t="s">
        <v>910</v>
      </c>
      <c r="B404" t="s">
        <v>910</v>
      </c>
      <c r="C404" t="s">
        <v>438</v>
      </c>
      <c r="D404" s="4">
        <v>256779440363</v>
      </c>
      <c r="E404" s="3">
        <v>46035</v>
      </c>
      <c r="F404" t="s">
        <v>11</v>
      </c>
      <c r="G404">
        <v>18.75</v>
      </c>
      <c r="H404" t="s">
        <v>911</v>
      </c>
      <c r="I404" s="27">
        <v>1685.45</v>
      </c>
      <c r="J404" t="s">
        <v>938</v>
      </c>
      <c r="K404" s="3">
        <v>46065</v>
      </c>
      <c r="M404" t="s">
        <v>912</v>
      </c>
      <c r="N404" s="2">
        <v>46054</v>
      </c>
      <c r="O404">
        <v>69540185</v>
      </c>
      <c r="P404">
        <v>1</v>
      </c>
      <c r="Q404" s="3">
        <v>46075</v>
      </c>
      <c r="R404">
        <v>230</v>
      </c>
      <c r="T404" t="s">
        <v>913</v>
      </c>
      <c r="U404">
        <v>0</v>
      </c>
    </row>
    <row r="405" spans="1:24" x14ac:dyDescent="0.35">
      <c r="A405" t="s">
        <v>910</v>
      </c>
      <c r="B405" t="s">
        <v>910</v>
      </c>
      <c r="C405" t="s">
        <v>438</v>
      </c>
      <c r="D405" s="4">
        <v>256779417250</v>
      </c>
      <c r="E405" s="3">
        <v>45904</v>
      </c>
      <c r="F405" t="s">
        <v>11</v>
      </c>
      <c r="G405">
        <v>1</v>
      </c>
      <c r="H405" t="s">
        <v>911</v>
      </c>
      <c r="I405">
        <v>87.65</v>
      </c>
      <c r="J405" t="s">
        <v>939</v>
      </c>
      <c r="K405" s="3">
        <v>45934</v>
      </c>
      <c r="M405" t="s">
        <v>912</v>
      </c>
      <c r="N405" s="2">
        <v>46054</v>
      </c>
      <c r="O405">
        <v>69540191</v>
      </c>
      <c r="P405">
        <v>1</v>
      </c>
      <c r="Q405" s="3">
        <v>46075</v>
      </c>
      <c r="R405">
        <v>230</v>
      </c>
      <c r="T405" t="s">
        <v>913</v>
      </c>
      <c r="U405">
        <v>0</v>
      </c>
    </row>
    <row r="406" spans="1:24" x14ac:dyDescent="0.35">
      <c r="A406" t="s">
        <v>910</v>
      </c>
      <c r="B406" t="s">
        <v>910</v>
      </c>
      <c r="C406" t="s">
        <v>438</v>
      </c>
      <c r="D406" s="4">
        <v>256779440150</v>
      </c>
      <c r="E406" s="3">
        <v>46028</v>
      </c>
      <c r="F406" t="s">
        <v>11</v>
      </c>
      <c r="G406">
        <v>2.2599999999999998</v>
      </c>
      <c r="H406" t="s">
        <v>911</v>
      </c>
      <c r="I406">
        <v>203.15</v>
      </c>
      <c r="J406" t="s">
        <v>940</v>
      </c>
      <c r="K406" s="3">
        <v>46058</v>
      </c>
      <c r="M406" t="s">
        <v>912</v>
      </c>
      <c r="N406" s="2">
        <v>46054</v>
      </c>
      <c r="O406">
        <v>69540192</v>
      </c>
      <c r="P406">
        <v>1</v>
      </c>
      <c r="Q406" s="3">
        <v>46075</v>
      </c>
      <c r="R406">
        <v>230</v>
      </c>
      <c r="T406" t="s">
        <v>913</v>
      </c>
      <c r="U406">
        <v>0</v>
      </c>
    </row>
    <row r="407" spans="1:24" x14ac:dyDescent="0.35">
      <c r="A407" t="s">
        <v>910</v>
      </c>
      <c r="B407" t="s">
        <v>910</v>
      </c>
      <c r="C407" t="s">
        <v>438</v>
      </c>
      <c r="D407" s="4">
        <v>256779440285</v>
      </c>
      <c r="E407" s="3">
        <v>46034</v>
      </c>
      <c r="F407" t="s">
        <v>11</v>
      </c>
      <c r="G407">
        <v>10.71</v>
      </c>
      <c r="H407" t="s">
        <v>911</v>
      </c>
      <c r="I407">
        <v>962.73</v>
      </c>
      <c r="J407" t="s">
        <v>941</v>
      </c>
      <c r="K407" s="3">
        <v>46064</v>
      </c>
      <c r="M407" t="s">
        <v>912</v>
      </c>
      <c r="N407" s="2">
        <v>46054</v>
      </c>
      <c r="O407">
        <v>69540193</v>
      </c>
      <c r="P407">
        <v>1</v>
      </c>
      <c r="Q407" s="3">
        <v>46075</v>
      </c>
      <c r="R407">
        <v>230</v>
      </c>
      <c r="T407" t="s">
        <v>913</v>
      </c>
      <c r="U407">
        <v>0</v>
      </c>
    </row>
    <row r="408" spans="1:24" x14ac:dyDescent="0.35">
      <c r="A408" t="s">
        <v>910</v>
      </c>
      <c r="B408" t="s">
        <v>910</v>
      </c>
      <c r="C408" t="s">
        <v>438</v>
      </c>
      <c r="D408" s="4">
        <v>256779440238</v>
      </c>
      <c r="E408" s="3">
        <v>46028</v>
      </c>
      <c r="F408" t="s">
        <v>11</v>
      </c>
      <c r="G408">
        <v>21.67</v>
      </c>
      <c r="H408" t="s">
        <v>911</v>
      </c>
      <c r="I408" s="27">
        <v>1947.93</v>
      </c>
      <c r="J408" t="s">
        <v>942</v>
      </c>
      <c r="K408" s="3">
        <v>46058</v>
      </c>
      <c r="M408" t="s">
        <v>912</v>
      </c>
      <c r="N408" s="2">
        <v>46054</v>
      </c>
      <c r="O408">
        <v>69540195</v>
      </c>
      <c r="P408">
        <v>1</v>
      </c>
      <c r="Q408" s="3">
        <v>46075</v>
      </c>
      <c r="R408">
        <v>230</v>
      </c>
      <c r="T408" t="s">
        <v>913</v>
      </c>
      <c r="U408">
        <v>0</v>
      </c>
    </row>
    <row r="409" spans="1:24" x14ac:dyDescent="0.35">
      <c r="A409" t="s">
        <v>910</v>
      </c>
      <c r="B409" t="s">
        <v>910</v>
      </c>
      <c r="C409" t="s">
        <v>438</v>
      </c>
      <c r="D409" s="4">
        <v>256779440136</v>
      </c>
      <c r="E409" s="3">
        <v>46031</v>
      </c>
      <c r="F409" t="s">
        <v>11</v>
      </c>
      <c r="G409">
        <v>0.56000000000000005</v>
      </c>
      <c r="H409" t="s">
        <v>911</v>
      </c>
      <c r="I409">
        <v>50.34</v>
      </c>
      <c r="J409" t="s">
        <v>943</v>
      </c>
      <c r="K409" s="3">
        <v>46061</v>
      </c>
      <c r="M409" t="s">
        <v>912</v>
      </c>
      <c r="N409" s="2">
        <v>46054</v>
      </c>
      <c r="O409">
        <v>69540253</v>
      </c>
      <c r="P409">
        <v>1</v>
      </c>
      <c r="Q409" s="3">
        <v>46075</v>
      </c>
      <c r="R409">
        <v>230</v>
      </c>
      <c r="T409" t="s">
        <v>913</v>
      </c>
      <c r="U409">
        <v>0</v>
      </c>
    </row>
    <row r="410" spans="1:24" x14ac:dyDescent="0.35">
      <c r="A410" t="s">
        <v>910</v>
      </c>
      <c r="B410" t="s">
        <v>910</v>
      </c>
      <c r="C410" t="s">
        <v>455</v>
      </c>
      <c r="D410" s="4" t="s">
        <v>462</v>
      </c>
      <c r="E410" s="3">
        <v>45918</v>
      </c>
      <c r="F410" t="s">
        <v>11</v>
      </c>
      <c r="G410">
        <v>-3.69</v>
      </c>
      <c r="H410" t="s">
        <v>911</v>
      </c>
      <c r="I410">
        <v>-3.69</v>
      </c>
      <c r="J410" t="s">
        <v>470</v>
      </c>
      <c r="K410" s="3">
        <v>45948</v>
      </c>
      <c r="M410" t="s">
        <v>912</v>
      </c>
      <c r="N410" s="2">
        <v>46023</v>
      </c>
      <c r="O410">
        <v>68389624</v>
      </c>
      <c r="P410">
        <v>1</v>
      </c>
      <c r="Q410" s="3">
        <v>46052</v>
      </c>
      <c r="R410">
        <v>230</v>
      </c>
      <c r="T410" t="s">
        <v>913</v>
      </c>
      <c r="U410">
        <v>0</v>
      </c>
      <c r="X410" s="27">
        <f t="shared" ref="X410" si="0">I410+W410</f>
        <v>-3.69</v>
      </c>
    </row>
  </sheetData>
  <conditionalFormatting sqref="D410">
    <cfRule type="duplicateValues" dxfId="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C2C1-9205-42B4-9658-8603B7A9E285}">
  <dimension ref="B2:M319"/>
  <sheetViews>
    <sheetView topLeftCell="A2" workbookViewId="0">
      <selection activeCell="B2" sqref="B2"/>
    </sheetView>
  </sheetViews>
  <sheetFormatPr defaultRowHeight="14.5" x14ac:dyDescent="0.35"/>
  <cols>
    <col min="2" max="2" width="15.36328125" bestFit="1" customWidth="1"/>
    <col min="3" max="3" width="10.54296875" bestFit="1" customWidth="1"/>
    <col min="4" max="5" width="10.81640625" bestFit="1" customWidth="1"/>
    <col min="6" max="6" width="24.08984375" bestFit="1" customWidth="1"/>
    <col min="7" max="7" width="10.54296875" bestFit="1" customWidth="1"/>
    <col min="8" max="8" width="4.453125" bestFit="1" customWidth="1"/>
    <col min="10" max="10" width="6.54296875" bestFit="1" customWidth="1"/>
    <col min="11" max="11" width="10.54296875" bestFit="1" customWidth="1"/>
    <col min="12" max="12" width="7.81640625" bestFit="1" customWidth="1"/>
    <col min="13" max="13" width="13.453125" bestFit="1" customWidth="1"/>
  </cols>
  <sheetData>
    <row r="2" spans="2:13" x14ac:dyDescent="0.35">
      <c r="B2" t="s">
        <v>435</v>
      </c>
      <c r="C2" t="s">
        <v>436</v>
      </c>
      <c r="D2" s="1" t="s">
        <v>437</v>
      </c>
      <c r="E2" s="1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</row>
    <row r="3" spans="2:13" x14ac:dyDescent="0.35">
      <c r="B3" s="4">
        <v>256779413908</v>
      </c>
      <c r="C3" s="3">
        <v>45805</v>
      </c>
      <c r="D3" s="1">
        <v>0</v>
      </c>
      <c r="E3" s="1">
        <v>-11858.12</v>
      </c>
      <c r="F3" t="s">
        <v>15</v>
      </c>
      <c r="G3" t="s">
        <v>9</v>
      </c>
      <c r="H3" t="s">
        <v>11</v>
      </c>
      <c r="I3" s="2">
        <v>45962</v>
      </c>
      <c r="J3">
        <v>66</v>
      </c>
      <c r="K3" t="s">
        <v>12</v>
      </c>
      <c r="L3">
        <v>271</v>
      </c>
      <c r="M3" t="s">
        <v>13</v>
      </c>
    </row>
    <row r="4" spans="2:13" x14ac:dyDescent="0.35">
      <c r="B4" s="4">
        <v>256779415989</v>
      </c>
      <c r="C4" s="3">
        <v>45863</v>
      </c>
      <c r="D4" s="1">
        <v>0</v>
      </c>
      <c r="E4" s="1">
        <v>-664.99</v>
      </c>
      <c r="F4" t="s">
        <v>15</v>
      </c>
      <c r="G4" t="s">
        <v>16</v>
      </c>
      <c r="H4" t="s">
        <v>11</v>
      </c>
      <c r="I4" s="2">
        <v>45931</v>
      </c>
      <c r="J4">
        <v>82</v>
      </c>
      <c r="K4" t="s">
        <v>19</v>
      </c>
      <c r="L4">
        <v>271</v>
      </c>
      <c r="M4" t="s">
        <v>13</v>
      </c>
    </row>
    <row r="5" spans="2:13" x14ac:dyDescent="0.35">
      <c r="B5" s="4">
        <v>256779416007</v>
      </c>
      <c r="C5" s="3">
        <v>45863</v>
      </c>
      <c r="D5" s="1">
        <v>0</v>
      </c>
      <c r="E5" s="1">
        <v>-934.03</v>
      </c>
      <c r="F5" t="s">
        <v>15</v>
      </c>
      <c r="G5" t="s">
        <v>16</v>
      </c>
      <c r="H5" t="s">
        <v>11</v>
      </c>
      <c r="I5" s="2">
        <v>45931</v>
      </c>
      <c r="J5">
        <v>84</v>
      </c>
      <c r="K5" t="s">
        <v>19</v>
      </c>
      <c r="L5">
        <v>271</v>
      </c>
      <c r="M5" t="s">
        <v>13</v>
      </c>
    </row>
    <row r="6" spans="2:13" x14ac:dyDescent="0.35">
      <c r="B6" s="4">
        <v>256779412776</v>
      </c>
      <c r="C6" s="3">
        <v>45771</v>
      </c>
      <c r="D6" s="1">
        <v>0</v>
      </c>
      <c r="E6" s="1">
        <v>-2124.59</v>
      </c>
      <c r="F6" t="s">
        <v>15</v>
      </c>
      <c r="G6" t="s">
        <v>20</v>
      </c>
      <c r="H6" t="s">
        <v>11</v>
      </c>
      <c r="I6" s="2">
        <v>45962</v>
      </c>
      <c r="J6">
        <v>58</v>
      </c>
      <c r="K6" t="s">
        <v>12</v>
      </c>
      <c r="L6">
        <v>271</v>
      </c>
      <c r="M6" t="s">
        <v>13</v>
      </c>
    </row>
    <row r="7" spans="2:13" x14ac:dyDescent="0.35">
      <c r="B7" s="4">
        <v>256779417801</v>
      </c>
      <c r="C7" s="3">
        <v>45922</v>
      </c>
      <c r="D7" s="1">
        <v>0</v>
      </c>
      <c r="E7" s="1">
        <v>-2799.24</v>
      </c>
      <c r="F7" t="s">
        <v>15</v>
      </c>
      <c r="G7" t="s">
        <v>22</v>
      </c>
      <c r="H7" t="s">
        <v>11</v>
      </c>
      <c r="I7" s="2">
        <v>45931</v>
      </c>
      <c r="J7">
        <v>64</v>
      </c>
      <c r="K7" t="s">
        <v>19</v>
      </c>
      <c r="L7">
        <v>271</v>
      </c>
      <c r="M7" t="s">
        <v>13</v>
      </c>
    </row>
    <row r="8" spans="2:13" x14ac:dyDescent="0.35">
      <c r="B8" s="4">
        <v>256779412524</v>
      </c>
      <c r="C8" s="3">
        <v>45769</v>
      </c>
      <c r="D8" s="1">
        <v>0</v>
      </c>
      <c r="E8" s="1">
        <v>-9.39</v>
      </c>
      <c r="F8" t="s">
        <v>15</v>
      </c>
      <c r="G8" t="s">
        <v>25</v>
      </c>
      <c r="H8" t="s">
        <v>11</v>
      </c>
      <c r="I8" s="2">
        <v>45809</v>
      </c>
      <c r="J8">
        <v>14</v>
      </c>
      <c r="K8" t="s">
        <v>26</v>
      </c>
      <c r="L8">
        <v>271</v>
      </c>
      <c r="M8" t="s">
        <v>13</v>
      </c>
    </row>
    <row r="9" spans="2:13" x14ac:dyDescent="0.35">
      <c r="B9" s="4">
        <v>256779412529</v>
      </c>
      <c r="C9" s="3">
        <v>45769</v>
      </c>
      <c r="D9" s="1">
        <v>0</v>
      </c>
      <c r="E9" s="1">
        <v>-7.61</v>
      </c>
      <c r="F9" t="s">
        <v>15</v>
      </c>
      <c r="G9" t="s">
        <v>25</v>
      </c>
      <c r="H9" t="s">
        <v>11</v>
      </c>
      <c r="I9" s="2">
        <v>45809</v>
      </c>
      <c r="J9">
        <v>16</v>
      </c>
      <c r="K9" t="s">
        <v>26</v>
      </c>
      <c r="L9">
        <v>271</v>
      </c>
      <c r="M9" t="s">
        <v>13</v>
      </c>
    </row>
    <row r="10" spans="2:13" x14ac:dyDescent="0.35">
      <c r="B10" s="4">
        <v>256779412536</v>
      </c>
      <c r="C10" s="3">
        <v>45769</v>
      </c>
      <c r="D10" s="1">
        <v>0</v>
      </c>
      <c r="E10" s="1">
        <v>-9.5299999999999994</v>
      </c>
      <c r="F10" t="s">
        <v>15</v>
      </c>
      <c r="G10" t="s">
        <v>25</v>
      </c>
      <c r="H10" t="s">
        <v>11</v>
      </c>
      <c r="I10" s="2">
        <v>45809</v>
      </c>
      <c r="J10">
        <v>18</v>
      </c>
      <c r="K10" t="s">
        <v>26</v>
      </c>
      <c r="L10">
        <v>271</v>
      </c>
      <c r="M10" t="s">
        <v>13</v>
      </c>
    </row>
    <row r="11" spans="2:13" x14ac:dyDescent="0.35">
      <c r="B11" s="4">
        <v>256779412537</v>
      </c>
      <c r="C11" s="3">
        <v>45769</v>
      </c>
      <c r="D11" s="1">
        <v>0</v>
      </c>
      <c r="E11" s="1">
        <v>-104.86</v>
      </c>
      <c r="F11" t="s">
        <v>15</v>
      </c>
      <c r="G11" t="s">
        <v>25</v>
      </c>
      <c r="H11" t="s">
        <v>11</v>
      </c>
      <c r="I11" s="2">
        <v>45809</v>
      </c>
      <c r="J11">
        <v>20</v>
      </c>
      <c r="K11" t="s">
        <v>26</v>
      </c>
      <c r="L11">
        <v>271</v>
      </c>
      <c r="M11" t="s">
        <v>13</v>
      </c>
    </row>
    <row r="12" spans="2:13" x14ac:dyDescent="0.35">
      <c r="B12" s="4">
        <v>256779412579</v>
      </c>
      <c r="C12" s="3">
        <v>45769</v>
      </c>
      <c r="D12" s="1">
        <v>0</v>
      </c>
      <c r="E12" s="1">
        <v>-14.83</v>
      </c>
      <c r="F12" t="s">
        <v>15</v>
      </c>
      <c r="G12" t="s">
        <v>25</v>
      </c>
      <c r="H12" t="s">
        <v>11</v>
      </c>
      <c r="I12" s="2">
        <v>45809</v>
      </c>
      <c r="J12">
        <v>22</v>
      </c>
      <c r="K12" t="s">
        <v>26</v>
      </c>
      <c r="L12">
        <v>271</v>
      </c>
      <c r="M12" t="s">
        <v>13</v>
      </c>
    </row>
    <row r="13" spans="2:13" x14ac:dyDescent="0.35">
      <c r="B13" s="4">
        <v>256779412586</v>
      </c>
      <c r="C13" s="3">
        <v>45769</v>
      </c>
      <c r="D13" s="1">
        <v>0</v>
      </c>
      <c r="E13" s="1">
        <v>-13.25</v>
      </c>
      <c r="F13" t="s">
        <v>15</v>
      </c>
      <c r="G13" t="s">
        <v>25</v>
      </c>
      <c r="H13" t="s">
        <v>11</v>
      </c>
      <c r="I13" s="2">
        <v>45809</v>
      </c>
      <c r="J13">
        <v>24</v>
      </c>
      <c r="K13" t="s">
        <v>26</v>
      </c>
      <c r="L13">
        <v>271</v>
      </c>
      <c r="M13" t="s">
        <v>13</v>
      </c>
    </row>
    <row r="14" spans="2:13" x14ac:dyDescent="0.35">
      <c r="B14" s="4">
        <v>256779412563</v>
      </c>
      <c r="C14" s="3">
        <v>45769</v>
      </c>
      <c r="D14" s="1">
        <v>0</v>
      </c>
      <c r="E14" s="1">
        <v>-6.94</v>
      </c>
      <c r="F14" t="s">
        <v>15</v>
      </c>
      <c r="G14" t="s">
        <v>25</v>
      </c>
      <c r="H14" t="s">
        <v>11</v>
      </c>
      <c r="I14" s="2">
        <v>45809</v>
      </c>
      <c r="J14">
        <v>48</v>
      </c>
      <c r="K14" t="s">
        <v>26</v>
      </c>
      <c r="L14">
        <v>271</v>
      </c>
      <c r="M14" t="s">
        <v>13</v>
      </c>
    </row>
    <row r="15" spans="2:13" x14ac:dyDescent="0.35">
      <c r="B15" s="4">
        <v>256779412576</v>
      </c>
      <c r="C15" s="3">
        <v>45769</v>
      </c>
      <c r="D15" s="1">
        <v>0</v>
      </c>
      <c r="E15" s="1">
        <v>-11.84</v>
      </c>
      <c r="F15" t="s">
        <v>15</v>
      </c>
      <c r="G15" t="s">
        <v>25</v>
      </c>
      <c r="H15" t="s">
        <v>11</v>
      </c>
      <c r="I15" s="2">
        <v>45809</v>
      </c>
      <c r="J15">
        <v>52</v>
      </c>
      <c r="K15" t="s">
        <v>26</v>
      </c>
      <c r="L15">
        <v>271</v>
      </c>
      <c r="M15" t="s">
        <v>13</v>
      </c>
    </row>
    <row r="16" spans="2:13" x14ac:dyDescent="0.35">
      <c r="B16" s="4">
        <v>256779412577</v>
      </c>
      <c r="C16" s="3">
        <v>45769</v>
      </c>
      <c r="D16" s="1">
        <v>0</v>
      </c>
      <c r="E16" s="1">
        <v>-11.84</v>
      </c>
      <c r="F16" t="s">
        <v>15</v>
      </c>
      <c r="G16" t="s">
        <v>25</v>
      </c>
      <c r="H16" t="s">
        <v>11</v>
      </c>
      <c r="I16" s="2">
        <v>45809</v>
      </c>
      <c r="J16">
        <v>54</v>
      </c>
      <c r="K16" t="s">
        <v>26</v>
      </c>
      <c r="L16">
        <v>271</v>
      </c>
      <c r="M16" t="s">
        <v>13</v>
      </c>
    </row>
    <row r="17" spans="2:13" x14ac:dyDescent="0.35">
      <c r="B17" s="4">
        <v>256779412580</v>
      </c>
      <c r="C17" s="3">
        <v>45769</v>
      </c>
      <c r="D17" s="1">
        <v>0</v>
      </c>
      <c r="E17" s="1">
        <v>-10.42</v>
      </c>
      <c r="F17" t="s">
        <v>15</v>
      </c>
      <c r="G17" t="s">
        <v>25</v>
      </c>
      <c r="H17" t="s">
        <v>11</v>
      </c>
      <c r="I17" s="2">
        <v>45809</v>
      </c>
      <c r="J17">
        <v>56</v>
      </c>
      <c r="K17" t="s">
        <v>26</v>
      </c>
      <c r="L17">
        <v>271</v>
      </c>
      <c r="M17" t="s">
        <v>13</v>
      </c>
    </row>
    <row r="18" spans="2:13" x14ac:dyDescent="0.35">
      <c r="B18" s="4">
        <v>256779412562</v>
      </c>
      <c r="C18" s="3">
        <v>45769</v>
      </c>
      <c r="D18" s="1">
        <v>0</v>
      </c>
      <c r="E18" s="1">
        <v>-14.06</v>
      </c>
      <c r="F18" t="s">
        <v>15</v>
      </c>
      <c r="G18" t="s">
        <v>25</v>
      </c>
      <c r="H18" t="s">
        <v>11</v>
      </c>
      <c r="I18" s="2">
        <v>45809</v>
      </c>
      <c r="J18">
        <v>66</v>
      </c>
      <c r="K18" t="s">
        <v>26</v>
      </c>
      <c r="L18">
        <v>271</v>
      </c>
      <c r="M18" t="s">
        <v>13</v>
      </c>
    </row>
    <row r="19" spans="2:13" x14ac:dyDescent="0.35">
      <c r="B19" s="4">
        <v>256779412564</v>
      </c>
      <c r="C19" s="3">
        <v>45769</v>
      </c>
      <c r="D19" s="1">
        <v>0</v>
      </c>
      <c r="E19" s="1">
        <v>-14.2</v>
      </c>
      <c r="F19" t="s">
        <v>15</v>
      </c>
      <c r="G19" t="s">
        <v>25</v>
      </c>
      <c r="H19" t="s">
        <v>11</v>
      </c>
      <c r="I19" s="2">
        <v>45809</v>
      </c>
      <c r="J19">
        <v>70</v>
      </c>
      <c r="K19" t="s">
        <v>26</v>
      </c>
      <c r="L19">
        <v>271</v>
      </c>
      <c r="M19" t="s">
        <v>13</v>
      </c>
    </row>
    <row r="20" spans="2:13" x14ac:dyDescent="0.35">
      <c r="B20" s="4">
        <v>256779412570</v>
      </c>
      <c r="C20" s="3">
        <v>45769</v>
      </c>
      <c r="D20" s="1">
        <v>0</v>
      </c>
      <c r="E20" s="1">
        <v>-11.15</v>
      </c>
      <c r="F20" t="s">
        <v>15</v>
      </c>
      <c r="G20" t="s">
        <v>25</v>
      </c>
      <c r="H20" t="s">
        <v>11</v>
      </c>
      <c r="I20" s="2">
        <v>45809</v>
      </c>
      <c r="J20">
        <v>72</v>
      </c>
      <c r="K20" t="s">
        <v>26</v>
      </c>
      <c r="L20">
        <v>271</v>
      </c>
      <c r="M20" t="s">
        <v>13</v>
      </c>
    </row>
    <row r="21" spans="2:13" x14ac:dyDescent="0.35">
      <c r="B21" s="4">
        <v>256779412581</v>
      </c>
      <c r="C21" s="3">
        <v>45769</v>
      </c>
      <c r="D21" s="1">
        <v>0</v>
      </c>
      <c r="E21" s="1">
        <v>-13.25</v>
      </c>
      <c r="F21" t="s">
        <v>15</v>
      </c>
      <c r="G21" t="s">
        <v>25</v>
      </c>
      <c r="H21" t="s">
        <v>11</v>
      </c>
      <c r="I21" s="2">
        <v>45809</v>
      </c>
      <c r="J21">
        <v>74</v>
      </c>
      <c r="K21" t="s">
        <v>26</v>
      </c>
      <c r="L21">
        <v>271</v>
      </c>
      <c r="M21" t="s">
        <v>13</v>
      </c>
    </row>
    <row r="22" spans="2:13" x14ac:dyDescent="0.35">
      <c r="B22" s="4">
        <v>256779412585</v>
      </c>
      <c r="C22" s="3">
        <v>45769</v>
      </c>
      <c r="D22" s="1">
        <v>0</v>
      </c>
      <c r="E22" s="1">
        <v>-12.54</v>
      </c>
      <c r="F22" t="s">
        <v>15</v>
      </c>
      <c r="G22" t="s">
        <v>25</v>
      </c>
      <c r="H22" t="s">
        <v>11</v>
      </c>
      <c r="I22" s="2">
        <v>45809</v>
      </c>
      <c r="J22">
        <v>78</v>
      </c>
      <c r="K22" t="s">
        <v>26</v>
      </c>
      <c r="L22">
        <v>271</v>
      </c>
      <c r="M22" t="s">
        <v>13</v>
      </c>
    </row>
    <row r="23" spans="2:13" x14ac:dyDescent="0.35">
      <c r="B23" s="4">
        <v>256779412583</v>
      </c>
      <c r="C23" s="3">
        <v>45769</v>
      </c>
      <c r="D23" s="1">
        <v>0</v>
      </c>
      <c r="E23" s="1">
        <v>-13.59</v>
      </c>
      <c r="F23" t="s">
        <v>15</v>
      </c>
      <c r="G23" t="s">
        <v>25</v>
      </c>
      <c r="H23" t="s">
        <v>11</v>
      </c>
      <c r="I23" s="2">
        <v>45809</v>
      </c>
      <c r="J23">
        <v>104</v>
      </c>
      <c r="K23" t="s">
        <v>26</v>
      </c>
      <c r="L23">
        <v>271</v>
      </c>
      <c r="M23" t="s">
        <v>13</v>
      </c>
    </row>
    <row r="24" spans="2:13" x14ac:dyDescent="0.35">
      <c r="B24" s="4">
        <v>256779418474</v>
      </c>
      <c r="C24" s="3">
        <v>45951</v>
      </c>
      <c r="D24" s="1">
        <v>0</v>
      </c>
      <c r="E24" s="1">
        <v>-1591.62</v>
      </c>
      <c r="F24" t="s">
        <v>15</v>
      </c>
      <c r="G24" t="s">
        <v>43</v>
      </c>
      <c r="H24" t="s">
        <v>11</v>
      </c>
      <c r="I24" s="2">
        <v>46023</v>
      </c>
      <c r="J24">
        <v>78</v>
      </c>
      <c r="K24" t="s">
        <v>45</v>
      </c>
      <c r="L24">
        <v>271</v>
      </c>
      <c r="M24" t="s">
        <v>13</v>
      </c>
    </row>
    <row r="25" spans="2:13" x14ac:dyDescent="0.35">
      <c r="B25" s="4">
        <v>256779418474</v>
      </c>
      <c r="C25" s="3">
        <v>45951</v>
      </c>
      <c r="D25" s="1">
        <v>0</v>
      </c>
      <c r="E25" s="1">
        <v>-14.27</v>
      </c>
      <c r="F25" t="s">
        <v>15</v>
      </c>
      <c r="G25" t="s">
        <v>43</v>
      </c>
      <c r="H25" t="s">
        <v>11</v>
      </c>
      <c r="I25" s="2">
        <v>46023</v>
      </c>
      <c r="J25">
        <v>80</v>
      </c>
      <c r="K25" t="s">
        <v>45</v>
      </c>
      <c r="L25">
        <v>271</v>
      </c>
      <c r="M25" t="s">
        <v>13</v>
      </c>
    </row>
    <row r="26" spans="2:13" x14ac:dyDescent="0.35">
      <c r="B26" s="4">
        <v>256779418474</v>
      </c>
      <c r="C26" s="3">
        <v>45951</v>
      </c>
      <c r="D26" s="1">
        <v>0</v>
      </c>
      <c r="E26" s="1">
        <v>-31.65</v>
      </c>
      <c r="F26" t="s">
        <v>15</v>
      </c>
      <c r="G26" t="s">
        <v>43</v>
      </c>
      <c r="H26" t="s">
        <v>11</v>
      </c>
      <c r="I26" s="2">
        <v>46023</v>
      </c>
      <c r="J26">
        <v>82</v>
      </c>
      <c r="K26" t="s">
        <v>45</v>
      </c>
      <c r="L26">
        <v>271</v>
      </c>
      <c r="M26" t="s">
        <v>13</v>
      </c>
    </row>
    <row r="27" spans="2:13" x14ac:dyDescent="0.35">
      <c r="B27" s="4">
        <v>256779413391</v>
      </c>
      <c r="C27" s="3">
        <v>45798</v>
      </c>
      <c r="D27" s="1">
        <v>0</v>
      </c>
      <c r="E27" s="1">
        <v>-815.41</v>
      </c>
      <c r="F27" t="s">
        <v>15</v>
      </c>
      <c r="G27" t="s">
        <v>47</v>
      </c>
      <c r="H27" t="s">
        <v>11</v>
      </c>
      <c r="I27" s="2">
        <v>45901</v>
      </c>
      <c r="J27">
        <v>64</v>
      </c>
      <c r="K27" t="s">
        <v>52</v>
      </c>
      <c r="L27">
        <v>271</v>
      </c>
      <c r="M27" t="s">
        <v>13</v>
      </c>
    </row>
    <row r="28" spans="2:13" x14ac:dyDescent="0.35">
      <c r="B28" s="4">
        <v>256779413392</v>
      </c>
      <c r="C28" s="3">
        <v>45798</v>
      </c>
      <c r="D28" s="1">
        <v>0</v>
      </c>
      <c r="E28" s="1">
        <v>-702.37</v>
      </c>
      <c r="F28" t="s">
        <v>15</v>
      </c>
      <c r="G28" t="s">
        <v>47</v>
      </c>
      <c r="H28" t="s">
        <v>11</v>
      </c>
      <c r="I28" s="2">
        <v>45901</v>
      </c>
      <c r="J28">
        <v>70</v>
      </c>
      <c r="K28" t="s">
        <v>52</v>
      </c>
      <c r="L28">
        <v>271</v>
      </c>
      <c r="M28" t="s">
        <v>13</v>
      </c>
    </row>
    <row r="29" spans="2:13" x14ac:dyDescent="0.35">
      <c r="B29" s="4">
        <v>256779412184</v>
      </c>
      <c r="C29" s="3">
        <v>45768</v>
      </c>
      <c r="D29" s="1">
        <v>0</v>
      </c>
      <c r="E29" s="1">
        <v>-23.98</v>
      </c>
      <c r="F29" t="s">
        <v>15</v>
      </c>
      <c r="G29" t="s">
        <v>55</v>
      </c>
      <c r="H29" t="s">
        <v>11</v>
      </c>
      <c r="I29" s="2">
        <v>45809</v>
      </c>
      <c r="J29">
        <v>42</v>
      </c>
      <c r="K29" t="s">
        <v>26</v>
      </c>
      <c r="L29">
        <v>271</v>
      </c>
      <c r="M29" t="s">
        <v>13</v>
      </c>
    </row>
    <row r="30" spans="2:13" x14ac:dyDescent="0.35">
      <c r="B30" s="4">
        <v>256779412185</v>
      </c>
      <c r="C30" s="3">
        <v>45768</v>
      </c>
      <c r="D30" s="1">
        <v>0</v>
      </c>
      <c r="E30" s="1">
        <v>-13.19</v>
      </c>
      <c r="F30" t="s">
        <v>15</v>
      </c>
      <c r="G30" t="s">
        <v>55</v>
      </c>
      <c r="H30" t="s">
        <v>11</v>
      </c>
      <c r="I30" s="2">
        <v>45809</v>
      </c>
      <c r="J30">
        <v>46</v>
      </c>
      <c r="K30" t="s">
        <v>26</v>
      </c>
      <c r="L30">
        <v>271</v>
      </c>
      <c r="M30" t="s">
        <v>13</v>
      </c>
    </row>
    <row r="31" spans="2:13" x14ac:dyDescent="0.35">
      <c r="B31" s="4">
        <v>256779412155</v>
      </c>
      <c r="C31" s="3">
        <v>45768</v>
      </c>
      <c r="D31" s="1">
        <v>0</v>
      </c>
      <c r="E31" s="1">
        <v>-599.66999999999996</v>
      </c>
      <c r="F31" t="s">
        <v>15</v>
      </c>
      <c r="G31" t="s">
        <v>55</v>
      </c>
      <c r="H31" t="s">
        <v>11</v>
      </c>
      <c r="I31" s="2">
        <v>45809</v>
      </c>
      <c r="J31">
        <v>84</v>
      </c>
      <c r="K31" t="s">
        <v>26</v>
      </c>
      <c r="L31">
        <v>271</v>
      </c>
      <c r="M31" t="s">
        <v>13</v>
      </c>
    </row>
    <row r="32" spans="2:13" x14ac:dyDescent="0.35">
      <c r="B32" s="4">
        <v>256779418653</v>
      </c>
      <c r="C32" s="3">
        <v>45950</v>
      </c>
      <c r="D32" s="1">
        <v>0</v>
      </c>
      <c r="E32" s="1">
        <v>-166.44</v>
      </c>
      <c r="F32" t="s">
        <v>15</v>
      </c>
      <c r="G32" t="s">
        <v>65</v>
      </c>
      <c r="H32" t="s">
        <v>11</v>
      </c>
      <c r="I32" s="2">
        <v>46023</v>
      </c>
      <c r="J32">
        <v>90</v>
      </c>
      <c r="K32" t="s">
        <v>45</v>
      </c>
      <c r="L32">
        <v>271</v>
      </c>
      <c r="M32" t="s">
        <v>13</v>
      </c>
    </row>
    <row r="33" spans="2:13" x14ac:dyDescent="0.35">
      <c r="B33" s="4">
        <v>256779418653</v>
      </c>
      <c r="C33" s="3">
        <v>45950</v>
      </c>
      <c r="D33" s="1">
        <v>0</v>
      </c>
      <c r="E33" s="1">
        <v>-330.56</v>
      </c>
      <c r="F33" t="s">
        <v>15</v>
      </c>
      <c r="G33" t="s">
        <v>65</v>
      </c>
      <c r="H33" t="s">
        <v>11</v>
      </c>
      <c r="I33" s="2">
        <v>46023</v>
      </c>
      <c r="J33">
        <v>92</v>
      </c>
      <c r="K33" t="s">
        <v>45</v>
      </c>
      <c r="L33">
        <v>271</v>
      </c>
      <c r="M33" t="s">
        <v>13</v>
      </c>
    </row>
    <row r="34" spans="2:13" x14ac:dyDescent="0.35">
      <c r="B34" s="4">
        <v>256779416869</v>
      </c>
      <c r="C34" s="3">
        <v>45889</v>
      </c>
      <c r="D34" s="1">
        <v>0</v>
      </c>
      <c r="E34" s="1">
        <v>-568.28</v>
      </c>
      <c r="F34" t="s">
        <v>15</v>
      </c>
      <c r="G34" t="s">
        <v>67</v>
      </c>
      <c r="H34" t="s">
        <v>11</v>
      </c>
      <c r="I34" s="2">
        <v>46023</v>
      </c>
      <c r="J34">
        <v>84</v>
      </c>
      <c r="K34" t="s">
        <v>45</v>
      </c>
      <c r="L34">
        <v>271</v>
      </c>
      <c r="M34" t="s">
        <v>13</v>
      </c>
    </row>
    <row r="35" spans="2:13" x14ac:dyDescent="0.35">
      <c r="B35" s="4">
        <v>256779416838</v>
      </c>
      <c r="C35" s="3">
        <v>45889</v>
      </c>
      <c r="D35" s="1">
        <v>0</v>
      </c>
      <c r="E35" s="1">
        <v>-3356.53</v>
      </c>
      <c r="F35" t="s">
        <v>15</v>
      </c>
      <c r="G35" t="s">
        <v>67</v>
      </c>
      <c r="H35" t="s">
        <v>11</v>
      </c>
      <c r="I35" s="2">
        <v>46023</v>
      </c>
      <c r="J35">
        <v>88</v>
      </c>
      <c r="K35" t="s">
        <v>45</v>
      </c>
      <c r="L35">
        <v>271</v>
      </c>
      <c r="M35" t="s">
        <v>13</v>
      </c>
    </row>
    <row r="36" spans="2:13" x14ac:dyDescent="0.35">
      <c r="B36" s="4">
        <v>246779413936</v>
      </c>
      <c r="C36" s="3">
        <v>45736</v>
      </c>
      <c r="D36" s="1">
        <v>0</v>
      </c>
      <c r="E36" s="1">
        <v>28.38</v>
      </c>
      <c r="F36" t="s">
        <v>15</v>
      </c>
      <c r="G36" t="s">
        <v>70</v>
      </c>
      <c r="H36" t="s">
        <v>11</v>
      </c>
      <c r="I36" s="2">
        <v>45809</v>
      </c>
      <c r="J36">
        <v>10</v>
      </c>
      <c r="K36" t="s">
        <v>26</v>
      </c>
      <c r="L36">
        <v>271</v>
      </c>
      <c r="M36" t="s">
        <v>13</v>
      </c>
    </row>
    <row r="37" spans="2:13" x14ac:dyDescent="0.35">
      <c r="B37" s="4">
        <v>246779413889</v>
      </c>
      <c r="C37" s="3">
        <v>45736</v>
      </c>
      <c r="D37" s="1">
        <v>0</v>
      </c>
      <c r="E37" s="1">
        <v>43.85</v>
      </c>
      <c r="F37" t="s">
        <v>15</v>
      </c>
      <c r="G37" t="s">
        <v>70</v>
      </c>
      <c r="H37" t="s">
        <v>11</v>
      </c>
      <c r="I37" s="2">
        <v>45809</v>
      </c>
      <c r="J37">
        <v>28</v>
      </c>
      <c r="K37" t="s">
        <v>26</v>
      </c>
      <c r="L37">
        <v>271</v>
      </c>
      <c r="M37" t="s">
        <v>13</v>
      </c>
    </row>
    <row r="38" spans="2:13" x14ac:dyDescent="0.35">
      <c r="B38" s="4">
        <v>246779413920</v>
      </c>
      <c r="C38" s="3">
        <v>45736</v>
      </c>
      <c r="D38" s="1">
        <v>0</v>
      </c>
      <c r="E38" s="1">
        <v>23.21</v>
      </c>
      <c r="F38" t="s">
        <v>15</v>
      </c>
      <c r="G38" t="s">
        <v>70</v>
      </c>
      <c r="H38" t="s">
        <v>11</v>
      </c>
      <c r="I38" s="2">
        <v>45809</v>
      </c>
      <c r="J38">
        <v>32</v>
      </c>
      <c r="K38" t="s">
        <v>26</v>
      </c>
      <c r="L38">
        <v>271</v>
      </c>
      <c r="M38" t="s">
        <v>13</v>
      </c>
    </row>
    <row r="39" spans="2:13" x14ac:dyDescent="0.35">
      <c r="B39" s="4">
        <v>246779413941</v>
      </c>
      <c r="C39" s="3">
        <v>45736</v>
      </c>
      <c r="D39" s="1">
        <v>0</v>
      </c>
      <c r="E39" s="1">
        <v>30.95</v>
      </c>
      <c r="F39" t="s">
        <v>15</v>
      </c>
      <c r="G39" t="s">
        <v>70</v>
      </c>
      <c r="H39" t="s">
        <v>11</v>
      </c>
      <c r="I39" s="2">
        <v>45809</v>
      </c>
      <c r="J39">
        <v>36</v>
      </c>
      <c r="K39" t="s">
        <v>26</v>
      </c>
      <c r="L39">
        <v>271</v>
      </c>
      <c r="M39" t="s">
        <v>13</v>
      </c>
    </row>
    <row r="40" spans="2:13" x14ac:dyDescent="0.35">
      <c r="B40" s="4">
        <v>246779413815</v>
      </c>
      <c r="C40" s="3">
        <v>45736</v>
      </c>
      <c r="D40" s="1">
        <v>0</v>
      </c>
      <c r="E40" s="1">
        <v>51.59</v>
      </c>
      <c r="F40" t="s">
        <v>15</v>
      </c>
      <c r="G40" t="s">
        <v>70</v>
      </c>
      <c r="H40" t="s">
        <v>11</v>
      </c>
      <c r="I40" s="2">
        <v>45809</v>
      </c>
      <c r="J40">
        <v>58</v>
      </c>
      <c r="K40" t="s">
        <v>26</v>
      </c>
      <c r="L40">
        <v>271</v>
      </c>
      <c r="M40" t="s">
        <v>13</v>
      </c>
    </row>
    <row r="41" spans="2:13" x14ac:dyDescent="0.35">
      <c r="B41" s="4">
        <v>246779414384</v>
      </c>
      <c r="C41" s="3">
        <v>45736</v>
      </c>
      <c r="D41" s="1">
        <v>0</v>
      </c>
      <c r="E41" s="1">
        <v>188.32</v>
      </c>
      <c r="F41" t="s">
        <v>15</v>
      </c>
      <c r="G41" t="s">
        <v>70</v>
      </c>
      <c r="H41" t="s">
        <v>11</v>
      </c>
      <c r="I41" s="2">
        <v>45809</v>
      </c>
      <c r="J41">
        <v>88</v>
      </c>
      <c r="K41" t="s">
        <v>26</v>
      </c>
      <c r="L41">
        <v>271</v>
      </c>
      <c r="M41" t="s">
        <v>13</v>
      </c>
    </row>
    <row r="42" spans="2:13" x14ac:dyDescent="0.35">
      <c r="B42" s="4">
        <v>246779413747</v>
      </c>
      <c r="C42" s="3">
        <v>45736</v>
      </c>
      <c r="D42" s="1">
        <v>0</v>
      </c>
      <c r="E42" s="1">
        <v>-4.34</v>
      </c>
      <c r="F42" t="s">
        <v>15</v>
      </c>
      <c r="G42" t="s">
        <v>70</v>
      </c>
      <c r="H42" t="s">
        <v>11</v>
      </c>
      <c r="I42" s="2">
        <v>45901</v>
      </c>
      <c r="J42">
        <v>58</v>
      </c>
      <c r="K42" t="s">
        <v>52</v>
      </c>
      <c r="L42">
        <v>271</v>
      </c>
      <c r="M42" t="s">
        <v>13</v>
      </c>
    </row>
    <row r="43" spans="2:13" x14ac:dyDescent="0.35">
      <c r="B43" s="4">
        <v>246779410227</v>
      </c>
      <c r="C43" s="3">
        <v>45708</v>
      </c>
      <c r="D43" s="1">
        <v>0</v>
      </c>
      <c r="E43" s="1">
        <v>1232.44</v>
      </c>
      <c r="F43" t="s">
        <v>15</v>
      </c>
      <c r="G43" t="s">
        <v>82</v>
      </c>
      <c r="H43" t="s">
        <v>11</v>
      </c>
      <c r="I43" s="2">
        <v>45809</v>
      </c>
      <c r="J43">
        <v>2</v>
      </c>
      <c r="K43" t="s">
        <v>26</v>
      </c>
      <c r="L43">
        <v>271</v>
      </c>
      <c r="M43" t="s">
        <v>13</v>
      </c>
    </row>
    <row r="44" spans="2:13" x14ac:dyDescent="0.35">
      <c r="B44" s="4">
        <v>246779410260</v>
      </c>
      <c r="C44" s="3">
        <v>45708</v>
      </c>
      <c r="D44" s="1">
        <v>0</v>
      </c>
      <c r="E44" s="1">
        <v>49.29</v>
      </c>
      <c r="F44" t="s">
        <v>15</v>
      </c>
      <c r="G44" t="s">
        <v>82</v>
      </c>
      <c r="H44" t="s">
        <v>11</v>
      </c>
      <c r="I44" s="2">
        <v>45809</v>
      </c>
      <c r="J44">
        <v>8</v>
      </c>
      <c r="K44" t="s">
        <v>26</v>
      </c>
      <c r="L44">
        <v>271</v>
      </c>
      <c r="M44" t="s">
        <v>13</v>
      </c>
    </row>
    <row r="45" spans="2:13" x14ac:dyDescent="0.35">
      <c r="B45" s="4">
        <v>246779410080</v>
      </c>
      <c r="C45" s="3">
        <v>45708</v>
      </c>
      <c r="D45" s="1">
        <v>0</v>
      </c>
      <c r="E45" s="1">
        <v>51.34</v>
      </c>
      <c r="F45" t="s">
        <v>15</v>
      </c>
      <c r="G45" t="s">
        <v>82</v>
      </c>
      <c r="H45" t="s">
        <v>11</v>
      </c>
      <c r="I45" s="2">
        <v>45809</v>
      </c>
      <c r="J45">
        <v>76</v>
      </c>
      <c r="K45" t="s">
        <v>26</v>
      </c>
      <c r="L45">
        <v>271</v>
      </c>
      <c r="M45" t="s">
        <v>13</v>
      </c>
    </row>
    <row r="46" spans="2:13" x14ac:dyDescent="0.35">
      <c r="B46" s="4">
        <v>246779410064</v>
      </c>
      <c r="C46" s="3">
        <v>45708</v>
      </c>
      <c r="D46" s="1">
        <v>0</v>
      </c>
      <c r="E46" s="1">
        <v>28.23</v>
      </c>
      <c r="F46" t="s">
        <v>15</v>
      </c>
      <c r="G46" t="s">
        <v>82</v>
      </c>
      <c r="H46" t="s">
        <v>11</v>
      </c>
      <c r="I46" s="2">
        <v>45809</v>
      </c>
      <c r="J46">
        <v>80</v>
      </c>
      <c r="K46" t="s">
        <v>26</v>
      </c>
      <c r="L46">
        <v>271</v>
      </c>
      <c r="M46" t="s">
        <v>13</v>
      </c>
    </row>
    <row r="47" spans="2:13" x14ac:dyDescent="0.35">
      <c r="B47" s="4">
        <v>246779410010</v>
      </c>
      <c r="C47" s="3">
        <v>45708</v>
      </c>
      <c r="D47" s="1">
        <v>0</v>
      </c>
      <c r="E47" s="1">
        <v>1283.51</v>
      </c>
      <c r="F47" t="s">
        <v>15</v>
      </c>
      <c r="G47" t="s">
        <v>82</v>
      </c>
      <c r="H47" t="s">
        <v>11</v>
      </c>
      <c r="I47" s="2">
        <v>45809</v>
      </c>
      <c r="J47">
        <v>92</v>
      </c>
      <c r="K47" t="s">
        <v>26</v>
      </c>
      <c r="L47">
        <v>271</v>
      </c>
      <c r="M47" t="s">
        <v>13</v>
      </c>
    </row>
    <row r="48" spans="2:13" x14ac:dyDescent="0.35">
      <c r="B48" s="4">
        <v>246779410063</v>
      </c>
      <c r="C48" s="3">
        <v>45708</v>
      </c>
      <c r="D48" s="1">
        <v>0</v>
      </c>
      <c r="E48" s="1">
        <v>51.34</v>
      </c>
      <c r="F48" t="s">
        <v>15</v>
      </c>
      <c r="G48" t="s">
        <v>82</v>
      </c>
      <c r="H48" t="s">
        <v>11</v>
      </c>
      <c r="I48" s="2">
        <v>45809</v>
      </c>
      <c r="J48">
        <v>98</v>
      </c>
      <c r="K48" t="s">
        <v>26</v>
      </c>
      <c r="L48">
        <v>271</v>
      </c>
      <c r="M48" t="s">
        <v>13</v>
      </c>
    </row>
    <row r="49" spans="2:13" x14ac:dyDescent="0.35">
      <c r="B49" s="4">
        <v>246779410030</v>
      </c>
      <c r="C49" s="3">
        <v>45708</v>
      </c>
      <c r="D49" s="1">
        <v>0</v>
      </c>
      <c r="E49" s="1">
        <v>1283.51</v>
      </c>
      <c r="F49" t="s">
        <v>15</v>
      </c>
      <c r="G49" t="s">
        <v>82</v>
      </c>
      <c r="H49" t="s">
        <v>11</v>
      </c>
      <c r="I49" s="2">
        <v>45809</v>
      </c>
      <c r="J49">
        <v>100</v>
      </c>
      <c r="K49" t="s">
        <v>26</v>
      </c>
      <c r="L49">
        <v>271</v>
      </c>
      <c r="M49" t="s">
        <v>13</v>
      </c>
    </row>
    <row r="50" spans="2:13" x14ac:dyDescent="0.35">
      <c r="B50" s="4">
        <v>246779410261</v>
      </c>
      <c r="C50" s="3">
        <v>45708</v>
      </c>
      <c r="D50" s="1">
        <v>0</v>
      </c>
      <c r="E50" s="1">
        <v>27.12</v>
      </c>
      <c r="F50" t="s">
        <v>15</v>
      </c>
      <c r="G50" t="s">
        <v>82</v>
      </c>
      <c r="H50" t="s">
        <v>11</v>
      </c>
      <c r="I50" s="2">
        <v>45809</v>
      </c>
      <c r="J50">
        <v>102</v>
      </c>
      <c r="K50" t="s">
        <v>26</v>
      </c>
      <c r="L50">
        <v>271</v>
      </c>
      <c r="M50" t="s">
        <v>13</v>
      </c>
    </row>
    <row r="51" spans="2:13" x14ac:dyDescent="0.35">
      <c r="B51" s="4">
        <v>246779410311</v>
      </c>
      <c r="C51" s="3">
        <v>45708</v>
      </c>
      <c r="D51" s="1">
        <v>0</v>
      </c>
      <c r="E51" s="1">
        <v>-197.88</v>
      </c>
      <c r="F51" t="s">
        <v>15</v>
      </c>
      <c r="G51" t="s">
        <v>82</v>
      </c>
      <c r="H51" t="s">
        <v>11</v>
      </c>
      <c r="I51" s="2">
        <v>45901</v>
      </c>
      <c r="J51">
        <v>2</v>
      </c>
      <c r="K51" t="s">
        <v>52</v>
      </c>
      <c r="L51">
        <v>271</v>
      </c>
      <c r="M51" t="s">
        <v>13</v>
      </c>
    </row>
    <row r="52" spans="2:13" x14ac:dyDescent="0.35">
      <c r="B52" s="4">
        <v>256779414741</v>
      </c>
      <c r="C52" s="3">
        <v>45827</v>
      </c>
      <c r="D52" s="1">
        <v>0</v>
      </c>
      <c r="E52" s="1">
        <v>-2742.45</v>
      </c>
      <c r="F52" t="s">
        <v>15</v>
      </c>
      <c r="G52" t="s">
        <v>106</v>
      </c>
      <c r="H52" t="s">
        <v>11</v>
      </c>
      <c r="I52" s="2">
        <v>45992</v>
      </c>
      <c r="J52">
        <v>86</v>
      </c>
      <c r="K52" t="s">
        <v>10</v>
      </c>
      <c r="L52">
        <v>271</v>
      </c>
      <c r="M52" t="s">
        <v>13</v>
      </c>
    </row>
    <row r="53" spans="2:13" x14ac:dyDescent="0.35">
      <c r="B53" s="4">
        <v>246779412994</v>
      </c>
      <c r="C53" s="3">
        <v>45735</v>
      </c>
      <c r="D53" s="1">
        <v>0</v>
      </c>
      <c r="E53" s="1">
        <v>2370.4299999999998</v>
      </c>
      <c r="F53" t="s">
        <v>15</v>
      </c>
      <c r="G53" t="s">
        <v>108</v>
      </c>
      <c r="H53" t="s">
        <v>11</v>
      </c>
      <c r="I53" s="2">
        <v>45809</v>
      </c>
      <c r="J53">
        <v>26</v>
      </c>
      <c r="K53" t="s">
        <v>26</v>
      </c>
      <c r="L53">
        <v>271</v>
      </c>
      <c r="M53" t="s">
        <v>13</v>
      </c>
    </row>
    <row r="54" spans="2:13" x14ac:dyDescent="0.35">
      <c r="B54" s="4">
        <v>246779413023</v>
      </c>
      <c r="C54" s="3">
        <v>45735</v>
      </c>
      <c r="D54" s="1">
        <v>0</v>
      </c>
      <c r="E54" s="1">
        <v>94.81</v>
      </c>
      <c r="F54" t="s">
        <v>15</v>
      </c>
      <c r="G54" t="s">
        <v>108</v>
      </c>
      <c r="H54" t="s">
        <v>11</v>
      </c>
      <c r="I54" s="2">
        <v>45809</v>
      </c>
      <c r="J54">
        <v>30</v>
      </c>
      <c r="K54" t="s">
        <v>26</v>
      </c>
      <c r="L54">
        <v>271</v>
      </c>
      <c r="M54" t="s">
        <v>13</v>
      </c>
    </row>
    <row r="55" spans="2:13" x14ac:dyDescent="0.35">
      <c r="B55" s="4">
        <v>246779413024</v>
      </c>
      <c r="C55" s="3">
        <v>45735</v>
      </c>
      <c r="D55" s="1">
        <v>0</v>
      </c>
      <c r="E55" s="1">
        <v>52.15</v>
      </c>
      <c r="F55" t="s">
        <v>15</v>
      </c>
      <c r="G55" t="s">
        <v>108</v>
      </c>
      <c r="H55" t="s">
        <v>11</v>
      </c>
      <c r="I55" s="2">
        <v>45809</v>
      </c>
      <c r="J55">
        <v>62</v>
      </c>
      <c r="K55" t="s">
        <v>26</v>
      </c>
      <c r="L55">
        <v>271</v>
      </c>
      <c r="M55" t="s">
        <v>13</v>
      </c>
    </row>
    <row r="56" spans="2:13" x14ac:dyDescent="0.35">
      <c r="B56" s="4">
        <v>246779410081</v>
      </c>
      <c r="C56" s="3">
        <v>45707</v>
      </c>
      <c r="D56" s="1">
        <v>0</v>
      </c>
      <c r="E56" s="1">
        <v>28.23</v>
      </c>
      <c r="F56" t="s">
        <v>15</v>
      </c>
      <c r="G56" t="s">
        <v>113</v>
      </c>
      <c r="H56" t="s">
        <v>11</v>
      </c>
      <c r="I56" s="2">
        <v>45809</v>
      </c>
      <c r="J56">
        <v>96</v>
      </c>
      <c r="K56" t="s">
        <v>26</v>
      </c>
      <c r="L56">
        <v>271</v>
      </c>
      <c r="M56" t="s">
        <v>13</v>
      </c>
    </row>
    <row r="57" spans="2:13" x14ac:dyDescent="0.35">
      <c r="B57" s="4">
        <v>256779417597</v>
      </c>
      <c r="C57" s="3">
        <v>45918</v>
      </c>
      <c r="D57" s="1">
        <v>0</v>
      </c>
      <c r="E57" s="1">
        <v>-621.04</v>
      </c>
      <c r="F57" t="s">
        <v>15</v>
      </c>
      <c r="G57" t="s">
        <v>117</v>
      </c>
      <c r="H57" t="s">
        <v>11</v>
      </c>
      <c r="I57" s="2">
        <v>45931</v>
      </c>
      <c r="J57">
        <v>68</v>
      </c>
      <c r="K57" t="s">
        <v>19</v>
      </c>
      <c r="L57">
        <v>271</v>
      </c>
      <c r="M57" t="s">
        <v>13</v>
      </c>
    </row>
    <row r="58" spans="2:13" x14ac:dyDescent="0.35">
      <c r="B58" s="4" t="s">
        <v>439</v>
      </c>
      <c r="C58" s="3">
        <v>45918</v>
      </c>
      <c r="D58" s="1">
        <v>0</v>
      </c>
      <c r="E58" s="1">
        <v>-718.94</v>
      </c>
      <c r="F58" t="s">
        <v>15</v>
      </c>
      <c r="G58" t="s">
        <v>117</v>
      </c>
      <c r="H58" t="s">
        <v>11</v>
      </c>
      <c r="I58" s="2">
        <v>46023</v>
      </c>
      <c r="J58">
        <v>104</v>
      </c>
      <c r="K58" t="s">
        <v>45</v>
      </c>
      <c r="L58">
        <v>271</v>
      </c>
      <c r="M58" t="s">
        <v>13</v>
      </c>
    </row>
    <row r="59" spans="2:13" x14ac:dyDescent="0.35">
      <c r="B59" s="4">
        <v>256779415442</v>
      </c>
      <c r="C59" s="3">
        <v>45856</v>
      </c>
      <c r="D59" s="1">
        <v>0</v>
      </c>
      <c r="E59" s="1">
        <v>-3.53</v>
      </c>
      <c r="F59" t="s">
        <v>15</v>
      </c>
      <c r="G59" t="s">
        <v>124</v>
      </c>
      <c r="H59" t="s">
        <v>11</v>
      </c>
      <c r="I59" s="2">
        <v>45931</v>
      </c>
      <c r="J59">
        <v>66</v>
      </c>
      <c r="K59" t="s">
        <v>19</v>
      </c>
      <c r="L59">
        <v>271</v>
      </c>
      <c r="M59" t="s">
        <v>13</v>
      </c>
    </row>
    <row r="60" spans="2:13" x14ac:dyDescent="0.35">
      <c r="B60" s="4">
        <v>256779415426</v>
      </c>
      <c r="C60" s="3">
        <v>45856</v>
      </c>
      <c r="D60" s="1">
        <v>0</v>
      </c>
      <c r="E60" s="1">
        <v>-1030.68</v>
      </c>
      <c r="F60" t="s">
        <v>15</v>
      </c>
      <c r="G60" t="s">
        <v>124</v>
      </c>
      <c r="H60" t="s">
        <v>11</v>
      </c>
      <c r="I60" s="2">
        <v>45931</v>
      </c>
      <c r="J60">
        <v>70</v>
      </c>
      <c r="K60" t="s">
        <v>19</v>
      </c>
      <c r="L60">
        <v>271</v>
      </c>
      <c r="M60" t="s">
        <v>13</v>
      </c>
    </row>
    <row r="61" spans="2:13" x14ac:dyDescent="0.35">
      <c r="B61" s="4">
        <v>256779415517</v>
      </c>
      <c r="C61" s="3">
        <v>45856</v>
      </c>
      <c r="D61" s="1">
        <v>0</v>
      </c>
      <c r="E61" s="1">
        <v>-258.92</v>
      </c>
      <c r="F61" t="s">
        <v>15</v>
      </c>
      <c r="G61" t="s">
        <v>124</v>
      </c>
      <c r="H61" t="s">
        <v>11</v>
      </c>
      <c r="I61" s="2">
        <v>45931</v>
      </c>
      <c r="J61">
        <v>72</v>
      </c>
      <c r="K61" t="s">
        <v>19</v>
      </c>
      <c r="L61">
        <v>271</v>
      </c>
      <c r="M61" t="s">
        <v>13</v>
      </c>
    </row>
    <row r="62" spans="2:13" x14ac:dyDescent="0.35">
      <c r="B62" s="4">
        <v>256779415453</v>
      </c>
      <c r="C62" s="3">
        <v>45856</v>
      </c>
      <c r="D62" s="1">
        <v>0</v>
      </c>
      <c r="E62" s="1">
        <v>-650.84</v>
      </c>
      <c r="F62" t="s">
        <v>15</v>
      </c>
      <c r="G62" t="s">
        <v>124</v>
      </c>
      <c r="H62" t="s">
        <v>11</v>
      </c>
      <c r="I62" s="2">
        <v>45931</v>
      </c>
      <c r="J62">
        <v>74</v>
      </c>
      <c r="K62" t="s">
        <v>19</v>
      </c>
      <c r="L62">
        <v>271</v>
      </c>
      <c r="M62" t="s">
        <v>13</v>
      </c>
    </row>
    <row r="63" spans="2:13" x14ac:dyDescent="0.35">
      <c r="B63" s="4">
        <v>256779415474</v>
      </c>
      <c r="C63" s="3">
        <v>45856</v>
      </c>
      <c r="D63" s="1">
        <v>0</v>
      </c>
      <c r="E63" s="1">
        <v>-1349.32</v>
      </c>
      <c r="F63" t="s">
        <v>15</v>
      </c>
      <c r="G63" t="s">
        <v>124</v>
      </c>
      <c r="H63" t="s">
        <v>11</v>
      </c>
      <c r="I63" s="2">
        <v>45931</v>
      </c>
      <c r="J63">
        <v>76</v>
      </c>
      <c r="K63" t="s">
        <v>19</v>
      </c>
      <c r="L63">
        <v>271</v>
      </c>
      <c r="M63" t="s">
        <v>13</v>
      </c>
    </row>
    <row r="64" spans="2:13" x14ac:dyDescent="0.35">
      <c r="B64" s="4">
        <v>256779414431</v>
      </c>
      <c r="C64" s="3">
        <v>45826</v>
      </c>
      <c r="D64" s="1">
        <v>0</v>
      </c>
      <c r="E64" s="1">
        <v>-209.97</v>
      </c>
      <c r="F64" t="s">
        <v>15</v>
      </c>
      <c r="G64" t="s">
        <v>130</v>
      </c>
      <c r="H64" t="s">
        <v>11</v>
      </c>
      <c r="I64" s="2">
        <v>45962</v>
      </c>
      <c r="J64">
        <v>60</v>
      </c>
      <c r="K64" t="s">
        <v>12</v>
      </c>
      <c r="L64">
        <v>271</v>
      </c>
      <c r="M64" t="s">
        <v>13</v>
      </c>
    </row>
    <row r="65" spans="2:13" x14ac:dyDescent="0.35">
      <c r="B65" s="4">
        <v>246779411973</v>
      </c>
      <c r="C65" s="3">
        <v>45733</v>
      </c>
      <c r="D65" s="1">
        <v>0</v>
      </c>
      <c r="E65" s="1">
        <v>439.66</v>
      </c>
      <c r="F65" t="s">
        <v>15</v>
      </c>
      <c r="G65" t="s">
        <v>132</v>
      </c>
      <c r="H65" t="s">
        <v>11</v>
      </c>
      <c r="I65" s="2">
        <v>45809</v>
      </c>
      <c r="J65">
        <v>4</v>
      </c>
      <c r="K65" t="s">
        <v>26</v>
      </c>
      <c r="L65">
        <v>271</v>
      </c>
      <c r="M65" t="s">
        <v>13</v>
      </c>
    </row>
    <row r="66" spans="2:13" x14ac:dyDescent="0.35">
      <c r="B66" s="4">
        <v>246779412033</v>
      </c>
      <c r="C66" s="3">
        <v>45733</v>
      </c>
      <c r="D66" s="1">
        <v>0</v>
      </c>
      <c r="E66" s="1">
        <v>23.13</v>
      </c>
      <c r="F66" t="s">
        <v>15</v>
      </c>
      <c r="G66" t="s">
        <v>132</v>
      </c>
      <c r="H66" t="s">
        <v>11</v>
      </c>
      <c r="I66" s="2">
        <v>45809</v>
      </c>
      <c r="J66">
        <v>6</v>
      </c>
      <c r="K66" t="s">
        <v>26</v>
      </c>
      <c r="L66">
        <v>271</v>
      </c>
      <c r="M66" t="s">
        <v>13</v>
      </c>
    </row>
    <row r="67" spans="2:13" x14ac:dyDescent="0.35">
      <c r="B67" s="4">
        <v>246779412047</v>
      </c>
      <c r="C67" s="3">
        <v>45733</v>
      </c>
      <c r="D67" s="1">
        <v>0</v>
      </c>
      <c r="E67" s="1">
        <v>28.93</v>
      </c>
      <c r="F67" t="s">
        <v>15</v>
      </c>
      <c r="G67" t="s">
        <v>132</v>
      </c>
      <c r="H67" t="s">
        <v>11</v>
      </c>
      <c r="I67" s="2">
        <v>45809</v>
      </c>
      <c r="J67">
        <v>86</v>
      </c>
      <c r="K67" t="s">
        <v>26</v>
      </c>
      <c r="L67">
        <v>271</v>
      </c>
      <c r="M67" t="s">
        <v>13</v>
      </c>
    </row>
    <row r="68" spans="2:13" x14ac:dyDescent="0.35">
      <c r="B68" s="4">
        <v>246779411908</v>
      </c>
      <c r="C68" s="3">
        <v>45733</v>
      </c>
      <c r="D68" s="1">
        <v>0</v>
      </c>
      <c r="E68" s="1">
        <v>29.32</v>
      </c>
      <c r="F68" t="s">
        <v>15</v>
      </c>
      <c r="G68" t="s">
        <v>132</v>
      </c>
      <c r="H68" t="s">
        <v>11</v>
      </c>
      <c r="I68" s="2">
        <v>45809</v>
      </c>
      <c r="J68">
        <v>94</v>
      </c>
      <c r="K68" t="s">
        <v>26</v>
      </c>
      <c r="L68">
        <v>271</v>
      </c>
      <c r="M68" t="s">
        <v>13</v>
      </c>
    </row>
    <row r="69" spans="2:13" x14ac:dyDescent="0.35">
      <c r="B69" s="4">
        <v>246779411730</v>
      </c>
      <c r="C69" s="3">
        <v>45733</v>
      </c>
      <c r="D69" s="1">
        <v>0</v>
      </c>
      <c r="E69" s="1">
        <v>-23.64</v>
      </c>
      <c r="F69" t="s">
        <v>15</v>
      </c>
      <c r="G69" t="s">
        <v>132</v>
      </c>
      <c r="H69" t="s">
        <v>11</v>
      </c>
      <c r="I69" s="2">
        <v>45962</v>
      </c>
      <c r="J69">
        <v>52</v>
      </c>
      <c r="K69" t="s">
        <v>12</v>
      </c>
      <c r="L69">
        <v>271</v>
      </c>
      <c r="M69" t="s">
        <v>13</v>
      </c>
    </row>
    <row r="70" spans="2:13" x14ac:dyDescent="0.35">
      <c r="B70" s="4">
        <v>246779411789</v>
      </c>
      <c r="C70" s="3">
        <v>45733</v>
      </c>
      <c r="D70" s="1">
        <v>0</v>
      </c>
      <c r="E70" s="1">
        <v>-886.24</v>
      </c>
      <c r="F70" t="s">
        <v>15</v>
      </c>
      <c r="G70" t="s">
        <v>132</v>
      </c>
      <c r="H70" t="s">
        <v>11</v>
      </c>
      <c r="I70" s="2">
        <v>45962</v>
      </c>
      <c r="J70">
        <v>54</v>
      </c>
      <c r="K70" t="s">
        <v>12</v>
      </c>
      <c r="L70">
        <v>271</v>
      </c>
      <c r="M70" t="s">
        <v>13</v>
      </c>
    </row>
    <row r="71" spans="2:13" x14ac:dyDescent="0.35">
      <c r="B71" s="4">
        <v>256779412092</v>
      </c>
      <c r="C71" s="3">
        <v>45763</v>
      </c>
      <c r="D71" s="1">
        <v>0</v>
      </c>
      <c r="E71" s="1">
        <v>-74.400000000000006</v>
      </c>
      <c r="F71" t="s">
        <v>15</v>
      </c>
      <c r="G71" t="s">
        <v>215</v>
      </c>
      <c r="H71" t="s">
        <v>11</v>
      </c>
      <c r="I71" s="2">
        <v>45809</v>
      </c>
      <c r="J71">
        <v>38</v>
      </c>
      <c r="K71" t="s">
        <v>26</v>
      </c>
      <c r="L71">
        <v>271</v>
      </c>
      <c r="M71" t="s">
        <v>13</v>
      </c>
    </row>
    <row r="72" spans="2:13" x14ac:dyDescent="0.35">
      <c r="B72" s="4">
        <v>256779412053</v>
      </c>
      <c r="C72" s="3">
        <v>45763</v>
      </c>
      <c r="D72" s="1">
        <v>0</v>
      </c>
      <c r="E72" s="1">
        <v>-253.67</v>
      </c>
      <c r="F72" t="s">
        <v>15</v>
      </c>
      <c r="G72" t="s">
        <v>215</v>
      </c>
      <c r="H72" t="s">
        <v>11</v>
      </c>
      <c r="I72" s="2">
        <v>45809</v>
      </c>
      <c r="J72">
        <v>44</v>
      </c>
      <c r="K72" t="s">
        <v>26</v>
      </c>
      <c r="L72">
        <v>271</v>
      </c>
      <c r="M72" t="s">
        <v>13</v>
      </c>
    </row>
    <row r="73" spans="2:13" x14ac:dyDescent="0.35">
      <c r="B73" s="4">
        <v>256779412091</v>
      </c>
      <c r="C73" s="3">
        <v>45763</v>
      </c>
      <c r="D73" s="1">
        <v>0</v>
      </c>
      <c r="E73" s="1">
        <v>-24.8</v>
      </c>
      <c r="F73" t="s">
        <v>15</v>
      </c>
      <c r="G73" t="s">
        <v>215</v>
      </c>
      <c r="H73" t="s">
        <v>11</v>
      </c>
      <c r="I73" s="2">
        <v>45809</v>
      </c>
      <c r="J73">
        <v>64</v>
      </c>
      <c r="K73" t="s">
        <v>26</v>
      </c>
      <c r="L73">
        <v>271</v>
      </c>
      <c r="M73" t="s">
        <v>13</v>
      </c>
    </row>
    <row r="74" spans="2:13" x14ac:dyDescent="0.35">
      <c r="B74" s="4">
        <v>256779412123</v>
      </c>
      <c r="C74" s="3">
        <v>45763</v>
      </c>
      <c r="D74" s="1">
        <v>0</v>
      </c>
      <c r="E74" s="1">
        <v>-853.75</v>
      </c>
      <c r="F74" t="s">
        <v>15</v>
      </c>
      <c r="G74" t="s">
        <v>215</v>
      </c>
      <c r="H74" t="s">
        <v>11</v>
      </c>
      <c r="I74" s="2">
        <v>45809</v>
      </c>
      <c r="J74">
        <v>68</v>
      </c>
      <c r="K74" t="s">
        <v>26</v>
      </c>
      <c r="L74">
        <v>271</v>
      </c>
      <c r="M74" t="s">
        <v>13</v>
      </c>
    </row>
    <row r="75" spans="2:13" x14ac:dyDescent="0.35">
      <c r="B75" s="4">
        <v>256779411969</v>
      </c>
      <c r="C75" s="3">
        <v>45763</v>
      </c>
      <c r="D75" s="1">
        <v>0</v>
      </c>
      <c r="E75" s="1">
        <v>-20.350000000000001</v>
      </c>
      <c r="F75" t="s">
        <v>15</v>
      </c>
      <c r="G75" t="s">
        <v>215</v>
      </c>
      <c r="H75" t="s">
        <v>11</v>
      </c>
      <c r="I75" s="2">
        <v>45809</v>
      </c>
      <c r="J75">
        <v>82</v>
      </c>
      <c r="K75" t="s">
        <v>26</v>
      </c>
      <c r="L75">
        <v>271</v>
      </c>
      <c r="M75" t="s">
        <v>13</v>
      </c>
    </row>
    <row r="76" spans="2:13" x14ac:dyDescent="0.35">
      <c r="B76" s="4">
        <v>256779411867</v>
      </c>
      <c r="C76" s="3">
        <v>45763</v>
      </c>
      <c r="D76" s="1">
        <v>0</v>
      </c>
      <c r="E76" s="1">
        <v>-847.79</v>
      </c>
      <c r="F76" t="s">
        <v>15</v>
      </c>
      <c r="G76" t="s">
        <v>215</v>
      </c>
      <c r="H76" t="s">
        <v>11</v>
      </c>
      <c r="I76" s="2">
        <v>45901</v>
      </c>
      <c r="J76">
        <v>4</v>
      </c>
      <c r="K76" t="s">
        <v>52</v>
      </c>
      <c r="L76">
        <v>271</v>
      </c>
      <c r="M76" t="s">
        <v>13</v>
      </c>
    </row>
    <row r="77" spans="2:13" x14ac:dyDescent="0.35">
      <c r="B77" s="4">
        <v>256779411867</v>
      </c>
      <c r="C77" s="3">
        <v>45763</v>
      </c>
      <c r="D77" s="1">
        <v>0</v>
      </c>
      <c r="E77" s="1">
        <v>117.64</v>
      </c>
      <c r="F77" t="s">
        <v>15</v>
      </c>
      <c r="G77" t="s">
        <v>215</v>
      </c>
      <c r="H77" t="s">
        <v>11</v>
      </c>
      <c r="I77" s="2">
        <v>45931</v>
      </c>
      <c r="J77">
        <v>2</v>
      </c>
      <c r="K77" t="s">
        <v>19</v>
      </c>
      <c r="L77">
        <v>271</v>
      </c>
      <c r="M77" t="s">
        <v>13</v>
      </c>
    </row>
    <row r="78" spans="2:13" x14ac:dyDescent="0.35">
      <c r="B78" s="4">
        <v>256779411970</v>
      </c>
      <c r="C78" s="3">
        <v>45763</v>
      </c>
      <c r="D78" s="1">
        <v>0</v>
      </c>
      <c r="E78" s="1">
        <v>-21.43</v>
      </c>
      <c r="F78" t="s">
        <v>15</v>
      </c>
      <c r="G78" t="s">
        <v>215</v>
      </c>
      <c r="H78" t="s">
        <v>11</v>
      </c>
      <c r="I78" s="2">
        <v>45931</v>
      </c>
      <c r="J78">
        <v>22</v>
      </c>
      <c r="K78" t="s">
        <v>19</v>
      </c>
      <c r="L78">
        <v>271</v>
      </c>
      <c r="M78" t="s">
        <v>13</v>
      </c>
    </row>
    <row r="79" spans="2:13" x14ac:dyDescent="0.35">
      <c r="B79" s="4">
        <v>256779411867</v>
      </c>
      <c r="C79" s="3">
        <v>45763</v>
      </c>
      <c r="D79" s="1">
        <v>0</v>
      </c>
      <c r="E79" s="1">
        <v>-260.83</v>
      </c>
      <c r="F79" t="s">
        <v>15</v>
      </c>
      <c r="G79" t="s">
        <v>215</v>
      </c>
      <c r="H79" t="s">
        <v>11</v>
      </c>
      <c r="I79" s="2">
        <v>45962</v>
      </c>
      <c r="J79">
        <v>2</v>
      </c>
      <c r="K79" t="s">
        <v>12</v>
      </c>
      <c r="L79">
        <v>271</v>
      </c>
      <c r="M79" t="s">
        <v>13</v>
      </c>
    </row>
    <row r="80" spans="2:13" x14ac:dyDescent="0.35">
      <c r="B80" s="4">
        <v>256779411867</v>
      </c>
      <c r="C80" s="3">
        <v>45763</v>
      </c>
      <c r="D80" s="1">
        <v>0</v>
      </c>
      <c r="E80" s="1">
        <v>-212.77</v>
      </c>
      <c r="F80" t="s">
        <v>15</v>
      </c>
      <c r="G80" t="s">
        <v>215</v>
      </c>
      <c r="H80" t="s">
        <v>11</v>
      </c>
      <c r="I80" s="2">
        <v>45992</v>
      </c>
      <c r="J80">
        <v>2</v>
      </c>
      <c r="K80" t="s">
        <v>10</v>
      </c>
      <c r="L80">
        <v>271</v>
      </c>
      <c r="M80" t="s">
        <v>13</v>
      </c>
    </row>
    <row r="81" spans="2:13" x14ac:dyDescent="0.35">
      <c r="B81" s="4">
        <v>256779411867</v>
      </c>
      <c r="C81" s="3">
        <v>45763</v>
      </c>
      <c r="D81" s="1">
        <v>0</v>
      </c>
      <c r="E81" s="1">
        <v>-503.02</v>
      </c>
      <c r="F81" t="s">
        <v>15</v>
      </c>
      <c r="G81" t="s">
        <v>215</v>
      </c>
      <c r="H81" t="s">
        <v>11</v>
      </c>
      <c r="I81" s="2">
        <v>46023</v>
      </c>
      <c r="J81">
        <v>2</v>
      </c>
      <c r="K81" t="s">
        <v>45</v>
      </c>
      <c r="L81">
        <v>271</v>
      </c>
      <c r="M81" t="s">
        <v>13</v>
      </c>
    </row>
    <row r="82" spans="2:13" x14ac:dyDescent="0.35">
      <c r="B82" s="4">
        <v>256779411467</v>
      </c>
      <c r="C82" s="3">
        <v>45762</v>
      </c>
      <c r="D82" s="1">
        <v>0</v>
      </c>
      <c r="E82" s="1">
        <v>-101.74</v>
      </c>
      <c r="F82" t="s">
        <v>15</v>
      </c>
      <c r="G82" t="s">
        <v>224</v>
      </c>
      <c r="H82" t="s">
        <v>11</v>
      </c>
      <c r="I82" s="2">
        <v>45901</v>
      </c>
      <c r="J82">
        <v>52</v>
      </c>
      <c r="K82" t="s">
        <v>52</v>
      </c>
      <c r="L82">
        <v>271</v>
      </c>
      <c r="M82" t="s">
        <v>13</v>
      </c>
    </row>
    <row r="83" spans="2:13" x14ac:dyDescent="0.35">
      <c r="B83" s="4">
        <v>256779411467</v>
      </c>
      <c r="C83" s="3">
        <v>45762</v>
      </c>
      <c r="D83" s="1">
        <v>0</v>
      </c>
      <c r="E83" s="1">
        <v>14.12</v>
      </c>
      <c r="F83" t="s">
        <v>15</v>
      </c>
      <c r="G83" t="s">
        <v>224</v>
      </c>
      <c r="H83" t="s">
        <v>11</v>
      </c>
      <c r="I83" s="2">
        <v>45931</v>
      </c>
      <c r="J83">
        <v>10</v>
      </c>
      <c r="K83" t="s">
        <v>19</v>
      </c>
      <c r="L83">
        <v>271</v>
      </c>
      <c r="M83" t="s">
        <v>13</v>
      </c>
    </row>
    <row r="84" spans="2:13" x14ac:dyDescent="0.35">
      <c r="B84" s="4">
        <v>256779411467</v>
      </c>
      <c r="C84" s="3">
        <v>45762</v>
      </c>
      <c r="D84" s="1">
        <v>0</v>
      </c>
      <c r="E84" s="1">
        <v>-31.3</v>
      </c>
      <c r="F84" t="s">
        <v>15</v>
      </c>
      <c r="G84" t="s">
        <v>224</v>
      </c>
      <c r="H84" t="s">
        <v>11</v>
      </c>
      <c r="I84" s="2">
        <v>45962</v>
      </c>
      <c r="J84">
        <v>16</v>
      </c>
      <c r="K84" t="s">
        <v>12</v>
      </c>
      <c r="L84">
        <v>271</v>
      </c>
      <c r="M84" t="s">
        <v>13</v>
      </c>
    </row>
    <row r="85" spans="2:13" x14ac:dyDescent="0.35">
      <c r="B85" s="4">
        <v>256779411467</v>
      </c>
      <c r="C85" s="3">
        <v>45762</v>
      </c>
      <c r="D85" s="1">
        <v>0</v>
      </c>
      <c r="E85" s="1">
        <v>-25.53</v>
      </c>
      <c r="F85" t="s">
        <v>15</v>
      </c>
      <c r="G85" t="s">
        <v>224</v>
      </c>
      <c r="H85" t="s">
        <v>11</v>
      </c>
      <c r="I85" s="2">
        <v>45992</v>
      </c>
      <c r="J85">
        <v>16</v>
      </c>
      <c r="K85" t="s">
        <v>10</v>
      </c>
      <c r="L85">
        <v>271</v>
      </c>
      <c r="M85" t="s">
        <v>13</v>
      </c>
    </row>
    <row r="86" spans="2:13" x14ac:dyDescent="0.35">
      <c r="B86" s="4">
        <v>256779411466</v>
      </c>
      <c r="C86" s="3">
        <v>45762</v>
      </c>
      <c r="D86" s="1">
        <v>0</v>
      </c>
      <c r="E86" s="1">
        <v>-144.44999999999999</v>
      </c>
      <c r="F86" t="s">
        <v>15</v>
      </c>
      <c r="G86" t="s">
        <v>224</v>
      </c>
      <c r="H86" t="s">
        <v>11</v>
      </c>
      <c r="I86" s="2">
        <v>45992</v>
      </c>
      <c r="J86">
        <v>50</v>
      </c>
      <c r="K86" t="s">
        <v>10</v>
      </c>
      <c r="L86">
        <v>271</v>
      </c>
      <c r="M86" t="s">
        <v>13</v>
      </c>
    </row>
    <row r="87" spans="2:13" x14ac:dyDescent="0.35">
      <c r="B87" s="4">
        <v>256779411465</v>
      </c>
      <c r="C87" s="3">
        <v>45762</v>
      </c>
      <c r="D87" s="1">
        <v>0</v>
      </c>
      <c r="E87" s="1">
        <v>-132.41</v>
      </c>
      <c r="F87" t="s">
        <v>15</v>
      </c>
      <c r="G87" t="s">
        <v>224</v>
      </c>
      <c r="H87" t="s">
        <v>11</v>
      </c>
      <c r="I87" s="2">
        <v>45992</v>
      </c>
      <c r="J87">
        <v>52</v>
      </c>
      <c r="K87" t="s">
        <v>10</v>
      </c>
      <c r="L87">
        <v>271</v>
      </c>
      <c r="M87" t="s">
        <v>13</v>
      </c>
    </row>
    <row r="88" spans="2:13" x14ac:dyDescent="0.35">
      <c r="B88" s="4">
        <v>256779411463</v>
      </c>
      <c r="C88" s="3">
        <v>45762</v>
      </c>
      <c r="D88" s="1">
        <v>0</v>
      </c>
      <c r="E88" s="1">
        <v>-96.3</v>
      </c>
      <c r="F88" t="s">
        <v>15</v>
      </c>
      <c r="G88" t="s">
        <v>224</v>
      </c>
      <c r="H88" t="s">
        <v>11</v>
      </c>
      <c r="I88" s="2">
        <v>45992</v>
      </c>
      <c r="J88">
        <v>66</v>
      </c>
      <c r="K88" t="s">
        <v>10</v>
      </c>
      <c r="L88">
        <v>271</v>
      </c>
      <c r="M88" t="s">
        <v>13</v>
      </c>
    </row>
    <row r="89" spans="2:13" x14ac:dyDescent="0.35">
      <c r="B89" s="4">
        <v>256779411467</v>
      </c>
      <c r="C89" s="3">
        <v>45762</v>
      </c>
      <c r="D89" s="1">
        <v>0</v>
      </c>
      <c r="E89" s="1">
        <v>-60.36</v>
      </c>
      <c r="F89" t="s">
        <v>15</v>
      </c>
      <c r="G89" t="s">
        <v>224</v>
      </c>
      <c r="H89" t="s">
        <v>11</v>
      </c>
      <c r="I89" s="2">
        <v>46023</v>
      </c>
      <c r="J89">
        <v>16</v>
      </c>
      <c r="K89" t="s">
        <v>45</v>
      </c>
      <c r="L89">
        <v>271</v>
      </c>
      <c r="M89" t="s">
        <v>13</v>
      </c>
    </row>
    <row r="90" spans="2:13" x14ac:dyDescent="0.35">
      <c r="B90" s="4">
        <v>256779411466</v>
      </c>
      <c r="C90" s="3">
        <v>45762</v>
      </c>
      <c r="D90" s="1">
        <v>0</v>
      </c>
      <c r="E90" s="1">
        <v>-60.36</v>
      </c>
      <c r="F90" t="s">
        <v>15</v>
      </c>
      <c r="G90" t="s">
        <v>224</v>
      </c>
      <c r="H90" t="s">
        <v>11</v>
      </c>
      <c r="I90" s="2">
        <v>46023</v>
      </c>
      <c r="J90">
        <v>46</v>
      </c>
      <c r="K90" t="s">
        <v>45</v>
      </c>
      <c r="L90">
        <v>271</v>
      </c>
      <c r="M90" t="s">
        <v>13</v>
      </c>
    </row>
    <row r="91" spans="2:13" x14ac:dyDescent="0.35">
      <c r="B91" s="4">
        <v>256779411465</v>
      </c>
      <c r="C91" s="3">
        <v>45762</v>
      </c>
      <c r="D91" s="1">
        <v>0</v>
      </c>
      <c r="E91" s="1">
        <v>-55.33</v>
      </c>
      <c r="F91" t="s">
        <v>15</v>
      </c>
      <c r="G91" t="s">
        <v>224</v>
      </c>
      <c r="H91" t="s">
        <v>11</v>
      </c>
      <c r="I91" s="2">
        <v>46023</v>
      </c>
      <c r="J91">
        <v>48</v>
      </c>
      <c r="K91" t="s">
        <v>45</v>
      </c>
      <c r="L91">
        <v>271</v>
      </c>
      <c r="M91" t="s">
        <v>13</v>
      </c>
    </row>
    <row r="92" spans="2:13" x14ac:dyDescent="0.35">
      <c r="B92" s="4">
        <v>256779411463</v>
      </c>
      <c r="C92" s="3">
        <v>45762</v>
      </c>
      <c r="D92" s="1">
        <v>0</v>
      </c>
      <c r="E92" s="1">
        <v>-40.25</v>
      </c>
      <c r="F92" t="s">
        <v>15</v>
      </c>
      <c r="G92" t="s">
        <v>224</v>
      </c>
      <c r="H92" t="s">
        <v>11</v>
      </c>
      <c r="I92" s="2">
        <v>46023</v>
      </c>
      <c r="J92">
        <v>50</v>
      </c>
      <c r="K92" t="s">
        <v>45</v>
      </c>
      <c r="L92">
        <v>271</v>
      </c>
      <c r="M92" t="s">
        <v>13</v>
      </c>
    </row>
    <row r="93" spans="2:13" x14ac:dyDescent="0.35">
      <c r="B93" s="4">
        <v>256779415389</v>
      </c>
      <c r="C93" s="3">
        <v>45937</v>
      </c>
      <c r="D93" s="1">
        <v>0</v>
      </c>
      <c r="E93" s="1">
        <v>-31.68</v>
      </c>
      <c r="F93" t="s">
        <v>15</v>
      </c>
      <c r="G93" s="3">
        <v>45908</v>
      </c>
      <c r="H93" t="s">
        <v>11</v>
      </c>
      <c r="I93" s="2">
        <v>45901</v>
      </c>
      <c r="J93">
        <v>6</v>
      </c>
      <c r="K93" t="s">
        <v>52</v>
      </c>
      <c r="L93">
        <v>271</v>
      </c>
      <c r="M93" t="s">
        <v>13</v>
      </c>
    </row>
    <row r="94" spans="2:13" x14ac:dyDescent="0.35">
      <c r="B94" s="4">
        <v>256779415346</v>
      </c>
      <c r="C94" s="3">
        <v>45937</v>
      </c>
      <c r="D94" s="1">
        <v>0</v>
      </c>
      <c r="E94" s="1">
        <v>-3.24</v>
      </c>
      <c r="F94" t="s">
        <v>15</v>
      </c>
      <c r="G94" s="3">
        <v>45908</v>
      </c>
      <c r="H94" t="s">
        <v>11</v>
      </c>
      <c r="I94" s="2">
        <v>45901</v>
      </c>
      <c r="J94">
        <v>8</v>
      </c>
      <c r="K94" t="s">
        <v>52</v>
      </c>
      <c r="L94">
        <v>271</v>
      </c>
      <c r="M94" t="s">
        <v>13</v>
      </c>
    </row>
    <row r="95" spans="2:13" x14ac:dyDescent="0.35">
      <c r="B95" s="4">
        <v>256779415350</v>
      </c>
      <c r="C95" s="3">
        <v>45937</v>
      </c>
      <c r="D95" s="1">
        <v>0</v>
      </c>
      <c r="E95" s="1">
        <v>-4.17</v>
      </c>
      <c r="F95" t="s">
        <v>15</v>
      </c>
      <c r="G95" s="3">
        <v>45908</v>
      </c>
      <c r="H95" t="s">
        <v>11</v>
      </c>
      <c r="I95" s="2">
        <v>45901</v>
      </c>
      <c r="J95">
        <v>10</v>
      </c>
      <c r="K95" t="s">
        <v>52</v>
      </c>
      <c r="L95">
        <v>271</v>
      </c>
      <c r="M95" t="s">
        <v>13</v>
      </c>
    </row>
    <row r="96" spans="2:13" x14ac:dyDescent="0.35">
      <c r="B96" s="4">
        <v>256779415316</v>
      </c>
      <c r="C96" s="3">
        <v>45937</v>
      </c>
      <c r="D96" s="1">
        <v>0</v>
      </c>
      <c r="E96" s="1">
        <v>-11.14</v>
      </c>
      <c r="F96" t="s">
        <v>15</v>
      </c>
      <c r="G96" s="3">
        <v>45908</v>
      </c>
      <c r="H96" t="s">
        <v>11</v>
      </c>
      <c r="I96" s="2">
        <v>45901</v>
      </c>
      <c r="J96">
        <v>12</v>
      </c>
      <c r="K96" t="s">
        <v>52</v>
      </c>
      <c r="L96">
        <v>271</v>
      </c>
      <c r="M96" t="s">
        <v>13</v>
      </c>
    </row>
    <row r="97" spans="2:13" x14ac:dyDescent="0.35">
      <c r="B97" s="4">
        <v>256779415355</v>
      </c>
      <c r="C97" s="3">
        <v>45937</v>
      </c>
      <c r="D97" s="1">
        <v>0</v>
      </c>
      <c r="E97" s="1">
        <v>-3.97</v>
      </c>
      <c r="F97" t="s">
        <v>15</v>
      </c>
      <c r="G97" s="3">
        <v>45908</v>
      </c>
      <c r="H97" t="s">
        <v>11</v>
      </c>
      <c r="I97" s="2">
        <v>45901</v>
      </c>
      <c r="J97">
        <v>14</v>
      </c>
      <c r="K97" t="s">
        <v>52</v>
      </c>
      <c r="L97">
        <v>271</v>
      </c>
      <c r="M97" t="s">
        <v>13</v>
      </c>
    </row>
    <row r="98" spans="2:13" x14ac:dyDescent="0.35">
      <c r="B98" s="4">
        <v>256779415303</v>
      </c>
      <c r="C98" s="3">
        <v>45937</v>
      </c>
      <c r="D98" s="1">
        <v>0</v>
      </c>
      <c r="E98" s="1">
        <v>-18.57</v>
      </c>
      <c r="F98" t="s">
        <v>15</v>
      </c>
      <c r="G98" s="3">
        <v>45908</v>
      </c>
      <c r="H98" t="s">
        <v>11</v>
      </c>
      <c r="I98" s="2">
        <v>45901</v>
      </c>
      <c r="J98">
        <v>18</v>
      </c>
      <c r="K98" t="s">
        <v>52</v>
      </c>
      <c r="L98">
        <v>271</v>
      </c>
      <c r="M98" t="s">
        <v>13</v>
      </c>
    </row>
    <row r="99" spans="2:13" x14ac:dyDescent="0.35">
      <c r="B99" s="4">
        <v>256779415333</v>
      </c>
      <c r="C99" s="3">
        <v>45937</v>
      </c>
      <c r="D99" s="1">
        <v>0</v>
      </c>
      <c r="E99" s="1">
        <v>-4.17</v>
      </c>
      <c r="F99" t="s">
        <v>15</v>
      </c>
      <c r="G99" s="3">
        <v>45908</v>
      </c>
      <c r="H99" t="s">
        <v>11</v>
      </c>
      <c r="I99" s="2">
        <v>45901</v>
      </c>
      <c r="J99">
        <v>20</v>
      </c>
      <c r="K99" t="s">
        <v>52</v>
      </c>
      <c r="L99">
        <v>271</v>
      </c>
      <c r="M99" t="s">
        <v>13</v>
      </c>
    </row>
    <row r="100" spans="2:13" x14ac:dyDescent="0.35">
      <c r="B100" s="4">
        <v>256779415304</v>
      </c>
      <c r="C100" s="3">
        <v>45937</v>
      </c>
      <c r="D100" s="1">
        <v>0</v>
      </c>
      <c r="E100" s="1">
        <v>-5.57</v>
      </c>
      <c r="F100" t="s">
        <v>15</v>
      </c>
      <c r="G100" s="3">
        <v>45908</v>
      </c>
      <c r="H100" t="s">
        <v>11</v>
      </c>
      <c r="I100" s="2">
        <v>45901</v>
      </c>
      <c r="J100">
        <v>22</v>
      </c>
      <c r="K100" t="s">
        <v>52</v>
      </c>
      <c r="L100">
        <v>271</v>
      </c>
      <c r="M100" t="s">
        <v>13</v>
      </c>
    </row>
    <row r="101" spans="2:13" x14ac:dyDescent="0.35">
      <c r="B101" s="4">
        <v>256779415377</v>
      </c>
      <c r="C101" s="3">
        <v>45937</v>
      </c>
      <c r="D101" s="1">
        <v>0</v>
      </c>
      <c r="E101" s="1">
        <v>-9.2899999999999991</v>
      </c>
      <c r="F101" t="s">
        <v>15</v>
      </c>
      <c r="G101" s="3">
        <v>45908</v>
      </c>
      <c r="H101" t="s">
        <v>11</v>
      </c>
      <c r="I101" s="2">
        <v>45901</v>
      </c>
      <c r="J101">
        <v>24</v>
      </c>
      <c r="K101" t="s">
        <v>52</v>
      </c>
      <c r="L101">
        <v>271</v>
      </c>
      <c r="M101" t="s">
        <v>13</v>
      </c>
    </row>
    <row r="102" spans="2:13" x14ac:dyDescent="0.35">
      <c r="B102" s="4">
        <v>256779415298</v>
      </c>
      <c r="C102" s="3">
        <v>45937</v>
      </c>
      <c r="D102" s="1">
        <v>0</v>
      </c>
      <c r="E102" s="1">
        <v>-4.46</v>
      </c>
      <c r="F102" t="s">
        <v>15</v>
      </c>
      <c r="G102" s="3">
        <v>45908</v>
      </c>
      <c r="H102" t="s">
        <v>11</v>
      </c>
      <c r="I102" s="2">
        <v>45901</v>
      </c>
      <c r="J102">
        <v>28</v>
      </c>
      <c r="K102" t="s">
        <v>52</v>
      </c>
      <c r="L102">
        <v>271</v>
      </c>
      <c r="M102" t="s">
        <v>13</v>
      </c>
    </row>
    <row r="103" spans="2:13" x14ac:dyDescent="0.35">
      <c r="B103" s="4">
        <v>256779415380</v>
      </c>
      <c r="C103" s="3">
        <v>45937</v>
      </c>
      <c r="D103" s="1">
        <v>0</v>
      </c>
      <c r="E103" s="1">
        <v>-37.14</v>
      </c>
      <c r="F103" t="s">
        <v>15</v>
      </c>
      <c r="G103" s="3">
        <v>45908</v>
      </c>
      <c r="H103" t="s">
        <v>11</v>
      </c>
      <c r="I103" s="2">
        <v>45901</v>
      </c>
      <c r="J103">
        <v>30</v>
      </c>
      <c r="K103" t="s">
        <v>52</v>
      </c>
      <c r="L103">
        <v>271</v>
      </c>
      <c r="M103" t="s">
        <v>13</v>
      </c>
    </row>
    <row r="104" spans="2:13" x14ac:dyDescent="0.35">
      <c r="B104" s="4">
        <v>256779415341</v>
      </c>
      <c r="C104" s="3">
        <v>45937</v>
      </c>
      <c r="D104" s="1">
        <v>0</v>
      </c>
      <c r="E104" s="1">
        <v>-2.78</v>
      </c>
      <c r="F104" t="s">
        <v>15</v>
      </c>
      <c r="G104" s="3">
        <v>45908</v>
      </c>
      <c r="H104" t="s">
        <v>11</v>
      </c>
      <c r="I104" s="2">
        <v>45901</v>
      </c>
      <c r="J104">
        <v>32</v>
      </c>
      <c r="K104" t="s">
        <v>52</v>
      </c>
      <c r="L104">
        <v>271</v>
      </c>
      <c r="M104" t="s">
        <v>13</v>
      </c>
    </row>
    <row r="105" spans="2:13" x14ac:dyDescent="0.35">
      <c r="B105" s="4">
        <v>256779415359</v>
      </c>
      <c r="C105" s="3">
        <v>45937</v>
      </c>
      <c r="D105" s="1">
        <v>0</v>
      </c>
      <c r="E105" s="1">
        <v>-37.14</v>
      </c>
      <c r="F105" t="s">
        <v>15</v>
      </c>
      <c r="G105" s="3">
        <v>45908</v>
      </c>
      <c r="H105" t="s">
        <v>11</v>
      </c>
      <c r="I105" s="2">
        <v>45901</v>
      </c>
      <c r="J105">
        <v>34</v>
      </c>
      <c r="K105" t="s">
        <v>52</v>
      </c>
      <c r="L105">
        <v>271</v>
      </c>
      <c r="M105" t="s">
        <v>13</v>
      </c>
    </row>
    <row r="106" spans="2:13" x14ac:dyDescent="0.35">
      <c r="B106" s="4">
        <v>256779415338</v>
      </c>
      <c r="C106" s="3">
        <v>45937</v>
      </c>
      <c r="D106" s="1">
        <v>0</v>
      </c>
      <c r="E106" s="1">
        <v>-2.3199999999999998</v>
      </c>
      <c r="F106" t="s">
        <v>15</v>
      </c>
      <c r="G106" s="3">
        <v>45908</v>
      </c>
      <c r="H106" t="s">
        <v>11</v>
      </c>
      <c r="I106" s="2">
        <v>45901</v>
      </c>
      <c r="J106">
        <v>36</v>
      </c>
      <c r="K106" t="s">
        <v>52</v>
      </c>
      <c r="L106">
        <v>271</v>
      </c>
      <c r="M106" t="s">
        <v>13</v>
      </c>
    </row>
    <row r="107" spans="2:13" x14ac:dyDescent="0.35">
      <c r="B107" s="4">
        <v>256779415344</v>
      </c>
      <c r="C107" s="3">
        <v>45937</v>
      </c>
      <c r="D107" s="1">
        <v>0</v>
      </c>
      <c r="E107" s="1">
        <v>-4.6500000000000004</v>
      </c>
      <c r="F107" t="s">
        <v>15</v>
      </c>
      <c r="G107" s="3">
        <v>45908</v>
      </c>
      <c r="H107" t="s">
        <v>11</v>
      </c>
      <c r="I107" s="2">
        <v>45901</v>
      </c>
      <c r="J107">
        <v>38</v>
      </c>
      <c r="K107" t="s">
        <v>52</v>
      </c>
      <c r="L107">
        <v>271</v>
      </c>
      <c r="M107" t="s">
        <v>13</v>
      </c>
    </row>
    <row r="108" spans="2:13" x14ac:dyDescent="0.35">
      <c r="B108" s="4">
        <v>256779415345</v>
      </c>
      <c r="C108" s="3">
        <v>45937</v>
      </c>
      <c r="D108" s="1">
        <v>0</v>
      </c>
      <c r="E108" s="1">
        <v>-4.6500000000000004</v>
      </c>
      <c r="F108" t="s">
        <v>15</v>
      </c>
      <c r="G108" s="3">
        <v>45908</v>
      </c>
      <c r="H108" t="s">
        <v>11</v>
      </c>
      <c r="I108" s="2">
        <v>45901</v>
      </c>
      <c r="J108">
        <v>40</v>
      </c>
      <c r="K108" t="s">
        <v>52</v>
      </c>
      <c r="L108">
        <v>271</v>
      </c>
      <c r="M108" t="s">
        <v>13</v>
      </c>
    </row>
    <row r="109" spans="2:13" x14ac:dyDescent="0.35">
      <c r="B109" s="4">
        <v>256779415388</v>
      </c>
      <c r="C109" s="3">
        <v>45937</v>
      </c>
      <c r="D109" s="1">
        <v>0</v>
      </c>
      <c r="E109" s="1">
        <v>-420</v>
      </c>
      <c r="F109" t="s">
        <v>15</v>
      </c>
      <c r="G109" s="3">
        <v>45908</v>
      </c>
      <c r="H109" t="s">
        <v>11</v>
      </c>
      <c r="I109" s="2">
        <v>45901</v>
      </c>
      <c r="J109">
        <v>42</v>
      </c>
      <c r="K109" t="s">
        <v>52</v>
      </c>
      <c r="L109">
        <v>271</v>
      </c>
      <c r="M109" t="s">
        <v>13</v>
      </c>
    </row>
    <row r="110" spans="2:13" x14ac:dyDescent="0.35">
      <c r="B110" s="4">
        <v>256779415310</v>
      </c>
      <c r="C110" s="3">
        <v>45937</v>
      </c>
      <c r="D110" s="1">
        <v>0</v>
      </c>
      <c r="E110" s="1">
        <v>-5.57</v>
      </c>
      <c r="F110" t="s">
        <v>15</v>
      </c>
      <c r="G110" s="3">
        <v>45908</v>
      </c>
      <c r="H110" t="s">
        <v>11</v>
      </c>
      <c r="I110" s="2">
        <v>45901</v>
      </c>
      <c r="J110">
        <v>44</v>
      </c>
      <c r="K110" t="s">
        <v>52</v>
      </c>
      <c r="L110">
        <v>271</v>
      </c>
      <c r="M110" t="s">
        <v>13</v>
      </c>
    </row>
    <row r="111" spans="2:13" x14ac:dyDescent="0.35">
      <c r="B111" s="4">
        <v>256779415379</v>
      </c>
      <c r="C111" s="3">
        <v>45937</v>
      </c>
      <c r="D111" s="1">
        <v>0</v>
      </c>
      <c r="E111" s="1">
        <v>-43.29</v>
      </c>
      <c r="F111" t="s">
        <v>15</v>
      </c>
      <c r="G111" s="3">
        <v>45908</v>
      </c>
      <c r="H111" t="s">
        <v>11</v>
      </c>
      <c r="I111" s="2">
        <v>45901</v>
      </c>
      <c r="J111">
        <v>46</v>
      </c>
      <c r="K111" t="s">
        <v>52</v>
      </c>
      <c r="L111">
        <v>271</v>
      </c>
      <c r="M111" t="s">
        <v>13</v>
      </c>
    </row>
    <row r="112" spans="2:13" x14ac:dyDescent="0.35">
      <c r="B112" s="4">
        <v>256779415384</v>
      </c>
      <c r="C112" s="3">
        <v>45937</v>
      </c>
      <c r="D112" s="1">
        <v>0</v>
      </c>
      <c r="E112" s="1">
        <v>-65</v>
      </c>
      <c r="F112" t="s">
        <v>15</v>
      </c>
      <c r="G112" s="3">
        <v>45908</v>
      </c>
      <c r="H112" t="s">
        <v>11</v>
      </c>
      <c r="I112" s="2">
        <v>45901</v>
      </c>
      <c r="J112">
        <v>48</v>
      </c>
      <c r="K112" t="s">
        <v>52</v>
      </c>
      <c r="L112">
        <v>271</v>
      </c>
      <c r="M112" t="s">
        <v>13</v>
      </c>
    </row>
    <row r="113" spans="2:13" x14ac:dyDescent="0.35">
      <c r="B113" s="4">
        <v>256779415339</v>
      </c>
      <c r="C113" s="3">
        <v>45937</v>
      </c>
      <c r="D113" s="1">
        <v>0</v>
      </c>
      <c r="E113" s="1">
        <v>-5.09</v>
      </c>
      <c r="F113" t="s">
        <v>15</v>
      </c>
      <c r="G113" s="3">
        <v>45908</v>
      </c>
      <c r="H113" t="s">
        <v>11</v>
      </c>
      <c r="I113" s="2">
        <v>45901</v>
      </c>
      <c r="J113">
        <v>50</v>
      </c>
      <c r="K113" t="s">
        <v>52</v>
      </c>
      <c r="L113">
        <v>271</v>
      </c>
      <c r="M113" t="s">
        <v>13</v>
      </c>
    </row>
    <row r="114" spans="2:13" x14ac:dyDescent="0.35">
      <c r="B114" s="4">
        <v>256779415393</v>
      </c>
      <c r="C114" s="3">
        <v>45937</v>
      </c>
      <c r="D114" s="1">
        <v>0</v>
      </c>
      <c r="E114" s="1">
        <v>-11.14</v>
      </c>
      <c r="F114" t="s">
        <v>15</v>
      </c>
      <c r="G114" s="3">
        <v>45908</v>
      </c>
      <c r="H114" t="s">
        <v>11</v>
      </c>
      <c r="I114" s="2">
        <v>45901</v>
      </c>
      <c r="J114">
        <v>54</v>
      </c>
      <c r="K114" t="s">
        <v>52</v>
      </c>
      <c r="L114">
        <v>271</v>
      </c>
      <c r="M114" t="s">
        <v>13</v>
      </c>
    </row>
    <row r="115" spans="2:13" x14ac:dyDescent="0.35">
      <c r="B115" s="4">
        <v>256779415357</v>
      </c>
      <c r="C115" s="3">
        <v>45937</v>
      </c>
      <c r="D115" s="1">
        <v>0</v>
      </c>
      <c r="E115" s="1">
        <v>-38.49</v>
      </c>
      <c r="F115" t="s">
        <v>15</v>
      </c>
      <c r="G115" s="3">
        <v>45908</v>
      </c>
      <c r="H115" t="s">
        <v>11</v>
      </c>
      <c r="I115" s="2">
        <v>45901</v>
      </c>
      <c r="J115">
        <v>56</v>
      </c>
      <c r="K115" t="s">
        <v>52</v>
      </c>
      <c r="L115">
        <v>271</v>
      </c>
      <c r="M115" t="s">
        <v>13</v>
      </c>
    </row>
    <row r="116" spans="2:13" x14ac:dyDescent="0.35">
      <c r="B116" s="4">
        <v>256779415300</v>
      </c>
      <c r="C116" s="3">
        <v>45937</v>
      </c>
      <c r="D116" s="1">
        <v>0</v>
      </c>
      <c r="E116" s="1">
        <v>-4.46</v>
      </c>
      <c r="F116" t="s">
        <v>15</v>
      </c>
      <c r="G116" s="3">
        <v>45908</v>
      </c>
      <c r="H116" t="s">
        <v>11</v>
      </c>
      <c r="I116" s="2">
        <v>45901</v>
      </c>
      <c r="J116">
        <v>60</v>
      </c>
      <c r="K116" t="s">
        <v>52</v>
      </c>
      <c r="L116">
        <v>271</v>
      </c>
      <c r="M116" t="s">
        <v>13</v>
      </c>
    </row>
    <row r="117" spans="2:13" x14ac:dyDescent="0.35">
      <c r="B117" s="4">
        <v>256779415375</v>
      </c>
      <c r="C117" s="3">
        <v>45937</v>
      </c>
      <c r="D117" s="1">
        <v>0</v>
      </c>
      <c r="E117" s="1">
        <v>-66.849999999999994</v>
      </c>
      <c r="F117" t="s">
        <v>15</v>
      </c>
      <c r="G117" s="3">
        <v>45908</v>
      </c>
      <c r="H117" t="s">
        <v>11</v>
      </c>
      <c r="I117" s="2">
        <v>45901</v>
      </c>
      <c r="J117">
        <v>62</v>
      </c>
      <c r="K117" t="s">
        <v>52</v>
      </c>
      <c r="L117">
        <v>271</v>
      </c>
      <c r="M117" t="s">
        <v>13</v>
      </c>
    </row>
    <row r="118" spans="2:13" x14ac:dyDescent="0.35">
      <c r="B118" s="4">
        <v>256779415349</v>
      </c>
      <c r="C118" s="3">
        <v>45937</v>
      </c>
      <c r="D118" s="1">
        <v>0</v>
      </c>
      <c r="E118" s="1">
        <v>-5.0999999999999996</v>
      </c>
      <c r="F118" t="s">
        <v>15</v>
      </c>
      <c r="G118" s="3">
        <v>45908</v>
      </c>
      <c r="H118" t="s">
        <v>11</v>
      </c>
      <c r="I118" s="2">
        <v>45901</v>
      </c>
      <c r="J118">
        <v>66</v>
      </c>
      <c r="K118" t="s">
        <v>52</v>
      </c>
      <c r="L118">
        <v>271</v>
      </c>
      <c r="M118" t="s">
        <v>13</v>
      </c>
    </row>
    <row r="119" spans="2:13" x14ac:dyDescent="0.35">
      <c r="B119" s="4">
        <v>256779415308</v>
      </c>
      <c r="C119" s="3">
        <v>45937</v>
      </c>
      <c r="D119" s="1">
        <v>0</v>
      </c>
      <c r="E119" s="1">
        <v>-5.57</v>
      </c>
      <c r="F119" t="s">
        <v>15</v>
      </c>
      <c r="G119" s="3">
        <v>45908</v>
      </c>
      <c r="H119" t="s">
        <v>11</v>
      </c>
      <c r="I119" s="2">
        <v>45901</v>
      </c>
      <c r="J119">
        <v>68</v>
      </c>
      <c r="K119" t="s">
        <v>52</v>
      </c>
      <c r="L119">
        <v>271</v>
      </c>
      <c r="M119" t="s">
        <v>13</v>
      </c>
    </row>
    <row r="120" spans="2:13" x14ac:dyDescent="0.35">
      <c r="B120" s="4">
        <v>256779415360</v>
      </c>
      <c r="C120" s="3">
        <v>45937</v>
      </c>
      <c r="D120" s="1">
        <v>0</v>
      </c>
      <c r="E120" s="1">
        <v>-11.14</v>
      </c>
      <c r="F120" t="s">
        <v>15</v>
      </c>
      <c r="G120" s="3">
        <v>45908</v>
      </c>
      <c r="H120" t="s">
        <v>11</v>
      </c>
      <c r="I120" s="2">
        <v>45901</v>
      </c>
      <c r="J120">
        <v>72</v>
      </c>
      <c r="K120" t="s">
        <v>52</v>
      </c>
      <c r="L120">
        <v>271</v>
      </c>
      <c r="M120" t="s">
        <v>13</v>
      </c>
    </row>
    <row r="121" spans="2:13" x14ac:dyDescent="0.35">
      <c r="B121" s="4">
        <v>256779415318</v>
      </c>
      <c r="C121" s="3">
        <v>45937</v>
      </c>
      <c r="D121" s="1">
        <v>0</v>
      </c>
      <c r="E121" s="1">
        <v>-47.28</v>
      </c>
      <c r="F121" t="s">
        <v>15</v>
      </c>
      <c r="G121" s="3">
        <v>45908</v>
      </c>
      <c r="H121" t="s">
        <v>11</v>
      </c>
      <c r="I121" s="2">
        <v>45901</v>
      </c>
      <c r="J121">
        <v>74</v>
      </c>
      <c r="K121" t="s">
        <v>52</v>
      </c>
      <c r="L121">
        <v>271</v>
      </c>
      <c r="M121" t="s">
        <v>13</v>
      </c>
    </row>
    <row r="122" spans="2:13" x14ac:dyDescent="0.35">
      <c r="B122" s="4">
        <v>256779415378</v>
      </c>
      <c r="C122" s="3">
        <v>45937</v>
      </c>
      <c r="D122" s="1">
        <v>0</v>
      </c>
      <c r="E122" s="1">
        <v>-22.29</v>
      </c>
      <c r="F122" t="s">
        <v>15</v>
      </c>
      <c r="G122" s="3">
        <v>45908</v>
      </c>
      <c r="H122" t="s">
        <v>11</v>
      </c>
      <c r="I122" s="2">
        <v>45901</v>
      </c>
      <c r="J122">
        <v>76</v>
      </c>
      <c r="K122" t="s">
        <v>52</v>
      </c>
      <c r="L122">
        <v>271</v>
      </c>
      <c r="M122" t="s">
        <v>13</v>
      </c>
    </row>
    <row r="123" spans="2:13" x14ac:dyDescent="0.35">
      <c r="B123" s="4">
        <v>256779415391</v>
      </c>
      <c r="C123" s="3">
        <v>45937</v>
      </c>
      <c r="D123" s="1">
        <v>0</v>
      </c>
      <c r="E123" s="1">
        <v>-152.30000000000001</v>
      </c>
      <c r="F123" t="s">
        <v>15</v>
      </c>
      <c r="G123" s="3">
        <v>45908</v>
      </c>
      <c r="H123" t="s">
        <v>11</v>
      </c>
      <c r="I123" s="2">
        <v>45901</v>
      </c>
      <c r="J123">
        <v>78</v>
      </c>
      <c r="K123" t="s">
        <v>52</v>
      </c>
      <c r="L123">
        <v>271</v>
      </c>
      <c r="M123" t="s">
        <v>13</v>
      </c>
    </row>
    <row r="124" spans="2:13" x14ac:dyDescent="0.35">
      <c r="B124" s="4">
        <v>256779415334</v>
      </c>
      <c r="C124" s="3">
        <v>45937</v>
      </c>
      <c r="D124" s="1">
        <v>0</v>
      </c>
      <c r="E124" s="1">
        <v>-4.17</v>
      </c>
      <c r="F124" t="s">
        <v>15</v>
      </c>
      <c r="G124" s="3">
        <v>45908</v>
      </c>
      <c r="H124" t="s">
        <v>11</v>
      </c>
      <c r="I124" s="2">
        <v>45901</v>
      </c>
      <c r="J124">
        <v>80</v>
      </c>
      <c r="K124" t="s">
        <v>52</v>
      </c>
      <c r="L124">
        <v>271</v>
      </c>
      <c r="M124" t="s">
        <v>13</v>
      </c>
    </row>
    <row r="125" spans="2:13" x14ac:dyDescent="0.35">
      <c r="B125" s="4">
        <v>256779415371</v>
      </c>
      <c r="C125" s="3">
        <v>45937</v>
      </c>
      <c r="D125" s="1">
        <v>0</v>
      </c>
      <c r="E125" s="1">
        <v>-8.0500000000000007</v>
      </c>
      <c r="F125" t="s">
        <v>15</v>
      </c>
      <c r="G125" s="3">
        <v>45908</v>
      </c>
      <c r="H125" t="s">
        <v>11</v>
      </c>
      <c r="I125" s="2">
        <v>45901</v>
      </c>
      <c r="J125">
        <v>82</v>
      </c>
      <c r="K125" t="s">
        <v>52</v>
      </c>
      <c r="L125">
        <v>271</v>
      </c>
      <c r="M125" t="s">
        <v>13</v>
      </c>
    </row>
    <row r="126" spans="2:13" x14ac:dyDescent="0.35">
      <c r="B126" s="4">
        <v>256779415315</v>
      </c>
      <c r="C126" s="3">
        <v>45937</v>
      </c>
      <c r="D126" s="1">
        <v>0</v>
      </c>
      <c r="E126" s="1">
        <v>-22.29</v>
      </c>
      <c r="F126" t="s">
        <v>15</v>
      </c>
      <c r="G126" s="3">
        <v>45908</v>
      </c>
      <c r="H126" t="s">
        <v>11</v>
      </c>
      <c r="I126" s="2">
        <v>45901</v>
      </c>
      <c r="J126">
        <v>84</v>
      </c>
      <c r="K126" t="s">
        <v>52</v>
      </c>
      <c r="L126">
        <v>271</v>
      </c>
      <c r="M126" t="s">
        <v>13</v>
      </c>
    </row>
    <row r="127" spans="2:13" x14ac:dyDescent="0.35">
      <c r="B127" s="4">
        <v>256779415305</v>
      </c>
      <c r="C127" s="3">
        <v>45937</v>
      </c>
      <c r="D127" s="1">
        <v>0</v>
      </c>
      <c r="E127" s="1">
        <v>-5.57</v>
      </c>
      <c r="F127" t="s">
        <v>15</v>
      </c>
      <c r="G127" s="3">
        <v>45908</v>
      </c>
      <c r="H127" t="s">
        <v>11</v>
      </c>
      <c r="I127" s="2">
        <v>45901</v>
      </c>
      <c r="J127">
        <v>86</v>
      </c>
      <c r="K127" t="s">
        <v>52</v>
      </c>
      <c r="L127">
        <v>271</v>
      </c>
      <c r="M127" t="s">
        <v>13</v>
      </c>
    </row>
    <row r="128" spans="2:13" x14ac:dyDescent="0.35">
      <c r="B128" s="4">
        <v>256779415356</v>
      </c>
      <c r="C128" s="3">
        <v>45937</v>
      </c>
      <c r="D128" s="1">
        <v>0</v>
      </c>
      <c r="E128" s="1">
        <v>-13.37</v>
      </c>
      <c r="F128" t="s">
        <v>15</v>
      </c>
      <c r="G128" s="3">
        <v>45908</v>
      </c>
      <c r="H128" t="s">
        <v>11</v>
      </c>
      <c r="I128" s="2">
        <v>45901</v>
      </c>
      <c r="J128">
        <v>88</v>
      </c>
      <c r="K128" t="s">
        <v>52</v>
      </c>
      <c r="L128">
        <v>271</v>
      </c>
      <c r="M128" t="s">
        <v>13</v>
      </c>
    </row>
    <row r="129" spans="2:13" x14ac:dyDescent="0.35">
      <c r="B129" s="4">
        <v>256779415383</v>
      </c>
      <c r="C129" s="3">
        <v>45937</v>
      </c>
      <c r="D129" s="1">
        <v>0</v>
      </c>
      <c r="E129" s="1">
        <v>-28.93</v>
      </c>
      <c r="F129" t="s">
        <v>15</v>
      </c>
      <c r="G129" s="3">
        <v>45908</v>
      </c>
      <c r="H129" t="s">
        <v>11</v>
      </c>
      <c r="I129" s="2">
        <v>45901</v>
      </c>
      <c r="J129">
        <v>90</v>
      </c>
      <c r="K129" t="s">
        <v>52</v>
      </c>
      <c r="L129">
        <v>271</v>
      </c>
      <c r="M129" t="s">
        <v>13</v>
      </c>
    </row>
    <row r="130" spans="2:13" x14ac:dyDescent="0.35">
      <c r="B130" s="4">
        <v>256779415372</v>
      </c>
      <c r="C130" s="3">
        <v>45937</v>
      </c>
      <c r="D130" s="1">
        <v>0</v>
      </c>
      <c r="E130" s="1">
        <v>-28.85</v>
      </c>
      <c r="F130" t="s">
        <v>15</v>
      </c>
      <c r="G130" s="3">
        <v>45908</v>
      </c>
      <c r="H130" t="s">
        <v>11</v>
      </c>
      <c r="I130" s="2">
        <v>45901</v>
      </c>
      <c r="J130">
        <v>92</v>
      </c>
      <c r="K130" t="s">
        <v>52</v>
      </c>
      <c r="L130">
        <v>271</v>
      </c>
      <c r="M130" t="s">
        <v>13</v>
      </c>
    </row>
    <row r="131" spans="2:13" x14ac:dyDescent="0.35">
      <c r="B131" s="4">
        <v>256779415361</v>
      </c>
      <c r="C131" s="3">
        <v>45937</v>
      </c>
      <c r="D131" s="1">
        <v>0</v>
      </c>
      <c r="E131" s="1">
        <v>-12.53</v>
      </c>
      <c r="F131" t="s">
        <v>15</v>
      </c>
      <c r="G131" s="3">
        <v>45908</v>
      </c>
      <c r="H131" t="s">
        <v>11</v>
      </c>
      <c r="I131" s="2">
        <v>45901</v>
      </c>
      <c r="J131">
        <v>94</v>
      </c>
      <c r="K131" t="s">
        <v>52</v>
      </c>
      <c r="L131">
        <v>271</v>
      </c>
      <c r="M131" t="s">
        <v>13</v>
      </c>
    </row>
    <row r="132" spans="2:13" x14ac:dyDescent="0.35">
      <c r="B132" s="4">
        <v>256779415317</v>
      </c>
      <c r="C132" s="3">
        <v>45937</v>
      </c>
      <c r="D132" s="1">
        <v>0</v>
      </c>
      <c r="E132" s="1">
        <v>-37.14</v>
      </c>
      <c r="F132" t="s">
        <v>15</v>
      </c>
      <c r="G132" s="3">
        <v>45908</v>
      </c>
      <c r="H132" t="s">
        <v>11</v>
      </c>
      <c r="I132" s="2">
        <v>45901</v>
      </c>
      <c r="J132">
        <v>96</v>
      </c>
      <c r="K132" t="s">
        <v>52</v>
      </c>
      <c r="L132">
        <v>271</v>
      </c>
      <c r="M132" t="s">
        <v>13</v>
      </c>
    </row>
    <row r="133" spans="2:13" x14ac:dyDescent="0.35">
      <c r="B133" s="4">
        <v>256779415394</v>
      </c>
      <c r="C133" s="3">
        <v>45937</v>
      </c>
      <c r="D133" s="1">
        <v>0</v>
      </c>
      <c r="E133" s="1">
        <v>-17.829999999999998</v>
      </c>
      <c r="F133" t="s">
        <v>15</v>
      </c>
      <c r="G133" s="3">
        <v>45908</v>
      </c>
      <c r="H133" t="s">
        <v>11</v>
      </c>
      <c r="I133" s="2">
        <v>45901</v>
      </c>
      <c r="J133">
        <v>98</v>
      </c>
      <c r="K133" t="s">
        <v>52</v>
      </c>
      <c r="L133">
        <v>271</v>
      </c>
      <c r="M133" t="s">
        <v>13</v>
      </c>
    </row>
    <row r="134" spans="2:13" x14ac:dyDescent="0.35">
      <c r="B134" s="4">
        <v>256779415314</v>
      </c>
      <c r="C134" s="3">
        <v>45937</v>
      </c>
      <c r="D134" s="1">
        <v>0</v>
      </c>
      <c r="E134" s="1">
        <v>-33.26</v>
      </c>
      <c r="F134" t="s">
        <v>15</v>
      </c>
      <c r="G134" s="3">
        <v>45908</v>
      </c>
      <c r="H134" t="s">
        <v>11</v>
      </c>
      <c r="I134" s="2">
        <v>45901</v>
      </c>
      <c r="J134">
        <v>100</v>
      </c>
      <c r="K134" t="s">
        <v>52</v>
      </c>
      <c r="L134">
        <v>271</v>
      </c>
      <c r="M134" t="s">
        <v>13</v>
      </c>
    </row>
    <row r="135" spans="2:13" x14ac:dyDescent="0.35">
      <c r="B135" s="4">
        <v>256779415352</v>
      </c>
      <c r="C135" s="3">
        <v>45937</v>
      </c>
      <c r="D135" s="1">
        <v>0</v>
      </c>
      <c r="E135" s="1">
        <v>-28.96</v>
      </c>
      <c r="F135" t="s">
        <v>15</v>
      </c>
      <c r="G135" s="3">
        <v>45908</v>
      </c>
      <c r="H135" t="s">
        <v>11</v>
      </c>
      <c r="I135" s="2">
        <v>45901</v>
      </c>
      <c r="J135">
        <v>102</v>
      </c>
      <c r="K135" t="s">
        <v>52</v>
      </c>
      <c r="L135">
        <v>271</v>
      </c>
      <c r="M135" t="s">
        <v>13</v>
      </c>
    </row>
    <row r="136" spans="2:13" x14ac:dyDescent="0.35">
      <c r="B136" s="4">
        <v>256779415342</v>
      </c>
      <c r="C136" s="3">
        <v>45937</v>
      </c>
      <c r="D136" s="1">
        <v>0</v>
      </c>
      <c r="E136" s="1">
        <v>-0.46</v>
      </c>
      <c r="F136" t="s">
        <v>15</v>
      </c>
      <c r="G136" s="3">
        <v>45908</v>
      </c>
      <c r="H136" t="s">
        <v>11</v>
      </c>
      <c r="I136" s="2">
        <v>45901</v>
      </c>
      <c r="J136">
        <v>106</v>
      </c>
      <c r="K136" t="s">
        <v>52</v>
      </c>
      <c r="L136">
        <v>271</v>
      </c>
      <c r="M136" t="s">
        <v>13</v>
      </c>
    </row>
    <row r="137" spans="2:13" x14ac:dyDescent="0.35">
      <c r="B137" s="4">
        <v>256779415376</v>
      </c>
      <c r="C137" s="3">
        <v>45937</v>
      </c>
      <c r="D137" s="1">
        <v>0</v>
      </c>
      <c r="E137" s="1">
        <v>-11.14</v>
      </c>
      <c r="F137" t="s">
        <v>15</v>
      </c>
      <c r="G137" s="3">
        <v>45908</v>
      </c>
      <c r="H137" t="s">
        <v>11</v>
      </c>
      <c r="I137" s="2">
        <v>45901</v>
      </c>
      <c r="J137">
        <v>108</v>
      </c>
      <c r="K137" t="s">
        <v>52</v>
      </c>
      <c r="L137">
        <v>271</v>
      </c>
      <c r="M137" t="s">
        <v>13</v>
      </c>
    </row>
    <row r="138" spans="2:13" x14ac:dyDescent="0.35">
      <c r="B138" s="4">
        <v>256779415336</v>
      </c>
      <c r="C138" s="3">
        <v>45937</v>
      </c>
      <c r="D138" s="1">
        <v>0</v>
      </c>
      <c r="E138" s="1">
        <v>-0.93</v>
      </c>
      <c r="F138" t="s">
        <v>15</v>
      </c>
      <c r="G138" s="3">
        <v>45908</v>
      </c>
      <c r="H138" t="s">
        <v>11</v>
      </c>
      <c r="I138" s="2">
        <v>45901</v>
      </c>
      <c r="J138">
        <v>110</v>
      </c>
      <c r="K138" t="s">
        <v>52</v>
      </c>
      <c r="L138">
        <v>271</v>
      </c>
      <c r="M138" t="s">
        <v>13</v>
      </c>
    </row>
    <row r="139" spans="2:13" x14ac:dyDescent="0.35">
      <c r="B139" s="4">
        <v>256779415382</v>
      </c>
      <c r="C139" s="3">
        <v>45937</v>
      </c>
      <c r="D139" s="1">
        <v>0</v>
      </c>
      <c r="E139" s="1">
        <v>-21.84</v>
      </c>
      <c r="F139" t="s">
        <v>15</v>
      </c>
      <c r="G139" s="3">
        <v>45908</v>
      </c>
      <c r="H139" t="s">
        <v>11</v>
      </c>
      <c r="I139" s="2">
        <v>45901</v>
      </c>
      <c r="J139">
        <v>114</v>
      </c>
      <c r="K139" t="s">
        <v>52</v>
      </c>
      <c r="L139">
        <v>271</v>
      </c>
      <c r="M139" t="s">
        <v>13</v>
      </c>
    </row>
    <row r="140" spans="2:13" x14ac:dyDescent="0.35">
      <c r="B140" s="4">
        <v>256779415295</v>
      </c>
      <c r="C140" s="3">
        <v>45937</v>
      </c>
      <c r="D140" s="1">
        <v>0</v>
      </c>
      <c r="E140" s="1">
        <v>-4.46</v>
      </c>
      <c r="F140" t="s">
        <v>15</v>
      </c>
      <c r="G140" s="3">
        <v>45908</v>
      </c>
      <c r="H140" t="s">
        <v>11</v>
      </c>
      <c r="I140" s="2">
        <v>45901</v>
      </c>
      <c r="J140">
        <v>116</v>
      </c>
      <c r="K140" t="s">
        <v>52</v>
      </c>
      <c r="L140">
        <v>271</v>
      </c>
      <c r="M140" t="s">
        <v>13</v>
      </c>
    </row>
    <row r="141" spans="2:13" x14ac:dyDescent="0.35">
      <c r="B141" s="4">
        <v>256779415326</v>
      </c>
      <c r="C141" s="3">
        <v>45937</v>
      </c>
      <c r="D141" s="1">
        <v>0</v>
      </c>
      <c r="E141" s="1">
        <v>-34.369999999999997</v>
      </c>
      <c r="F141" t="s">
        <v>15</v>
      </c>
      <c r="G141" s="3">
        <v>45908</v>
      </c>
      <c r="H141" t="s">
        <v>11</v>
      </c>
      <c r="I141" s="2">
        <v>45901</v>
      </c>
      <c r="J141">
        <v>118</v>
      </c>
      <c r="K141" t="s">
        <v>52</v>
      </c>
      <c r="L141">
        <v>271</v>
      </c>
      <c r="M141" t="s">
        <v>13</v>
      </c>
    </row>
    <row r="142" spans="2:13" x14ac:dyDescent="0.35">
      <c r="B142" s="4">
        <v>256779415306</v>
      </c>
      <c r="C142" s="3">
        <v>45937</v>
      </c>
      <c r="D142" s="1">
        <v>0</v>
      </c>
      <c r="E142" s="1">
        <v>-5.57</v>
      </c>
      <c r="F142" t="s">
        <v>15</v>
      </c>
      <c r="G142" s="3">
        <v>45908</v>
      </c>
      <c r="H142" t="s">
        <v>11</v>
      </c>
      <c r="I142" s="2">
        <v>45901</v>
      </c>
      <c r="J142">
        <v>120</v>
      </c>
      <c r="K142" t="s">
        <v>52</v>
      </c>
      <c r="L142">
        <v>271</v>
      </c>
      <c r="M142" t="s">
        <v>13</v>
      </c>
    </row>
    <row r="143" spans="2:13" x14ac:dyDescent="0.35">
      <c r="B143" s="4">
        <v>256779415390</v>
      </c>
      <c r="C143" s="3">
        <v>45937</v>
      </c>
      <c r="D143" s="1">
        <v>0</v>
      </c>
      <c r="E143" s="1">
        <v>-20.6</v>
      </c>
      <c r="F143" t="s">
        <v>15</v>
      </c>
      <c r="G143" s="3">
        <v>45908</v>
      </c>
      <c r="H143" t="s">
        <v>11</v>
      </c>
      <c r="I143" s="2">
        <v>45901</v>
      </c>
      <c r="J143">
        <v>122</v>
      </c>
      <c r="K143" t="s">
        <v>52</v>
      </c>
      <c r="L143">
        <v>271</v>
      </c>
      <c r="M143" t="s">
        <v>13</v>
      </c>
    </row>
    <row r="144" spans="2:13" x14ac:dyDescent="0.35">
      <c r="B144" s="4">
        <v>256779415340</v>
      </c>
      <c r="C144" s="3">
        <v>45937</v>
      </c>
      <c r="D144" s="1">
        <v>0</v>
      </c>
      <c r="E144" s="1">
        <v>-4.8</v>
      </c>
      <c r="F144" t="s">
        <v>15</v>
      </c>
      <c r="G144" s="3">
        <v>45908</v>
      </c>
      <c r="H144" t="s">
        <v>11</v>
      </c>
      <c r="I144" s="2">
        <v>45901</v>
      </c>
      <c r="J144">
        <v>124</v>
      </c>
      <c r="K144" t="s">
        <v>52</v>
      </c>
      <c r="L144">
        <v>271</v>
      </c>
      <c r="M144" t="s">
        <v>13</v>
      </c>
    </row>
    <row r="145" spans="2:13" x14ac:dyDescent="0.35">
      <c r="B145" s="4">
        <v>256779415343</v>
      </c>
      <c r="C145" s="3">
        <v>45937</v>
      </c>
      <c r="D145" s="1">
        <v>0</v>
      </c>
      <c r="E145" s="1">
        <v>-0.19</v>
      </c>
      <c r="F145" t="s">
        <v>15</v>
      </c>
      <c r="G145" s="3">
        <v>45908</v>
      </c>
      <c r="H145" t="s">
        <v>11</v>
      </c>
      <c r="I145" s="2">
        <v>45901</v>
      </c>
      <c r="J145">
        <v>126</v>
      </c>
      <c r="K145" t="s">
        <v>52</v>
      </c>
      <c r="L145">
        <v>271</v>
      </c>
      <c r="M145" t="s">
        <v>13</v>
      </c>
    </row>
    <row r="146" spans="2:13" x14ac:dyDescent="0.35">
      <c r="B146" s="4">
        <v>256779415395</v>
      </c>
      <c r="C146" s="3">
        <v>45937</v>
      </c>
      <c r="D146" s="1">
        <v>0</v>
      </c>
      <c r="E146" s="1">
        <v>-38.200000000000003</v>
      </c>
      <c r="F146" t="s">
        <v>15</v>
      </c>
      <c r="G146" s="3">
        <v>45908</v>
      </c>
      <c r="H146" t="s">
        <v>11</v>
      </c>
      <c r="I146" s="2">
        <v>45901</v>
      </c>
      <c r="J146">
        <v>128</v>
      </c>
      <c r="K146" t="s">
        <v>52</v>
      </c>
      <c r="L146">
        <v>271</v>
      </c>
      <c r="M146" t="s">
        <v>13</v>
      </c>
    </row>
    <row r="147" spans="2:13" x14ac:dyDescent="0.35">
      <c r="B147" s="4">
        <v>256779415381</v>
      </c>
      <c r="C147" s="3">
        <v>45937</v>
      </c>
      <c r="D147" s="1">
        <v>0</v>
      </c>
      <c r="E147" s="1">
        <v>-11.14</v>
      </c>
      <c r="F147" t="s">
        <v>15</v>
      </c>
      <c r="G147" s="3">
        <v>45908</v>
      </c>
      <c r="H147" t="s">
        <v>11</v>
      </c>
      <c r="I147" s="2">
        <v>45901</v>
      </c>
      <c r="J147">
        <v>130</v>
      </c>
      <c r="K147" t="s">
        <v>52</v>
      </c>
      <c r="L147">
        <v>271</v>
      </c>
      <c r="M147" t="s">
        <v>13</v>
      </c>
    </row>
    <row r="148" spans="2:13" x14ac:dyDescent="0.35">
      <c r="B148" s="4">
        <v>256779415392</v>
      </c>
      <c r="C148" s="3">
        <v>45937</v>
      </c>
      <c r="D148" s="1">
        <v>0</v>
      </c>
      <c r="E148" s="1">
        <v>-37.14</v>
      </c>
      <c r="F148" t="s">
        <v>15</v>
      </c>
      <c r="G148" s="3">
        <v>45908</v>
      </c>
      <c r="H148" t="s">
        <v>11</v>
      </c>
      <c r="I148" s="2">
        <v>45901</v>
      </c>
      <c r="J148">
        <v>132</v>
      </c>
      <c r="K148" t="s">
        <v>52</v>
      </c>
      <c r="L148">
        <v>271</v>
      </c>
      <c r="M148" t="s">
        <v>13</v>
      </c>
    </row>
    <row r="149" spans="2:13" x14ac:dyDescent="0.35">
      <c r="B149" s="4">
        <v>256779415358</v>
      </c>
      <c r="C149" s="3">
        <v>45937</v>
      </c>
      <c r="D149" s="1">
        <v>0</v>
      </c>
      <c r="E149" s="1">
        <v>-17.829999999999998</v>
      </c>
      <c r="F149" t="s">
        <v>15</v>
      </c>
      <c r="G149" s="3">
        <v>45908</v>
      </c>
      <c r="H149" t="s">
        <v>11</v>
      </c>
      <c r="I149" s="2">
        <v>45901</v>
      </c>
      <c r="J149">
        <v>134</v>
      </c>
      <c r="K149" t="s">
        <v>52</v>
      </c>
      <c r="L149">
        <v>271</v>
      </c>
      <c r="M149" t="s">
        <v>13</v>
      </c>
    </row>
    <row r="150" spans="2:13" x14ac:dyDescent="0.35">
      <c r="B150" s="4">
        <v>256779415337</v>
      </c>
      <c r="C150" s="3">
        <v>45937</v>
      </c>
      <c r="D150" s="1">
        <v>0</v>
      </c>
      <c r="E150" s="1">
        <v>-3.24</v>
      </c>
      <c r="F150" t="s">
        <v>15</v>
      </c>
      <c r="G150" s="3">
        <v>45908</v>
      </c>
      <c r="H150" t="s">
        <v>11</v>
      </c>
      <c r="I150" s="2">
        <v>45901</v>
      </c>
      <c r="J150">
        <v>136</v>
      </c>
      <c r="K150" t="s">
        <v>52</v>
      </c>
      <c r="L150">
        <v>271</v>
      </c>
      <c r="M150" t="s">
        <v>13</v>
      </c>
    </row>
    <row r="151" spans="2:13" x14ac:dyDescent="0.35">
      <c r="B151" s="4">
        <v>256779415362</v>
      </c>
      <c r="C151" s="3">
        <v>45937</v>
      </c>
      <c r="D151" s="1">
        <v>0</v>
      </c>
      <c r="E151" s="1">
        <v>-0.56000000000000005</v>
      </c>
      <c r="F151" t="s">
        <v>15</v>
      </c>
      <c r="G151" s="3">
        <v>45908</v>
      </c>
      <c r="H151" t="s">
        <v>11</v>
      </c>
      <c r="I151" s="2">
        <v>45901</v>
      </c>
      <c r="J151">
        <v>138</v>
      </c>
      <c r="K151" t="s">
        <v>52</v>
      </c>
      <c r="L151">
        <v>271</v>
      </c>
      <c r="M151" t="s">
        <v>13</v>
      </c>
    </row>
    <row r="152" spans="2:13" x14ac:dyDescent="0.35">
      <c r="B152" s="4">
        <v>256779415373</v>
      </c>
      <c r="C152" s="3">
        <v>45937</v>
      </c>
      <c r="D152" s="1">
        <v>0</v>
      </c>
      <c r="E152" s="1">
        <v>-0.48</v>
      </c>
      <c r="F152" t="s">
        <v>15</v>
      </c>
      <c r="G152" s="3">
        <v>45908</v>
      </c>
      <c r="H152" t="s">
        <v>11</v>
      </c>
      <c r="I152" s="2">
        <v>45901</v>
      </c>
      <c r="J152">
        <v>140</v>
      </c>
      <c r="K152" t="s">
        <v>52</v>
      </c>
      <c r="L152">
        <v>271</v>
      </c>
      <c r="M152" t="s">
        <v>13</v>
      </c>
    </row>
    <row r="153" spans="2:13" x14ac:dyDescent="0.35">
      <c r="B153" s="4">
        <v>256779415386</v>
      </c>
      <c r="C153" s="3">
        <v>45937</v>
      </c>
      <c r="D153" s="1">
        <v>0</v>
      </c>
      <c r="E153" s="1">
        <v>-1.39</v>
      </c>
      <c r="F153" t="s">
        <v>15</v>
      </c>
      <c r="G153" s="3">
        <v>45908</v>
      </c>
      <c r="H153" t="s">
        <v>11</v>
      </c>
      <c r="I153" s="2">
        <v>45901</v>
      </c>
      <c r="J153">
        <v>142</v>
      </c>
      <c r="K153" t="s">
        <v>52</v>
      </c>
      <c r="L153">
        <v>271</v>
      </c>
      <c r="M153" t="s">
        <v>13</v>
      </c>
    </row>
    <row r="154" spans="2:13" x14ac:dyDescent="0.35">
      <c r="B154" s="4">
        <v>256779415348</v>
      </c>
      <c r="C154" s="3">
        <v>45937</v>
      </c>
      <c r="D154" s="1">
        <v>0</v>
      </c>
      <c r="E154" s="1">
        <v>-1.39</v>
      </c>
      <c r="F154" t="s">
        <v>15</v>
      </c>
      <c r="G154" s="3">
        <v>45908</v>
      </c>
      <c r="H154" t="s">
        <v>11</v>
      </c>
      <c r="I154" s="2">
        <v>45901</v>
      </c>
      <c r="J154">
        <v>144</v>
      </c>
      <c r="K154" t="s">
        <v>52</v>
      </c>
      <c r="L154">
        <v>271</v>
      </c>
      <c r="M154" t="s">
        <v>13</v>
      </c>
    </row>
    <row r="155" spans="2:13" x14ac:dyDescent="0.35">
      <c r="B155" s="4">
        <v>256779415369</v>
      </c>
      <c r="C155" s="3">
        <v>45937</v>
      </c>
      <c r="D155" s="1">
        <v>0</v>
      </c>
      <c r="E155" s="1">
        <v>-0.56000000000000005</v>
      </c>
      <c r="F155" t="s">
        <v>15</v>
      </c>
      <c r="G155" s="3">
        <v>45908</v>
      </c>
      <c r="H155" t="s">
        <v>11</v>
      </c>
      <c r="I155" s="2">
        <v>45901</v>
      </c>
      <c r="J155">
        <v>146</v>
      </c>
      <c r="K155" t="s">
        <v>52</v>
      </c>
      <c r="L155">
        <v>271</v>
      </c>
      <c r="M155" t="s">
        <v>13</v>
      </c>
    </row>
    <row r="156" spans="2:13" x14ac:dyDescent="0.35">
      <c r="B156" s="4">
        <v>256779415364</v>
      </c>
      <c r="C156" s="3">
        <v>45937</v>
      </c>
      <c r="D156" s="1">
        <v>0</v>
      </c>
      <c r="E156" s="1">
        <v>-37.14</v>
      </c>
      <c r="F156" t="s">
        <v>15</v>
      </c>
      <c r="G156" s="3">
        <v>45908</v>
      </c>
      <c r="H156" t="s">
        <v>11</v>
      </c>
      <c r="I156" s="2">
        <v>45901</v>
      </c>
      <c r="J156">
        <v>148</v>
      </c>
      <c r="K156" t="s">
        <v>52</v>
      </c>
      <c r="L156">
        <v>271</v>
      </c>
      <c r="M156" t="s">
        <v>13</v>
      </c>
    </row>
    <row r="157" spans="2:13" x14ac:dyDescent="0.35">
      <c r="B157" s="4">
        <v>256779415299</v>
      </c>
      <c r="C157" s="3">
        <v>45937</v>
      </c>
      <c r="D157" s="1">
        <v>0</v>
      </c>
      <c r="E157" s="1">
        <v>-4.46</v>
      </c>
      <c r="F157" t="s">
        <v>15</v>
      </c>
      <c r="G157" s="3">
        <v>45908</v>
      </c>
      <c r="H157" t="s">
        <v>11</v>
      </c>
      <c r="I157" s="2">
        <v>45901</v>
      </c>
      <c r="J157">
        <v>150</v>
      </c>
      <c r="K157" t="s">
        <v>52</v>
      </c>
      <c r="L157">
        <v>271</v>
      </c>
      <c r="M157" t="s">
        <v>13</v>
      </c>
    </row>
    <row r="158" spans="2:13" x14ac:dyDescent="0.35">
      <c r="B158" s="4">
        <v>256779415335</v>
      </c>
      <c r="C158" s="3">
        <v>45937</v>
      </c>
      <c r="D158" s="1">
        <v>0</v>
      </c>
      <c r="E158" s="1">
        <v>-4.6500000000000004</v>
      </c>
      <c r="F158" t="s">
        <v>15</v>
      </c>
      <c r="G158" s="3">
        <v>45908</v>
      </c>
      <c r="H158" t="s">
        <v>11</v>
      </c>
      <c r="I158" s="2">
        <v>45901</v>
      </c>
      <c r="J158">
        <v>152</v>
      </c>
      <c r="K158" t="s">
        <v>52</v>
      </c>
      <c r="L158">
        <v>271</v>
      </c>
      <c r="M158" t="s">
        <v>13</v>
      </c>
    </row>
    <row r="159" spans="2:13" x14ac:dyDescent="0.35">
      <c r="B159" s="4">
        <v>256779415292</v>
      </c>
      <c r="C159" s="3">
        <v>45937</v>
      </c>
      <c r="D159" s="1">
        <v>0</v>
      </c>
      <c r="E159" s="1">
        <v>-4.46</v>
      </c>
      <c r="F159" t="s">
        <v>15</v>
      </c>
      <c r="G159" s="3">
        <v>45908</v>
      </c>
      <c r="H159" t="s">
        <v>11</v>
      </c>
      <c r="I159" s="2">
        <v>45901</v>
      </c>
      <c r="J159">
        <v>154</v>
      </c>
      <c r="K159" t="s">
        <v>52</v>
      </c>
      <c r="L159">
        <v>271</v>
      </c>
      <c r="M159" t="s">
        <v>13</v>
      </c>
    </row>
    <row r="160" spans="2:13" x14ac:dyDescent="0.35">
      <c r="B160" s="4">
        <v>256779415370</v>
      </c>
      <c r="C160" s="3">
        <v>45937</v>
      </c>
      <c r="D160" s="1">
        <v>0</v>
      </c>
      <c r="E160" s="1">
        <v>-13.37</v>
      </c>
      <c r="F160" t="s">
        <v>15</v>
      </c>
      <c r="G160" s="3">
        <v>45908</v>
      </c>
      <c r="H160" t="s">
        <v>11</v>
      </c>
      <c r="I160" s="2">
        <v>45901</v>
      </c>
      <c r="J160">
        <v>156</v>
      </c>
      <c r="K160" t="s">
        <v>52</v>
      </c>
      <c r="L160">
        <v>271</v>
      </c>
      <c r="M160" t="s">
        <v>13</v>
      </c>
    </row>
    <row r="161" spans="2:13" x14ac:dyDescent="0.35">
      <c r="B161" s="4">
        <v>256779415294</v>
      </c>
      <c r="C161" s="3">
        <v>45937</v>
      </c>
      <c r="D161" s="1">
        <v>0</v>
      </c>
      <c r="E161" s="1">
        <v>-4.46</v>
      </c>
      <c r="F161" t="s">
        <v>15</v>
      </c>
      <c r="G161" s="3">
        <v>45908</v>
      </c>
      <c r="H161" t="s">
        <v>11</v>
      </c>
      <c r="I161" s="2">
        <v>45901</v>
      </c>
      <c r="J161">
        <v>158</v>
      </c>
      <c r="K161" t="s">
        <v>52</v>
      </c>
      <c r="L161">
        <v>271</v>
      </c>
      <c r="M161" t="s">
        <v>13</v>
      </c>
    </row>
    <row r="162" spans="2:13" x14ac:dyDescent="0.35">
      <c r="B162" s="4">
        <v>256779415307</v>
      </c>
      <c r="C162" s="3">
        <v>45937</v>
      </c>
      <c r="D162" s="1">
        <v>0</v>
      </c>
      <c r="E162" s="1">
        <v>-5.57</v>
      </c>
      <c r="F162" t="s">
        <v>15</v>
      </c>
      <c r="G162" s="3">
        <v>45908</v>
      </c>
      <c r="H162" t="s">
        <v>11</v>
      </c>
      <c r="I162" s="2">
        <v>45901</v>
      </c>
      <c r="J162">
        <v>160</v>
      </c>
      <c r="K162" t="s">
        <v>52</v>
      </c>
      <c r="L162">
        <v>271</v>
      </c>
      <c r="M162" t="s">
        <v>13</v>
      </c>
    </row>
    <row r="163" spans="2:13" x14ac:dyDescent="0.35">
      <c r="B163" s="4">
        <v>256779415347</v>
      </c>
      <c r="C163" s="3">
        <v>45937</v>
      </c>
      <c r="D163" s="1">
        <v>0</v>
      </c>
      <c r="E163" s="1">
        <v>-3.72</v>
      </c>
      <c r="F163" t="s">
        <v>15</v>
      </c>
      <c r="G163" s="3">
        <v>45908</v>
      </c>
      <c r="H163" t="s">
        <v>11</v>
      </c>
      <c r="I163" s="2">
        <v>45901</v>
      </c>
      <c r="J163">
        <v>162</v>
      </c>
      <c r="K163" t="s">
        <v>52</v>
      </c>
      <c r="L163">
        <v>271</v>
      </c>
      <c r="M163" t="s">
        <v>13</v>
      </c>
    </row>
    <row r="164" spans="2:13" x14ac:dyDescent="0.35">
      <c r="B164" s="4">
        <v>256779415297</v>
      </c>
      <c r="C164" s="3">
        <v>45937</v>
      </c>
      <c r="D164" s="1">
        <v>0</v>
      </c>
      <c r="E164" s="1">
        <v>-4.46</v>
      </c>
      <c r="F164" t="s">
        <v>15</v>
      </c>
      <c r="G164" s="3">
        <v>45908</v>
      </c>
      <c r="H164" t="s">
        <v>11</v>
      </c>
      <c r="I164" s="2">
        <v>45901</v>
      </c>
      <c r="J164">
        <v>164</v>
      </c>
      <c r="K164" t="s">
        <v>52</v>
      </c>
      <c r="L164">
        <v>271</v>
      </c>
      <c r="M164" t="s">
        <v>13</v>
      </c>
    </row>
    <row r="165" spans="2:13" x14ac:dyDescent="0.35">
      <c r="B165" s="4">
        <v>256779415303</v>
      </c>
      <c r="C165" s="3">
        <v>45937</v>
      </c>
      <c r="D165" s="1">
        <v>0</v>
      </c>
      <c r="E165" s="1">
        <v>39.880000000000003</v>
      </c>
      <c r="F165" t="s">
        <v>15</v>
      </c>
      <c r="G165" s="3">
        <v>45908</v>
      </c>
      <c r="H165" t="s">
        <v>11</v>
      </c>
      <c r="I165" s="2">
        <v>45931</v>
      </c>
      <c r="J165">
        <v>4</v>
      </c>
      <c r="K165" t="s">
        <v>19</v>
      </c>
      <c r="L165">
        <v>271</v>
      </c>
      <c r="M165" t="s">
        <v>13</v>
      </c>
    </row>
    <row r="166" spans="2:13" x14ac:dyDescent="0.35">
      <c r="B166" s="4">
        <v>256779415304</v>
      </c>
      <c r="C166" s="3">
        <v>45937</v>
      </c>
      <c r="D166" s="1">
        <v>0</v>
      </c>
      <c r="E166" s="1">
        <v>11.96</v>
      </c>
      <c r="F166" t="s">
        <v>15</v>
      </c>
      <c r="G166" s="3">
        <v>45908</v>
      </c>
      <c r="H166" t="s">
        <v>11</v>
      </c>
      <c r="I166" s="2">
        <v>45931</v>
      </c>
      <c r="J166">
        <v>6</v>
      </c>
      <c r="K166" t="s">
        <v>19</v>
      </c>
      <c r="L166">
        <v>271</v>
      </c>
      <c r="M166" t="s">
        <v>13</v>
      </c>
    </row>
    <row r="167" spans="2:13" x14ac:dyDescent="0.35">
      <c r="B167" s="4">
        <v>256779415339</v>
      </c>
      <c r="C167" s="3">
        <v>45937</v>
      </c>
      <c r="D167" s="1">
        <v>0</v>
      </c>
      <c r="E167" s="1">
        <v>10.92</v>
      </c>
      <c r="F167" t="s">
        <v>15</v>
      </c>
      <c r="G167" s="3">
        <v>45908</v>
      </c>
      <c r="H167" t="s">
        <v>11</v>
      </c>
      <c r="I167" s="2">
        <v>45931</v>
      </c>
      <c r="J167">
        <v>8</v>
      </c>
      <c r="K167" t="s">
        <v>19</v>
      </c>
      <c r="L167">
        <v>271</v>
      </c>
      <c r="M167" t="s">
        <v>13</v>
      </c>
    </row>
    <row r="168" spans="2:13" x14ac:dyDescent="0.35">
      <c r="B168" s="4">
        <v>256779415308</v>
      </c>
      <c r="C168" s="3">
        <v>45937</v>
      </c>
      <c r="D168" s="1">
        <v>0</v>
      </c>
      <c r="E168" s="1">
        <v>11.96</v>
      </c>
      <c r="F168" t="s">
        <v>15</v>
      </c>
      <c r="G168" s="3">
        <v>45908</v>
      </c>
      <c r="H168" t="s">
        <v>11</v>
      </c>
      <c r="I168" s="2">
        <v>45931</v>
      </c>
      <c r="J168">
        <v>12</v>
      </c>
      <c r="K168" t="s">
        <v>19</v>
      </c>
      <c r="L168">
        <v>271</v>
      </c>
      <c r="M168" t="s">
        <v>13</v>
      </c>
    </row>
    <row r="169" spans="2:13" x14ac:dyDescent="0.35">
      <c r="B169" s="4">
        <v>256779415305</v>
      </c>
      <c r="C169" s="3">
        <v>45937</v>
      </c>
      <c r="D169" s="1">
        <v>0</v>
      </c>
      <c r="E169" s="1">
        <v>11.96</v>
      </c>
      <c r="F169" t="s">
        <v>15</v>
      </c>
      <c r="G169" s="3">
        <v>45908</v>
      </c>
      <c r="H169" t="s">
        <v>11</v>
      </c>
      <c r="I169" s="2">
        <v>45931</v>
      </c>
      <c r="J169">
        <v>14</v>
      </c>
      <c r="K169" t="s">
        <v>19</v>
      </c>
      <c r="L169">
        <v>271</v>
      </c>
      <c r="M169" t="s">
        <v>13</v>
      </c>
    </row>
    <row r="170" spans="2:13" x14ac:dyDescent="0.35">
      <c r="B170" s="4">
        <v>256779415306</v>
      </c>
      <c r="C170" s="3">
        <v>45937</v>
      </c>
      <c r="D170" s="1">
        <v>0</v>
      </c>
      <c r="E170" s="1">
        <v>11.96</v>
      </c>
      <c r="F170" t="s">
        <v>15</v>
      </c>
      <c r="G170" s="3">
        <v>45908</v>
      </c>
      <c r="H170" t="s">
        <v>11</v>
      </c>
      <c r="I170" s="2">
        <v>45931</v>
      </c>
      <c r="J170">
        <v>16</v>
      </c>
      <c r="K170" t="s">
        <v>19</v>
      </c>
      <c r="L170">
        <v>271</v>
      </c>
      <c r="M170" t="s">
        <v>13</v>
      </c>
    </row>
    <row r="171" spans="2:13" x14ac:dyDescent="0.35">
      <c r="B171" s="4">
        <v>256779415307</v>
      </c>
      <c r="C171" s="3">
        <v>45937</v>
      </c>
      <c r="D171" s="1">
        <v>0</v>
      </c>
      <c r="E171" s="1">
        <v>11.96</v>
      </c>
      <c r="F171" t="s">
        <v>15</v>
      </c>
      <c r="G171" s="3">
        <v>45908</v>
      </c>
      <c r="H171" t="s">
        <v>11</v>
      </c>
      <c r="I171" s="2">
        <v>45931</v>
      </c>
      <c r="J171">
        <v>18</v>
      </c>
      <c r="K171" t="s">
        <v>19</v>
      </c>
      <c r="L171">
        <v>271</v>
      </c>
      <c r="M171" t="s">
        <v>13</v>
      </c>
    </row>
    <row r="172" spans="2:13" x14ac:dyDescent="0.35">
      <c r="B172" s="4">
        <v>256779415312</v>
      </c>
      <c r="C172" s="3">
        <v>45937</v>
      </c>
      <c r="D172" s="1">
        <v>0</v>
      </c>
      <c r="E172" s="1">
        <v>42.62</v>
      </c>
      <c r="F172" t="s">
        <v>15</v>
      </c>
      <c r="G172" s="3">
        <v>45908</v>
      </c>
      <c r="H172" t="s">
        <v>11</v>
      </c>
      <c r="I172" s="2">
        <v>45931</v>
      </c>
      <c r="J172">
        <v>20</v>
      </c>
      <c r="K172" t="s">
        <v>19</v>
      </c>
      <c r="L172">
        <v>271</v>
      </c>
      <c r="M172" t="s">
        <v>13</v>
      </c>
    </row>
    <row r="173" spans="2:13" x14ac:dyDescent="0.35">
      <c r="B173" s="4">
        <v>256779415327</v>
      </c>
      <c r="C173" s="3">
        <v>45937</v>
      </c>
      <c r="D173" s="1">
        <v>0</v>
      </c>
      <c r="E173" s="1">
        <v>4.26</v>
      </c>
      <c r="F173" t="s">
        <v>15</v>
      </c>
      <c r="G173" s="3">
        <v>45908</v>
      </c>
      <c r="H173" t="s">
        <v>11</v>
      </c>
      <c r="I173" s="2">
        <v>45931</v>
      </c>
      <c r="J173">
        <v>24</v>
      </c>
      <c r="K173" t="s">
        <v>19</v>
      </c>
      <c r="L173">
        <v>271</v>
      </c>
      <c r="M173" t="s">
        <v>13</v>
      </c>
    </row>
    <row r="174" spans="2:13" x14ac:dyDescent="0.35">
      <c r="B174" s="4">
        <v>256779415351</v>
      </c>
      <c r="C174" s="3">
        <v>45937</v>
      </c>
      <c r="D174" s="1">
        <v>0</v>
      </c>
      <c r="E174" s="1">
        <v>-37.78</v>
      </c>
      <c r="F174" t="s">
        <v>15</v>
      </c>
      <c r="G174" s="3">
        <v>45908</v>
      </c>
      <c r="H174" t="s">
        <v>11</v>
      </c>
      <c r="I174" s="2">
        <v>45931</v>
      </c>
      <c r="J174">
        <v>26</v>
      </c>
      <c r="K174" t="s">
        <v>19</v>
      </c>
      <c r="L174">
        <v>271</v>
      </c>
      <c r="M174" t="s">
        <v>13</v>
      </c>
    </row>
    <row r="175" spans="2:13" x14ac:dyDescent="0.35">
      <c r="B175" s="4">
        <v>256779415324</v>
      </c>
      <c r="C175" s="3">
        <v>45937</v>
      </c>
      <c r="D175" s="1">
        <v>0</v>
      </c>
      <c r="E175" s="1">
        <v>31.25</v>
      </c>
      <c r="F175" t="s">
        <v>15</v>
      </c>
      <c r="G175" s="3">
        <v>45908</v>
      </c>
      <c r="H175" t="s">
        <v>11</v>
      </c>
      <c r="I175" s="2">
        <v>45931</v>
      </c>
      <c r="J175">
        <v>28</v>
      </c>
      <c r="K175" t="s">
        <v>19</v>
      </c>
      <c r="L175">
        <v>271</v>
      </c>
      <c r="M175" t="s">
        <v>13</v>
      </c>
    </row>
    <row r="176" spans="2:13" x14ac:dyDescent="0.35">
      <c r="B176" s="4">
        <v>256779415322</v>
      </c>
      <c r="C176" s="3">
        <v>45937</v>
      </c>
      <c r="D176" s="1">
        <v>0</v>
      </c>
      <c r="E176" s="1">
        <v>40.92</v>
      </c>
      <c r="F176" t="s">
        <v>15</v>
      </c>
      <c r="G176" s="3">
        <v>45908</v>
      </c>
      <c r="H176" t="s">
        <v>11</v>
      </c>
      <c r="I176" s="2">
        <v>45931</v>
      </c>
      <c r="J176">
        <v>30</v>
      </c>
      <c r="K176" t="s">
        <v>19</v>
      </c>
      <c r="L176">
        <v>271</v>
      </c>
      <c r="M176" t="s">
        <v>13</v>
      </c>
    </row>
    <row r="177" spans="2:13" x14ac:dyDescent="0.35">
      <c r="B177" s="4">
        <v>256779415366</v>
      </c>
      <c r="C177" s="3">
        <v>45937</v>
      </c>
      <c r="D177" s="1">
        <v>0</v>
      </c>
      <c r="E177" s="1">
        <v>40.92</v>
      </c>
      <c r="F177" t="s">
        <v>15</v>
      </c>
      <c r="G177" s="3">
        <v>45908</v>
      </c>
      <c r="H177" t="s">
        <v>11</v>
      </c>
      <c r="I177" s="2">
        <v>45931</v>
      </c>
      <c r="J177">
        <v>32</v>
      </c>
      <c r="K177" t="s">
        <v>19</v>
      </c>
      <c r="L177">
        <v>271</v>
      </c>
      <c r="M177" t="s">
        <v>13</v>
      </c>
    </row>
    <row r="178" spans="2:13" x14ac:dyDescent="0.35">
      <c r="B178" s="4">
        <v>256779415365</v>
      </c>
      <c r="C178" s="3">
        <v>45937</v>
      </c>
      <c r="D178" s="1">
        <v>0</v>
      </c>
      <c r="E178" s="1">
        <v>66.7</v>
      </c>
      <c r="F178" t="s">
        <v>15</v>
      </c>
      <c r="G178" s="3">
        <v>45908</v>
      </c>
      <c r="H178" t="s">
        <v>11</v>
      </c>
      <c r="I178" s="2">
        <v>45931</v>
      </c>
      <c r="J178">
        <v>34</v>
      </c>
      <c r="K178" t="s">
        <v>19</v>
      </c>
      <c r="L178">
        <v>271</v>
      </c>
      <c r="M178" t="s">
        <v>13</v>
      </c>
    </row>
    <row r="179" spans="2:13" x14ac:dyDescent="0.35">
      <c r="B179" s="4">
        <v>256779415311</v>
      </c>
      <c r="C179" s="3">
        <v>45937</v>
      </c>
      <c r="D179" s="1">
        <v>0</v>
      </c>
      <c r="E179" s="1">
        <v>16.510000000000002</v>
      </c>
      <c r="F179" t="s">
        <v>15</v>
      </c>
      <c r="G179" s="3">
        <v>45908</v>
      </c>
      <c r="H179" t="s">
        <v>11</v>
      </c>
      <c r="I179" s="2">
        <v>45931</v>
      </c>
      <c r="J179">
        <v>36</v>
      </c>
      <c r="K179" t="s">
        <v>19</v>
      </c>
      <c r="L179">
        <v>271</v>
      </c>
      <c r="M179" t="s">
        <v>13</v>
      </c>
    </row>
    <row r="180" spans="2:13" x14ac:dyDescent="0.35">
      <c r="B180" s="4">
        <v>256779415368</v>
      </c>
      <c r="C180" s="3">
        <v>45937</v>
      </c>
      <c r="D180" s="1">
        <v>0</v>
      </c>
      <c r="E180" s="1">
        <v>12.79</v>
      </c>
      <c r="F180" t="s">
        <v>15</v>
      </c>
      <c r="G180" s="3">
        <v>45908</v>
      </c>
      <c r="H180" t="s">
        <v>11</v>
      </c>
      <c r="I180" s="2">
        <v>45931</v>
      </c>
      <c r="J180">
        <v>38</v>
      </c>
      <c r="K180" t="s">
        <v>19</v>
      </c>
      <c r="L180">
        <v>271</v>
      </c>
      <c r="M180" t="s">
        <v>13</v>
      </c>
    </row>
    <row r="181" spans="2:13" x14ac:dyDescent="0.35">
      <c r="B181" s="4">
        <v>256779415320</v>
      </c>
      <c r="C181" s="3">
        <v>45937</v>
      </c>
      <c r="D181" s="1">
        <v>0</v>
      </c>
      <c r="E181" s="1">
        <v>2.67</v>
      </c>
      <c r="F181" t="s">
        <v>15</v>
      </c>
      <c r="G181" s="3">
        <v>45908</v>
      </c>
      <c r="H181" t="s">
        <v>11</v>
      </c>
      <c r="I181" s="2">
        <v>45931</v>
      </c>
      <c r="J181">
        <v>40</v>
      </c>
      <c r="K181" t="s">
        <v>19</v>
      </c>
      <c r="L181">
        <v>271</v>
      </c>
      <c r="M181" t="s">
        <v>13</v>
      </c>
    </row>
    <row r="182" spans="2:13" x14ac:dyDescent="0.35">
      <c r="B182" s="4">
        <v>256779415301</v>
      </c>
      <c r="C182" s="3">
        <v>45937</v>
      </c>
      <c r="D182" s="1">
        <v>0</v>
      </c>
      <c r="E182" s="1">
        <v>6.39</v>
      </c>
      <c r="F182" t="s">
        <v>15</v>
      </c>
      <c r="G182" s="3">
        <v>45908</v>
      </c>
      <c r="H182" t="s">
        <v>11</v>
      </c>
      <c r="I182" s="2">
        <v>45931</v>
      </c>
      <c r="J182">
        <v>42</v>
      </c>
      <c r="K182" t="s">
        <v>19</v>
      </c>
      <c r="L182">
        <v>271</v>
      </c>
      <c r="M182" t="s">
        <v>13</v>
      </c>
    </row>
    <row r="183" spans="2:13" x14ac:dyDescent="0.35">
      <c r="B183" s="4">
        <v>256779415329</v>
      </c>
      <c r="C183" s="3">
        <v>45937</v>
      </c>
      <c r="D183" s="1">
        <v>0</v>
      </c>
      <c r="E183" s="1">
        <v>5.86</v>
      </c>
      <c r="F183" t="s">
        <v>15</v>
      </c>
      <c r="G183" s="3">
        <v>45908</v>
      </c>
      <c r="H183" t="s">
        <v>11</v>
      </c>
      <c r="I183" s="2">
        <v>45931</v>
      </c>
      <c r="J183">
        <v>44</v>
      </c>
      <c r="K183" t="s">
        <v>19</v>
      </c>
      <c r="L183">
        <v>271</v>
      </c>
      <c r="M183" t="s">
        <v>13</v>
      </c>
    </row>
    <row r="184" spans="2:13" x14ac:dyDescent="0.35">
      <c r="B184" s="4">
        <v>256779415367</v>
      </c>
      <c r="C184" s="3">
        <v>45937</v>
      </c>
      <c r="D184" s="1">
        <v>0</v>
      </c>
      <c r="E184" s="1">
        <v>42.62</v>
      </c>
      <c r="F184" t="s">
        <v>15</v>
      </c>
      <c r="G184" s="3">
        <v>45908</v>
      </c>
      <c r="H184" t="s">
        <v>11</v>
      </c>
      <c r="I184" s="2">
        <v>45931</v>
      </c>
      <c r="J184">
        <v>46</v>
      </c>
      <c r="K184" t="s">
        <v>19</v>
      </c>
      <c r="L184">
        <v>271</v>
      </c>
      <c r="M184" t="s">
        <v>13</v>
      </c>
    </row>
    <row r="185" spans="2:13" x14ac:dyDescent="0.35">
      <c r="B185" s="4">
        <v>256779415353</v>
      </c>
      <c r="C185" s="3">
        <v>45937</v>
      </c>
      <c r="D185" s="1">
        <v>0</v>
      </c>
      <c r="E185" s="1">
        <v>42.62</v>
      </c>
      <c r="F185" t="s">
        <v>15</v>
      </c>
      <c r="G185" s="3">
        <v>45908</v>
      </c>
      <c r="H185" t="s">
        <v>11</v>
      </c>
      <c r="I185" s="2">
        <v>45931</v>
      </c>
      <c r="J185">
        <v>48</v>
      </c>
      <c r="K185" t="s">
        <v>19</v>
      </c>
      <c r="L185">
        <v>271</v>
      </c>
      <c r="M185" t="s">
        <v>13</v>
      </c>
    </row>
    <row r="186" spans="2:13" x14ac:dyDescent="0.35">
      <c r="B186" s="4">
        <v>256779415330</v>
      </c>
      <c r="C186" s="3">
        <v>45937</v>
      </c>
      <c r="D186" s="1">
        <v>0</v>
      </c>
      <c r="E186" s="1">
        <v>4.8</v>
      </c>
      <c r="F186" t="s">
        <v>15</v>
      </c>
      <c r="G186" s="3">
        <v>45908</v>
      </c>
      <c r="H186" t="s">
        <v>11</v>
      </c>
      <c r="I186" s="2">
        <v>45931</v>
      </c>
      <c r="J186">
        <v>50</v>
      </c>
      <c r="K186" t="s">
        <v>19</v>
      </c>
      <c r="L186">
        <v>271</v>
      </c>
      <c r="M186" t="s">
        <v>13</v>
      </c>
    </row>
    <row r="187" spans="2:13" x14ac:dyDescent="0.35">
      <c r="B187" s="4">
        <v>256779415354</v>
      </c>
      <c r="C187" s="3">
        <v>45937</v>
      </c>
      <c r="D187" s="1">
        <v>0</v>
      </c>
      <c r="E187" s="1">
        <v>12.79</v>
      </c>
      <c r="F187" t="s">
        <v>15</v>
      </c>
      <c r="G187" s="3">
        <v>45908</v>
      </c>
      <c r="H187" t="s">
        <v>11</v>
      </c>
      <c r="I187" s="2">
        <v>45931</v>
      </c>
      <c r="J187">
        <v>52</v>
      </c>
      <c r="K187" t="s">
        <v>19</v>
      </c>
      <c r="L187">
        <v>271</v>
      </c>
      <c r="M187" t="s">
        <v>13</v>
      </c>
    </row>
    <row r="188" spans="2:13" x14ac:dyDescent="0.35">
      <c r="B188" s="4">
        <v>256779415387</v>
      </c>
      <c r="C188" s="3">
        <v>45937</v>
      </c>
      <c r="D188" s="1">
        <v>0</v>
      </c>
      <c r="E188" s="1">
        <v>-157.24</v>
      </c>
      <c r="F188" t="s">
        <v>15</v>
      </c>
      <c r="G188" s="3">
        <v>45908</v>
      </c>
      <c r="H188" t="s">
        <v>11</v>
      </c>
      <c r="I188" s="2">
        <v>45931</v>
      </c>
      <c r="J188">
        <v>80</v>
      </c>
      <c r="K188" t="s">
        <v>19</v>
      </c>
      <c r="L188">
        <v>271</v>
      </c>
      <c r="M188" t="s">
        <v>13</v>
      </c>
    </row>
    <row r="189" spans="2:13" x14ac:dyDescent="0.35">
      <c r="B189" s="4">
        <v>256779415313</v>
      </c>
      <c r="C189" s="3">
        <v>45937</v>
      </c>
      <c r="D189" s="1">
        <v>0</v>
      </c>
      <c r="E189" s="1">
        <v>12.79</v>
      </c>
      <c r="F189" t="s">
        <v>15</v>
      </c>
      <c r="G189" s="3">
        <v>45908</v>
      </c>
      <c r="H189" t="s">
        <v>11</v>
      </c>
      <c r="I189" s="2">
        <v>45931</v>
      </c>
      <c r="J189">
        <v>86</v>
      </c>
      <c r="K189" t="s">
        <v>19</v>
      </c>
      <c r="L189">
        <v>271</v>
      </c>
      <c r="M189" t="s">
        <v>13</v>
      </c>
    </row>
    <row r="190" spans="2:13" x14ac:dyDescent="0.35">
      <c r="B190" s="4">
        <v>256779415323</v>
      </c>
      <c r="C190" s="3">
        <v>45937</v>
      </c>
      <c r="D190" s="1">
        <v>0</v>
      </c>
      <c r="E190" s="1">
        <v>45.12</v>
      </c>
      <c r="F190" t="s">
        <v>15</v>
      </c>
      <c r="G190" s="3">
        <v>45908</v>
      </c>
      <c r="H190" t="s">
        <v>11</v>
      </c>
      <c r="I190" s="2">
        <v>45931</v>
      </c>
      <c r="J190">
        <v>88</v>
      </c>
      <c r="K190" t="s">
        <v>19</v>
      </c>
      <c r="L190">
        <v>271</v>
      </c>
      <c r="M190" t="s">
        <v>13</v>
      </c>
    </row>
    <row r="191" spans="2:13" x14ac:dyDescent="0.35">
      <c r="B191" s="4">
        <v>256779415309</v>
      </c>
      <c r="C191" s="3">
        <v>45937</v>
      </c>
      <c r="D191" s="1">
        <v>0</v>
      </c>
      <c r="E191" s="1">
        <v>6.39</v>
      </c>
      <c r="F191" t="s">
        <v>15</v>
      </c>
      <c r="G191" s="3">
        <v>45908</v>
      </c>
      <c r="H191" t="s">
        <v>11</v>
      </c>
      <c r="I191" s="2">
        <v>45931</v>
      </c>
      <c r="J191">
        <v>90</v>
      </c>
      <c r="K191" t="s">
        <v>19</v>
      </c>
      <c r="L191">
        <v>271</v>
      </c>
      <c r="M191" t="s">
        <v>13</v>
      </c>
    </row>
    <row r="192" spans="2:13" x14ac:dyDescent="0.35">
      <c r="B192" s="4">
        <v>256779415302</v>
      </c>
      <c r="C192" s="3">
        <v>45937</v>
      </c>
      <c r="D192" s="1">
        <v>0</v>
      </c>
      <c r="E192" s="1">
        <v>6.39</v>
      </c>
      <c r="F192" t="s">
        <v>15</v>
      </c>
      <c r="G192" s="3">
        <v>45908</v>
      </c>
      <c r="H192" t="s">
        <v>11</v>
      </c>
      <c r="I192" s="2">
        <v>45931</v>
      </c>
      <c r="J192">
        <v>92</v>
      </c>
      <c r="K192" t="s">
        <v>19</v>
      </c>
      <c r="L192">
        <v>271</v>
      </c>
      <c r="M192" t="s">
        <v>13</v>
      </c>
    </row>
    <row r="193" spans="2:13" x14ac:dyDescent="0.35">
      <c r="B193" s="4">
        <v>256779415289</v>
      </c>
      <c r="C193" s="3">
        <v>45937</v>
      </c>
      <c r="D193" s="1">
        <v>0</v>
      </c>
      <c r="E193" s="1">
        <v>53.27</v>
      </c>
      <c r="F193" t="s">
        <v>15</v>
      </c>
      <c r="G193" s="3">
        <v>45908</v>
      </c>
      <c r="H193" t="s">
        <v>11</v>
      </c>
      <c r="I193" s="2">
        <v>45931</v>
      </c>
      <c r="J193">
        <v>94</v>
      </c>
      <c r="K193" t="s">
        <v>19</v>
      </c>
      <c r="L193">
        <v>271</v>
      </c>
      <c r="M193" t="s">
        <v>13</v>
      </c>
    </row>
    <row r="194" spans="2:13" x14ac:dyDescent="0.35">
      <c r="B194" s="4">
        <v>256779415325</v>
      </c>
      <c r="C194" s="3">
        <v>45937</v>
      </c>
      <c r="D194" s="1">
        <v>0</v>
      </c>
      <c r="E194" s="1">
        <v>40.92</v>
      </c>
      <c r="F194" t="s">
        <v>15</v>
      </c>
      <c r="G194" s="3">
        <v>45908</v>
      </c>
      <c r="H194" t="s">
        <v>11</v>
      </c>
      <c r="I194" s="2">
        <v>45931</v>
      </c>
      <c r="J194">
        <v>96</v>
      </c>
      <c r="K194" t="s">
        <v>19</v>
      </c>
      <c r="L194">
        <v>271</v>
      </c>
      <c r="M194" t="s">
        <v>13</v>
      </c>
    </row>
    <row r="195" spans="2:13" x14ac:dyDescent="0.35">
      <c r="B195" s="4">
        <v>256779415331</v>
      </c>
      <c r="C195" s="3">
        <v>45937</v>
      </c>
      <c r="D195" s="1">
        <v>0</v>
      </c>
      <c r="E195" s="1">
        <v>4.8</v>
      </c>
      <c r="F195" t="s">
        <v>15</v>
      </c>
      <c r="G195" s="3">
        <v>45908</v>
      </c>
      <c r="H195" t="s">
        <v>11</v>
      </c>
      <c r="I195" s="2">
        <v>45931</v>
      </c>
      <c r="J195">
        <v>98</v>
      </c>
      <c r="K195" t="s">
        <v>19</v>
      </c>
      <c r="L195">
        <v>271</v>
      </c>
      <c r="M195" t="s">
        <v>13</v>
      </c>
    </row>
    <row r="196" spans="2:13" x14ac:dyDescent="0.35">
      <c r="B196" s="4">
        <v>256779415290</v>
      </c>
      <c r="C196" s="3">
        <v>45937</v>
      </c>
      <c r="D196" s="1">
        <v>0</v>
      </c>
      <c r="E196" s="1">
        <v>5.1100000000000003</v>
      </c>
      <c r="F196" t="s">
        <v>15</v>
      </c>
      <c r="G196" s="3">
        <v>45908</v>
      </c>
      <c r="H196" t="s">
        <v>11</v>
      </c>
      <c r="I196" s="2">
        <v>45931</v>
      </c>
      <c r="J196">
        <v>100</v>
      </c>
      <c r="K196" t="s">
        <v>19</v>
      </c>
      <c r="L196">
        <v>271</v>
      </c>
      <c r="M196" t="s">
        <v>13</v>
      </c>
    </row>
    <row r="197" spans="2:13" x14ac:dyDescent="0.35">
      <c r="B197" s="4">
        <v>256779415303</v>
      </c>
      <c r="C197" s="3">
        <v>45937</v>
      </c>
      <c r="D197" s="1">
        <v>0</v>
      </c>
      <c r="E197" s="1">
        <v>-88.42</v>
      </c>
      <c r="F197" t="s">
        <v>15</v>
      </c>
      <c r="G197" s="3">
        <v>45908</v>
      </c>
      <c r="H197" t="s">
        <v>11</v>
      </c>
      <c r="I197" s="2">
        <v>45962</v>
      </c>
      <c r="J197">
        <v>4</v>
      </c>
      <c r="K197" t="s">
        <v>12</v>
      </c>
      <c r="L197">
        <v>271</v>
      </c>
      <c r="M197" t="s">
        <v>13</v>
      </c>
    </row>
    <row r="198" spans="2:13" x14ac:dyDescent="0.35">
      <c r="B198" s="4">
        <v>256779415304</v>
      </c>
      <c r="C198" s="3">
        <v>45937</v>
      </c>
      <c r="D198" s="1">
        <v>0</v>
      </c>
      <c r="E198" s="1">
        <v>-26.52</v>
      </c>
      <c r="F198" t="s">
        <v>15</v>
      </c>
      <c r="G198" s="3">
        <v>45908</v>
      </c>
      <c r="H198" t="s">
        <v>11</v>
      </c>
      <c r="I198" s="2">
        <v>45962</v>
      </c>
      <c r="J198">
        <v>6</v>
      </c>
      <c r="K198" t="s">
        <v>12</v>
      </c>
      <c r="L198">
        <v>271</v>
      </c>
      <c r="M198" t="s">
        <v>13</v>
      </c>
    </row>
    <row r="199" spans="2:13" x14ac:dyDescent="0.35">
      <c r="B199" s="4">
        <v>256779415385</v>
      </c>
      <c r="C199" s="3">
        <v>45937</v>
      </c>
      <c r="D199" s="1">
        <v>0</v>
      </c>
      <c r="E199" s="1">
        <v>-0.32</v>
      </c>
      <c r="F199" t="s">
        <v>15</v>
      </c>
      <c r="G199" s="3">
        <v>45908</v>
      </c>
      <c r="H199" t="s">
        <v>11</v>
      </c>
      <c r="I199" s="2">
        <v>45962</v>
      </c>
      <c r="J199">
        <v>8</v>
      </c>
      <c r="K199" t="s">
        <v>12</v>
      </c>
      <c r="L199">
        <v>271</v>
      </c>
      <c r="M199" t="s">
        <v>13</v>
      </c>
    </row>
    <row r="200" spans="2:13" x14ac:dyDescent="0.35">
      <c r="B200" s="4">
        <v>256779415293</v>
      </c>
      <c r="C200" s="3">
        <v>45937</v>
      </c>
      <c r="D200" s="1">
        <v>0</v>
      </c>
      <c r="E200" s="1">
        <v>-0.32</v>
      </c>
      <c r="F200" t="s">
        <v>15</v>
      </c>
      <c r="G200" s="3">
        <v>45908</v>
      </c>
      <c r="H200" t="s">
        <v>11</v>
      </c>
      <c r="I200" s="2">
        <v>45962</v>
      </c>
      <c r="J200">
        <v>10</v>
      </c>
      <c r="K200" t="s">
        <v>12</v>
      </c>
      <c r="L200">
        <v>271</v>
      </c>
      <c r="M200" t="s">
        <v>13</v>
      </c>
    </row>
    <row r="201" spans="2:13" x14ac:dyDescent="0.35">
      <c r="B201" s="4">
        <v>256779415374</v>
      </c>
      <c r="C201" s="3">
        <v>45937</v>
      </c>
      <c r="D201" s="1">
        <v>0</v>
      </c>
      <c r="E201" s="1">
        <v>-6.43</v>
      </c>
      <c r="F201" t="s">
        <v>15</v>
      </c>
      <c r="G201" s="3">
        <v>45908</v>
      </c>
      <c r="H201" t="s">
        <v>11</v>
      </c>
      <c r="I201" s="2">
        <v>45962</v>
      </c>
      <c r="J201">
        <v>12</v>
      </c>
      <c r="K201" t="s">
        <v>12</v>
      </c>
      <c r="L201">
        <v>271</v>
      </c>
      <c r="M201" t="s">
        <v>13</v>
      </c>
    </row>
    <row r="202" spans="2:13" x14ac:dyDescent="0.35">
      <c r="B202" s="4">
        <v>256779415339</v>
      </c>
      <c r="C202" s="3">
        <v>45937</v>
      </c>
      <c r="D202" s="1">
        <v>0</v>
      </c>
      <c r="E202" s="1">
        <v>-24.21</v>
      </c>
      <c r="F202" t="s">
        <v>15</v>
      </c>
      <c r="G202" s="3">
        <v>45908</v>
      </c>
      <c r="H202" t="s">
        <v>11</v>
      </c>
      <c r="I202" s="2">
        <v>45962</v>
      </c>
      <c r="J202">
        <v>14</v>
      </c>
      <c r="K202" t="s">
        <v>12</v>
      </c>
      <c r="L202">
        <v>271</v>
      </c>
      <c r="M202" t="s">
        <v>13</v>
      </c>
    </row>
    <row r="203" spans="2:13" x14ac:dyDescent="0.35">
      <c r="B203" s="4">
        <v>256779415308</v>
      </c>
      <c r="C203" s="3">
        <v>45937</v>
      </c>
      <c r="D203" s="1">
        <v>0</v>
      </c>
      <c r="E203" s="1">
        <v>-26.52</v>
      </c>
      <c r="F203" t="s">
        <v>15</v>
      </c>
      <c r="G203" s="3">
        <v>45908</v>
      </c>
      <c r="H203" t="s">
        <v>11</v>
      </c>
      <c r="I203" s="2">
        <v>45962</v>
      </c>
      <c r="J203">
        <v>18</v>
      </c>
      <c r="K203" t="s">
        <v>12</v>
      </c>
      <c r="L203">
        <v>271</v>
      </c>
      <c r="M203" t="s">
        <v>13</v>
      </c>
    </row>
    <row r="204" spans="2:13" x14ac:dyDescent="0.35">
      <c r="B204" s="4">
        <v>256779415305</v>
      </c>
      <c r="C204" s="3">
        <v>45937</v>
      </c>
      <c r="D204" s="1">
        <v>0</v>
      </c>
      <c r="E204" s="1">
        <v>-26.52</v>
      </c>
      <c r="F204" t="s">
        <v>15</v>
      </c>
      <c r="G204" s="3">
        <v>45908</v>
      </c>
      <c r="H204" t="s">
        <v>11</v>
      </c>
      <c r="I204" s="2">
        <v>45962</v>
      </c>
      <c r="J204">
        <v>20</v>
      </c>
      <c r="K204" t="s">
        <v>12</v>
      </c>
      <c r="L204">
        <v>271</v>
      </c>
      <c r="M204" t="s">
        <v>13</v>
      </c>
    </row>
    <row r="205" spans="2:13" x14ac:dyDescent="0.35">
      <c r="B205" s="4">
        <v>256779415306</v>
      </c>
      <c r="C205" s="3">
        <v>45937</v>
      </c>
      <c r="D205" s="1">
        <v>0</v>
      </c>
      <c r="E205" s="1">
        <v>-26.52</v>
      </c>
      <c r="F205" t="s">
        <v>15</v>
      </c>
      <c r="G205" s="3">
        <v>45908</v>
      </c>
      <c r="H205" t="s">
        <v>11</v>
      </c>
      <c r="I205" s="2">
        <v>45962</v>
      </c>
      <c r="J205">
        <v>22</v>
      </c>
      <c r="K205" t="s">
        <v>12</v>
      </c>
      <c r="L205">
        <v>271</v>
      </c>
      <c r="M205" t="s">
        <v>13</v>
      </c>
    </row>
    <row r="206" spans="2:13" x14ac:dyDescent="0.35">
      <c r="B206" s="4">
        <v>256779415307</v>
      </c>
      <c r="C206" s="3">
        <v>45937</v>
      </c>
      <c r="D206" s="1">
        <v>0</v>
      </c>
      <c r="E206" s="1">
        <v>-26.52</v>
      </c>
      <c r="F206" t="s">
        <v>15</v>
      </c>
      <c r="G206" s="3">
        <v>45908</v>
      </c>
      <c r="H206" t="s">
        <v>11</v>
      </c>
      <c r="I206" s="2">
        <v>45962</v>
      </c>
      <c r="J206">
        <v>24</v>
      </c>
      <c r="K206" t="s">
        <v>12</v>
      </c>
      <c r="L206">
        <v>271</v>
      </c>
      <c r="M206" t="s">
        <v>13</v>
      </c>
    </row>
    <row r="207" spans="2:13" x14ac:dyDescent="0.35">
      <c r="B207" s="4">
        <v>256779415291</v>
      </c>
      <c r="C207" s="3">
        <v>45937</v>
      </c>
      <c r="D207" s="1">
        <v>0</v>
      </c>
      <c r="E207" s="1">
        <v>-0.32</v>
      </c>
      <c r="F207" t="s">
        <v>15</v>
      </c>
      <c r="G207" s="3">
        <v>45908</v>
      </c>
      <c r="H207" t="s">
        <v>11</v>
      </c>
      <c r="I207" s="2">
        <v>45962</v>
      </c>
      <c r="J207">
        <v>26</v>
      </c>
      <c r="K207" t="s">
        <v>12</v>
      </c>
      <c r="L207">
        <v>271</v>
      </c>
      <c r="M207" t="s">
        <v>13</v>
      </c>
    </row>
    <row r="208" spans="2:13" x14ac:dyDescent="0.35">
      <c r="B208" s="4">
        <v>256779415319</v>
      </c>
      <c r="C208" s="3">
        <v>45937</v>
      </c>
      <c r="D208" s="1">
        <v>0</v>
      </c>
      <c r="E208" s="1">
        <v>-94.07</v>
      </c>
      <c r="F208" t="s">
        <v>15</v>
      </c>
      <c r="G208" s="3">
        <v>45908</v>
      </c>
      <c r="H208" t="s">
        <v>11</v>
      </c>
      <c r="I208" s="2">
        <v>45962</v>
      </c>
      <c r="J208">
        <v>48</v>
      </c>
      <c r="K208" t="s">
        <v>12</v>
      </c>
      <c r="L208">
        <v>271</v>
      </c>
      <c r="M208" t="s">
        <v>13</v>
      </c>
    </row>
    <row r="209" spans="2:13" x14ac:dyDescent="0.35">
      <c r="B209" s="4">
        <v>256779415303</v>
      </c>
      <c r="C209" s="3">
        <v>45937</v>
      </c>
      <c r="D209" s="1">
        <v>0</v>
      </c>
      <c r="E209" s="1">
        <v>-72.12</v>
      </c>
      <c r="F209" t="s">
        <v>15</v>
      </c>
      <c r="G209" s="3">
        <v>45908</v>
      </c>
      <c r="H209" t="s">
        <v>11</v>
      </c>
      <c r="I209" s="2">
        <v>45992</v>
      </c>
      <c r="J209">
        <v>4</v>
      </c>
      <c r="K209" t="s">
        <v>10</v>
      </c>
      <c r="L209">
        <v>271</v>
      </c>
      <c r="M209" t="s">
        <v>13</v>
      </c>
    </row>
    <row r="210" spans="2:13" x14ac:dyDescent="0.35">
      <c r="B210" s="4">
        <v>256779415304</v>
      </c>
      <c r="C210" s="3">
        <v>45937</v>
      </c>
      <c r="D210" s="1">
        <v>0</v>
      </c>
      <c r="E210" s="1">
        <v>-21.64</v>
      </c>
      <c r="F210" t="s">
        <v>15</v>
      </c>
      <c r="G210" s="3">
        <v>45908</v>
      </c>
      <c r="H210" t="s">
        <v>11</v>
      </c>
      <c r="I210" s="2">
        <v>45992</v>
      </c>
      <c r="J210">
        <v>6</v>
      </c>
      <c r="K210" t="s">
        <v>10</v>
      </c>
      <c r="L210">
        <v>271</v>
      </c>
      <c r="M210" t="s">
        <v>13</v>
      </c>
    </row>
    <row r="211" spans="2:13" x14ac:dyDescent="0.35">
      <c r="B211" s="4">
        <v>256779415385</v>
      </c>
      <c r="C211" s="3">
        <v>45937</v>
      </c>
      <c r="D211" s="1">
        <v>0</v>
      </c>
      <c r="E211" s="1">
        <v>-0.36</v>
      </c>
      <c r="F211" t="s">
        <v>15</v>
      </c>
      <c r="G211" s="3">
        <v>45908</v>
      </c>
      <c r="H211" t="s">
        <v>11</v>
      </c>
      <c r="I211" s="2">
        <v>45992</v>
      </c>
      <c r="J211">
        <v>8</v>
      </c>
      <c r="K211" t="s">
        <v>10</v>
      </c>
      <c r="L211">
        <v>271</v>
      </c>
      <c r="M211" t="s">
        <v>13</v>
      </c>
    </row>
    <row r="212" spans="2:13" x14ac:dyDescent="0.35">
      <c r="B212" s="4">
        <v>256779415293</v>
      </c>
      <c r="C212" s="3">
        <v>45937</v>
      </c>
      <c r="D212" s="1">
        <v>0</v>
      </c>
      <c r="E212" s="1">
        <v>-0.36</v>
      </c>
      <c r="F212" t="s">
        <v>15</v>
      </c>
      <c r="G212" s="3">
        <v>45908</v>
      </c>
      <c r="H212" t="s">
        <v>11</v>
      </c>
      <c r="I212" s="2">
        <v>45992</v>
      </c>
      <c r="J212">
        <v>10</v>
      </c>
      <c r="K212" t="s">
        <v>10</v>
      </c>
      <c r="L212">
        <v>271</v>
      </c>
      <c r="M212" t="s">
        <v>13</v>
      </c>
    </row>
    <row r="213" spans="2:13" x14ac:dyDescent="0.35">
      <c r="B213" s="4">
        <v>256779415374</v>
      </c>
      <c r="C213" s="3">
        <v>45937</v>
      </c>
      <c r="D213" s="1">
        <v>0</v>
      </c>
      <c r="E213" s="1">
        <v>-6.91</v>
      </c>
      <c r="F213" t="s">
        <v>15</v>
      </c>
      <c r="G213" s="3">
        <v>45908</v>
      </c>
      <c r="H213" t="s">
        <v>11</v>
      </c>
      <c r="I213" s="2">
        <v>45992</v>
      </c>
      <c r="J213">
        <v>12</v>
      </c>
      <c r="K213" t="s">
        <v>10</v>
      </c>
      <c r="L213">
        <v>271</v>
      </c>
      <c r="M213" t="s">
        <v>13</v>
      </c>
    </row>
    <row r="214" spans="2:13" x14ac:dyDescent="0.35">
      <c r="B214" s="4">
        <v>256779415339</v>
      </c>
      <c r="C214" s="3">
        <v>45937</v>
      </c>
      <c r="D214" s="1">
        <v>0</v>
      </c>
      <c r="E214" s="1">
        <v>-19.760000000000002</v>
      </c>
      <c r="F214" t="s">
        <v>15</v>
      </c>
      <c r="G214" s="3">
        <v>45908</v>
      </c>
      <c r="H214" t="s">
        <v>11</v>
      </c>
      <c r="I214" s="2">
        <v>45992</v>
      </c>
      <c r="J214">
        <v>14</v>
      </c>
      <c r="K214" t="s">
        <v>10</v>
      </c>
      <c r="L214">
        <v>271</v>
      </c>
      <c r="M214" t="s">
        <v>13</v>
      </c>
    </row>
    <row r="215" spans="2:13" x14ac:dyDescent="0.35">
      <c r="B215" s="4">
        <v>256779415308</v>
      </c>
      <c r="C215" s="3">
        <v>45937</v>
      </c>
      <c r="D215" s="1">
        <v>0</v>
      </c>
      <c r="E215" s="1">
        <v>-21.64</v>
      </c>
      <c r="F215" t="s">
        <v>15</v>
      </c>
      <c r="G215" s="3">
        <v>45908</v>
      </c>
      <c r="H215" t="s">
        <v>11</v>
      </c>
      <c r="I215" s="2">
        <v>45992</v>
      </c>
      <c r="J215">
        <v>18</v>
      </c>
      <c r="K215" t="s">
        <v>10</v>
      </c>
      <c r="L215">
        <v>271</v>
      </c>
      <c r="M215" t="s">
        <v>13</v>
      </c>
    </row>
    <row r="216" spans="2:13" x14ac:dyDescent="0.35">
      <c r="B216" s="4">
        <v>256779415305</v>
      </c>
      <c r="C216" s="3">
        <v>45937</v>
      </c>
      <c r="D216" s="1">
        <v>0</v>
      </c>
      <c r="E216" s="1">
        <v>-21.64</v>
      </c>
      <c r="F216" t="s">
        <v>15</v>
      </c>
      <c r="G216" s="3">
        <v>45908</v>
      </c>
      <c r="H216" t="s">
        <v>11</v>
      </c>
      <c r="I216" s="2">
        <v>45992</v>
      </c>
      <c r="J216">
        <v>20</v>
      </c>
      <c r="K216" t="s">
        <v>10</v>
      </c>
      <c r="L216">
        <v>271</v>
      </c>
      <c r="M216" t="s">
        <v>13</v>
      </c>
    </row>
    <row r="217" spans="2:13" x14ac:dyDescent="0.35">
      <c r="B217" s="4">
        <v>256779415306</v>
      </c>
      <c r="C217" s="3">
        <v>45937</v>
      </c>
      <c r="D217" s="1">
        <v>0</v>
      </c>
      <c r="E217" s="1">
        <v>-21.64</v>
      </c>
      <c r="F217" t="s">
        <v>15</v>
      </c>
      <c r="G217" s="3">
        <v>45908</v>
      </c>
      <c r="H217" t="s">
        <v>11</v>
      </c>
      <c r="I217" s="2">
        <v>45992</v>
      </c>
      <c r="J217">
        <v>22</v>
      </c>
      <c r="K217" t="s">
        <v>10</v>
      </c>
      <c r="L217">
        <v>271</v>
      </c>
      <c r="M217" t="s">
        <v>13</v>
      </c>
    </row>
    <row r="218" spans="2:13" x14ac:dyDescent="0.35">
      <c r="B218" s="4">
        <v>256779415307</v>
      </c>
      <c r="C218" s="3">
        <v>45937</v>
      </c>
      <c r="D218" s="1">
        <v>0</v>
      </c>
      <c r="E218" s="1">
        <v>-21.64</v>
      </c>
      <c r="F218" t="s">
        <v>15</v>
      </c>
      <c r="G218" s="3">
        <v>45908</v>
      </c>
      <c r="H218" t="s">
        <v>11</v>
      </c>
      <c r="I218" s="2">
        <v>45992</v>
      </c>
      <c r="J218">
        <v>24</v>
      </c>
      <c r="K218" t="s">
        <v>10</v>
      </c>
      <c r="L218">
        <v>271</v>
      </c>
      <c r="M218" t="s">
        <v>13</v>
      </c>
    </row>
    <row r="219" spans="2:13" x14ac:dyDescent="0.35">
      <c r="B219" s="4">
        <v>256779415291</v>
      </c>
      <c r="C219" s="3">
        <v>45937</v>
      </c>
      <c r="D219" s="1">
        <v>0</v>
      </c>
      <c r="E219" s="1">
        <v>-0.36</v>
      </c>
      <c r="F219" t="s">
        <v>15</v>
      </c>
      <c r="G219" s="3">
        <v>45908</v>
      </c>
      <c r="H219" t="s">
        <v>11</v>
      </c>
      <c r="I219" s="2">
        <v>45992</v>
      </c>
      <c r="J219">
        <v>26</v>
      </c>
      <c r="K219" t="s">
        <v>10</v>
      </c>
      <c r="L219">
        <v>271</v>
      </c>
      <c r="M219" t="s">
        <v>13</v>
      </c>
    </row>
    <row r="220" spans="2:13" x14ac:dyDescent="0.35">
      <c r="B220" s="4">
        <v>256779415332</v>
      </c>
      <c r="C220" s="3">
        <v>45937</v>
      </c>
      <c r="D220" s="1">
        <v>0</v>
      </c>
      <c r="E220" s="1">
        <v>-3.47</v>
      </c>
      <c r="F220" t="s">
        <v>15</v>
      </c>
      <c r="G220" s="3">
        <v>45908</v>
      </c>
      <c r="H220" t="s">
        <v>11</v>
      </c>
      <c r="I220" s="2">
        <v>45992</v>
      </c>
      <c r="J220">
        <v>78</v>
      </c>
      <c r="K220" t="s">
        <v>10</v>
      </c>
      <c r="L220">
        <v>271</v>
      </c>
      <c r="M220" t="s">
        <v>13</v>
      </c>
    </row>
    <row r="221" spans="2:13" x14ac:dyDescent="0.35">
      <c r="B221" s="4">
        <v>256779415328</v>
      </c>
      <c r="C221" s="3">
        <v>45937</v>
      </c>
      <c r="D221" s="1">
        <v>0</v>
      </c>
      <c r="E221" s="1">
        <v>-31.32</v>
      </c>
      <c r="F221" t="s">
        <v>15</v>
      </c>
      <c r="G221" s="3">
        <v>45908</v>
      </c>
      <c r="H221" t="s">
        <v>11</v>
      </c>
      <c r="I221" s="2">
        <v>45992</v>
      </c>
      <c r="J221">
        <v>80</v>
      </c>
      <c r="K221" t="s">
        <v>10</v>
      </c>
      <c r="L221">
        <v>271</v>
      </c>
      <c r="M221" t="s">
        <v>13</v>
      </c>
    </row>
    <row r="222" spans="2:13" x14ac:dyDescent="0.35">
      <c r="B222" s="4">
        <v>256779415303</v>
      </c>
      <c r="C222" s="3">
        <v>45937</v>
      </c>
      <c r="D222" s="1">
        <v>0</v>
      </c>
      <c r="E222" s="1">
        <v>-170.52</v>
      </c>
      <c r="F222" t="s">
        <v>15</v>
      </c>
      <c r="G222" s="3">
        <v>45908</v>
      </c>
      <c r="H222" t="s">
        <v>11</v>
      </c>
      <c r="I222" s="2">
        <v>46023</v>
      </c>
      <c r="J222">
        <v>4</v>
      </c>
      <c r="K222" t="s">
        <v>45</v>
      </c>
      <c r="L222">
        <v>271</v>
      </c>
      <c r="M222" t="s">
        <v>13</v>
      </c>
    </row>
    <row r="223" spans="2:13" x14ac:dyDescent="0.35">
      <c r="B223" s="4">
        <v>256779415304</v>
      </c>
      <c r="C223" s="3">
        <v>45937</v>
      </c>
      <c r="D223" s="1">
        <v>0</v>
      </c>
      <c r="E223" s="1">
        <v>-51.15</v>
      </c>
      <c r="F223" t="s">
        <v>15</v>
      </c>
      <c r="G223" s="3">
        <v>45908</v>
      </c>
      <c r="H223" t="s">
        <v>11</v>
      </c>
      <c r="I223" s="2">
        <v>46023</v>
      </c>
      <c r="J223">
        <v>6</v>
      </c>
      <c r="K223" t="s">
        <v>45</v>
      </c>
      <c r="L223">
        <v>271</v>
      </c>
      <c r="M223" t="s">
        <v>13</v>
      </c>
    </row>
    <row r="224" spans="2:13" x14ac:dyDescent="0.35">
      <c r="B224" s="4">
        <v>256779415385</v>
      </c>
      <c r="C224" s="3">
        <v>45937</v>
      </c>
      <c r="D224" s="1">
        <v>0</v>
      </c>
      <c r="E224" s="1">
        <v>-0.83</v>
      </c>
      <c r="F224" t="s">
        <v>15</v>
      </c>
      <c r="G224" s="3">
        <v>45908</v>
      </c>
      <c r="H224" t="s">
        <v>11</v>
      </c>
      <c r="I224" s="2">
        <v>46023</v>
      </c>
      <c r="J224">
        <v>8</v>
      </c>
      <c r="K224" t="s">
        <v>45</v>
      </c>
      <c r="L224">
        <v>271</v>
      </c>
      <c r="M224" t="s">
        <v>13</v>
      </c>
    </row>
    <row r="225" spans="2:13" x14ac:dyDescent="0.35">
      <c r="B225" s="4">
        <v>256779415293</v>
      </c>
      <c r="C225" s="3">
        <v>45937</v>
      </c>
      <c r="D225" s="1">
        <v>0</v>
      </c>
      <c r="E225" s="1">
        <v>-0.83</v>
      </c>
      <c r="F225" t="s">
        <v>15</v>
      </c>
      <c r="G225" s="3">
        <v>45908</v>
      </c>
      <c r="H225" t="s">
        <v>11</v>
      </c>
      <c r="I225" s="2">
        <v>46023</v>
      </c>
      <c r="J225">
        <v>10</v>
      </c>
      <c r="K225" t="s">
        <v>45</v>
      </c>
      <c r="L225">
        <v>271</v>
      </c>
      <c r="M225" t="s">
        <v>13</v>
      </c>
    </row>
    <row r="226" spans="2:13" x14ac:dyDescent="0.35">
      <c r="B226" s="4">
        <v>256779415374</v>
      </c>
      <c r="C226" s="3">
        <v>45937</v>
      </c>
      <c r="D226" s="1">
        <v>0</v>
      </c>
      <c r="E226" s="1">
        <v>-16.34</v>
      </c>
      <c r="F226" t="s">
        <v>15</v>
      </c>
      <c r="G226" s="3">
        <v>45908</v>
      </c>
      <c r="H226" t="s">
        <v>11</v>
      </c>
      <c r="I226" s="2">
        <v>46023</v>
      </c>
      <c r="J226">
        <v>12</v>
      </c>
      <c r="K226" t="s">
        <v>45</v>
      </c>
      <c r="L226">
        <v>271</v>
      </c>
      <c r="M226" t="s">
        <v>13</v>
      </c>
    </row>
    <row r="227" spans="2:13" x14ac:dyDescent="0.35">
      <c r="B227" s="4">
        <v>256779415339</v>
      </c>
      <c r="C227" s="3">
        <v>45937</v>
      </c>
      <c r="D227" s="1">
        <v>0</v>
      </c>
      <c r="E227" s="1">
        <v>-46.7</v>
      </c>
      <c r="F227" t="s">
        <v>15</v>
      </c>
      <c r="G227" s="3">
        <v>45908</v>
      </c>
      <c r="H227" t="s">
        <v>11</v>
      </c>
      <c r="I227" s="2">
        <v>46023</v>
      </c>
      <c r="J227">
        <v>14</v>
      </c>
      <c r="K227" t="s">
        <v>45</v>
      </c>
      <c r="L227">
        <v>271</v>
      </c>
      <c r="M227" t="s">
        <v>13</v>
      </c>
    </row>
    <row r="228" spans="2:13" x14ac:dyDescent="0.35">
      <c r="B228" s="4">
        <v>256779415308</v>
      </c>
      <c r="C228" s="3">
        <v>45937</v>
      </c>
      <c r="D228" s="1">
        <v>0</v>
      </c>
      <c r="E228" s="1">
        <v>-51.15</v>
      </c>
      <c r="F228" t="s">
        <v>15</v>
      </c>
      <c r="G228" s="3">
        <v>45908</v>
      </c>
      <c r="H228" t="s">
        <v>11</v>
      </c>
      <c r="I228" s="2">
        <v>46023</v>
      </c>
      <c r="J228">
        <v>18</v>
      </c>
      <c r="K228" t="s">
        <v>45</v>
      </c>
      <c r="L228">
        <v>271</v>
      </c>
      <c r="M228" t="s">
        <v>13</v>
      </c>
    </row>
    <row r="229" spans="2:13" x14ac:dyDescent="0.35">
      <c r="B229" s="4">
        <v>256779415305</v>
      </c>
      <c r="C229" s="3">
        <v>45937</v>
      </c>
      <c r="D229" s="1">
        <v>0</v>
      </c>
      <c r="E229" s="1">
        <v>-51.15</v>
      </c>
      <c r="F229" t="s">
        <v>15</v>
      </c>
      <c r="G229" s="3">
        <v>45908</v>
      </c>
      <c r="H229" t="s">
        <v>11</v>
      </c>
      <c r="I229" s="2">
        <v>46023</v>
      </c>
      <c r="J229">
        <v>20</v>
      </c>
      <c r="K229" t="s">
        <v>45</v>
      </c>
      <c r="L229">
        <v>271</v>
      </c>
      <c r="M229" t="s">
        <v>13</v>
      </c>
    </row>
    <row r="230" spans="2:13" x14ac:dyDescent="0.35">
      <c r="B230" s="4">
        <v>256779415306</v>
      </c>
      <c r="C230" s="3">
        <v>45937</v>
      </c>
      <c r="D230" s="1">
        <v>0</v>
      </c>
      <c r="E230" s="1">
        <v>-51.15</v>
      </c>
      <c r="F230" t="s">
        <v>15</v>
      </c>
      <c r="G230" s="3">
        <v>45908</v>
      </c>
      <c r="H230" t="s">
        <v>11</v>
      </c>
      <c r="I230" s="2">
        <v>46023</v>
      </c>
      <c r="J230">
        <v>22</v>
      </c>
      <c r="K230" t="s">
        <v>45</v>
      </c>
      <c r="L230">
        <v>271</v>
      </c>
      <c r="M230" t="s">
        <v>13</v>
      </c>
    </row>
    <row r="231" spans="2:13" x14ac:dyDescent="0.35">
      <c r="B231" s="4">
        <v>256779415307</v>
      </c>
      <c r="C231" s="3">
        <v>45937</v>
      </c>
      <c r="D231" s="1">
        <v>0</v>
      </c>
      <c r="E231" s="1">
        <v>-51.15</v>
      </c>
      <c r="F231" t="s">
        <v>15</v>
      </c>
      <c r="G231" s="3">
        <v>45908</v>
      </c>
      <c r="H231" t="s">
        <v>11</v>
      </c>
      <c r="I231" s="2">
        <v>46023</v>
      </c>
      <c r="J231">
        <v>24</v>
      </c>
      <c r="K231" t="s">
        <v>45</v>
      </c>
      <c r="L231">
        <v>271</v>
      </c>
      <c r="M231" t="s">
        <v>13</v>
      </c>
    </row>
    <row r="232" spans="2:13" x14ac:dyDescent="0.35">
      <c r="B232" s="4">
        <v>256779415291</v>
      </c>
      <c r="C232" s="3">
        <v>45937</v>
      </c>
      <c r="D232" s="1">
        <v>0</v>
      </c>
      <c r="E232" s="1">
        <v>-0.83</v>
      </c>
      <c r="F232" t="s">
        <v>15</v>
      </c>
      <c r="G232" s="3">
        <v>45908</v>
      </c>
      <c r="H232" t="s">
        <v>11</v>
      </c>
      <c r="I232" s="2">
        <v>46023</v>
      </c>
      <c r="J232">
        <v>26</v>
      </c>
      <c r="K232" t="s">
        <v>45</v>
      </c>
      <c r="L232">
        <v>271</v>
      </c>
      <c r="M232" t="s">
        <v>13</v>
      </c>
    </row>
    <row r="233" spans="2:13" x14ac:dyDescent="0.35">
      <c r="B233" s="4">
        <v>256779415321</v>
      </c>
      <c r="C233" s="3">
        <v>45937</v>
      </c>
      <c r="D233" s="1">
        <v>0</v>
      </c>
      <c r="E233" s="1">
        <v>-658.22</v>
      </c>
      <c r="F233" t="s">
        <v>15</v>
      </c>
      <c r="G233" s="3">
        <v>45908</v>
      </c>
      <c r="H233" t="s">
        <v>11</v>
      </c>
      <c r="I233" s="2">
        <v>46023</v>
      </c>
      <c r="J233">
        <v>54</v>
      </c>
      <c r="K233" t="s">
        <v>45</v>
      </c>
      <c r="L233">
        <v>271</v>
      </c>
      <c r="M233" t="s">
        <v>13</v>
      </c>
    </row>
    <row r="234" spans="2:13" x14ac:dyDescent="0.35">
      <c r="B234" s="4">
        <v>256779414358</v>
      </c>
      <c r="C234" s="3">
        <v>45936</v>
      </c>
      <c r="D234" s="1">
        <v>0</v>
      </c>
      <c r="E234" s="1">
        <v>-15054.92</v>
      </c>
      <c r="F234" t="s">
        <v>15</v>
      </c>
      <c r="G234" s="3">
        <v>45937</v>
      </c>
      <c r="H234" t="s">
        <v>11</v>
      </c>
      <c r="I234" s="2">
        <v>46023</v>
      </c>
      <c r="J234">
        <v>58</v>
      </c>
      <c r="K234" t="s">
        <v>45</v>
      </c>
      <c r="L234">
        <v>271</v>
      </c>
      <c r="M234" t="s">
        <v>13</v>
      </c>
    </row>
    <row r="235" spans="2:13" x14ac:dyDescent="0.35">
      <c r="B235" s="4">
        <v>256779414359</v>
      </c>
      <c r="C235" s="3">
        <v>45936</v>
      </c>
      <c r="D235" s="1">
        <v>0</v>
      </c>
      <c r="E235" s="1">
        <v>-602.22</v>
      </c>
      <c r="F235" t="s">
        <v>15</v>
      </c>
      <c r="G235" s="3">
        <v>45937</v>
      </c>
      <c r="H235" t="s">
        <v>11</v>
      </c>
      <c r="I235" s="2">
        <v>46023</v>
      </c>
      <c r="J235">
        <v>60</v>
      </c>
      <c r="K235" t="s">
        <v>45</v>
      </c>
      <c r="L235">
        <v>271</v>
      </c>
      <c r="M235" t="s">
        <v>13</v>
      </c>
    </row>
    <row r="236" spans="2:13" x14ac:dyDescent="0.35">
      <c r="B236" s="4">
        <v>256779414360</v>
      </c>
      <c r="C236" s="3">
        <v>45936</v>
      </c>
      <c r="D236" s="1">
        <v>0</v>
      </c>
      <c r="E236" s="1">
        <v>-331.22</v>
      </c>
      <c r="F236" t="s">
        <v>15</v>
      </c>
      <c r="G236" s="3">
        <v>45937</v>
      </c>
      <c r="H236" t="s">
        <v>11</v>
      </c>
      <c r="I236" s="2">
        <v>46023</v>
      </c>
      <c r="J236">
        <v>66</v>
      </c>
      <c r="K236" t="s">
        <v>45</v>
      </c>
      <c r="L236">
        <v>271</v>
      </c>
      <c r="M236" t="s">
        <v>13</v>
      </c>
    </row>
    <row r="237" spans="2:13" x14ac:dyDescent="0.35">
      <c r="B237" s="4">
        <v>256779413240</v>
      </c>
      <c r="C237" s="3">
        <v>45935</v>
      </c>
      <c r="D237" s="1">
        <v>0</v>
      </c>
      <c r="E237" s="1">
        <v>-1570.91</v>
      </c>
      <c r="F237" t="s">
        <v>15</v>
      </c>
      <c r="G237" s="3">
        <v>45906</v>
      </c>
      <c r="H237" t="s">
        <v>11</v>
      </c>
      <c r="I237" s="2">
        <v>45962</v>
      </c>
      <c r="J237">
        <v>56</v>
      </c>
      <c r="K237" t="s">
        <v>12</v>
      </c>
      <c r="L237">
        <v>271</v>
      </c>
      <c r="M237" t="s">
        <v>13</v>
      </c>
    </row>
    <row r="238" spans="2:13" x14ac:dyDescent="0.35">
      <c r="B238" s="4">
        <v>256779413250</v>
      </c>
      <c r="C238" s="3">
        <v>45935</v>
      </c>
      <c r="D238" s="1">
        <v>0</v>
      </c>
      <c r="E238" s="1">
        <v>-1568.11</v>
      </c>
      <c r="F238" t="s">
        <v>15</v>
      </c>
      <c r="G238" s="3">
        <v>45906</v>
      </c>
      <c r="H238" t="s">
        <v>11</v>
      </c>
      <c r="I238" s="2">
        <v>45962</v>
      </c>
      <c r="J238">
        <v>64</v>
      </c>
      <c r="K238" t="s">
        <v>12</v>
      </c>
      <c r="L238">
        <v>271</v>
      </c>
      <c r="M238" t="s">
        <v>13</v>
      </c>
    </row>
    <row r="239" spans="2:13" x14ac:dyDescent="0.35">
      <c r="B239" s="4">
        <v>256779419995</v>
      </c>
      <c r="C239" s="3">
        <v>45912</v>
      </c>
      <c r="D239" s="1">
        <v>0</v>
      </c>
      <c r="E239" s="1">
        <v>-454.22</v>
      </c>
      <c r="F239" t="s">
        <v>15</v>
      </c>
      <c r="G239" s="3">
        <v>46235</v>
      </c>
      <c r="H239" t="s">
        <v>11</v>
      </c>
      <c r="I239" s="2">
        <v>46023</v>
      </c>
      <c r="J239">
        <v>70</v>
      </c>
      <c r="K239" t="s">
        <v>45</v>
      </c>
      <c r="L239">
        <v>271</v>
      </c>
      <c r="M239" t="s">
        <v>13</v>
      </c>
    </row>
    <row r="240" spans="2:13" x14ac:dyDescent="0.35">
      <c r="B240" s="4">
        <v>256779419858</v>
      </c>
      <c r="C240" s="3">
        <v>45881</v>
      </c>
      <c r="D240" s="1">
        <v>0</v>
      </c>
      <c r="E240" s="1">
        <v>-290.25</v>
      </c>
      <c r="F240" t="s">
        <v>15</v>
      </c>
      <c r="G240" s="3">
        <v>46204</v>
      </c>
      <c r="H240" t="s">
        <v>11</v>
      </c>
      <c r="I240" s="2">
        <v>46023</v>
      </c>
      <c r="J240">
        <v>72</v>
      </c>
      <c r="K240" t="s">
        <v>45</v>
      </c>
      <c r="L240">
        <v>271</v>
      </c>
      <c r="M240" t="s">
        <v>13</v>
      </c>
    </row>
    <row r="241" spans="2:13" x14ac:dyDescent="0.35">
      <c r="B241" s="4">
        <v>256779419858</v>
      </c>
      <c r="C241" s="3">
        <v>45881</v>
      </c>
      <c r="D241" s="1">
        <v>0</v>
      </c>
      <c r="E241" s="1">
        <v>-67.33</v>
      </c>
      <c r="F241" t="s">
        <v>15</v>
      </c>
      <c r="G241" s="3">
        <v>46204</v>
      </c>
      <c r="H241" t="s">
        <v>11</v>
      </c>
      <c r="I241" s="2">
        <v>46023</v>
      </c>
      <c r="J241">
        <v>74</v>
      </c>
      <c r="K241" t="s">
        <v>45</v>
      </c>
      <c r="L241">
        <v>271</v>
      </c>
      <c r="M241" t="s">
        <v>13</v>
      </c>
    </row>
    <row r="242" spans="2:13" x14ac:dyDescent="0.35">
      <c r="B242" s="4">
        <v>256779416255</v>
      </c>
      <c r="C242" s="3">
        <v>45877</v>
      </c>
      <c r="D242" s="1">
        <v>0</v>
      </c>
      <c r="E242" s="1">
        <v>-622.98</v>
      </c>
      <c r="F242" t="s">
        <v>15</v>
      </c>
      <c r="G242" s="3">
        <v>45847</v>
      </c>
      <c r="H242" t="s">
        <v>11</v>
      </c>
      <c r="I242" s="2">
        <v>45931</v>
      </c>
      <c r="J242">
        <v>102</v>
      </c>
      <c r="K242" t="s">
        <v>19</v>
      </c>
      <c r="L242">
        <v>271</v>
      </c>
      <c r="M242" t="s">
        <v>13</v>
      </c>
    </row>
    <row r="243" spans="2:13" x14ac:dyDescent="0.35">
      <c r="B243" s="4">
        <v>256779416169</v>
      </c>
      <c r="C243" s="3">
        <v>45877</v>
      </c>
      <c r="D243" s="1">
        <v>0</v>
      </c>
      <c r="E243" s="1">
        <v>-408.43</v>
      </c>
      <c r="F243" t="s">
        <v>15</v>
      </c>
      <c r="G243" s="3">
        <v>45847</v>
      </c>
      <c r="H243" t="s">
        <v>11</v>
      </c>
      <c r="I243" s="2">
        <v>45931</v>
      </c>
      <c r="J243">
        <v>104</v>
      </c>
      <c r="K243" t="s">
        <v>19</v>
      </c>
      <c r="L243">
        <v>271</v>
      </c>
      <c r="M243" t="s">
        <v>13</v>
      </c>
    </row>
    <row r="244" spans="2:13" x14ac:dyDescent="0.35">
      <c r="B244" s="4">
        <v>256779416442</v>
      </c>
      <c r="C244" s="3">
        <v>45877</v>
      </c>
      <c r="D244" s="1">
        <v>0</v>
      </c>
      <c r="E244" s="1">
        <v>-1673.46</v>
      </c>
      <c r="F244" t="s">
        <v>15</v>
      </c>
      <c r="G244" s="3">
        <v>45847</v>
      </c>
      <c r="H244" t="s">
        <v>11</v>
      </c>
      <c r="I244" s="2">
        <v>45931</v>
      </c>
      <c r="J244">
        <v>106</v>
      </c>
      <c r="K244" t="s">
        <v>19</v>
      </c>
      <c r="L244">
        <v>271</v>
      </c>
      <c r="M244" t="s">
        <v>13</v>
      </c>
    </row>
    <row r="245" spans="2:13" x14ac:dyDescent="0.35">
      <c r="B245" s="4">
        <v>256779416214</v>
      </c>
      <c r="C245" s="3">
        <v>45877</v>
      </c>
      <c r="D245" s="1">
        <v>0</v>
      </c>
      <c r="E245" s="1">
        <v>-336.91</v>
      </c>
      <c r="F245" t="s">
        <v>15</v>
      </c>
      <c r="G245" s="3">
        <v>45847</v>
      </c>
      <c r="H245" t="s">
        <v>11</v>
      </c>
      <c r="I245" s="2">
        <v>45931</v>
      </c>
      <c r="J245">
        <v>108</v>
      </c>
      <c r="K245" t="s">
        <v>19</v>
      </c>
      <c r="L245">
        <v>271</v>
      </c>
      <c r="M245" t="s">
        <v>13</v>
      </c>
    </row>
    <row r="246" spans="2:13" x14ac:dyDescent="0.35">
      <c r="B246" s="4">
        <v>256779416454</v>
      </c>
      <c r="C246" s="3">
        <v>45877</v>
      </c>
      <c r="D246" s="1">
        <v>0</v>
      </c>
      <c r="E246" s="1">
        <v>-653.17999999999995</v>
      </c>
      <c r="F246" t="s">
        <v>15</v>
      </c>
      <c r="G246" s="3">
        <v>45847</v>
      </c>
      <c r="H246" t="s">
        <v>11</v>
      </c>
      <c r="I246" s="2">
        <v>45931</v>
      </c>
      <c r="J246">
        <v>110</v>
      </c>
      <c r="K246" t="s">
        <v>19</v>
      </c>
      <c r="L246">
        <v>271</v>
      </c>
      <c r="M246" t="s">
        <v>13</v>
      </c>
    </row>
    <row r="247" spans="2:13" x14ac:dyDescent="0.35">
      <c r="B247" s="4">
        <v>256779416096</v>
      </c>
      <c r="C247" s="3">
        <v>45877</v>
      </c>
      <c r="D247" s="1">
        <v>0</v>
      </c>
      <c r="E247" s="1">
        <v>-11738.6</v>
      </c>
      <c r="F247" t="s">
        <v>15</v>
      </c>
      <c r="G247" s="3">
        <v>45847</v>
      </c>
      <c r="H247" t="s">
        <v>11</v>
      </c>
      <c r="I247" s="2">
        <v>45931</v>
      </c>
      <c r="J247">
        <v>112</v>
      </c>
      <c r="K247" t="s">
        <v>19</v>
      </c>
      <c r="L247">
        <v>271</v>
      </c>
      <c r="M247" t="s">
        <v>13</v>
      </c>
    </row>
    <row r="248" spans="2:13" x14ac:dyDescent="0.35">
      <c r="B248" s="4">
        <v>256779416255</v>
      </c>
      <c r="C248" s="3">
        <v>45877</v>
      </c>
      <c r="D248" s="1">
        <v>0</v>
      </c>
      <c r="E248" s="1">
        <v>-346.59</v>
      </c>
      <c r="F248" t="s">
        <v>15</v>
      </c>
      <c r="G248" s="3">
        <v>45847</v>
      </c>
      <c r="H248" t="s">
        <v>11</v>
      </c>
      <c r="I248" s="2">
        <v>45962</v>
      </c>
      <c r="J248">
        <v>32</v>
      </c>
      <c r="K248" t="s">
        <v>12</v>
      </c>
      <c r="L248">
        <v>271</v>
      </c>
      <c r="M248" t="s">
        <v>13</v>
      </c>
    </row>
    <row r="249" spans="2:13" x14ac:dyDescent="0.35">
      <c r="B249" s="4">
        <v>256779416169</v>
      </c>
      <c r="C249" s="3">
        <v>45877</v>
      </c>
      <c r="D249" s="1">
        <v>0</v>
      </c>
      <c r="E249" s="1">
        <v>-227.23</v>
      </c>
      <c r="F249" t="s">
        <v>15</v>
      </c>
      <c r="G249" s="3">
        <v>45847</v>
      </c>
      <c r="H249" t="s">
        <v>11</v>
      </c>
      <c r="I249" s="2">
        <v>45962</v>
      </c>
      <c r="J249">
        <v>34</v>
      </c>
      <c r="K249" t="s">
        <v>12</v>
      </c>
      <c r="L249">
        <v>271</v>
      </c>
      <c r="M249" t="s">
        <v>13</v>
      </c>
    </row>
    <row r="250" spans="2:13" x14ac:dyDescent="0.35">
      <c r="B250" s="4">
        <v>256779416442</v>
      </c>
      <c r="C250" s="3">
        <v>45877</v>
      </c>
      <c r="D250" s="1">
        <v>0</v>
      </c>
      <c r="E250" s="1">
        <v>-931.02</v>
      </c>
      <c r="F250" t="s">
        <v>15</v>
      </c>
      <c r="G250" s="3">
        <v>45847</v>
      </c>
      <c r="H250" t="s">
        <v>11</v>
      </c>
      <c r="I250" s="2">
        <v>45962</v>
      </c>
      <c r="J250">
        <v>36</v>
      </c>
      <c r="K250" t="s">
        <v>12</v>
      </c>
      <c r="L250">
        <v>271</v>
      </c>
      <c r="M250" t="s">
        <v>13</v>
      </c>
    </row>
    <row r="251" spans="2:13" x14ac:dyDescent="0.35">
      <c r="B251" s="4">
        <v>256779416214</v>
      </c>
      <c r="C251" s="3">
        <v>45877</v>
      </c>
      <c r="D251" s="1">
        <v>0</v>
      </c>
      <c r="E251" s="1">
        <v>-187.45</v>
      </c>
      <c r="F251" t="s">
        <v>15</v>
      </c>
      <c r="G251" s="3">
        <v>45847</v>
      </c>
      <c r="H251" t="s">
        <v>11</v>
      </c>
      <c r="I251" s="2">
        <v>45962</v>
      </c>
      <c r="J251">
        <v>38</v>
      </c>
      <c r="K251" t="s">
        <v>12</v>
      </c>
      <c r="L251">
        <v>271</v>
      </c>
      <c r="M251" t="s">
        <v>13</v>
      </c>
    </row>
    <row r="252" spans="2:13" x14ac:dyDescent="0.35">
      <c r="B252" s="4">
        <v>256779416454</v>
      </c>
      <c r="C252" s="3">
        <v>45877</v>
      </c>
      <c r="D252" s="1">
        <v>0</v>
      </c>
      <c r="E252" s="1">
        <v>-363.39</v>
      </c>
      <c r="F252" t="s">
        <v>15</v>
      </c>
      <c r="G252" s="3">
        <v>45847</v>
      </c>
      <c r="H252" t="s">
        <v>11</v>
      </c>
      <c r="I252" s="2">
        <v>45962</v>
      </c>
      <c r="J252">
        <v>40</v>
      </c>
      <c r="K252" t="s">
        <v>12</v>
      </c>
      <c r="L252">
        <v>271</v>
      </c>
      <c r="M252" t="s">
        <v>13</v>
      </c>
    </row>
    <row r="253" spans="2:13" x14ac:dyDescent="0.35">
      <c r="B253" s="4">
        <v>256779416137</v>
      </c>
      <c r="C253" s="3">
        <v>45877</v>
      </c>
      <c r="D253" s="1">
        <v>0</v>
      </c>
      <c r="E253" s="1">
        <v>-136.03</v>
      </c>
      <c r="F253" t="s">
        <v>15</v>
      </c>
      <c r="G253" s="3">
        <v>45847</v>
      </c>
      <c r="H253" t="s">
        <v>11</v>
      </c>
      <c r="I253" s="2">
        <v>45962</v>
      </c>
      <c r="J253">
        <v>50</v>
      </c>
      <c r="K253" t="s">
        <v>12</v>
      </c>
      <c r="L253">
        <v>271</v>
      </c>
      <c r="M253" t="s">
        <v>13</v>
      </c>
    </row>
    <row r="254" spans="2:13" x14ac:dyDescent="0.35">
      <c r="B254" s="4">
        <v>256779416255</v>
      </c>
      <c r="C254" s="3">
        <v>45877</v>
      </c>
      <c r="D254" s="1">
        <v>0</v>
      </c>
      <c r="E254" s="1">
        <v>-282.73</v>
      </c>
      <c r="F254" t="s">
        <v>15</v>
      </c>
      <c r="G254" s="3">
        <v>45847</v>
      </c>
      <c r="H254" t="s">
        <v>11</v>
      </c>
      <c r="I254" s="2">
        <v>45992</v>
      </c>
      <c r="J254">
        <v>32</v>
      </c>
      <c r="K254" t="s">
        <v>10</v>
      </c>
      <c r="L254">
        <v>271</v>
      </c>
      <c r="M254" t="s">
        <v>13</v>
      </c>
    </row>
    <row r="255" spans="2:13" x14ac:dyDescent="0.35">
      <c r="B255" s="4">
        <v>256779416169</v>
      </c>
      <c r="C255" s="3">
        <v>45877</v>
      </c>
      <c r="D255" s="1">
        <v>0</v>
      </c>
      <c r="E255" s="1">
        <v>-185.36</v>
      </c>
      <c r="F255" t="s">
        <v>15</v>
      </c>
      <c r="G255" s="3">
        <v>45847</v>
      </c>
      <c r="H255" t="s">
        <v>11</v>
      </c>
      <c r="I255" s="2">
        <v>45992</v>
      </c>
      <c r="J255">
        <v>34</v>
      </c>
      <c r="K255" t="s">
        <v>10</v>
      </c>
      <c r="L255">
        <v>271</v>
      </c>
      <c r="M255" t="s">
        <v>13</v>
      </c>
    </row>
    <row r="256" spans="2:13" x14ac:dyDescent="0.35">
      <c r="B256" s="4">
        <v>256779416442</v>
      </c>
      <c r="C256" s="3">
        <v>45877</v>
      </c>
      <c r="D256" s="1">
        <v>0</v>
      </c>
      <c r="E256" s="1">
        <v>-759.48</v>
      </c>
      <c r="F256" t="s">
        <v>15</v>
      </c>
      <c r="G256" s="3">
        <v>45847</v>
      </c>
      <c r="H256" t="s">
        <v>11</v>
      </c>
      <c r="I256" s="2">
        <v>45992</v>
      </c>
      <c r="J256">
        <v>36</v>
      </c>
      <c r="K256" t="s">
        <v>10</v>
      </c>
      <c r="L256">
        <v>271</v>
      </c>
      <c r="M256" t="s">
        <v>13</v>
      </c>
    </row>
    <row r="257" spans="2:13" x14ac:dyDescent="0.35">
      <c r="B257" s="4">
        <v>256779416214</v>
      </c>
      <c r="C257" s="3">
        <v>45877</v>
      </c>
      <c r="D257" s="1">
        <v>0</v>
      </c>
      <c r="E257" s="1">
        <v>-152.9</v>
      </c>
      <c r="F257" t="s">
        <v>15</v>
      </c>
      <c r="G257" s="3">
        <v>45847</v>
      </c>
      <c r="H257" t="s">
        <v>11</v>
      </c>
      <c r="I257" s="2">
        <v>45992</v>
      </c>
      <c r="J257">
        <v>38</v>
      </c>
      <c r="K257" t="s">
        <v>10</v>
      </c>
      <c r="L257">
        <v>271</v>
      </c>
      <c r="M257" t="s">
        <v>13</v>
      </c>
    </row>
    <row r="258" spans="2:13" x14ac:dyDescent="0.35">
      <c r="B258" s="4">
        <v>256779416454</v>
      </c>
      <c r="C258" s="3">
        <v>45877</v>
      </c>
      <c r="D258" s="1">
        <v>0</v>
      </c>
      <c r="E258" s="1">
        <v>-296.44</v>
      </c>
      <c r="F258" t="s">
        <v>15</v>
      </c>
      <c r="G258" s="3">
        <v>45847</v>
      </c>
      <c r="H258" t="s">
        <v>11</v>
      </c>
      <c r="I258" s="2">
        <v>45992</v>
      </c>
      <c r="J258">
        <v>40</v>
      </c>
      <c r="K258" t="s">
        <v>10</v>
      </c>
      <c r="L258">
        <v>271</v>
      </c>
      <c r="M258" t="s">
        <v>13</v>
      </c>
    </row>
    <row r="259" spans="2:13" x14ac:dyDescent="0.35">
      <c r="B259" s="4">
        <v>256779416137</v>
      </c>
      <c r="C259" s="3">
        <v>45877</v>
      </c>
      <c r="D259" s="1">
        <v>0</v>
      </c>
      <c r="E259" s="1">
        <v>-39.67</v>
      </c>
      <c r="F259" t="s">
        <v>15</v>
      </c>
      <c r="G259" s="3">
        <v>45847</v>
      </c>
      <c r="H259" t="s">
        <v>11</v>
      </c>
      <c r="I259" s="2">
        <v>45992</v>
      </c>
      <c r="J259">
        <v>48</v>
      </c>
      <c r="K259" t="s">
        <v>10</v>
      </c>
      <c r="L259">
        <v>271</v>
      </c>
      <c r="M259" t="s">
        <v>13</v>
      </c>
    </row>
    <row r="260" spans="2:13" x14ac:dyDescent="0.35">
      <c r="B260" s="4">
        <v>256779416255</v>
      </c>
      <c r="C260" s="3">
        <v>45877</v>
      </c>
      <c r="D260" s="1">
        <v>0</v>
      </c>
      <c r="E260" s="1">
        <v>-668.43</v>
      </c>
      <c r="F260" t="s">
        <v>15</v>
      </c>
      <c r="G260" s="3">
        <v>45847</v>
      </c>
      <c r="H260" t="s">
        <v>11</v>
      </c>
      <c r="I260" s="2">
        <v>46023</v>
      </c>
      <c r="J260">
        <v>32</v>
      </c>
      <c r="K260" t="s">
        <v>45</v>
      </c>
      <c r="L260">
        <v>271</v>
      </c>
      <c r="M260" t="s">
        <v>13</v>
      </c>
    </row>
    <row r="261" spans="2:13" x14ac:dyDescent="0.35">
      <c r="B261" s="4">
        <v>256779416169</v>
      </c>
      <c r="C261" s="3">
        <v>45877</v>
      </c>
      <c r="D261" s="1">
        <v>0</v>
      </c>
      <c r="E261" s="1">
        <v>-438.24</v>
      </c>
      <c r="F261" t="s">
        <v>15</v>
      </c>
      <c r="G261" s="3">
        <v>45847</v>
      </c>
      <c r="H261" t="s">
        <v>11</v>
      </c>
      <c r="I261" s="2">
        <v>46023</v>
      </c>
      <c r="J261">
        <v>34</v>
      </c>
      <c r="K261" t="s">
        <v>45</v>
      </c>
      <c r="L261">
        <v>271</v>
      </c>
      <c r="M261" t="s">
        <v>13</v>
      </c>
    </row>
    <row r="262" spans="2:13" x14ac:dyDescent="0.35">
      <c r="B262" s="4">
        <v>256779416442</v>
      </c>
      <c r="C262" s="3">
        <v>45877</v>
      </c>
      <c r="D262" s="1">
        <v>0</v>
      </c>
      <c r="E262" s="1">
        <v>-1795.56</v>
      </c>
      <c r="F262" t="s">
        <v>15</v>
      </c>
      <c r="G262" s="3">
        <v>45847</v>
      </c>
      <c r="H262" t="s">
        <v>11</v>
      </c>
      <c r="I262" s="2">
        <v>46023</v>
      </c>
      <c r="J262">
        <v>36</v>
      </c>
      <c r="K262" t="s">
        <v>45</v>
      </c>
      <c r="L262">
        <v>271</v>
      </c>
      <c r="M262" t="s">
        <v>13</v>
      </c>
    </row>
    <row r="263" spans="2:13" x14ac:dyDescent="0.35">
      <c r="B263" s="4">
        <v>256779416214</v>
      </c>
      <c r="C263" s="3">
        <v>45877</v>
      </c>
      <c r="D263" s="1">
        <v>0</v>
      </c>
      <c r="E263" s="1">
        <v>-361.5</v>
      </c>
      <c r="F263" t="s">
        <v>15</v>
      </c>
      <c r="G263" s="3">
        <v>45847</v>
      </c>
      <c r="H263" t="s">
        <v>11</v>
      </c>
      <c r="I263" s="2">
        <v>46023</v>
      </c>
      <c r="J263">
        <v>38</v>
      </c>
      <c r="K263" t="s">
        <v>45</v>
      </c>
      <c r="L263">
        <v>271</v>
      </c>
      <c r="M263" t="s">
        <v>13</v>
      </c>
    </row>
    <row r="264" spans="2:13" x14ac:dyDescent="0.35">
      <c r="B264" s="4">
        <v>256779416454</v>
      </c>
      <c r="C264" s="3">
        <v>45877</v>
      </c>
      <c r="D264" s="1">
        <v>0</v>
      </c>
      <c r="E264" s="1">
        <v>-700.83</v>
      </c>
      <c r="F264" t="s">
        <v>15</v>
      </c>
      <c r="G264" s="3">
        <v>45847</v>
      </c>
      <c r="H264" t="s">
        <v>11</v>
      </c>
      <c r="I264" s="2">
        <v>46023</v>
      </c>
      <c r="J264">
        <v>40</v>
      </c>
      <c r="K264" t="s">
        <v>45</v>
      </c>
      <c r="L264">
        <v>271</v>
      </c>
      <c r="M264" t="s">
        <v>13</v>
      </c>
    </row>
    <row r="265" spans="2:13" x14ac:dyDescent="0.35">
      <c r="B265" s="4">
        <v>256779416137</v>
      </c>
      <c r="C265" s="3">
        <v>45877</v>
      </c>
      <c r="D265" s="1">
        <v>0</v>
      </c>
      <c r="E265" s="1">
        <v>-93.79</v>
      </c>
      <c r="F265" t="s">
        <v>15</v>
      </c>
      <c r="G265" s="3">
        <v>45847</v>
      </c>
      <c r="H265" t="s">
        <v>11</v>
      </c>
      <c r="I265" s="2">
        <v>46023</v>
      </c>
      <c r="J265">
        <v>44</v>
      </c>
      <c r="K265" t="s">
        <v>45</v>
      </c>
      <c r="L265">
        <v>271</v>
      </c>
      <c r="M265" t="s">
        <v>13</v>
      </c>
    </row>
    <row r="266" spans="2:13" x14ac:dyDescent="0.35">
      <c r="B266" s="4">
        <v>256779419983</v>
      </c>
      <c r="C266" s="3">
        <v>45820</v>
      </c>
      <c r="D266" s="1">
        <v>0</v>
      </c>
      <c r="E266" s="1">
        <v>-134.99</v>
      </c>
      <c r="F266" t="s">
        <v>15</v>
      </c>
      <c r="G266" s="3">
        <v>46143</v>
      </c>
      <c r="H266" t="s">
        <v>11</v>
      </c>
      <c r="I266" s="2">
        <v>46023</v>
      </c>
      <c r="J266">
        <v>98</v>
      </c>
      <c r="K266" t="s">
        <v>45</v>
      </c>
      <c r="L266">
        <v>271</v>
      </c>
      <c r="M266" t="s">
        <v>13</v>
      </c>
    </row>
    <row r="267" spans="2:13" x14ac:dyDescent="0.35">
      <c r="B267" s="4">
        <v>246779410882</v>
      </c>
      <c r="C267" s="3">
        <v>45811</v>
      </c>
      <c r="D267" s="1">
        <v>0</v>
      </c>
      <c r="E267" s="1">
        <v>2303.84</v>
      </c>
      <c r="F267" t="s">
        <v>15</v>
      </c>
      <c r="G267" s="3">
        <v>45781</v>
      </c>
      <c r="H267" t="s">
        <v>11</v>
      </c>
      <c r="I267" s="2">
        <v>45809</v>
      </c>
      <c r="J267">
        <v>50</v>
      </c>
      <c r="K267" t="s">
        <v>26</v>
      </c>
      <c r="L267">
        <v>271</v>
      </c>
      <c r="M267" t="s">
        <v>13</v>
      </c>
    </row>
    <row r="268" spans="2:13" x14ac:dyDescent="0.35">
      <c r="B268" s="4">
        <v>256779419908</v>
      </c>
      <c r="C268" s="3">
        <v>45789</v>
      </c>
      <c r="D268" s="1">
        <v>0</v>
      </c>
      <c r="E268" s="1">
        <v>-912.18</v>
      </c>
      <c r="F268" t="s">
        <v>15</v>
      </c>
      <c r="G268" s="3">
        <v>46113</v>
      </c>
      <c r="H268" t="s">
        <v>11</v>
      </c>
      <c r="I268" s="2">
        <v>46023</v>
      </c>
      <c r="J268">
        <v>76</v>
      </c>
      <c r="K268" t="s">
        <v>45</v>
      </c>
      <c r="L268">
        <v>271</v>
      </c>
      <c r="M268" t="s">
        <v>13</v>
      </c>
    </row>
    <row r="269" spans="2:13" x14ac:dyDescent="0.35">
      <c r="B269" s="4">
        <v>256779419808</v>
      </c>
      <c r="C269" s="3">
        <v>45789</v>
      </c>
      <c r="D269" s="1">
        <v>0</v>
      </c>
      <c r="E269" s="1">
        <v>-67.819999999999993</v>
      </c>
      <c r="F269" t="s">
        <v>15</v>
      </c>
      <c r="G269" s="3">
        <v>46113</v>
      </c>
      <c r="H269" t="s">
        <v>11</v>
      </c>
      <c r="I269" s="2">
        <v>46023</v>
      </c>
      <c r="J269">
        <v>94</v>
      </c>
      <c r="K269" t="s">
        <v>45</v>
      </c>
      <c r="L269">
        <v>271</v>
      </c>
      <c r="M269" t="s">
        <v>13</v>
      </c>
    </row>
    <row r="270" spans="2:13" x14ac:dyDescent="0.35">
      <c r="B270" s="4">
        <v>256779419165</v>
      </c>
      <c r="C270" s="3">
        <v>45788</v>
      </c>
      <c r="D270" s="1">
        <v>0</v>
      </c>
      <c r="E270" s="1">
        <v>-307.55</v>
      </c>
      <c r="F270" t="s">
        <v>15</v>
      </c>
      <c r="G270" s="3">
        <v>45789</v>
      </c>
      <c r="H270" t="s">
        <v>11</v>
      </c>
      <c r="I270" s="2">
        <v>45992</v>
      </c>
      <c r="J270">
        <v>68</v>
      </c>
      <c r="K270" t="s">
        <v>10</v>
      </c>
      <c r="L270">
        <v>271</v>
      </c>
      <c r="M270" t="s">
        <v>13</v>
      </c>
    </row>
    <row r="271" spans="2:13" x14ac:dyDescent="0.35">
      <c r="B271" s="4">
        <v>256779419192</v>
      </c>
      <c r="C271" s="3">
        <v>45788</v>
      </c>
      <c r="D271" s="1">
        <v>0</v>
      </c>
      <c r="E271" s="1">
        <v>-275.92</v>
      </c>
      <c r="F271" t="s">
        <v>15</v>
      </c>
      <c r="G271" s="3">
        <v>45789</v>
      </c>
      <c r="H271" t="s">
        <v>11</v>
      </c>
      <c r="I271" s="2">
        <v>45992</v>
      </c>
      <c r="J271">
        <v>70</v>
      </c>
      <c r="K271" t="s">
        <v>10</v>
      </c>
      <c r="L271">
        <v>271</v>
      </c>
      <c r="M271" t="s">
        <v>13</v>
      </c>
    </row>
    <row r="272" spans="2:13" x14ac:dyDescent="0.35">
      <c r="B272" s="4">
        <v>256779418777</v>
      </c>
      <c r="C272" s="3">
        <v>45788</v>
      </c>
      <c r="D272" s="1">
        <v>0</v>
      </c>
      <c r="E272" s="1">
        <v>-3648.54</v>
      </c>
      <c r="F272" t="s">
        <v>15</v>
      </c>
      <c r="G272" s="3">
        <v>45789</v>
      </c>
      <c r="H272" t="s">
        <v>11</v>
      </c>
      <c r="I272" s="2">
        <v>45992</v>
      </c>
      <c r="J272">
        <v>72</v>
      </c>
      <c r="K272" t="s">
        <v>10</v>
      </c>
      <c r="L272">
        <v>271</v>
      </c>
      <c r="M272" t="s">
        <v>13</v>
      </c>
    </row>
    <row r="273" spans="2:13" x14ac:dyDescent="0.35">
      <c r="B273" s="4">
        <v>256779418779</v>
      </c>
      <c r="C273" s="3">
        <v>45788</v>
      </c>
      <c r="D273" s="1">
        <v>0</v>
      </c>
      <c r="E273" s="1">
        <v>-80.27</v>
      </c>
      <c r="F273" t="s">
        <v>15</v>
      </c>
      <c r="G273" s="3">
        <v>45789</v>
      </c>
      <c r="H273" t="s">
        <v>11</v>
      </c>
      <c r="I273" s="2">
        <v>45992</v>
      </c>
      <c r="J273">
        <v>74</v>
      </c>
      <c r="K273" t="s">
        <v>10</v>
      </c>
      <c r="L273">
        <v>271</v>
      </c>
      <c r="M273" t="s">
        <v>13</v>
      </c>
    </row>
    <row r="274" spans="2:13" x14ac:dyDescent="0.35">
      <c r="B274" s="4">
        <v>256779418778</v>
      </c>
      <c r="C274" s="3">
        <v>45788</v>
      </c>
      <c r="D274" s="1">
        <v>0</v>
      </c>
      <c r="E274" s="1">
        <v>-300.95999999999998</v>
      </c>
      <c r="F274" t="s">
        <v>15</v>
      </c>
      <c r="G274" s="3">
        <v>45789</v>
      </c>
      <c r="H274" t="s">
        <v>11</v>
      </c>
      <c r="I274" s="2">
        <v>46023</v>
      </c>
      <c r="J274">
        <v>56</v>
      </c>
      <c r="K274" t="s">
        <v>45</v>
      </c>
      <c r="L274">
        <v>271</v>
      </c>
      <c r="M274" t="s">
        <v>13</v>
      </c>
    </row>
    <row r="275" spans="2:13" x14ac:dyDescent="0.35">
      <c r="B275" s="4">
        <v>256779417875</v>
      </c>
      <c r="C275" s="3">
        <v>45787</v>
      </c>
      <c r="D275" s="1">
        <v>0</v>
      </c>
      <c r="E275" s="1">
        <v>-2736.39</v>
      </c>
      <c r="F275" t="s">
        <v>15</v>
      </c>
      <c r="G275" s="3">
        <v>45758</v>
      </c>
      <c r="H275" t="s">
        <v>11</v>
      </c>
      <c r="I275" s="2">
        <v>45992</v>
      </c>
      <c r="J275">
        <v>60</v>
      </c>
      <c r="K275" t="s">
        <v>10</v>
      </c>
      <c r="L275">
        <v>271</v>
      </c>
      <c r="M275" t="s">
        <v>13</v>
      </c>
    </row>
    <row r="276" spans="2:13" x14ac:dyDescent="0.35">
      <c r="B276" s="4">
        <v>256779417876</v>
      </c>
      <c r="C276" s="3">
        <v>45787</v>
      </c>
      <c r="D276" s="1">
        <v>0</v>
      </c>
      <c r="E276" s="1">
        <v>-109.46</v>
      </c>
      <c r="F276" t="s">
        <v>15</v>
      </c>
      <c r="G276" s="3">
        <v>45758</v>
      </c>
      <c r="H276" t="s">
        <v>11</v>
      </c>
      <c r="I276" s="2">
        <v>45992</v>
      </c>
      <c r="J276">
        <v>62</v>
      </c>
      <c r="K276" t="s">
        <v>10</v>
      </c>
      <c r="L276">
        <v>271</v>
      </c>
      <c r="M276" t="s">
        <v>13</v>
      </c>
    </row>
    <row r="277" spans="2:13" x14ac:dyDescent="0.35">
      <c r="B277" s="4">
        <v>256779417877</v>
      </c>
      <c r="C277" s="3">
        <v>45787</v>
      </c>
      <c r="D277" s="1">
        <v>0</v>
      </c>
      <c r="E277" s="1">
        <v>-60.2</v>
      </c>
      <c r="F277" t="s">
        <v>15</v>
      </c>
      <c r="G277" s="3">
        <v>45758</v>
      </c>
      <c r="H277" t="s">
        <v>11</v>
      </c>
      <c r="I277" s="2">
        <v>45992</v>
      </c>
      <c r="J277">
        <v>64</v>
      </c>
      <c r="K277" t="s">
        <v>10</v>
      </c>
      <c r="L277">
        <v>271</v>
      </c>
      <c r="M277" t="s">
        <v>13</v>
      </c>
    </row>
    <row r="278" spans="2:13" x14ac:dyDescent="0.35">
      <c r="B278" s="4">
        <v>256779419971</v>
      </c>
      <c r="C278" s="3">
        <v>45759</v>
      </c>
      <c r="D278" s="1">
        <v>0</v>
      </c>
      <c r="E278" s="1">
        <v>-218.85</v>
      </c>
      <c r="F278" t="s">
        <v>15</v>
      </c>
      <c r="G278" s="3">
        <v>46082</v>
      </c>
      <c r="H278" t="s">
        <v>11</v>
      </c>
      <c r="I278" s="2">
        <v>46023</v>
      </c>
      <c r="J278">
        <v>86</v>
      </c>
      <c r="K278" t="s">
        <v>45</v>
      </c>
      <c r="L278">
        <v>271</v>
      </c>
      <c r="M278" t="s">
        <v>13</v>
      </c>
    </row>
    <row r="279" spans="2:13" x14ac:dyDescent="0.35">
      <c r="B279" s="4">
        <v>256779419972</v>
      </c>
      <c r="C279" s="3">
        <v>45759</v>
      </c>
      <c r="D279" s="1">
        <v>0</v>
      </c>
      <c r="E279" s="1">
        <v>-120.38</v>
      </c>
      <c r="F279" t="s">
        <v>15</v>
      </c>
      <c r="G279" s="3">
        <v>46082</v>
      </c>
      <c r="H279" t="s">
        <v>11</v>
      </c>
      <c r="I279" s="2">
        <v>46023</v>
      </c>
      <c r="J279">
        <v>96</v>
      </c>
      <c r="K279" t="s">
        <v>45</v>
      </c>
      <c r="L279">
        <v>271</v>
      </c>
      <c r="M279" t="s">
        <v>13</v>
      </c>
    </row>
    <row r="280" spans="2:13" x14ac:dyDescent="0.35">
      <c r="B280" s="4">
        <v>256779419970</v>
      </c>
      <c r="C280" s="3">
        <v>45759</v>
      </c>
      <c r="D280" s="1">
        <v>0</v>
      </c>
      <c r="E280" s="1">
        <v>-5471.08</v>
      </c>
      <c r="F280" t="s">
        <v>15</v>
      </c>
      <c r="G280" s="3">
        <v>46082</v>
      </c>
      <c r="H280" t="s">
        <v>11</v>
      </c>
      <c r="I280" s="2">
        <v>46023</v>
      </c>
      <c r="J280">
        <v>100</v>
      </c>
      <c r="K280" t="s">
        <v>45</v>
      </c>
      <c r="L280">
        <v>271</v>
      </c>
      <c r="M280" t="s">
        <v>13</v>
      </c>
    </row>
    <row r="281" spans="2:13" x14ac:dyDescent="0.35">
      <c r="B281" s="4">
        <v>256779416909</v>
      </c>
      <c r="C281" s="3">
        <v>45757</v>
      </c>
      <c r="D281" s="1">
        <v>0</v>
      </c>
      <c r="E281" s="1">
        <v>-1194.02</v>
      </c>
      <c r="F281" t="s">
        <v>15</v>
      </c>
      <c r="G281" s="3">
        <v>45727</v>
      </c>
      <c r="H281" t="s">
        <v>11</v>
      </c>
      <c r="I281" s="2">
        <v>45992</v>
      </c>
      <c r="J281">
        <v>84</v>
      </c>
      <c r="K281" t="s">
        <v>10</v>
      </c>
      <c r="L281">
        <v>271</v>
      </c>
      <c r="M281" t="s">
        <v>13</v>
      </c>
    </row>
    <row r="282" spans="2:13" x14ac:dyDescent="0.35">
      <c r="B282" s="4">
        <v>256779417134</v>
      </c>
      <c r="C282" s="3">
        <v>45756</v>
      </c>
      <c r="D282" s="1">
        <v>0</v>
      </c>
      <c r="E282" s="1">
        <v>-315.77</v>
      </c>
      <c r="F282" t="s">
        <v>15</v>
      </c>
      <c r="G282" s="3">
        <v>45757</v>
      </c>
      <c r="H282" t="s">
        <v>11</v>
      </c>
      <c r="I282" s="2">
        <v>45931</v>
      </c>
      <c r="J282">
        <v>54</v>
      </c>
      <c r="K282" t="s">
        <v>19</v>
      </c>
      <c r="L282">
        <v>271</v>
      </c>
      <c r="M282" t="s">
        <v>13</v>
      </c>
    </row>
    <row r="283" spans="2:13" x14ac:dyDescent="0.35">
      <c r="B283" s="4">
        <v>256779417200</v>
      </c>
      <c r="C283" s="3">
        <v>45756</v>
      </c>
      <c r="D283" s="1">
        <v>0</v>
      </c>
      <c r="E283" s="1">
        <v>-59.31</v>
      </c>
      <c r="F283" t="s">
        <v>15</v>
      </c>
      <c r="G283" s="3">
        <v>45757</v>
      </c>
      <c r="H283" t="s">
        <v>11</v>
      </c>
      <c r="I283" s="2">
        <v>45931</v>
      </c>
      <c r="J283">
        <v>56</v>
      </c>
      <c r="K283" t="s">
        <v>19</v>
      </c>
      <c r="L283">
        <v>271</v>
      </c>
      <c r="M283" t="s">
        <v>13</v>
      </c>
    </row>
    <row r="284" spans="2:13" x14ac:dyDescent="0.35">
      <c r="B284" s="4">
        <v>256779417238</v>
      </c>
      <c r="C284" s="3">
        <v>45756</v>
      </c>
      <c r="D284" s="1">
        <v>0</v>
      </c>
      <c r="E284" s="1">
        <v>-358.34</v>
      </c>
      <c r="F284" t="s">
        <v>15</v>
      </c>
      <c r="G284" s="3">
        <v>45757</v>
      </c>
      <c r="H284" t="s">
        <v>11</v>
      </c>
      <c r="I284" s="2">
        <v>45931</v>
      </c>
      <c r="J284">
        <v>58</v>
      </c>
      <c r="K284" t="s">
        <v>19</v>
      </c>
      <c r="L284">
        <v>271</v>
      </c>
      <c r="M284" t="s">
        <v>13</v>
      </c>
    </row>
    <row r="285" spans="2:13" x14ac:dyDescent="0.35">
      <c r="B285" s="4">
        <v>256779417137</v>
      </c>
      <c r="C285" s="3">
        <v>45756</v>
      </c>
      <c r="D285" s="1">
        <v>0</v>
      </c>
      <c r="E285" s="1">
        <v>-241.22</v>
      </c>
      <c r="F285" t="s">
        <v>15</v>
      </c>
      <c r="G285" s="3">
        <v>45757</v>
      </c>
      <c r="H285" t="s">
        <v>11</v>
      </c>
      <c r="I285" s="2">
        <v>45931</v>
      </c>
      <c r="J285">
        <v>62</v>
      </c>
      <c r="K285" t="s">
        <v>19</v>
      </c>
      <c r="L285">
        <v>271</v>
      </c>
      <c r="M285" t="s">
        <v>13</v>
      </c>
    </row>
    <row r="286" spans="2:13" x14ac:dyDescent="0.35">
      <c r="B286" s="4">
        <v>256779417349</v>
      </c>
      <c r="C286" s="3">
        <v>45756</v>
      </c>
      <c r="D286" s="1">
        <v>0</v>
      </c>
      <c r="E286" s="1">
        <v>-134.63</v>
      </c>
      <c r="F286" t="s">
        <v>15</v>
      </c>
      <c r="G286" s="3">
        <v>45757</v>
      </c>
      <c r="H286" t="s">
        <v>11</v>
      </c>
      <c r="I286" s="2">
        <v>45962</v>
      </c>
      <c r="J286">
        <v>42</v>
      </c>
      <c r="K286" t="s">
        <v>12</v>
      </c>
      <c r="L286">
        <v>271</v>
      </c>
      <c r="M286" t="s">
        <v>13</v>
      </c>
    </row>
    <row r="287" spans="2:13" x14ac:dyDescent="0.35">
      <c r="B287" s="4">
        <v>256779417350</v>
      </c>
      <c r="C287" s="3">
        <v>45756</v>
      </c>
      <c r="D287" s="1">
        <v>0</v>
      </c>
      <c r="E287" s="1">
        <v>-73.63</v>
      </c>
      <c r="F287" t="s">
        <v>15</v>
      </c>
      <c r="G287" s="3">
        <v>45757</v>
      </c>
      <c r="H287" t="s">
        <v>11</v>
      </c>
      <c r="I287" s="2">
        <v>45962</v>
      </c>
      <c r="J287">
        <v>44</v>
      </c>
      <c r="K287" t="s">
        <v>12</v>
      </c>
      <c r="L287">
        <v>271</v>
      </c>
      <c r="M287" t="s">
        <v>13</v>
      </c>
    </row>
    <row r="288" spans="2:13" x14ac:dyDescent="0.35">
      <c r="B288" s="4">
        <v>256779417348</v>
      </c>
      <c r="C288" s="3">
        <v>45756</v>
      </c>
      <c r="D288" s="1">
        <v>0</v>
      </c>
      <c r="E288" s="1">
        <v>-3365.85</v>
      </c>
      <c r="F288" t="s">
        <v>15</v>
      </c>
      <c r="G288" s="3">
        <v>45757</v>
      </c>
      <c r="H288" t="s">
        <v>11</v>
      </c>
      <c r="I288" s="2">
        <v>45962</v>
      </c>
      <c r="J288">
        <v>46</v>
      </c>
      <c r="K288" t="s">
        <v>12</v>
      </c>
      <c r="L288">
        <v>271</v>
      </c>
      <c r="M288" t="s">
        <v>13</v>
      </c>
    </row>
    <row r="289" spans="2:13" x14ac:dyDescent="0.35">
      <c r="B289" s="4">
        <v>256779417349</v>
      </c>
      <c r="C289" s="3">
        <v>45756</v>
      </c>
      <c r="D289" s="1">
        <v>0</v>
      </c>
      <c r="E289" s="1">
        <v>-65.92</v>
      </c>
      <c r="F289" t="s">
        <v>15</v>
      </c>
      <c r="G289" s="3">
        <v>45757</v>
      </c>
      <c r="H289" t="s">
        <v>11</v>
      </c>
      <c r="I289" s="2">
        <v>45992</v>
      </c>
      <c r="J289">
        <v>42</v>
      </c>
      <c r="K289" t="s">
        <v>10</v>
      </c>
      <c r="L289">
        <v>271</v>
      </c>
      <c r="M289" t="s">
        <v>13</v>
      </c>
    </row>
    <row r="290" spans="2:13" x14ac:dyDescent="0.35">
      <c r="B290" s="4">
        <v>256779417350</v>
      </c>
      <c r="C290" s="3">
        <v>45756</v>
      </c>
      <c r="D290" s="1">
        <v>0</v>
      </c>
      <c r="E290" s="1">
        <v>-36.07</v>
      </c>
      <c r="F290" t="s">
        <v>15</v>
      </c>
      <c r="G290" s="3">
        <v>45757</v>
      </c>
      <c r="H290" t="s">
        <v>11</v>
      </c>
      <c r="I290" s="2">
        <v>45992</v>
      </c>
      <c r="J290">
        <v>44</v>
      </c>
      <c r="K290" t="s">
        <v>10</v>
      </c>
      <c r="L290">
        <v>271</v>
      </c>
      <c r="M290" t="s">
        <v>13</v>
      </c>
    </row>
    <row r="291" spans="2:13" x14ac:dyDescent="0.35">
      <c r="B291" s="4">
        <v>256779417348</v>
      </c>
      <c r="C291" s="3">
        <v>45756</v>
      </c>
      <c r="D291" s="1">
        <v>0</v>
      </c>
      <c r="E291" s="1">
        <v>-1648.3</v>
      </c>
      <c r="F291" t="s">
        <v>15</v>
      </c>
      <c r="G291" s="3">
        <v>45757</v>
      </c>
      <c r="H291" t="s">
        <v>11</v>
      </c>
      <c r="I291" s="2">
        <v>45992</v>
      </c>
      <c r="J291">
        <v>46</v>
      </c>
      <c r="K291" t="s">
        <v>10</v>
      </c>
      <c r="L291">
        <v>271</v>
      </c>
      <c r="M291" t="s">
        <v>13</v>
      </c>
    </row>
    <row r="292" spans="2:13" x14ac:dyDescent="0.35">
      <c r="B292" s="4">
        <v>256779417350</v>
      </c>
      <c r="C292" s="3">
        <v>45756</v>
      </c>
      <c r="D292" s="1">
        <v>0</v>
      </c>
      <c r="E292" s="1">
        <v>-85.26</v>
      </c>
      <c r="F292" t="s">
        <v>15</v>
      </c>
      <c r="G292" s="3">
        <v>45757</v>
      </c>
      <c r="H292" t="s">
        <v>11</v>
      </c>
      <c r="I292" s="2">
        <v>46023</v>
      </c>
      <c r="J292">
        <v>42</v>
      </c>
      <c r="K292" t="s">
        <v>45</v>
      </c>
      <c r="L292">
        <v>271</v>
      </c>
      <c r="M292" t="s">
        <v>13</v>
      </c>
    </row>
    <row r="293" spans="2:13" x14ac:dyDescent="0.35">
      <c r="B293" s="4">
        <v>256779415209</v>
      </c>
      <c r="C293" s="3">
        <v>45754</v>
      </c>
      <c r="D293" s="1">
        <v>0</v>
      </c>
      <c r="E293" s="1">
        <v>-11.75</v>
      </c>
      <c r="F293" t="s">
        <v>15</v>
      </c>
      <c r="G293" s="3">
        <v>45724</v>
      </c>
      <c r="H293" t="s">
        <v>11</v>
      </c>
      <c r="I293" s="2">
        <v>45901</v>
      </c>
      <c r="J293">
        <v>16</v>
      </c>
      <c r="K293" t="s">
        <v>52</v>
      </c>
      <c r="L293">
        <v>271</v>
      </c>
      <c r="M293" t="s">
        <v>13</v>
      </c>
    </row>
    <row r="294" spans="2:13" x14ac:dyDescent="0.35">
      <c r="B294" s="4">
        <v>256779415270</v>
      </c>
      <c r="C294" s="3">
        <v>45754</v>
      </c>
      <c r="D294" s="1">
        <v>0</v>
      </c>
      <c r="E294" s="1">
        <v>-78.16</v>
      </c>
      <c r="F294" t="s">
        <v>15</v>
      </c>
      <c r="G294" s="3">
        <v>45724</v>
      </c>
      <c r="H294" t="s">
        <v>11</v>
      </c>
      <c r="I294" s="2">
        <v>45901</v>
      </c>
      <c r="J294">
        <v>26</v>
      </c>
      <c r="K294" t="s">
        <v>52</v>
      </c>
      <c r="L294">
        <v>271</v>
      </c>
      <c r="M294" t="s">
        <v>13</v>
      </c>
    </row>
    <row r="295" spans="2:13" x14ac:dyDescent="0.35">
      <c r="B295" s="4">
        <v>256779415208</v>
      </c>
      <c r="C295" s="3">
        <v>45754</v>
      </c>
      <c r="D295" s="1">
        <v>0</v>
      </c>
      <c r="E295" s="1">
        <v>-34.06</v>
      </c>
      <c r="F295" t="s">
        <v>15</v>
      </c>
      <c r="G295" s="3">
        <v>45724</v>
      </c>
      <c r="H295" t="s">
        <v>11</v>
      </c>
      <c r="I295" s="2">
        <v>45901</v>
      </c>
      <c r="J295">
        <v>104</v>
      </c>
      <c r="K295" t="s">
        <v>52</v>
      </c>
      <c r="L295">
        <v>271</v>
      </c>
      <c r="M295" t="s">
        <v>13</v>
      </c>
    </row>
    <row r="296" spans="2:13" x14ac:dyDescent="0.35">
      <c r="B296" s="4">
        <v>256779415210</v>
      </c>
      <c r="C296" s="3">
        <v>45754</v>
      </c>
      <c r="D296" s="1">
        <v>0</v>
      </c>
      <c r="E296" s="1">
        <v>-1788.28</v>
      </c>
      <c r="F296" t="s">
        <v>15</v>
      </c>
      <c r="G296" s="3">
        <v>45724</v>
      </c>
      <c r="H296" t="s">
        <v>11</v>
      </c>
      <c r="I296" s="2">
        <v>45901</v>
      </c>
      <c r="J296">
        <v>112</v>
      </c>
      <c r="K296" t="s">
        <v>52</v>
      </c>
      <c r="L296">
        <v>271</v>
      </c>
      <c r="M296" t="s">
        <v>13</v>
      </c>
    </row>
    <row r="297" spans="2:13" x14ac:dyDescent="0.35">
      <c r="B297" s="4">
        <v>256779415012</v>
      </c>
      <c r="C297" s="3">
        <v>45754</v>
      </c>
      <c r="D297" s="1">
        <v>0</v>
      </c>
      <c r="E297" s="1">
        <v>-408.07</v>
      </c>
      <c r="F297" t="s">
        <v>15</v>
      </c>
      <c r="G297" s="3">
        <v>45724</v>
      </c>
      <c r="H297" t="s">
        <v>11</v>
      </c>
      <c r="I297" s="2">
        <v>45931</v>
      </c>
      <c r="J297">
        <v>60</v>
      </c>
      <c r="K297" t="s">
        <v>19</v>
      </c>
      <c r="L297">
        <v>271</v>
      </c>
      <c r="M297" t="s">
        <v>13</v>
      </c>
    </row>
    <row r="298" spans="2:13" x14ac:dyDescent="0.35">
      <c r="B298" s="4">
        <v>256779415261</v>
      </c>
      <c r="C298" s="3">
        <v>45754</v>
      </c>
      <c r="D298" s="1">
        <v>0</v>
      </c>
      <c r="E298" s="1">
        <v>-648.16999999999996</v>
      </c>
      <c r="F298" t="s">
        <v>15</v>
      </c>
      <c r="G298" s="3">
        <v>45724</v>
      </c>
      <c r="H298" t="s">
        <v>11</v>
      </c>
      <c r="I298" s="2">
        <v>45931</v>
      </c>
      <c r="J298">
        <v>78</v>
      </c>
      <c r="K298" t="s">
        <v>19</v>
      </c>
      <c r="L298">
        <v>271</v>
      </c>
      <c r="M298" t="s">
        <v>13</v>
      </c>
    </row>
    <row r="299" spans="2:13" x14ac:dyDescent="0.35">
      <c r="B299" s="4">
        <v>256779415012</v>
      </c>
      <c r="C299" s="3">
        <v>45754</v>
      </c>
      <c r="D299" s="1">
        <v>0</v>
      </c>
      <c r="E299" s="1">
        <v>-162.69</v>
      </c>
      <c r="F299" t="s">
        <v>15</v>
      </c>
      <c r="G299" s="3">
        <v>45724</v>
      </c>
      <c r="H299" t="s">
        <v>11</v>
      </c>
      <c r="I299" s="2">
        <v>45962</v>
      </c>
      <c r="J299">
        <v>28</v>
      </c>
      <c r="K299" t="s">
        <v>12</v>
      </c>
      <c r="L299">
        <v>271</v>
      </c>
      <c r="M299" t="s">
        <v>13</v>
      </c>
    </row>
    <row r="300" spans="2:13" x14ac:dyDescent="0.35">
      <c r="B300" s="4">
        <v>256779415261</v>
      </c>
      <c r="C300" s="3">
        <v>45754</v>
      </c>
      <c r="D300" s="1">
        <v>0</v>
      </c>
      <c r="E300" s="1">
        <v>-258.39999999999998</v>
      </c>
      <c r="F300" t="s">
        <v>15</v>
      </c>
      <c r="G300" s="3">
        <v>45724</v>
      </c>
      <c r="H300" t="s">
        <v>11</v>
      </c>
      <c r="I300" s="2">
        <v>45962</v>
      </c>
      <c r="J300">
        <v>30</v>
      </c>
      <c r="K300" t="s">
        <v>12</v>
      </c>
      <c r="L300">
        <v>271</v>
      </c>
      <c r="M300" t="s">
        <v>13</v>
      </c>
    </row>
    <row r="301" spans="2:13" x14ac:dyDescent="0.35">
      <c r="B301" s="4">
        <v>256779415012</v>
      </c>
      <c r="C301" s="3">
        <v>45754</v>
      </c>
      <c r="D301" s="1">
        <v>0</v>
      </c>
      <c r="E301" s="1">
        <v>-132.71</v>
      </c>
      <c r="F301" t="s">
        <v>15</v>
      </c>
      <c r="G301" s="3">
        <v>45724</v>
      </c>
      <c r="H301" t="s">
        <v>11</v>
      </c>
      <c r="I301" s="2">
        <v>45992</v>
      </c>
      <c r="J301">
        <v>28</v>
      </c>
      <c r="K301" t="s">
        <v>10</v>
      </c>
      <c r="L301">
        <v>271</v>
      </c>
      <c r="M301" t="s">
        <v>13</v>
      </c>
    </row>
    <row r="302" spans="2:13" x14ac:dyDescent="0.35">
      <c r="B302" s="4">
        <v>256779415261</v>
      </c>
      <c r="C302" s="3">
        <v>45754</v>
      </c>
      <c r="D302" s="1">
        <v>0</v>
      </c>
      <c r="E302" s="1">
        <v>-210.79</v>
      </c>
      <c r="F302" t="s">
        <v>15</v>
      </c>
      <c r="G302" s="3">
        <v>45724</v>
      </c>
      <c r="H302" t="s">
        <v>11</v>
      </c>
      <c r="I302" s="2">
        <v>45992</v>
      </c>
      <c r="J302">
        <v>30</v>
      </c>
      <c r="K302" t="s">
        <v>10</v>
      </c>
      <c r="L302">
        <v>271</v>
      </c>
      <c r="M302" t="s">
        <v>13</v>
      </c>
    </row>
    <row r="303" spans="2:13" x14ac:dyDescent="0.35">
      <c r="B303" s="4">
        <v>256779415012</v>
      </c>
      <c r="C303" s="3">
        <v>45754</v>
      </c>
      <c r="D303" s="1">
        <v>0</v>
      </c>
      <c r="E303" s="1">
        <v>-313.75</v>
      </c>
      <c r="F303" t="s">
        <v>15</v>
      </c>
      <c r="G303" s="3">
        <v>45724</v>
      </c>
      <c r="H303" t="s">
        <v>11</v>
      </c>
      <c r="I303" s="2">
        <v>46023</v>
      </c>
      <c r="J303">
        <v>28</v>
      </c>
      <c r="K303" t="s">
        <v>45</v>
      </c>
      <c r="L303">
        <v>271</v>
      </c>
      <c r="M303" t="s">
        <v>13</v>
      </c>
    </row>
    <row r="304" spans="2:13" x14ac:dyDescent="0.35">
      <c r="B304" s="4">
        <v>256779415261</v>
      </c>
      <c r="C304" s="3">
        <v>45754</v>
      </c>
      <c r="D304" s="1">
        <v>0</v>
      </c>
      <c r="E304" s="1">
        <v>-498.35</v>
      </c>
      <c r="F304" t="s">
        <v>15</v>
      </c>
      <c r="G304" s="3">
        <v>45724</v>
      </c>
      <c r="H304" t="s">
        <v>11</v>
      </c>
      <c r="I304" s="2">
        <v>46023</v>
      </c>
      <c r="J304">
        <v>30</v>
      </c>
      <c r="K304" t="s">
        <v>45</v>
      </c>
      <c r="L304">
        <v>271</v>
      </c>
      <c r="M304" t="s">
        <v>13</v>
      </c>
    </row>
    <row r="305" spans="2:13" x14ac:dyDescent="0.35">
      <c r="B305" s="4">
        <v>256779414918</v>
      </c>
      <c r="C305" s="3">
        <v>45754</v>
      </c>
      <c r="D305" s="1">
        <v>0</v>
      </c>
      <c r="E305" s="1">
        <v>-282.85000000000002</v>
      </c>
      <c r="F305" t="s">
        <v>15</v>
      </c>
      <c r="G305" s="3">
        <v>45724</v>
      </c>
      <c r="H305" t="s">
        <v>11</v>
      </c>
      <c r="I305" s="2">
        <v>46023</v>
      </c>
      <c r="J305">
        <v>62</v>
      </c>
      <c r="K305" t="s">
        <v>45</v>
      </c>
      <c r="L305">
        <v>271</v>
      </c>
      <c r="M305" t="s">
        <v>13</v>
      </c>
    </row>
    <row r="306" spans="2:13" x14ac:dyDescent="0.35">
      <c r="B306" s="4">
        <v>256779414917</v>
      </c>
      <c r="C306" s="3">
        <v>45754</v>
      </c>
      <c r="D306" s="1">
        <v>0</v>
      </c>
      <c r="E306" s="1">
        <v>-514.26</v>
      </c>
      <c r="F306" t="s">
        <v>15</v>
      </c>
      <c r="G306" s="3">
        <v>45724</v>
      </c>
      <c r="H306" t="s">
        <v>11</v>
      </c>
      <c r="I306" s="2">
        <v>46023</v>
      </c>
      <c r="J306">
        <v>64</v>
      </c>
      <c r="K306" t="s">
        <v>45</v>
      </c>
      <c r="L306">
        <v>271</v>
      </c>
      <c r="M306" t="s">
        <v>13</v>
      </c>
    </row>
    <row r="307" spans="2:13" x14ac:dyDescent="0.35">
      <c r="B307" s="4">
        <v>256779414916</v>
      </c>
      <c r="C307" s="3">
        <v>45754</v>
      </c>
      <c r="D307" s="1">
        <v>0</v>
      </c>
      <c r="E307" s="1">
        <v>-12856.62</v>
      </c>
      <c r="F307" t="s">
        <v>15</v>
      </c>
      <c r="G307" s="3">
        <v>45724</v>
      </c>
      <c r="H307" t="s">
        <v>11</v>
      </c>
      <c r="I307" s="2">
        <v>46023</v>
      </c>
      <c r="J307">
        <v>68</v>
      </c>
      <c r="K307" t="s">
        <v>45</v>
      </c>
      <c r="L307">
        <v>271</v>
      </c>
      <c r="M307" t="s">
        <v>13</v>
      </c>
    </row>
    <row r="308" spans="2:13" x14ac:dyDescent="0.35">
      <c r="B308" s="4">
        <v>256779410801</v>
      </c>
      <c r="C308" s="3">
        <v>45751</v>
      </c>
      <c r="D308" s="1">
        <v>0</v>
      </c>
      <c r="E308" s="1">
        <v>-728</v>
      </c>
      <c r="F308" t="s">
        <v>15</v>
      </c>
      <c r="G308" s="3">
        <v>45752</v>
      </c>
      <c r="H308" t="s">
        <v>11</v>
      </c>
      <c r="I308" s="2">
        <v>45809</v>
      </c>
      <c r="J308">
        <v>12</v>
      </c>
      <c r="K308" t="s">
        <v>26</v>
      </c>
      <c r="L308">
        <v>271</v>
      </c>
      <c r="M308" t="s">
        <v>13</v>
      </c>
    </row>
    <row r="309" spans="2:13" x14ac:dyDescent="0.35">
      <c r="B309" s="4">
        <v>246779410743</v>
      </c>
      <c r="C309" s="3">
        <v>45750</v>
      </c>
      <c r="D309" s="1">
        <v>0</v>
      </c>
      <c r="E309" s="1">
        <v>3.1</v>
      </c>
      <c r="F309" t="s">
        <v>15</v>
      </c>
      <c r="G309" s="3">
        <v>45720</v>
      </c>
      <c r="H309" t="s">
        <v>11</v>
      </c>
      <c r="I309" s="2">
        <v>45809</v>
      </c>
      <c r="J309">
        <v>90</v>
      </c>
      <c r="K309" t="s">
        <v>26</v>
      </c>
      <c r="L309">
        <v>271</v>
      </c>
      <c r="M309" t="s">
        <v>13</v>
      </c>
    </row>
    <row r="310" spans="2:13" x14ac:dyDescent="0.35">
      <c r="B310" s="4">
        <v>246779410665</v>
      </c>
      <c r="C310" s="3">
        <v>45750</v>
      </c>
      <c r="D310" s="1">
        <v>0</v>
      </c>
      <c r="E310" s="1">
        <v>-9.8800000000000008</v>
      </c>
      <c r="F310" t="s">
        <v>15</v>
      </c>
      <c r="G310" s="3">
        <v>45720</v>
      </c>
      <c r="H310" t="s">
        <v>11</v>
      </c>
      <c r="I310" s="2">
        <v>45992</v>
      </c>
      <c r="J310">
        <v>82</v>
      </c>
      <c r="K310" t="s">
        <v>10</v>
      </c>
      <c r="L310">
        <v>271</v>
      </c>
      <c r="M310" t="s">
        <v>13</v>
      </c>
    </row>
    <row r="311" spans="2:13" x14ac:dyDescent="0.35">
      <c r="B311" s="4">
        <v>246779410665</v>
      </c>
      <c r="C311" s="3">
        <v>45750</v>
      </c>
      <c r="D311" s="1">
        <v>0</v>
      </c>
      <c r="E311" s="1">
        <v>-6.04</v>
      </c>
      <c r="F311" t="s">
        <v>15</v>
      </c>
      <c r="G311" s="3">
        <v>45720</v>
      </c>
      <c r="H311" t="s">
        <v>11</v>
      </c>
      <c r="I311" s="2">
        <v>46023</v>
      </c>
      <c r="J311">
        <v>52</v>
      </c>
      <c r="K311" t="s">
        <v>45</v>
      </c>
      <c r="L311">
        <v>271</v>
      </c>
      <c r="M311" t="s">
        <v>13</v>
      </c>
    </row>
    <row r="312" spans="2:13" x14ac:dyDescent="0.35">
      <c r="B312" s="4">
        <v>256779419122</v>
      </c>
      <c r="C312" s="3">
        <v>45727</v>
      </c>
      <c r="D312" s="1">
        <v>0</v>
      </c>
      <c r="E312" s="1">
        <v>-808.94</v>
      </c>
      <c r="F312" t="s">
        <v>15</v>
      </c>
      <c r="G312" s="3">
        <v>45728</v>
      </c>
      <c r="H312" t="s">
        <v>11</v>
      </c>
      <c r="I312" s="2">
        <v>45992</v>
      </c>
      <c r="J312">
        <v>76</v>
      </c>
      <c r="K312" t="s">
        <v>10</v>
      </c>
      <c r="L312">
        <v>271</v>
      </c>
      <c r="M312" t="s">
        <v>13</v>
      </c>
    </row>
    <row r="313" spans="2:13" x14ac:dyDescent="0.35">
      <c r="B313" s="4">
        <v>256779410196</v>
      </c>
      <c r="C313" s="3">
        <v>45720</v>
      </c>
      <c r="D313" s="1">
        <v>0</v>
      </c>
      <c r="E313" s="1">
        <v>-63.43</v>
      </c>
      <c r="F313" t="s">
        <v>15</v>
      </c>
      <c r="G313" s="3">
        <v>45721</v>
      </c>
      <c r="H313" t="s">
        <v>11</v>
      </c>
      <c r="I313" s="2">
        <v>45809</v>
      </c>
      <c r="J313">
        <v>34</v>
      </c>
      <c r="K313" t="s">
        <v>26</v>
      </c>
      <c r="L313">
        <v>271</v>
      </c>
      <c r="M313" t="s">
        <v>13</v>
      </c>
    </row>
    <row r="314" spans="2:13" x14ac:dyDescent="0.35">
      <c r="B314" s="4">
        <v>256779410303</v>
      </c>
      <c r="C314" s="3">
        <v>45720</v>
      </c>
      <c r="D314" s="1">
        <v>0</v>
      </c>
      <c r="E314" s="1">
        <v>-23.53</v>
      </c>
      <c r="F314" t="s">
        <v>15</v>
      </c>
      <c r="G314" s="3">
        <v>45721</v>
      </c>
      <c r="H314" t="s">
        <v>11</v>
      </c>
      <c r="I314" s="2">
        <v>45809</v>
      </c>
      <c r="J314">
        <v>40</v>
      </c>
      <c r="K314" t="s">
        <v>26</v>
      </c>
      <c r="L314">
        <v>271</v>
      </c>
      <c r="M314" t="s">
        <v>13</v>
      </c>
    </row>
    <row r="315" spans="2:13" x14ac:dyDescent="0.35">
      <c r="B315" s="4">
        <v>256779410304</v>
      </c>
      <c r="C315" s="3">
        <v>45720</v>
      </c>
      <c r="D315" s="1">
        <v>0</v>
      </c>
      <c r="E315" s="1">
        <v>-12.93</v>
      </c>
      <c r="F315" t="s">
        <v>15</v>
      </c>
      <c r="G315" s="3">
        <v>45721</v>
      </c>
      <c r="H315" t="s">
        <v>11</v>
      </c>
      <c r="I315" s="2">
        <v>45809</v>
      </c>
      <c r="J315">
        <v>60</v>
      </c>
      <c r="K315" t="s">
        <v>26</v>
      </c>
      <c r="L315">
        <v>271</v>
      </c>
      <c r="M315" t="s">
        <v>13</v>
      </c>
    </row>
    <row r="316" spans="2:13" x14ac:dyDescent="0.35">
      <c r="B316" s="4">
        <v>256779413931</v>
      </c>
      <c r="C316" s="3">
        <v>45694</v>
      </c>
      <c r="D316" s="1">
        <v>0</v>
      </c>
      <c r="E316" s="1">
        <v>-1584.45</v>
      </c>
      <c r="F316" t="s">
        <v>15</v>
      </c>
      <c r="G316" s="3">
        <v>45695</v>
      </c>
      <c r="H316" t="s">
        <v>11</v>
      </c>
      <c r="I316" s="2">
        <v>45962</v>
      </c>
      <c r="J316">
        <v>62</v>
      </c>
      <c r="K316" t="s">
        <v>12</v>
      </c>
      <c r="L316">
        <v>271</v>
      </c>
      <c r="M316" t="s">
        <v>13</v>
      </c>
    </row>
    <row r="317" spans="2:13" x14ac:dyDescent="0.35">
      <c r="B317" s="4">
        <v>256779416028</v>
      </c>
      <c r="C317" s="3">
        <v>45665</v>
      </c>
      <c r="D317" s="1">
        <v>0</v>
      </c>
      <c r="E317" s="1">
        <v>-7426.8</v>
      </c>
      <c r="F317" t="s">
        <v>15</v>
      </c>
      <c r="G317" t="s">
        <v>430</v>
      </c>
      <c r="H317" t="s">
        <v>11</v>
      </c>
      <c r="I317" s="2">
        <v>45992</v>
      </c>
      <c r="J317">
        <v>54</v>
      </c>
      <c r="K317" t="s">
        <v>10</v>
      </c>
      <c r="L317">
        <v>271</v>
      </c>
      <c r="M317" t="s">
        <v>13</v>
      </c>
    </row>
    <row r="318" spans="2:13" x14ac:dyDescent="0.35">
      <c r="B318" s="4">
        <v>256779416029</v>
      </c>
      <c r="C318" s="3">
        <v>45665</v>
      </c>
      <c r="D318" s="1">
        <v>0</v>
      </c>
      <c r="E318" s="1">
        <v>-297.06</v>
      </c>
      <c r="F318" t="s">
        <v>15</v>
      </c>
      <c r="G318" t="s">
        <v>430</v>
      </c>
      <c r="H318" t="s">
        <v>11</v>
      </c>
      <c r="I318" s="2">
        <v>45992</v>
      </c>
      <c r="J318">
        <v>56</v>
      </c>
      <c r="K318" t="s">
        <v>10</v>
      </c>
      <c r="L318">
        <v>271</v>
      </c>
      <c r="M318" t="s">
        <v>13</v>
      </c>
    </row>
    <row r="319" spans="2:13" x14ac:dyDescent="0.35">
      <c r="B319" s="4">
        <v>256779416030</v>
      </c>
      <c r="C319" s="3">
        <v>45665</v>
      </c>
      <c r="D319" s="1">
        <v>0</v>
      </c>
      <c r="E319" s="1">
        <v>-163.38</v>
      </c>
      <c r="F319" t="s">
        <v>15</v>
      </c>
      <c r="G319" t="s">
        <v>430</v>
      </c>
      <c r="H319" t="s">
        <v>11</v>
      </c>
      <c r="I319" s="2">
        <v>45992</v>
      </c>
      <c r="J319">
        <v>58</v>
      </c>
      <c r="K319" t="s">
        <v>10</v>
      </c>
      <c r="L319">
        <v>271</v>
      </c>
      <c r="M319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0E6C-2D39-4BFA-BD43-7B1FD248EB5C}">
  <dimension ref="A3:I32"/>
  <sheetViews>
    <sheetView topLeftCell="A3" workbookViewId="0">
      <selection activeCell="C16" sqref="C16:I16"/>
      <pivotSelection pane="bottomRight" showHeader="1" extendable="1" axis="axisRow" dimension="2" start="11" min="11" max="12" activeRow="15" activeCol="2" previousRow="15" previousCol="2" click="1" r:id="rId1">
        <pivotArea dataOnly="0" outline="0" fieldPosition="0">
          <references count="1">
            <reference field="4" count="1">
              <x v="1"/>
            </reference>
          </references>
        </pivotArea>
      </pivotSelection>
    </sheetView>
  </sheetViews>
  <sheetFormatPr defaultRowHeight="14.5" x14ac:dyDescent="0.35"/>
  <cols>
    <col min="1" max="1" width="33.1796875" bestFit="1" customWidth="1"/>
    <col min="2" max="2" width="10.54296875" bestFit="1" customWidth="1"/>
    <col min="3" max="4" width="16.36328125" bestFit="1" customWidth="1"/>
    <col min="5" max="5" width="11.453125" bestFit="1" customWidth="1"/>
    <col min="6" max="6" width="10.81640625" bestFit="1" customWidth="1"/>
    <col min="7" max="7" width="7.81640625" bestFit="1" customWidth="1"/>
    <col min="8" max="8" width="11.453125" bestFit="1" customWidth="1"/>
    <col min="9" max="9" width="3" bestFit="1" customWidth="1"/>
  </cols>
  <sheetData>
    <row r="3" spans="1:9" x14ac:dyDescent="0.35">
      <c r="A3" s="5" t="s">
        <v>868</v>
      </c>
      <c r="D3" s="5" t="s">
        <v>486</v>
      </c>
    </row>
    <row r="4" spans="1:9" x14ac:dyDescent="0.35">
      <c r="A4" s="5" t="s">
        <v>478</v>
      </c>
      <c r="B4" s="5" t="s">
        <v>479</v>
      </c>
      <c r="C4" s="5" t="s">
        <v>487</v>
      </c>
      <c r="D4" t="s">
        <v>840</v>
      </c>
      <c r="E4" t="s">
        <v>496</v>
      </c>
      <c r="F4" t="s">
        <v>499</v>
      </c>
      <c r="G4" t="s">
        <v>842</v>
      </c>
      <c r="H4" t="s">
        <v>697</v>
      </c>
      <c r="I4" t="s">
        <v>843</v>
      </c>
    </row>
    <row r="5" spans="1:9" x14ac:dyDescent="0.35">
      <c r="A5" t="s">
        <v>471</v>
      </c>
      <c r="B5" t="s">
        <v>472</v>
      </c>
      <c r="C5" s="3" t="s">
        <v>442</v>
      </c>
      <c r="D5" s="6"/>
      <c r="E5" s="6"/>
      <c r="F5" s="6">
        <v>1514515.3300000003</v>
      </c>
      <c r="G5" s="6"/>
      <c r="H5" s="6"/>
      <c r="I5" s="6">
        <v>0</v>
      </c>
    </row>
    <row r="6" spans="1:9" x14ac:dyDescent="0.35">
      <c r="C6" s="3" t="s">
        <v>443</v>
      </c>
      <c r="D6" s="6"/>
      <c r="E6" s="6"/>
      <c r="F6" s="6">
        <v>1933380.6299999983</v>
      </c>
      <c r="G6" s="6"/>
      <c r="H6" s="6"/>
      <c r="I6" s="6"/>
    </row>
    <row r="7" spans="1:9" x14ac:dyDescent="0.35">
      <c r="B7" t="s">
        <v>473</v>
      </c>
      <c r="C7" s="3" t="s">
        <v>444</v>
      </c>
      <c r="D7" s="6">
        <v>0</v>
      </c>
      <c r="E7" s="6"/>
      <c r="F7" s="6">
        <v>2087965.7099999997</v>
      </c>
      <c r="G7" s="6"/>
      <c r="H7" s="6"/>
      <c r="I7" s="6"/>
    </row>
    <row r="8" spans="1:9" x14ac:dyDescent="0.35">
      <c r="C8" s="3" t="s">
        <v>445</v>
      </c>
      <c r="D8" s="6"/>
      <c r="E8" s="6">
        <v>-595574.40999999992</v>
      </c>
      <c r="F8" s="6">
        <v>1044919.9400000001</v>
      </c>
      <c r="G8" s="6"/>
      <c r="H8" s="6"/>
      <c r="I8" s="6"/>
    </row>
    <row r="9" spans="1:9" x14ac:dyDescent="0.35">
      <c r="C9" s="3" t="s">
        <v>446</v>
      </c>
      <c r="D9" s="6"/>
      <c r="E9" s="6"/>
      <c r="F9" s="6">
        <v>1761603.83</v>
      </c>
      <c r="G9" s="6"/>
      <c r="H9" s="6"/>
      <c r="I9" s="6"/>
    </row>
    <row r="10" spans="1:9" x14ac:dyDescent="0.35">
      <c r="B10" t="s">
        <v>474</v>
      </c>
      <c r="C10" s="3" t="s">
        <v>447</v>
      </c>
      <c r="D10" s="6"/>
      <c r="E10" s="6">
        <v>-1464659.3399999992</v>
      </c>
      <c r="F10" s="6">
        <v>2492881.4999999967</v>
      </c>
      <c r="G10" s="6"/>
      <c r="H10" s="6">
        <v>0</v>
      </c>
      <c r="I10" s="6"/>
    </row>
    <row r="11" spans="1:9" x14ac:dyDescent="0.35">
      <c r="C11" s="3" t="s">
        <v>448</v>
      </c>
      <c r="D11" s="6"/>
      <c r="E11" s="6">
        <v>-170239.97000000003</v>
      </c>
      <c r="F11" s="6">
        <v>1305423.0200000003</v>
      </c>
      <c r="G11" s="6"/>
      <c r="H11" s="6"/>
      <c r="I11" s="6"/>
    </row>
    <row r="12" spans="1:9" x14ac:dyDescent="0.35">
      <c r="C12" s="3" t="s">
        <v>449</v>
      </c>
      <c r="D12" s="6"/>
      <c r="E12" s="6"/>
      <c r="F12" s="6">
        <v>1564779.07</v>
      </c>
      <c r="G12" s="6">
        <v>1238.2200000000012</v>
      </c>
      <c r="H12" s="6"/>
      <c r="I12" s="6"/>
    </row>
    <row r="13" spans="1:9" x14ac:dyDescent="0.35">
      <c r="B13" t="s">
        <v>475</v>
      </c>
      <c r="C13" s="3" t="s">
        <v>450</v>
      </c>
      <c r="D13" s="6"/>
      <c r="E13" s="6">
        <v>-8361.3700000000008</v>
      </c>
      <c r="F13" s="6">
        <v>1113806.7000000002</v>
      </c>
      <c r="G13" s="6"/>
      <c r="H13" s="6">
        <v>-5850755.0899999999</v>
      </c>
      <c r="I13" s="6"/>
    </row>
    <row r="14" spans="1:9" x14ac:dyDescent="0.35">
      <c r="C14" s="3" t="s">
        <v>451</v>
      </c>
      <c r="D14" s="6"/>
      <c r="E14" s="6">
        <v>-405590.02</v>
      </c>
      <c r="F14" s="6">
        <v>1574052.6999999997</v>
      </c>
      <c r="G14" s="6"/>
      <c r="H14" s="6">
        <v>-1920293.1</v>
      </c>
      <c r="I14" s="6"/>
    </row>
    <row r="15" spans="1:9" x14ac:dyDescent="0.35">
      <c r="C15" s="3" t="s">
        <v>476</v>
      </c>
      <c r="D15" s="6"/>
      <c r="E15" s="6"/>
      <c r="F15" s="6">
        <v>282835.01</v>
      </c>
      <c r="G15" s="6"/>
      <c r="H15" s="6"/>
      <c r="I15" s="6"/>
    </row>
    <row r="16" spans="1:9" x14ac:dyDescent="0.35">
      <c r="A16" t="s">
        <v>477</v>
      </c>
      <c r="B16" t="s">
        <v>472</v>
      </c>
      <c r="C16" s="3" t="s">
        <v>441</v>
      </c>
      <c r="D16" s="6"/>
      <c r="E16" s="6">
        <v>-52265.329999999994</v>
      </c>
      <c r="F16" s="6">
        <v>831546.81000000017</v>
      </c>
      <c r="G16" s="6"/>
      <c r="H16" s="6">
        <v>-719881.09</v>
      </c>
      <c r="I16" s="6"/>
    </row>
    <row r="17" spans="5:8" x14ac:dyDescent="0.35">
      <c r="E17" s="7"/>
      <c r="F17" s="7"/>
      <c r="H17" s="7"/>
    </row>
    <row r="32" spans="5:8" x14ac:dyDescent="0.35">
      <c r="E32" s="7"/>
      <c r="F32" s="7"/>
      <c r="H32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1B64-4E73-48BC-97C6-484D59516472}">
  <dimension ref="A1"/>
  <sheetViews>
    <sheetView topLeftCell="A67" workbookViewId="0">
      <selection sqref="A1:A6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Ascendus DATA</vt:lpstr>
      <vt:lpstr>Summary </vt:lpstr>
      <vt:lpstr>Corrections to be done by custo</vt:lpstr>
      <vt:lpstr>Biling Reco</vt:lpstr>
      <vt:lpstr>Payment Reco</vt:lpstr>
      <vt:lpstr>Pivot data</vt:lpstr>
      <vt:lpstr>Invoices not in customer's Book</vt:lpstr>
      <vt:lpstr>CN Not in Customer's Books</vt:lpstr>
      <vt:lpstr>Foreign Exchange difference</vt:lpstr>
      <vt:lpstr>Ascendus</vt:lpstr>
      <vt:lpstr>Sheet12</vt:lpstr>
      <vt:lpstr>Sheet4</vt:lpstr>
      <vt:lpstr>CUSTOMER DATA</vt:lpstr>
      <vt:lpstr>Customer TDS</vt:lpstr>
      <vt:lpstr>Customer P matching</vt:lpstr>
      <vt:lpstr>Pivot</vt:lpstr>
      <vt:lpstr>26AS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2026-02-05T09:42:39Z</dcterms:created>
  <dcterms:modified xsi:type="dcterms:W3CDTF">2026-04-23T11:23:57Z</dcterms:modified>
</cp:coreProperties>
</file>